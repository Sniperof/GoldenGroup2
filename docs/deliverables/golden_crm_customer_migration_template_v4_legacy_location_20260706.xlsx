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c13da42c4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c248944dc3d0490a"/>
    <x:sheet xmlns:r="http://schemas.openxmlformats.org/officeDocument/2006/relationships" name="الزبائن" sheetId="2" r:id="R363d876110ea4e17"/>
    <x:sheet xmlns:r="http://schemas.openxmlformats.org/officeDocument/2006/relationships" name="أرقام التواصل" sheetId="3" r:id="Rff79d47d7b3543fd"/>
    <x:sheet xmlns:r="http://schemas.openxmlformats.org/officeDocument/2006/relationships" name="الوسطاء" sheetId="4" r:id="R2fa86c147a7a4605"/>
    <x:sheet xmlns:r="http://schemas.openxmlformats.org/officeDocument/2006/relationships" name="أسماء مقترحة" sheetId="5" r:id="Rf77a700a2c074ae9"/>
    <x:sheet xmlns:r="http://schemas.openxmlformats.org/officeDocument/2006/relationships" name="قاموس الأعمدة" sheetId="6" r:id="R648f73e13203498f"/>
    <x:sheet xmlns:r="http://schemas.openxmlformats.org/officeDocument/2006/relationships" name="قوائم مرجعية" sheetId="7" r:id="R6b1345934af74d60"/>
    <x:sheet xmlns:r="http://schemas.openxmlformats.org/officeDocument/2006/relationships" name="عينات" sheetId="8" r:id="Rf44a5a698691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0000"/>
    <x:numFmt numFmtId="203" formatCode="0000000000"/>
  </x:numFmts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123047"/>
      <x:name val="Carlito"/>
    </x:font>
    <x:font>
      <x:b/>
      <x:sz val="16"/>
      <x:color rgb="FFFFFFFF"/>
      <x:name val="Arial"/>
    </x:font>
    <x:font>
      <x:sz val="10"/>
      <x:color rgb="FF475569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23047"/>
      <x:name val="Arial"/>
    </x:font>
    <x:font>
      <x:sz val="9"/>
      <x:color rgb="FF334155"/>
      <x:name val="Carlito"/>
    </x:font>
    <x:font>
      <x:b/>
      <x:sz val="10"/>
      <x:color rgb="FF123047"/>
      <x:name val="Carlito"/>
    </x:font>
    <x:font>
      <x:b/>
      <x:sz val="10"/>
      <x:color rgb="FFFFFFFF"/>
      <x:name val="Carlito"/>
    </x:font>
    <x:font>
      <x:sz val="11"/>
      <x:color rgb="FFBE123C"/>
      <x:name val="Carlito"/>
    </x:font>
    <x:font>
      <x:sz val="9"/>
      <x:color rgb="FF334155"/>
      <x:name val="Arial"/>
    </x:font>
    <x:font>
      <x:b/>
      <x:sz val="10"/>
      <x:color rgb="FF123047"/>
      <x:name val="Arial"/>
    </x:font>
    <x:font>
      <x:b/>
      <x:sz val="10"/>
      <x:color rgb="FFFFFFFF"/>
      <x:name val="Arial"/>
    </x:font>
    <x:font>
      <x:sz val="11"/>
      <x:color rgb="FFBE123C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3E8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ECFCCB"/>
      </x:patternFill>
    </x:fill>
    <x:fill>
      <x:patternFill patternType="solid">
        <x:fgColor rgb="FFFFE4E6"/>
      </x:patternFill>
    </x:fill>
    <x:fill>
      <x:patternFill patternType="solid">
        <x:fgColor rgb="FFFED7AA"/>
      </x:patternFill>
    </x:fill>
    <x:fill>
      <x:patternFill patternType="solid">
        <x:fgColor rgb="FFBE123C"/>
      </x:patternFill>
    </x:fill>
    <x:fill>
      <x:patternFill patternType="solid">
        <x:fgColor rgb="FFCCFBF1"/>
      </x:patternFill>
    </x:fill>
    <x:fill>
      <x:patternFill patternType="solid">
        <x:fgColor rgb="FFE0E7FF"/>
      </x:patternFill>
    </x:fill>
    <x:fill>
      <x:patternFill patternType="solid">
        <x:fgColor rgb="FFFCE7F3"/>
      </x:patternFill>
    </x:fill>
    <x:fill>
      <x:patternFill patternType="solid">
        <x:fgColor rgb="FF1D4ED8"/>
      </x:patternFill>
    </x:fill>
    <x:fill>
      <x:patternFill patternType="solid">
        <x:fgColor rgb="FF15803D"/>
      </x:patternFill>
    </x:fill>
    <x:fill>
      <x:patternFill patternType="solid">
        <x:fgColor rgb="FFB45309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99F6E4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99F6E4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99F6E4"/>
      </x:bottom>
    </x:border>
  </x:borders>
  <x:cellStyleXfs count="1">
    <x:xf numFmtId="0" fontId="0" fillId="0" borderId="0"/>
  </x:cellStyleXfs>
  <x:cellXfs count="3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3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/>
    </x:xf>
    <x:xf numFmtId="0" fontId="11" fillId="3" borderId="5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3" xfId="0" applyNumberFormat="1" applyFont="1" applyFill="1" applyBorder="1"/>
    <x:xf numFmtId="0" fontId="11" fillId="7" borderId="5" xfId="0" applyNumberFormat="1" applyFont="1" applyFill="1" applyBorder="1"/>
    <x:xf numFmtId="0" fontId="11" fillId="7" borderId="3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3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3" xfId="0" applyNumberFormat="1" applyFont="1" applyFill="1" applyBorder="1" applyAlignment="1">
      <x:alignment horizontal="center"/>
    </x:xf>
    <x:xf numFmtId="0" fontId="11" fillId="8" borderId="4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3" xfId="0" applyNumberFormat="1" applyFont="1" applyFill="1" applyBorder="1" applyAlignment="1">
      <x:alignment horizontal="center"/>
    </x:xf>
    <x:xf numFmtId="0" fontId="11" fillId="9" borderId="4" xfId="0" applyNumberFormat="1" applyFont="1" applyFill="1" applyBorder="1" applyAlignment="1">
      <x:alignment horizontal="center"/>
    </x:xf>
    <x:xf numFmtId="0" fontId="11" fillId="9" borderId="5" xfId="0" applyNumberFormat="1" applyFont="1" applyFill="1" applyBorder="1" applyAlignment="1">
      <x:alignment horizontal="center"/>
    </x:xf>
    <x:xf numFmtId="0" fontId="11" fillId="9" borderId="3" xfId="0" applyNumberFormat="1" applyFont="1" applyFill="1" applyBorder="1" applyAlignment="1">
      <x:alignment horizontal="center" vertical="center"/>
    </x:xf>
    <x:xf numFmtId="0" fontId="11" fillId="9" borderId="4" xfId="0" applyNumberFormat="1" applyFont="1" applyFill="1" applyBorder="1" applyAlignment="1">
      <x:alignment horizontal="center" vertical="center"/>
    </x:xf>
    <x:xf numFmtId="0" fontId="11" fillId="9" borderId="5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1" xfId="0" applyNumberFormat="1" applyFont="1" applyFill="1" applyBorder="1"/>
    <x:xf numFmtId="0" fontId="11" fillId="10" borderId="1" xfId="0" applyNumberFormat="1" applyFont="1" applyFill="1" applyBorder="1" applyAlignment="1">
      <x:alignment horizontal="center"/>
    </x:xf>
    <x:xf numFmtId="0" fontId="11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3" xfId="0" applyNumberFormat="1" applyFont="1" applyFill="1" applyBorder="1"/>
    <x:xf numFmtId="0" fontId="11" fillId="11" borderId="4" xfId="0" applyNumberFormat="1" applyFont="1" applyFill="1" applyBorder="1"/>
    <x:xf numFmtId="0" fontId="11" fillId="11" borderId="5" xfId="0" applyNumberFormat="1" applyFont="1" applyFill="1" applyBorder="1"/>
    <x:xf numFmtId="0" fontId="11" fillId="11" borderId="3" xfId="0" applyNumberFormat="1" applyFont="1" applyFill="1" applyBorder="1" applyAlignment="1">
      <x:alignment horizontal="center"/>
    </x:xf>
    <x:xf numFmtId="0" fontId="11" fillId="11" borderId="4" xfId="0" applyNumberFormat="1" applyFont="1" applyFill="1" applyBorder="1" applyAlignment="1">
      <x:alignment horizontal="center"/>
    </x:xf>
    <x:xf numFmtId="0" fontId="11" fillId="11" borderId="5" xfId="0" applyNumberFormat="1" applyFont="1" applyFill="1" applyBorder="1" applyAlignment="1">
      <x:alignment horizontal="center"/>
    </x:xf>
    <x:xf numFmtId="0" fontId="11" fillId="11" borderId="3" xfId="0" applyNumberFormat="1" applyFont="1" applyFill="1" applyBorder="1" applyAlignment="1">
      <x:alignment horizontal="center" vertical="center"/>
    </x:xf>
    <x:xf numFmtId="0" fontId="11" fillId="11" borderId="4" xfId="0" applyNumberFormat="1" applyFont="1" applyFill="1" applyBorder="1" applyAlignment="1">
      <x:alignment horizontal="center" vertical="center"/>
    </x:xf>
    <x:xf numFmtId="0" fontId="11" fillId="11" borderId="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3" xfId="0" applyNumberFormat="1" applyFont="1" applyFill="1" applyBorder="1"/>
    <x:xf numFmtId="0" fontId="11" fillId="12" borderId="4" xfId="0" applyNumberFormat="1" applyFont="1" applyFill="1" applyBorder="1"/>
    <x:xf numFmtId="0" fontId="11" fillId="12" borderId="5" xfId="0" applyNumberFormat="1" applyFont="1" applyFill="1" applyBorder="1"/>
    <x:xf numFmtId="0" fontId="11" fillId="12" borderId="3" xfId="0" applyNumberFormat="1" applyFont="1" applyFill="1" applyBorder="1" applyAlignment="1">
      <x:alignment horizontal="center"/>
    </x:xf>
    <x:xf numFmtId="0" fontId="11" fillId="12" borderId="4" xfId="0" applyNumberFormat="1" applyFont="1" applyFill="1" applyBorder="1" applyAlignment="1">
      <x:alignment horizontal="center"/>
    </x:xf>
    <x:xf numFmtId="0" fontId="11" fillId="12" borderId="5" xfId="0" applyNumberFormat="1" applyFont="1" applyFill="1" applyBorder="1" applyAlignment="1">
      <x:alignment horizontal="center"/>
    </x:xf>
    <x:xf numFmtId="0" fontId="11" fillId="12" borderId="3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11" fillId="12" borderId="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3" xfId="0" applyNumberFormat="1" applyFont="1" applyFill="1" applyBorder="1"/>
    <x:xf numFmtId="0" fontId="11" fillId="13" borderId="4" xfId="0" applyNumberFormat="1" applyFont="1" applyFill="1" applyBorder="1"/>
    <x:xf numFmtId="0" fontId="11" fillId="13" borderId="5" xfId="0" applyNumberFormat="1" applyFont="1" applyFill="1" applyBorder="1"/>
    <x:xf numFmtId="0" fontId="11" fillId="13" borderId="3" xfId="0" applyNumberFormat="1" applyFont="1" applyFill="1" applyBorder="1" applyAlignment="1">
      <x:alignment horizontal="center"/>
    </x:xf>
    <x:xf numFmtId="0" fontId="11" fillId="13" borderId="4" xfId="0" applyNumberFormat="1" applyFont="1" applyFill="1" applyBorder="1" applyAlignment="1">
      <x:alignment horizontal="center"/>
    </x:xf>
    <x:xf numFmtId="0" fontId="11" fillId="13" borderId="5" xfId="0" applyNumberFormat="1" applyFont="1" applyFill="1" applyBorder="1" applyAlignment="1">
      <x:alignment horizontal="center"/>
    </x:xf>
    <x:xf numFmtId="0" fontId="11" fillId="13" borderId="3" xfId="0" applyNumberFormat="1" applyFont="1" applyFill="1" applyBorder="1" applyAlignment="1">
      <x:alignment horizontal="center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11" fillId="13" borderId="5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4" xfId="0" applyNumberFormat="1" applyFont="1" applyFill="1" applyBorder="1"/>
    <x:xf numFmtId="0" fontId="11" fillId="6" borderId="5" xfId="0" applyNumberFormat="1" applyFont="1" applyFill="1" applyBorder="1"/>
    <x:xf numFmtId="0" fontId="11" fillId="6" borderId="3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3" xfId="0" applyNumberFormat="1" applyFont="1" applyFill="1" applyBorder="1"/>
    <x:xf numFmtId="0" fontId="11" fillId="14" borderId="4" xfId="0" applyNumberFormat="1" applyFont="1" applyFill="1" applyBorder="1"/>
    <x:xf numFmtId="0" fontId="11" fillId="14" borderId="5" xfId="0" applyNumberFormat="1" applyFont="1" applyFill="1" applyBorder="1"/>
    <x:xf numFmtId="0" fontId="11" fillId="14" borderId="3" xfId="0" applyNumberFormat="1" applyFont="1" applyFill="1" applyBorder="1" applyAlignment="1">
      <x:alignment horizontal="center"/>
    </x:xf>
    <x:xf numFmtId="0" fontId="11" fillId="14" borderId="4" xfId="0" applyNumberFormat="1" applyFont="1" applyFill="1" applyBorder="1" applyAlignment="1">
      <x:alignment horizontal="center"/>
    </x:xf>
    <x:xf numFmtId="0" fontId="11" fillId="14" borderId="5" xfId="0" applyNumberFormat="1" applyFont="1" applyFill="1" applyBorder="1" applyAlignment="1">
      <x:alignment horizontal="center"/>
    </x:xf>
    <x:xf numFmtId="0" fontId="11" fillId="14" borderId="3" xfId="0" applyNumberFormat="1" applyFont="1" applyFill="1" applyBorder="1" applyAlignment="1">
      <x:alignment horizontal="center" vertical="center"/>
    </x:xf>
    <x:xf numFmtId="0" fontId="11" fillId="14" borderId="4" xfId="0" applyNumberFormat="1" applyFont="1" applyFill="1" applyBorder="1" applyAlignment="1">
      <x:alignment horizontal="center" vertical="center"/>
    </x:xf>
    <x:xf numFmtId="0" fontId="11" fillId="14" borderId="5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6" xfId="0" applyNumberFormat="1" applyFont="1" applyFill="1" applyBorder="1"/>
    <x:xf numFmtId="0" fontId="12" fillId="4" borderId="6" xfId="0" applyNumberFormat="1" applyFont="1" applyFill="1" applyBorder="1" applyAlignment="1">
      <x:alignment wrapText="1"/>
    </x:xf>
    <x:xf numFmtId="0" fontId="12" fillId="4" borderId="6" xfId="0" applyNumberFormat="1" applyFont="1" applyFill="1" applyBorder="1" applyAlignment="1">
      <x:alignment horizont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0" fontId="12" fillId="4" borderId="8" xfId="0" applyNumberFormat="1" applyFont="1" applyFill="1" applyBorder="1" applyAlignment="1">
      <x:alignment horizontal="center" vertical="center" wrapText="1"/>
    </x:xf>
    <x:xf numFmtId="0" fontId="12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0" fontId="0" fillId="0" borderId="2" xfId="0" applyNumberFormat="1" applyFont="1" applyFill="1" applyBorder="1"/>
    <x:xf numFmtId="200" fontId="0" fillId="0" borderId="13" xfId="0" applyNumberFormat="1" applyFont="1" applyFill="1" applyBorder="1"/>
    <x:xf numFmtId="201" fontId="0" fillId="0" borderId="2" xfId="0" applyNumberFormat="1" applyFont="1" applyFill="1" applyBorder="1"/>
    <x:xf numFmtId="201" fontId="0" fillId="0" borderId="13" xfId="0" applyNumberFormat="1" applyFont="1" applyFill="1" applyBorder="1"/>
    <x:xf numFmtId="202" fontId="0" fillId="0" borderId="2" xfId="0" applyNumberFormat="1" applyFont="1" applyFill="1" applyBorder="1"/>
    <x:xf numFmtId="202" fontId="0" fillId="0" borderId="13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2" fillId="15" borderId="7" xfId="0" applyNumberFormat="1" applyFont="1" applyFill="1" applyBorder="1" applyAlignment="1">
      <x:alignment horizontal="center" vertical="center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/>
    <x:xf numFmtId="0" fontId="15" fillId="3" borderId="3" xfId="0" applyNumberFormat="1" applyFont="1" applyFill="1" applyBorder="1" applyAlignment="1">
      <x:alignment horizontal="center" vertical="center"/>
    </x:xf>
    <x:xf numFmtId="0" fontId="15" fillId="3" borderId="4" xfId="0" applyNumberFormat="1" applyFont="1" applyFill="1" applyBorder="1" applyAlignment="1">
      <x:alignment horizontal="center" vertical="center"/>
    </x:xf>
    <x:xf numFmtId="0" fontId="15" fillId="3" borderId="5" xfId="0" applyNumberFormat="1" applyFont="1" applyFill="1" applyBorder="1" applyAlignment="1">
      <x:alignment horizontal="center" vertical="center"/>
    </x:xf>
    <x:xf numFmtId="0" fontId="15" fillId="7" borderId="3" xfId="0" applyNumberFormat="1" applyFont="1" applyFill="1" applyBorder="1" applyAlignment="1">
      <x:alignment horizontal="center" vertical="center"/>
    </x:xf>
    <x:xf numFmtId="0" fontId="15" fillId="7" borderId="5" xfId="0" applyNumberFormat="1" applyFont="1" applyFill="1" applyBorder="1" applyAlignment="1">
      <x:alignment horizontal="center" vertical="center"/>
    </x:xf>
    <x:xf numFmtId="0" fontId="15" fillId="8" borderId="3" xfId="0" applyNumberFormat="1" applyFont="1" applyFill="1" applyBorder="1" applyAlignment="1">
      <x:alignment horizontal="center" vertical="center"/>
    </x:xf>
    <x:xf numFmtId="0" fontId="15" fillId="8" borderId="4" xfId="0" applyNumberFormat="1" applyFont="1" applyFill="1" applyBorder="1" applyAlignment="1">
      <x:alignment horizontal="center" vertical="center"/>
    </x:xf>
    <x:xf numFmtId="0" fontId="15" fillId="8" borderId="5" xfId="0" applyNumberFormat="1" applyFont="1" applyFill="1" applyBorder="1" applyAlignment="1">
      <x:alignment horizontal="center" vertical="center"/>
    </x:xf>
    <x:xf numFmtId="0" fontId="15" fillId="9" borderId="3" xfId="0" applyNumberFormat="1" applyFont="1" applyFill="1" applyBorder="1" applyAlignment="1">
      <x:alignment horizontal="center" vertical="center"/>
    </x:xf>
    <x:xf numFmtId="0" fontId="15" fillId="9" borderId="4" xfId="0" applyNumberFormat="1" applyFont="1" applyFill="1" applyBorder="1" applyAlignment="1">
      <x:alignment horizontal="center" vertical="center"/>
    </x:xf>
    <x:xf numFmtId="0" fontId="15" fillId="9" borderId="5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15" fillId="10" borderId="1" xfId="0" applyNumberFormat="1" applyFont="1" applyFill="1" applyBorder="1" applyAlignment="1">
      <x:alignment horizontal="center" vertical="center"/>
    </x:xf>
    <x:xf numFmtId="0" fontId="15" fillId="11" borderId="3" xfId="0" applyNumberFormat="1" applyFont="1" applyFill="1" applyBorder="1" applyAlignment="1">
      <x:alignment horizontal="center" vertical="center"/>
    </x:xf>
    <x:xf numFmtId="0" fontId="15" fillId="11" borderId="4" xfId="0" applyNumberFormat="1" applyFont="1" applyFill="1" applyBorder="1" applyAlignment="1">
      <x:alignment horizontal="center" vertical="center"/>
    </x:xf>
    <x:xf numFmtId="0" fontId="15" fillId="11" borderId="5" xfId="0" applyNumberFormat="1" applyFont="1" applyFill="1" applyBorder="1" applyAlignment="1">
      <x:alignment horizontal="center" vertical="center"/>
    </x:xf>
    <x:xf numFmtId="0" fontId="15" fillId="12" borderId="3" xfId="0" applyNumberFormat="1" applyFont="1" applyFill="1" applyBorder="1" applyAlignment="1">
      <x:alignment horizontal="center" vertical="center"/>
    </x:xf>
    <x:xf numFmtId="0" fontId="15" fillId="12" borderId="4" xfId="0" applyNumberFormat="1" applyFont="1" applyFill="1" applyBorder="1" applyAlignment="1">
      <x:alignment horizontal="center" vertical="center"/>
    </x:xf>
    <x:xf numFmtId="0" fontId="15" fillId="12" borderId="5" xfId="0" applyNumberFormat="1" applyFont="1" applyFill="1" applyBorder="1" applyAlignment="1">
      <x:alignment horizontal="center" vertical="center"/>
    </x:xf>
    <x:xf numFmtId="0" fontId="15" fillId="13" borderId="3" xfId="0" applyNumberFormat="1" applyFont="1" applyFill="1" applyBorder="1" applyAlignment="1">
      <x:alignment horizontal="center" vertical="center"/>
    </x:xf>
    <x:xf numFmtId="0" fontId="15" fillId="13" borderId="4" xfId="0" applyNumberFormat="1" applyFont="1" applyFill="1" applyBorder="1" applyAlignment="1">
      <x:alignment horizontal="center" vertical="center"/>
    </x:xf>
    <x:xf numFmtId="0" fontId="15" fillId="13" borderId="5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6" borderId="4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/>
    </x:xf>
    <x:xf numFmtId="0" fontId="15" fillId="14" borderId="3" xfId="0" applyNumberFormat="1" applyFont="1" applyFill="1" applyBorder="1" applyAlignment="1">
      <x:alignment horizontal="center" vertical="center"/>
    </x:xf>
    <x:xf numFmtId="0" fontId="15" fillId="14" borderId="4" xfId="0" applyNumberFormat="1" applyFont="1" applyFill="1" applyBorder="1" applyAlignment="1">
      <x:alignment horizontal="center" vertical="center"/>
    </x:xf>
    <x:xf numFmtId="0" fontId="15" fillId="14" borderId="5" xfId="0" applyNumberFormat="1" applyFont="1" applyFill="1" applyBorder="1" applyAlignment="1">
      <x:alignment horizontal="center" vertical="center"/>
    </x:xf>
    <x:xf numFmtId="0" fontId="16" fillId="15" borderId="7" xfId="0" applyNumberFormat="1" applyFont="1" applyFill="1" applyBorder="1" applyAlignment="1">
      <x:alignment horizontal="center" vertical="center" wrapText="1"/>
    </x:xf>
    <x:xf numFmtId="0" fontId="16" fillId="15" borderId="8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202" fontId="7" fillId="0" borderId="2" xfId="0" applyNumberFormat="1" applyFont="1" applyFill="1" applyBorder="1" applyAlignment="1">
      <x:alignment vertical="top" wrapText="1"/>
    </x:xf>
    <x:xf numFmtId="0" fontId="17" fillId="0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200" fontId="7" fillId="0" borderId="13" xfId="0" applyNumberFormat="1" applyFont="1" applyFill="1" applyBorder="1" applyAlignment="1">
      <x:alignment vertical="top" wrapText="1"/>
    </x:xf>
    <x:xf numFmtId="201" fontId="7" fillId="0" borderId="13" xfId="0" applyNumberFormat="1" applyFont="1" applyFill="1" applyBorder="1" applyAlignment="1">
      <x:alignment vertical="top" wrapText="1"/>
    </x:xf>
    <x:xf numFmtId="202" fontId="7" fillId="0" borderId="13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3" xfId="0" applyNumberFormat="1" applyFont="1" applyFill="1" applyBorder="1"/>
    <x:xf numFmtId="0" fontId="11" fillId="16" borderId="4" xfId="0" applyNumberFormat="1" applyFont="1" applyFill="1" applyBorder="1"/>
    <x:xf numFmtId="0" fontId="11" fillId="16" borderId="5" xfId="0" applyNumberFormat="1" applyFont="1" applyFill="1" applyBorder="1"/>
    <x:xf numFmtId="0" fontId="11" fillId="16" borderId="3" xfId="0" applyNumberFormat="1" applyFont="1" applyFill="1" applyBorder="1" applyAlignment="1">
      <x:alignment horizontal="center"/>
    </x:xf>
    <x:xf numFmtId="0" fontId="11" fillId="16" borderId="4" xfId="0" applyNumberFormat="1" applyFont="1" applyFill="1" applyBorder="1" applyAlignment="1">
      <x:alignment horizontal="center"/>
    </x:xf>
    <x:xf numFmtId="0" fontId="11" fillId="16" borderId="5" xfId="0" applyNumberFormat="1" applyFont="1" applyFill="1" applyBorder="1" applyAlignment="1">
      <x:alignment horizontal="center"/>
    </x:xf>
    <x:xf numFmtId="0" fontId="11" fillId="16" borderId="3" xfId="0" applyNumberFormat="1" applyFont="1" applyFill="1" applyBorder="1" applyAlignment="1">
      <x:alignment horizontal="center" vertical="center"/>
    </x:xf>
    <x:xf numFmtId="0" fontId="11" fillId="16" borderId="4" xfId="0" applyNumberFormat="1" applyFont="1" applyFill="1" applyBorder="1" applyAlignment="1">
      <x:alignment horizontal="center" vertical="center"/>
    </x:xf>
    <x:xf numFmtId="0" fontId="11" fillId="16" borderId="5" xfId="0" applyNumberFormat="1" applyFont="1" applyFill="1" applyBorder="1" applyAlignment="1">
      <x:alignment horizontal="center" vertical="center"/>
    </x:xf>
    <x:xf numFmtId="203" fontId="0" fillId="0" borderId="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3" fillId="0" borderId="11" xfId="0" applyNumberFormat="1" applyFont="1" applyFill="1" applyBorder="1" applyAlignment="1">
      <x:alignment wrapText="1"/>
    </x:xf>
    <x:xf numFmtId="0" fontId="13" fillId="0" borderId="14" xfId="0" applyNumberFormat="1" applyFont="1" applyFill="1" applyBorder="1" applyAlignment="1">
      <x:alignment wrapText="1"/>
    </x:xf>
    <x:xf numFmtId="0" fontId="15" fillId="16" borderId="3" xfId="0" applyNumberFormat="1" applyFont="1" applyFill="1" applyBorder="1" applyAlignment="1">
      <x:alignment horizontal="center" vertical="center"/>
    </x:xf>
    <x:xf numFmtId="0" fontId="15" fillId="16" borderId="4" xfId="0" applyNumberFormat="1" applyFont="1" applyFill="1" applyBorder="1" applyAlignment="1">
      <x:alignment horizontal="center" vertical="center"/>
    </x:xf>
    <x:xf numFmtId="0" fontId="15" fillId="16" borderId="5" xfId="0" applyNumberFormat="1" applyFont="1" applyFill="1" applyBorder="1" applyAlignment="1">
      <x:alignment horizontal="center" vertical="center"/>
    </x:xf>
    <x:xf numFmtId="0" fontId="7" fillId="0" borderId="10" xfId="0" applyNumberFormat="1" applyFont="1" applyFill="1" applyBorder="1" applyAlignment="1">
      <x:alignment wrapText="1"/>
    </x:xf>
    <x:xf numFmtId="20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203" fontId="7" fillId="0" borderId="2" xfId="0" applyNumberFormat="1" applyFont="1" applyFill="1" applyBorder="1" applyAlignment="1">
      <x:alignment wrapText="1"/>
    </x:xf>
    <x:xf numFmtId="0" fontId="1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200" fontId="7" fillId="0" borderId="13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17" fillId="0" borderId="14" xfId="0" applyNumberFormat="1" applyFont="1" applyFill="1" applyBorder="1" applyAlignment="1">
      <x:alignment wrapText="1"/>
    </x:xf>
    <x:xf numFmtId="0" fontId="11" fillId="10" borderId="3" xfId="0" applyNumberFormat="1" applyFont="1" applyFill="1" applyBorder="1"/>
    <x:xf numFmtId="0" fontId="11" fillId="10" borderId="4" xfId="0" applyNumberFormat="1" applyFont="1" applyFill="1" applyBorder="1"/>
    <x:xf numFmtId="0" fontId="11" fillId="10" borderId="5" xfId="0" applyNumberFormat="1" applyFont="1" applyFill="1" applyBorder="1"/>
    <x:xf numFmtId="0" fontId="11" fillId="10" borderId="3" xfId="0" applyNumberFormat="1" applyFont="1" applyFill="1" applyBorder="1" applyAlignment="1">
      <x:alignment horizontal="center"/>
    </x:xf>
    <x:xf numFmtId="0" fontId="11" fillId="10" borderId="4" xfId="0" applyNumberFormat="1" applyFont="1" applyFill="1" applyBorder="1" applyAlignment="1">
      <x:alignment horizontal="center"/>
    </x:xf>
    <x:xf numFmtId="0" fontId="11" fillId="10" borderId="5" xfId="0" applyNumberFormat="1" applyFont="1" applyFill="1" applyBorder="1" applyAlignment="1">
      <x:alignment horizontal="center"/>
    </x:xf>
    <x:xf numFmtId="0" fontId="11" fillId="10" borderId="3" xfId="0" applyNumberFormat="1" applyFont="1" applyFill="1" applyBorder="1" applyAlignment="1">
      <x:alignment horizontal="center" vertical="center"/>
    </x:xf>
    <x:xf numFmtId="0" fontId="11" fillId="10" borderId="4" xfId="0" applyNumberFormat="1" applyFont="1" applyFill="1" applyBorder="1" applyAlignment="1">
      <x:alignment horizontal="center" vertical="center"/>
    </x:xf>
    <x:xf numFmtId="0" fontId="11" fillId="10" borderId="5" xfId="0" applyNumberFormat="1" applyFont="1" applyFill="1" applyBorder="1" applyAlignment="1">
      <x:alignment horizontal="center" vertical="center"/>
    </x:xf>
    <x:xf numFmtId="0" fontId="15" fillId="10" borderId="3" xfId="0" applyNumberFormat="1" applyFont="1" applyFill="1" applyBorder="1" applyAlignment="1">
      <x:alignment horizontal="center" vertical="center"/>
    </x:xf>
    <x:xf numFmtId="0" fontId="15" fillId="10" borderId="4" xfId="0" applyNumberFormat="1" applyFont="1" applyFill="1" applyBorder="1" applyAlignment="1">
      <x:alignment horizontal="center" vertical="center"/>
    </x:xf>
    <x:xf numFmtId="0" fontId="15" fillId="10" borderId="5" xfId="0" applyNumberFormat="1" applyFont="1" applyFill="1" applyBorder="1" applyAlignment="1">
      <x:alignment horizontal="center" vertical="center"/>
    </x:xf>
    <x:xf numFmtId="201" fontId="7" fillId="0" borderId="2" xfId="0" applyNumberFormat="1" applyFont="1" applyFill="1" applyBorder="1" applyAlignment="1">
      <x:alignment wrapText="1"/>
    </x:xf>
    <x:xf numFmtId="201" fontId="7" fillId="0" borderId="13" xfId="0" applyNumberFormat="1" applyFont="1" applyFill="1" applyBorder="1" applyAlignment="1">
      <x:alignment wrapText="1"/>
    </x:xf>
    <x:xf numFmtId="0" fontId="11" fillId="7" borderId="4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1" xfId="0" applyNumberFormat="1" applyFont="1" applyFill="1" applyBorder="1"/>
    <x:xf numFmtId="0" fontId="11" fillId="17" borderId="1" xfId="0" applyNumberFormat="1" applyFont="1" applyFill="1" applyBorder="1" applyAlignment="1">
      <x:alignment horizontal="center"/>
    </x:xf>
    <x:xf numFmtId="0" fontId="11" fillId="17" borderId="1" xfId="0" applyNumberFormat="1" applyFont="1" applyFill="1" applyBorder="1" applyAlignment="1">
      <x:alignment horizontal="center" vertical="center"/>
    </x:xf>
    <x:xf numFmtId="0" fontId="11" fillId="12" borderId="1" xfId="0" applyNumberFormat="1" applyFont="1" applyFill="1" applyBorder="1"/>
    <x:xf numFmtId="0" fontId="11" fillId="12" borderId="1" xfId="0" applyNumberFormat="1" applyFont="1" applyFill="1" applyBorder="1" applyAlignment="1">
      <x:alignment horizont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3" xfId="0" applyNumberFormat="1" applyFont="1" applyFill="1" applyBorder="1"/>
    <x:xf numFmtId="0" fontId="11" fillId="18" borderId="4" xfId="0" applyNumberFormat="1" applyFont="1" applyFill="1" applyBorder="1"/>
    <x:xf numFmtId="0" fontId="11" fillId="18" borderId="5" xfId="0" applyNumberFormat="1" applyFont="1" applyFill="1" applyBorder="1"/>
    <x:xf numFmtId="0" fontId="11" fillId="18" borderId="3" xfId="0" applyNumberFormat="1" applyFont="1" applyFill="1" applyBorder="1" applyAlignment="1">
      <x:alignment horizontal="center"/>
    </x:xf>
    <x:xf numFmtId="0" fontId="11" fillId="18" borderId="4" xfId="0" applyNumberFormat="1" applyFont="1" applyFill="1" applyBorder="1" applyAlignment="1">
      <x:alignment horizontal="center"/>
    </x:xf>
    <x:xf numFmtId="0" fontId="11" fillId="18" borderId="5" xfId="0" applyNumberFormat="1" applyFont="1" applyFill="1" applyBorder="1" applyAlignment="1">
      <x:alignment horizontal="center"/>
    </x:xf>
    <x:xf numFmtId="0" fontId="11" fillId="18" borderId="3" xfId="0" applyNumberFormat="1" applyFont="1" applyFill="1" applyBorder="1" applyAlignment="1">
      <x:alignment horizontal="center" vertical="center"/>
    </x:xf>
    <x:xf numFmtId="0" fontId="11" fillId="18" borderId="4" xfId="0" applyNumberFormat="1" applyFont="1" applyFill="1" applyBorder="1" applyAlignment="1">
      <x:alignment horizontal="center" vertical="center"/>
    </x:xf>
    <x:xf numFmtId="0" fontId="11" fillId="18" borderId="5" xfId="0" applyNumberFormat="1" applyFont="1" applyFill="1" applyBorder="1" applyAlignment="1">
      <x:alignment horizontal="center" vertical="center"/>
    </x:xf>
    <x:xf numFmtId="0" fontId="15" fillId="7" borderId="4" xfId="0" applyNumberFormat="1" applyFont="1" applyFill="1" applyBorder="1" applyAlignment="1">
      <x:alignment horizontal="center" vertical="center"/>
    </x:xf>
    <x:xf numFmtId="0" fontId="15" fillId="17" borderId="1" xfId="0" applyNumberFormat="1" applyFont="1" applyFill="1" applyBorder="1" applyAlignment="1">
      <x:alignment horizontal="center" vertical="center"/>
    </x:xf>
    <x:xf numFmtId="0" fontId="15" fillId="12" borderId="1" xfId="0" applyNumberFormat="1" applyFont="1" applyFill="1" applyBorder="1" applyAlignment="1">
      <x:alignment horizontal="center" vertical="center"/>
    </x:xf>
    <x:xf numFmtId="0" fontId="15" fillId="18" borderId="3" xfId="0" applyNumberFormat="1" applyFont="1" applyFill="1" applyBorder="1" applyAlignment="1">
      <x:alignment horizontal="center" vertical="center"/>
    </x:xf>
    <x:xf numFmtId="0" fontId="15" fillId="18" borderId="4" xfId="0" applyNumberFormat="1" applyFont="1" applyFill="1" applyBorder="1" applyAlignment="1">
      <x:alignment horizontal="center" vertical="center"/>
    </x:xf>
    <x:xf numFmtId="0" fontId="15" fillId="18" borderId="5" xfId="0" applyNumberFormat="1" applyFont="1" applyFill="1" applyBorder="1" applyAlignment="1">
      <x:alignment horizontal="center" vertical="center"/>
    </x:xf>
    <x:xf numFmtId="200" fontId="7" fillId="0" borderId="10" xfId="0" applyNumberFormat="1" applyFont="1" applyFill="1" applyBorder="1" applyAlignment="1">
      <x:alignment wrapText="1"/>
    </x:xf>
    <x:xf numFmtId="200" fontId="7" fillId="0" borderId="12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1" xfId="0" applyNumberFormat="1" applyFont="1" applyFill="1" applyBorder="1"/>
    <x:xf numFmtId="0" fontId="0" fillId="5" borderId="2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1" xfId="0" applyNumberFormat="1" applyFont="1" applyFill="1" applyBorder="1"/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1" xfId="0" applyNumberFormat="1" applyFont="1" applyFill="1" applyBorder="1"/>
    <x:xf numFmtId="0" fontId="8" fillId="19" borderId="1" xfId="0" applyNumberFormat="1" applyFont="1" applyFill="1" applyBorder="1"/>
    <x:xf numFmtId="0" fontId="8" fillId="20" borderId="1" xfId="0" applyNumberFormat="1" applyFont="1" applyFill="1" applyBorder="1"/>
    <x:xf numFmtId="0" fontId="8" fillId="21" borderId="1" xfId="0" applyNumberFormat="1" applyFont="1" applyFill="1" applyBorder="1"/>
    <x:xf numFmtId="0" fontId="9" fillId="5" borderId="2" xfId="0" applyNumberFormat="1" applyFont="1" applyFill="1" applyBorder="1"/>
    <x:xf numFmtId="0" fontId="7" fillId="5" borderId="2" xfId="0" applyNumberFormat="1" applyFont="1" applyFill="1" applyBorder="1"/>
  </x:cellXfs>
  <x:cellStyles count="1">
    <x:cellStyle name="Normal" xfId="0"/>
  </x:cellStyles>
  <x:dxfs count="16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cdf9510194817" /><Relationship Type="http://schemas.openxmlformats.org/officeDocument/2006/relationships/theme" Target="/xl/theme/theme1.xml" Id="R5350057ad6944cbe" /><Relationship Type="http://schemas.openxmlformats.org/officeDocument/2006/relationships/sharedStrings" Target="/xl/sharedStrings.xml" Id="R7966de918e4d41f9" /><Relationship Type="http://schemas.openxmlformats.org/officeDocument/2006/relationships/worksheet" Target="/xl/worksheets/sheet1.xml" Id="Rc248944dc3d0490a" /><Relationship Type="http://schemas.openxmlformats.org/officeDocument/2006/relationships/worksheet" Target="/xl/worksheets/sheet2.xml" Id="R363d876110ea4e17" /><Relationship Type="http://schemas.openxmlformats.org/officeDocument/2006/relationships/worksheet" Target="/xl/worksheets/sheet3.xml" Id="Rff79d47d7b3543fd" /><Relationship Type="http://schemas.openxmlformats.org/officeDocument/2006/relationships/worksheet" Target="/xl/worksheets/sheet4.xml" Id="R2fa86c147a7a4605" /><Relationship Type="http://schemas.openxmlformats.org/officeDocument/2006/relationships/worksheet" Target="/xl/worksheets/sheet5.xml" Id="Rf77a700a2c074ae9" /><Relationship Type="http://schemas.openxmlformats.org/officeDocument/2006/relationships/worksheet" Target="/xl/worksheets/sheet6.xml" Id="R648f73e13203498f" /><Relationship Type="http://schemas.openxmlformats.org/officeDocument/2006/relationships/worksheet" Target="/xl/worksheets/sheet7.xml" Id="R6b1345934af74d60" /><Relationship Type="http://schemas.openxmlformats.org/officeDocument/2006/relationships/worksheet" Target="/xl/worksheets/sheet8.xml" Id="Rf44a5a6986914cae" /></Relationships>
</file>

<file path=xl/tables/table1.xml><?xml version="1.0" encoding="utf-8"?>
<x:table xmlns:x="http://schemas.openxmlformats.org/spreadsheetml/2006/main" id="1" name="CustomersImportTemplateV4" displayName="CustomersImportTemplateV4" ref="A5:BB505" headerRowCount="1" totalsRowCount="0" totalsRowShown="0">
  <x:autoFilter ref="A5:BB505"/>
  <x:tableColumns count="54">
    <x:tableColumn id="1" name="مفتاح الزبون للهجرة"/>
    <x:tableColumn id="2" name="إجراء الاستيراد"/>
    <x:tableColumn id="3" name="ID النظام القديم"/>
    <x:tableColumn id="4" name="مصدر/جدول قديم"/>
    <x:tableColumn id="5" name="تاريخ الإنشاء الأصلي"/>
    <x:tableColumn id="6" name="ID الفرع"/>
    <x:tableColumn id="7" name="اسم الفرع للمراجعة"/>
    <x:tableColumn id="8" name="الاسم الأول"/>
    <x:tableColumn id="9" name="اسم الأب"/>
    <x:tableColumn id="10" name="الكنية/العائلة"/>
    <x:tableColumn id="11" name="اللقب"/>
    <x:tableColumn id="12" name="الاسم الكامل - تلقائي"/>
    <x:tableColumn id="13" name="ID المحافظة"/>
    <x:tableColumn id="14" name="اسم المحافظة"/>
    <x:tableColumn id="15" name="ID المنطقة"/>
    <x:tableColumn id="16" name="اسم المنطقة"/>
    <x:tableColumn id="17" name="ID الناحية"/>
    <x:tableColumn id="18" name="اسم الناحية"/>
    <x:tableColumn id="19" name="ID الحي"/>
    <x:tableColumn id="20" name="اسم الحي"/>
    <x:tableColumn id="21" name="ID الموقع النهائي - تلقائي"/>
    <x:tableColumn id="22" name="اسم الموقع النهائي - تلقائي"/>
    <x:tableColumn id="23" name="معلومات الموقع / قديم"/>
    <x:tableColumn id="24" name="العنوان التفصيلي"/>
    <x:tableColumn id="25" name="وضوح العنوان"/>
    <x:tableColumn id="26" name="GPS خط العرض"/>
    <x:tableColumn id="27" name="GPS خط الطول"/>
    <x:tableColumn id="28" name="IDs المستخدمين المسندين"/>
    <x:tableColumn id="29" name="حالة المرشح داخل الزبون"/>
    <x:tableColumn id="30" name="الجنس"/>
    <x:tableColumn id="31" name="تاريخ الميلاد"/>
    <x:tableColumn id="32" name="اسم الأم"/>
    <x:tableColumn id="33" name="الرقم الوطني"/>
    <x:tableColumn id="34" name="القيد/السجل"/>
    <x:tableColumn id="35" name="جهة الإصدار"/>
    <x:tableColumn id="36" name="تاريخ الإصدار"/>
    <x:tableColumn id="37" name="الخانة"/>
    <x:tableColumn id="38" name="المهنة"/>
    <x:tableColumn id="39" name="مهنة الزوج/الزوجة"/>
    <x:tableColumn id="40" name="مصدر المياه"/>
    <x:tableColumn id="41" name="جودة البيانات"/>
    <x:tableColumn id="42" name="التقييم"/>
    <x:tableColumn id="43" name="عدم التواصل"/>
    <x:tableColumn id="44" name="إيقاف التواصل حتى"/>
    <x:tableColumn id="45" name="سبب إيقاف التواصل"/>
    <x:tableColumn id="46" name="ملاحظات"/>
    <x:tableColumn id="47" name="حالة التنظيف"/>
    <x:tableColumn id="48" name="ملاحظات التنظيف"/>
    <x:tableColumn id="49" name="الوجهة النهائية"/>
    <x:tableColumn id="50" name="سبب النقل لاسم مقترح"/>
    <x:tableColumn id="51" name="مفتاح الاسم المقترح"/>
    <x:tableColumn id="52" name="ملاحظات قرار الفرز"/>
    <x:tableColumn id="53" name="حالة الصف - تلقائي"/>
    <x:tableColumn id="54" name="مشاكل الصف - تلقائ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yContactsTemplateV4" displayName="EntityContactsTemplateV4" ref="A5:N505" headerRowCount="1" totalsRowCount="0" totalsRowShown="0">
  <x:autoFilter ref="A5:N505"/>
  <x:tableColumns count="14">
    <x:tableColumn id="1" name="نوع السجل"/>
    <x:tableColumn id="2" name="مفتاح السجل"/>
    <x:tableColumn id="3" name="ترتيب الرقم"/>
    <x:tableColumn id="4" name="نوع الرقم"/>
    <x:tableColumn id="5" name="الرقم"/>
    <x:tableColumn id="6" name="رمز المنطقة"/>
    <x:tableColumn id="7" name="وصف الرقم"/>
    <x:tableColumn id="8" name="واتساب"/>
    <x:tableColumn id="9" name="أساسي؟"/>
    <x:tableColumn id="10" name="حالة الرقم"/>
    <x:tableColumn id="11" name="حالة التنظيف"/>
    <x:tableColumn id="12" name="ملاحظات"/>
    <x:tableColumn id="13" name="حالة الصف - تلقائي"/>
    <x:tableColumn id="14" name="مشاكل الصف - تلقائي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tityReferrersTemplateV4" displayName="EntityReferrersTemplateV4" ref="A5:Q505" headerRowCount="1" totalsRowCount="0" totalsRowShown="0">
  <x:autoFilter ref="A5:Q505"/>
  <x:tableColumns count="17">
    <x:tableColumn id="1" name="نوع السجل"/>
    <x:tableColumn id="2" name="مفتاح السجل"/>
    <x:tableColumn id="3" name="ترتيب الوسيط"/>
    <x:tableColumn id="4" name="أساسي؟"/>
    <x:tableColumn id="5" name="نوع الوسيط"/>
    <x:tableColumn id="6" name="قناة المصدر"/>
    <x:tableColumn id="7" name="ID الوسيط إن وجد"/>
    <x:tableColumn id="8" name="اسم الوسيط"/>
    <x:tableColumn id="9" name="تاريخ الإحالة"/>
    <x:tableColumn id="10" name="سبب/تفصيل الإحالة"/>
    <x:tableColumn id="11" name="رقم دفتر/ورقة الإحالة"/>
    <x:tableColumn id="12" name="عنوان الوسيط/المصدر"/>
    <x:tableColumn id="13" name="حالة تأكيد الإحالة"/>
    <x:tableColumn id="14" name="ملاحظات الوسيط"/>
    <x:tableColumn id="15" name="حالة التنظيف"/>
    <x:tableColumn id="16" name="حالة الصف - تلقائي"/>
    <x:tableColumn id="17" name="مشاكل الصف - تلقائ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posedNamesImportTemplateV4" displayName="ProposedNamesImportTemplateV4" ref="A5:AE505" headerRowCount="1" totalsRowCount="0" totalsRowShown="0">
  <x:autoFilter ref="A5:AE505"/>
  <x:tableColumns count="31">
    <x:tableColumn id="1" name="مفتاح الاسم المقترح"/>
    <x:tableColumn id="2" name="مفتاح الزبون المصدر"/>
    <x:tableColumn id="3" name="إجراء الاسم المقترح"/>
    <x:tableColumn id="4" name="سبب النقل"/>
    <x:tableColumn id="5" name="مستوى الثقة"/>
    <x:tableColumn id="6" name="ID النظام القديم"/>
    <x:tableColumn id="7" name="مصدر/جدول قديم"/>
    <x:tableColumn id="8" name="تاريخ الإنشاء الأصلي"/>
    <x:tableColumn id="9" name="ID الفرع"/>
    <x:tableColumn id="10" name="اسم الفرع للمراجعة"/>
    <x:tableColumn id="11" name="ID المالك/المتابع"/>
    <x:tableColumn id="12" name="الاسم الأول"/>
    <x:tableColumn id="13" name="الكنية/العائلة"/>
    <x:tableColumn id="14" name="اللقب"/>
    <x:tableColumn id="15" name="الاسم الكامل - تلقائي"/>
    <x:tableColumn id="16" name="العنوان النصي"/>
    <x:tableColumn id="17" name="معلومات الموقع / قديم"/>
    <x:tableColumn id="18" name="ID الموقع إن حسم"/>
    <x:tableColumn id="19" name="اسم الموقع للمراجعة"/>
    <x:tableColumn id="20" name="وضوح العنوان"/>
    <x:tableColumn id="21" name="حالة الاسم المقترح"/>
    <x:tableColumn id="22" name="المهنة"/>
    <x:tableColumn id="23" name="اشتباه تكرار"/>
    <x:tableColumn id="24" name="نوع التكرار"/>
    <x:tableColumn id="25" name="ID مرجع التكرار"/>
    <x:tableColumn id="26" name="مفتاح مرجع التكرار"/>
    <x:tableColumn id="27" name="ملاحظات الاسم المقترح"/>
    <x:tableColumn id="28" name="حالة صف المصدر - تلقائي"/>
    <x:tableColumn id="29" name="مشاكل صف المصدر - تلقائي"/>
    <x:tableColumn id="30" name="حالة الاسم - تلقائي"/>
    <x:tableColumn id="31" name="مشاكل الاسم - تلقائي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lumnDictionaryV4" displayName="ColumnDictionaryV4" ref="A5:H121" headerRowCount="1" totalsRowCount="0" totalsRowShown="0">
  <x:autoFilter ref="A5:H121"/>
  <x:tableColumns count="8">
    <x:tableColumn id="1" name="الشيت"/>
    <x:tableColumn id="2" name="القسم"/>
    <x:tableColumn id="3" name="المفتاح التقني"/>
    <x:tableColumn id="4" name="العنوان"/>
    <x:tableColumn id="5" name="الإلزام"/>
    <x:tableColumn id="6" name="الوجهة"/>
    <x:tableColumn id="7" name="القيم المقبولة"/>
    <x:tableColumn id="8" name="ملاحظات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AllowedValuesV3" displayName="AllowedValuesV3" ref="A5:D77" headerRowCount="1" totalsRowCount="0" totalsRowShown="0">
  <x:tableColumns count="4">
    <x:tableColumn id="1" name="القائمة"/>
    <x:tableColumn id="2" name="القيمة"/>
    <x:tableColumn id="3" name="شرح عربي"/>
    <x:tableColumn id="4" name="ملاحظات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ranchesReferenceV3" displayName="BranchesReferenceV3" ref="F5:I40" headerRowCount="1" totalsRowCount="0" totalsRowShown="0">
  <x:tableColumns count="4">
    <x:tableColumn id="1" name="branch_id"/>
    <x:tableColumn id="2" name="branch_name"/>
    <x:tableColumn id="3" name="status"/>
    <x:tableColumn id="4" name="notes"/>
  </x:tableColumns>
  <x:tableStyleInfo name="TableStyleMedium5" showFirstColumn="0" showLastColumn="0" showRowStripes="1" showColumnStripes="0"/>
</x:table>
</file>

<file path=xl/tables/table8.xml><?xml version="1.0" encoding="utf-8"?>
<x:table xmlns:x="http://schemas.openxmlformats.org/spreadsheetml/2006/main" id="8" name="GeoUnitsReferenceV3" displayName="GeoUnitsReferenceV3" ref="K5:Q100" headerRowCount="1" totalsRowCount="0" totalsRowShown="0">
  <x:tableColumns count="7">
    <x:tableColumn id="1" name="geo_unit_id"/>
    <x:tableColumn id="2" name="name"/>
    <x:tableColumn id="3" name="level"/>
    <x:tableColumn id="4" name="parent_id"/>
    <x:tableColumn id="5" name="parent_name"/>
    <x:tableColumn id="6" name="status"/>
    <x:tableColumn id="7" name="covered_branch_id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AssignableUsersReferenceV3" displayName="AssignableUsersReferenceV3" ref="S5:W60" headerRowCount="1" totalsRowCount="0" totalsRowShown="0">
  <x:tableColumns count="5">
    <x:tableColumn id="1" name="hr_user_id"/>
    <x:tableColumn id="2" name="name"/>
    <x:tableColumn id="3" name="branch_id"/>
    <x:tableColumn id="4" name="role"/>
    <x:tableColumn id="5" name="assignable_notes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c2266e586a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1a5fd99fc4e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2b85e5fad147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ba7fae224248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35579be74241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cd9ec9162a4ddb" /><Relationship Type="http://schemas.openxmlformats.org/officeDocument/2006/relationships/table" Target="/xl/tables/table7.xml" Id="Rccdfed7e4416477c" /><Relationship Type="http://schemas.openxmlformats.org/officeDocument/2006/relationships/table" Target="/xl/tables/table8.xml" Id="R096862fa398f44f7" /><Relationship Type="http://schemas.openxmlformats.org/officeDocument/2006/relationships/table" Target="/xl/tables/table9.xml" Id="R0ae2640cb1f148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6" hidden="0" customWidth="1"/>
    <x:col min="3" max="3" width="66" hidden="0" customWidth="1"/>
    <x:col min="4" max="4" width="4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24" t="str">
        <x:v>قالب تهجير بيانات الزبائن - V4</x:v>
      </x:c>
      <x:c r="B1" s="24" t="str">
        <x:v>قالب تهجير بيانات الزبائن - V4</x:v>
      </x:c>
      <x:c r="C1" s="24" t="str">
        <x:v>قالب تهجير بيانات الزبائن - V4</x:v>
      </x:c>
      <x:c r="D1" s="24" t="str">
        <x:v>قالب تهجير بيانات الزبائن - V4</x:v>
      </x:c>
      <x:c r="E1" s="24" t="str">
        <x:v>قالب تهجير بيانات الزبائن - V4</x:v>
      </x:c>
      <x:c r="F1" s="24" t="str">
        <x:v>قالب تهجير بيانات الزبائن - V4</x:v>
      </x:c>
      <x:c r="G1" s="24" t="str">
        <x:v>قالب تهجير بيانات الزبائن - V4</x:v>
      </x:c>
      <x:c r="H1" s="24" t="str">
        <x:v>قالب تهجير بيانات الزبائن - V4</x:v>
      </x:c>
    </x:row>
    <x:row r="2" ht="28" customHeight="1">
      <x:c r="A2" s="25" t="str">
        <x:v>نسخة منظمة: الزبون في صف واحد، وكل أرقام التواصل والوسطاء في شيتات مستقلة. حقول الداتا القديمة موجودة للتدقيق فقط.</x:v>
      </x:c>
      <x:c r="B2" s="25" t="str">
        <x:v>نسخة منظمة: الزبون في صف واحد، وكل أرقام التواصل والوسطاء في شيتات مستقلة. حقول الداتا القديمة موجودة للتدقيق فقط.</x:v>
      </x:c>
      <x:c r="C2" s="25" t="str">
        <x:v>نسخة منظمة: الزبون في صف واحد، وكل أرقام التواصل والوسطاء في شيتات مستقلة. حقول الداتا القديمة موجودة للتدقيق فقط.</x:v>
      </x:c>
      <x:c r="D2" s="25" t="str">
        <x:v>نسخة منظمة: الزبون في صف واحد، وكل أرقام التواصل والوسطاء في شيتات مستقلة. حقول الداتا القديمة موجودة للتدقيق فقط.</x:v>
      </x:c>
      <x:c r="E2" s="25" t="str">
        <x:v>نسخة منظمة: الزبون في صف واحد، وكل أرقام التواصل والوسطاء في شيتات مستقلة. حقول الداتا القديمة موجودة للتدقيق فقط.</x:v>
      </x:c>
      <x:c r="F2" s="25" t="str">
        <x:v>نسخة منظمة: الزبون في صف واحد، وكل أرقام التواصل والوسطاء في شيتات مستقلة. حقول الداتا القديمة موجودة للتدقيق فقط.</x:v>
      </x:c>
      <x:c r="G2" s="25" t="str">
        <x:v>نسخة منظمة: الزبون في صف واحد، وكل أرقام التواصل والوسطاء في شيتات مستقلة. حقول الداتا القديمة موجودة للتدقيق فقط.</x:v>
      </x:c>
      <x:c r="H2" s="25" t="str">
        <x:v>نسخة منظمة: الزبون في صف واحد، وكل أرقام التواصل والوسطاء في شيتات مستقلة. حقول الداتا القديمة موجودة للتدقيق فقط.</x:v>
      </x:c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7" t="str">
        <x:v>الخطوة</x:v>
      </x:c>
      <x:c r="B4" s="27" t="str">
        <x:v>ما الذي يجب فعله</x:v>
      </x:c>
      <x:c r="C4" s="27" t="str">
        <x:v>لماذا مهم؟</x:v>
      </x:c>
      <x:c r="D4" s="26"/>
      <x:c r="E4" s="28" t="str">
        <x:v>قرارات الصف</x:v>
      </x:c>
      <x:c r="F4" s="28" t="str"/>
      <x:c r="G4" s="28" t="str"/>
      <x:c r="H4" s="28" t="str"/>
    </x:row>
    <x:row r="5">
      <x:c r="A5" s="29" t="str">
        <x:v>1</x:v>
      </x:c>
      <x:c r="B5" s="29" t="str">
        <x:v>املأ شيت الزبائن بصف واحد لكل زبون، بدون تكرار الرقم الأساسي أو الوسيط الأساسي داخله.</x:v>
      </x:c>
      <x:c r="C5" s="29" t="str">
        <x:v>حتى تبقى بيانات الهوية والعنوان منفصلة عن البيانات المتعددة.</x:v>
      </x:c>
      <x:c r="D5" s="26"/>
      <x:c r="E5" s="30" t="str">
        <x:v>READY</x:v>
      </x:c>
      <x:c r="F5" s="30" t="str">
        <x:v>جاهز للاستيراد كزبون أو اسم مقترح حسب الشيت.</x:v>
      </x:c>
      <x:c r="G5" s="30" t="str"/>
      <x:c r="H5" s="30" t="str"/>
    </x:row>
    <x:row r="6">
      <x:c r="A6" s="29" t="str">
        <x:v>2</x:v>
      </x:c>
      <x:c r="B6" s="29" t="str">
        <x:v>املأ شيت أرقام التواصل لكل أرقام الزبائن والأسماء المقترحة. استخدم entity_type و entity_key للربط.</x:v>
      </x:c>
      <x:c r="C6" s="29" t="str">
        <x:v>نفس الزبون يمكن أن يملك أكثر من رقم بدون أعمدة إضافية.</x:v>
      </x:c>
      <x:c r="D6" s="26"/>
      <x:c r="E6" s="30" t="str">
        <x:v>TO_PROPOSED</x:v>
      </x:c>
      <x:c r="F6" s="30" t="str">
        <x:v>صف زبون سينتقل إلى شيت أسماء مقترحة.</x:v>
      </x:c>
      <x:c r="G6" s="30" t="str"/>
      <x:c r="H6" s="30" t="str"/>
    </x:row>
    <x:row r="7">
      <x:c r="A7" s="29" t="str">
        <x:v>3</x:v>
      </x:c>
      <x:c r="B7" s="29" t="str">
        <x:v>ضع contact_order=1 لأول رقم. هذا الرقم يعتبر الأساسي حتى لو تركت is_primary فارغة.</x:v>
      </x:c>
      <x:c r="C7" s="29" t="str">
        <x:v>يلبي قاعدة أن القيمة الأولى هي الأساسية.</x:v>
      </x:c>
      <x:c r="D7" s="26"/>
      <x:c r="E7" s="30" t="str">
        <x:v>REVIEW</x:v>
      </x:c>
      <x:c r="F7" s="30" t="str">
        <x:v>ناقص أو فيه تعارض يحتاج تنظيف.</x:v>
      </x:c>
      <x:c r="G7" s="30" t="str"/>
      <x:c r="H7" s="30" t="str"/>
    </x:row>
    <x:row r="8">
      <x:c r="A8" s="29" t="str">
        <x:v>4</x:v>
      </x:c>
      <x:c r="B8" s="29" t="str">
        <x:v>املأ شيت الوسطاء بنفس الفكرة: referrer_order=1 هو الوسيط الأساسي.</x:v>
      </x:c>
      <x:c r="C8" s="29" t="str">
        <x:v>لا حاجة لتكرار الوسيط في شيت الزبائن وشيت آخر.</x:v>
      </x:c>
      <x:c r="D8" s="26"/>
      <x:c r="E8" s="30" t="str">
        <x:v>SKIP</x:v>
      </x:c>
      <x:c r="F8" s="30" t="str">
        <x:v>مستبعد بإرادة الفريق.</x:v>
      </x:c>
      <x:c r="G8" s="30" t="str"/>
      <x:c r="H8" s="30" t="str"/>
    </x:row>
    <x:row r="9">
      <x:c r="A9" s="29" t="str">
        <x:v>5</x:v>
      </x:c>
      <x:c r="B9" s="29" t="str">
        <x:v>العنوان صار أربع مستويات: محافظة، منطقة، ناحية، حي. final_geo_unit_id محسوب من أعمق ID متوفر.</x:v>
      </x:c>
      <x:c r="C9" s="29" t="str">
        <x:v>النظام الجغرافي لديه مستوى مستقل للحي، ويجب الحفاظ عليه في الهجرة.</x:v>
      </x:c>
      <x:c r="D9" s="26"/>
      <x:c r="E9" s="30" t="str">
        <x:v>قاعدة الأرقام</x:v>
      </x:c>
      <x:c r="F9" s="30" t="str">
        <x:v>أول رقم لكل entity_key هو الأساسي: contact_order=1.</x:v>
      </x:c>
      <x:c r="G9" s="30" t="str"/>
      <x:c r="H9" s="30" t="str"/>
    </x:row>
    <x:row r="10">
      <x:c r="A10" s="29" t="str">
        <x:v>6</x:v>
      </x:c>
      <x:c r="B10" s="29" t="str">
        <x:v>أي زبون غير مؤكد أو مكرر أو ناقص أو عنوانه غير واضح اجعل final_destination=proposed_name وضع proposed_name_key.</x:v>
      </x:c>
      <x:c r="C10" s="29" t="str">
        <x:v>يبقى السجل محفوظا كاسم مقترح بدل إدخاله كزبون ناقص.</x:v>
      </x:c>
      <x:c r="D10" s="26"/>
      <x:c r="E10" s="30" t="str">
        <x:v>قاعدة الوسطاء</x:v>
      </x:c>
      <x:c r="F10" s="30" t="str">
        <x:v>أول وسيط لكل entity_key هو الأساسي: referrer_order=1.</x:v>
      </x:c>
      <x:c r="G10" s="30" t="str"/>
      <x:c r="H10" s="30" t="str"/>
    </x:row>
    <x:row r="11">
      <x:c r="A11" s="29" t="str">
        <x:v>7</x:v>
      </x:c>
      <x:c r="B11" s="29" t="str">
        <x:v>في شيت أسماء مقترحة لا تدخل الرقم داخل الصف. ضع أرقامه في شيت أرقام التواصل مع entity_type=proposed_name.</x:v>
      </x:c>
      <x:c r="C11" s="29" t="str">
        <x:v>نفس نموذج الفصل والاختصار.</x:v>
      </x:c>
      <x:c r="D11" s="26"/>
      <x:c r="E11" s="30" t="str">
        <x:v>تاريخ القالب</x:v>
      </x:c>
      <x:c r="F11" s="30" t="str">
        <x:v>2026-07-05</x:v>
      </x:c>
      <x:c r="G11" s="30" t="str"/>
      <x:c r="H11" s="30" t="str"/>
    </x:row>
    <x:row r="12">
      <x:c r="A12" s="29" t="str">
        <x:v>8</x:v>
      </x:c>
      <x:c r="B12" s="29" t="str">
        <x:v>املأ original_created_at ومعلومات الموقع / قديم عند توفرها من النظام القديم.</x:v>
      </x:c>
      <x:c r="C12" s="29" t="str">
        <x:v>هذه حقول legacy للتدقيق والمطابقة ولا تحل محل IDs النهائية.</x:v>
      </x:c>
      <x:c r="D12" s="26"/>
      <x:c r="E12" s="30" t="str">
        <x:v>نطاق الصفوف</x:v>
      </x:c>
      <x:c r="F12" s="30" t="str">
        <x:v>6-505</x:v>
      </x:c>
      <x:c r="G12" s="30" t="str"/>
      <x:c r="H12" s="30" t="str"/>
    </x:row>
    <x:row r="13">
      <x:c r="A13" s="29" t="str">
        <x:v>9</x:v>
      </x:c>
      <x:c r="B13" s="29" t="str">
        <x:v>راجع row_status و row_issues. استورد فقط READY أو TO_PROPOSED حسب المسار.</x:v>
      </x:c>
      <x:c r="C13" s="29" t="str">
        <x:v>يقلل أخطاء الاستيراد قبل لمس قاعدة البيانات.</x:v>
      </x:c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</x:sheetData>
  <x:mergeCells>
    <x:mergeCell ref="A1:H1"/>
    <x:mergeCell ref="A2:H2"/>
    <x:mergeCell ref="E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0" hidden="0" customWidth="1"/>
    <x:col min="5" max="5" width="10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28" hidden="0" customWidth="1"/>
    <x:col min="12" max="12" width="12" hidden="0" customWidth="1"/>
    <x:col min="13" max="13" width="18" hidden="0" customWidth="1"/>
    <x:col min="14" max="14" width="12" hidden="0" customWidth="1"/>
    <x:col min="15" max="15" width="18" hidden="0" customWidth="1"/>
    <x:col min="16" max="16" width="12" hidden="0" customWidth="1"/>
    <x:col min="17" max="17" width="18" hidden="0" customWidth="1"/>
    <x:col min="18" max="18" width="12" hidden="0" customWidth="1"/>
    <x:col min="19" max="19" width="18" hidden="0" customWidth="1"/>
    <x:col min="20" max="20" width="16" hidden="0" customWidth="1"/>
    <x:col min="21" max="21" width="22" hidden="0" customWidth="1"/>
    <x:col min="22" max="22" width="38" hidden="0" customWidth="1"/>
    <x:col min="23" max="23" width="14" hidden="0" customWidth="1"/>
    <x:col min="24" max="24" width="12" hidden="0" customWidth="1"/>
    <x:col min="25" max="25" width="12" hidden="0" customWidth="1"/>
    <x:col min="26" max="26" width="20" hidden="0" customWidth="1"/>
    <x:col min="27" max="27" width="12" hidden="0" customWidth="1"/>
    <x:col min="28" max="28" width="16" hidden="0" customWidth="1"/>
    <x:col min="29" max="29" width="16" hidden="0" customWidth="1"/>
    <x:col min="30" max="30" width="12" hidden="0" customWidth="1"/>
    <x:col min="31" max="31" width="14" hidden="0" customWidth="1"/>
    <x:col min="32" max="32" width="18" hidden="0" customWidth="1"/>
    <x:col min="33" max="33" width="18" hidden="0" customWidth="1"/>
    <x:col min="34" max="34" width="16" hidden="0" customWidth="1"/>
    <x:col min="35" max="35" width="18" hidden="0" customWidth="1"/>
    <x:col min="36" max="36" width="14" hidden="0" customWidth="1"/>
    <x:col min="37" max="37" width="12" hidden="0" customWidth="1"/>
    <x:col min="38" max="38" width="18" hidden="0" customWidth="1"/>
    <x:col min="39" max="39" width="18" hidden="0" customWidth="1"/>
    <x:col min="40" max="40" width="18" hidden="0" customWidth="1"/>
    <x:col min="41" max="41" width="16" hidden="0" customWidth="1"/>
    <x:col min="42" max="42" width="16" hidden="0" customWidth="1"/>
    <x:col min="43" max="43" width="12" hidden="0" customWidth="1"/>
    <x:col min="44" max="44" width="14" hidden="0" customWidth="1"/>
    <x:col min="45" max="45" width="20" hidden="0" customWidth="1"/>
    <x:col min="46" max="46" width="38" hidden="0" customWidth="1"/>
    <x:col min="47" max="47" width="18" hidden="0" customWidth="1"/>
    <x:col min="48" max="48" width="34" hidden="0" customWidth="1"/>
    <x:col min="49" max="49" width="18" hidden="0" customWidth="1"/>
    <x:col min="50" max="50" width="24" hidden="0" customWidth="1"/>
    <x:col min="51" max="51" width="22" hidden="0" customWidth="1"/>
    <x:col min="52" max="52" width="42" hidden="0" customWidth="1"/>
    <x:col min="53" max="53" width="16" hidden="0" customWidth="1"/>
    <x:col min="54" max="54" width="52" hidden="0" customWidth="1"/>
  </x:cols>
  <x:sheetData>
    <x:row r="1" ht="34" customHeight="1">
      <x:c r="A1" s="24" t="str">
        <x:v>الزبائن - قالب التنظيف والاستيراد V4</x:v>
      </x:c>
      <x:c r="B1" s="24" t="str">
        <x:v>الزبائن - قالب التنظيف والاستيراد V4</x:v>
      </x:c>
      <x:c r="C1" s="24" t="str">
        <x:v>الزبائن - قالب التنظيف والاستيراد V4</x:v>
      </x:c>
      <x:c r="D1" s="24" t="str">
        <x:v>الزبائن - قالب التنظيف والاستيراد V4</x:v>
      </x:c>
      <x:c r="E1" s="24" t="str">
        <x:v>الزبائن - قالب التنظيف والاستيراد V4</x:v>
      </x:c>
      <x:c r="F1" s="24" t="str">
        <x:v>الزبائن - قالب التنظيف والاستيراد V4</x:v>
      </x:c>
      <x:c r="G1" s="24" t="str">
        <x:v>الزبائن - قالب التنظيف والاستيراد V4</x:v>
      </x:c>
      <x:c r="H1" s="24" t="str">
        <x:v>الزبائن - قالب التنظيف والاستيراد V4</x:v>
      </x:c>
      <x:c r="I1" s="24" t="str">
        <x:v>الزبائن - قالب التنظيف والاستيراد V4</x:v>
      </x:c>
      <x:c r="J1" s="24" t="str">
        <x:v>الزبائن - قالب التنظيف والاستيراد V4</x:v>
      </x:c>
      <x:c r="K1" s="24" t="str">
        <x:v>الزبائن - قالب التنظيف والاستيراد V4</x:v>
      </x:c>
      <x:c r="L1" s="24" t="str">
        <x:v>الزبائن - قالب التنظيف والاستيراد V4</x:v>
      </x:c>
      <x:c r="M1" s="24" t="str">
        <x:v>الزبائن - قالب التنظيف والاستيراد V4</x:v>
      </x:c>
      <x:c r="N1" s="24" t="str">
        <x:v>الزبائن - قالب التنظيف والاستيراد V4</x:v>
      </x:c>
      <x:c r="O1" s="24" t="str">
        <x:v>الزبائن - قالب التنظيف والاستيراد V4</x:v>
      </x:c>
      <x:c r="P1" s="24" t="str">
        <x:v>الزبائن - قالب التنظيف والاستيراد V4</x:v>
      </x:c>
      <x:c r="Q1" s="24" t="str">
        <x:v>الزبائن - قالب التنظيف والاستيراد V4</x:v>
      </x:c>
      <x:c r="R1" s="24" t="str">
        <x:v>الزبائن - قالب التنظيف والاستيراد V4</x:v>
      </x:c>
      <x:c r="S1" s="24" t="str">
        <x:v>الزبائن - قالب التنظيف والاستيراد V4</x:v>
      </x:c>
      <x:c r="T1" s="24" t="str">
        <x:v>الزبائن - قالب التنظيف والاستيراد V4</x:v>
      </x:c>
      <x:c r="U1" s="24" t="str">
        <x:v>الزبائن - قالب التنظيف والاستيراد V4</x:v>
      </x:c>
      <x:c r="V1" s="24" t="str">
        <x:v>الزبائن - قالب التنظيف والاستيراد V4</x:v>
      </x:c>
      <x:c r="W1" s="24" t="str">
        <x:v>الزبائن - قالب التنظيف والاستيراد V4</x:v>
      </x:c>
      <x:c r="X1" s="24" t="str">
        <x:v>الزبائن - قالب التنظيف والاستيراد V4</x:v>
      </x:c>
      <x:c r="Y1" s="24" t="str">
        <x:v>الزبائن - قالب التنظيف والاستيراد V4</x:v>
      </x:c>
      <x:c r="Z1" s="24" t="str">
        <x:v>الزبائن - قالب التنظيف والاستيراد V4</x:v>
      </x:c>
      <x:c r="AA1" s="24" t="str">
        <x:v>الزبائن - قالب التنظيف والاستيراد V4</x:v>
      </x:c>
      <x:c r="AB1" s="24" t="str">
        <x:v>الزبائن - قالب التنظيف والاستيراد V4</x:v>
      </x:c>
      <x:c r="AC1" s="24" t="str">
        <x:v>الزبائن - قالب التنظيف والاستيراد V4</x:v>
      </x:c>
      <x:c r="AD1" s="24" t="str">
        <x:v>الزبائن - قالب التنظيف والاستيراد V4</x:v>
      </x:c>
      <x:c r="AE1" s="24" t="str">
        <x:v>الزبائن - قالب التنظيف والاستيراد V4</x:v>
      </x:c>
      <x:c r="AF1" s="24" t="str">
        <x:v>الزبائن - قالب التنظيف والاستيراد V4</x:v>
      </x:c>
      <x:c r="AG1" s="24" t="str">
        <x:v>الزبائن - قالب التنظيف والاستيراد V4</x:v>
      </x:c>
      <x:c r="AH1" s="24" t="str">
        <x:v>الزبائن - قالب التنظيف والاستيراد V4</x:v>
      </x:c>
      <x:c r="AI1" s="24" t="str">
        <x:v>الزبائن - قالب التنظيف والاستيراد V4</x:v>
      </x:c>
      <x:c r="AJ1" s="24" t="str">
        <x:v>الزبائن - قالب التنظيف والاستيراد V4</x:v>
      </x:c>
      <x:c r="AK1" s="24" t="str">
        <x:v>الزبائن - قالب التنظيف والاستيراد V4</x:v>
      </x:c>
      <x:c r="AL1" s="24" t="str">
        <x:v>الزبائن - قالب التنظيف والاستيراد V4</x:v>
      </x:c>
      <x:c r="AM1" s="24" t="str">
        <x:v>الزبائن - قالب التنظيف والاستيراد V4</x:v>
      </x:c>
      <x:c r="AN1" s="24" t="str">
        <x:v>الزبائن - قالب التنظيف والاستيراد V4</x:v>
      </x:c>
      <x:c r="AO1" s="24" t="str">
        <x:v>الزبائن - قالب التنظيف والاستيراد V4</x:v>
      </x:c>
      <x:c r="AP1" s="24" t="str">
        <x:v>الزبائن - قالب التنظيف والاستيراد V4</x:v>
      </x:c>
      <x:c r="AQ1" s="24" t="str">
        <x:v>الزبائن - قالب التنظيف والاستيراد V4</x:v>
      </x:c>
      <x:c r="AR1" s="24" t="str">
        <x:v>الزبائن - قالب التنظيف والاستيراد V4</x:v>
      </x:c>
      <x:c r="AS1" s="24" t="str">
        <x:v>الزبائن - قالب التنظيف والاستيراد V4</x:v>
      </x:c>
      <x:c r="AT1" s="24" t="str">
        <x:v>الزبائن - قالب التنظيف والاستيراد V4</x:v>
      </x:c>
      <x:c r="AU1" s="24" t="str">
        <x:v>الزبائن - قالب التنظيف والاستيراد V4</x:v>
      </x:c>
      <x:c r="AV1" s="24" t="str">
        <x:v>الزبائن - قالب التنظيف والاستيراد V4</x:v>
      </x:c>
      <x:c r="AW1" s="24" t="str">
        <x:v>الزبائن - قالب التنظيف والاستيراد V4</x:v>
      </x:c>
      <x:c r="AX1" s="24" t="str">
        <x:v>الزبائن - قالب التنظيف والاستيراد V4</x:v>
      </x:c>
      <x:c r="AY1" s="24" t="str">
        <x:v>الزبائن - قالب التنظيف والاستيراد V4</x:v>
      </x:c>
      <x:c r="AZ1" s="24" t="str">
        <x:v>الزبائن - قالب التنظيف والاستيراد V4</x:v>
      </x:c>
      <x:c r="BA1" s="24" t="str">
        <x:v>الزبائن - قالب التنظيف والاستيراد V4</x:v>
      </x:c>
      <x:c r="BB1" s="24" t="str">
        <x:v>الزبائن - قالب التنظيف والاستيراد V4</x:v>
      </x:c>
    </x:row>
    <x:row r="2" ht="28" customHeight="1">
      <x:c r="A2" s="25" t="str">
        <x:v>صف واحد لكل زبون. أرقام التواصل والوسطاء في شيتات مستقلة، وحقول legacy للتدقيق على الداتا القديمة.</x:v>
      </x:c>
      <x:c r="B2" s="25" t="str">
        <x:v>صف واحد لكل زبون. أرقام التواصل والوسطاء في شيتات مستقلة، وحقول legacy للتدقيق على الداتا القديمة.</x:v>
      </x:c>
      <x:c r="C2" s="25" t="str">
        <x:v>صف واحد لكل زبون. أرقام التواصل والوسطاء في شيتات مستقلة، وحقول legacy للتدقيق على الداتا القديمة.</x:v>
      </x:c>
      <x:c r="D2" s="25" t="str">
        <x:v>صف واحد لكل زبون. أرقام التواصل والوسطاء في شيتات مستقلة، وحقول legacy للتدقيق على الداتا القديمة.</x:v>
      </x:c>
      <x:c r="E2" s="25" t="str">
        <x:v>صف واحد لكل زبون. أرقام التواصل والوسطاء في شيتات مستقلة، وحقول legacy للتدقيق على الداتا القديمة.</x:v>
      </x:c>
      <x:c r="F2" s="25" t="str">
        <x:v>صف واحد لكل زبون. أرقام التواصل والوسطاء في شيتات مستقلة، وحقول legacy للتدقيق على الداتا القديمة.</x:v>
      </x:c>
      <x:c r="G2" s="25" t="str">
        <x:v>صف واحد لكل زبون. أرقام التواصل والوسطاء في شيتات مستقلة، وحقول legacy للتدقيق على الداتا القديمة.</x:v>
      </x:c>
      <x:c r="H2" s="25" t="str">
        <x:v>صف واحد لكل زبون. أرقام التواصل والوسطاء في شيتات مستقلة، وحقول legacy للتدقيق على الداتا القديمة.</x:v>
      </x:c>
      <x:c r="I2" s="25" t="str">
        <x:v>صف واحد لكل زبون. أرقام التواصل والوسطاء في شيتات مستقلة، وحقول legacy للتدقيق على الداتا القديمة.</x:v>
      </x:c>
      <x:c r="J2" s="25" t="str">
        <x:v>صف واحد لكل زبون. أرقام التواصل والوسطاء في شيتات مستقلة، وحقول legacy للتدقيق على الداتا القديمة.</x:v>
      </x:c>
      <x:c r="K2" s="25" t="str">
        <x:v>صف واحد لكل زبون. أرقام التواصل والوسطاء في شيتات مستقلة، وحقول legacy للتدقيق على الداتا القديمة.</x:v>
      </x:c>
      <x:c r="L2" s="25" t="str">
        <x:v>صف واحد لكل زبون. أرقام التواصل والوسطاء في شيتات مستقلة، وحقول legacy للتدقيق على الداتا القديمة.</x:v>
      </x:c>
      <x:c r="M2" s="25" t="str">
        <x:v>صف واحد لكل زبون. أرقام التواصل والوسطاء في شيتات مستقلة، وحقول legacy للتدقيق على الداتا القديمة.</x:v>
      </x:c>
      <x:c r="N2" s="25" t="str">
        <x:v>صف واحد لكل زبون. أرقام التواصل والوسطاء في شيتات مستقلة، وحقول legacy للتدقيق على الداتا القديمة.</x:v>
      </x:c>
      <x:c r="O2" s="25" t="str">
        <x:v>صف واحد لكل زبون. أرقام التواصل والوسطاء في شيتات مستقلة، وحقول legacy للتدقيق على الداتا القديمة.</x:v>
      </x:c>
      <x:c r="P2" s="25" t="str">
        <x:v>صف واحد لكل زبون. أرقام التواصل والوسطاء في شيتات مستقلة، وحقول legacy للتدقيق على الداتا القديمة.</x:v>
      </x:c>
      <x:c r="Q2" s="25" t="str">
        <x:v>صف واحد لكل زبون. أرقام التواصل والوسطاء في شيتات مستقلة، وحقول legacy للتدقيق على الداتا القديمة.</x:v>
      </x:c>
      <x:c r="R2" s="25" t="str">
        <x:v>صف واحد لكل زبون. أرقام التواصل والوسطاء في شيتات مستقلة، وحقول legacy للتدقيق على الداتا القديمة.</x:v>
      </x:c>
      <x:c r="S2" s="25" t="str">
        <x:v>صف واحد لكل زبون. أرقام التواصل والوسطاء في شيتات مستقلة، وحقول legacy للتدقيق على الداتا القديمة.</x:v>
      </x:c>
      <x:c r="T2" s="25" t="str">
        <x:v>صف واحد لكل زبون. أرقام التواصل والوسطاء في شيتات مستقلة، وحقول legacy للتدقيق على الداتا القديمة.</x:v>
      </x:c>
      <x:c r="U2" s="25" t="str">
        <x:v>صف واحد لكل زبون. أرقام التواصل والوسطاء في شيتات مستقلة، وحقول legacy للتدقيق على الداتا القديمة.</x:v>
      </x:c>
      <x:c r="V2" s="25" t="str">
        <x:v>صف واحد لكل زبون. أرقام التواصل والوسطاء في شيتات مستقلة، وحقول legacy للتدقيق على الداتا القديمة.</x:v>
      </x:c>
      <x:c r="W2" s="25" t="str">
        <x:v>صف واحد لكل زبون. أرقام التواصل والوسطاء في شيتات مستقلة، وحقول legacy للتدقيق على الداتا القديمة.</x:v>
      </x:c>
      <x:c r="X2" s="25" t="str">
        <x:v>صف واحد لكل زبون. أرقام التواصل والوسطاء في شيتات مستقلة، وحقول legacy للتدقيق على الداتا القديمة.</x:v>
      </x:c>
      <x:c r="Y2" s="25" t="str">
        <x:v>صف واحد لكل زبون. أرقام التواصل والوسطاء في شيتات مستقلة، وحقول legacy للتدقيق على الداتا القديمة.</x:v>
      </x:c>
      <x:c r="Z2" s="25" t="str">
        <x:v>صف واحد لكل زبون. أرقام التواصل والوسطاء في شيتات مستقلة، وحقول legacy للتدقيق على الداتا القديمة.</x:v>
      </x:c>
      <x:c r="AA2" s="25" t="str">
        <x:v>صف واحد لكل زبون. أرقام التواصل والوسطاء في شيتات مستقلة، وحقول legacy للتدقيق على الداتا القديمة.</x:v>
      </x:c>
      <x:c r="AB2" s="25" t="str">
        <x:v>صف واحد لكل زبون. أرقام التواصل والوسطاء في شيتات مستقلة، وحقول legacy للتدقيق على الداتا القديمة.</x:v>
      </x:c>
      <x:c r="AC2" s="25" t="str">
        <x:v>صف واحد لكل زبون. أرقام التواصل والوسطاء في شيتات مستقلة، وحقول legacy للتدقيق على الداتا القديمة.</x:v>
      </x:c>
      <x:c r="AD2" s="25" t="str">
        <x:v>صف واحد لكل زبون. أرقام التواصل والوسطاء في شيتات مستقلة، وحقول legacy للتدقيق على الداتا القديمة.</x:v>
      </x:c>
      <x:c r="AE2" s="25" t="str">
        <x:v>صف واحد لكل زبون. أرقام التواصل والوسطاء في شيتات مستقلة، وحقول legacy للتدقيق على الداتا القديمة.</x:v>
      </x:c>
      <x:c r="AF2" s="25" t="str">
        <x:v>صف واحد لكل زبون. أرقام التواصل والوسطاء في شيتات مستقلة، وحقول legacy للتدقيق على الداتا القديمة.</x:v>
      </x:c>
      <x:c r="AG2" s="25" t="str">
        <x:v>صف واحد لكل زبون. أرقام التواصل والوسطاء في شيتات مستقلة، وحقول legacy للتدقيق على الداتا القديمة.</x:v>
      </x:c>
      <x:c r="AH2" s="25" t="str">
        <x:v>صف واحد لكل زبون. أرقام التواصل والوسطاء في شيتات مستقلة، وحقول legacy للتدقيق على الداتا القديمة.</x:v>
      </x:c>
      <x:c r="AI2" s="25" t="str">
        <x:v>صف واحد لكل زبون. أرقام التواصل والوسطاء في شيتات مستقلة، وحقول legacy للتدقيق على الداتا القديمة.</x:v>
      </x:c>
      <x:c r="AJ2" s="25" t="str">
        <x:v>صف واحد لكل زبون. أرقام التواصل والوسطاء في شيتات مستقلة، وحقول legacy للتدقيق على الداتا القديمة.</x:v>
      </x:c>
      <x:c r="AK2" s="25" t="str">
        <x:v>صف واحد لكل زبون. أرقام التواصل والوسطاء في شيتات مستقلة، وحقول legacy للتدقيق على الداتا القديمة.</x:v>
      </x:c>
      <x:c r="AL2" s="25" t="str">
        <x:v>صف واحد لكل زبون. أرقام التواصل والوسطاء في شيتات مستقلة، وحقول legacy للتدقيق على الداتا القديمة.</x:v>
      </x:c>
      <x:c r="AM2" s="25" t="str">
        <x:v>صف واحد لكل زبون. أرقام التواصل والوسطاء في شيتات مستقلة، وحقول legacy للتدقيق على الداتا القديمة.</x:v>
      </x:c>
      <x:c r="AN2" s="25" t="str">
        <x:v>صف واحد لكل زبون. أرقام التواصل والوسطاء في شيتات مستقلة، وحقول legacy للتدقيق على الداتا القديمة.</x:v>
      </x:c>
      <x:c r="AO2" s="25" t="str">
        <x:v>صف واحد لكل زبون. أرقام التواصل والوسطاء في شيتات مستقلة، وحقول legacy للتدقيق على الداتا القديمة.</x:v>
      </x:c>
      <x:c r="AP2" s="25" t="str">
        <x:v>صف واحد لكل زبون. أرقام التواصل والوسطاء في شيتات مستقلة، وحقول legacy للتدقيق على الداتا القديمة.</x:v>
      </x:c>
      <x:c r="AQ2" s="25" t="str">
        <x:v>صف واحد لكل زبون. أرقام التواصل والوسطاء في شيتات مستقلة، وحقول legacy للتدقيق على الداتا القديمة.</x:v>
      </x:c>
      <x:c r="AR2" s="25" t="str">
        <x:v>صف واحد لكل زبون. أرقام التواصل والوسطاء في شيتات مستقلة، وحقول legacy للتدقيق على الداتا القديمة.</x:v>
      </x:c>
      <x:c r="AS2" s="25" t="str">
        <x:v>صف واحد لكل زبون. أرقام التواصل والوسطاء في شيتات مستقلة، وحقول legacy للتدقيق على الداتا القديمة.</x:v>
      </x:c>
      <x:c r="AT2" s="25" t="str">
        <x:v>صف واحد لكل زبون. أرقام التواصل والوسطاء في شيتات مستقلة، وحقول legacy للتدقيق على الداتا القديمة.</x:v>
      </x:c>
      <x:c r="AU2" s="25" t="str">
        <x:v>صف واحد لكل زبون. أرقام التواصل والوسطاء في شيتات مستقلة، وحقول legacy للتدقيق على الداتا القديمة.</x:v>
      </x:c>
      <x:c r="AV2" s="25" t="str">
        <x:v>صف واحد لكل زبون. أرقام التواصل والوسطاء في شيتات مستقلة، وحقول legacy للتدقيق على الداتا القديمة.</x:v>
      </x:c>
      <x:c r="AW2" s="25" t="str">
        <x:v>صف واحد لكل زبون. أرقام التواصل والوسطاء في شيتات مستقلة، وحقول legacy للتدقيق على الداتا القديمة.</x:v>
      </x:c>
      <x:c r="AX2" s="25" t="str">
        <x:v>صف واحد لكل زبون. أرقام التواصل والوسطاء في شيتات مستقلة، وحقول legacy للتدقيق على الداتا القديمة.</x:v>
      </x:c>
      <x:c r="AY2" s="25" t="str">
        <x:v>صف واحد لكل زبون. أرقام التواصل والوسطاء في شيتات مستقلة، وحقول legacy للتدقيق على الداتا القديمة.</x:v>
      </x:c>
      <x:c r="AZ2" s="25" t="str">
        <x:v>صف واحد لكل زبون. أرقام التواصل والوسطاء في شيتات مستقلة، وحقول legacy للتدقيق على الداتا القديمة.</x:v>
      </x:c>
      <x:c r="BA2" s="25" t="str">
        <x:v>صف واحد لكل زبون. أرقام التواصل والوسطاء في شيتات مستقلة، وحقول legacy للتدقيق على الداتا القديمة.</x:v>
      </x:c>
      <x:c r="BB2" s="25" t="str">
        <x:v>صف واحد لكل زبون. أرقام التواصل والوسطاء في شيتات مستقلة، وحقول legacy للتدقيق على الداتا القديمة.</x:v>
      </x:c>
    </x:row>
    <x:row r="3">
      <x:c r="A3" s="186" t="str">
        <x:v>migration_customer_key</x:v>
      </x:c>
      <x:c r="B3" s="186" t="str">
        <x:v>import_action</x:v>
      </x:c>
      <x:c r="C3" s="186" t="str">
        <x:v>old_system_customer_id</x:v>
      </x:c>
      <x:c r="D3" s="186" t="str">
        <x:v>old_source_note</x:v>
      </x:c>
      <x:c r="E3" s="186" t="str">
        <x:v>original_created_at</x:v>
      </x:c>
      <x:c r="F3" s="186" t="str">
        <x:v>branch_id</x:v>
      </x:c>
      <x:c r="G3" s="186" t="str">
        <x:v>branch_name</x:v>
      </x:c>
      <x:c r="H3" s="186" t="str">
        <x:v>first_name</x:v>
      </x:c>
      <x:c r="I3" s="186" t="str">
        <x:v>father_name</x:v>
      </x:c>
      <x:c r="J3" s="186" t="str">
        <x:v>last_name</x:v>
      </x:c>
      <x:c r="K3" s="186" t="str">
        <x:v>nickname</x:v>
      </x:c>
      <x:c r="L3" s="186" t="str">
        <x:v>full_name_preview</x:v>
      </x:c>
      <x:c r="M3" s="186" t="str">
        <x:v>governorate_id</x:v>
      </x:c>
      <x:c r="N3" s="186" t="str">
        <x:v>governorate_name</x:v>
      </x:c>
      <x:c r="O3" s="186" t="str">
        <x:v>region_id</x:v>
      </x:c>
      <x:c r="P3" s="186" t="str">
        <x:v>region_name</x:v>
      </x:c>
      <x:c r="Q3" s="186" t="str">
        <x:v>sub_area_id</x:v>
      </x:c>
      <x:c r="R3" s="186" t="str">
        <x:v>sub_area_name</x:v>
      </x:c>
      <x:c r="S3" s="186" t="str">
        <x:v>neighborhood_id</x:v>
      </x:c>
      <x:c r="T3" s="186" t="str">
        <x:v>neighborhood_name</x:v>
      </x:c>
      <x:c r="U3" s="186" t="str">
        <x:v>final_geo_unit_id</x:v>
      </x:c>
      <x:c r="V3" s="186" t="str">
        <x:v>final_geo_unit_name</x:v>
      </x:c>
      <x:c r="W3" s="186" t="str">
        <x:v>legacy_location_info</x:v>
      </x:c>
      <x:c r="X3" s="186" t="str">
        <x:v>detailed_address</x:v>
      </x:c>
      <x:c r="Y3" s="186" t="str">
        <x:v>address_clarity</x:v>
      </x:c>
      <x:c r="Z3" s="186" t="str">
        <x:v>gps_lat</x:v>
      </x:c>
      <x:c r="AA3" s="186" t="str">
        <x:v>gps_lng</x:v>
      </x:c>
      <x:c r="AB3" s="186" t="str">
        <x:v>assignment_user_ids</x:v>
      </x:c>
      <x:c r="AC3" s="186" t="str">
        <x:v>candidate_status</x:v>
      </x:c>
      <x:c r="AD3" s="186" t="str">
        <x:v>gender</x:v>
      </x:c>
      <x:c r="AE3" s="186" t="str">
        <x:v>birth_date</x:v>
      </x:c>
      <x:c r="AF3" s="186" t="str">
        <x:v>mother_name</x:v>
      </x:c>
      <x:c r="AG3" s="186" t="str">
        <x:v>national_id</x:v>
      </x:c>
      <x:c r="AH3" s="186" t="str">
        <x:v>national_id_registry</x:v>
      </x:c>
      <x:c r="AI3" s="186" t="str">
        <x:v>national_id_issued_by</x:v>
      </x:c>
      <x:c r="AJ3" s="186" t="str">
        <x:v>national_id_issue_date</x:v>
      </x:c>
      <x:c r="AK3" s="186" t="str">
        <x:v>national_id_box</x:v>
      </x:c>
      <x:c r="AL3" s="186" t="str">
        <x:v>occupation</x:v>
      </x:c>
      <x:c r="AM3" s="186" t="str">
        <x:v>spouse_occupation</x:v>
      </x:c>
      <x:c r="AN3" s="186" t="str">
        <x:v>water_source</x:v>
      </x:c>
      <x:c r="AO3" s="186" t="str">
        <x:v>data_quality</x:v>
      </x:c>
      <x:c r="AP3" s="186" t="str">
        <x:v>rating</x:v>
      </x:c>
      <x:c r="AQ3" s="186" t="str">
        <x:v>do_not_contact</x:v>
      </x:c>
      <x:c r="AR3" s="186" t="str">
        <x:v>cooldown_until</x:v>
      </x:c>
      <x:c r="AS3" s="186" t="str">
        <x:v>cooldown_reason</x:v>
      </x:c>
      <x:c r="AT3" s="186" t="str">
        <x:v>notes</x:v>
      </x:c>
      <x:c r="AU3" s="186" t="str">
        <x:v>cleanup_status</x:v>
      </x:c>
      <x:c r="AV3" s="186" t="str">
        <x:v>cleanup_notes</x:v>
      </x:c>
      <x:c r="AW3" s="186" t="str">
        <x:v>final_destination</x:v>
      </x:c>
      <x:c r="AX3" s="186" t="str">
        <x:v>proposed_move_reason</x:v>
      </x:c>
      <x:c r="AY3" s="186" t="str">
        <x:v>proposed_name_key</x:v>
      </x:c>
      <x:c r="AZ3" s="186" t="str">
        <x:v>triage_decision_notes</x:v>
      </x:c>
      <x:c r="BA3" s="186" t="str">
        <x:v>row_status</x:v>
      </x:c>
      <x:c r="BB3" s="186" t="str">
        <x:v>row_issues</x:v>
      </x:c>
    </x:row>
    <x:row r="4">
      <x:c r="A4" s="187" t="str">
        <x:v>ربط الهجرة</x:v>
      </x:c>
      <x:c r="B4" s="188" t="str">
        <x:v>ربط الهجرة</x:v>
      </x:c>
      <x:c r="C4" s="188" t="str">
        <x:v>ربط الهجرة</x:v>
      </x:c>
      <x:c r="D4" s="188" t="str">
        <x:v>ربط الهجرة</x:v>
      </x:c>
      <x:c r="E4" s="189" t="str">
        <x:v>ربط الهجرة</x:v>
      </x:c>
      <x:c r="F4" s="190" t="str">
        <x:v>الفرع والملكية</x:v>
      </x:c>
      <x:c r="G4" s="191" t="str">
        <x:v>الفرع والملكية</x:v>
      </x:c>
      <x:c r="H4" s="192" t="str">
        <x:v>هوية الزبون</x:v>
      </x:c>
      <x:c r="I4" s="193" t="str">
        <x:v>هوية الزبون</x:v>
      </x:c>
      <x:c r="J4" s="193" t="str">
        <x:v>هوية الزبون</x:v>
      </x:c>
      <x:c r="K4" s="193" t="str">
        <x:v>هوية الزبون</x:v>
      </x:c>
      <x:c r="L4" s="194" t="str">
        <x:v>هوية الزبون</x:v>
      </x:c>
      <x:c r="M4" s="195" t="str">
        <x:v>العنوان - 4 مستويات</x:v>
      </x:c>
      <x:c r="N4" s="196" t="str">
        <x:v>العنوان - 4 مستويات</x:v>
      </x:c>
      <x:c r="O4" s="196" t="str">
        <x:v>العنوان - 4 مستويات</x:v>
      </x:c>
      <x:c r="P4" s="196" t="str">
        <x:v>العنوان - 4 مستويات</x:v>
      </x:c>
      <x:c r="Q4" s="196" t="str">
        <x:v>العنوان - 4 مستويات</x:v>
      </x:c>
      <x:c r="R4" s="196" t="str">
        <x:v>العنوان - 4 مستويات</x:v>
      </x:c>
      <x:c r="S4" s="196" t="str">
        <x:v>العنوان - 4 مستويات</x:v>
      </x:c>
      <x:c r="T4" s="196" t="str">
        <x:v>العنوان - 4 مستويات</x:v>
      </x:c>
      <x:c r="U4" s="196" t="str">
        <x:v>العنوان - 4 مستويات</x:v>
      </x:c>
      <x:c r="V4" s="197" t="str">
        <x:v>العنوان - 4 مستويات</x:v>
      </x:c>
      <x:c r="W4" s="195" t="str">
        <x:v>العنوان</x:v>
      </x:c>
      <x:c r="X4" s="196" t="str">
        <x:v>العنوان</x:v>
      </x:c>
      <x:c r="Y4" s="196" t="str">
        <x:v>العنوان</x:v>
      </x:c>
      <x:c r="Z4" s="196" t="str">
        <x:v>العنوان</x:v>
      </x:c>
      <x:c r="AA4" s="197" t="str">
        <x:v>العنوان</x:v>
      </x:c>
      <x:c r="AB4" s="198" t="str">
        <x:v>الفرع والملكية</x:v>
      </x:c>
      <x:c r="AC4" s="199" t="str">
        <x:v>حالة الزبون</x:v>
      </x:c>
      <x:c r="AD4" s="200" t="str">
        <x:v>بيانات مدنية</x:v>
      </x:c>
      <x:c r="AE4" s="201" t="str">
        <x:v>بيانات مدنية</x:v>
      </x:c>
      <x:c r="AF4" s="201" t="str">
        <x:v>بيانات مدنية</x:v>
      </x:c>
      <x:c r="AG4" s="201" t="str">
        <x:v>بيانات مدنية</x:v>
      </x:c>
      <x:c r="AH4" s="201" t="str">
        <x:v>بيانات مدنية</x:v>
      </x:c>
      <x:c r="AI4" s="201" t="str">
        <x:v>بيانات مدنية</x:v>
      </x:c>
      <x:c r="AJ4" s="201" t="str">
        <x:v>بيانات مدنية</x:v>
      </x:c>
      <x:c r="AK4" s="202" t="str">
        <x:v>بيانات مدنية</x:v>
      </x:c>
      <x:c r="AL4" s="203" t="str">
        <x:v>بيانات إضافية</x:v>
      </x:c>
      <x:c r="AM4" s="204" t="str">
        <x:v>بيانات إضافية</x:v>
      </x:c>
      <x:c r="AN4" s="205" t="str">
        <x:v>بيانات إضافية</x:v>
      </x:c>
      <x:c r="AO4" s="206" t="str">
        <x:v>ضبط وتنظيف</x:v>
      </x:c>
      <x:c r="AP4" s="207" t="str">
        <x:v>ضبط وتنظيف</x:v>
      </x:c>
      <x:c r="AQ4" s="207" t="str">
        <x:v>ضبط وتنظيف</x:v>
      </x:c>
      <x:c r="AR4" s="207" t="str">
        <x:v>ضبط وتنظيف</x:v>
      </x:c>
      <x:c r="AS4" s="208" t="str">
        <x:v>ضبط وتنظيف</x:v>
      </x:c>
      <x:c r="AT4" s="209" t="str">
        <x:v>مراجعة</x:v>
      </x:c>
      <x:c r="AU4" s="210" t="str">
        <x:v>مراجعة</x:v>
      </x:c>
      <x:c r="AV4" s="211" t="str">
        <x:v>مراجعة</x:v>
      </x:c>
      <x:c r="AW4" s="212" t="str">
        <x:v>قرار الفرز</x:v>
      </x:c>
      <x:c r="AX4" s="213" t="str">
        <x:v>قرار الفرز</x:v>
      </x:c>
      <x:c r="AY4" s="213" t="str">
        <x:v>قرار الفرز</x:v>
      </x:c>
      <x:c r="AZ4" s="214" t="str">
        <x:v>قرار الفرز</x:v>
      </x:c>
      <x:c r="BA4" s="209" t="str">
        <x:v>مراجعة</x:v>
      </x:c>
      <x:c r="BB4" s="211" t="str">
        <x:v>مراجعة</x:v>
      </x:c>
    </x:row>
    <x:row r="5" ht="42" customHeight="1">
      <x:c r="A5" s="215" t="str">
        <x:v>مفتاح الزبون للهجرة</x:v>
      </x:c>
      <x:c r="B5" s="216" t="str">
        <x:v>إجراء الاستيراد</x:v>
      </x:c>
      <x:c r="C5" s="217" t="str">
        <x:v>ID النظام القديم</x:v>
      </x:c>
      <x:c r="D5" s="217" t="str">
        <x:v>مصدر/جدول قديم</x:v>
      </x:c>
      <x:c r="E5" s="217" t="str">
        <x:v>تاريخ الإنشاء الأصلي</x:v>
      </x:c>
      <x:c r="F5" s="216" t="str">
        <x:v>ID الفرع</x:v>
      </x:c>
      <x:c r="G5" s="217" t="str">
        <x:v>اسم الفرع للمراجعة</x:v>
      </x:c>
      <x:c r="H5" s="216" t="str">
        <x:v>الاسم الأول</x:v>
      </x:c>
      <x:c r="I5" s="217" t="str">
        <x:v>اسم الأب</x:v>
      </x:c>
      <x:c r="J5" s="216" t="str">
        <x:v>الكنية/العائلة</x:v>
      </x:c>
      <x:c r="K5" s="217" t="str">
        <x:v>اللقب</x:v>
      </x:c>
      <x:c r="L5" s="217" t="str">
        <x:v>الاسم الكامل - تلقائي</x:v>
      </x:c>
      <x:c r="M5" s="217" t="str">
        <x:v>ID المحافظة</x:v>
      </x:c>
      <x:c r="N5" s="217" t="str">
        <x:v>اسم المحافظة</x:v>
      </x:c>
      <x:c r="O5" s="217" t="str">
        <x:v>ID المنطقة</x:v>
      </x:c>
      <x:c r="P5" s="217" t="str">
        <x:v>اسم المنطقة</x:v>
      </x:c>
      <x:c r="Q5" s="217" t="str">
        <x:v>ID الناحية</x:v>
      </x:c>
      <x:c r="R5" s="217" t="str">
        <x:v>اسم الناحية</x:v>
      </x:c>
      <x:c r="S5" s="217" t="str">
        <x:v>ID الحي</x:v>
      </x:c>
      <x:c r="T5" s="217" t="str">
        <x:v>اسم الحي</x:v>
      </x:c>
      <x:c r="U5" s="216" t="str">
        <x:v>ID الموقع النهائي - تلقائي</x:v>
      </x:c>
      <x:c r="V5" s="217" t="str">
        <x:v>اسم الموقع النهائي - تلقائي</x:v>
      </x:c>
      <x:c r="W5" s="217" t="str">
        <x:v>معلومات الموقع / قديم</x:v>
      </x:c>
      <x:c r="X5" s="217" t="str">
        <x:v>العنوان التفصيلي</x:v>
      </x:c>
      <x:c r="Y5" s="217" t="str">
        <x:v>وضوح العنوان</x:v>
      </x:c>
      <x:c r="Z5" s="217" t="str">
        <x:v>GPS خط العرض</x:v>
      </x:c>
      <x:c r="AA5" s="217" t="str">
        <x:v>GPS خط الطول</x:v>
      </x:c>
      <x:c r="AB5" s="217" t="str">
        <x:v>IDs المستخدمين المسندين</x:v>
      </x:c>
      <x:c r="AC5" s="217" t="str">
        <x:v>حالة المرشح داخل الزبون</x:v>
      </x:c>
      <x:c r="AD5" s="217" t="str">
        <x:v>الجنس</x:v>
      </x:c>
      <x:c r="AE5" s="217" t="str">
        <x:v>تاريخ الميلاد</x:v>
      </x:c>
      <x:c r="AF5" s="217" t="str">
        <x:v>اسم الأم</x:v>
      </x:c>
      <x:c r="AG5" s="217" t="str">
        <x:v>الرقم الوطني</x:v>
      </x:c>
      <x:c r="AH5" s="217" t="str">
        <x:v>القيد/السجل</x:v>
      </x:c>
      <x:c r="AI5" s="217" t="str">
        <x:v>جهة الإصدار</x:v>
      </x:c>
      <x:c r="AJ5" s="217" t="str">
        <x:v>تاريخ الإصدار</x:v>
      </x:c>
      <x:c r="AK5" s="217" t="str">
        <x:v>الخانة</x:v>
      </x:c>
      <x:c r="AL5" s="217" t="str">
        <x:v>المهنة</x:v>
      </x:c>
      <x:c r="AM5" s="217" t="str">
        <x:v>مهنة الزوج/الزوجة</x:v>
      </x:c>
      <x:c r="AN5" s="217" t="str">
        <x:v>مصدر المياه</x:v>
      </x:c>
      <x:c r="AO5" s="217" t="str">
        <x:v>جودة البيانات</x:v>
      </x:c>
      <x:c r="AP5" s="217" t="str">
        <x:v>التقييم</x:v>
      </x:c>
      <x:c r="AQ5" s="217" t="str">
        <x:v>عدم التواصل</x:v>
      </x:c>
      <x:c r="AR5" s="217" t="str">
        <x:v>إيقاف التواصل حتى</x:v>
      </x:c>
      <x:c r="AS5" s="217" t="str">
        <x:v>سبب إيقاف التواصل</x:v>
      </x:c>
      <x:c r="AT5" s="217" t="str">
        <x:v>ملاحظات</x:v>
      </x:c>
      <x:c r="AU5" s="217" t="str">
        <x:v>حالة التنظيف</x:v>
      </x:c>
      <x:c r="AV5" s="217" t="str">
        <x:v>ملاحظات التنظيف</x:v>
      </x:c>
      <x:c r="AW5" s="216" t="str">
        <x:v>الوجهة النهائية</x:v>
      </x:c>
      <x:c r="AX5" s="217" t="str">
        <x:v>سبب النقل لاسم مقترح</x:v>
      </x:c>
      <x:c r="AY5" s="217" t="str">
        <x:v>مفتاح الاسم المقترح</x:v>
      </x:c>
      <x:c r="AZ5" s="217" t="str">
        <x:v>ملاحظات قرار الفرز</x:v>
      </x:c>
      <x:c r="BA5" s="217" t="str">
        <x:v>حالة الصف - تلقائي</x:v>
      </x:c>
      <x:c r="BB5" s="218" t="str">
        <x:v>مشاكل الصف - تلقائي</x:v>
      </x:c>
    </x:row>
    <x:row r="6">
      <x:c r="A6" s="219" t="str">
        <x:v>CUST-0001</x:v>
      </x:c>
      <x:c r="B6" s="220" t="str">
        <x:v>create</x:v>
      </x:c>
      <x:c r="C6" s="221" t="str">
        <x:v>old-1388</x:v>
      </x:c>
      <x:c r="D6" s="220" t="str">
        <x:v>legacy_customers</x:v>
      </x:c>
      <x:c r="E6" s="222" t="n">
        <x:v>44270</x:v>
      </x:c>
      <x:c r="F6" s="220" t="n">
        <x:v>1</x:v>
      </x:c>
      <x:c r="G6" s="220" t="str">
        <x:v>دمشق</x:v>
      </x:c>
      <x:c r="H6" s="220" t="str">
        <x:v>أحمد</x:v>
      </x:c>
      <x:c r="I6" s="220" t="str">
        <x:v>خالد</x:v>
      </x:c>
      <x:c r="J6" s="220" t="str">
        <x:v>زيتون</x:v>
      </x:c>
      <x:c r="K6" s="220" t="str">
        <x:v>أبو أيوب</x:v>
      </x:c>
      <x:c r="L6" s="220" t="str">
        <x:f>IF(TRIM(H6&amp;" "&amp;I6&amp;" "&amp;J6&amp;IF(K6&lt;&gt;""," ("&amp;K6&amp;")",""))="","",TRIM(H6&amp;" "&amp;I6&amp;" "&amp;J6&amp;IF(K6&lt;&gt;""," ("&amp;K6&amp;")","")))</x:f>
        <x:v>أحمد خالد زيتون (أبو أيوب)</x:v>
      </x:c>
      <x:c r="M6" s="220" t="n">
        <x:v>10</x:v>
      </x:c>
      <x:c r="N6" s="220" t="str">
        <x:v>دمشق</x:v>
      </x:c>
      <x:c r="O6" s="220" t="n">
        <x:v>24</x:v>
      </x:c>
      <x:c r="P6" s="220" t="str">
        <x:v>دمشق</x:v>
      </x:c>
      <x:c r="Q6" s="220" t="n">
        <x:v>88</x:v>
      </x:c>
      <x:c r="R6" s="220" t="str">
        <x:v>المزة</x:v>
      </x:c>
      <x:c r="S6" s="220" t="n">
        <x:v>125</x:v>
      </x:c>
      <x:c r="T6" s="220" t="str">
        <x:v>المزة الشرقية</x:v>
      </x:c>
      <x:c r="U6" s="220" t="n">
        <x:f>IF(AND(M6="",O6="",Q6="",S6=""),"",IF(S6&lt;&gt;"",S6,IF(Q6&lt;&gt;"",Q6,IF(O6&lt;&gt;"",O6,M6))))</x:f>
        <x:v>125</x:v>
      </x:c>
      <x:c r="V6" s="220" t="str">
        <x:f>IF(AND(N6="",P6="",R6="",T6=""),"",IF(T6&lt;&gt;"",T6,IF(R6&lt;&gt;"",R6,IF(P6&lt;&gt;"",P6,N6))))</x:f>
        <x:v>المزة الشرقية</x:v>
      </x:c>
      <x:c r="W6" s="221" t="str">
        <x:v>OLD-ZONE-MAZZEH-02</x:v>
      </x:c>
      <x:c r="X6" s="220" t="str">
        <x:v>المزة - جانب الحديقة - بناء 12</x:v>
      </x:c>
      <x:c r="Y6" s="220" t="str">
        <x:v>clear</x:v>
      </x:c>
      <x:c r="Z6" s="223" t="n">
        <x:v>33.5102</x:v>
      </x:c>
      <x:c r="AA6" s="223" t="n">
        <x:v>36.2784</x:v>
      </x:c>
      <x:c r="AB6" s="221" t="str">
        <x:v>12,18</x:v>
      </x:c>
      <x:c r="AC6" s="220"/>
      <x:c r="AD6" s="220" t="str">
        <x:v>male</x:v>
      </x:c>
      <x:c r="AE6" s="222" t="n">
        <x:v>31179</x:v>
      </x:c>
      <x:c r="AF6" s="220" t="str">
        <x:v>فاطمة</x:v>
      </x:c>
      <x:c r="AG6" s="221" t="str">
        <x:v>01234567890</x:v>
      </x:c>
      <x:c r="AH6" s="220"/>
      <x:c r="AI6" s="220"/>
      <x:c r="AJ6" s="222"/>
      <x:c r="AK6" s="220"/>
      <x:c r="AL6" s="220" t="str">
        <x:v>موظف</x:v>
      </x:c>
      <x:c r="AM6" s="220"/>
      <x:c r="AN6" s="220" t="str">
        <x:v>شبكة</x:v>
      </x:c>
      <x:c r="AO6" s="220" t="str">
        <x:v>correct</x:v>
      </x:c>
      <x:c r="AP6" s="220" t="str">
        <x:v>Undefined</x:v>
      </x:c>
      <x:c r="AQ6" s="220" t="str">
        <x:v>FALSE</x:v>
      </x:c>
      <x:c r="AR6" s="222"/>
      <x:c r="AS6" s="220"/>
      <x:c r="AT6" s="220" t="str">
        <x:v>صف مثال - احذفه قبل الاستيراد</x:v>
      </x:c>
      <x:c r="AU6" s="220" t="str">
        <x:v>cleaned</x:v>
      </x:c>
      <x:c r="AV6" s="220" t="str">
        <x:v>جاهز بعد مطابقة IDs</x:v>
      </x:c>
      <x:c r="AW6" s="220" t="str">
        <x:v>client</x:v>
      </x:c>
      <x:c r="AX6" s="220"/>
      <x:c r="AY6" s="221"/>
      <x:c r="AZ6" s="220" t="str">
        <x:v>جاهز كزبون</x:v>
      </x:c>
      <x:c r="BA6" s="220" t="str">
        <x:f>IF(AND(A6="",B6="",F6="",H6="",J6="",AW6="",AY6=""),"",IF(OR(B6="skip",AW6="skip"),"SKIP",IF(OR(B6="to_candidate",AW6="proposed_name"),IF(OR(A6="",AX6="",AY6="",COUNTIF($A$6:$A$505,A6)&gt;1),"REVIEW","TO_PROPOSED"),IF(OR(B6="",A6="",F6="",H6="",J6="",U6="",AW6="",COUNTIF($A$6:$A$505,A6)&gt;1,(COUNTIFS('أرقام التواصل'!$A$6:$A$505,"client",'أرقام التواصل'!$B$6:$B$505,A6,'أرقام التواصل'!$I$6:$I$505,"TRUE")+COUNTIFS('أرقام التواصل'!$A$6:$A$505,"client",'أرقام التواصل'!$B$6:$B$505,A6,'أرقام التواصل'!$C$6:$C$505,1))=0),"REVIEW","READY"))))</x:f>
        <x:v>READY</x:v>
      </x:c>
      <x:c r="BB6" s="224" t="str">
        <x:f>IF(BA6="","",IF(OR(BA6="READY",BA6="TO_PROPOSED"),"",IF(BA6="SKIP","Skipped by decision",TRIM(IF(B6="","missing import_action; ","")&amp;IF(A6="","missing migration_customer_key; ","")&amp;IF(AND(A6&lt;&gt;"",COUNTIF($A$6:$A$505,A6)&gt;1),"duplicate migration_customer_key; ","")&amp;IF(AND(NOT(OR(B6="to_candidate",AW6="proposed_name")),F6=""),"missing branch_id; ","")&amp;IF(AND(NOT(OR(B6="to_candidate",AW6="proposed_name")),H6=""),"missing first_name; ","")&amp;IF(AND(NOT(OR(B6="to_candidate",AW6="proposed_name")),J6=""),"missing last_name; ","")&amp;IF(AND(NOT(OR(B6="to_candidate",AW6="proposed_name")),U6=""),"missing final_geo_unit_id; ","")&amp;IF(AW6="","missing final_destination; ","")&amp;IF(AND(NOT(OR(B6="to_candidate",AW6="proposed_name")),(COUNTIFS('أرقام التواصل'!$A$6:$A$505,"client",'أرقام التواصل'!$B$6:$B$505,A6,'أرقام التواصل'!$I$6:$I$505,"TRUE")+COUNTIFS('أرقام التواصل'!$A$6:$A$505,"client",'أرقام التواصل'!$B$6:$B$505,A6,'أرقام التواصل'!$C$6:$C$505,1))=0),"missing primary contact in أرقام التواصل; ","")&amp;IF(OR(B6="to_candidate",AW6="proposed_name"),IF(AX6="","missing proposed_move_reason; ","")&amp;IF(AY6="","missing proposed_name_key; ",""),"")))))</x:f>
      </x:c>
    </x:row>
    <x:row r="7">
      <x:c r="A7" s="219" t="str">
        <x:v>CUST-0002</x:v>
      </x:c>
      <x:c r="B7" s="220" t="str">
        <x:v>to_candidate</x:v>
      </x:c>
      <x:c r="C7" s="221" t="str">
        <x:v>old-1401</x:v>
      </x:c>
      <x:c r="D7" s="220" t="str">
        <x:v>legacy_excel</x:v>
      </x:c>
      <x:c r="E7" s="222" t="n">
        <x:v>44808</x:v>
      </x:c>
      <x:c r="F7" s="220" t="n">
        <x:v>2</x:v>
      </x:c>
      <x:c r="G7" s="220" t="str">
        <x:v>حلب</x:v>
      </x:c>
      <x:c r="H7" s="220" t="str">
        <x:v>سارة</x:v>
      </x:c>
      <x:c r="I7" s="220"/>
      <x:c r="J7" s="220" t="str">
        <x:v>حسن</x:v>
      </x:c>
      <x:c r="K7" s="220"/>
      <x:c r="L7" s="220" t="str">
        <x:f>IF(TRIM(H7&amp;" "&amp;I7&amp;" "&amp;J7&amp;IF(K7&lt;&gt;""," ("&amp;K7&amp;")",""))="","",TRIM(H7&amp;" "&amp;I7&amp;" "&amp;J7&amp;IF(K7&lt;&gt;""," ("&amp;K7&amp;")","")))</x:f>
        <x:v>سارة حسن</x:v>
      </x:c>
      <x:c r="M7" s="220" t="n">
        <x:v>11</x:v>
      </x:c>
      <x:c r="N7" s="220" t="str">
        <x:v>حلب</x:v>
      </x:c>
      <x:c r="O7" s="220" t="n">
        <x:v>31</x:v>
      </x:c>
      <x:c r="P7" s="220" t="str">
        <x:v>حلب</x:v>
      </x:c>
      <x:c r="Q7" s="220"/>
      <x:c r="R7" s="220"/>
      <x:c r="S7" s="220"/>
      <x:c r="T7" s="220"/>
      <x:c r="U7" s="220" t="n">
        <x:f>IF(AND(M7="",O7="",Q7="",S7=""),"",IF(S7&lt;&gt;"",S7,IF(Q7&lt;&gt;"",Q7,IF(O7&lt;&gt;"",O7,M7))))</x:f>
        <x:v>31</x:v>
      </x:c>
      <x:c r="V7" s="220" t="str">
        <x:f>IF(AND(N7="",P7="",R7="",T7=""),"",IF(T7&lt;&gt;"",T7,IF(R7&lt;&gt;"",R7,IF(P7&lt;&gt;"",P7,N7))))</x:f>
        <x:v>حلب</x:v>
      </x:c>
      <x:c r="W7" s="221" t="str">
        <x:v>مكتوب بالنظام القديم: قرب الدوار</x:v>
      </x:c>
      <x:c r="X7" s="220" t="str">
        <x:v>قرب الدوار - العنوان بحاجة تحديد</x:v>
      </x:c>
      <x:c r="Y7" s="220" t="str">
        <x:v>unclear</x:v>
      </x:c>
      <x:c r="Z7" s="223"/>
      <x:c r="AA7" s="223"/>
      <x:c r="AB7" s="221"/>
      <x:c r="AC7" s="220"/>
      <x:c r="AD7" s="220" t="str">
        <x:v>female</x:v>
      </x:c>
      <x:c r="AE7" s="222"/>
      <x:c r="AF7" s="220"/>
      <x:c r="AG7" s="221"/>
      <x:c r="AH7" s="220"/>
      <x:c r="AI7" s="220"/>
      <x:c r="AJ7" s="222"/>
      <x:c r="AK7" s="220"/>
      <x:c r="AL7" s="220"/>
      <x:c r="AM7" s="220"/>
      <x:c r="AN7" s="220"/>
      <x:c r="AO7" s="220" t="str">
        <x:v>needs_edit</x:v>
      </x:c>
      <x:c r="AP7" s="220" t="str">
        <x:v>Undefined</x:v>
      </x:c>
      <x:c r="AQ7" s="220" t="str">
        <x:v>FALSE</x:v>
      </x:c>
      <x:c r="AR7" s="222"/>
      <x:c r="AS7" s="220"/>
      <x:c r="AT7" s="220" t="str">
        <x:v>عنوان غير واضح ورقم بحاجة تأكيد</x:v>
      </x:c>
      <x:c r="AU7" s="220" t="str">
        <x:v>review_needed</x:v>
      </x:c>
      <x:c r="AV7" s="220" t="str">
        <x:v>ينقل لمسار الأسماء المقترحة</x:v>
      </x:c>
      <x:c r="AW7" s="220" t="str">
        <x:v>proposed_name</x:v>
      </x:c>
      <x:c r="AX7" s="220" t="str">
        <x:v>unclear_address</x:v>
      </x:c>
      <x:c r="AY7" s="221" t="str">
        <x:v>PN-CUST-0002</x:v>
      </x:c>
      <x:c r="AZ7" s="220" t="str">
        <x:v>يبقى كاسم مقترح حتى تثبيت العنوان</x:v>
      </x:c>
      <x:c r="BA7" s="220" t="str">
        <x:f>IF(AND(A7="",B7="",F7="",H7="",J7="",AW7="",AY7=""),"",IF(OR(B7="skip",AW7="skip"),"SKIP",IF(OR(B7="to_candidate",AW7="proposed_name"),IF(OR(A7="",AX7="",AY7="",COUNTIF($A$6:$A$505,A7)&gt;1),"REVIEW","TO_PROPOSED"),IF(OR(B7="",A7="",F7="",H7="",J7="",U7="",AW7="",COUNTIF($A$6:$A$505,A7)&gt;1,(COUNTIFS('أرقام التواصل'!$A$6:$A$505,"client",'أرقام التواصل'!$B$6:$B$505,A7,'أرقام التواصل'!$I$6:$I$505,"TRUE")+COUNTIFS('أرقام التواصل'!$A$6:$A$505,"client",'أرقام التواصل'!$B$6:$B$505,A7,'أرقام التواصل'!$C$6:$C$505,1))=0),"REVIEW","READY"))))</x:f>
        <x:v>TO_PROPOSED</x:v>
      </x:c>
      <x:c r="BB7" s="224" t="str">
        <x:f>IF(BA7="","",IF(OR(BA7="READY",BA7="TO_PROPOSED"),"",IF(BA7="SKIP","Skipped by decision",TRIM(IF(B7="","missing import_action; ","")&amp;IF(A7="","missing migration_customer_key; ","")&amp;IF(AND(A7&lt;&gt;"",COUNTIF($A$6:$A$505,A7)&gt;1),"duplicate migration_customer_key; ","")&amp;IF(AND(NOT(OR(B7="to_candidate",AW7="proposed_name")),F7=""),"missing branch_id; ","")&amp;IF(AND(NOT(OR(B7="to_candidate",AW7="proposed_name")),H7=""),"missing first_name; ","")&amp;IF(AND(NOT(OR(B7="to_candidate",AW7="proposed_name")),J7=""),"missing last_name; ","")&amp;IF(AND(NOT(OR(B7="to_candidate",AW7="proposed_name")),U7=""),"missing final_geo_unit_id; ","")&amp;IF(AW7="","missing final_destination; ","")&amp;IF(AND(NOT(OR(B7="to_candidate",AW7="proposed_name")),(COUNTIFS('أرقام التواصل'!$A$6:$A$505,"client",'أرقام التواصل'!$B$6:$B$505,A7,'أرقام التواصل'!$I$6:$I$505,"TRUE")+COUNTIFS('أرقام التواصل'!$A$6:$A$505,"client",'أرقام التواصل'!$B$6:$B$505,A7,'أرقام التواصل'!$C$6:$C$505,1))=0),"missing primary contact in أرقام التواصل; ","")&amp;IF(OR(B7="to_candidate",AW7="proposed_name"),IF(AX7="","missing proposed_move_reason; ","")&amp;IF(AY7="","missing proposed_name_key; ",""),"")))))</x:f>
      </x:c>
    </x:row>
    <x:row r="8">
      <x:c r="A8" s="219"/>
      <x:c r="B8" s="220"/>
      <x:c r="C8" s="221"/>
      <x:c r="D8" s="220"/>
      <x:c r="E8" s="222"/>
      <x:c r="F8" s="220"/>
      <x:c r="G8" s="220"/>
      <x:c r="H8" s="220"/>
      <x:c r="I8" s="220"/>
      <x:c r="J8" s="220"/>
      <x:c r="K8" s="220"/>
      <x:c r="L8" s="220" t="str">
        <x:f>IF(TRIM(H8&amp;" "&amp;I8&amp;" "&amp;J8&amp;IF(K8&lt;&gt;""," ("&amp;K8&amp;")",""))="","",TRIM(H8&amp;" "&amp;I8&amp;" "&amp;J8&amp;IF(K8&lt;&gt;""," ("&amp;K8&amp;")","")))</x:f>
      </x:c>
      <x:c r="M8" s="220"/>
      <x:c r="N8" s="220"/>
      <x:c r="O8" s="220"/>
      <x:c r="P8" s="220"/>
      <x:c r="Q8" s="220"/>
      <x:c r="R8" s="220"/>
      <x:c r="S8" s="220"/>
      <x:c r="T8" s="220"/>
      <x:c r="U8" s="220" t="str">
        <x:f>IF(AND(M8="",O8="",Q8="",S8=""),"",IF(S8&lt;&gt;"",S8,IF(Q8&lt;&gt;"",Q8,IF(O8&lt;&gt;"",O8,M8))))</x:f>
      </x:c>
      <x:c r="V8" s="220" t="str">
        <x:f>IF(AND(N8="",P8="",R8="",T8=""),"",IF(T8&lt;&gt;"",T8,IF(R8&lt;&gt;"",R8,IF(P8&lt;&gt;"",P8,N8))))</x:f>
      </x:c>
      <x:c r="W8" s="221"/>
      <x:c r="X8" s="220"/>
      <x:c r="Y8" s="220"/>
      <x:c r="Z8" s="223"/>
      <x:c r="AA8" s="223"/>
      <x:c r="AB8" s="221"/>
      <x:c r="AC8" s="220"/>
      <x:c r="AD8" s="220"/>
      <x:c r="AE8" s="222"/>
      <x:c r="AF8" s="220"/>
      <x:c r="AG8" s="221"/>
      <x:c r="AH8" s="220"/>
      <x:c r="AI8" s="220"/>
      <x:c r="AJ8" s="222"/>
      <x:c r="AK8" s="220"/>
      <x:c r="AL8" s="220"/>
      <x:c r="AM8" s="220"/>
      <x:c r="AN8" s="220"/>
      <x:c r="AO8" s="220"/>
      <x:c r="AP8" s="220"/>
      <x:c r="AQ8" s="220"/>
      <x:c r="AR8" s="222"/>
      <x:c r="AS8" s="220"/>
      <x:c r="AT8" s="220"/>
      <x:c r="AU8" s="220"/>
      <x:c r="AV8" s="220"/>
      <x:c r="AW8" s="220"/>
      <x:c r="AX8" s="220"/>
      <x:c r="AY8" s="221"/>
      <x:c r="AZ8" s="220"/>
      <x:c r="BA8" s="220" t="str">
        <x:f>IF(AND(A8="",B8="",F8="",H8="",J8="",AW8="",AY8=""),"",IF(OR(B8="skip",AW8="skip"),"SKIP",IF(OR(B8="to_candidate",AW8="proposed_name"),IF(OR(A8="",AX8="",AY8="",COUNTIF($A$6:$A$505,A8)&gt;1),"REVIEW","TO_PROPOSED"),IF(OR(B8="",A8="",F8="",H8="",J8="",U8="",AW8="",COUNTIF($A$6:$A$505,A8)&gt;1,(COUNTIFS('أرقام التواصل'!$A$6:$A$505,"client",'أرقام التواصل'!$B$6:$B$505,A8,'أرقام التواصل'!$I$6:$I$505,"TRUE")+COUNTIFS('أرقام التواصل'!$A$6:$A$505,"client",'أرقام التواصل'!$B$6:$B$505,A8,'أرقام التواصل'!$C$6:$C$505,1))=0),"REVIEW","READY"))))</x:f>
      </x:c>
      <x:c r="BB8" s="224" t="str">
        <x:f>IF(BA8="","",IF(OR(BA8="READY",BA8="TO_PROPOSED"),"",IF(BA8="SKIP","Skipped by decision",TRIM(IF(B8="","missing import_action; ","")&amp;IF(A8="","missing migration_customer_key; ","")&amp;IF(AND(A8&lt;&gt;"",COUNTIF($A$6:$A$505,A8)&gt;1),"duplicate migration_customer_key; ","")&amp;IF(AND(NOT(OR(B8="to_candidate",AW8="proposed_name")),F8=""),"missing branch_id; ","")&amp;IF(AND(NOT(OR(B8="to_candidate",AW8="proposed_name")),H8=""),"missing first_name; ","")&amp;IF(AND(NOT(OR(B8="to_candidate",AW8="proposed_name")),J8=""),"missing last_name; ","")&amp;IF(AND(NOT(OR(B8="to_candidate",AW8="proposed_name")),U8=""),"missing final_geo_unit_id; ","")&amp;IF(AW8="","missing final_destination; ","")&amp;IF(AND(NOT(OR(B8="to_candidate",AW8="proposed_name")),(COUNTIFS('أرقام التواصل'!$A$6:$A$505,"client",'أرقام التواصل'!$B$6:$B$505,A8,'أرقام التواصل'!$I$6:$I$505,"TRUE")+COUNTIFS('أرقام التواصل'!$A$6:$A$505,"client",'أرقام التواصل'!$B$6:$B$505,A8,'أرقام التواصل'!$C$6:$C$505,1))=0),"missing primary contact in أرقام التواصل; ","")&amp;IF(OR(B8="to_candidate",AW8="proposed_name"),IF(AX8="","missing proposed_move_reason; ","")&amp;IF(AY8="","missing proposed_name_key; ",""),"")))))</x:f>
      </x:c>
    </x:row>
    <x:row r="9">
      <x:c r="A9" s="219"/>
      <x:c r="B9" s="220"/>
      <x:c r="C9" s="221"/>
      <x:c r="D9" s="220"/>
      <x:c r="E9" s="222"/>
      <x:c r="F9" s="220"/>
      <x:c r="G9" s="220"/>
      <x:c r="H9" s="220"/>
      <x:c r="I9" s="220"/>
      <x:c r="J9" s="220"/>
      <x:c r="K9" s="220"/>
      <x:c r="L9" s="220" t="str">
        <x:f>IF(TRIM(H9&amp;" "&amp;I9&amp;" "&amp;J9&amp;IF(K9&lt;&gt;""," ("&amp;K9&amp;")",""))="","",TRIM(H9&amp;" "&amp;I9&amp;" "&amp;J9&amp;IF(K9&lt;&gt;""," ("&amp;K9&amp;")","")))</x:f>
      </x:c>
      <x:c r="M9" s="220"/>
      <x:c r="N9" s="220"/>
      <x:c r="O9" s="220"/>
      <x:c r="P9" s="220"/>
      <x:c r="Q9" s="220"/>
      <x:c r="R9" s="220"/>
      <x:c r="S9" s="220"/>
      <x:c r="T9" s="220"/>
      <x:c r="U9" s="220" t="str">
        <x:f>IF(AND(M9="",O9="",Q9="",S9=""),"",IF(S9&lt;&gt;"",S9,IF(Q9&lt;&gt;"",Q9,IF(O9&lt;&gt;"",O9,M9))))</x:f>
      </x:c>
      <x:c r="V9" s="220" t="str">
        <x:f>IF(AND(N9="",P9="",R9="",T9=""),"",IF(T9&lt;&gt;"",T9,IF(R9&lt;&gt;"",R9,IF(P9&lt;&gt;"",P9,N9))))</x:f>
      </x:c>
      <x:c r="W9" s="221"/>
      <x:c r="X9" s="220"/>
      <x:c r="Y9" s="220"/>
      <x:c r="Z9" s="223"/>
      <x:c r="AA9" s="223"/>
      <x:c r="AB9" s="221"/>
      <x:c r="AC9" s="220"/>
      <x:c r="AD9" s="220"/>
      <x:c r="AE9" s="222"/>
      <x:c r="AF9" s="220"/>
      <x:c r="AG9" s="221"/>
      <x:c r="AH9" s="220"/>
      <x:c r="AI9" s="220"/>
      <x:c r="AJ9" s="222"/>
      <x:c r="AK9" s="220"/>
      <x:c r="AL9" s="220"/>
      <x:c r="AM9" s="220"/>
      <x:c r="AN9" s="220"/>
      <x:c r="AO9" s="220"/>
      <x:c r="AP9" s="220"/>
      <x:c r="AQ9" s="220"/>
      <x:c r="AR9" s="222"/>
      <x:c r="AS9" s="220"/>
      <x:c r="AT9" s="220"/>
      <x:c r="AU9" s="220"/>
      <x:c r="AV9" s="220"/>
      <x:c r="AW9" s="220"/>
      <x:c r="AX9" s="220"/>
      <x:c r="AY9" s="221"/>
      <x:c r="AZ9" s="220"/>
      <x:c r="BA9" s="220" t="str">
        <x:f>IF(AND(A9="",B9="",F9="",H9="",J9="",AW9="",AY9=""),"",IF(OR(B9="skip",AW9="skip"),"SKIP",IF(OR(B9="to_candidate",AW9="proposed_name"),IF(OR(A9="",AX9="",AY9="",COUNTIF($A$6:$A$505,A9)&gt;1),"REVIEW","TO_PROPOSED"),IF(OR(B9="",A9="",F9="",H9="",J9="",U9="",AW9="",COUNTIF($A$6:$A$505,A9)&gt;1,(COUNTIFS('أرقام التواصل'!$A$6:$A$505,"client",'أرقام التواصل'!$B$6:$B$505,A9,'أرقام التواصل'!$I$6:$I$505,"TRUE")+COUNTIFS('أرقام التواصل'!$A$6:$A$505,"client",'أرقام التواصل'!$B$6:$B$505,A9,'أرقام التواصل'!$C$6:$C$505,1))=0),"REVIEW","READY"))))</x:f>
      </x:c>
      <x:c r="BB9" s="224" t="str">
        <x:f>IF(BA9="","",IF(OR(BA9="READY",BA9="TO_PROPOSED"),"",IF(BA9="SKIP","Skipped by decision",TRIM(IF(B9="","missing import_action; ","")&amp;IF(A9="","missing migration_customer_key; ","")&amp;IF(AND(A9&lt;&gt;"",COUNTIF($A$6:$A$505,A9)&gt;1),"duplicate migration_customer_key; ","")&amp;IF(AND(NOT(OR(B9="to_candidate",AW9="proposed_name")),F9=""),"missing branch_id; ","")&amp;IF(AND(NOT(OR(B9="to_candidate",AW9="proposed_name")),H9=""),"missing first_name; ","")&amp;IF(AND(NOT(OR(B9="to_candidate",AW9="proposed_name")),J9=""),"missing last_name; ","")&amp;IF(AND(NOT(OR(B9="to_candidate",AW9="proposed_name")),U9=""),"missing final_geo_unit_id; ","")&amp;IF(AW9="","missing final_destination; ","")&amp;IF(AND(NOT(OR(B9="to_candidate",AW9="proposed_name")),(COUNTIFS('أرقام التواصل'!$A$6:$A$505,"client",'أرقام التواصل'!$B$6:$B$505,A9,'أرقام التواصل'!$I$6:$I$505,"TRUE")+COUNTIFS('أرقام التواصل'!$A$6:$A$505,"client",'أرقام التواصل'!$B$6:$B$505,A9,'أرقام التواصل'!$C$6:$C$505,1))=0),"missing primary contact in أرقام التواصل; ","")&amp;IF(OR(B9="to_candidate",AW9="proposed_name"),IF(AX9="","missing proposed_move_reason; ","")&amp;IF(AY9="","missing proposed_name_key; ",""),"")))))</x:f>
      </x:c>
    </x:row>
    <x:row r="10">
      <x:c r="A10" s="219"/>
      <x:c r="B10" s="220"/>
      <x:c r="C10" s="221"/>
      <x:c r="D10" s="220"/>
      <x:c r="E10" s="222"/>
      <x:c r="F10" s="220"/>
      <x:c r="G10" s="220"/>
      <x:c r="H10" s="220"/>
      <x:c r="I10" s="220"/>
      <x:c r="J10" s="220"/>
      <x:c r="K10" s="220"/>
      <x:c r="L10" s="220" t="str">
        <x:f>IF(TRIM(H10&amp;" "&amp;I10&amp;" "&amp;J10&amp;IF(K10&lt;&gt;""," ("&amp;K10&amp;")",""))="","",TRIM(H10&amp;" "&amp;I10&amp;" "&amp;J10&amp;IF(K10&lt;&gt;""," ("&amp;K10&amp;")","")))</x:f>
      </x:c>
      <x:c r="M10" s="220"/>
      <x:c r="N10" s="220"/>
      <x:c r="O10" s="220"/>
      <x:c r="P10" s="220"/>
      <x:c r="Q10" s="220"/>
      <x:c r="R10" s="220"/>
      <x:c r="S10" s="220"/>
      <x:c r="T10" s="220"/>
      <x:c r="U10" s="220" t="str">
        <x:f>IF(AND(M10="",O10="",Q10="",S10=""),"",IF(S10&lt;&gt;"",S10,IF(Q10&lt;&gt;"",Q10,IF(O10&lt;&gt;"",O10,M10))))</x:f>
      </x:c>
      <x:c r="V10" s="220" t="str">
        <x:f>IF(AND(N10="",P10="",R10="",T10=""),"",IF(T10&lt;&gt;"",T10,IF(R10&lt;&gt;"",R10,IF(P10&lt;&gt;"",P10,N10))))</x:f>
      </x:c>
      <x:c r="W10" s="221"/>
      <x:c r="X10" s="220"/>
      <x:c r="Y10" s="220"/>
      <x:c r="Z10" s="223"/>
      <x:c r="AA10" s="223"/>
      <x:c r="AB10" s="221"/>
      <x:c r="AC10" s="220"/>
      <x:c r="AD10" s="220"/>
      <x:c r="AE10" s="222"/>
      <x:c r="AF10" s="220"/>
      <x:c r="AG10" s="221"/>
      <x:c r="AH10" s="220"/>
      <x:c r="AI10" s="220"/>
      <x:c r="AJ10" s="222"/>
      <x:c r="AK10" s="220"/>
      <x:c r="AL10" s="220"/>
      <x:c r="AM10" s="220"/>
      <x:c r="AN10" s="220"/>
      <x:c r="AO10" s="220"/>
      <x:c r="AP10" s="220"/>
      <x:c r="AQ10" s="220"/>
      <x:c r="AR10" s="222"/>
      <x:c r="AS10" s="220"/>
      <x:c r="AT10" s="220"/>
      <x:c r="AU10" s="220"/>
      <x:c r="AV10" s="220"/>
      <x:c r="AW10" s="220"/>
      <x:c r="AX10" s="220"/>
      <x:c r="AY10" s="221"/>
      <x:c r="AZ10" s="220"/>
      <x:c r="BA10" s="220" t="str">
        <x:f>IF(AND(A10="",B10="",F10="",H10="",J10="",AW10="",AY10=""),"",IF(OR(B10="skip",AW10="skip"),"SKIP",IF(OR(B10="to_candidate",AW10="proposed_name"),IF(OR(A10="",AX10="",AY10="",COUNTIF($A$6:$A$505,A10)&gt;1),"REVIEW","TO_PROPOSED"),IF(OR(B10="",A10="",F10="",H10="",J10="",U10="",AW10="",COUNTIF($A$6:$A$505,A10)&gt;1,(COUNTIFS('أرقام التواصل'!$A$6:$A$505,"client",'أرقام التواصل'!$B$6:$B$505,A10,'أرقام التواصل'!$I$6:$I$505,"TRUE")+COUNTIFS('أرقام التواصل'!$A$6:$A$505,"client",'أرقام التواصل'!$B$6:$B$505,A10,'أرقام التواصل'!$C$6:$C$505,1))=0),"REVIEW","READY"))))</x:f>
      </x:c>
      <x:c r="BB10" s="224" t="str">
        <x:f>IF(BA10="","",IF(OR(BA10="READY",BA10="TO_PROPOSED"),"",IF(BA10="SKIP","Skipped by decision",TRIM(IF(B10="","missing import_action; ","")&amp;IF(A10="","missing migration_customer_key; ","")&amp;IF(AND(A10&lt;&gt;"",COUNTIF($A$6:$A$505,A10)&gt;1),"duplicate migration_customer_key; ","")&amp;IF(AND(NOT(OR(B10="to_candidate",AW10="proposed_name")),F10=""),"missing branch_id; ","")&amp;IF(AND(NOT(OR(B10="to_candidate",AW10="proposed_name")),H10=""),"missing first_name; ","")&amp;IF(AND(NOT(OR(B10="to_candidate",AW10="proposed_name")),J10=""),"missing last_name; ","")&amp;IF(AND(NOT(OR(B10="to_candidate",AW10="proposed_name")),U10=""),"missing final_geo_unit_id; ","")&amp;IF(AW10="","missing final_destination; ","")&amp;IF(AND(NOT(OR(B10="to_candidate",AW10="proposed_name")),(COUNTIFS('أرقام التواصل'!$A$6:$A$505,"client",'أرقام التواصل'!$B$6:$B$505,A10,'أرقام التواصل'!$I$6:$I$505,"TRUE")+COUNTIFS('أرقام التواصل'!$A$6:$A$505,"client",'أرقام التواصل'!$B$6:$B$505,A10,'أرقام التواصل'!$C$6:$C$505,1))=0),"missing primary contact in أرقام التواصل; ","")&amp;IF(OR(B10="to_candidate",AW10="proposed_name"),IF(AX10="","missing proposed_move_reason; ","")&amp;IF(AY10="","missing proposed_name_key; ",""),"")))))</x:f>
      </x:c>
    </x:row>
    <x:row r="11">
      <x:c r="A11" s="219"/>
      <x:c r="B11" s="220"/>
      <x:c r="C11" s="221"/>
      <x:c r="D11" s="220"/>
      <x:c r="E11" s="222"/>
      <x:c r="F11" s="220"/>
      <x:c r="G11" s="220"/>
      <x:c r="H11" s="220"/>
      <x:c r="I11" s="220"/>
      <x:c r="J11" s="220"/>
      <x:c r="K11" s="220"/>
      <x:c r="L11" s="220" t="str">
        <x:f>IF(TRIM(H11&amp;" "&amp;I11&amp;" "&amp;J11&amp;IF(K11&lt;&gt;""," ("&amp;K11&amp;")",""))="","",TRIM(H11&amp;" "&amp;I11&amp;" "&amp;J11&amp;IF(K11&lt;&gt;""," ("&amp;K11&amp;")","")))</x:f>
      </x:c>
      <x:c r="M11" s="220"/>
      <x:c r="N11" s="220"/>
      <x:c r="O11" s="220"/>
      <x:c r="P11" s="220"/>
      <x:c r="Q11" s="220"/>
      <x:c r="R11" s="220"/>
      <x:c r="S11" s="220"/>
      <x:c r="T11" s="220"/>
      <x:c r="U11" s="220" t="str">
        <x:f>IF(AND(M11="",O11="",Q11="",S11=""),"",IF(S11&lt;&gt;"",S11,IF(Q11&lt;&gt;"",Q11,IF(O11&lt;&gt;"",O11,M11))))</x:f>
      </x:c>
      <x:c r="V11" s="220" t="str">
        <x:f>IF(AND(N11="",P11="",R11="",T11=""),"",IF(T11&lt;&gt;"",T11,IF(R11&lt;&gt;"",R11,IF(P11&lt;&gt;"",P11,N11))))</x:f>
      </x:c>
      <x:c r="W11" s="221"/>
      <x:c r="X11" s="220"/>
      <x:c r="Y11" s="220"/>
      <x:c r="Z11" s="223"/>
      <x:c r="AA11" s="223"/>
      <x:c r="AB11" s="221"/>
      <x:c r="AC11" s="220"/>
      <x:c r="AD11" s="220"/>
      <x:c r="AE11" s="222"/>
      <x:c r="AF11" s="220"/>
      <x:c r="AG11" s="221"/>
      <x:c r="AH11" s="220"/>
      <x:c r="AI11" s="220"/>
      <x:c r="AJ11" s="222"/>
      <x:c r="AK11" s="220"/>
      <x:c r="AL11" s="220"/>
      <x:c r="AM11" s="220"/>
      <x:c r="AN11" s="220"/>
      <x:c r="AO11" s="220"/>
      <x:c r="AP11" s="220"/>
      <x:c r="AQ11" s="220"/>
      <x:c r="AR11" s="222"/>
      <x:c r="AS11" s="220"/>
      <x:c r="AT11" s="220"/>
      <x:c r="AU11" s="220"/>
      <x:c r="AV11" s="220"/>
      <x:c r="AW11" s="220"/>
      <x:c r="AX11" s="220"/>
      <x:c r="AY11" s="221"/>
      <x:c r="AZ11" s="220"/>
      <x:c r="BA11" s="220" t="str">
        <x:f>IF(AND(A11="",B11="",F11="",H11="",J11="",AW11="",AY11=""),"",IF(OR(B11="skip",AW11="skip"),"SKIP",IF(OR(B11="to_candidate",AW11="proposed_name"),IF(OR(A11="",AX11="",AY11="",COUNTIF($A$6:$A$505,A11)&gt;1),"REVIEW","TO_PROPOSED"),IF(OR(B11="",A11="",F11="",H11="",J11="",U11="",AW11="",COUNTIF($A$6:$A$505,A11)&gt;1,(COUNTIFS('أرقام التواصل'!$A$6:$A$505,"client",'أرقام التواصل'!$B$6:$B$505,A11,'أرقام التواصل'!$I$6:$I$505,"TRUE")+COUNTIFS('أرقام التواصل'!$A$6:$A$505,"client",'أرقام التواصل'!$B$6:$B$505,A11,'أرقام التواصل'!$C$6:$C$505,1))=0),"REVIEW","READY"))))</x:f>
      </x:c>
      <x:c r="BB11" s="224" t="str">
        <x:f>IF(BA11="","",IF(OR(BA11="READY",BA11="TO_PROPOSED"),"",IF(BA11="SKIP","Skipped by decision",TRIM(IF(B11="","missing import_action; ","")&amp;IF(A11="","missing migration_customer_key; ","")&amp;IF(AND(A11&lt;&gt;"",COUNTIF($A$6:$A$505,A11)&gt;1),"duplicate migration_customer_key; ","")&amp;IF(AND(NOT(OR(B11="to_candidate",AW11="proposed_name")),F11=""),"missing branch_id; ","")&amp;IF(AND(NOT(OR(B11="to_candidate",AW11="proposed_name")),H11=""),"missing first_name; ","")&amp;IF(AND(NOT(OR(B11="to_candidate",AW11="proposed_name")),J11=""),"missing last_name; ","")&amp;IF(AND(NOT(OR(B11="to_candidate",AW11="proposed_name")),U11=""),"missing final_geo_unit_id; ","")&amp;IF(AW11="","missing final_destination; ","")&amp;IF(AND(NOT(OR(B11="to_candidate",AW11="proposed_name")),(COUNTIFS('أرقام التواصل'!$A$6:$A$505,"client",'أرقام التواصل'!$B$6:$B$505,A11,'أرقام التواصل'!$I$6:$I$505,"TRUE")+COUNTIFS('أرقام التواصل'!$A$6:$A$505,"client",'أرقام التواصل'!$B$6:$B$505,A11,'أرقام التواصل'!$C$6:$C$505,1))=0),"missing primary contact in أرقام التواصل; ","")&amp;IF(OR(B11="to_candidate",AW11="proposed_name"),IF(AX11="","missing proposed_move_reason; ","")&amp;IF(AY11="","missing proposed_name_key; ",""),"")))))</x:f>
      </x:c>
    </x:row>
    <x:row r="12">
      <x:c r="A12" s="219"/>
      <x:c r="B12" s="220"/>
      <x:c r="C12" s="221"/>
      <x:c r="D12" s="220"/>
      <x:c r="E12" s="222"/>
      <x:c r="F12" s="220"/>
      <x:c r="G12" s="220"/>
      <x:c r="H12" s="220"/>
      <x:c r="I12" s="220"/>
      <x:c r="J12" s="220"/>
      <x:c r="K12" s="220"/>
      <x:c r="L12" s="220" t="str">
        <x:f>IF(TRIM(H12&amp;" "&amp;I12&amp;" "&amp;J12&amp;IF(K12&lt;&gt;""," ("&amp;K12&amp;")",""))="","",TRIM(H12&amp;" "&amp;I12&amp;" "&amp;J12&amp;IF(K12&lt;&gt;""," ("&amp;K12&amp;")","")))</x:f>
      </x:c>
      <x:c r="M12" s="220"/>
      <x:c r="N12" s="220"/>
      <x:c r="O12" s="220"/>
      <x:c r="P12" s="220"/>
      <x:c r="Q12" s="220"/>
      <x:c r="R12" s="220"/>
      <x:c r="S12" s="220"/>
      <x:c r="T12" s="220"/>
      <x:c r="U12" s="220" t="str">
        <x:f>IF(AND(M12="",O12="",Q12="",S12=""),"",IF(S12&lt;&gt;"",S12,IF(Q12&lt;&gt;"",Q12,IF(O12&lt;&gt;"",O12,M12))))</x:f>
      </x:c>
      <x:c r="V12" s="220" t="str">
        <x:f>IF(AND(N12="",P12="",R12="",T12=""),"",IF(T12&lt;&gt;"",T12,IF(R12&lt;&gt;"",R12,IF(P12&lt;&gt;"",P12,N12))))</x:f>
      </x:c>
      <x:c r="W12" s="221"/>
      <x:c r="X12" s="220"/>
      <x:c r="Y12" s="220"/>
      <x:c r="Z12" s="223"/>
      <x:c r="AA12" s="223"/>
      <x:c r="AB12" s="221"/>
      <x:c r="AC12" s="220"/>
      <x:c r="AD12" s="220"/>
      <x:c r="AE12" s="222"/>
      <x:c r="AF12" s="220"/>
      <x:c r="AG12" s="221"/>
      <x:c r="AH12" s="220"/>
      <x:c r="AI12" s="220"/>
      <x:c r="AJ12" s="222"/>
      <x:c r="AK12" s="220"/>
      <x:c r="AL12" s="220"/>
      <x:c r="AM12" s="220"/>
      <x:c r="AN12" s="220"/>
      <x:c r="AO12" s="220"/>
      <x:c r="AP12" s="220"/>
      <x:c r="AQ12" s="220"/>
      <x:c r="AR12" s="222"/>
      <x:c r="AS12" s="220"/>
      <x:c r="AT12" s="220"/>
      <x:c r="AU12" s="220"/>
      <x:c r="AV12" s="220"/>
      <x:c r="AW12" s="220"/>
      <x:c r="AX12" s="220"/>
      <x:c r="AY12" s="221"/>
      <x:c r="AZ12" s="220"/>
      <x:c r="BA12" s="220" t="str">
        <x:f>IF(AND(A12="",B12="",F12="",H12="",J12="",AW12="",AY12=""),"",IF(OR(B12="skip",AW12="skip"),"SKIP",IF(OR(B12="to_candidate",AW12="proposed_name"),IF(OR(A12="",AX12="",AY12="",COUNTIF($A$6:$A$505,A12)&gt;1),"REVIEW","TO_PROPOSED"),IF(OR(B12="",A12="",F12="",H12="",J12="",U12="",AW12="",COUNTIF($A$6:$A$505,A12)&gt;1,(COUNTIFS('أرقام التواصل'!$A$6:$A$505,"client",'أرقام التواصل'!$B$6:$B$505,A12,'أرقام التواصل'!$I$6:$I$505,"TRUE")+COUNTIFS('أرقام التواصل'!$A$6:$A$505,"client",'أرقام التواصل'!$B$6:$B$505,A12,'أرقام التواصل'!$C$6:$C$505,1))=0),"REVIEW","READY"))))</x:f>
      </x:c>
      <x:c r="BB12" s="224" t="str">
        <x:f>IF(BA12="","",IF(OR(BA12="READY",BA12="TO_PROPOSED"),"",IF(BA12="SKIP","Skipped by decision",TRIM(IF(B12="","missing import_action; ","")&amp;IF(A12="","missing migration_customer_key; ","")&amp;IF(AND(A12&lt;&gt;"",COUNTIF($A$6:$A$505,A12)&gt;1),"duplicate migration_customer_key; ","")&amp;IF(AND(NOT(OR(B12="to_candidate",AW12="proposed_name")),F12=""),"missing branch_id; ","")&amp;IF(AND(NOT(OR(B12="to_candidate",AW12="proposed_name")),H12=""),"missing first_name; ","")&amp;IF(AND(NOT(OR(B12="to_candidate",AW12="proposed_name")),J12=""),"missing last_name; ","")&amp;IF(AND(NOT(OR(B12="to_candidate",AW12="proposed_name")),U12=""),"missing final_geo_unit_id; ","")&amp;IF(AW12="","missing final_destination; ","")&amp;IF(AND(NOT(OR(B12="to_candidate",AW12="proposed_name")),(COUNTIFS('أرقام التواصل'!$A$6:$A$505,"client",'أرقام التواصل'!$B$6:$B$505,A12,'أرقام التواصل'!$I$6:$I$505,"TRUE")+COUNTIFS('أرقام التواصل'!$A$6:$A$505,"client",'أرقام التواصل'!$B$6:$B$505,A12,'أرقام التواصل'!$C$6:$C$505,1))=0),"missing primary contact in أرقام التواصل; ","")&amp;IF(OR(B12="to_candidate",AW12="proposed_name"),IF(AX12="","missing proposed_move_reason; ","")&amp;IF(AY12="","missing proposed_name_key; ",""),"")))))</x:f>
      </x:c>
    </x:row>
    <x:row r="13">
      <x:c r="A13" s="219"/>
      <x:c r="B13" s="220"/>
      <x:c r="C13" s="221"/>
      <x:c r="D13" s="220"/>
      <x:c r="E13" s="222"/>
      <x:c r="F13" s="220"/>
      <x:c r="G13" s="220"/>
      <x:c r="H13" s="220"/>
      <x:c r="I13" s="220"/>
      <x:c r="J13" s="220"/>
      <x:c r="K13" s="220"/>
      <x:c r="L13" s="220" t="str">
        <x:f>IF(TRIM(H13&amp;" "&amp;I13&amp;" "&amp;J13&amp;IF(K13&lt;&gt;""," ("&amp;K13&amp;")",""))="","",TRIM(H13&amp;" "&amp;I13&amp;" "&amp;J13&amp;IF(K13&lt;&gt;""," ("&amp;K13&amp;")","")))</x:f>
      </x:c>
      <x:c r="M13" s="220"/>
      <x:c r="N13" s="220"/>
      <x:c r="O13" s="220"/>
      <x:c r="P13" s="220"/>
      <x:c r="Q13" s="220"/>
      <x:c r="R13" s="220"/>
      <x:c r="S13" s="220"/>
      <x:c r="T13" s="220"/>
      <x:c r="U13" s="220" t="str">
        <x:f>IF(AND(M13="",O13="",Q13="",S13=""),"",IF(S13&lt;&gt;"",S13,IF(Q13&lt;&gt;"",Q13,IF(O13&lt;&gt;"",O13,M13))))</x:f>
      </x:c>
      <x:c r="V13" s="220" t="str">
        <x:f>IF(AND(N13="",P13="",R13="",T13=""),"",IF(T13&lt;&gt;"",T13,IF(R13&lt;&gt;"",R13,IF(P13&lt;&gt;"",P13,N13))))</x:f>
      </x:c>
      <x:c r="W13" s="221"/>
      <x:c r="X13" s="220"/>
      <x:c r="Y13" s="220"/>
      <x:c r="Z13" s="223"/>
      <x:c r="AA13" s="223"/>
      <x:c r="AB13" s="221"/>
      <x:c r="AC13" s="220"/>
      <x:c r="AD13" s="220"/>
      <x:c r="AE13" s="222"/>
      <x:c r="AF13" s="220"/>
      <x:c r="AG13" s="221"/>
      <x:c r="AH13" s="220"/>
      <x:c r="AI13" s="220"/>
      <x:c r="AJ13" s="222"/>
      <x:c r="AK13" s="220"/>
      <x:c r="AL13" s="220"/>
      <x:c r="AM13" s="220"/>
      <x:c r="AN13" s="220"/>
      <x:c r="AO13" s="220"/>
      <x:c r="AP13" s="220"/>
      <x:c r="AQ13" s="220"/>
      <x:c r="AR13" s="222"/>
      <x:c r="AS13" s="220"/>
      <x:c r="AT13" s="220"/>
      <x:c r="AU13" s="220"/>
      <x:c r="AV13" s="220"/>
      <x:c r="AW13" s="220"/>
      <x:c r="AX13" s="220"/>
      <x:c r="AY13" s="221"/>
      <x:c r="AZ13" s="220"/>
      <x:c r="BA13" s="220" t="str">
        <x:f>IF(AND(A13="",B13="",F13="",H13="",J13="",AW13="",AY13=""),"",IF(OR(B13="skip",AW13="skip"),"SKIP",IF(OR(B13="to_candidate",AW13="proposed_name"),IF(OR(A13="",AX13="",AY13="",COUNTIF($A$6:$A$505,A13)&gt;1),"REVIEW","TO_PROPOSED"),IF(OR(B13="",A13="",F13="",H13="",J13="",U13="",AW13="",COUNTIF($A$6:$A$505,A13)&gt;1,(COUNTIFS('أرقام التواصل'!$A$6:$A$505,"client",'أرقام التواصل'!$B$6:$B$505,A13,'أرقام التواصل'!$I$6:$I$505,"TRUE")+COUNTIFS('أرقام التواصل'!$A$6:$A$505,"client",'أرقام التواصل'!$B$6:$B$505,A13,'أرقام التواصل'!$C$6:$C$505,1))=0),"REVIEW","READY"))))</x:f>
      </x:c>
      <x:c r="BB13" s="224" t="str">
        <x:f>IF(BA13="","",IF(OR(BA13="READY",BA13="TO_PROPOSED"),"",IF(BA13="SKIP","Skipped by decision",TRIM(IF(B13="","missing import_action; ","")&amp;IF(A13="","missing migration_customer_key; ","")&amp;IF(AND(A13&lt;&gt;"",COUNTIF($A$6:$A$505,A13)&gt;1),"duplicate migration_customer_key; ","")&amp;IF(AND(NOT(OR(B13="to_candidate",AW13="proposed_name")),F13=""),"missing branch_id; ","")&amp;IF(AND(NOT(OR(B13="to_candidate",AW13="proposed_name")),H13=""),"missing first_name; ","")&amp;IF(AND(NOT(OR(B13="to_candidate",AW13="proposed_name")),J13=""),"missing last_name; ","")&amp;IF(AND(NOT(OR(B13="to_candidate",AW13="proposed_name")),U13=""),"missing final_geo_unit_id; ","")&amp;IF(AW13="","missing final_destination; ","")&amp;IF(AND(NOT(OR(B13="to_candidate",AW13="proposed_name")),(COUNTIFS('أرقام التواصل'!$A$6:$A$505,"client",'أرقام التواصل'!$B$6:$B$505,A13,'أرقام التواصل'!$I$6:$I$505,"TRUE")+COUNTIFS('أرقام التواصل'!$A$6:$A$505,"client",'أرقام التواصل'!$B$6:$B$505,A13,'أرقام التواصل'!$C$6:$C$505,1))=0),"missing primary contact in أرقام التواصل; ","")&amp;IF(OR(B13="to_candidate",AW13="proposed_name"),IF(AX13="","missing proposed_move_reason; ","")&amp;IF(AY13="","missing proposed_name_key; ",""),"")))))</x:f>
      </x:c>
    </x:row>
    <x:row r="14">
      <x:c r="A14" s="219"/>
      <x:c r="B14" s="220"/>
      <x:c r="C14" s="221"/>
      <x:c r="D14" s="220"/>
      <x:c r="E14" s="222"/>
      <x:c r="F14" s="220"/>
      <x:c r="G14" s="220"/>
      <x:c r="H14" s="220"/>
      <x:c r="I14" s="220"/>
      <x:c r="J14" s="220"/>
      <x:c r="K14" s="220"/>
      <x:c r="L14" s="220" t="str">
        <x:f>IF(TRIM(H14&amp;" "&amp;I14&amp;" "&amp;J14&amp;IF(K14&lt;&gt;""," ("&amp;K14&amp;")",""))="","",TRIM(H14&amp;" "&amp;I14&amp;" "&amp;J14&amp;IF(K14&lt;&gt;""," ("&amp;K14&amp;")","")))</x:f>
      </x:c>
      <x:c r="M14" s="220"/>
      <x:c r="N14" s="220"/>
      <x:c r="O14" s="220"/>
      <x:c r="P14" s="220"/>
      <x:c r="Q14" s="220"/>
      <x:c r="R14" s="220"/>
      <x:c r="S14" s="220"/>
      <x:c r="T14" s="220"/>
      <x:c r="U14" s="220" t="str">
        <x:f>IF(AND(M14="",O14="",Q14="",S14=""),"",IF(S14&lt;&gt;"",S14,IF(Q14&lt;&gt;"",Q14,IF(O14&lt;&gt;"",O14,M14))))</x:f>
      </x:c>
      <x:c r="V14" s="220" t="str">
        <x:f>IF(AND(N14="",P14="",R14="",T14=""),"",IF(T14&lt;&gt;"",T14,IF(R14&lt;&gt;"",R14,IF(P14&lt;&gt;"",P14,N14))))</x:f>
      </x:c>
      <x:c r="W14" s="221"/>
      <x:c r="X14" s="220"/>
      <x:c r="Y14" s="220"/>
      <x:c r="Z14" s="223"/>
      <x:c r="AA14" s="223"/>
      <x:c r="AB14" s="221"/>
      <x:c r="AC14" s="220"/>
      <x:c r="AD14" s="220"/>
      <x:c r="AE14" s="222"/>
      <x:c r="AF14" s="220"/>
      <x:c r="AG14" s="221"/>
      <x:c r="AH14" s="220"/>
      <x:c r="AI14" s="220"/>
      <x:c r="AJ14" s="222"/>
      <x:c r="AK14" s="220"/>
      <x:c r="AL14" s="220"/>
      <x:c r="AM14" s="220"/>
      <x:c r="AN14" s="220"/>
      <x:c r="AO14" s="220"/>
      <x:c r="AP14" s="220"/>
      <x:c r="AQ14" s="220"/>
      <x:c r="AR14" s="222"/>
      <x:c r="AS14" s="220"/>
      <x:c r="AT14" s="220"/>
      <x:c r="AU14" s="220"/>
      <x:c r="AV14" s="220"/>
      <x:c r="AW14" s="220"/>
      <x:c r="AX14" s="220"/>
      <x:c r="AY14" s="221"/>
      <x:c r="AZ14" s="220"/>
      <x:c r="BA14" s="220" t="str">
        <x:f>IF(AND(A14="",B14="",F14="",H14="",J14="",AW14="",AY14=""),"",IF(OR(B14="skip",AW14="skip"),"SKIP",IF(OR(B14="to_candidate",AW14="proposed_name"),IF(OR(A14="",AX14="",AY14="",COUNTIF($A$6:$A$505,A14)&gt;1),"REVIEW","TO_PROPOSED"),IF(OR(B14="",A14="",F14="",H14="",J14="",U14="",AW14="",COUNTIF($A$6:$A$505,A14)&gt;1,(COUNTIFS('أرقام التواصل'!$A$6:$A$505,"client",'أرقام التواصل'!$B$6:$B$505,A14,'أرقام التواصل'!$I$6:$I$505,"TRUE")+COUNTIFS('أرقام التواصل'!$A$6:$A$505,"client",'أرقام التواصل'!$B$6:$B$505,A14,'أرقام التواصل'!$C$6:$C$505,1))=0),"REVIEW","READY"))))</x:f>
      </x:c>
      <x:c r="BB14" s="224" t="str">
        <x:f>IF(BA14="","",IF(OR(BA14="READY",BA14="TO_PROPOSED"),"",IF(BA14="SKIP","Skipped by decision",TRIM(IF(B14="","missing import_action; ","")&amp;IF(A14="","missing migration_customer_key; ","")&amp;IF(AND(A14&lt;&gt;"",COUNTIF($A$6:$A$505,A14)&gt;1),"duplicate migration_customer_key; ","")&amp;IF(AND(NOT(OR(B14="to_candidate",AW14="proposed_name")),F14=""),"missing branch_id; ","")&amp;IF(AND(NOT(OR(B14="to_candidate",AW14="proposed_name")),H14=""),"missing first_name; ","")&amp;IF(AND(NOT(OR(B14="to_candidate",AW14="proposed_name")),J14=""),"missing last_name; ","")&amp;IF(AND(NOT(OR(B14="to_candidate",AW14="proposed_name")),U14=""),"missing final_geo_unit_id; ","")&amp;IF(AW14="","missing final_destination; ","")&amp;IF(AND(NOT(OR(B14="to_candidate",AW14="proposed_name")),(COUNTIFS('أرقام التواصل'!$A$6:$A$505,"client",'أرقام التواصل'!$B$6:$B$505,A14,'أرقام التواصل'!$I$6:$I$505,"TRUE")+COUNTIFS('أرقام التواصل'!$A$6:$A$505,"client",'أرقام التواصل'!$B$6:$B$505,A14,'أرقام التواصل'!$C$6:$C$505,1))=0),"missing primary contact in أرقام التواصل; ","")&amp;IF(OR(B14="to_candidate",AW14="proposed_name"),IF(AX14="","missing proposed_move_reason; ","")&amp;IF(AY14="","missing proposed_name_key; ",""),"")))))</x:f>
      </x:c>
    </x:row>
    <x:row r="15">
      <x:c r="A15" s="219"/>
      <x:c r="B15" s="220"/>
      <x:c r="C15" s="221"/>
      <x:c r="D15" s="220"/>
      <x:c r="E15" s="222"/>
      <x:c r="F15" s="220"/>
      <x:c r="G15" s="220"/>
      <x:c r="H15" s="220"/>
      <x:c r="I15" s="220"/>
      <x:c r="J15" s="220"/>
      <x:c r="K15" s="220"/>
      <x:c r="L15" s="220" t="str">
        <x:f>IF(TRIM(H15&amp;" "&amp;I15&amp;" "&amp;J15&amp;IF(K15&lt;&gt;""," ("&amp;K15&amp;")",""))="","",TRIM(H15&amp;" "&amp;I15&amp;" "&amp;J15&amp;IF(K15&lt;&gt;""," ("&amp;K15&amp;")","")))</x:f>
      </x:c>
      <x:c r="M15" s="220"/>
      <x:c r="N15" s="220"/>
      <x:c r="O15" s="220"/>
      <x:c r="P15" s="220"/>
      <x:c r="Q15" s="220"/>
      <x:c r="R15" s="220"/>
      <x:c r="S15" s="220"/>
      <x:c r="T15" s="220"/>
      <x:c r="U15" s="220" t="str">
        <x:f>IF(AND(M15="",O15="",Q15="",S15=""),"",IF(S15&lt;&gt;"",S15,IF(Q15&lt;&gt;"",Q15,IF(O15&lt;&gt;"",O15,M15))))</x:f>
      </x:c>
      <x:c r="V15" s="220" t="str">
        <x:f>IF(AND(N15="",P15="",R15="",T15=""),"",IF(T15&lt;&gt;"",T15,IF(R15&lt;&gt;"",R15,IF(P15&lt;&gt;"",P15,N15))))</x:f>
      </x:c>
      <x:c r="W15" s="221"/>
      <x:c r="X15" s="220"/>
      <x:c r="Y15" s="220"/>
      <x:c r="Z15" s="223"/>
      <x:c r="AA15" s="223"/>
      <x:c r="AB15" s="221"/>
      <x:c r="AC15" s="220"/>
      <x:c r="AD15" s="220"/>
      <x:c r="AE15" s="222"/>
      <x:c r="AF15" s="220"/>
      <x:c r="AG15" s="221"/>
      <x:c r="AH15" s="220"/>
      <x:c r="AI15" s="220"/>
      <x:c r="AJ15" s="222"/>
      <x:c r="AK15" s="220"/>
      <x:c r="AL15" s="220"/>
      <x:c r="AM15" s="220"/>
      <x:c r="AN15" s="220"/>
      <x:c r="AO15" s="220"/>
      <x:c r="AP15" s="220"/>
      <x:c r="AQ15" s="220"/>
      <x:c r="AR15" s="222"/>
      <x:c r="AS15" s="220"/>
      <x:c r="AT15" s="220"/>
      <x:c r="AU15" s="220"/>
      <x:c r="AV15" s="220"/>
      <x:c r="AW15" s="220"/>
      <x:c r="AX15" s="220"/>
      <x:c r="AY15" s="221"/>
      <x:c r="AZ15" s="220"/>
      <x:c r="BA15" s="220" t="str">
        <x:f>IF(AND(A15="",B15="",F15="",H15="",J15="",AW15="",AY15=""),"",IF(OR(B15="skip",AW15="skip"),"SKIP",IF(OR(B15="to_candidate",AW15="proposed_name"),IF(OR(A15="",AX15="",AY15="",COUNTIF($A$6:$A$505,A15)&gt;1),"REVIEW","TO_PROPOSED"),IF(OR(B15="",A15="",F15="",H15="",J15="",U15="",AW15="",COUNTIF($A$6:$A$505,A15)&gt;1,(COUNTIFS('أرقام التواصل'!$A$6:$A$505,"client",'أرقام التواصل'!$B$6:$B$505,A15,'أرقام التواصل'!$I$6:$I$505,"TRUE")+COUNTIFS('أرقام التواصل'!$A$6:$A$505,"client",'أرقام التواصل'!$B$6:$B$505,A15,'أرقام التواصل'!$C$6:$C$505,1))=0),"REVIEW","READY"))))</x:f>
      </x:c>
      <x:c r="BB15" s="224" t="str">
        <x:f>IF(BA15="","",IF(OR(BA15="READY",BA15="TO_PROPOSED"),"",IF(BA15="SKIP","Skipped by decision",TRIM(IF(B15="","missing import_action; ","")&amp;IF(A15="","missing migration_customer_key; ","")&amp;IF(AND(A15&lt;&gt;"",COUNTIF($A$6:$A$505,A15)&gt;1),"duplicate migration_customer_key; ","")&amp;IF(AND(NOT(OR(B15="to_candidate",AW15="proposed_name")),F15=""),"missing branch_id; ","")&amp;IF(AND(NOT(OR(B15="to_candidate",AW15="proposed_name")),H15=""),"missing first_name; ","")&amp;IF(AND(NOT(OR(B15="to_candidate",AW15="proposed_name")),J15=""),"missing last_name; ","")&amp;IF(AND(NOT(OR(B15="to_candidate",AW15="proposed_name")),U15=""),"missing final_geo_unit_id; ","")&amp;IF(AW15="","missing final_destination; ","")&amp;IF(AND(NOT(OR(B15="to_candidate",AW15="proposed_name")),(COUNTIFS('أرقام التواصل'!$A$6:$A$505,"client",'أرقام التواصل'!$B$6:$B$505,A15,'أرقام التواصل'!$I$6:$I$505,"TRUE")+COUNTIFS('أرقام التواصل'!$A$6:$A$505,"client",'أرقام التواصل'!$B$6:$B$505,A15,'أرقام التواصل'!$C$6:$C$505,1))=0),"missing primary contact in أرقام التواصل; ","")&amp;IF(OR(B15="to_candidate",AW15="proposed_name"),IF(AX15="","missing proposed_move_reason; ","")&amp;IF(AY15="","missing proposed_name_key; ",""),"")))))</x:f>
      </x:c>
    </x:row>
    <x:row r="16">
      <x:c r="A16" s="219"/>
      <x:c r="B16" s="220"/>
      <x:c r="C16" s="221"/>
      <x:c r="D16" s="220"/>
      <x:c r="E16" s="222"/>
      <x:c r="F16" s="220"/>
      <x:c r="G16" s="220"/>
      <x:c r="H16" s="220"/>
      <x:c r="I16" s="220"/>
      <x:c r="J16" s="220"/>
      <x:c r="K16" s="220"/>
      <x:c r="L16" s="220" t="str">
        <x:f>IF(TRIM(H16&amp;" "&amp;I16&amp;" "&amp;J16&amp;IF(K16&lt;&gt;""," ("&amp;K16&amp;")",""))="","",TRIM(H16&amp;" "&amp;I16&amp;" "&amp;J16&amp;IF(K16&lt;&gt;""," ("&amp;K16&amp;")","")))</x:f>
      </x:c>
      <x:c r="M16" s="220"/>
      <x:c r="N16" s="220"/>
      <x:c r="O16" s="220"/>
      <x:c r="P16" s="220"/>
      <x:c r="Q16" s="220"/>
      <x:c r="R16" s="220"/>
      <x:c r="S16" s="220"/>
      <x:c r="T16" s="220"/>
      <x:c r="U16" s="220" t="str">
        <x:f>IF(AND(M16="",O16="",Q16="",S16=""),"",IF(S16&lt;&gt;"",S16,IF(Q16&lt;&gt;"",Q16,IF(O16&lt;&gt;"",O16,M16))))</x:f>
      </x:c>
      <x:c r="V16" s="220" t="str">
        <x:f>IF(AND(N16="",P16="",R16="",T16=""),"",IF(T16&lt;&gt;"",T16,IF(R16&lt;&gt;"",R16,IF(P16&lt;&gt;"",P16,N16))))</x:f>
      </x:c>
      <x:c r="W16" s="221"/>
      <x:c r="X16" s="220"/>
      <x:c r="Y16" s="220"/>
      <x:c r="Z16" s="223"/>
      <x:c r="AA16" s="223"/>
      <x:c r="AB16" s="221"/>
      <x:c r="AC16" s="220"/>
      <x:c r="AD16" s="220"/>
      <x:c r="AE16" s="222"/>
      <x:c r="AF16" s="220"/>
      <x:c r="AG16" s="221"/>
      <x:c r="AH16" s="220"/>
      <x:c r="AI16" s="220"/>
      <x:c r="AJ16" s="222"/>
      <x:c r="AK16" s="220"/>
      <x:c r="AL16" s="220"/>
      <x:c r="AM16" s="220"/>
      <x:c r="AN16" s="220"/>
      <x:c r="AO16" s="220"/>
      <x:c r="AP16" s="220"/>
      <x:c r="AQ16" s="220"/>
      <x:c r="AR16" s="222"/>
      <x:c r="AS16" s="220"/>
      <x:c r="AT16" s="220"/>
      <x:c r="AU16" s="220"/>
      <x:c r="AV16" s="220"/>
      <x:c r="AW16" s="220"/>
      <x:c r="AX16" s="220"/>
      <x:c r="AY16" s="221"/>
      <x:c r="AZ16" s="220"/>
      <x:c r="BA16" s="220" t="str">
        <x:f>IF(AND(A16="",B16="",F16="",H16="",J16="",AW16="",AY16=""),"",IF(OR(B16="skip",AW16="skip"),"SKIP",IF(OR(B16="to_candidate",AW16="proposed_name"),IF(OR(A16="",AX16="",AY16="",COUNTIF($A$6:$A$505,A16)&gt;1),"REVIEW","TO_PROPOSED"),IF(OR(B16="",A16="",F16="",H16="",J16="",U16="",AW16="",COUNTIF($A$6:$A$505,A16)&gt;1,(COUNTIFS('أرقام التواصل'!$A$6:$A$505,"client",'أرقام التواصل'!$B$6:$B$505,A16,'أرقام التواصل'!$I$6:$I$505,"TRUE")+COUNTIFS('أرقام التواصل'!$A$6:$A$505,"client",'أرقام التواصل'!$B$6:$B$505,A16,'أرقام التواصل'!$C$6:$C$505,1))=0),"REVIEW","READY"))))</x:f>
      </x:c>
      <x:c r="BB16" s="224" t="str">
        <x:f>IF(BA16="","",IF(OR(BA16="READY",BA16="TO_PROPOSED"),"",IF(BA16="SKIP","Skipped by decision",TRIM(IF(B16="","missing import_action; ","")&amp;IF(A16="","missing migration_customer_key; ","")&amp;IF(AND(A16&lt;&gt;"",COUNTIF($A$6:$A$505,A16)&gt;1),"duplicate migration_customer_key; ","")&amp;IF(AND(NOT(OR(B16="to_candidate",AW16="proposed_name")),F16=""),"missing branch_id; ","")&amp;IF(AND(NOT(OR(B16="to_candidate",AW16="proposed_name")),H16=""),"missing first_name; ","")&amp;IF(AND(NOT(OR(B16="to_candidate",AW16="proposed_name")),J16=""),"missing last_name; ","")&amp;IF(AND(NOT(OR(B16="to_candidate",AW16="proposed_name")),U16=""),"missing final_geo_unit_id; ","")&amp;IF(AW16="","missing final_destination; ","")&amp;IF(AND(NOT(OR(B16="to_candidate",AW16="proposed_name")),(COUNTIFS('أرقام التواصل'!$A$6:$A$505,"client",'أرقام التواصل'!$B$6:$B$505,A16,'أرقام التواصل'!$I$6:$I$505,"TRUE")+COUNTIFS('أرقام التواصل'!$A$6:$A$505,"client",'أرقام التواصل'!$B$6:$B$505,A16,'أرقام التواصل'!$C$6:$C$505,1))=0),"missing primary contact in أرقام التواصل; ","")&amp;IF(OR(B16="to_candidate",AW16="proposed_name"),IF(AX16="","missing proposed_move_reason; ","")&amp;IF(AY16="","missing proposed_name_key; ",""),"")))))</x:f>
      </x:c>
    </x:row>
    <x:row r="17">
      <x:c r="A17" s="219"/>
      <x:c r="B17" s="220"/>
      <x:c r="C17" s="221"/>
      <x:c r="D17" s="220"/>
      <x:c r="E17" s="222"/>
      <x:c r="F17" s="220"/>
      <x:c r="G17" s="220"/>
      <x:c r="H17" s="220"/>
      <x:c r="I17" s="220"/>
      <x:c r="J17" s="220"/>
      <x:c r="K17" s="220"/>
      <x:c r="L17" s="220" t="str">
        <x:f>IF(TRIM(H17&amp;" "&amp;I17&amp;" "&amp;J17&amp;IF(K17&lt;&gt;""," ("&amp;K17&amp;")",""))="","",TRIM(H17&amp;" "&amp;I17&amp;" "&amp;J17&amp;IF(K17&lt;&gt;""," ("&amp;K17&amp;")","")))</x:f>
      </x:c>
      <x:c r="M17" s="220"/>
      <x:c r="N17" s="220"/>
      <x:c r="O17" s="220"/>
      <x:c r="P17" s="220"/>
      <x:c r="Q17" s="220"/>
      <x:c r="R17" s="220"/>
      <x:c r="S17" s="220"/>
      <x:c r="T17" s="220"/>
      <x:c r="U17" s="220" t="str">
        <x:f>IF(AND(M17="",O17="",Q17="",S17=""),"",IF(S17&lt;&gt;"",S17,IF(Q17&lt;&gt;"",Q17,IF(O17&lt;&gt;"",O17,M17))))</x:f>
      </x:c>
      <x:c r="V17" s="220" t="str">
        <x:f>IF(AND(N17="",P17="",R17="",T17=""),"",IF(T17&lt;&gt;"",T17,IF(R17&lt;&gt;"",R17,IF(P17&lt;&gt;"",P17,N17))))</x:f>
      </x:c>
      <x:c r="W17" s="221"/>
      <x:c r="X17" s="220"/>
      <x:c r="Y17" s="220"/>
      <x:c r="Z17" s="223"/>
      <x:c r="AA17" s="223"/>
      <x:c r="AB17" s="221"/>
      <x:c r="AC17" s="220"/>
      <x:c r="AD17" s="220"/>
      <x:c r="AE17" s="222"/>
      <x:c r="AF17" s="220"/>
      <x:c r="AG17" s="221"/>
      <x:c r="AH17" s="220"/>
      <x:c r="AI17" s="220"/>
      <x:c r="AJ17" s="222"/>
      <x:c r="AK17" s="220"/>
      <x:c r="AL17" s="220"/>
      <x:c r="AM17" s="220"/>
      <x:c r="AN17" s="220"/>
      <x:c r="AO17" s="220"/>
      <x:c r="AP17" s="220"/>
      <x:c r="AQ17" s="220"/>
      <x:c r="AR17" s="222"/>
      <x:c r="AS17" s="220"/>
      <x:c r="AT17" s="220"/>
      <x:c r="AU17" s="220"/>
      <x:c r="AV17" s="220"/>
      <x:c r="AW17" s="220"/>
      <x:c r="AX17" s="220"/>
      <x:c r="AY17" s="221"/>
      <x:c r="AZ17" s="220"/>
      <x:c r="BA17" s="220" t="str">
        <x:f>IF(AND(A17="",B17="",F17="",H17="",J17="",AW17="",AY17=""),"",IF(OR(B17="skip",AW17="skip"),"SKIP",IF(OR(B17="to_candidate",AW17="proposed_name"),IF(OR(A17="",AX17="",AY17="",COUNTIF($A$6:$A$505,A17)&gt;1),"REVIEW","TO_PROPOSED"),IF(OR(B17="",A17="",F17="",H17="",J17="",U17="",AW17="",COUNTIF($A$6:$A$505,A17)&gt;1,(COUNTIFS('أرقام التواصل'!$A$6:$A$505,"client",'أرقام التواصل'!$B$6:$B$505,A17,'أرقام التواصل'!$I$6:$I$505,"TRUE")+COUNTIFS('أرقام التواصل'!$A$6:$A$505,"client",'أرقام التواصل'!$B$6:$B$505,A17,'أرقام التواصل'!$C$6:$C$505,1))=0),"REVIEW","READY"))))</x:f>
      </x:c>
      <x:c r="BB17" s="224" t="str">
        <x:f>IF(BA17="","",IF(OR(BA17="READY",BA17="TO_PROPOSED"),"",IF(BA17="SKIP","Skipped by decision",TRIM(IF(B17="","missing import_action; ","")&amp;IF(A17="","missing migration_customer_key; ","")&amp;IF(AND(A17&lt;&gt;"",COUNTIF($A$6:$A$505,A17)&gt;1),"duplicate migration_customer_key; ","")&amp;IF(AND(NOT(OR(B17="to_candidate",AW17="proposed_name")),F17=""),"missing branch_id; ","")&amp;IF(AND(NOT(OR(B17="to_candidate",AW17="proposed_name")),H17=""),"missing first_name; ","")&amp;IF(AND(NOT(OR(B17="to_candidate",AW17="proposed_name")),J17=""),"missing last_name; ","")&amp;IF(AND(NOT(OR(B17="to_candidate",AW17="proposed_name")),U17=""),"missing final_geo_unit_id; ","")&amp;IF(AW17="","missing final_destination; ","")&amp;IF(AND(NOT(OR(B17="to_candidate",AW17="proposed_name")),(COUNTIFS('أرقام التواصل'!$A$6:$A$505,"client",'أرقام التواصل'!$B$6:$B$505,A17,'أرقام التواصل'!$I$6:$I$505,"TRUE")+COUNTIFS('أرقام التواصل'!$A$6:$A$505,"client",'أرقام التواصل'!$B$6:$B$505,A17,'أرقام التواصل'!$C$6:$C$505,1))=0),"missing primary contact in أرقام التواصل; ","")&amp;IF(OR(B17="to_candidate",AW17="proposed_name"),IF(AX17="","missing proposed_move_reason; ","")&amp;IF(AY17="","missing proposed_name_key; ",""),"")))))</x:f>
      </x:c>
    </x:row>
    <x:row r="18">
      <x:c r="A18" s="219"/>
      <x:c r="B18" s="220"/>
      <x:c r="C18" s="221"/>
      <x:c r="D18" s="220"/>
      <x:c r="E18" s="222"/>
      <x:c r="F18" s="220"/>
      <x:c r="G18" s="220"/>
      <x:c r="H18" s="220"/>
      <x:c r="I18" s="220"/>
      <x:c r="J18" s="220"/>
      <x:c r="K18" s="220"/>
      <x:c r="L18" s="220" t="str">
        <x:f>IF(TRIM(H18&amp;" "&amp;I18&amp;" "&amp;J18&amp;IF(K18&lt;&gt;""," ("&amp;K18&amp;")",""))="","",TRIM(H18&amp;" "&amp;I18&amp;" "&amp;J18&amp;IF(K18&lt;&gt;""," ("&amp;K18&amp;")","")))</x:f>
      </x:c>
      <x:c r="M18" s="220"/>
      <x:c r="N18" s="220"/>
      <x:c r="O18" s="220"/>
      <x:c r="P18" s="220"/>
      <x:c r="Q18" s="220"/>
      <x:c r="R18" s="220"/>
      <x:c r="S18" s="220"/>
      <x:c r="T18" s="220"/>
      <x:c r="U18" s="220" t="str">
        <x:f>IF(AND(M18="",O18="",Q18="",S18=""),"",IF(S18&lt;&gt;"",S18,IF(Q18&lt;&gt;"",Q18,IF(O18&lt;&gt;"",O18,M18))))</x:f>
      </x:c>
      <x:c r="V18" s="220" t="str">
        <x:f>IF(AND(N18="",P18="",R18="",T18=""),"",IF(T18&lt;&gt;"",T18,IF(R18&lt;&gt;"",R18,IF(P18&lt;&gt;"",P18,N18))))</x:f>
      </x:c>
      <x:c r="W18" s="221"/>
      <x:c r="X18" s="220"/>
      <x:c r="Y18" s="220"/>
      <x:c r="Z18" s="223"/>
      <x:c r="AA18" s="223"/>
      <x:c r="AB18" s="221"/>
      <x:c r="AC18" s="220"/>
      <x:c r="AD18" s="220"/>
      <x:c r="AE18" s="222"/>
      <x:c r="AF18" s="220"/>
      <x:c r="AG18" s="221"/>
      <x:c r="AH18" s="220"/>
      <x:c r="AI18" s="220"/>
      <x:c r="AJ18" s="222"/>
      <x:c r="AK18" s="220"/>
      <x:c r="AL18" s="220"/>
      <x:c r="AM18" s="220"/>
      <x:c r="AN18" s="220"/>
      <x:c r="AO18" s="220"/>
      <x:c r="AP18" s="220"/>
      <x:c r="AQ18" s="220"/>
      <x:c r="AR18" s="222"/>
      <x:c r="AS18" s="220"/>
      <x:c r="AT18" s="220"/>
      <x:c r="AU18" s="220"/>
      <x:c r="AV18" s="220"/>
      <x:c r="AW18" s="220"/>
      <x:c r="AX18" s="220"/>
      <x:c r="AY18" s="221"/>
      <x:c r="AZ18" s="220"/>
      <x:c r="BA18" s="220" t="str">
        <x:f>IF(AND(A18="",B18="",F18="",H18="",J18="",AW18="",AY18=""),"",IF(OR(B18="skip",AW18="skip"),"SKIP",IF(OR(B18="to_candidate",AW18="proposed_name"),IF(OR(A18="",AX18="",AY18="",COUNTIF($A$6:$A$505,A18)&gt;1),"REVIEW","TO_PROPOSED"),IF(OR(B18="",A18="",F18="",H18="",J18="",U18="",AW18="",COUNTIF($A$6:$A$505,A18)&gt;1,(COUNTIFS('أرقام التواصل'!$A$6:$A$505,"client",'أرقام التواصل'!$B$6:$B$505,A18,'أرقام التواصل'!$I$6:$I$505,"TRUE")+COUNTIFS('أرقام التواصل'!$A$6:$A$505,"client",'أرقام التواصل'!$B$6:$B$505,A18,'أرقام التواصل'!$C$6:$C$505,1))=0),"REVIEW","READY"))))</x:f>
      </x:c>
      <x:c r="BB18" s="224" t="str">
        <x:f>IF(BA18="","",IF(OR(BA18="READY",BA18="TO_PROPOSED"),"",IF(BA18="SKIP","Skipped by decision",TRIM(IF(B18="","missing import_action; ","")&amp;IF(A18="","missing migration_customer_key; ","")&amp;IF(AND(A18&lt;&gt;"",COUNTIF($A$6:$A$505,A18)&gt;1),"duplicate migration_customer_key; ","")&amp;IF(AND(NOT(OR(B18="to_candidate",AW18="proposed_name")),F18=""),"missing branch_id; ","")&amp;IF(AND(NOT(OR(B18="to_candidate",AW18="proposed_name")),H18=""),"missing first_name; ","")&amp;IF(AND(NOT(OR(B18="to_candidate",AW18="proposed_name")),J18=""),"missing last_name; ","")&amp;IF(AND(NOT(OR(B18="to_candidate",AW18="proposed_name")),U18=""),"missing final_geo_unit_id; ","")&amp;IF(AW18="","missing final_destination; ","")&amp;IF(AND(NOT(OR(B18="to_candidate",AW18="proposed_name")),(COUNTIFS('أرقام التواصل'!$A$6:$A$505,"client",'أرقام التواصل'!$B$6:$B$505,A18,'أرقام التواصل'!$I$6:$I$505,"TRUE")+COUNTIFS('أرقام التواصل'!$A$6:$A$505,"client",'أرقام التواصل'!$B$6:$B$505,A18,'أرقام التواصل'!$C$6:$C$505,1))=0),"missing primary contact in أرقام التواصل; ","")&amp;IF(OR(B18="to_candidate",AW18="proposed_name"),IF(AX18="","missing proposed_move_reason; ","")&amp;IF(AY18="","missing proposed_name_key; ",""),"")))))</x:f>
      </x:c>
    </x:row>
    <x:row r="19">
      <x:c r="A19" s="219"/>
      <x:c r="B19" s="220"/>
      <x:c r="C19" s="221"/>
      <x:c r="D19" s="220"/>
      <x:c r="E19" s="222"/>
      <x:c r="F19" s="220"/>
      <x:c r="G19" s="220"/>
      <x:c r="H19" s="220"/>
      <x:c r="I19" s="220"/>
      <x:c r="J19" s="220"/>
      <x:c r="K19" s="220"/>
      <x:c r="L19" s="220" t="str">
        <x:f>IF(TRIM(H19&amp;" "&amp;I19&amp;" "&amp;J19&amp;IF(K19&lt;&gt;""," ("&amp;K19&amp;")",""))="","",TRIM(H19&amp;" "&amp;I19&amp;" "&amp;J19&amp;IF(K19&lt;&gt;""," ("&amp;K19&amp;")","")))</x:f>
      </x:c>
      <x:c r="M19" s="220"/>
      <x:c r="N19" s="220"/>
      <x:c r="O19" s="220"/>
      <x:c r="P19" s="220"/>
      <x:c r="Q19" s="220"/>
      <x:c r="R19" s="220"/>
      <x:c r="S19" s="220"/>
      <x:c r="T19" s="220"/>
      <x:c r="U19" s="220" t="str">
        <x:f>IF(AND(M19="",O19="",Q19="",S19=""),"",IF(S19&lt;&gt;"",S19,IF(Q19&lt;&gt;"",Q19,IF(O19&lt;&gt;"",O19,M19))))</x:f>
      </x:c>
      <x:c r="V19" s="220" t="str">
        <x:f>IF(AND(N19="",P19="",R19="",T19=""),"",IF(T19&lt;&gt;"",T19,IF(R19&lt;&gt;"",R19,IF(P19&lt;&gt;"",P19,N19))))</x:f>
      </x:c>
      <x:c r="W19" s="221"/>
      <x:c r="X19" s="220"/>
      <x:c r="Y19" s="220"/>
      <x:c r="Z19" s="223"/>
      <x:c r="AA19" s="223"/>
      <x:c r="AB19" s="221"/>
      <x:c r="AC19" s="220"/>
      <x:c r="AD19" s="220"/>
      <x:c r="AE19" s="222"/>
      <x:c r="AF19" s="220"/>
      <x:c r="AG19" s="221"/>
      <x:c r="AH19" s="220"/>
      <x:c r="AI19" s="220"/>
      <x:c r="AJ19" s="222"/>
      <x:c r="AK19" s="220"/>
      <x:c r="AL19" s="220"/>
      <x:c r="AM19" s="220"/>
      <x:c r="AN19" s="220"/>
      <x:c r="AO19" s="220"/>
      <x:c r="AP19" s="220"/>
      <x:c r="AQ19" s="220"/>
      <x:c r="AR19" s="222"/>
      <x:c r="AS19" s="220"/>
      <x:c r="AT19" s="220"/>
      <x:c r="AU19" s="220"/>
      <x:c r="AV19" s="220"/>
      <x:c r="AW19" s="220"/>
      <x:c r="AX19" s="220"/>
      <x:c r="AY19" s="221"/>
      <x:c r="AZ19" s="220"/>
      <x:c r="BA19" s="220" t="str">
        <x:f>IF(AND(A19="",B19="",F19="",H19="",J19="",AW19="",AY19=""),"",IF(OR(B19="skip",AW19="skip"),"SKIP",IF(OR(B19="to_candidate",AW19="proposed_name"),IF(OR(A19="",AX19="",AY19="",COUNTIF($A$6:$A$505,A19)&gt;1),"REVIEW","TO_PROPOSED"),IF(OR(B19="",A19="",F19="",H19="",J19="",U19="",AW19="",COUNTIF($A$6:$A$505,A19)&gt;1,(COUNTIFS('أرقام التواصل'!$A$6:$A$505,"client",'أرقام التواصل'!$B$6:$B$505,A19,'أرقام التواصل'!$I$6:$I$505,"TRUE")+COUNTIFS('أرقام التواصل'!$A$6:$A$505,"client",'أرقام التواصل'!$B$6:$B$505,A19,'أرقام التواصل'!$C$6:$C$505,1))=0),"REVIEW","READY"))))</x:f>
      </x:c>
      <x:c r="BB19" s="224" t="str">
        <x:f>IF(BA19="","",IF(OR(BA19="READY",BA19="TO_PROPOSED"),"",IF(BA19="SKIP","Skipped by decision",TRIM(IF(B19="","missing import_action; ","")&amp;IF(A19="","missing migration_customer_key; ","")&amp;IF(AND(A19&lt;&gt;"",COUNTIF($A$6:$A$505,A19)&gt;1),"duplicate migration_customer_key; ","")&amp;IF(AND(NOT(OR(B19="to_candidate",AW19="proposed_name")),F19=""),"missing branch_id; ","")&amp;IF(AND(NOT(OR(B19="to_candidate",AW19="proposed_name")),H19=""),"missing first_name; ","")&amp;IF(AND(NOT(OR(B19="to_candidate",AW19="proposed_name")),J19=""),"missing last_name; ","")&amp;IF(AND(NOT(OR(B19="to_candidate",AW19="proposed_name")),U19=""),"missing final_geo_unit_id; ","")&amp;IF(AW19="","missing final_destination; ","")&amp;IF(AND(NOT(OR(B19="to_candidate",AW19="proposed_name")),(COUNTIFS('أرقام التواصل'!$A$6:$A$505,"client",'أرقام التواصل'!$B$6:$B$505,A19,'أرقام التواصل'!$I$6:$I$505,"TRUE")+COUNTIFS('أرقام التواصل'!$A$6:$A$505,"client",'أرقام التواصل'!$B$6:$B$505,A19,'أرقام التواصل'!$C$6:$C$505,1))=0),"missing primary contact in أرقام التواصل; ","")&amp;IF(OR(B19="to_candidate",AW19="proposed_name"),IF(AX19="","missing proposed_move_reason; ","")&amp;IF(AY19="","missing proposed_name_key; ",""),"")))))</x:f>
      </x:c>
    </x:row>
    <x:row r="20">
      <x:c r="A20" s="219"/>
      <x:c r="B20" s="220"/>
      <x:c r="C20" s="221"/>
      <x:c r="D20" s="220"/>
      <x:c r="E20" s="222"/>
      <x:c r="F20" s="220"/>
      <x:c r="G20" s="220"/>
      <x:c r="H20" s="220"/>
      <x:c r="I20" s="220"/>
      <x:c r="J20" s="220"/>
      <x:c r="K20" s="220"/>
      <x:c r="L20" s="220" t="str">
        <x:f>IF(TRIM(H20&amp;" "&amp;I20&amp;" "&amp;J20&amp;IF(K20&lt;&gt;""," ("&amp;K20&amp;")",""))="","",TRIM(H20&amp;" "&amp;I20&amp;" "&amp;J20&amp;IF(K20&lt;&gt;""," ("&amp;K20&amp;")","")))</x:f>
      </x:c>
      <x:c r="M20" s="220"/>
      <x:c r="N20" s="220"/>
      <x:c r="O20" s="220"/>
      <x:c r="P20" s="220"/>
      <x:c r="Q20" s="220"/>
      <x:c r="R20" s="220"/>
      <x:c r="S20" s="220"/>
      <x:c r="T20" s="220"/>
      <x:c r="U20" s="220" t="str">
        <x:f>IF(AND(M20="",O20="",Q20="",S20=""),"",IF(S20&lt;&gt;"",S20,IF(Q20&lt;&gt;"",Q20,IF(O20&lt;&gt;"",O20,M20))))</x:f>
      </x:c>
      <x:c r="V20" s="220" t="str">
        <x:f>IF(AND(N20="",P20="",R20="",T20=""),"",IF(T20&lt;&gt;"",T20,IF(R20&lt;&gt;"",R20,IF(P20&lt;&gt;"",P20,N20))))</x:f>
      </x:c>
      <x:c r="W20" s="221"/>
      <x:c r="X20" s="220"/>
      <x:c r="Y20" s="220"/>
      <x:c r="Z20" s="223"/>
      <x:c r="AA20" s="223"/>
      <x:c r="AB20" s="221"/>
      <x:c r="AC20" s="220"/>
      <x:c r="AD20" s="220"/>
      <x:c r="AE20" s="222"/>
      <x:c r="AF20" s="220"/>
      <x:c r="AG20" s="221"/>
      <x:c r="AH20" s="220"/>
      <x:c r="AI20" s="220"/>
      <x:c r="AJ20" s="222"/>
      <x:c r="AK20" s="220"/>
      <x:c r="AL20" s="220"/>
      <x:c r="AM20" s="220"/>
      <x:c r="AN20" s="220"/>
      <x:c r="AO20" s="220"/>
      <x:c r="AP20" s="220"/>
      <x:c r="AQ20" s="220"/>
      <x:c r="AR20" s="222"/>
      <x:c r="AS20" s="220"/>
      <x:c r="AT20" s="220"/>
      <x:c r="AU20" s="220"/>
      <x:c r="AV20" s="220"/>
      <x:c r="AW20" s="220"/>
      <x:c r="AX20" s="220"/>
      <x:c r="AY20" s="221"/>
      <x:c r="AZ20" s="220"/>
      <x:c r="BA20" s="220" t="str">
        <x:f>IF(AND(A20="",B20="",F20="",H20="",J20="",AW20="",AY20=""),"",IF(OR(B20="skip",AW20="skip"),"SKIP",IF(OR(B20="to_candidate",AW20="proposed_name"),IF(OR(A20="",AX20="",AY20="",COUNTIF($A$6:$A$505,A20)&gt;1),"REVIEW","TO_PROPOSED"),IF(OR(B20="",A20="",F20="",H20="",J20="",U20="",AW20="",COUNTIF($A$6:$A$505,A20)&gt;1,(COUNTIFS('أرقام التواصل'!$A$6:$A$505,"client",'أرقام التواصل'!$B$6:$B$505,A20,'أرقام التواصل'!$I$6:$I$505,"TRUE")+COUNTIFS('أرقام التواصل'!$A$6:$A$505,"client",'أرقام التواصل'!$B$6:$B$505,A20,'أرقام التواصل'!$C$6:$C$505,1))=0),"REVIEW","READY"))))</x:f>
      </x:c>
      <x:c r="BB20" s="224" t="str">
        <x:f>IF(BA20="","",IF(OR(BA20="READY",BA20="TO_PROPOSED"),"",IF(BA20="SKIP","Skipped by decision",TRIM(IF(B20="","missing import_action; ","")&amp;IF(A20="","missing migration_customer_key; ","")&amp;IF(AND(A20&lt;&gt;"",COUNTIF($A$6:$A$505,A20)&gt;1),"duplicate migration_customer_key; ","")&amp;IF(AND(NOT(OR(B20="to_candidate",AW20="proposed_name")),F20=""),"missing branch_id; ","")&amp;IF(AND(NOT(OR(B20="to_candidate",AW20="proposed_name")),H20=""),"missing first_name; ","")&amp;IF(AND(NOT(OR(B20="to_candidate",AW20="proposed_name")),J20=""),"missing last_name; ","")&amp;IF(AND(NOT(OR(B20="to_candidate",AW20="proposed_name")),U20=""),"missing final_geo_unit_id; ","")&amp;IF(AW20="","missing final_destination; ","")&amp;IF(AND(NOT(OR(B20="to_candidate",AW20="proposed_name")),(COUNTIFS('أرقام التواصل'!$A$6:$A$505,"client",'أرقام التواصل'!$B$6:$B$505,A20,'أرقام التواصل'!$I$6:$I$505,"TRUE")+COUNTIFS('أرقام التواصل'!$A$6:$A$505,"client",'أرقام التواصل'!$B$6:$B$505,A20,'أرقام التواصل'!$C$6:$C$505,1))=0),"missing primary contact in أرقام التواصل; ","")&amp;IF(OR(B20="to_candidate",AW20="proposed_name"),IF(AX20="","missing proposed_move_reason; ","")&amp;IF(AY20="","missing proposed_name_key; ",""),"")))))</x:f>
      </x:c>
    </x:row>
    <x:row r="21">
      <x:c r="A21" s="219"/>
      <x:c r="B21" s="220"/>
      <x:c r="C21" s="221"/>
      <x:c r="D21" s="220"/>
      <x:c r="E21" s="222"/>
      <x:c r="F21" s="220"/>
      <x:c r="G21" s="220"/>
      <x:c r="H21" s="220"/>
      <x:c r="I21" s="220"/>
      <x:c r="J21" s="220"/>
      <x:c r="K21" s="220"/>
      <x:c r="L21" s="220" t="str">
        <x:f>IF(TRIM(H21&amp;" "&amp;I21&amp;" "&amp;J21&amp;IF(K21&lt;&gt;""," ("&amp;K21&amp;")",""))="","",TRIM(H21&amp;" "&amp;I21&amp;" "&amp;J21&amp;IF(K21&lt;&gt;""," ("&amp;K21&amp;")","")))</x:f>
      </x:c>
      <x:c r="M21" s="220"/>
      <x:c r="N21" s="220"/>
      <x:c r="O21" s="220"/>
      <x:c r="P21" s="220"/>
      <x:c r="Q21" s="220"/>
      <x:c r="R21" s="220"/>
      <x:c r="S21" s="220"/>
      <x:c r="T21" s="220"/>
      <x:c r="U21" s="220" t="str">
        <x:f>IF(AND(M21="",O21="",Q21="",S21=""),"",IF(S21&lt;&gt;"",S21,IF(Q21&lt;&gt;"",Q21,IF(O21&lt;&gt;"",O21,M21))))</x:f>
      </x:c>
      <x:c r="V21" s="220" t="str">
        <x:f>IF(AND(N21="",P21="",R21="",T21=""),"",IF(T21&lt;&gt;"",T21,IF(R21&lt;&gt;"",R21,IF(P21&lt;&gt;"",P21,N21))))</x:f>
      </x:c>
      <x:c r="W21" s="221"/>
      <x:c r="X21" s="220"/>
      <x:c r="Y21" s="220"/>
      <x:c r="Z21" s="223"/>
      <x:c r="AA21" s="223"/>
      <x:c r="AB21" s="221"/>
      <x:c r="AC21" s="220"/>
      <x:c r="AD21" s="220"/>
      <x:c r="AE21" s="222"/>
      <x:c r="AF21" s="220"/>
      <x:c r="AG21" s="221"/>
      <x:c r="AH21" s="220"/>
      <x:c r="AI21" s="220"/>
      <x:c r="AJ21" s="222"/>
      <x:c r="AK21" s="220"/>
      <x:c r="AL21" s="220"/>
      <x:c r="AM21" s="220"/>
      <x:c r="AN21" s="220"/>
      <x:c r="AO21" s="220"/>
      <x:c r="AP21" s="220"/>
      <x:c r="AQ21" s="220"/>
      <x:c r="AR21" s="222"/>
      <x:c r="AS21" s="220"/>
      <x:c r="AT21" s="220"/>
      <x:c r="AU21" s="220"/>
      <x:c r="AV21" s="220"/>
      <x:c r="AW21" s="220"/>
      <x:c r="AX21" s="220"/>
      <x:c r="AY21" s="221"/>
      <x:c r="AZ21" s="220"/>
      <x:c r="BA21" s="220" t="str">
        <x:f>IF(AND(A21="",B21="",F21="",H21="",J21="",AW21="",AY21=""),"",IF(OR(B21="skip",AW21="skip"),"SKIP",IF(OR(B21="to_candidate",AW21="proposed_name"),IF(OR(A21="",AX21="",AY21="",COUNTIF($A$6:$A$505,A21)&gt;1),"REVIEW","TO_PROPOSED"),IF(OR(B21="",A21="",F21="",H21="",J21="",U21="",AW21="",COUNTIF($A$6:$A$505,A21)&gt;1,(COUNTIFS('أرقام التواصل'!$A$6:$A$505,"client",'أرقام التواصل'!$B$6:$B$505,A21,'أرقام التواصل'!$I$6:$I$505,"TRUE")+COUNTIFS('أرقام التواصل'!$A$6:$A$505,"client",'أرقام التواصل'!$B$6:$B$505,A21,'أرقام التواصل'!$C$6:$C$505,1))=0),"REVIEW","READY"))))</x:f>
      </x:c>
      <x:c r="BB21" s="224" t="str">
        <x:f>IF(BA21="","",IF(OR(BA21="READY",BA21="TO_PROPOSED"),"",IF(BA21="SKIP","Skipped by decision",TRIM(IF(B21="","missing import_action; ","")&amp;IF(A21="","missing migration_customer_key; ","")&amp;IF(AND(A21&lt;&gt;"",COUNTIF($A$6:$A$505,A21)&gt;1),"duplicate migration_customer_key; ","")&amp;IF(AND(NOT(OR(B21="to_candidate",AW21="proposed_name")),F21=""),"missing branch_id; ","")&amp;IF(AND(NOT(OR(B21="to_candidate",AW21="proposed_name")),H21=""),"missing first_name; ","")&amp;IF(AND(NOT(OR(B21="to_candidate",AW21="proposed_name")),J21=""),"missing last_name; ","")&amp;IF(AND(NOT(OR(B21="to_candidate",AW21="proposed_name")),U21=""),"missing final_geo_unit_id; ","")&amp;IF(AW21="","missing final_destination; ","")&amp;IF(AND(NOT(OR(B21="to_candidate",AW21="proposed_name")),(COUNTIFS('أرقام التواصل'!$A$6:$A$505,"client",'أرقام التواصل'!$B$6:$B$505,A21,'أرقام التواصل'!$I$6:$I$505,"TRUE")+COUNTIFS('أرقام التواصل'!$A$6:$A$505,"client",'أرقام التواصل'!$B$6:$B$505,A21,'أرقام التواصل'!$C$6:$C$505,1))=0),"missing primary contact in أرقام التواصل; ","")&amp;IF(OR(B21="to_candidate",AW21="proposed_name"),IF(AX21="","missing proposed_move_reason; ","")&amp;IF(AY21="","missing proposed_name_key; ",""),"")))))</x:f>
      </x:c>
    </x:row>
    <x:row r="22">
      <x:c r="A22" s="219"/>
      <x:c r="B22" s="220"/>
      <x:c r="C22" s="221"/>
      <x:c r="D22" s="220"/>
      <x:c r="E22" s="222"/>
      <x:c r="F22" s="220"/>
      <x:c r="G22" s="220"/>
      <x:c r="H22" s="220"/>
      <x:c r="I22" s="220"/>
      <x:c r="J22" s="220"/>
      <x:c r="K22" s="220"/>
      <x:c r="L22" s="220" t="str">
        <x:f>IF(TRIM(H22&amp;" "&amp;I22&amp;" "&amp;J22&amp;IF(K22&lt;&gt;""," ("&amp;K22&amp;")",""))="","",TRIM(H22&amp;" "&amp;I22&amp;" "&amp;J22&amp;IF(K22&lt;&gt;""," ("&amp;K22&amp;")","")))</x:f>
      </x:c>
      <x:c r="M22" s="220"/>
      <x:c r="N22" s="220"/>
      <x:c r="O22" s="220"/>
      <x:c r="P22" s="220"/>
      <x:c r="Q22" s="220"/>
      <x:c r="R22" s="220"/>
      <x:c r="S22" s="220"/>
      <x:c r="T22" s="220"/>
      <x:c r="U22" s="220" t="str">
        <x:f>IF(AND(M22="",O22="",Q22="",S22=""),"",IF(S22&lt;&gt;"",S22,IF(Q22&lt;&gt;"",Q22,IF(O22&lt;&gt;"",O22,M22))))</x:f>
      </x:c>
      <x:c r="V22" s="220" t="str">
        <x:f>IF(AND(N22="",P22="",R22="",T22=""),"",IF(T22&lt;&gt;"",T22,IF(R22&lt;&gt;"",R22,IF(P22&lt;&gt;"",P22,N22))))</x:f>
      </x:c>
      <x:c r="W22" s="221"/>
      <x:c r="X22" s="220"/>
      <x:c r="Y22" s="220"/>
      <x:c r="Z22" s="223"/>
      <x:c r="AA22" s="223"/>
      <x:c r="AB22" s="221"/>
      <x:c r="AC22" s="220"/>
      <x:c r="AD22" s="220"/>
      <x:c r="AE22" s="222"/>
      <x:c r="AF22" s="220"/>
      <x:c r="AG22" s="221"/>
      <x:c r="AH22" s="220"/>
      <x:c r="AI22" s="220"/>
      <x:c r="AJ22" s="222"/>
      <x:c r="AK22" s="220"/>
      <x:c r="AL22" s="220"/>
      <x:c r="AM22" s="220"/>
      <x:c r="AN22" s="220"/>
      <x:c r="AO22" s="220"/>
      <x:c r="AP22" s="220"/>
      <x:c r="AQ22" s="220"/>
      <x:c r="AR22" s="222"/>
      <x:c r="AS22" s="220"/>
      <x:c r="AT22" s="220"/>
      <x:c r="AU22" s="220"/>
      <x:c r="AV22" s="220"/>
      <x:c r="AW22" s="220"/>
      <x:c r="AX22" s="220"/>
      <x:c r="AY22" s="221"/>
      <x:c r="AZ22" s="220"/>
      <x:c r="BA22" s="220" t="str">
        <x:f>IF(AND(A22="",B22="",F22="",H22="",J22="",AW22="",AY22=""),"",IF(OR(B22="skip",AW22="skip"),"SKIP",IF(OR(B22="to_candidate",AW22="proposed_name"),IF(OR(A22="",AX22="",AY22="",COUNTIF($A$6:$A$505,A22)&gt;1),"REVIEW","TO_PROPOSED"),IF(OR(B22="",A22="",F22="",H22="",J22="",U22="",AW22="",COUNTIF($A$6:$A$505,A22)&gt;1,(COUNTIFS('أرقام التواصل'!$A$6:$A$505,"client",'أرقام التواصل'!$B$6:$B$505,A22,'أرقام التواصل'!$I$6:$I$505,"TRUE")+COUNTIFS('أرقام التواصل'!$A$6:$A$505,"client",'أرقام التواصل'!$B$6:$B$505,A22,'أرقام التواصل'!$C$6:$C$505,1))=0),"REVIEW","READY"))))</x:f>
      </x:c>
      <x:c r="BB22" s="224" t="str">
        <x:f>IF(BA22="","",IF(OR(BA22="READY",BA22="TO_PROPOSED"),"",IF(BA22="SKIP","Skipped by decision",TRIM(IF(B22="","missing import_action; ","")&amp;IF(A22="","missing migration_customer_key; ","")&amp;IF(AND(A22&lt;&gt;"",COUNTIF($A$6:$A$505,A22)&gt;1),"duplicate migration_customer_key; ","")&amp;IF(AND(NOT(OR(B22="to_candidate",AW22="proposed_name")),F22=""),"missing branch_id; ","")&amp;IF(AND(NOT(OR(B22="to_candidate",AW22="proposed_name")),H22=""),"missing first_name; ","")&amp;IF(AND(NOT(OR(B22="to_candidate",AW22="proposed_name")),J22=""),"missing last_name; ","")&amp;IF(AND(NOT(OR(B22="to_candidate",AW22="proposed_name")),U22=""),"missing final_geo_unit_id; ","")&amp;IF(AW22="","missing final_destination; ","")&amp;IF(AND(NOT(OR(B22="to_candidate",AW22="proposed_name")),(COUNTIFS('أرقام التواصل'!$A$6:$A$505,"client",'أرقام التواصل'!$B$6:$B$505,A22,'أرقام التواصل'!$I$6:$I$505,"TRUE")+COUNTIFS('أرقام التواصل'!$A$6:$A$505,"client",'أرقام التواصل'!$B$6:$B$505,A22,'أرقام التواصل'!$C$6:$C$505,1))=0),"missing primary contact in أرقام التواصل; ","")&amp;IF(OR(B22="to_candidate",AW22="proposed_name"),IF(AX22="","missing proposed_move_reason; ","")&amp;IF(AY22="","missing proposed_name_key; ",""),"")))))</x:f>
      </x:c>
    </x:row>
    <x:row r="23">
      <x:c r="A23" s="219"/>
      <x:c r="B23" s="220"/>
      <x:c r="C23" s="221"/>
      <x:c r="D23" s="220"/>
      <x:c r="E23" s="222"/>
      <x:c r="F23" s="220"/>
      <x:c r="G23" s="220"/>
      <x:c r="H23" s="220"/>
      <x:c r="I23" s="220"/>
      <x:c r="J23" s="220"/>
      <x:c r="K23" s="220"/>
      <x:c r="L23" s="220" t="str">
        <x:f>IF(TRIM(H23&amp;" "&amp;I23&amp;" "&amp;J23&amp;IF(K23&lt;&gt;""," ("&amp;K23&amp;")",""))="","",TRIM(H23&amp;" "&amp;I23&amp;" "&amp;J23&amp;IF(K23&lt;&gt;""," ("&amp;K23&amp;")","")))</x:f>
      </x:c>
      <x:c r="M23" s="220"/>
      <x:c r="N23" s="220"/>
      <x:c r="O23" s="220"/>
      <x:c r="P23" s="220"/>
      <x:c r="Q23" s="220"/>
      <x:c r="R23" s="220"/>
      <x:c r="S23" s="220"/>
      <x:c r="T23" s="220"/>
      <x:c r="U23" s="220" t="str">
        <x:f>IF(AND(M23="",O23="",Q23="",S23=""),"",IF(S23&lt;&gt;"",S23,IF(Q23&lt;&gt;"",Q23,IF(O23&lt;&gt;"",O23,M23))))</x:f>
      </x:c>
      <x:c r="V23" s="220" t="str">
        <x:f>IF(AND(N23="",P23="",R23="",T23=""),"",IF(T23&lt;&gt;"",T23,IF(R23&lt;&gt;"",R23,IF(P23&lt;&gt;"",P23,N23))))</x:f>
      </x:c>
      <x:c r="W23" s="221"/>
      <x:c r="X23" s="220"/>
      <x:c r="Y23" s="220"/>
      <x:c r="Z23" s="223"/>
      <x:c r="AA23" s="223"/>
      <x:c r="AB23" s="221"/>
      <x:c r="AC23" s="220"/>
      <x:c r="AD23" s="220"/>
      <x:c r="AE23" s="222"/>
      <x:c r="AF23" s="220"/>
      <x:c r="AG23" s="221"/>
      <x:c r="AH23" s="220"/>
      <x:c r="AI23" s="220"/>
      <x:c r="AJ23" s="222"/>
      <x:c r="AK23" s="220"/>
      <x:c r="AL23" s="220"/>
      <x:c r="AM23" s="220"/>
      <x:c r="AN23" s="220"/>
      <x:c r="AO23" s="220"/>
      <x:c r="AP23" s="220"/>
      <x:c r="AQ23" s="220"/>
      <x:c r="AR23" s="222"/>
      <x:c r="AS23" s="220"/>
      <x:c r="AT23" s="220"/>
      <x:c r="AU23" s="220"/>
      <x:c r="AV23" s="220"/>
      <x:c r="AW23" s="220"/>
      <x:c r="AX23" s="220"/>
      <x:c r="AY23" s="221"/>
      <x:c r="AZ23" s="220"/>
      <x:c r="BA23" s="220" t="str">
        <x:f>IF(AND(A23="",B23="",F23="",H23="",J23="",AW23="",AY23=""),"",IF(OR(B23="skip",AW23="skip"),"SKIP",IF(OR(B23="to_candidate",AW23="proposed_name"),IF(OR(A23="",AX23="",AY23="",COUNTIF($A$6:$A$505,A23)&gt;1),"REVIEW","TO_PROPOSED"),IF(OR(B23="",A23="",F23="",H23="",J23="",U23="",AW23="",COUNTIF($A$6:$A$505,A23)&gt;1,(COUNTIFS('أرقام التواصل'!$A$6:$A$505,"client",'أرقام التواصل'!$B$6:$B$505,A23,'أرقام التواصل'!$I$6:$I$505,"TRUE")+COUNTIFS('أرقام التواصل'!$A$6:$A$505,"client",'أرقام التواصل'!$B$6:$B$505,A23,'أرقام التواصل'!$C$6:$C$505,1))=0),"REVIEW","READY"))))</x:f>
      </x:c>
      <x:c r="BB23" s="224" t="str">
        <x:f>IF(BA23="","",IF(OR(BA23="READY",BA23="TO_PROPOSED"),"",IF(BA23="SKIP","Skipped by decision",TRIM(IF(B23="","missing import_action; ","")&amp;IF(A23="","missing migration_customer_key; ","")&amp;IF(AND(A23&lt;&gt;"",COUNTIF($A$6:$A$505,A23)&gt;1),"duplicate migration_customer_key; ","")&amp;IF(AND(NOT(OR(B23="to_candidate",AW23="proposed_name")),F23=""),"missing branch_id; ","")&amp;IF(AND(NOT(OR(B23="to_candidate",AW23="proposed_name")),H23=""),"missing first_name; ","")&amp;IF(AND(NOT(OR(B23="to_candidate",AW23="proposed_name")),J23=""),"missing last_name; ","")&amp;IF(AND(NOT(OR(B23="to_candidate",AW23="proposed_name")),U23=""),"missing final_geo_unit_id; ","")&amp;IF(AW23="","missing final_destination; ","")&amp;IF(AND(NOT(OR(B23="to_candidate",AW23="proposed_name")),(COUNTIFS('أرقام التواصل'!$A$6:$A$505,"client",'أرقام التواصل'!$B$6:$B$505,A23,'أرقام التواصل'!$I$6:$I$505,"TRUE")+COUNTIFS('أرقام التواصل'!$A$6:$A$505,"client",'أرقام التواصل'!$B$6:$B$505,A23,'أرقام التواصل'!$C$6:$C$505,1))=0),"missing primary contact in أرقام التواصل; ","")&amp;IF(OR(B23="to_candidate",AW23="proposed_name"),IF(AX23="","missing proposed_move_reason; ","")&amp;IF(AY23="","missing proposed_name_key; ",""),"")))))</x:f>
      </x:c>
    </x:row>
    <x:row r="24">
      <x:c r="A24" s="219"/>
      <x:c r="B24" s="220"/>
      <x:c r="C24" s="221"/>
      <x:c r="D24" s="220"/>
      <x:c r="E24" s="222"/>
      <x:c r="F24" s="220"/>
      <x:c r="G24" s="220"/>
      <x:c r="H24" s="220"/>
      <x:c r="I24" s="220"/>
      <x:c r="J24" s="220"/>
      <x:c r="K24" s="220"/>
      <x:c r="L24" s="220" t="str">
        <x:f>IF(TRIM(H24&amp;" "&amp;I24&amp;" "&amp;J24&amp;IF(K24&lt;&gt;""," ("&amp;K24&amp;")",""))="","",TRIM(H24&amp;" "&amp;I24&amp;" "&amp;J24&amp;IF(K24&lt;&gt;""," ("&amp;K24&amp;")","")))</x:f>
      </x:c>
      <x:c r="M24" s="220"/>
      <x:c r="N24" s="220"/>
      <x:c r="O24" s="220"/>
      <x:c r="P24" s="220"/>
      <x:c r="Q24" s="220"/>
      <x:c r="R24" s="220"/>
      <x:c r="S24" s="220"/>
      <x:c r="T24" s="220"/>
      <x:c r="U24" s="220" t="str">
        <x:f>IF(AND(M24="",O24="",Q24="",S24=""),"",IF(S24&lt;&gt;"",S24,IF(Q24&lt;&gt;"",Q24,IF(O24&lt;&gt;"",O24,M24))))</x:f>
      </x:c>
      <x:c r="V24" s="220" t="str">
        <x:f>IF(AND(N24="",P24="",R24="",T24=""),"",IF(T24&lt;&gt;"",T24,IF(R24&lt;&gt;"",R24,IF(P24&lt;&gt;"",P24,N24))))</x:f>
      </x:c>
      <x:c r="W24" s="221"/>
      <x:c r="X24" s="220"/>
      <x:c r="Y24" s="220"/>
      <x:c r="Z24" s="223"/>
      <x:c r="AA24" s="223"/>
      <x:c r="AB24" s="221"/>
      <x:c r="AC24" s="220"/>
      <x:c r="AD24" s="220"/>
      <x:c r="AE24" s="222"/>
      <x:c r="AF24" s="220"/>
      <x:c r="AG24" s="221"/>
      <x:c r="AH24" s="220"/>
      <x:c r="AI24" s="220"/>
      <x:c r="AJ24" s="222"/>
      <x:c r="AK24" s="220"/>
      <x:c r="AL24" s="220"/>
      <x:c r="AM24" s="220"/>
      <x:c r="AN24" s="220"/>
      <x:c r="AO24" s="220"/>
      <x:c r="AP24" s="220"/>
      <x:c r="AQ24" s="220"/>
      <x:c r="AR24" s="222"/>
      <x:c r="AS24" s="220"/>
      <x:c r="AT24" s="220"/>
      <x:c r="AU24" s="220"/>
      <x:c r="AV24" s="220"/>
      <x:c r="AW24" s="220"/>
      <x:c r="AX24" s="220"/>
      <x:c r="AY24" s="221"/>
      <x:c r="AZ24" s="220"/>
      <x:c r="BA24" s="220" t="str">
        <x:f>IF(AND(A24="",B24="",F24="",H24="",J24="",AW24="",AY24=""),"",IF(OR(B24="skip",AW24="skip"),"SKIP",IF(OR(B24="to_candidate",AW24="proposed_name"),IF(OR(A24="",AX24="",AY24="",COUNTIF($A$6:$A$505,A24)&gt;1),"REVIEW","TO_PROPOSED"),IF(OR(B24="",A24="",F24="",H24="",J24="",U24="",AW24="",COUNTIF($A$6:$A$505,A24)&gt;1,(COUNTIFS('أرقام التواصل'!$A$6:$A$505,"client",'أرقام التواصل'!$B$6:$B$505,A24,'أرقام التواصل'!$I$6:$I$505,"TRUE")+COUNTIFS('أرقام التواصل'!$A$6:$A$505,"client",'أرقام التواصل'!$B$6:$B$505,A24,'أرقام التواصل'!$C$6:$C$505,1))=0),"REVIEW","READY"))))</x:f>
      </x:c>
      <x:c r="BB24" s="224" t="str">
        <x:f>IF(BA24="","",IF(OR(BA24="READY",BA24="TO_PROPOSED"),"",IF(BA24="SKIP","Skipped by decision",TRIM(IF(B24="","missing import_action; ","")&amp;IF(A24="","missing migration_customer_key; ","")&amp;IF(AND(A24&lt;&gt;"",COUNTIF($A$6:$A$505,A24)&gt;1),"duplicate migration_customer_key; ","")&amp;IF(AND(NOT(OR(B24="to_candidate",AW24="proposed_name")),F24=""),"missing branch_id; ","")&amp;IF(AND(NOT(OR(B24="to_candidate",AW24="proposed_name")),H24=""),"missing first_name; ","")&amp;IF(AND(NOT(OR(B24="to_candidate",AW24="proposed_name")),J24=""),"missing last_name; ","")&amp;IF(AND(NOT(OR(B24="to_candidate",AW24="proposed_name")),U24=""),"missing final_geo_unit_id; ","")&amp;IF(AW24="","missing final_destination; ","")&amp;IF(AND(NOT(OR(B24="to_candidate",AW24="proposed_name")),(COUNTIFS('أرقام التواصل'!$A$6:$A$505,"client",'أرقام التواصل'!$B$6:$B$505,A24,'أرقام التواصل'!$I$6:$I$505,"TRUE")+COUNTIFS('أرقام التواصل'!$A$6:$A$505,"client",'أرقام التواصل'!$B$6:$B$505,A24,'أرقام التواصل'!$C$6:$C$505,1))=0),"missing primary contact in أرقام التواصل; ","")&amp;IF(OR(B24="to_candidate",AW24="proposed_name"),IF(AX24="","missing proposed_move_reason; ","")&amp;IF(AY24="","missing proposed_name_key; ",""),"")))))</x:f>
      </x:c>
    </x:row>
    <x:row r="25">
      <x:c r="A25" s="219"/>
      <x:c r="B25" s="220"/>
      <x:c r="C25" s="221"/>
      <x:c r="D25" s="220"/>
      <x:c r="E25" s="222"/>
      <x:c r="F25" s="220"/>
      <x:c r="G25" s="220"/>
      <x:c r="H25" s="220"/>
      <x:c r="I25" s="220"/>
      <x:c r="J25" s="220"/>
      <x:c r="K25" s="220"/>
      <x:c r="L25" s="220" t="str">
        <x:f>IF(TRIM(H25&amp;" "&amp;I25&amp;" "&amp;J25&amp;IF(K25&lt;&gt;""," ("&amp;K25&amp;")",""))="","",TRIM(H25&amp;" "&amp;I25&amp;" "&amp;J25&amp;IF(K25&lt;&gt;""," ("&amp;K25&amp;")","")))</x:f>
      </x:c>
      <x:c r="M25" s="220"/>
      <x:c r="N25" s="220"/>
      <x:c r="O25" s="220"/>
      <x:c r="P25" s="220"/>
      <x:c r="Q25" s="220"/>
      <x:c r="R25" s="220"/>
      <x:c r="S25" s="220"/>
      <x:c r="T25" s="220"/>
      <x:c r="U25" s="220" t="str">
        <x:f>IF(AND(M25="",O25="",Q25="",S25=""),"",IF(S25&lt;&gt;"",S25,IF(Q25&lt;&gt;"",Q25,IF(O25&lt;&gt;"",O25,M25))))</x:f>
      </x:c>
      <x:c r="V25" s="220" t="str">
        <x:f>IF(AND(N25="",P25="",R25="",T25=""),"",IF(T25&lt;&gt;"",T25,IF(R25&lt;&gt;"",R25,IF(P25&lt;&gt;"",P25,N25))))</x:f>
      </x:c>
      <x:c r="W25" s="221"/>
      <x:c r="X25" s="220"/>
      <x:c r="Y25" s="220"/>
      <x:c r="Z25" s="223"/>
      <x:c r="AA25" s="223"/>
      <x:c r="AB25" s="221"/>
      <x:c r="AC25" s="220"/>
      <x:c r="AD25" s="220"/>
      <x:c r="AE25" s="222"/>
      <x:c r="AF25" s="220"/>
      <x:c r="AG25" s="221"/>
      <x:c r="AH25" s="220"/>
      <x:c r="AI25" s="220"/>
      <x:c r="AJ25" s="222"/>
      <x:c r="AK25" s="220"/>
      <x:c r="AL25" s="220"/>
      <x:c r="AM25" s="220"/>
      <x:c r="AN25" s="220"/>
      <x:c r="AO25" s="220"/>
      <x:c r="AP25" s="220"/>
      <x:c r="AQ25" s="220"/>
      <x:c r="AR25" s="222"/>
      <x:c r="AS25" s="220"/>
      <x:c r="AT25" s="220"/>
      <x:c r="AU25" s="220"/>
      <x:c r="AV25" s="220"/>
      <x:c r="AW25" s="220"/>
      <x:c r="AX25" s="220"/>
      <x:c r="AY25" s="221"/>
      <x:c r="AZ25" s="220"/>
      <x:c r="BA25" s="220" t="str">
        <x:f>IF(AND(A25="",B25="",F25="",H25="",J25="",AW25="",AY25=""),"",IF(OR(B25="skip",AW25="skip"),"SKIP",IF(OR(B25="to_candidate",AW25="proposed_name"),IF(OR(A25="",AX25="",AY25="",COUNTIF($A$6:$A$505,A25)&gt;1),"REVIEW","TO_PROPOSED"),IF(OR(B25="",A25="",F25="",H25="",J25="",U25="",AW25="",COUNTIF($A$6:$A$505,A25)&gt;1,(COUNTIFS('أرقام التواصل'!$A$6:$A$505,"client",'أرقام التواصل'!$B$6:$B$505,A25,'أرقام التواصل'!$I$6:$I$505,"TRUE")+COUNTIFS('أرقام التواصل'!$A$6:$A$505,"client",'أرقام التواصل'!$B$6:$B$505,A25,'أرقام التواصل'!$C$6:$C$505,1))=0),"REVIEW","READY"))))</x:f>
      </x:c>
      <x:c r="BB25" s="224" t="str">
        <x:f>IF(BA25="","",IF(OR(BA25="READY",BA25="TO_PROPOSED"),"",IF(BA25="SKIP","Skipped by decision",TRIM(IF(B25="","missing import_action; ","")&amp;IF(A25="","missing migration_customer_key; ","")&amp;IF(AND(A25&lt;&gt;"",COUNTIF($A$6:$A$505,A25)&gt;1),"duplicate migration_customer_key; ","")&amp;IF(AND(NOT(OR(B25="to_candidate",AW25="proposed_name")),F25=""),"missing branch_id; ","")&amp;IF(AND(NOT(OR(B25="to_candidate",AW25="proposed_name")),H25=""),"missing first_name; ","")&amp;IF(AND(NOT(OR(B25="to_candidate",AW25="proposed_name")),J25=""),"missing last_name; ","")&amp;IF(AND(NOT(OR(B25="to_candidate",AW25="proposed_name")),U25=""),"missing final_geo_unit_id; ","")&amp;IF(AW25="","missing final_destination; ","")&amp;IF(AND(NOT(OR(B25="to_candidate",AW25="proposed_name")),(COUNTIFS('أرقام التواصل'!$A$6:$A$505,"client",'أرقام التواصل'!$B$6:$B$505,A25,'أرقام التواصل'!$I$6:$I$505,"TRUE")+COUNTIFS('أرقام التواصل'!$A$6:$A$505,"client",'أرقام التواصل'!$B$6:$B$505,A25,'أرقام التواصل'!$C$6:$C$505,1))=0),"missing primary contact in أرقام التواصل; ","")&amp;IF(OR(B25="to_candidate",AW25="proposed_name"),IF(AX25="","missing proposed_move_reason; ","")&amp;IF(AY25="","missing proposed_name_key; ",""),"")))))</x:f>
      </x:c>
    </x:row>
    <x:row r="26">
      <x:c r="A26" s="219"/>
      <x:c r="B26" s="220"/>
      <x:c r="C26" s="221"/>
      <x:c r="D26" s="220"/>
      <x:c r="E26" s="222"/>
      <x:c r="F26" s="220"/>
      <x:c r="G26" s="220"/>
      <x:c r="H26" s="220"/>
      <x:c r="I26" s="220"/>
      <x:c r="J26" s="220"/>
      <x:c r="K26" s="220"/>
      <x:c r="L26" s="220" t="str">
        <x:f>IF(TRIM(H26&amp;" "&amp;I26&amp;" "&amp;J26&amp;IF(K26&lt;&gt;""," ("&amp;K26&amp;")",""))="","",TRIM(H26&amp;" "&amp;I26&amp;" "&amp;J26&amp;IF(K26&lt;&gt;""," ("&amp;K26&amp;")","")))</x:f>
      </x:c>
      <x:c r="M26" s="220"/>
      <x:c r="N26" s="220"/>
      <x:c r="O26" s="220"/>
      <x:c r="P26" s="220"/>
      <x:c r="Q26" s="220"/>
      <x:c r="R26" s="220"/>
      <x:c r="S26" s="220"/>
      <x:c r="T26" s="220"/>
      <x:c r="U26" s="220" t="str">
        <x:f>IF(AND(M26="",O26="",Q26="",S26=""),"",IF(S26&lt;&gt;"",S26,IF(Q26&lt;&gt;"",Q26,IF(O26&lt;&gt;"",O26,M26))))</x:f>
      </x:c>
      <x:c r="V26" s="220" t="str">
        <x:f>IF(AND(N26="",P26="",R26="",T26=""),"",IF(T26&lt;&gt;"",T26,IF(R26&lt;&gt;"",R26,IF(P26&lt;&gt;"",P26,N26))))</x:f>
      </x:c>
      <x:c r="W26" s="221"/>
      <x:c r="X26" s="220"/>
      <x:c r="Y26" s="220"/>
      <x:c r="Z26" s="223"/>
      <x:c r="AA26" s="223"/>
      <x:c r="AB26" s="221"/>
      <x:c r="AC26" s="220"/>
      <x:c r="AD26" s="220"/>
      <x:c r="AE26" s="222"/>
      <x:c r="AF26" s="220"/>
      <x:c r="AG26" s="221"/>
      <x:c r="AH26" s="220"/>
      <x:c r="AI26" s="220"/>
      <x:c r="AJ26" s="222"/>
      <x:c r="AK26" s="220"/>
      <x:c r="AL26" s="220"/>
      <x:c r="AM26" s="220"/>
      <x:c r="AN26" s="220"/>
      <x:c r="AO26" s="220"/>
      <x:c r="AP26" s="220"/>
      <x:c r="AQ26" s="220"/>
      <x:c r="AR26" s="222"/>
      <x:c r="AS26" s="220"/>
      <x:c r="AT26" s="220"/>
      <x:c r="AU26" s="220"/>
      <x:c r="AV26" s="220"/>
      <x:c r="AW26" s="220"/>
      <x:c r="AX26" s="220"/>
      <x:c r="AY26" s="221"/>
      <x:c r="AZ26" s="220"/>
      <x:c r="BA26" s="220" t="str">
        <x:f>IF(AND(A26="",B26="",F26="",H26="",J26="",AW26="",AY26=""),"",IF(OR(B26="skip",AW26="skip"),"SKIP",IF(OR(B26="to_candidate",AW26="proposed_name"),IF(OR(A26="",AX26="",AY26="",COUNTIF($A$6:$A$505,A26)&gt;1),"REVIEW","TO_PROPOSED"),IF(OR(B26="",A26="",F26="",H26="",J26="",U26="",AW26="",COUNTIF($A$6:$A$505,A26)&gt;1,(COUNTIFS('أرقام التواصل'!$A$6:$A$505,"client",'أرقام التواصل'!$B$6:$B$505,A26,'أرقام التواصل'!$I$6:$I$505,"TRUE")+COUNTIFS('أرقام التواصل'!$A$6:$A$505,"client",'أرقام التواصل'!$B$6:$B$505,A26,'أرقام التواصل'!$C$6:$C$505,1))=0),"REVIEW","READY"))))</x:f>
      </x:c>
      <x:c r="BB26" s="224" t="str">
        <x:f>IF(BA26="","",IF(OR(BA26="READY",BA26="TO_PROPOSED"),"",IF(BA26="SKIP","Skipped by decision",TRIM(IF(B26="","missing import_action; ","")&amp;IF(A26="","missing migration_customer_key; ","")&amp;IF(AND(A26&lt;&gt;"",COUNTIF($A$6:$A$505,A26)&gt;1),"duplicate migration_customer_key; ","")&amp;IF(AND(NOT(OR(B26="to_candidate",AW26="proposed_name")),F26=""),"missing branch_id; ","")&amp;IF(AND(NOT(OR(B26="to_candidate",AW26="proposed_name")),H26=""),"missing first_name; ","")&amp;IF(AND(NOT(OR(B26="to_candidate",AW26="proposed_name")),J26=""),"missing last_name; ","")&amp;IF(AND(NOT(OR(B26="to_candidate",AW26="proposed_name")),U26=""),"missing final_geo_unit_id; ","")&amp;IF(AW26="","missing final_destination; ","")&amp;IF(AND(NOT(OR(B26="to_candidate",AW26="proposed_name")),(COUNTIFS('أرقام التواصل'!$A$6:$A$505,"client",'أرقام التواصل'!$B$6:$B$505,A26,'أرقام التواصل'!$I$6:$I$505,"TRUE")+COUNTIFS('أرقام التواصل'!$A$6:$A$505,"client",'أرقام التواصل'!$B$6:$B$505,A26,'أرقام التواصل'!$C$6:$C$505,1))=0),"missing primary contact in أرقام التواصل; ","")&amp;IF(OR(B26="to_candidate",AW26="proposed_name"),IF(AX26="","missing proposed_move_reason; ","")&amp;IF(AY26="","missing proposed_name_key; ",""),"")))))</x:f>
      </x:c>
    </x:row>
    <x:row r="27">
      <x:c r="A27" s="219"/>
      <x:c r="B27" s="220"/>
      <x:c r="C27" s="221"/>
      <x:c r="D27" s="220"/>
      <x:c r="E27" s="222"/>
      <x:c r="F27" s="220"/>
      <x:c r="G27" s="220"/>
      <x:c r="H27" s="220"/>
      <x:c r="I27" s="220"/>
      <x:c r="J27" s="220"/>
      <x:c r="K27" s="220"/>
      <x:c r="L27" s="220" t="str">
        <x:f>IF(TRIM(H27&amp;" "&amp;I27&amp;" "&amp;J27&amp;IF(K27&lt;&gt;""," ("&amp;K27&amp;")",""))="","",TRIM(H27&amp;" "&amp;I27&amp;" "&amp;J27&amp;IF(K27&lt;&gt;""," ("&amp;K27&amp;")","")))</x:f>
      </x:c>
      <x:c r="M27" s="220"/>
      <x:c r="N27" s="220"/>
      <x:c r="O27" s="220"/>
      <x:c r="P27" s="220"/>
      <x:c r="Q27" s="220"/>
      <x:c r="R27" s="220"/>
      <x:c r="S27" s="220"/>
      <x:c r="T27" s="220"/>
      <x:c r="U27" s="220" t="str">
        <x:f>IF(AND(M27="",O27="",Q27="",S27=""),"",IF(S27&lt;&gt;"",S27,IF(Q27&lt;&gt;"",Q27,IF(O27&lt;&gt;"",O27,M27))))</x:f>
      </x:c>
      <x:c r="V27" s="220" t="str">
        <x:f>IF(AND(N27="",P27="",R27="",T27=""),"",IF(T27&lt;&gt;"",T27,IF(R27&lt;&gt;"",R27,IF(P27&lt;&gt;"",P27,N27))))</x:f>
      </x:c>
      <x:c r="W27" s="221"/>
      <x:c r="X27" s="220"/>
      <x:c r="Y27" s="220"/>
      <x:c r="Z27" s="223"/>
      <x:c r="AA27" s="223"/>
      <x:c r="AB27" s="221"/>
      <x:c r="AC27" s="220"/>
      <x:c r="AD27" s="220"/>
      <x:c r="AE27" s="222"/>
      <x:c r="AF27" s="220"/>
      <x:c r="AG27" s="221"/>
      <x:c r="AH27" s="220"/>
      <x:c r="AI27" s="220"/>
      <x:c r="AJ27" s="222"/>
      <x:c r="AK27" s="220"/>
      <x:c r="AL27" s="220"/>
      <x:c r="AM27" s="220"/>
      <x:c r="AN27" s="220"/>
      <x:c r="AO27" s="220"/>
      <x:c r="AP27" s="220"/>
      <x:c r="AQ27" s="220"/>
      <x:c r="AR27" s="222"/>
      <x:c r="AS27" s="220"/>
      <x:c r="AT27" s="220"/>
      <x:c r="AU27" s="220"/>
      <x:c r="AV27" s="220"/>
      <x:c r="AW27" s="220"/>
      <x:c r="AX27" s="220"/>
      <x:c r="AY27" s="221"/>
      <x:c r="AZ27" s="220"/>
      <x:c r="BA27" s="220" t="str">
        <x:f>IF(AND(A27="",B27="",F27="",H27="",J27="",AW27="",AY27=""),"",IF(OR(B27="skip",AW27="skip"),"SKIP",IF(OR(B27="to_candidate",AW27="proposed_name"),IF(OR(A27="",AX27="",AY27="",COUNTIF($A$6:$A$505,A27)&gt;1),"REVIEW","TO_PROPOSED"),IF(OR(B27="",A27="",F27="",H27="",J27="",U27="",AW27="",COUNTIF($A$6:$A$505,A27)&gt;1,(COUNTIFS('أرقام التواصل'!$A$6:$A$505,"client",'أرقام التواصل'!$B$6:$B$505,A27,'أرقام التواصل'!$I$6:$I$505,"TRUE")+COUNTIFS('أرقام التواصل'!$A$6:$A$505,"client",'أرقام التواصل'!$B$6:$B$505,A27,'أرقام التواصل'!$C$6:$C$505,1))=0),"REVIEW","READY"))))</x:f>
      </x:c>
      <x:c r="BB27" s="224" t="str">
        <x:f>IF(BA27="","",IF(OR(BA27="READY",BA27="TO_PROPOSED"),"",IF(BA27="SKIP","Skipped by decision",TRIM(IF(B27="","missing import_action; ","")&amp;IF(A27="","missing migration_customer_key; ","")&amp;IF(AND(A27&lt;&gt;"",COUNTIF($A$6:$A$505,A27)&gt;1),"duplicate migration_customer_key; ","")&amp;IF(AND(NOT(OR(B27="to_candidate",AW27="proposed_name")),F27=""),"missing branch_id; ","")&amp;IF(AND(NOT(OR(B27="to_candidate",AW27="proposed_name")),H27=""),"missing first_name; ","")&amp;IF(AND(NOT(OR(B27="to_candidate",AW27="proposed_name")),J27=""),"missing last_name; ","")&amp;IF(AND(NOT(OR(B27="to_candidate",AW27="proposed_name")),U27=""),"missing final_geo_unit_id; ","")&amp;IF(AW27="","missing final_destination; ","")&amp;IF(AND(NOT(OR(B27="to_candidate",AW27="proposed_name")),(COUNTIFS('أرقام التواصل'!$A$6:$A$505,"client",'أرقام التواصل'!$B$6:$B$505,A27,'أرقام التواصل'!$I$6:$I$505,"TRUE")+COUNTIFS('أرقام التواصل'!$A$6:$A$505,"client",'أرقام التواصل'!$B$6:$B$505,A27,'أرقام التواصل'!$C$6:$C$505,1))=0),"missing primary contact in أرقام التواصل; ","")&amp;IF(OR(B27="to_candidate",AW27="proposed_name"),IF(AX27="","missing proposed_move_reason; ","")&amp;IF(AY27="","missing proposed_name_key; ",""),"")))))</x:f>
      </x:c>
    </x:row>
    <x:row r="28">
      <x:c r="A28" s="219"/>
      <x:c r="B28" s="220"/>
      <x:c r="C28" s="221"/>
      <x:c r="D28" s="220"/>
      <x:c r="E28" s="222"/>
      <x:c r="F28" s="220"/>
      <x:c r="G28" s="220"/>
      <x:c r="H28" s="220"/>
      <x:c r="I28" s="220"/>
      <x:c r="J28" s="220"/>
      <x:c r="K28" s="220"/>
      <x:c r="L28" s="220" t="str">
        <x:f>IF(TRIM(H28&amp;" "&amp;I28&amp;" "&amp;J28&amp;IF(K28&lt;&gt;""," ("&amp;K28&amp;")",""))="","",TRIM(H28&amp;" "&amp;I28&amp;" "&amp;J28&amp;IF(K28&lt;&gt;""," ("&amp;K28&amp;")","")))</x:f>
      </x:c>
      <x:c r="M28" s="220"/>
      <x:c r="N28" s="220"/>
      <x:c r="O28" s="220"/>
      <x:c r="P28" s="220"/>
      <x:c r="Q28" s="220"/>
      <x:c r="R28" s="220"/>
      <x:c r="S28" s="220"/>
      <x:c r="T28" s="220"/>
      <x:c r="U28" s="220" t="str">
        <x:f>IF(AND(M28="",O28="",Q28="",S28=""),"",IF(S28&lt;&gt;"",S28,IF(Q28&lt;&gt;"",Q28,IF(O28&lt;&gt;"",O28,M28))))</x:f>
      </x:c>
      <x:c r="V28" s="220" t="str">
        <x:f>IF(AND(N28="",P28="",R28="",T28=""),"",IF(T28&lt;&gt;"",T28,IF(R28&lt;&gt;"",R28,IF(P28&lt;&gt;"",P28,N28))))</x:f>
      </x:c>
      <x:c r="W28" s="221"/>
      <x:c r="X28" s="220"/>
      <x:c r="Y28" s="220"/>
      <x:c r="Z28" s="223"/>
      <x:c r="AA28" s="223"/>
      <x:c r="AB28" s="221"/>
      <x:c r="AC28" s="220"/>
      <x:c r="AD28" s="220"/>
      <x:c r="AE28" s="222"/>
      <x:c r="AF28" s="220"/>
      <x:c r="AG28" s="221"/>
      <x:c r="AH28" s="220"/>
      <x:c r="AI28" s="220"/>
      <x:c r="AJ28" s="222"/>
      <x:c r="AK28" s="220"/>
      <x:c r="AL28" s="220"/>
      <x:c r="AM28" s="220"/>
      <x:c r="AN28" s="220"/>
      <x:c r="AO28" s="220"/>
      <x:c r="AP28" s="220"/>
      <x:c r="AQ28" s="220"/>
      <x:c r="AR28" s="222"/>
      <x:c r="AS28" s="220"/>
      <x:c r="AT28" s="220"/>
      <x:c r="AU28" s="220"/>
      <x:c r="AV28" s="220"/>
      <x:c r="AW28" s="220"/>
      <x:c r="AX28" s="220"/>
      <x:c r="AY28" s="221"/>
      <x:c r="AZ28" s="220"/>
      <x:c r="BA28" s="220" t="str">
        <x:f>IF(AND(A28="",B28="",F28="",H28="",J28="",AW28="",AY28=""),"",IF(OR(B28="skip",AW28="skip"),"SKIP",IF(OR(B28="to_candidate",AW28="proposed_name"),IF(OR(A28="",AX28="",AY28="",COUNTIF($A$6:$A$505,A28)&gt;1),"REVIEW","TO_PROPOSED"),IF(OR(B28="",A28="",F28="",H28="",J28="",U28="",AW28="",COUNTIF($A$6:$A$505,A28)&gt;1,(COUNTIFS('أرقام التواصل'!$A$6:$A$505,"client",'أرقام التواصل'!$B$6:$B$505,A28,'أرقام التواصل'!$I$6:$I$505,"TRUE")+COUNTIFS('أرقام التواصل'!$A$6:$A$505,"client",'أرقام التواصل'!$B$6:$B$505,A28,'أرقام التواصل'!$C$6:$C$505,1))=0),"REVIEW","READY"))))</x:f>
      </x:c>
      <x:c r="BB28" s="224" t="str">
        <x:f>IF(BA28="","",IF(OR(BA28="READY",BA28="TO_PROPOSED"),"",IF(BA28="SKIP","Skipped by decision",TRIM(IF(B28="","missing import_action; ","")&amp;IF(A28="","missing migration_customer_key; ","")&amp;IF(AND(A28&lt;&gt;"",COUNTIF($A$6:$A$505,A28)&gt;1),"duplicate migration_customer_key; ","")&amp;IF(AND(NOT(OR(B28="to_candidate",AW28="proposed_name")),F28=""),"missing branch_id; ","")&amp;IF(AND(NOT(OR(B28="to_candidate",AW28="proposed_name")),H28=""),"missing first_name; ","")&amp;IF(AND(NOT(OR(B28="to_candidate",AW28="proposed_name")),J28=""),"missing last_name; ","")&amp;IF(AND(NOT(OR(B28="to_candidate",AW28="proposed_name")),U28=""),"missing final_geo_unit_id; ","")&amp;IF(AW28="","missing final_destination; ","")&amp;IF(AND(NOT(OR(B28="to_candidate",AW28="proposed_name")),(COUNTIFS('أرقام التواصل'!$A$6:$A$505,"client",'أرقام التواصل'!$B$6:$B$505,A28,'أرقام التواصل'!$I$6:$I$505,"TRUE")+COUNTIFS('أرقام التواصل'!$A$6:$A$505,"client",'أرقام التواصل'!$B$6:$B$505,A28,'أرقام التواصل'!$C$6:$C$505,1))=0),"missing primary contact in أرقام التواصل; ","")&amp;IF(OR(B28="to_candidate",AW28="proposed_name"),IF(AX28="","missing proposed_move_reason; ","")&amp;IF(AY28="","missing proposed_name_key; ",""),"")))))</x:f>
      </x:c>
    </x:row>
    <x:row r="29">
      <x:c r="A29" s="219"/>
      <x:c r="B29" s="220"/>
      <x:c r="C29" s="221"/>
      <x:c r="D29" s="220"/>
      <x:c r="E29" s="222"/>
      <x:c r="F29" s="220"/>
      <x:c r="G29" s="220"/>
      <x:c r="H29" s="220"/>
      <x:c r="I29" s="220"/>
      <x:c r="J29" s="220"/>
      <x:c r="K29" s="220"/>
      <x:c r="L29" s="220" t="str">
        <x:f>IF(TRIM(H29&amp;" "&amp;I29&amp;" "&amp;J29&amp;IF(K29&lt;&gt;""," ("&amp;K29&amp;")",""))="","",TRIM(H29&amp;" "&amp;I29&amp;" "&amp;J29&amp;IF(K29&lt;&gt;""," ("&amp;K29&amp;")","")))</x:f>
      </x:c>
      <x:c r="M29" s="220"/>
      <x:c r="N29" s="220"/>
      <x:c r="O29" s="220"/>
      <x:c r="P29" s="220"/>
      <x:c r="Q29" s="220"/>
      <x:c r="R29" s="220"/>
      <x:c r="S29" s="220"/>
      <x:c r="T29" s="220"/>
      <x:c r="U29" s="220" t="str">
        <x:f>IF(AND(M29="",O29="",Q29="",S29=""),"",IF(S29&lt;&gt;"",S29,IF(Q29&lt;&gt;"",Q29,IF(O29&lt;&gt;"",O29,M29))))</x:f>
      </x:c>
      <x:c r="V29" s="220" t="str">
        <x:f>IF(AND(N29="",P29="",R29="",T29=""),"",IF(T29&lt;&gt;"",T29,IF(R29&lt;&gt;"",R29,IF(P29&lt;&gt;"",P29,N29))))</x:f>
      </x:c>
      <x:c r="W29" s="221"/>
      <x:c r="X29" s="220"/>
      <x:c r="Y29" s="220"/>
      <x:c r="Z29" s="223"/>
      <x:c r="AA29" s="223"/>
      <x:c r="AB29" s="221"/>
      <x:c r="AC29" s="220"/>
      <x:c r="AD29" s="220"/>
      <x:c r="AE29" s="222"/>
      <x:c r="AF29" s="220"/>
      <x:c r="AG29" s="221"/>
      <x:c r="AH29" s="220"/>
      <x:c r="AI29" s="220"/>
      <x:c r="AJ29" s="222"/>
      <x:c r="AK29" s="220"/>
      <x:c r="AL29" s="220"/>
      <x:c r="AM29" s="220"/>
      <x:c r="AN29" s="220"/>
      <x:c r="AO29" s="220"/>
      <x:c r="AP29" s="220"/>
      <x:c r="AQ29" s="220"/>
      <x:c r="AR29" s="222"/>
      <x:c r="AS29" s="220"/>
      <x:c r="AT29" s="220"/>
      <x:c r="AU29" s="220"/>
      <x:c r="AV29" s="220"/>
      <x:c r="AW29" s="220"/>
      <x:c r="AX29" s="220"/>
      <x:c r="AY29" s="221"/>
      <x:c r="AZ29" s="220"/>
      <x:c r="BA29" s="220" t="str">
        <x:f>IF(AND(A29="",B29="",F29="",H29="",J29="",AW29="",AY29=""),"",IF(OR(B29="skip",AW29="skip"),"SKIP",IF(OR(B29="to_candidate",AW29="proposed_name"),IF(OR(A29="",AX29="",AY29="",COUNTIF($A$6:$A$505,A29)&gt;1),"REVIEW","TO_PROPOSED"),IF(OR(B29="",A29="",F29="",H29="",J29="",U29="",AW29="",COUNTIF($A$6:$A$505,A29)&gt;1,(COUNTIFS('أرقام التواصل'!$A$6:$A$505,"client",'أرقام التواصل'!$B$6:$B$505,A29,'أرقام التواصل'!$I$6:$I$505,"TRUE")+COUNTIFS('أرقام التواصل'!$A$6:$A$505,"client",'أرقام التواصل'!$B$6:$B$505,A29,'أرقام التواصل'!$C$6:$C$505,1))=0),"REVIEW","READY"))))</x:f>
      </x:c>
      <x:c r="BB29" s="224" t="str">
        <x:f>IF(BA29="","",IF(OR(BA29="READY",BA29="TO_PROPOSED"),"",IF(BA29="SKIP","Skipped by decision",TRIM(IF(B29="","missing import_action; ","")&amp;IF(A29="","missing migration_customer_key; ","")&amp;IF(AND(A29&lt;&gt;"",COUNTIF($A$6:$A$505,A29)&gt;1),"duplicate migration_customer_key; ","")&amp;IF(AND(NOT(OR(B29="to_candidate",AW29="proposed_name")),F29=""),"missing branch_id; ","")&amp;IF(AND(NOT(OR(B29="to_candidate",AW29="proposed_name")),H29=""),"missing first_name; ","")&amp;IF(AND(NOT(OR(B29="to_candidate",AW29="proposed_name")),J29=""),"missing last_name; ","")&amp;IF(AND(NOT(OR(B29="to_candidate",AW29="proposed_name")),U29=""),"missing final_geo_unit_id; ","")&amp;IF(AW29="","missing final_destination; ","")&amp;IF(AND(NOT(OR(B29="to_candidate",AW29="proposed_name")),(COUNTIFS('أرقام التواصل'!$A$6:$A$505,"client",'أرقام التواصل'!$B$6:$B$505,A29,'أرقام التواصل'!$I$6:$I$505,"TRUE")+COUNTIFS('أرقام التواصل'!$A$6:$A$505,"client",'أرقام التواصل'!$B$6:$B$505,A29,'أرقام التواصل'!$C$6:$C$505,1))=0),"missing primary contact in أرقام التواصل; ","")&amp;IF(OR(B29="to_candidate",AW29="proposed_name"),IF(AX29="","missing proposed_move_reason; ","")&amp;IF(AY29="","missing proposed_name_key; ",""),"")))))</x:f>
      </x:c>
    </x:row>
    <x:row r="30">
      <x:c r="A30" s="219"/>
      <x:c r="B30" s="220"/>
      <x:c r="C30" s="221"/>
      <x:c r="D30" s="220"/>
      <x:c r="E30" s="222"/>
      <x:c r="F30" s="220"/>
      <x:c r="G30" s="220"/>
      <x:c r="H30" s="220"/>
      <x:c r="I30" s="220"/>
      <x:c r="J30" s="220"/>
      <x:c r="K30" s="220"/>
      <x:c r="L30" s="220" t="str">
        <x:f>IF(TRIM(H30&amp;" "&amp;I30&amp;" "&amp;J30&amp;IF(K30&lt;&gt;""," ("&amp;K30&amp;")",""))="","",TRIM(H30&amp;" "&amp;I30&amp;" "&amp;J30&amp;IF(K30&lt;&gt;""," ("&amp;K30&amp;")","")))</x:f>
      </x:c>
      <x:c r="M30" s="220"/>
      <x:c r="N30" s="220"/>
      <x:c r="O30" s="220"/>
      <x:c r="P30" s="220"/>
      <x:c r="Q30" s="220"/>
      <x:c r="R30" s="220"/>
      <x:c r="S30" s="220"/>
      <x:c r="T30" s="220"/>
      <x:c r="U30" s="220" t="str">
        <x:f>IF(AND(M30="",O30="",Q30="",S30=""),"",IF(S30&lt;&gt;"",S30,IF(Q30&lt;&gt;"",Q30,IF(O30&lt;&gt;"",O30,M30))))</x:f>
      </x:c>
      <x:c r="V30" s="220" t="str">
        <x:f>IF(AND(N30="",P30="",R30="",T30=""),"",IF(T30&lt;&gt;"",T30,IF(R30&lt;&gt;"",R30,IF(P30&lt;&gt;"",P30,N30))))</x:f>
      </x:c>
      <x:c r="W30" s="221"/>
      <x:c r="X30" s="220"/>
      <x:c r="Y30" s="220"/>
      <x:c r="Z30" s="223"/>
      <x:c r="AA30" s="223"/>
      <x:c r="AB30" s="221"/>
      <x:c r="AC30" s="220"/>
      <x:c r="AD30" s="220"/>
      <x:c r="AE30" s="222"/>
      <x:c r="AF30" s="220"/>
      <x:c r="AG30" s="221"/>
      <x:c r="AH30" s="220"/>
      <x:c r="AI30" s="220"/>
      <x:c r="AJ30" s="222"/>
      <x:c r="AK30" s="220"/>
      <x:c r="AL30" s="220"/>
      <x:c r="AM30" s="220"/>
      <x:c r="AN30" s="220"/>
      <x:c r="AO30" s="220"/>
      <x:c r="AP30" s="220"/>
      <x:c r="AQ30" s="220"/>
      <x:c r="AR30" s="222"/>
      <x:c r="AS30" s="220"/>
      <x:c r="AT30" s="220"/>
      <x:c r="AU30" s="220"/>
      <x:c r="AV30" s="220"/>
      <x:c r="AW30" s="220"/>
      <x:c r="AX30" s="220"/>
      <x:c r="AY30" s="221"/>
      <x:c r="AZ30" s="220"/>
      <x:c r="BA30" s="220" t="str">
        <x:f>IF(AND(A30="",B30="",F30="",H30="",J30="",AW30="",AY30=""),"",IF(OR(B30="skip",AW30="skip"),"SKIP",IF(OR(B30="to_candidate",AW30="proposed_name"),IF(OR(A30="",AX30="",AY30="",COUNTIF($A$6:$A$505,A30)&gt;1),"REVIEW","TO_PROPOSED"),IF(OR(B30="",A30="",F30="",H30="",J30="",U30="",AW30="",COUNTIF($A$6:$A$505,A30)&gt;1,(COUNTIFS('أرقام التواصل'!$A$6:$A$505,"client",'أرقام التواصل'!$B$6:$B$505,A30,'أرقام التواصل'!$I$6:$I$505,"TRUE")+COUNTIFS('أرقام التواصل'!$A$6:$A$505,"client",'أرقام التواصل'!$B$6:$B$505,A30,'أرقام التواصل'!$C$6:$C$505,1))=0),"REVIEW","READY"))))</x:f>
      </x:c>
      <x:c r="BB30" s="224" t="str">
        <x:f>IF(BA30="","",IF(OR(BA30="READY",BA30="TO_PROPOSED"),"",IF(BA30="SKIP","Skipped by decision",TRIM(IF(B30="","missing import_action; ","")&amp;IF(A30="","missing migration_customer_key; ","")&amp;IF(AND(A30&lt;&gt;"",COUNTIF($A$6:$A$505,A30)&gt;1),"duplicate migration_customer_key; ","")&amp;IF(AND(NOT(OR(B30="to_candidate",AW30="proposed_name")),F30=""),"missing branch_id; ","")&amp;IF(AND(NOT(OR(B30="to_candidate",AW30="proposed_name")),H30=""),"missing first_name; ","")&amp;IF(AND(NOT(OR(B30="to_candidate",AW30="proposed_name")),J30=""),"missing last_name; ","")&amp;IF(AND(NOT(OR(B30="to_candidate",AW30="proposed_name")),U30=""),"missing final_geo_unit_id; ","")&amp;IF(AW30="","missing final_destination; ","")&amp;IF(AND(NOT(OR(B30="to_candidate",AW30="proposed_name")),(COUNTIFS('أرقام التواصل'!$A$6:$A$505,"client",'أرقام التواصل'!$B$6:$B$505,A30,'أرقام التواصل'!$I$6:$I$505,"TRUE")+COUNTIFS('أرقام التواصل'!$A$6:$A$505,"client",'أرقام التواصل'!$B$6:$B$505,A30,'أرقام التواصل'!$C$6:$C$505,1))=0),"missing primary contact in أرقام التواصل; ","")&amp;IF(OR(B30="to_candidate",AW30="proposed_name"),IF(AX30="","missing proposed_move_reason; ","")&amp;IF(AY30="","missing proposed_name_key; ",""),"")))))</x:f>
      </x:c>
    </x:row>
    <x:row r="31">
      <x:c r="A31" s="219"/>
      <x:c r="B31" s="220"/>
      <x:c r="C31" s="221"/>
      <x:c r="D31" s="220"/>
      <x:c r="E31" s="222"/>
      <x:c r="F31" s="220"/>
      <x:c r="G31" s="220"/>
      <x:c r="H31" s="220"/>
      <x:c r="I31" s="220"/>
      <x:c r="J31" s="220"/>
      <x:c r="K31" s="220"/>
      <x:c r="L31" s="220" t="str">
        <x:f>IF(TRIM(H31&amp;" "&amp;I31&amp;" "&amp;J31&amp;IF(K31&lt;&gt;""," ("&amp;K31&amp;")",""))="","",TRIM(H31&amp;" "&amp;I31&amp;" "&amp;J31&amp;IF(K31&lt;&gt;""," ("&amp;K31&amp;")","")))</x:f>
      </x:c>
      <x:c r="M31" s="220"/>
      <x:c r="N31" s="220"/>
      <x:c r="O31" s="220"/>
      <x:c r="P31" s="220"/>
      <x:c r="Q31" s="220"/>
      <x:c r="R31" s="220"/>
      <x:c r="S31" s="220"/>
      <x:c r="T31" s="220"/>
      <x:c r="U31" s="220" t="str">
        <x:f>IF(AND(M31="",O31="",Q31="",S31=""),"",IF(S31&lt;&gt;"",S31,IF(Q31&lt;&gt;"",Q31,IF(O31&lt;&gt;"",O31,M31))))</x:f>
      </x:c>
      <x:c r="V31" s="220" t="str">
        <x:f>IF(AND(N31="",P31="",R31="",T31=""),"",IF(T31&lt;&gt;"",T31,IF(R31&lt;&gt;"",R31,IF(P31&lt;&gt;"",P31,N31))))</x:f>
      </x:c>
      <x:c r="W31" s="221"/>
      <x:c r="X31" s="220"/>
      <x:c r="Y31" s="220"/>
      <x:c r="Z31" s="223"/>
      <x:c r="AA31" s="223"/>
      <x:c r="AB31" s="221"/>
      <x:c r="AC31" s="220"/>
      <x:c r="AD31" s="220"/>
      <x:c r="AE31" s="222"/>
      <x:c r="AF31" s="220"/>
      <x:c r="AG31" s="221"/>
      <x:c r="AH31" s="220"/>
      <x:c r="AI31" s="220"/>
      <x:c r="AJ31" s="222"/>
      <x:c r="AK31" s="220"/>
      <x:c r="AL31" s="220"/>
      <x:c r="AM31" s="220"/>
      <x:c r="AN31" s="220"/>
      <x:c r="AO31" s="220"/>
      <x:c r="AP31" s="220"/>
      <x:c r="AQ31" s="220"/>
      <x:c r="AR31" s="222"/>
      <x:c r="AS31" s="220"/>
      <x:c r="AT31" s="220"/>
      <x:c r="AU31" s="220"/>
      <x:c r="AV31" s="220"/>
      <x:c r="AW31" s="220"/>
      <x:c r="AX31" s="220"/>
      <x:c r="AY31" s="221"/>
      <x:c r="AZ31" s="220"/>
      <x:c r="BA31" s="220" t="str">
        <x:f>IF(AND(A31="",B31="",F31="",H31="",J31="",AW31="",AY31=""),"",IF(OR(B31="skip",AW31="skip"),"SKIP",IF(OR(B31="to_candidate",AW31="proposed_name"),IF(OR(A31="",AX31="",AY31="",COUNTIF($A$6:$A$505,A31)&gt;1),"REVIEW","TO_PROPOSED"),IF(OR(B31="",A31="",F31="",H31="",J31="",U31="",AW31="",COUNTIF($A$6:$A$505,A31)&gt;1,(COUNTIFS('أرقام التواصل'!$A$6:$A$505,"client",'أرقام التواصل'!$B$6:$B$505,A31,'أرقام التواصل'!$I$6:$I$505,"TRUE")+COUNTIFS('أرقام التواصل'!$A$6:$A$505,"client",'أرقام التواصل'!$B$6:$B$505,A31,'أرقام التواصل'!$C$6:$C$505,1))=0),"REVIEW","READY"))))</x:f>
      </x:c>
      <x:c r="BB31" s="224" t="str">
        <x:f>IF(BA31="","",IF(OR(BA31="READY",BA31="TO_PROPOSED"),"",IF(BA31="SKIP","Skipped by decision",TRIM(IF(B31="","missing import_action; ","")&amp;IF(A31="","missing migration_customer_key; ","")&amp;IF(AND(A31&lt;&gt;"",COUNTIF($A$6:$A$505,A31)&gt;1),"duplicate migration_customer_key; ","")&amp;IF(AND(NOT(OR(B31="to_candidate",AW31="proposed_name")),F31=""),"missing branch_id; ","")&amp;IF(AND(NOT(OR(B31="to_candidate",AW31="proposed_name")),H31=""),"missing first_name; ","")&amp;IF(AND(NOT(OR(B31="to_candidate",AW31="proposed_name")),J31=""),"missing last_name; ","")&amp;IF(AND(NOT(OR(B31="to_candidate",AW31="proposed_name")),U31=""),"missing final_geo_unit_id; ","")&amp;IF(AW31="","missing final_destination; ","")&amp;IF(AND(NOT(OR(B31="to_candidate",AW31="proposed_name")),(COUNTIFS('أرقام التواصل'!$A$6:$A$505,"client",'أرقام التواصل'!$B$6:$B$505,A31,'أرقام التواصل'!$I$6:$I$505,"TRUE")+COUNTIFS('أرقام التواصل'!$A$6:$A$505,"client",'أرقام التواصل'!$B$6:$B$505,A31,'أرقام التواصل'!$C$6:$C$505,1))=0),"missing primary contact in أرقام التواصل; ","")&amp;IF(OR(B31="to_candidate",AW31="proposed_name"),IF(AX31="","missing proposed_move_reason; ","")&amp;IF(AY31="","missing proposed_name_key; ",""),"")))))</x:f>
      </x:c>
    </x:row>
    <x:row r="32">
      <x:c r="A32" s="219"/>
      <x:c r="B32" s="220"/>
      <x:c r="C32" s="221"/>
      <x:c r="D32" s="220"/>
      <x:c r="E32" s="222"/>
      <x:c r="F32" s="220"/>
      <x:c r="G32" s="220"/>
      <x:c r="H32" s="220"/>
      <x:c r="I32" s="220"/>
      <x:c r="J32" s="220"/>
      <x:c r="K32" s="220"/>
      <x:c r="L32" s="220" t="str">
        <x:f>IF(TRIM(H32&amp;" "&amp;I32&amp;" "&amp;J32&amp;IF(K32&lt;&gt;""," ("&amp;K32&amp;")",""))="","",TRIM(H32&amp;" "&amp;I32&amp;" "&amp;J32&amp;IF(K32&lt;&gt;""," ("&amp;K32&amp;")","")))</x:f>
      </x:c>
      <x:c r="M32" s="220"/>
      <x:c r="N32" s="220"/>
      <x:c r="O32" s="220"/>
      <x:c r="P32" s="220"/>
      <x:c r="Q32" s="220"/>
      <x:c r="R32" s="220"/>
      <x:c r="S32" s="220"/>
      <x:c r="T32" s="220"/>
      <x:c r="U32" s="220" t="str">
        <x:f>IF(AND(M32="",O32="",Q32="",S32=""),"",IF(S32&lt;&gt;"",S32,IF(Q32&lt;&gt;"",Q32,IF(O32&lt;&gt;"",O32,M32))))</x:f>
      </x:c>
      <x:c r="V32" s="220" t="str">
        <x:f>IF(AND(N32="",P32="",R32="",T32=""),"",IF(T32&lt;&gt;"",T32,IF(R32&lt;&gt;"",R32,IF(P32&lt;&gt;"",P32,N32))))</x:f>
      </x:c>
      <x:c r="W32" s="221"/>
      <x:c r="X32" s="220"/>
      <x:c r="Y32" s="220"/>
      <x:c r="Z32" s="223"/>
      <x:c r="AA32" s="223"/>
      <x:c r="AB32" s="221"/>
      <x:c r="AC32" s="220"/>
      <x:c r="AD32" s="220"/>
      <x:c r="AE32" s="222"/>
      <x:c r="AF32" s="220"/>
      <x:c r="AG32" s="221"/>
      <x:c r="AH32" s="220"/>
      <x:c r="AI32" s="220"/>
      <x:c r="AJ32" s="222"/>
      <x:c r="AK32" s="220"/>
      <x:c r="AL32" s="220"/>
      <x:c r="AM32" s="220"/>
      <x:c r="AN32" s="220"/>
      <x:c r="AO32" s="220"/>
      <x:c r="AP32" s="220"/>
      <x:c r="AQ32" s="220"/>
      <x:c r="AR32" s="222"/>
      <x:c r="AS32" s="220"/>
      <x:c r="AT32" s="220"/>
      <x:c r="AU32" s="220"/>
      <x:c r="AV32" s="220"/>
      <x:c r="AW32" s="220"/>
      <x:c r="AX32" s="220"/>
      <x:c r="AY32" s="221"/>
      <x:c r="AZ32" s="220"/>
      <x:c r="BA32" s="220" t="str">
        <x:f>IF(AND(A32="",B32="",F32="",H32="",J32="",AW32="",AY32=""),"",IF(OR(B32="skip",AW32="skip"),"SKIP",IF(OR(B32="to_candidate",AW32="proposed_name"),IF(OR(A32="",AX32="",AY32="",COUNTIF($A$6:$A$505,A32)&gt;1),"REVIEW","TO_PROPOSED"),IF(OR(B32="",A32="",F32="",H32="",J32="",U32="",AW32="",COUNTIF($A$6:$A$505,A32)&gt;1,(COUNTIFS('أرقام التواصل'!$A$6:$A$505,"client",'أرقام التواصل'!$B$6:$B$505,A32,'أرقام التواصل'!$I$6:$I$505,"TRUE")+COUNTIFS('أرقام التواصل'!$A$6:$A$505,"client",'أرقام التواصل'!$B$6:$B$505,A32,'أرقام التواصل'!$C$6:$C$505,1))=0),"REVIEW","READY"))))</x:f>
      </x:c>
      <x:c r="BB32" s="224" t="str">
        <x:f>IF(BA32="","",IF(OR(BA32="READY",BA32="TO_PROPOSED"),"",IF(BA32="SKIP","Skipped by decision",TRIM(IF(B32="","missing import_action; ","")&amp;IF(A32="","missing migration_customer_key; ","")&amp;IF(AND(A32&lt;&gt;"",COUNTIF($A$6:$A$505,A32)&gt;1),"duplicate migration_customer_key; ","")&amp;IF(AND(NOT(OR(B32="to_candidate",AW32="proposed_name")),F32=""),"missing branch_id; ","")&amp;IF(AND(NOT(OR(B32="to_candidate",AW32="proposed_name")),H32=""),"missing first_name; ","")&amp;IF(AND(NOT(OR(B32="to_candidate",AW32="proposed_name")),J32=""),"missing last_name; ","")&amp;IF(AND(NOT(OR(B32="to_candidate",AW32="proposed_name")),U32=""),"missing final_geo_unit_id; ","")&amp;IF(AW32="","missing final_destination; ","")&amp;IF(AND(NOT(OR(B32="to_candidate",AW32="proposed_name")),(COUNTIFS('أرقام التواصل'!$A$6:$A$505,"client",'أرقام التواصل'!$B$6:$B$505,A32,'أرقام التواصل'!$I$6:$I$505,"TRUE")+COUNTIFS('أرقام التواصل'!$A$6:$A$505,"client",'أرقام التواصل'!$B$6:$B$505,A32,'أرقام التواصل'!$C$6:$C$505,1))=0),"missing primary contact in أرقام التواصل; ","")&amp;IF(OR(B32="to_candidate",AW32="proposed_name"),IF(AX32="","missing proposed_move_reason; ","")&amp;IF(AY32="","missing proposed_name_key; ",""),"")))))</x:f>
      </x:c>
    </x:row>
    <x:row r="33">
      <x:c r="A33" s="219"/>
      <x:c r="B33" s="220"/>
      <x:c r="C33" s="221"/>
      <x:c r="D33" s="220"/>
      <x:c r="E33" s="222"/>
      <x:c r="F33" s="220"/>
      <x:c r="G33" s="220"/>
      <x:c r="H33" s="220"/>
      <x:c r="I33" s="220"/>
      <x:c r="J33" s="220"/>
      <x:c r="K33" s="220"/>
      <x:c r="L33" s="220" t="str">
        <x:f>IF(TRIM(H33&amp;" "&amp;I33&amp;" "&amp;J33&amp;IF(K33&lt;&gt;""," ("&amp;K33&amp;")",""))="","",TRIM(H33&amp;" "&amp;I33&amp;" "&amp;J33&amp;IF(K33&lt;&gt;""," ("&amp;K33&amp;")","")))</x:f>
      </x:c>
      <x:c r="M33" s="220"/>
      <x:c r="N33" s="220"/>
      <x:c r="O33" s="220"/>
      <x:c r="P33" s="220"/>
      <x:c r="Q33" s="220"/>
      <x:c r="R33" s="220"/>
      <x:c r="S33" s="220"/>
      <x:c r="T33" s="220"/>
      <x:c r="U33" s="220" t="str">
        <x:f>IF(AND(M33="",O33="",Q33="",S33=""),"",IF(S33&lt;&gt;"",S33,IF(Q33&lt;&gt;"",Q33,IF(O33&lt;&gt;"",O33,M33))))</x:f>
      </x:c>
      <x:c r="V33" s="220" t="str">
        <x:f>IF(AND(N33="",P33="",R33="",T33=""),"",IF(T33&lt;&gt;"",T33,IF(R33&lt;&gt;"",R33,IF(P33&lt;&gt;"",P33,N33))))</x:f>
      </x:c>
      <x:c r="W33" s="221"/>
      <x:c r="X33" s="220"/>
      <x:c r="Y33" s="220"/>
      <x:c r="Z33" s="223"/>
      <x:c r="AA33" s="223"/>
      <x:c r="AB33" s="221"/>
      <x:c r="AC33" s="220"/>
      <x:c r="AD33" s="220"/>
      <x:c r="AE33" s="222"/>
      <x:c r="AF33" s="220"/>
      <x:c r="AG33" s="221"/>
      <x:c r="AH33" s="220"/>
      <x:c r="AI33" s="220"/>
      <x:c r="AJ33" s="222"/>
      <x:c r="AK33" s="220"/>
      <x:c r="AL33" s="220"/>
      <x:c r="AM33" s="220"/>
      <x:c r="AN33" s="220"/>
      <x:c r="AO33" s="220"/>
      <x:c r="AP33" s="220"/>
      <x:c r="AQ33" s="220"/>
      <x:c r="AR33" s="222"/>
      <x:c r="AS33" s="220"/>
      <x:c r="AT33" s="220"/>
      <x:c r="AU33" s="220"/>
      <x:c r="AV33" s="220"/>
      <x:c r="AW33" s="220"/>
      <x:c r="AX33" s="220"/>
      <x:c r="AY33" s="221"/>
      <x:c r="AZ33" s="220"/>
      <x:c r="BA33" s="220" t="str">
        <x:f>IF(AND(A33="",B33="",F33="",H33="",J33="",AW33="",AY33=""),"",IF(OR(B33="skip",AW33="skip"),"SKIP",IF(OR(B33="to_candidate",AW33="proposed_name"),IF(OR(A33="",AX33="",AY33="",COUNTIF($A$6:$A$505,A33)&gt;1),"REVIEW","TO_PROPOSED"),IF(OR(B33="",A33="",F33="",H33="",J33="",U33="",AW33="",COUNTIF($A$6:$A$505,A33)&gt;1,(COUNTIFS('أرقام التواصل'!$A$6:$A$505,"client",'أرقام التواصل'!$B$6:$B$505,A33,'أرقام التواصل'!$I$6:$I$505,"TRUE")+COUNTIFS('أرقام التواصل'!$A$6:$A$505,"client",'أرقام التواصل'!$B$6:$B$505,A33,'أرقام التواصل'!$C$6:$C$505,1))=0),"REVIEW","READY"))))</x:f>
      </x:c>
      <x:c r="BB33" s="224" t="str">
        <x:f>IF(BA33="","",IF(OR(BA33="READY",BA33="TO_PROPOSED"),"",IF(BA33="SKIP","Skipped by decision",TRIM(IF(B33="","missing import_action; ","")&amp;IF(A33="","missing migration_customer_key; ","")&amp;IF(AND(A33&lt;&gt;"",COUNTIF($A$6:$A$505,A33)&gt;1),"duplicate migration_customer_key; ","")&amp;IF(AND(NOT(OR(B33="to_candidate",AW33="proposed_name")),F33=""),"missing branch_id; ","")&amp;IF(AND(NOT(OR(B33="to_candidate",AW33="proposed_name")),H33=""),"missing first_name; ","")&amp;IF(AND(NOT(OR(B33="to_candidate",AW33="proposed_name")),J33=""),"missing last_name; ","")&amp;IF(AND(NOT(OR(B33="to_candidate",AW33="proposed_name")),U33=""),"missing final_geo_unit_id; ","")&amp;IF(AW33="","missing final_destination; ","")&amp;IF(AND(NOT(OR(B33="to_candidate",AW33="proposed_name")),(COUNTIFS('أرقام التواصل'!$A$6:$A$505,"client",'أرقام التواصل'!$B$6:$B$505,A33,'أرقام التواصل'!$I$6:$I$505,"TRUE")+COUNTIFS('أرقام التواصل'!$A$6:$A$505,"client",'أرقام التواصل'!$B$6:$B$505,A33,'أرقام التواصل'!$C$6:$C$505,1))=0),"missing primary contact in أرقام التواصل; ","")&amp;IF(OR(B33="to_candidate",AW33="proposed_name"),IF(AX33="","missing proposed_move_reason; ","")&amp;IF(AY33="","missing proposed_name_key; ",""),"")))))</x:f>
      </x:c>
    </x:row>
    <x:row r="34">
      <x:c r="A34" s="219"/>
      <x:c r="B34" s="220"/>
      <x:c r="C34" s="221"/>
      <x:c r="D34" s="220"/>
      <x:c r="E34" s="222"/>
      <x:c r="F34" s="220"/>
      <x:c r="G34" s="220"/>
      <x:c r="H34" s="220"/>
      <x:c r="I34" s="220"/>
      <x:c r="J34" s="220"/>
      <x:c r="K34" s="220"/>
      <x:c r="L34" s="220" t="str">
        <x:f>IF(TRIM(H34&amp;" "&amp;I34&amp;" "&amp;J34&amp;IF(K34&lt;&gt;""," ("&amp;K34&amp;")",""))="","",TRIM(H34&amp;" "&amp;I34&amp;" "&amp;J34&amp;IF(K34&lt;&gt;""," ("&amp;K34&amp;")","")))</x:f>
      </x:c>
      <x:c r="M34" s="220"/>
      <x:c r="N34" s="220"/>
      <x:c r="O34" s="220"/>
      <x:c r="P34" s="220"/>
      <x:c r="Q34" s="220"/>
      <x:c r="R34" s="220"/>
      <x:c r="S34" s="220"/>
      <x:c r="T34" s="220"/>
      <x:c r="U34" s="220" t="str">
        <x:f>IF(AND(M34="",O34="",Q34="",S34=""),"",IF(S34&lt;&gt;"",S34,IF(Q34&lt;&gt;"",Q34,IF(O34&lt;&gt;"",O34,M34))))</x:f>
      </x:c>
      <x:c r="V34" s="220" t="str">
        <x:f>IF(AND(N34="",P34="",R34="",T34=""),"",IF(T34&lt;&gt;"",T34,IF(R34&lt;&gt;"",R34,IF(P34&lt;&gt;"",P34,N34))))</x:f>
      </x:c>
      <x:c r="W34" s="221"/>
      <x:c r="X34" s="220"/>
      <x:c r="Y34" s="220"/>
      <x:c r="Z34" s="223"/>
      <x:c r="AA34" s="223"/>
      <x:c r="AB34" s="221"/>
      <x:c r="AC34" s="220"/>
      <x:c r="AD34" s="220"/>
      <x:c r="AE34" s="222"/>
      <x:c r="AF34" s="220"/>
      <x:c r="AG34" s="221"/>
      <x:c r="AH34" s="220"/>
      <x:c r="AI34" s="220"/>
      <x:c r="AJ34" s="222"/>
      <x:c r="AK34" s="220"/>
      <x:c r="AL34" s="220"/>
      <x:c r="AM34" s="220"/>
      <x:c r="AN34" s="220"/>
      <x:c r="AO34" s="220"/>
      <x:c r="AP34" s="220"/>
      <x:c r="AQ34" s="220"/>
      <x:c r="AR34" s="222"/>
      <x:c r="AS34" s="220"/>
      <x:c r="AT34" s="220"/>
      <x:c r="AU34" s="220"/>
      <x:c r="AV34" s="220"/>
      <x:c r="AW34" s="220"/>
      <x:c r="AX34" s="220"/>
      <x:c r="AY34" s="221"/>
      <x:c r="AZ34" s="220"/>
      <x:c r="BA34" s="220" t="str">
        <x:f>IF(AND(A34="",B34="",F34="",H34="",J34="",AW34="",AY34=""),"",IF(OR(B34="skip",AW34="skip"),"SKIP",IF(OR(B34="to_candidate",AW34="proposed_name"),IF(OR(A34="",AX34="",AY34="",COUNTIF($A$6:$A$505,A34)&gt;1),"REVIEW","TO_PROPOSED"),IF(OR(B34="",A34="",F34="",H34="",J34="",U34="",AW34="",COUNTIF($A$6:$A$505,A34)&gt;1,(COUNTIFS('أرقام التواصل'!$A$6:$A$505,"client",'أرقام التواصل'!$B$6:$B$505,A34,'أرقام التواصل'!$I$6:$I$505,"TRUE")+COUNTIFS('أرقام التواصل'!$A$6:$A$505,"client",'أرقام التواصل'!$B$6:$B$505,A34,'أرقام التواصل'!$C$6:$C$505,1))=0),"REVIEW","READY"))))</x:f>
      </x:c>
      <x:c r="BB34" s="224" t="str">
        <x:f>IF(BA34="","",IF(OR(BA34="READY",BA34="TO_PROPOSED"),"",IF(BA34="SKIP","Skipped by decision",TRIM(IF(B34="","missing import_action; ","")&amp;IF(A34="","missing migration_customer_key; ","")&amp;IF(AND(A34&lt;&gt;"",COUNTIF($A$6:$A$505,A34)&gt;1),"duplicate migration_customer_key; ","")&amp;IF(AND(NOT(OR(B34="to_candidate",AW34="proposed_name")),F34=""),"missing branch_id; ","")&amp;IF(AND(NOT(OR(B34="to_candidate",AW34="proposed_name")),H34=""),"missing first_name; ","")&amp;IF(AND(NOT(OR(B34="to_candidate",AW34="proposed_name")),J34=""),"missing last_name; ","")&amp;IF(AND(NOT(OR(B34="to_candidate",AW34="proposed_name")),U34=""),"missing final_geo_unit_id; ","")&amp;IF(AW34="","missing final_destination; ","")&amp;IF(AND(NOT(OR(B34="to_candidate",AW34="proposed_name")),(COUNTIFS('أرقام التواصل'!$A$6:$A$505,"client",'أرقام التواصل'!$B$6:$B$505,A34,'أرقام التواصل'!$I$6:$I$505,"TRUE")+COUNTIFS('أرقام التواصل'!$A$6:$A$505,"client",'أرقام التواصل'!$B$6:$B$505,A34,'أرقام التواصل'!$C$6:$C$505,1))=0),"missing primary contact in أرقام التواصل; ","")&amp;IF(OR(B34="to_candidate",AW34="proposed_name"),IF(AX34="","missing proposed_move_reason; ","")&amp;IF(AY34="","missing proposed_name_key; ",""),"")))))</x:f>
      </x:c>
    </x:row>
    <x:row r="35">
      <x:c r="A35" s="219"/>
      <x:c r="B35" s="220"/>
      <x:c r="C35" s="221"/>
      <x:c r="D35" s="220"/>
      <x:c r="E35" s="222"/>
      <x:c r="F35" s="220"/>
      <x:c r="G35" s="220"/>
      <x:c r="H35" s="220"/>
      <x:c r="I35" s="220"/>
      <x:c r="J35" s="220"/>
      <x:c r="K35" s="220"/>
      <x:c r="L35" s="220" t="str">
        <x:f>IF(TRIM(H35&amp;" "&amp;I35&amp;" "&amp;J35&amp;IF(K35&lt;&gt;""," ("&amp;K35&amp;")",""))="","",TRIM(H35&amp;" "&amp;I35&amp;" "&amp;J35&amp;IF(K35&lt;&gt;""," ("&amp;K35&amp;")","")))</x:f>
      </x:c>
      <x:c r="M35" s="220"/>
      <x:c r="N35" s="220"/>
      <x:c r="O35" s="220"/>
      <x:c r="P35" s="220"/>
      <x:c r="Q35" s="220"/>
      <x:c r="R35" s="220"/>
      <x:c r="S35" s="220"/>
      <x:c r="T35" s="220"/>
      <x:c r="U35" s="220" t="str">
        <x:f>IF(AND(M35="",O35="",Q35="",S35=""),"",IF(S35&lt;&gt;"",S35,IF(Q35&lt;&gt;"",Q35,IF(O35&lt;&gt;"",O35,M35))))</x:f>
      </x:c>
      <x:c r="V35" s="220" t="str">
        <x:f>IF(AND(N35="",P35="",R35="",T35=""),"",IF(T35&lt;&gt;"",T35,IF(R35&lt;&gt;"",R35,IF(P35&lt;&gt;"",P35,N35))))</x:f>
      </x:c>
      <x:c r="W35" s="221"/>
      <x:c r="X35" s="220"/>
      <x:c r="Y35" s="220"/>
      <x:c r="Z35" s="223"/>
      <x:c r="AA35" s="223"/>
      <x:c r="AB35" s="221"/>
      <x:c r="AC35" s="220"/>
      <x:c r="AD35" s="220"/>
      <x:c r="AE35" s="222"/>
      <x:c r="AF35" s="220"/>
      <x:c r="AG35" s="221"/>
      <x:c r="AH35" s="220"/>
      <x:c r="AI35" s="220"/>
      <x:c r="AJ35" s="222"/>
      <x:c r="AK35" s="220"/>
      <x:c r="AL35" s="220"/>
      <x:c r="AM35" s="220"/>
      <x:c r="AN35" s="220"/>
      <x:c r="AO35" s="220"/>
      <x:c r="AP35" s="220"/>
      <x:c r="AQ35" s="220"/>
      <x:c r="AR35" s="222"/>
      <x:c r="AS35" s="220"/>
      <x:c r="AT35" s="220"/>
      <x:c r="AU35" s="220"/>
      <x:c r="AV35" s="220"/>
      <x:c r="AW35" s="220"/>
      <x:c r="AX35" s="220"/>
      <x:c r="AY35" s="221"/>
      <x:c r="AZ35" s="220"/>
      <x:c r="BA35" s="220" t="str">
        <x:f>IF(AND(A35="",B35="",F35="",H35="",J35="",AW35="",AY35=""),"",IF(OR(B35="skip",AW35="skip"),"SKIP",IF(OR(B35="to_candidate",AW35="proposed_name"),IF(OR(A35="",AX35="",AY35="",COUNTIF($A$6:$A$505,A35)&gt;1),"REVIEW","TO_PROPOSED"),IF(OR(B35="",A35="",F35="",H35="",J35="",U35="",AW35="",COUNTIF($A$6:$A$505,A35)&gt;1,(COUNTIFS('أرقام التواصل'!$A$6:$A$505,"client",'أرقام التواصل'!$B$6:$B$505,A35,'أرقام التواصل'!$I$6:$I$505,"TRUE")+COUNTIFS('أرقام التواصل'!$A$6:$A$505,"client",'أرقام التواصل'!$B$6:$B$505,A35,'أرقام التواصل'!$C$6:$C$505,1))=0),"REVIEW","READY"))))</x:f>
      </x:c>
      <x:c r="BB35" s="224" t="str">
        <x:f>IF(BA35="","",IF(OR(BA35="READY",BA35="TO_PROPOSED"),"",IF(BA35="SKIP","Skipped by decision",TRIM(IF(B35="","missing import_action; ","")&amp;IF(A35="","missing migration_customer_key; ","")&amp;IF(AND(A35&lt;&gt;"",COUNTIF($A$6:$A$505,A35)&gt;1),"duplicate migration_customer_key; ","")&amp;IF(AND(NOT(OR(B35="to_candidate",AW35="proposed_name")),F35=""),"missing branch_id; ","")&amp;IF(AND(NOT(OR(B35="to_candidate",AW35="proposed_name")),H35=""),"missing first_name; ","")&amp;IF(AND(NOT(OR(B35="to_candidate",AW35="proposed_name")),J35=""),"missing last_name; ","")&amp;IF(AND(NOT(OR(B35="to_candidate",AW35="proposed_name")),U35=""),"missing final_geo_unit_id; ","")&amp;IF(AW35="","missing final_destination; ","")&amp;IF(AND(NOT(OR(B35="to_candidate",AW35="proposed_name")),(COUNTIFS('أرقام التواصل'!$A$6:$A$505,"client",'أرقام التواصل'!$B$6:$B$505,A35,'أرقام التواصل'!$I$6:$I$505,"TRUE")+COUNTIFS('أرقام التواصل'!$A$6:$A$505,"client",'أرقام التواصل'!$B$6:$B$505,A35,'أرقام التواصل'!$C$6:$C$505,1))=0),"missing primary contact in أرقام التواصل; ","")&amp;IF(OR(B35="to_candidate",AW35="proposed_name"),IF(AX35="","missing proposed_move_reason; ","")&amp;IF(AY35="","missing proposed_name_key; ",""),"")))))</x:f>
      </x:c>
    </x:row>
    <x:row r="36">
      <x:c r="A36" s="219"/>
      <x:c r="B36" s="220"/>
      <x:c r="C36" s="221"/>
      <x:c r="D36" s="220"/>
      <x:c r="E36" s="222"/>
      <x:c r="F36" s="220"/>
      <x:c r="G36" s="220"/>
      <x:c r="H36" s="220"/>
      <x:c r="I36" s="220"/>
      <x:c r="J36" s="220"/>
      <x:c r="K36" s="220"/>
      <x:c r="L36" s="220" t="str">
        <x:f>IF(TRIM(H36&amp;" "&amp;I36&amp;" "&amp;J36&amp;IF(K36&lt;&gt;""," ("&amp;K36&amp;")",""))="","",TRIM(H36&amp;" "&amp;I36&amp;" "&amp;J36&amp;IF(K36&lt;&gt;""," ("&amp;K36&amp;")","")))</x:f>
      </x:c>
      <x:c r="M36" s="220"/>
      <x:c r="N36" s="220"/>
      <x:c r="O36" s="220"/>
      <x:c r="P36" s="220"/>
      <x:c r="Q36" s="220"/>
      <x:c r="R36" s="220"/>
      <x:c r="S36" s="220"/>
      <x:c r="T36" s="220"/>
      <x:c r="U36" s="220" t="str">
        <x:f>IF(AND(M36="",O36="",Q36="",S36=""),"",IF(S36&lt;&gt;"",S36,IF(Q36&lt;&gt;"",Q36,IF(O36&lt;&gt;"",O36,M36))))</x:f>
      </x:c>
      <x:c r="V36" s="220" t="str">
        <x:f>IF(AND(N36="",P36="",R36="",T36=""),"",IF(T36&lt;&gt;"",T36,IF(R36&lt;&gt;"",R36,IF(P36&lt;&gt;"",P36,N36))))</x:f>
      </x:c>
      <x:c r="W36" s="221"/>
      <x:c r="X36" s="220"/>
      <x:c r="Y36" s="220"/>
      <x:c r="Z36" s="223"/>
      <x:c r="AA36" s="223"/>
      <x:c r="AB36" s="221"/>
      <x:c r="AC36" s="220"/>
      <x:c r="AD36" s="220"/>
      <x:c r="AE36" s="222"/>
      <x:c r="AF36" s="220"/>
      <x:c r="AG36" s="221"/>
      <x:c r="AH36" s="220"/>
      <x:c r="AI36" s="220"/>
      <x:c r="AJ36" s="222"/>
      <x:c r="AK36" s="220"/>
      <x:c r="AL36" s="220"/>
      <x:c r="AM36" s="220"/>
      <x:c r="AN36" s="220"/>
      <x:c r="AO36" s="220"/>
      <x:c r="AP36" s="220"/>
      <x:c r="AQ36" s="220"/>
      <x:c r="AR36" s="222"/>
      <x:c r="AS36" s="220"/>
      <x:c r="AT36" s="220"/>
      <x:c r="AU36" s="220"/>
      <x:c r="AV36" s="220"/>
      <x:c r="AW36" s="220"/>
      <x:c r="AX36" s="220"/>
      <x:c r="AY36" s="221"/>
      <x:c r="AZ36" s="220"/>
      <x:c r="BA36" s="220" t="str">
        <x:f>IF(AND(A36="",B36="",F36="",H36="",J36="",AW36="",AY36=""),"",IF(OR(B36="skip",AW36="skip"),"SKIP",IF(OR(B36="to_candidate",AW36="proposed_name"),IF(OR(A36="",AX36="",AY36="",COUNTIF($A$6:$A$505,A36)&gt;1),"REVIEW","TO_PROPOSED"),IF(OR(B36="",A36="",F36="",H36="",J36="",U36="",AW36="",COUNTIF($A$6:$A$505,A36)&gt;1,(COUNTIFS('أرقام التواصل'!$A$6:$A$505,"client",'أرقام التواصل'!$B$6:$B$505,A36,'أرقام التواصل'!$I$6:$I$505,"TRUE")+COUNTIFS('أرقام التواصل'!$A$6:$A$505,"client",'أرقام التواصل'!$B$6:$B$505,A36,'أرقام التواصل'!$C$6:$C$505,1))=0),"REVIEW","READY"))))</x:f>
      </x:c>
      <x:c r="BB36" s="224" t="str">
        <x:f>IF(BA36="","",IF(OR(BA36="READY",BA36="TO_PROPOSED"),"",IF(BA36="SKIP","Skipped by decision",TRIM(IF(B36="","missing import_action; ","")&amp;IF(A36="","missing migration_customer_key; ","")&amp;IF(AND(A36&lt;&gt;"",COUNTIF($A$6:$A$505,A36)&gt;1),"duplicate migration_customer_key; ","")&amp;IF(AND(NOT(OR(B36="to_candidate",AW36="proposed_name")),F36=""),"missing branch_id; ","")&amp;IF(AND(NOT(OR(B36="to_candidate",AW36="proposed_name")),H36=""),"missing first_name; ","")&amp;IF(AND(NOT(OR(B36="to_candidate",AW36="proposed_name")),J36=""),"missing last_name; ","")&amp;IF(AND(NOT(OR(B36="to_candidate",AW36="proposed_name")),U36=""),"missing final_geo_unit_id; ","")&amp;IF(AW36="","missing final_destination; ","")&amp;IF(AND(NOT(OR(B36="to_candidate",AW36="proposed_name")),(COUNTIFS('أرقام التواصل'!$A$6:$A$505,"client",'أرقام التواصل'!$B$6:$B$505,A36,'أرقام التواصل'!$I$6:$I$505,"TRUE")+COUNTIFS('أرقام التواصل'!$A$6:$A$505,"client",'أرقام التواصل'!$B$6:$B$505,A36,'أرقام التواصل'!$C$6:$C$505,1))=0),"missing primary contact in أرقام التواصل; ","")&amp;IF(OR(B36="to_candidate",AW36="proposed_name"),IF(AX36="","missing proposed_move_reason; ","")&amp;IF(AY36="","missing proposed_name_key; ",""),"")))))</x:f>
      </x:c>
    </x:row>
    <x:row r="37">
      <x:c r="A37" s="219"/>
      <x:c r="B37" s="220"/>
      <x:c r="C37" s="221"/>
      <x:c r="D37" s="220"/>
      <x:c r="E37" s="222"/>
      <x:c r="F37" s="220"/>
      <x:c r="G37" s="220"/>
      <x:c r="H37" s="220"/>
      <x:c r="I37" s="220"/>
      <x:c r="J37" s="220"/>
      <x:c r="K37" s="220"/>
      <x:c r="L37" s="220" t="str">
        <x:f>IF(TRIM(H37&amp;" "&amp;I37&amp;" "&amp;J37&amp;IF(K37&lt;&gt;""," ("&amp;K37&amp;")",""))="","",TRIM(H37&amp;" "&amp;I37&amp;" "&amp;J37&amp;IF(K37&lt;&gt;""," ("&amp;K37&amp;")","")))</x:f>
      </x:c>
      <x:c r="M37" s="220"/>
      <x:c r="N37" s="220"/>
      <x:c r="O37" s="220"/>
      <x:c r="P37" s="220"/>
      <x:c r="Q37" s="220"/>
      <x:c r="R37" s="220"/>
      <x:c r="S37" s="220"/>
      <x:c r="T37" s="220"/>
      <x:c r="U37" s="220" t="str">
        <x:f>IF(AND(M37="",O37="",Q37="",S37=""),"",IF(S37&lt;&gt;"",S37,IF(Q37&lt;&gt;"",Q37,IF(O37&lt;&gt;"",O37,M37))))</x:f>
      </x:c>
      <x:c r="V37" s="220" t="str">
        <x:f>IF(AND(N37="",P37="",R37="",T37=""),"",IF(T37&lt;&gt;"",T37,IF(R37&lt;&gt;"",R37,IF(P37&lt;&gt;"",P37,N37))))</x:f>
      </x:c>
      <x:c r="W37" s="221"/>
      <x:c r="X37" s="220"/>
      <x:c r="Y37" s="220"/>
      <x:c r="Z37" s="223"/>
      <x:c r="AA37" s="223"/>
      <x:c r="AB37" s="221"/>
      <x:c r="AC37" s="220"/>
      <x:c r="AD37" s="220"/>
      <x:c r="AE37" s="222"/>
      <x:c r="AF37" s="220"/>
      <x:c r="AG37" s="221"/>
      <x:c r="AH37" s="220"/>
      <x:c r="AI37" s="220"/>
      <x:c r="AJ37" s="222"/>
      <x:c r="AK37" s="220"/>
      <x:c r="AL37" s="220"/>
      <x:c r="AM37" s="220"/>
      <x:c r="AN37" s="220"/>
      <x:c r="AO37" s="220"/>
      <x:c r="AP37" s="220"/>
      <x:c r="AQ37" s="220"/>
      <x:c r="AR37" s="222"/>
      <x:c r="AS37" s="220"/>
      <x:c r="AT37" s="220"/>
      <x:c r="AU37" s="220"/>
      <x:c r="AV37" s="220"/>
      <x:c r="AW37" s="220"/>
      <x:c r="AX37" s="220"/>
      <x:c r="AY37" s="221"/>
      <x:c r="AZ37" s="220"/>
      <x:c r="BA37" s="220" t="str">
        <x:f>IF(AND(A37="",B37="",F37="",H37="",J37="",AW37="",AY37=""),"",IF(OR(B37="skip",AW37="skip"),"SKIP",IF(OR(B37="to_candidate",AW37="proposed_name"),IF(OR(A37="",AX37="",AY37="",COUNTIF($A$6:$A$505,A37)&gt;1),"REVIEW","TO_PROPOSED"),IF(OR(B37="",A37="",F37="",H37="",J37="",U37="",AW37="",COUNTIF($A$6:$A$505,A37)&gt;1,(COUNTIFS('أرقام التواصل'!$A$6:$A$505,"client",'أرقام التواصل'!$B$6:$B$505,A37,'أرقام التواصل'!$I$6:$I$505,"TRUE")+COUNTIFS('أرقام التواصل'!$A$6:$A$505,"client",'أرقام التواصل'!$B$6:$B$505,A37,'أرقام التواصل'!$C$6:$C$505,1))=0),"REVIEW","READY"))))</x:f>
      </x:c>
      <x:c r="BB37" s="224" t="str">
        <x:f>IF(BA37="","",IF(OR(BA37="READY",BA37="TO_PROPOSED"),"",IF(BA37="SKIP","Skipped by decision",TRIM(IF(B37="","missing import_action; ","")&amp;IF(A37="","missing migration_customer_key; ","")&amp;IF(AND(A37&lt;&gt;"",COUNTIF($A$6:$A$505,A37)&gt;1),"duplicate migration_customer_key; ","")&amp;IF(AND(NOT(OR(B37="to_candidate",AW37="proposed_name")),F37=""),"missing branch_id; ","")&amp;IF(AND(NOT(OR(B37="to_candidate",AW37="proposed_name")),H37=""),"missing first_name; ","")&amp;IF(AND(NOT(OR(B37="to_candidate",AW37="proposed_name")),J37=""),"missing last_name; ","")&amp;IF(AND(NOT(OR(B37="to_candidate",AW37="proposed_name")),U37=""),"missing final_geo_unit_id; ","")&amp;IF(AW37="","missing final_destination; ","")&amp;IF(AND(NOT(OR(B37="to_candidate",AW37="proposed_name")),(COUNTIFS('أرقام التواصل'!$A$6:$A$505,"client",'أرقام التواصل'!$B$6:$B$505,A37,'أرقام التواصل'!$I$6:$I$505,"TRUE")+COUNTIFS('أرقام التواصل'!$A$6:$A$505,"client",'أرقام التواصل'!$B$6:$B$505,A37,'أرقام التواصل'!$C$6:$C$505,1))=0),"missing primary contact in أرقام التواصل; ","")&amp;IF(OR(B37="to_candidate",AW37="proposed_name"),IF(AX37="","missing proposed_move_reason; ","")&amp;IF(AY37="","missing proposed_name_key; ",""),"")))))</x:f>
      </x:c>
    </x:row>
    <x:row r="38">
      <x:c r="A38" s="219"/>
      <x:c r="B38" s="220"/>
      <x:c r="C38" s="221"/>
      <x:c r="D38" s="220"/>
      <x:c r="E38" s="222"/>
      <x:c r="F38" s="220"/>
      <x:c r="G38" s="220"/>
      <x:c r="H38" s="220"/>
      <x:c r="I38" s="220"/>
      <x:c r="J38" s="220"/>
      <x:c r="K38" s="220"/>
      <x:c r="L38" s="220" t="str">
        <x:f>IF(TRIM(H38&amp;" "&amp;I38&amp;" "&amp;J38&amp;IF(K38&lt;&gt;""," ("&amp;K38&amp;")",""))="","",TRIM(H38&amp;" "&amp;I38&amp;" "&amp;J38&amp;IF(K38&lt;&gt;""," ("&amp;K38&amp;")","")))</x:f>
      </x:c>
      <x:c r="M38" s="220"/>
      <x:c r="N38" s="220"/>
      <x:c r="O38" s="220"/>
      <x:c r="P38" s="220"/>
      <x:c r="Q38" s="220"/>
      <x:c r="R38" s="220"/>
      <x:c r="S38" s="220"/>
      <x:c r="T38" s="220"/>
      <x:c r="U38" s="220" t="str">
        <x:f>IF(AND(M38="",O38="",Q38="",S38=""),"",IF(S38&lt;&gt;"",S38,IF(Q38&lt;&gt;"",Q38,IF(O38&lt;&gt;"",O38,M38))))</x:f>
      </x:c>
      <x:c r="V38" s="220" t="str">
        <x:f>IF(AND(N38="",P38="",R38="",T38=""),"",IF(T38&lt;&gt;"",T38,IF(R38&lt;&gt;"",R38,IF(P38&lt;&gt;"",P38,N38))))</x:f>
      </x:c>
      <x:c r="W38" s="221"/>
      <x:c r="X38" s="220"/>
      <x:c r="Y38" s="220"/>
      <x:c r="Z38" s="223"/>
      <x:c r="AA38" s="223"/>
      <x:c r="AB38" s="221"/>
      <x:c r="AC38" s="220"/>
      <x:c r="AD38" s="220"/>
      <x:c r="AE38" s="222"/>
      <x:c r="AF38" s="220"/>
      <x:c r="AG38" s="221"/>
      <x:c r="AH38" s="220"/>
      <x:c r="AI38" s="220"/>
      <x:c r="AJ38" s="222"/>
      <x:c r="AK38" s="220"/>
      <x:c r="AL38" s="220"/>
      <x:c r="AM38" s="220"/>
      <x:c r="AN38" s="220"/>
      <x:c r="AO38" s="220"/>
      <x:c r="AP38" s="220"/>
      <x:c r="AQ38" s="220"/>
      <x:c r="AR38" s="222"/>
      <x:c r="AS38" s="220"/>
      <x:c r="AT38" s="220"/>
      <x:c r="AU38" s="220"/>
      <x:c r="AV38" s="220"/>
      <x:c r="AW38" s="220"/>
      <x:c r="AX38" s="220"/>
      <x:c r="AY38" s="221"/>
      <x:c r="AZ38" s="220"/>
      <x:c r="BA38" s="220" t="str">
        <x:f>IF(AND(A38="",B38="",F38="",H38="",J38="",AW38="",AY38=""),"",IF(OR(B38="skip",AW38="skip"),"SKIP",IF(OR(B38="to_candidate",AW38="proposed_name"),IF(OR(A38="",AX38="",AY38="",COUNTIF($A$6:$A$505,A38)&gt;1),"REVIEW","TO_PROPOSED"),IF(OR(B38="",A38="",F38="",H38="",J38="",U38="",AW38="",COUNTIF($A$6:$A$505,A38)&gt;1,(COUNTIFS('أرقام التواصل'!$A$6:$A$505,"client",'أرقام التواصل'!$B$6:$B$505,A38,'أرقام التواصل'!$I$6:$I$505,"TRUE")+COUNTIFS('أرقام التواصل'!$A$6:$A$505,"client",'أرقام التواصل'!$B$6:$B$505,A38,'أرقام التواصل'!$C$6:$C$505,1))=0),"REVIEW","READY"))))</x:f>
      </x:c>
      <x:c r="BB38" s="224" t="str">
        <x:f>IF(BA38="","",IF(OR(BA38="READY",BA38="TO_PROPOSED"),"",IF(BA38="SKIP","Skipped by decision",TRIM(IF(B38="","missing import_action; ","")&amp;IF(A38="","missing migration_customer_key; ","")&amp;IF(AND(A38&lt;&gt;"",COUNTIF($A$6:$A$505,A38)&gt;1),"duplicate migration_customer_key; ","")&amp;IF(AND(NOT(OR(B38="to_candidate",AW38="proposed_name")),F38=""),"missing branch_id; ","")&amp;IF(AND(NOT(OR(B38="to_candidate",AW38="proposed_name")),H38=""),"missing first_name; ","")&amp;IF(AND(NOT(OR(B38="to_candidate",AW38="proposed_name")),J38=""),"missing last_name; ","")&amp;IF(AND(NOT(OR(B38="to_candidate",AW38="proposed_name")),U38=""),"missing final_geo_unit_id; ","")&amp;IF(AW38="","missing final_destination; ","")&amp;IF(AND(NOT(OR(B38="to_candidate",AW38="proposed_name")),(COUNTIFS('أرقام التواصل'!$A$6:$A$505,"client",'أرقام التواصل'!$B$6:$B$505,A38,'أرقام التواصل'!$I$6:$I$505,"TRUE")+COUNTIFS('أرقام التواصل'!$A$6:$A$505,"client",'أرقام التواصل'!$B$6:$B$505,A38,'أرقام التواصل'!$C$6:$C$505,1))=0),"missing primary contact in أرقام التواصل; ","")&amp;IF(OR(B38="to_candidate",AW38="proposed_name"),IF(AX38="","missing proposed_move_reason; ","")&amp;IF(AY38="","missing proposed_name_key; ",""),"")))))</x:f>
      </x:c>
    </x:row>
    <x:row r="39">
      <x:c r="A39" s="219"/>
      <x:c r="B39" s="220"/>
      <x:c r="C39" s="221"/>
      <x:c r="D39" s="220"/>
      <x:c r="E39" s="222"/>
      <x:c r="F39" s="220"/>
      <x:c r="G39" s="220"/>
      <x:c r="H39" s="220"/>
      <x:c r="I39" s="220"/>
      <x:c r="J39" s="220"/>
      <x:c r="K39" s="220"/>
      <x:c r="L39" s="220" t="str">
        <x:f>IF(TRIM(H39&amp;" "&amp;I39&amp;" "&amp;J39&amp;IF(K39&lt;&gt;""," ("&amp;K39&amp;")",""))="","",TRIM(H39&amp;" "&amp;I39&amp;" "&amp;J39&amp;IF(K39&lt;&gt;""," ("&amp;K39&amp;")","")))</x:f>
      </x:c>
      <x:c r="M39" s="220"/>
      <x:c r="N39" s="220"/>
      <x:c r="O39" s="220"/>
      <x:c r="P39" s="220"/>
      <x:c r="Q39" s="220"/>
      <x:c r="R39" s="220"/>
      <x:c r="S39" s="220"/>
      <x:c r="T39" s="220"/>
      <x:c r="U39" s="220" t="str">
        <x:f>IF(AND(M39="",O39="",Q39="",S39=""),"",IF(S39&lt;&gt;"",S39,IF(Q39&lt;&gt;"",Q39,IF(O39&lt;&gt;"",O39,M39))))</x:f>
      </x:c>
      <x:c r="V39" s="220" t="str">
        <x:f>IF(AND(N39="",P39="",R39="",T39=""),"",IF(T39&lt;&gt;"",T39,IF(R39&lt;&gt;"",R39,IF(P39&lt;&gt;"",P39,N39))))</x:f>
      </x:c>
      <x:c r="W39" s="221"/>
      <x:c r="X39" s="220"/>
      <x:c r="Y39" s="220"/>
      <x:c r="Z39" s="223"/>
      <x:c r="AA39" s="223"/>
      <x:c r="AB39" s="221"/>
      <x:c r="AC39" s="220"/>
      <x:c r="AD39" s="220"/>
      <x:c r="AE39" s="222"/>
      <x:c r="AF39" s="220"/>
      <x:c r="AG39" s="221"/>
      <x:c r="AH39" s="220"/>
      <x:c r="AI39" s="220"/>
      <x:c r="AJ39" s="222"/>
      <x:c r="AK39" s="220"/>
      <x:c r="AL39" s="220"/>
      <x:c r="AM39" s="220"/>
      <x:c r="AN39" s="220"/>
      <x:c r="AO39" s="220"/>
      <x:c r="AP39" s="220"/>
      <x:c r="AQ39" s="220"/>
      <x:c r="AR39" s="222"/>
      <x:c r="AS39" s="220"/>
      <x:c r="AT39" s="220"/>
      <x:c r="AU39" s="220"/>
      <x:c r="AV39" s="220"/>
      <x:c r="AW39" s="220"/>
      <x:c r="AX39" s="220"/>
      <x:c r="AY39" s="221"/>
      <x:c r="AZ39" s="220"/>
      <x:c r="BA39" s="220" t="str">
        <x:f>IF(AND(A39="",B39="",F39="",H39="",J39="",AW39="",AY39=""),"",IF(OR(B39="skip",AW39="skip"),"SKIP",IF(OR(B39="to_candidate",AW39="proposed_name"),IF(OR(A39="",AX39="",AY39="",COUNTIF($A$6:$A$505,A39)&gt;1),"REVIEW","TO_PROPOSED"),IF(OR(B39="",A39="",F39="",H39="",J39="",U39="",AW39="",COUNTIF($A$6:$A$505,A39)&gt;1,(COUNTIFS('أرقام التواصل'!$A$6:$A$505,"client",'أرقام التواصل'!$B$6:$B$505,A39,'أرقام التواصل'!$I$6:$I$505,"TRUE")+COUNTIFS('أرقام التواصل'!$A$6:$A$505,"client",'أرقام التواصل'!$B$6:$B$505,A39,'أرقام التواصل'!$C$6:$C$505,1))=0),"REVIEW","READY"))))</x:f>
      </x:c>
      <x:c r="BB39" s="224" t="str">
        <x:f>IF(BA39="","",IF(OR(BA39="READY",BA39="TO_PROPOSED"),"",IF(BA39="SKIP","Skipped by decision",TRIM(IF(B39="","missing import_action; ","")&amp;IF(A39="","missing migration_customer_key; ","")&amp;IF(AND(A39&lt;&gt;"",COUNTIF($A$6:$A$505,A39)&gt;1),"duplicate migration_customer_key; ","")&amp;IF(AND(NOT(OR(B39="to_candidate",AW39="proposed_name")),F39=""),"missing branch_id; ","")&amp;IF(AND(NOT(OR(B39="to_candidate",AW39="proposed_name")),H39=""),"missing first_name; ","")&amp;IF(AND(NOT(OR(B39="to_candidate",AW39="proposed_name")),J39=""),"missing last_name; ","")&amp;IF(AND(NOT(OR(B39="to_candidate",AW39="proposed_name")),U39=""),"missing final_geo_unit_id; ","")&amp;IF(AW39="","missing final_destination; ","")&amp;IF(AND(NOT(OR(B39="to_candidate",AW39="proposed_name")),(COUNTIFS('أرقام التواصل'!$A$6:$A$505,"client",'أرقام التواصل'!$B$6:$B$505,A39,'أرقام التواصل'!$I$6:$I$505,"TRUE")+COUNTIFS('أرقام التواصل'!$A$6:$A$505,"client",'أرقام التواصل'!$B$6:$B$505,A39,'أرقام التواصل'!$C$6:$C$505,1))=0),"missing primary contact in أرقام التواصل; ","")&amp;IF(OR(B39="to_candidate",AW39="proposed_name"),IF(AX39="","missing proposed_move_reason; ","")&amp;IF(AY39="","missing proposed_name_key; ",""),"")))))</x:f>
      </x:c>
    </x:row>
    <x:row r="40">
      <x:c r="A40" s="219"/>
      <x:c r="B40" s="220"/>
      <x:c r="C40" s="221"/>
      <x:c r="D40" s="220"/>
      <x:c r="E40" s="222"/>
      <x:c r="F40" s="220"/>
      <x:c r="G40" s="220"/>
      <x:c r="H40" s="220"/>
      <x:c r="I40" s="220"/>
      <x:c r="J40" s="220"/>
      <x:c r="K40" s="220"/>
      <x:c r="L40" s="220" t="str">
        <x:f>IF(TRIM(H40&amp;" "&amp;I40&amp;" "&amp;J40&amp;IF(K40&lt;&gt;""," ("&amp;K40&amp;")",""))="","",TRIM(H40&amp;" "&amp;I40&amp;" "&amp;J40&amp;IF(K40&lt;&gt;""," ("&amp;K40&amp;")","")))</x:f>
      </x:c>
      <x:c r="M40" s="220"/>
      <x:c r="N40" s="220"/>
      <x:c r="O40" s="220"/>
      <x:c r="P40" s="220"/>
      <x:c r="Q40" s="220"/>
      <x:c r="R40" s="220"/>
      <x:c r="S40" s="220"/>
      <x:c r="T40" s="220"/>
      <x:c r="U40" s="220" t="str">
        <x:f>IF(AND(M40="",O40="",Q40="",S40=""),"",IF(S40&lt;&gt;"",S40,IF(Q40&lt;&gt;"",Q40,IF(O40&lt;&gt;"",O40,M40))))</x:f>
      </x:c>
      <x:c r="V40" s="220" t="str">
        <x:f>IF(AND(N40="",P40="",R40="",T40=""),"",IF(T40&lt;&gt;"",T40,IF(R40&lt;&gt;"",R40,IF(P40&lt;&gt;"",P40,N40))))</x:f>
      </x:c>
      <x:c r="W40" s="221"/>
      <x:c r="X40" s="220"/>
      <x:c r="Y40" s="220"/>
      <x:c r="Z40" s="223"/>
      <x:c r="AA40" s="223"/>
      <x:c r="AB40" s="221"/>
      <x:c r="AC40" s="220"/>
      <x:c r="AD40" s="220"/>
      <x:c r="AE40" s="222"/>
      <x:c r="AF40" s="220"/>
      <x:c r="AG40" s="221"/>
      <x:c r="AH40" s="220"/>
      <x:c r="AI40" s="220"/>
      <x:c r="AJ40" s="222"/>
      <x:c r="AK40" s="220"/>
      <x:c r="AL40" s="220"/>
      <x:c r="AM40" s="220"/>
      <x:c r="AN40" s="220"/>
      <x:c r="AO40" s="220"/>
      <x:c r="AP40" s="220"/>
      <x:c r="AQ40" s="220"/>
      <x:c r="AR40" s="222"/>
      <x:c r="AS40" s="220"/>
      <x:c r="AT40" s="220"/>
      <x:c r="AU40" s="220"/>
      <x:c r="AV40" s="220"/>
      <x:c r="AW40" s="220"/>
      <x:c r="AX40" s="220"/>
      <x:c r="AY40" s="221"/>
      <x:c r="AZ40" s="220"/>
      <x:c r="BA40" s="220" t="str">
        <x:f>IF(AND(A40="",B40="",F40="",H40="",J40="",AW40="",AY40=""),"",IF(OR(B40="skip",AW40="skip"),"SKIP",IF(OR(B40="to_candidate",AW40="proposed_name"),IF(OR(A40="",AX40="",AY40="",COUNTIF($A$6:$A$505,A40)&gt;1),"REVIEW","TO_PROPOSED"),IF(OR(B40="",A40="",F40="",H40="",J40="",U40="",AW40="",COUNTIF($A$6:$A$505,A40)&gt;1,(COUNTIFS('أرقام التواصل'!$A$6:$A$505,"client",'أرقام التواصل'!$B$6:$B$505,A40,'أرقام التواصل'!$I$6:$I$505,"TRUE")+COUNTIFS('أرقام التواصل'!$A$6:$A$505,"client",'أرقام التواصل'!$B$6:$B$505,A40,'أرقام التواصل'!$C$6:$C$505,1))=0),"REVIEW","READY"))))</x:f>
      </x:c>
      <x:c r="BB40" s="224" t="str">
        <x:f>IF(BA40="","",IF(OR(BA40="READY",BA40="TO_PROPOSED"),"",IF(BA40="SKIP","Skipped by decision",TRIM(IF(B40="","missing import_action; ","")&amp;IF(A40="","missing migration_customer_key; ","")&amp;IF(AND(A40&lt;&gt;"",COUNTIF($A$6:$A$505,A40)&gt;1),"duplicate migration_customer_key; ","")&amp;IF(AND(NOT(OR(B40="to_candidate",AW40="proposed_name")),F40=""),"missing branch_id; ","")&amp;IF(AND(NOT(OR(B40="to_candidate",AW40="proposed_name")),H40=""),"missing first_name; ","")&amp;IF(AND(NOT(OR(B40="to_candidate",AW40="proposed_name")),J40=""),"missing last_name; ","")&amp;IF(AND(NOT(OR(B40="to_candidate",AW40="proposed_name")),U40=""),"missing final_geo_unit_id; ","")&amp;IF(AW40="","missing final_destination; ","")&amp;IF(AND(NOT(OR(B40="to_candidate",AW40="proposed_name")),(COUNTIFS('أرقام التواصل'!$A$6:$A$505,"client",'أرقام التواصل'!$B$6:$B$505,A40,'أرقام التواصل'!$I$6:$I$505,"TRUE")+COUNTIFS('أرقام التواصل'!$A$6:$A$505,"client",'أرقام التواصل'!$B$6:$B$505,A40,'أرقام التواصل'!$C$6:$C$505,1))=0),"missing primary contact in أرقام التواصل; ","")&amp;IF(OR(B40="to_candidate",AW40="proposed_name"),IF(AX40="","missing proposed_move_reason; ","")&amp;IF(AY40="","missing proposed_name_key; ",""),"")))))</x:f>
      </x:c>
    </x:row>
    <x:row r="41">
      <x:c r="A41" s="219"/>
      <x:c r="B41" s="220"/>
      <x:c r="C41" s="221"/>
      <x:c r="D41" s="220"/>
      <x:c r="E41" s="222"/>
      <x:c r="F41" s="220"/>
      <x:c r="G41" s="220"/>
      <x:c r="H41" s="220"/>
      <x:c r="I41" s="220"/>
      <x:c r="J41" s="220"/>
      <x:c r="K41" s="220"/>
      <x:c r="L41" s="220" t="str">
        <x:f>IF(TRIM(H41&amp;" "&amp;I41&amp;" "&amp;J41&amp;IF(K41&lt;&gt;""," ("&amp;K41&amp;")",""))="","",TRIM(H41&amp;" "&amp;I41&amp;" "&amp;J41&amp;IF(K41&lt;&gt;""," ("&amp;K41&amp;")","")))</x:f>
      </x:c>
      <x:c r="M41" s="220"/>
      <x:c r="N41" s="220"/>
      <x:c r="O41" s="220"/>
      <x:c r="P41" s="220"/>
      <x:c r="Q41" s="220"/>
      <x:c r="R41" s="220"/>
      <x:c r="S41" s="220"/>
      <x:c r="T41" s="220"/>
      <x:c r="U41" s="220" t="str">
        <x:f>IF(AND(M41="",O41="",Q41="",S41=""),"",IF(S41&lt;&gt;"",S41,IF(Q41&lt;&gt;"",Q41,IF(O41&lt;&gt;"",O41,M41))))</x:f>
      </x:c>
      <x:c r="V41" s="220" t="str">
        <x:f>IF(AND(N41="",P41="",R41="",T41=""),"",IF(T41&lt;&gt;"",T41,IF(R41&lt;&gt;"",R41,IF(P41&lt;&gt;"",P41,N41))))</x:f>
      </x:c>
      <x:c r="W41" s="221"/>
      <x:c r="X41" s="220"/>
      <x:c r="Y41" s="220"/>
      <x:c r="Z41" s="223"/>
      <x:c r="AA41" s="223"/>
      <x:c r="AB41" s="221"/>
      <x:c r="AC41" s="220"/>
      <x:c r="AD41" s="220"/>
      <x:c r="AE41" s="222"/>
      <x:c r="AF41" s="220"/>
      <x:c r="AG41" s="221"/>
      <x:c r="AH41" s="220"/>
      <x:c r="AI41" s="220"/>
      <x:c r="AJ41" s="222"/>
      <x:c r="AK41" s="220"/>
      <x:c r="AL41" s="220"/>
      <x:c r="AM41" s="220"/>
      <x:c r="AN41" s="220"/>
      <x:c r="AO41" s="220"/>
      <x:c r="AP41" s="220"/>
      <x:c r="AQ41" s="220"/>
      <x:c r="AR41" s="222"/>
      <x:c r="AS41" s="220"/>
      <x:c r="AT41" s="220"/>
      <x:c r="AU41" s="220"/>
      <x:c r="AV41" s="220"/>
      <x:c r="AW41" s="220"/>
      <x:c r="AX41" s="220"/>
      <x:c r="AY41" s="221"/>
      <x:c r="AZ41" s="220"/>
      <x:c r="BA41" s="220" t="str">
        <x:f>IF(AND(A41="",B41="",F41="",H41="",J41="",AW41="",AY41=""),"",IF(OR(B41="skip",AW41="skip"),"SKIP",IF(OR(B41="to_candidate",AW41="proposed_name"),IF(OR(A41="",AX41="",AY41="",COUNTIF($A$6:$A$505,A41)&gt;1),"REVIEW","TO_PROPOSED"),IF(OR(B41="",A41="",F41="",H41="",J41="",U41="",AW41="",COUNTIF($A$6:$A$505,A41)&gt;1,(COUNTIFS('أرقام التواصل'!$A$6:$A$505,"client",'أرقام التواصل'!$B$6:$B$505,A41,'أرقام التواصل'!$I$6:$I$505,"TRUE")+COUNTIFS('أرقام التواصل'!$A$6:$A$505,"client",'أرقام التواصل'!$B$6:$B$505,A41,'أرقام التواصل'!$C$6:$C$505,1))=0),"REVIEW","READY"))))</x:f>
      </x:c>
      <x:c r="BB41" s="224" t="str">
        <x:f>IF(BA41="","",IF(OR(BA41="READY",BA41="TO_PROPOSED"),"",IF(BA41="SKIP","Skipped by decision",TRIM(IF(B41="","missing import_action; ","")&amp;IF(A41="","missing migration_customer_key; ","")&amp;IF(AND(A41&lt;&gt;"",COUNTIF($A$6:$A$505,A41)&gt;1),"duplicate migration_customer_key; ","")&amp;IF(AND(NOT(OR(B41="to_candidate",AW41="proposed_name")),F41=""),"missing branch_id; ","")&amp;IF(AND(NOT(OR(B41="to_candidate",AW41="proposed_name")),H41=""),"missing first_name; ","")&amp;IF(AND(NOT(OR(B41="to_candidate",AW41="proposed_name")),J41=""),"missing last_name; ","")&amp;IF(AND(NOT(OR(B41="to_candidate",AW41="proposed_name")),U41=""),"missing final_geo_unit_id; ","")&amp;IF(AW41="","missing final_destination; ","")&amp;IF(AND(NOT(OR(B41="to_candidate",AW41="proposed_name")),(COUNTIFS('أرقام التواصل'!$A$6:$A$505,"client",'أرقام التواصل'!$B$6:$B$505,A41,'أرقام التواصل'!$I$6:$I$505,"TRUE")+COUNTIFS('أرقام التواصل'!$A$6:$A$505,"client",'أرقام التواصل'!$B$6:$B$505,A41,'أرقام التواصل'!$C$6:$C$505,1))=0),"missing primary contact in أرقام التواصل; ","")&amp;IF(OR(B41="to_candidate",AW41="proposed_name"),IF(AX41="","missing proposed_move_reason; ","")&amp;IF(AY41="","missing proposed_name_key; ",""),"")))))</x:f>
      </x:c>
    </x:row>
    <x:row r="42">
      <x:c r="A42" s="219"/>
      <x:c r="B42" s="220"/>
      <x:c r="C42" s="221"/>
      <x:c r="D42" s="220"/>
      <x:c r="E42" s="222"/>
      <x:c r="F42" s="220"/>
      <x:c r="G42" s="220"/>
      <x:c r="H42" s="220"/>
      <x:c r="I42" s="220"/>
      <x:c r="J42" s="220"/>
      <x:c r="K42" s="220"/>
      <x:c r="L42" s="220" t="str">
        <x:f>IF(TRIM(H42&amp;" "&amp;I42&amp;" "&amp;J42&amp;IF(K42&lt;&gt;""," ("&amp;K42&amp;")",""))="","",TRIM(H42&amp;" "&amp;I42&amp;" "&amp;J42&amp;IF(K42&lt;&gt;""," ("&amp;K42&amp;")","")))</x:f>
      </x:c>
      <x:c r="M42" s="220"/>
      <x:c r="N42" s="220"/>
      <x:c r="O42" s="220"/>
      <x:c r="P42" s="220"/>
      <x:c r="Q42" s="220"/>
      <x:c r="R42" s="220"/>
      <x:c r="S42" s="220"/>
      <x:c r="T42" s="220"/>
      <x:c r="U42" s="220" t="str">
        <x:f>IF(AND(M42="",O42="",Q42="",S42=""),"",IF(S42&lt;&gt;"",S42,IF(Q42&lt;&gt;"",Q42,IF(O42&lt;&gt;"",O42,M42))))</x:f>
      </x:c>
      <x:c r="V42" s="220" t="str">
        <x:f>IF(AND(N42="",P42="",R42="",T42=""),"",IF(T42&lt;&gt;"",T42,IF(R42&lt;&gt;"",R42,IF(P42&lt;&gt;"",P42,N42))))</x:f>
      </x:c>
      <x:c r="W42" s="221"/>
      <x:c r="X42" s="220"/>
      <x:c r="Y42" s="220"/>
      <x:c r="Z42" s="223"/>
      <x:c r="AA42" s="223"/>
      <x:c r="AB42" s="221"/>
      <x:c r="AC42" s="220"/>
      <x:c r="AD42" s="220"/>
      <x:c r="AE42" s="222"/>
      <x:c r="AF42" s="220"/>
      <x:c r="AG42" s="221"/>
      <x:c r="AH42" s="220"/>
      <x:c r="AI42" s="220"/>
      <x:c r="AJ42" s="222"/>
      <x:c r="AK42" s="220"/>
      <x:c r="AL42" s="220"/>
      <x:c r="AM42" s="220"/>
      <x:c r="AN42" s="220"/>
      <x:c r="AO42" s="220"/>
      <x:c r="AP42" s="220"/>
      <x:c r="AQ42" s="220"/>
      <x:c r="AR42" s="222"/>
      <x:c r="AS42" s="220"/>
      <x:c r="AT42" s="220"/>
      <x:c r="AU42" s="220"/>
      <x:c r="AV42" s="220"/>
      <x:c r="AW42" s="220"/>
      <x:c r="AX42" s="220"/>
      <x:c r="AY42" s="221"/>
      <x:c r="AZ42" s="220"/>
      <x:c r="BA42" s="220" t="str">
        <x:f>IF(AND(A42="",B42="",F42="",H42="",J42="",AW42="",AY42=""),"",IF(OR(B42="skip",AW42="skip"),"SKIP",IF(OR(B42="to_candidate",AW42="proposed_name"),IF(OR(A42="",AX42="",AY42="",COUNTIF($A$6:$A$505,A42)&gt;1),"REVIEW","TO_PROPOSED"),IF(OR(B42="",A42="",F42="",H42="",J42="",U42="",AW42="",COUNTIF($A$6:$A$505,A42)&gt;1,(COUNTIFS('أرقام التواصل'!$A$6:$A$505,"client",'أرقام التواصل'!$B$6:$B$505,A42,'أرقام التواصل'!$I$6:$I$505,"TRUE")+COUNTIFS('أرقام التواصل'!$A$6:$A$505,"client",'أرقام التواصل'!$B$6:$B$505,A42,'أرقام التواصل'!$C$6:$C$505,1))=0),"REVIEW","READY"))))</x:f>
      </x:c>
      <x:c r="BB42" s="224" t="str">
        <x:f>IF(BA42="","",IF(OR(BA42="READY",BA42="TO_PROPOSED"),"",IF(BA42="SKIP","Skipped by decision",TRIM(IF(B42="","missing import_action; ","")&amp;IF(A42="","missing migration_customer_key; ","")&amp;IF(AND(A42&lt;&gt;"",COUNTIF($A$6:$A$505,A42)&gt;1),"duplicate migration_customer_key; ","")&amp;IF(AND(NOT(OR(B42="to_candidate",AW42="proposed_name")),F42=""),"missing branch_id; ","")&amp;IF(AND(NOT(OR(B42="to_candidate",AW42="proposed_name")),H42=""),"missing first_name; ","")&amp;IF(AND(NOT(OR(B42="to_candidate",AW42="proposed_name")),J42=""),"missing last_name; ","")&amp;IF(AND(NOT(OR(B42="to_candidate",AW42="proposed_name")),U42=""),"missing final_geo_unit_id; ","")&amp;IF(AW42="","missing final_destination; ","")&amp;IF(AND(NOT(OR(B42="to_candidate",AW42="proposed_name")),(COUNTIFS('أرقام التواصل'!$A$6:$A$505,"client",'أرقام التواصل'!$B$6:$B$505,A42,'أرقام التواصل'!$I$6:$I$505,"TRUE")+COUNTIFS('أرقام التواصل'!$A$6:$A$505,"client",'أرقام التواصل'!$B$6:$B$505,A42,'أرقام التواصل'!$C$6:$C$505,1))=0),"missing primary contact in أرقام التواصل; ","")&amp;IF(OR(B42="to_candidate",AW42="proposed_name"),IF(AX42="","missing proposed_move_reason; ","")&amp;IF(AY42="","missing proposed_name_key; ",""),"")))))</x:f>
      </x:c>
    </x:row>
    <x:row r="43">
      <x:c r="A43" s="219"/>
      <x:c r="B43" s="220"/>
      <x:c r="C43" s="221"/>
      <x:c r="D43" s="220"/>
      <x:c r="E43" s="222"/>
      <x:c r="F43" s="220"/>
      <x:c r="G43" s="220"/>
      <x:c r="H43" s="220"/>
      <x:c r="I43" s="220"/>
      <x:c r="J43" s="220"/>
      <x:c r="K43" s="220"/>
      <x:c r="L43" s="220" t="str">
        <x:f>IF(TRIM(H43&amp;" "&amp;I43&amp;" "&amp;J43&amp;IF(K43&lt;&gt;""," ("&amp;K43&amp;")",""))="","",TRIM(H43&amp;" "&amp;I43&amp;" "&amp;J43&amp;IF(K43&lt;&gt;""," ("&amp;K43&amp;")","")))</x:f>
      </x:c>
      <x:c r="M43" s="220"/>
      <x:c r="N43" s="220"/>
      <x:c r="O43" s="220"/>
      <x:c r="P43" s="220"/>
      <x:c r="Q43" s="220"/>
      <x:c r="R43" s="220"/>
      <x:c r="S43" s="220"/>
      <x:c r="T43" s="220"/>
      <x:c r="U43" s="220" t="str">
        <x:f>IF(AND(M43="",O43="",Q43="",S43=""),"",IF(S43&lt;&gt;"",S43,IF(Q43&lt;&gt;"",Q43,IF(O43&lt;&gt;"",O43,M43))))</x:f>
      </x:c>
      <x:c r="V43" s="220" t="str">
        <x:f>IF(AND(N43="",P43="",R43="",T43=""),"",IF(T43&lt;&gt;"",T43,IF(R43&lt;&gt;"",R43,IF(P43&lt;&gt;"",P43,N43))))</x:f>
      </x:c>
      <x:c r="W43" s="221"/>
      <x:c r="X43" s="220"/>
      <x:c r="Y43" s="220"/>
      <x:c r="Z43" s="223"/>
      <x:c r="AA43" s="223"/>
      <x:c r="AB43" s="221"/>
      <x:c r="AC43" s="220"/>
      <x:c r="AD43" s="220"/>
      <x:c r="AE43" s="222"/>
      <x:c r="AF43" s="220"/>
      <x:c r="AG43" s="221"/>
      <x:c r="AH43" s="220"/>
      <x:c r="AI43" s="220"/>
      <x:c r="AJ43" s="222"/>
      <x:c r="AK43" s="220"/>
      <x:c r="AL43" s="220"/>
      <x:c r="AM43" s="220"/>
      <x:c r="AN43" s="220"/>
      <x:c r="AO43" s="220"/>
      <x:c r="AP43" s="220"/>
      <x:c r="AQ43" s="220"/>
      <x:c r="AR43" s="222"/>
      <x:c r="AS43" s="220"/>
      <x:c r="AT43" s="220"/>
      <x:c r="AU43" s="220"/>
      <x:c r="AV43" s="220"/>
      <x:c r="AW43" s="220"/>
      <x:c r="AX43" s="220"/>
      <x:c r="AY43" s="221"/>
      <x:c r="AZ43" s="220"/>
      <x:c r="BA43" s="220" t="str">
        <x:f>IF(AND(A43="",B43="",F43="",H43="",J43="",AW43="",AY43=""),"",IF(OR(B43="skip",AW43="skip"),"SKIP",IF(OR(B43="to_candidate",AW43="proposed_name"),IF(OR(A43="",AX43="",AY43="",COUNTIF($A$6:$A$505,A43)&gt;1),"REVIEW","TO_PROPOSED"),IF(OR(B43="",A43="",F43="",H43="",J43="",U43="",AW43="",COUNTIF($A$6:$A$505,A43)&gt;1,(COUNTIFS('أرقام التواصل'!$A$6:$A$505,"client",'أرقام التواصل'!$B$6:$B$505,A43,'أرقام التواصل'!$I$6:$I$505,"TRUE")+COUNTIFS('أرقام التواصل'!$A$6:$A$505,"client",'أرقام التواصل'!$B$6:$B$505,A43,'أرقام التواصل'!$C$6:$C$505,1))=0),"REVIEW","READY"))))</x:f>
      </x:c>
      <x:c r="BB43" s="224" t="str">
        <x:f>IF(BA43="","",IF(OR(BA43="READY",BA43="TO_PROPOSED"),"",IF(BA43="SKIP","Skipped by decision",TRIM(IF(B43="","missing import_action; ","")&amp;IF(A43="","missing migration_customer_key; ","")&amp;IF(AND(A43&lt;&gt;"",COUNTIF($A$6:$A$505,A43)&gt;1),"duplicate migration_customer_key; ","")&amp;IF(AND(NOT(OR(B43="to_candidate",AW43="proposed_name")),F43=""),"missing branch_id; ","")&amp;IF(AND(NOT(OR(B43="to_candidate",AW43="proposed_name")),H43=""),"missing first_name; ","")&amp;IF(AND(NOT(OR(B43="to_candidate",AW43="proposed_name")),J43=""),"missing last_name; ","")&amp;IF(AND(NOT(OR(B43="to_candidate",AW43="proposed_name")),U43=""),"missing final_geo_unit_id; ","")&amp;IF(AW43="","missing final_destination; ","")&amp;IF(AND(NOT(OR(B43="to_candidate",AW43="proposed_name")),(COUNTIFS('أرقام التواصل'!$A$6:$A$505,"client",'أرقام التواصل'!$B$6:$B$505,A43,'أرقام التواصل'!$I$6:$I$505,"TRUE")+COUNTIFS('أرقام التواصل'!$A$6:$A$505,"client",'أرقام التواصل'!$B$6:$B$505,A43,'أرقام التواصل'!$C$6:$C$505,1))=0),"missing primary contact in أرقام التواصل; ","")&amp;IF(OR(B43="to_candidate",AW43="proposed_name"),IF(AX43="","missing proposed_move_reason; ","")&amp;IF(AY43="","missing proposed_name_key; ",""),"")))))</x:f>
      </x:c>
    </x:row>
    <x:row r="44">
      <x:c r="A44" s="219"/>
      <x:c r="B44" s="220"/>
      <x:c r="C44" s="221"/>
      <x:c r="D44" s="220"/>
      <x:c r="E44" s="222"/>
      <x:c r="F44" s="220"/>
      <x:c r="G44" s="220"/>
      <x:c r="H44" s="220"/>
      <x:c r="I44" s="220"/>
      <x:c r="J44" s="220"/>
      <x:c r="K44" s="220"/>
      <x:c r="L44" s="220" t="str">
        <x:f>IF(TRIM(H44&amp;" "&amp;I44&amp;" "&amp;J44&amp;IF(K44&lt;&gt;""," ("&amp;K44&amp;")",""))="","",TRIM(H44&amp;" "&amp;I44&amp;" "&amp;J44&amp;IF(K44&lt;&gt;""," ("&amp;K44&amp;")","")))</x:f>
      </x:c>
      <x:c r="M44" s="220"/>
      <x:c r="N44" s="220"/>
      <x:c r="O44" s="220"/>
      <x:c r="P44" s="220"/>
      <x:c r="Q44" s="220"/>
      <x:c r="R44" s="220"/>
      <x:c r="S44" s="220"/>
      <x:c r="T44" s="220"/>
      <x:c r="U44" s="220" t="str">
        <x:f>IF(AND(M44="",O44="",Q44="",S44=""),"",IF(S44&lt;&gt;"",S44,IF(Q44&lt;&gt;"",Q44,IF(O44&lt;&gt;"",O44,M44))))</x:f>
      </x:c>
      <x:c r="V44" s="220" t="str">
        <x:f>IF(AND(N44="",P44="",R44="",T44=""),"",IF(T44&lt;&gt;"",T44,IF(R44&lt;&gt;"",R44,IF(P44&lt;&gt;"",P44,N44))))</x:f>
      </x:c>
      <x:c r="W44" s="221"/>
      <x:c r="X44" s="220"/>
      <x:c r="Y44" s="220"/>
      <x:c r="Z44" s="223"/>
      <x:c r="AA44" s="223"/>
      <x:c r="AB44" s="221"/>
      <x:c r="AC44" s="220"/>
      <x:c r="AD44" s="220"/>
      <x:c r="AE44" s="222"/>
      <x:c r="AF44" s="220"/>
      <x:c r="AG44" s="221"/>
      <x:c r="AH44" s="220"/>
      <x:c r="AI44" s="220"/>
      <x:c r="AJ44" s="222"/>
      <x:c r="AK44" s="220"/>
      <x:c r="AL44" s="220"/>
      <x:c r="AM44" s="220"/>
      <x:c r="AN44" s="220"/>
      <x:c r="AO44" s="220"/>
      <x:c r="AP44" s="220"/>
      <x:c r="AQ44" s="220"/>
      <x:c r="AR44" s="222"/>
      <x:c r="AS44" s="220"/>
      <x:c r="AT44" s="220"/>
      <x:c r="AU44" s="220"/>
      <x:c r="AV44" s="220"/>
      <x:c r="AW44" s="220"/>
      <x:c r="AX44" s="220"/>
      <x:c r="AY44" s="221"/>
      <x:c r="AZ44" s="220"/>
      <x:c r="BA44" s="220" t="str">
        <x:f>IF(AND(A44="",B44="",F44="",H44="",J44="",AW44="",AY44=""),"",IF(OR(B44="skip",AW44="skip"),"SKIP",IF(OR(B44="to_candidate",AW44="proposed_name"),IF(OR(A44="",AX44="",AY44="",COUNTIF($A$6:$A$505,A44)&gt;1),"REVIEW","TO_PROPOSED"),IF(OR(B44="",A44="",F44="",H44="",J44="",U44="",AW44="",COUNTIF($A$6:$A$505,A44)&gt;1,(COUNTIFS('أرقام التواصل'!$A$6:$A$505,"client",'أرقام التواصل'!$B$6:$B$505,A44,'أرقام التواصل'!$I$6:$I$505,"TRUE")+COUNTIFS('أرقام التواصل'!$A$6:$A$505,"client",'أرقام التواصل'!$B$6:$B$505,A44,'أرقام التواصل'!$C$6:$C$505,1))=0),"REVIEW","READY"))))</x:f>
      </x:c>
      <x:c r="BB44" s="224" t="str">
        <x:f>IF(BA44="","",IF(OR(BA44="READY",BA44="TO_PROPOSED"),"",IF(BA44="SKIP","Skipped by decision",TRIM(IF(B44="","missing import_action; ","")&amp;IF(A44="","missing migration_customer_key; ","")&amp;IF(AND(A44&lt;&gt;"",COUNTIF($A$6:$A$505,A44)&gt;1),"duplicate migration_customer_key; ","")&amp;IF(AND(NOT(OR(B44="to_candidate",AW44="proposed_name")),F44=""),"missing branch_id; ","")&amp;IF(AND(NOT(OR(B44="to_candidate",AW44="proposed_name")),H44=""),"missing first_name; ","")&amp;IF(AND(NOT(OR(B44="to_candidate",AW44="proposed_name")),J44=""),"missing last_name; ","")&amp;IF(AND(NOT(OR(B44="to_candidate",AW44="proposed_name")),U44=""),"missing final_geo_unit_id; ","")&amp;IF(AW44="","missing final_destination; ","")&amp;IF(AND(NOT(OR(B44="to_candidate",AW44="proposed_name")),(COUNTIFS('أرقام التواصل'!$A$6:$A$505,"client",'أرقام التواصل'!$B$6:$B$505,A44,'أرقام التواصل'!$I$6:$I$505,"TRUE")+COUNTIFS('أرقام التواصل'!$A$6:$A$505,"client",'أرقام التواصل'!$B$6:$B$505,A44,'أرقام التواصل'!$C$6:$C$505,1))=0),"missing primary contact in أرقام التواصل; ","")&amp;IF(OR(B44="to_candidate",AW44="proposed_name"),IF(AX44="","missing proposed_move_reason; ","")&amp;IF(AY44="","missing proposed_name_key; ",""),"")))))</x:f>
      </x:c>
    </x:row>
    <x:row r="45">
      <x:c r="A45" s="219"/>
      <x:c r="B45" s="220"/>
      <x:c r="C45" s="221"/>
      <x:c r="D45" s="220"/>
      <x:c r="E45" s="222"/>
      <x:c r="F45" s="220"/>
      <x:c r="G45" s="220"/>
      <x:c r="H45" s="220"/>
      <x:c r="I45" s="220"/>
      <x:c r="J45" s="220"/>
      <x:c r="K45" s="220"/>
      <x:c r="L45" s="220" t="str">
        <x:f>IF(TRIM(H45&amp;" "&amp;I45&amp;" "&amp;J45&amp;IF(K45&lt;&gt;""," ("&amp;K45&amp;")",""))="","",TRIM(H45&amp;" "&amp;I45&amp;" "&amp;J45&amp;IF(K45&lt;&gt;""," ("&amp;K45&amp;")","")))</x:f>
      </x:c>
      <x:c r="M45" s="220"/>
      <x:c r="N45" s="220"/>
      <x:c r="O45" s="220"/>
      <x:c r="P45" s="220"/>
      <x:c r="Q45" s="220"/>
      <x:c r="R45" s="220"/>
      <x:c r="S45" s="220"/>
      <x:c r="T45" s="220"/>
      <x:c r="U45" s="220" t="str">
        <x:f>IF(AND(M45="",O45="",Q45="",S45=""),"",IF(S45&lt;&gt;"",S45,IF(Q45&lt;&gt;"",Q45,IF(O45&lt;&gt;"",O45,M45))))</x:f>
      </x:c>
      <x:c r="V45" s="220" t="str">
        <x:f>IF(AND(N45="",P45="",R45="",T45=""),"",IF(T45&lt;&gt;"",T45,IF(R45&lt;&gt;"",R45,IF(P45&lt;&gt;"",P45,N45))))</x:f>
      </x:c>
      <x:c r="W45" s="221"/>
      <x:c r="X45" s="220"/>
      <x:c r="Y45" s="220"/>
      <x:c r="Z45" s="223"/>
      <x:c r="AA45" s="223"/>
      <x:c r="AB45" s="221"/>
      <x:c r="AC45" s="220"/>
      <x:c r="AD45" s="220"/>
      <x:c r="AE45" s="222"/>
      <x:c r="AF45" s="220"/>
      <x:c r="AG45" s="221"/>
      <x:c r="AH45" s="220"/>
      <x:c r="AI45" s="220"/>
      <x:c r="AJ45" s="222"/>
      <x:c r="AK45" s="220"/>
      <x:c r="AL45" s="220"/>
      <x:c r="AM45" s="220"/>
      <x:c r="AN45" s="220"/>
      <x:c r="AO45" s="220"/>
      <x:c r="AP45" s="220"/>
      <x:c r="AQ45" s="220"/>
      <x:c r="AR45" s="222"/>
      <x:c r="AS45" s="220"/>
      <x:c r="AT45" s="220"/>
      <x:c r="AU45" s="220"/>
      <x:c r="AV45" s="220"/>
      <x:c r="AW45" s="220"/>
      <x:c r="AX45" s="220"/>
      <x:c r="AY45" s="221"/>
      <x:c r="AZ45" s="220"/>
      <x:c r="BA45" s="220" t="str">
        <x:f>IF(AND(A45="",B45="",F45="",H45="",J45="",AW45="",AY45=""),"",IF(OR(B45="skip",AW45="skip"),"SKIP",IF(OR(B45="to_candidate",AW45="proposed_name"),IF(OR(A45="",AX45="",AY45="",COUNTIF($A$6:$A$505,A45)&gt;1),"REVIEW","TO_PROPOSED"),IF(OR(B45="",A45="",F45="",H45="",J45="",U45="",AW45="",COUNTIF($A$6:$A$505,A45)&gt;1,(COUNTIFS('أرقام التواصل'!$A$6:$A$505,"client",'أرقام التواصل'!$B$6:$B$505,A45,'أرقام التواصل'!$I$6:$I$505,"TRUE")+COUNTIFS('أرقام التواصل'!$A$6:$A$505,"client",'أرقام التواصل'!$B$6:$B$505,A45,'أرقام التواصل'!$C$6:$C$505,1))=0),"REVIEW","READY"))))</x:f>
      </x:c>
      <x:c r="BB45" s="224" t="str">
        <x:f>IF(BA45="","",IF(OR(BA45="READY",BA45="TO_PROPOSED"),"",IF(BA45="SKIP","Skipped by decision",TRIM(IF(B45="","missing import_action; ","")&amp;IF(A45="","missing migration_customer_key; ","")&amp;IF(AND(A45&lt;&gt;"",COUNTIF($A$6:$A$505,A45)&gt;1),"duplicate migration_customer_key; ","")&amp;IF(AND(NOT(OR(B45="to_candidate",AW45="proposed_name")),F45=""),"missing branch_id; ","")&amp;IF(AND(NOT(OR(B45="to_candidate",AW45="proposed_name")),H45=""),"missing first_name; ","")&amp;IF(AND(NOT(OR(B45="to_candidate",AW45="proposed_name")),J45=""),"missing last_name; ","")&amp;IF(AND(NOT(OR(B45="to_candidate",AW45="proposed_name")),U45=""),"missing final_geo_unit_id; ","")&amp;IF(AW45="","missing final_destination; ","")&amp;IF(AND(NOT(OR(B45="to_candidate",AW45="proposed_name")),(COUNTIFS('أرقام التواصل'!$A$6:$A$505,"client",'أرقام التواصل'!$B$6:$B$505,A45,'أرقام التواصل'!$I$6:$I$505,"TRUE")+COUNTIFS('أرقام التواصل'!$A$6:$A$505,"client",'أرقام التواصل'!$B$6:$B$505,A45,'أرقام التواصل'!$C$6:$C$505,1))=0),"missing primary contact in أرقام التواصل; ","")&amp;IF(OR(B45="to_candidate",AW45="proposed_name"),IF(AX45="","missing proposed_move_reason; ","")&amp;IF(AY45="","missing proposed_name_key; ",""),"")))))</x:f>
      </x:c>
    </x:row>
    <x:row r="46">
      <x:c r="A46" s="219"/>
      <x:c r="B46" s="220"/>
      <x:c r="C46" s="221"/>
      <x:c r="D46" s="220"/>
      <x:c r="E46" s="222"/>
      <x:c r="F46" s="220"/>
      <x:c r="G46" s="220"/>
      <x:c r="H46" s="220"/>
      <x:c r="I46" s="220"/>
      <x:c r="J46" s="220"/>
      <x:c r="K46" s="220"/>
      <x:c r="L46" s="220" t="str">
        <x:f>IF(TRIM(H46&amp;" "&amp;I46&amp;" "&amp;J46&amp;IF(K46&lt;&gt;""," ("&amp;K46&amp;")",""))="","",TRIM(H46&amp;" "&amp;I46&amp;" "&amp;J46&amp;IF(K46&lt;&gt;""," ("&amp;K46&amp;")","")))</x:f>
      </x:c>
      <x:c r="M46" s="220"/>
      <x:c r="N46" s="220"/>
      <x:c r="O46" s="220"/>
      <x:c r="P46" s="220"/>
      <x:c r="Q46" s="220"/>
      <x:c r="R46" s="220"/>
      <x:c r="S46" s="220"/>
      <x:c r="T46" s="220"/>
      <x:c r="U46" s="220" t="str">
        <x:f>IF(AND(M46="",O46="",Q46="",S46=""),"",IF(S46&lt;&gt;"",S46,IF(Q46&lt;&gt;"",Q46,IF(O46&lt;&gt;"",O46,M46))))</x:f>
      </x:c>
      <x:c r="V46" s="220" t="str">
        <x:f>IF(AND(N46="",P46="",R46="",T46=""),"",IF(T46&lt;&gt;"",T46,IF(R46&lt;&gt;"",R46,IF(P46&lt;&gt;"",P46,N46))))</x:f>
      </x:c>
      <x:c r="W46" s="221"/>
      <x:c r="X46" s="220"/>
      <x:c r="Y46" s="220"/>
      <x:c r="Z46" s="223"/>
      <x:c r="AA46" s="223"/>
      <x:c r="AB46" s="221"/>
      <x:c r="AC46" s="220"/>
      <x:c r="AD46" s="220"/>
      <x:c r="AE46" s="222"/>
      <x:c r="AF46" s="220"/>
      <x:c r="AG46" s="221"/>
      <x:c r="AH46" s="220"/>
      <x:c r="AI46" s="220"/>
      <x:c r="AJ46" s="222"/>
      <x:c r="AK46" s="220"/>
      <x:c r="AL46" s="220"/>
      <x:c r="AM46" s="220"/>
      <x:c r="AN46" s="220"/>
      <x:c r="AO46" s="220"/>
      <x:c r="AP46" s="220"/>
      <x:c r="AQ46" s="220"/>
      <x:c r="AR46" s="222"/>
      <x:c r="AS46" s="220"/>
      <x:c r="AT46" s="220"/>
      <x:c r="AU46" s="220"/>
      <x:c r="AV46" s="220"/>
      <x:c r="AW46" s="220"/>
      <x:c r="AX46" s="220"/>
      <x:c r="AY46" s="221"/>
      <x:c r="AZ46" s="220"/>
      <x:c r="BA46" s="220" t="str">
        <x:f>IF(AND(A46="",B46="",F46="",H46="",J46="",AW46="",AY46=""),"",IF(OR(B46="skip",AW46="skip"),"SKIP",IF(OR(B46="to_candidate",AW46="proposed_name"),IF(OR(A46="",AX46="",AY46="",COUNTIF($A$6:$A$505,A46)&gt;1),"REVIEW","TO_PROPOSED"),IF(OR(B46="",A46="",F46="",H46="",J46="",U46="",AW46="",COUNTIF($A$6:$A$505,A46)&gt;1,(COUNTIFS('أرقام التواصل'!$A$6:$A$505,"client",'أرقام التواصل'!$B$6:$B$505,A46,'أرقام التواصل'!$I$6:$I$505,"TRUE")+COUNTIFS('أرقام التواصل'!$A$6:$A$505,"client",'أرقام التواصل'!$B$6:$B$505,A46,'أرقام التواصل'!$C$6:$C$505,1))=0),"REVIEW","READY"))))</x:f>
      </x:c>
      <x:c r="BB46" s="224" t="str">
        <x:f>IF(BA46="","",IF(OR(BA46="READY",BA46="TO_PROPOSED"),"",IF(BA46="SKIP","Skipped by decision",TRIM(IF(B46="","missing import_action; ","")&amp;IF(A46="","missing migration_customer_key; ","")&amp;IF(AND(A46&lt;&gt;"",COUNTIF($A$6:$A$505,A46)&gt;1),"duplicate migration_customer_key; ","")&amp;IF(AND(NOT(OR(B46="to_candidate",AW46="proposed_name")),F46=""),"missing branch_id; ","")&amp;IF(AND(NOT(OR(B46="to_candidate",AW46="proposed_name")),H46=""),"missing first_name; ","")&amp;IF(AND(NOT(OR(B46="to_candidate",AW46="proposed_name")),J46=""),"missing last_name; ","")&amp;IF(AND(NOT(OR(B46="to_candidate",AW46="proposed_name")),U46=""),"missing final_geo_unit_id; ","")&amp;IF(AW46="","missing final_destination; ","")&amp;IF(AND(NOT(OR(B46="to_candidate",AW46="proposed_name")),(COUNTIFS('أرقام التواصل'!$A$6:$A$505,"client",'أرقام التواصل'!$B$6:$B$505,A46,'أرقام التواصل'!$I$6:$I$505,"TRUE")+COUNTIFS('أرقام التواصل'!$A$6:$A$505,"client",'أرقام التواصل'!$B$6:$B$505,A46,'أرقام التواصل'!$C$6:$C$505,1))=0),"missing primary contact in أرقام التواصل; ","")&amp;IF(OR(B46="to_candidate",AW46="proposed_name"),IF(AX46="","missing proposed_move_reason; ","")&amp;IF(AY46="","missing proposed_name_key; ",""),"")))))</x:f>
      </x:c>
    </x:row>
    <x:row r="47">
      <x:c r="A47" s="219"/>
      <x:c r="B47" s="220"/>
      <x:c r="C47" s="221"/>
      <x:c r="D47" s="220"/>
      <x:c r="E47" s="222"/>
      <x:c r="F47" s="220"/>
      <x:c r="G47" s="220"/>
      <x:c r="H47" s="220"/>
      <x:c r="I47" s="220"/>
      <x:c r="J47" s="220"/>
      <x:c r="K47" s="220"/>
      <x:c r="L47" s="220" t="str">
        <x:f>IF(TRIM(H47&amp;" "&amp;I47&amp;" "&amp;J47&amp;IF(K47&lt;&gt;""," ("&amp;K47&amp;")",""))="","",TRIM(H47&amp;" "&amp;I47&amp;" "&amp;J47&amp;IF(K47&lt;&gt;""," ("&amp;K47&amp;")","")))</x:f>
      </x:c>
      <x:c r="M47" s="220"/>
      <x:c r="N47" s="220"/>
      <x:c r="O47" s="220"/>
      <x:c r="P47" s="220"/>
      <x:c r="Q47" s="220"/>
      <x:c r="R47" s="220"/>
      <x:c r="S47" s="220"/>
      <x:c r="T47" s="220"/>
      <x:c r="U47" s="220" t="str">
        <x:f>IF(AND(M47="",O47="",Q47="",S47=""),"",IF(S47&lt;&gt;"",S47,IF(Q47&lt;&gt;"",Q47,IF(O47&lt;&gt;"",O47,M47))))</x:f>
      </x:c>
      <x:c r="V47" s="220" t="str">
        <x:f>IF(AND(N47="",P47="",R47="",T47=""),"",IF(T47&lt;&gt;"",T47,IF(R47&lt;&gt;"",R47,IF(P47&lt;&gt;"",P47,N47))))</x:f>
      </x:c>
      <x:c r="W47" s="221"/>
      <x:c r="X47" s="220"/>
      <x:c r="Y47" s="220"/>
      <x:c r="Z47" s="223"/>
      <x:c r="AA47" s="223"/>
      <x:c r="AB47" s="221"/>
      <x:c r="AC47" s="220"/>
      <x:c r="AD47" s="220"/>
      <x:c r="AE47" s="222"/>
      <x:c r="AF47" s="220"/>
      <x:c r="AG47" s="221"/>
      <x:c r="AH47" s="220"/>
      <x:c r="AI47" s="220"/>
      <x:c r="AJ47" s="222"/>
      <x:c r="AK47" s="220"/>
      <x:c r="AL47" s="220"/>
      <x:c r="AM47" s="220"/>
      <x:c r="AN47" s="220"/>
      <x:c r="AO47" s="220"/>
      <x:c r="AP47" s="220"/>
      <x:c r="AQ47" s="220"/>
      <x:c r="AR47" s="222"/>
      <x:c r="AS47" s="220"/>
      <x:c r="AT47" s="220"/>
      <x:c r="AU47" s="220"/>
      <x:c r="AV47" s="220"/>
      <x:c r="AW47" s="220"/>
      <x:c r="AX47" s="220"/>
      <x:c r="AY47" s="221"/>
      <x:c r="AZ47" s="220"/>
      <x:c r="BA47" s="220" t="str">
        <x:f>IF(AND(A47="",B47="",F47="",H47="",J47="",AW47="",AY47=""),"",IF(OR(B47="skip",AW47="skip"),"SKIP",IF(OR(B47="to_candidate",AW47="proposed_name"),IF(OR(A47="",AX47="",AY47="",COUNTIF($A$6:$A$505,A47)&gt;1),"REVIEW","TO_PROPOSED"),IF(OR(B47="",A47="",F47="",H47="",J47="",U47="",AW47="",COUNTIF($A$6:$A$505,A47)&gt;1,(COUNTIFS('أرقام التواصل'!$A$6:$A$505,"client",'أرقام التواصل'!$B$6:$B$505,A47,'أرقام التواصل'!$I$6:$I$505,"TRUE")+COUNTIFS('أرقام التواصل'!$A$6:$A$505,"client",'أرقام التواصل'!$B$6:$B$505,A47,'أرقام التواصل'!$C$6:$C$505,1))=0),"REVIEW","READY"))))</x:f>
      </x:c>
      <x:c r="BB47" s="224" t="str">
        <x:f>IF(BA47="","",IF(OR(BA47="READY",BA47="TO_PROPOSED"),"",IF(BA47="SKIP","Skipped by decision",TRIM(IF(B47="","missing import_action; ","")&amp;IF(A47="","missing migration_customer_key; ","")&amp;IF(AND(A47&lt;&gt;"",COUNTIF($A$6:$A$505,A47)&gt;1),"duplicate migration_customer_key; ","")&amp;IF(AND(NOT(OR(B47="to_candidate",AW47="proposed_name")),F47=""),"missing branch_id; ","")&amp;IF(AND(NOT(OR(B47="to_candidate",AW47="proposed_name")),H47=""),"missing first_name; ","")&amp;IF(AND(NOT(OR(B47="to_candidate",AW47="proposed_name")),J47=""),"missing last_name; ","")&amp;IF(AND(NOT(OR(B47="to_candidate",AW47="proposed_name")),U47=""),"missing final_geo_unit_id; ","")&amp;IF(AW47="","missing final_destination; ","")&amp;IF(AND(NOT(OR(B47="to_candidate",AW47="proposed_name")),(COUNTIFS('أرقام التواصل'!$A$6:$A$505,"client",'أرقام التواصل'!$B$6:$B$505,A47,'أرقام التواصل'!$I$6:$I$505,"TRUE")+COUNTIFS('أرقام التواصل'!$A$6:$A$505,"client",'أرقام التواصل'!$B$6:$B$505,A47,'أرقام التواصل'!$C$6:$C$505,1))=0),"missing primary contact in أرقام التواصل; ","")&amp;IF(OR(B47="to_candidate",AW47="proposed_name"),IF(AX47="","missing proposed_move_reason; ","")&amp;IF(AY47="","missing proposed_name_key; ",""),"")))))</x:f>
      </x:c>
    </x:row>
    <x:row r="48">
      <x:c r="A48" s="219"/>
      <x:c r="B48" s="220"/>
      <x:c r="C48" s="221"/>
      <x:c r="D48" s="220"/>
      <x:c r="E48" s="222"/>
      <x:c r="F48" s="220"/>
      <x:c r="G48" s="220"/>
      <x:c r="H48" s="220"/>
      <x:c r="I48" s="220"/>
      <x:c r="J48" s="220"/>
      <x:c r="K48" s="220"/>
      <x:c r="L48" s="220" t="str">
        <x:f>IF(TRIM(H48&amp;" "&amp;I48&amp;" "&amp;J48&amp;IF(K48&lt;&gt;""," ("&amp;K48&amp;")",""))="","",TRIM(H48&amp;" "&amp;I48&amp;" "&amp;J48&amp;IF(K48&lt;&gt;""," ("&amp;K48&amp;")","")))</x:f>
      </x:c>
      <x:c r="M48" s="220"/>
      <x:c r="N48" s="220"/>
      <x:c r="O48" s="220"/>
      <x:c r="P48" s="220"/>
      <x:c r="Q48" s="220"/>
      <x:c r="R48" s="220"/>
      <x:c r="S48" s="220"/>
      <x:c r="T48" s="220"/>
      <x:c r="U48" s="220" t="str">
        <x:f>IF(AND(M48="",O48="",Q48="",S48=""),"",IF(S48&lt;&gt;"",S48,IF(Q48&lt;&gt;"",Q48,IF(O48&lt;&gt;"",O48,M48))))</x:f>
      </x:c>
      <x:c r="V48" s="220" t="str">
        <x:f>IF(AND(N48="",P48="",R48="",T48=""),"",IF(T48&lt;&gt;"",T48,IF(R48&lt;&gt;"",R48,IF(P48&lt;&gt;"",P48,N48))))</x:f>
      </x:c>
      <x:c r="W48" s="221"/>
      <x:c r="X48" s="220"/>
      <x:c r="Y48" s="220"/>
      <x:c r="Z48" s="223"/>
      <x:c r="AA48" s="223"/>
      <x:c r="AB48" s="221"/>
      <x:c r="AC48" s="220"/>
      <x:c r="AD48" s="220"/>
      <x:c r="AE48" s="222"/>
      <x:c r="AF48" s="220"/>
      <x:c r="AG48" s="221"/>
      <x:c r="AH48" s="220"/>
      <x:c r="AI48" s="220"/>
      <x:c r="AJ48" s="222"/>
      <x:c r="AK48" s="220"/>
      <x:c r="AL48" s="220"/>
      <x:c r="AM48" s="220"/>
      <x:c r="AN48" s="220"/>
      <x:c r="AO48" s="220"/>
      <x:c r="AP48" s="220"/>
      <x:c r="AQ48" s="220"/>
      <x:c r="AR48" s="222"/>
      <x:c r="AS48" s="220"/>
      <x:c r="AT48" s="220"/>
      <x:c r="AU48" s="220"/>
      <x:c r="AV48" s="220"/>
      <x:c r="AW48" s="220"/>
      <x:c r="AX48" s="220"/>
      <x:c r="AY48" s="221"/>
      <x:c r="AZ48" s="220"/>
      <x:c r="BA48" s="220" t="str">
        <x:f>IF(AND(A48="",B48="",F48="",H48="",J48="",AW48="",AY48=""),"",IF(OR(B48="skip",AW48="skip"),"SKIP",IF(OR(B48="to_candidate",AW48="proposed_name"),IF(OR(A48="",AX48="",AY48="",COUNTIF($A$6:$A$505,A48)&gt;1),"REVIEW","TO_PROPOSED"),IF(OR(B48="",A48="",F48="",H48="",J48="",U48="",AW48="",COUNTIF($A$6:$A$505,A48)&gt;1,(COUNTIFS('أرقام التواصل'!$A$6:$A$505,"client",'أرقام التواصل'!$B$6:$B$505,A48,'أرقام التواصل'!$I$6:$I$505,"TRUE")+COUNTIFS('أرقام التواصل'!$A$6:$A$505,"client",'أرقام التواصل'!$B$6:$B$505,A48,'أرقام التواصل'!$C$6:$C$505,1))=0),"REVIEW","READY"))))</x:f>
      </x:c>
      <x:c r="BB48" s="224" t="str">
        <x:f>IF(BA48="","",IF(OR(BA48="READY",BA48="TO_PROPOSED"),"",IF(BA48="SKIP","Skipped by decision",TRIM(IF(B48="","missing import_action; ","")&amp;IF(A48="","missing migration_customer_key; ","")&amp;IF(AND(A48&lt;&gt;"",COUNTIF($A$6:$A$505,A48)&gt;1),"duplicate migration_customer_key; ","")&amp;IF(AND(NOT(OR(B48="to_candidate",AW48="proposed_name")),F48=""),"missing branch_id; ","")&amp;IF(AND(NOT(OR(B48="to_candidate",AW48="proposed_name")),H48=""),"missing first_name; ","")&amp;IF(AND(NOT(OR(B48="to_candidate",AW48="proposed_name")),J48=""),"missing last_name; ","")&amp;IF(AND(NOT(OR(B48="to_candidate",AW48="proposed_name")),U48=""),"missing final_geo_unit_id; ","")&amp;IF(AW48="","missing final_destination; ","")&amp;IF(AND(NOT(OR(B48="to_candidate",AW48="proposed_name")),(COUNTIFS('أرقام التواصل'!$A$6:$A$505,"client",'أرقام التواصل'!$B$6:$B$505,A48,'أرقام التواصل'!$I$6:$I$505,"TRUE")+COUNTIFS('أرقام التواصل'!$A$6:$A$505,"client",'أرقام التواصل'!$B$6:$B$505,A48,'أرقام التواصل'!$C$6:$C$505,1))=0),"missing primary contact in أرقام التواصل; ","")&amp;IF(OR(B48="to_candidate",AW48="proposed_name"),IF(AX48="","missing proposed_move_reason; ","")&amp;IF(AY48="","missing proposed_name_key; ",""),"")))))</x:f>
      </x:c>
    </x:row>
    <x:row r="49">
      <x:c r="A49" s="219"/>
      <x:c r="B49" s="220"/>
      <x:c r="C49" s="221"/>
      <x:c r="D49" s="220"/>
      <x:c r="E49" s="222"/>
      <x:c r="F49" s="220"/>
      <x:c r="G49" s="220"/>
      <x:c r="H49" s="220"/>
      <x:c r="I49" s="220"/>
      <x:c r="J49" s="220"/>
      <x:c r="K49" s="220"/>
      <x:c r="L49" s="220" t="str">
        <x:f>IF(TRIM(H49&amp;" "&amp;I49&amp;" "&amp;J49&amp;IF(K49&lt;&gt;""," ("&amp;K49&amp;")",""))="","",TRIM(H49&amp;" "&amp;I49&amp;" "&amp;J49&amp;IF(K49&lt;&gt;""," ("&amp;K49&amp;")","")))</x:f>
      </x:c>
      <x:c r="M49" s="220"/>
      <x:c r="N49" s="220"/>
      <x:c r="O49" s="220"/>
      <x:c r="P49" s="220"/>
      <x:c r="Q49" s="220"/>
      <x:c r="R49" s="220"/>
      <x:c r="S49" s="220"/>
      <x:c r="T49" s="220"/>
      <x:c r="U49" s="220" t="str">
        <x:f>IF(AND(M49="",O49="",Q49="",S49=""),"",IF(S49&lt;&gt;"",S49,IF(Q49&lt;&gt;"",Q49,IF(O49&lt;&gt;"",O49,M49))))</x:f>
      </x:c>
      <x:c r="V49" s="220" t="str">
        <x:f>IF(AND(N49="",P49="",R49="",T49=""),"",IF(T49&lt;&gt;"",T49,IF(R49&lt;&gt;"",R49,IF(P49&lt;&gt;"",P49,N49))))</x:f>
      </x:c>
      <x:c r="W49" s="221"/>
      <x:c r="X49" s="220"/>
      <x:c r="Y49" s="220"/>
      <x:c r="Z49" s="223"/>
      <x:c r="AA49" s="223"/>
      <x:c r="AB49" s="221"/>
      <x:c r="AC49" s="220"/>
      <x:c r="AD49" s="220"/>
      <x:c r="AE49" s="222"/>
      <x:c r="AF49" s="220"/>
      <x:c r="AG49" s="221"/>
      <x:c r="AH49" s="220"/>
      <x:c r="AI49" s="220"/>
      <x:c r="AJ49" s="222"/>
      <x:c r="AK49" s="220"/>
      <x:c r="AL49" s="220"/>
      <x:c r="AM49" s="220"/>
      <x:c r="AN49" s="220"/>
      <x:c r="AO49" s="220"/>
      <x:c r="AP49" s="220"/>
      <x:c r="AQ49" s="220"/>
      <x:c r="AR49" s="222"/>
      <x:c r="AS49" s="220"/>
      <x:c r="AT49" s="220"/>
      <x:c r="AU49" s="220"/>
      <x:c r="AV49" s="220"/>
      <x:c r="AW49" s="220"/>
      <x:c r="AX49" s="220"/>
      <x:c r="AY49" s="221"/>
      <x:c r="AZ49" s="220"/>
      <x:c r="BA49" s="220" t="str">
        <x:f>IF(AND(A49="",B49="",F49="",H49="",J49="",AW49="",AY49=""),"",IF(OR(B49="skip",AW49="skip"),"SKIP",IF(OR(B49="to_candidate",AW49="proposed_name"),IF(OR(A49="",AX49="",AY49="",COUNTIF($A$6:$A$505,A49)&gt;1),"REVIEW","TO_PROPOSED"),IF(OR(B49="",A49="",F49="",H49="",J49="",U49="",AW49="",COUNTIF($A$6:$A$505,A49)&gt;1,(COUNTIFS('أرقام التواصل'!$A$6:$A$505,"client",'أرقام التواصل'!$B$6:$B$505,A49,'أرقام التواصل'!$I$6:$I$505,"TRUE")+COUNTIFS('أرقام التواصل'!$A$6:$A$505,"client",'أرقام التواصل'!$B$6:$B$505,A49,'أرقام التواصل'!$C$6:$C$505,1))=0),"REVIEW","READY"))))</x:f>
      </x:c>
      <x:c r="BB49" s="224" t="str">
        <x:f>IF(BA49="","",IF(OR(BA49="READY",BA49="TO_PROPOSED"),"",IF(BA49="SKIP","Skipped by decision",TRIM(IF(B49="","missing import_action; ","")&amp;IF(A49="","missing migration_customer_key; ","")&amp;IF(AND(A49&lt;&gt;"",COUNTIF($A$6:$A$505,A49)&gt;1),"duplicate migration_customer_key; ","")&amp;IF(AND(NOT(OR(B49="to_candidate",AW49="proposed_name")),F49=""),"missing branch_id; ","")&amp;IF(AND(NOT(OR(B49="to_candidate",AW49="proposed_name")),H49=""),"missing first_name; ","")&amp;IF(AND(NOT(OR(B49="to_candidate",AW49="proposed_name")),J49=""),"missing last_name; ","")&amp;IF(AND(NOT(OR(B49="to_candidate",AW49="proposed_name")),U49=""),"missing final_geo_unit_id; ","")&amp;IF(AW49="","missing final_destination; ","")&amp;IF(AND(NOT(OR(B49="to_candidate",AW49="proposed_name")),(COUNTIFS('أرقام التواصل'!$A$6:$A$505,"client",'أرقام التواصل'!$B$6:$B$505,A49,'أرقام التواصل'!$I$6:$I$505,"TRUE")+COUNTIFS('أرقام التواصل'!$A$6:$A$505,"client",'أرقام التواصل'!$B$6:$B$505,A49,'أرقام التواصل'!$C$6:$C$505,1))=0),"missing primary contact in أرقام التواصل; ","")&amp;IF(OR(B49="to_candidate",AW49="proposed_name"),IF(AX49="","missing proposed_move_reason; ","")&amp;IF(AY49="","missing proposed_name_key; ",""),"")))))</x:f>
      </x:c>
    </x:row>
    <x:row r="50">
      <x:c r="A50" s="219"/>
      <x:c r="B50" s="220"/>
      <x:c r="C50" s="221"/>
      <x:c r="D50" s="220"/>
      <x:c r="E50" s="222"/>
      <x:c r="F50" s="220"/>
      <x:c r="G50" s="220"/>
      <x:c r="H50" s="220"/>
      <x:c r="I50" s="220"/>
      <x:c r="J50" s="220"/>
      <x:c r="K50" s="220"/>
      <x:c r="L50" s="220" t="str">
        <x:f>IF(TRIM(H50&amp;" "&amp;I50&amp;" "&amp;J50&amp;IF(K50&lt;&gt;""," ("&amp;K50&amp;")",""))="","",TRIM(H50&amp;" "&amp;I50&amp;" "&amp;J50&amp;IF(K50&lt;&gt;""," ("&amp;K50&amp;")","")))</x:f>
      </x:c>
      <x:c r="M50" s="220"/>
      <x:c r="N50" s="220"/>
      <x:c r="O50" s="220"/>
      <x:c r="P50" s="220"/>
      <x:c r="Q50" s="220"/>
      <x:c r="R50" s="220"/>
      <x:c r="S50" s="220"/>
      <x:c r="T50" s="220"/>
      <x:c r="U50" s="220" t="str">
        <x:f>IF(AND(M50="",O50="",Q50="",S50=""),"",IF(S50&lt;&gt;"",S50,IF(Q50&lt;&gt;"",Q50,IF(O50&lt;&gt;"",O50,M50))))</x:f>
      </x:c>
      <x:c r="V50" s="220" t="str">
        <x:f>IF(AND(N50="",P50="",R50="",T50=""),"",IF(T50&lt;&gt;"",T50,IF(R50&lt;&gt;"",R50,IF(P50&lt;&gt;"",P50,N50))))</x:f>
      </x:c>
      <x:c r="W50" s="221"/>
      <x:c r="X50" s="220"/>
      <x:c r="Y50" s="220"/>
      <x:c r="Z50" s="223"/>
      <x:c r="AA50" s="223"/>
      <x:c r="AB50" s="221"/>
      <x:c r="AC50" s="220"/>
      <x:c r="AD50" s="220"/>
      <x:c r="AE50" s="222"/>
      <x:c r="AF50" s="220"/>
      <x:c r="AG50" s="221"/>
      <x:c r="AH50" s="220"/>
      <x:c r="AI50" s="220"/>
      <x:c r="AJ50" s="222"/>
      <x:c r="AK50" s="220"/>
      <x:c r="AL50" s="220"/>
      <x:c r="AM50" s="220"/>
      <x:c r="AN50" s="220"/>
      <x:c r="AO50" s="220"/>
      <x:c r="AP50" s="220"/>
      <x:c r="AQ50" s="220"/>
      <x:c r="AR50" s="222"/>
      <x:c r="AS50" s="220"/>
      <x:c r="AT50" s="220"/>
      <x:c r="AU50" s="220"/>
      <x:c r="AV50" s="220"/>
      <x:c r="AW50" s="220"/>
      <x:c r="AX50" s="220"/>
      <x:c r="AY50" s="221"/>
      <x:c r="AZ50" s="220"/>
      <x:c r="BA50" s="220" t="str">
        <x:f>IF(AND(A50="",B50="",F50="",H50="",J50="",AW50="",AY50=""),"",IF(OR(B50="skip",AW50="skip"),"SKIP",IF(OR(B50="to_candidate",AW50="proposed_name"),IF(OR(A50="",AX50="",AY50="",COUNTIF($A$6:$A$505,A50)&gt;1),"REVIEW","TO_PROPOSED"),IF(OR(B50="",A50="",F50="",H50="",J50="",U50="",AW50="",COUNTIF($A$6:$A$505,A50)&gt;1,(COUNTIFS('أرقام التواصل'!$A$6:$A$505,"client",'أرقام التواصل'!$B$6:$B$505,A50,'أرقام التواصل'!$I$6:$I$505,"TRUE")+COUNTIFS('أرقام التواصل'!$A$6:$A$505,"client",'أرقام التواصل'!$B$6:$B$505,A50,'أرقام التواصل'!$C$6:$C$505,1))=0),"REVIEW","READY"))))</x:f>
      </x:c>
      <x:c r="BB50" s="224" t="str">
        <x:f>IF(BA50="","",IF(OR(BA50="READY",BA50="TO_PROPOSED"),"",IF(BA50="SKIP","Skipped by decision",TRIM(IF(B50="","missing import_action; ","")&amp;IF(A50="","missing migration_customer_key; ","")&amp;IF(AND(A50&lt;&gt;"",COUNTIF($A$6:$A$505,A50)&gt;1),"duplicate migration_customer_key; ","")&amp;IF(AND(NOT(OR(B50="to_candidate",AW50="proposed_name")),F50=""),"missing branch_id; ","")&amp;IF(AND(NOT(OR(B50="to_candidate",AW50="proposed_name")),H50=""),"missing first_name; ","")&amp;IF(AND(NOT(OR(B50="to_candidate",AW50="proposed_name")),J50=""),"missing last_name; ","")&amp;IF(AND(NOT(OR(B50="to_candidate",AW50="proposed_name")),U50=""),"missing final_geo_unit_id; ","")&amp;IF(AW50="","missing final_destination; ","")&amp;IF(AND(NOT(OR(B50="to_candidate",AW50="proposed_name")),(COUNTIFS('أرقام التواصل'!$A$6:$A$505,"client",'أرقام التواصل'!$B$6:$B$505,A50,'أرقام التواصل'!$I$6:$I$505,"TRUE")+COUNTIFS('أرقام التواصل'!$A$6:$A$505,"client",'أرقام التواصل'!$B$6:$B$505,A50,'أرقام التواصل'!$C$6:$C$505,1))=0),"missing primary contact in أرقام التواصل; ","")&amp;IF(OR(B50="to_candidate",AW50="proposed_name"),IF(AX50="","missing proposed_move_reason; ","")&amp;IF(AY50="","missing proposed_name_key; ",""),"")))))</x:f>
      </x:c>
    </x:row>
    <x:row r="51">
      <x:c r="A51" s="219"/>
      <x:c r="B51" s="220"/>
      <x:c r="C51" s="221"/>
      <x:c r="D51" s="220"/>
      <x:c r="E51" s="222"/>
      <x:c r="F51" s="220"/>
      <x:c r="G51" s="220"/>
      <x:c r="H51" s="220"/>
      <x:c r="I51" s="220"/>
      <x:c r="J51" s="220"/>
      <x:c r="K51" s="220"/>
      <x:c r="L51" s="220" t="str">
        <x:f>IF(TRIM(H51&amp;" "&amp;I51&amp;" "&amp;J51&amp;IF(K51&lt;&gt;""," ("&amp;K51&amp;")",""))="","",TRIM(H51&amp;" "&amp;I51&amp;" "&amp;J51&amp;IF(K51&lt;&gt;""," ("&amp;K51&amp;")","")))</x:f>
      </x:c>
      <x:c r="M51" s="220"/>
      <x:c r="N51" s="220"/>
      <x:c r="O51" s="220"/>
      <x:c r="P51" s="220"/>
      <x:c r="Q51" s="220"/>
      <x:c r="R51" s="220"/>
      <x:c r="S51" s="220"/>
      <x:c r="T51" s="220"/>
      <x:c r="U51" s="220" t="str">
        <x:f>IF(AND(M51="",O51="",Q51="",S51=""),"",IF(S51&lt;&gt;"",S51,IF(Q51&lt;&gt;"",Q51,IF(O51&lt;&gt;"",O51,M51))))</x:f>
      </x:c>
      <x:c r="V51" s="220" t="str">
        <x:f>IF(AND(N51="",P51="",R51="",T51=""),"",IF(T51&lt;&gt;"",T51,IF(R51&lt;&gt;"",R51,IF(P51&lt;&gt;"",P51,N51))))</x:f>
      </x:c>
      <x:c r="W51" s="221"/>
      <x:c r="X51" s="220"/>
      <x:c r="Y51" s="220"/>
      <x:c r="Z51" s="223"/>
      <x:c r="AA51" s="223"/>
      <x:c r="AB51" s="221"/>
      <x:c r="AC51" s="220"/>
      <x:c r="AD51" s="220"/>
      <x:c r="AE51" s="222"/>
      <x:c r="AF51" s="220"/>
      <x:c r="AG51" s="221"/>
      <x:c r="AH51" s="220"/>
      <x:c r="AI51" s="220"/>
      <x:c r="AJ51" s="222"/>
      <x:c r="AK51" s="220"/>
      <x:c r="AL51" s="220"/>
      <x:c r="AM51" s="220"/>
      <x:c r="AN51" s="220"/>
      <x:c r="AO51" s="220"/>
      <x:c r="AP51" s="220"/>
      <x:c r="AQ51" s="220"/>
      <x:c r="AR51" s="222"/>
      <x:c r="AS51" s="220"/>
      <x:c r="AT51" s="220"/>
      <x:c r="AU51" s="220"/>
      <x:c r="AV51" s="220"/>
      <x:c r="AW51" s="220"/>
      <x:c r="AX51" s="220"/>
      <x:c r="AY51" s="221"/>
      <x:c r="AZ51" s="220"/>
      <x:c r="BA51" s="220" t="str">
        <x:f>IF(AND(A51="",B51="",F51="",H51="",J51="",AW51="",AY51=""),"",IF(OR(B51="skip",AW51="skip"),"SKIP",IF(OR(B51="to_candidate",AW51="proposed_name"),IF(OR(A51="",AX51="",AY51="",COUNTIF($A$6:$A$505,A51)&gt;1),"REVIEW","TO_PROPOSED"),IF(OR(B51="",A51="",F51="",H51="",J51="",U51="",AW51="",COUNTIF($A$6:$A$505,A51)&gt;1,(COUNTIFS('أرقام التواصل'!$A$6:$A$505,"client",'أرقام التواصل'!$B$6:$B$505,A51,'أرقام التواصل'!$I$6:$I$505,"TRUE")+COUNTIFS('أرقام التواصل'!$A$6:$A$505,"client",'أرقام التواصل'!$B$6:$B$505,A51,'أرقام التواصل'!$C$6:$C$505,1))=0),"REVIEW","READY"))))</x:f>
      </x:c>
      <x:c r="BB51" s="224" t="str">
        <x:f>IF(BA51="","",IF(OR(BA51="READY",BA51="TO_PROPOSED"),"",IF(BA51="SKIP","Skipped by decision",TRIM(IF(B51="","missing import_action; ","")&amp;IF(A51="","missing migration_customer_key; ","")&amp;IF(AND(A51&lt;&gt;"",COUNTIF($A$6:$A$505,A51)&gt;1),"duplicate migration_customer_key; ","")&amp;IF(AND(NOT(OR(B51="to_candidate",AW51="proposed_name")),F51=""),"missing branch_id; ","")&amp;IF(AND(NOT(OR(B51="to_candidate",AW51="proposed_name")),H51=""),"missing first_name; ","")&amp;IF(AND(NOT(OR(B51="to_candidate",AW51="proposed_name")),J51=""),"missing last_name; ","")&amp;IF(AND(NOT(OR(B51="to_candidate",AW51="proposed_name")),U51=""),"missing final_geo_unit_id; ","")&amp;IF(AW51="","missing final_destination; ","")&amp;IF(AND(NOT(OR(B51="to_candidate",AW51="proposed_name")),(COUNTIFS('أرقام التواصل'!$A$6:$A$505,"client",'أرقام التواصل'!$B$6:$B$505,A51,'أرقام التواصل'!$I$6:$I$505,"TRUE")+COUNTIFS('أرقام التواصل'!$A$6:$A$505,"client",'أرقام التواصل'!$B$6:$B$505,A51,'أرقام التواصل'!$C$6:$C$505,1))=0),"missing primary contact in أرقام التواصل; ","")&amp;IF(OR(B51="to_candidate",AW51="proposed_name"),IF(AX51="","missing proposed_move_reason; ","")&amp;IF(AY51="","missing proposed_name_key; ",""),"")))))</x:f>
      </x:c>
    </x:row>
    <x:row r="52">
      <x:c r="A52" s="219"/>
      <x:c r="B52" s="220"/>
      <x:c r="C52" s="221"/>
      <x:c r="D52" s="220"/>
      <x:c r="E52" s="222"/>
      <x:c r="F52" s="220"/>
      <x:c r="G52" s="220"/>
      <x:c r="H52" s="220"/>
      <x:c r="I52" s="220"/>
      <x:c r="J52" s="220"/>
      <x:c r="K52" s="220"/>
      <x:c r="L52" s="220" t="str">
        <x:f>IF(TRIM(H52&amp;" "&amp;I52&amp;" "&amp;J52&amp;IF(K52&lt;&gt;""," ("&amp;K52&amp;")",""))="","",TRIM(H52&amp;" "&amp;I52&amp;" "&amp;J52&amp;IF(K52&lt;&gt;""," ("&amp;K52&amp;")","")))</x:f>
      </x:c>
      <x:c r="M52" s="220"/>
      <x:c r="N52" s="220"/>
      <x:c r="O52" s="220"/>
      <x:c r="P52" s="220"/>
      <x:c r="Q52" s="220"/>
      <x:c r="R52" s="220"/>
      <x:c r="S52" s="220"/>
      <x:c r="T52" s="220"/>
      <x:c r="U52" s="220" t="str">
        <x:f>IF(AND(M52="",O52="",Q52="",S52=""),"",IF(S52&lt;&gt;"",S52,IF(Q52&lt;&gt;"",Q52,IF(O52&lt;&gt;"",O52,M52))))</x:f>
      </x:c>
      <x:c r="V52" s="220" t="str">
        <x:f>IF(AND(N52="",P52="",R52="",T52=""),"",IF(T52&lt;&gt;"",T52,IF(R52&lt;&gt;"",R52,IF(P52&lt;&gt;"",P52,N52))))</x:f>
      </x:c>
      <x:c r="W52" s="221"/>
      <x:c r="X52" s="220"/>
      <x:c r="Y52" s="220"/>
      <x:c r="Z52" s="223"/>
      <x:c r="AA52" s="223"/>
      <x:c r="AB52" s="221"/>
      <x:c r="AC52" s="220"/>
      <x:c r="AD52" s="220"/>
      <x:c r="AE52" s="222"/>
      <x:c r="AF52" s="220"/>
      <x:c r="AG52" s="221"/>
      <x:c r="AH52" s="220"/>
      <x:c r="AI52" s="220"/>
      <x:c r="AJ52" s="222"/>
      <x:c r="AK52" s="220"/>
      <x:c r="AL52" s="220"/>
      <x:c r="AM52" s="220"/>
      <x:c r="AN52" s="220"/>
      <x:c r="AO52" s="220"/>
      <x:c r="AP52" s="220"/>
      <x:c r="AQ52" s="220"/>
      <x:c r="AR52" s="222"/>
      <x:c r="AS52" s="220"/>
      <x:c r="AT52" s="220"/>
      <x:c r="AU52" s="220"/>
      <x:c r="AV52" s="220"/>
      <x:c r="AW52" s="220"/>
      <x:c r="AX52" s="220"/>
      <x:c r="AY52" s="221"/>
      <x:c r="AZ52" s="220"/>
      <x:c r="BA52" s="220" t="str">
        <x:f>IF(AND(A52="",B52="",F52="",H52="",J52="",AW52="",AY52=""),"",IF(OR(B52="skip",AW52="skip"),"SKIP",IF(OR(B52="to_candidate",AW52="proposed_name"),IF(OR(A52="",AX52="",AY52="",COUNTIF($A$6:$A$505,A52)&gt;1),"REVIEW","TO_PROPOSED"),IF(OR(B52="",A52="",F52="",H52="",J52="",U52="",AW52="",COUNTIF($A$6:$A$505,A52)&gt;1,(COUNTIFS('أرقام التواصل'!$A$6:$A$505,"client",'أرقام التواصل'!$B$6:$B$505,A52,'أرقام التواصل'!$I$6:$I$505,"TRUE")+COUNTIFS('أرقام التواصل'!$A$6:$A$505,"client",'أرقام التواصل'!$B$6:$B$505,A52,'أرقام التواصل'!$C$6:$C$505,1))=0),"REVIEW","READY"))))</x:f>
      </x:c>
      <x:c r="BB52" s="224" t="str">
        <x:f>IF(BA52="","",IF(OR(BA52="READY",BA52="TO_PROPOSED"),"",IF(BA52="SKIP","Skipped by decision",TRIM(IF(B52="","missing import_action; ","")&amp;IF(A52="","missing migration_customer_key; ","")&amp;IF(AND(A52&lt;&gt;"",COUNTIF($A$6:$A$505,A52)&gt;1),"duplicate migration_customer_key; ","")&amp;IF(AND(NOT(OR(B52="to_candidate",AW52="proposed_name")),F52=""),"missing branch_id; ","")&amp;IF(AND(NOT(OR(B52="to_candidate",AW52="proposed_name")),H52=""),"missing first_name; ","")&amp;IF(AND(NOT(OR(B52="to_candidate",AW52="proposed_name")),J52=""),"missing last_name; ","")&amp;IF(AND(NOT(OR(B52="to_candidate",AW52="proposed_name")),U52=""),"missing final_geo_unit_id; ","")&amp;IF(AW52="","missing final_destination; ","")&amp;IF(AND(NOT(OR(B52="to_candidate",AW52="proposed_name")),(COUNTIFS('أرقام التواصل'!$A$6:$A$505,"client",'أرقام التواصل'!$B$6:$B$505,A52,'أرقام التواصل'!$I$6:$I$505,"TRUE")+COUNTIFS('أرقام التواصل'!$A$6:$A$505,"client",'أرقام التواصل'!$B$6:$B$505,A52,'أرقام التواصل'!$C$6:$C$505,1))=0),"missing primary contact in أرقام التواصل; ","")&amp;IF(OR(B52="to_candidate",AW52="proposed_name"),IF(AX52="","missing proposed_move_reason; ","")&amp;IF(AY52="","missing proposed_name_key; ",""),"")))))</x:f>
      </x:c>
    </x:row>
    <x:row r="53">
      <x:c r="A53" s="219"/>
      <x:c r="B53" s="220"/>
      <x:c r="C53" s="221"/>
      <x:c r="D53" s="220"/>
      <x:c r="E53" s="222"/>
      <x:c r="F53" s="220"/>
      <x:c r="G53" s="220"/>
      <x:c r="H53" s="220"/>
      <x:c r="I53" s="220"/>
      <x:c r="J53" s="220"/>
      <x:c r="K53" s="220"/>
      <x:c r="L53" s="220" t="str">
        <x:f>IF(TRIM(H53&amp;" "&amp;I53&amp;" "&amp;J53&amp;IF(K53&lt;&gt;""," ("&amp;K53&amp;")",""))="","",TRIM(H53&amp;" "&amp;I53&amp;" "&amp;J53&amp;IF(K53&lt;&gt;""," ("&amp;K53&amp;")","")))</x:f>
      </x:c>
      <x:c r="M53" s="220"/>
      <x:c r="N53" s="220"/>
      <x:c r="O53" s="220"/>
      <x:c r="P53" s="220"/>
      <x:c r="Q53" s="220"/>
      <x:c r="R53" s="220"/>
      <x:c r="S53" s="220"/>
      <x:c r="T53" s="220"/>
      <x:c r="U53" s="220" t="str">
        <x:f>IF(AND(M53="",O53="",Q53="",S53=""),"",IF(S53&lt;&gt;"",S53,IF(Q53&lt;&gt;"",Q53,IF(O53&lt;&gt;"",O53,M53))))</x:f>
      </x:c>
      <x:c r="V53" s="220" t="str">
        <x:f>IF(AND(N53="",P53="",R53="",T53=""),"",IF(T53&lt;&gt;"",T53,IF(R53&lt;&gt;"",R53,IF(P53&lt;&gt;"",P53,N53))))</x:f>
      </x:c>
      <x:c r="W53" s="221"/>
      <x:c r="X53" s="220"/>
      <x:c r="Y53" s="220"/>
      <x:c r="Z53" s="223"/>
      <x:c r="AA53" s="223"/>
      <x:c r="AB53" s="221"/>
      <x:c r="AC53" s="220"/>
      <x:c r="AD53" s="220"/>
      <x:c r="AE53" s="222"/>
      <x:c r="AF53" s="220"/>
      <x:c r="AG53" s="221"/>
      <x:c r="AH53" s="220"/>
      <x:c r="AI53" s="220"/>
      <x:c r="AJ53" s="222"/>
      <x:c r="AK53" s="220"/>
      <x:c r="AL53" s="220"/>
      <x:c r="AM53" s="220"/>
      <x:c r="AN53" s="220"/>
      <x:c r="AO53" s="220"/>
      <x:c r="AP53" s="220"/>
      <x:c r="AQ53" s="220"/>
      <x:c r="AR53" s="222"/>
      <x:c r="AS53" s="220"/>
      <x:c r="AT53" s="220"/>
      <x:c r="AU53" s="220"/>
      <x:c r="AV53" s="220"/>
      <x:c r="AW53" s="220"/>
      <x:c r="AX53" s="220"/>
      <x:c r="AY53" s="221"/>
      <x:c r="AZ53" s="220"/>
      <x:c r="BA53" s="220" t="str">
        <x:f>IF(AND(A53="",B53="",F53="",H53="",J53="",AW53="",AY53=""),"",IF(OR(B53="skip",AW53="skip"),"SKIP",IF(OR(B53="to_candidate",AW53="proposed_name"),IF(OR(A53="",AX53="",AY53="",COUNTIF($A$6:$A$505,A53)&gt;1),"REVIEW","TO_PROPOSED"),IF(OR(B53="",A53="",F53="",H53="",J53="",U53="",AW53="",COUNTIF($A$6:$A$505,A53)&gt;1,(COUNTIFS('أرقام التواصل'!$A$6:$A$505,"client",'أرقام التواصل'!$B$6:$B$505,A53,'أرقام التواصل'!$I$6:$I$505,"TRUE")+COUNTIFS('أرقام التواصل'!$A$6:$A$505,"client",'أرقام التواصل'!$B$6:$B$505,A53,'أرقام التواصل'!$C$6:$C$505,1))=0),"REVIEW","READY"))))</x:f>
      </x:c>
      <x:c r="BB53" s="224" t="str">
        <x:f>IF(BA53="","",IF(OR(BA53="READY",BA53="TO_PROPOSED"),"",IF(BA53="SKIP","Skipped by decision",TRIM(IF(B53="","missing import_action; ","")&amp;IF(A53="","missing migration_customer_key; ","")&amp;IF(AND(A53&lt;&gt;"",COUNTIF($A$6:$A$505,A53)&gt;1),"duplicate migration_customer_key; ","")&amp;IF(AND(NOT(OR(B53="to_candidate",AW53="proposed_name")),F53=""),"missing branch_id; ","")&amp;IF(AND(NOT(OR(B53="to_candidate",AW53="proposed_name")),H53=""),"missing first_name; ","")&amp;IF(AND(NOT(OR(B53="to_candidate",AW53="proposed_name")),J53=""),"missing last_name; ","")&amp;IF(AND(NOT(OR(B53="to_candidate",AW53="proposed_name")),U53=""),"missing final_geo_unit_id; ","")&amp;IF(AW53="","missing final_destination; ","")&amp;IF(AND(NOT(OR(B53="to_candidate",AW53="proposed_name")),(COUNTIFS('أرقام التواصل'!$A$6:$A$505,"client",'أرقام التواصل'!$B$6:$B$505,A53,'أرقام التواصل'!$I$6:$I$505,"TRUE")+COUNTIFS('أرقام التواصل'!$A$6:$A$505,"client",'أرقام التواصل'!$B$6:$B$505,A53,'أرقام التواصل'!$C$6:$C$505,1))=0),"missing primary contact in أرقام التواصل; ","")&amp;IF(OR(B53="to_candidate",AW53="proposed_name"),IF(AX53="","missing proposed_move_reason; ","")&amp;IF(AY53="","missing proposed_name_key; ",""),"")))))</x:f>
      </x:c>
    </x:row>
    <x:row r="54">
      <x:c r="A54" s="219"/>
      <x:c r="B54" s="220"/>
      <x:c r="C54" s="221"/>
      <x:c r="D54" s="220"/>
      <x:c r="E54" s="222"/>
      <x:c r="F54" s="220"/>
      <x:c r="G54" s="220"/>
      <x:c r="H54" s="220"/>
      <x:c r="I54" s="220"/>
      <x:c r="J54" s="220"/>
      <x:c r="K54" s="220"/>
      <x:c r="L54" s="220" t="str">
        <x:f>IF(TRIM(H54&amp;" "&amp;I54&amp;" "&amp;J54&amp;IF(K54&lt;&gt;""," ("&amp;K54&amp;")",""))="","",TRIM(H54&amp;" "&amp;I54&amp;" "&amp;J54&amp;IF(K54&lt;&gt;""," ("&amp;K54&amp;")","")))</x:f>
      </x:c>
      <x:c r="M54" s="220"/>
      <x:c r="N54" s="220"/>
      <x:c r="O54" s="220"/>
      <x:c r="P54" s="220"/>
      <x:c r="Q54" s="220"/>
      <x:c r="R54" s="220"/>
      <x:c r="S54" s="220"/>
      <x:c r="T54" s="220"/>
      <x:c r="U54" s="220" t="str">
        <x:f>IF(AND(M54="",O54="",Q54="",S54=""),"",IF(S54&lt;&gt;"",S54,IF(Q54&lt;&gt;"",Q54,IF(O54&lt;&gt;"",O54,M54))))</x:f>
      </x:c>
      <x:c r="V54" s="220" t="str">
        <x:f>IF(AND(N54="",P54="",R54="",T54=""),"",IF(T54&lt;&gt;"",T54,IF(R54&lt;&gt;"",R54,IF(P54&lt;&gt;"",P54,N54))))</x:f>
      </x:c>
      <x:c r="W54" s="221"/>
      <x:c r="X54" s="220"/>
      <x:c r="Y54" s="220"/>
      <x:c r="Z54" s="223"/>
      <x:c r="AA54" s="223"/>
      <x:c r="AB54" s="221"/>
      <x:c r="AC54" s="220"/>
      <x:c r="AD54" s="220"/>
      <x:c r="AE54" s="222"/>
      <x:c r="AF54" s="220"/>
      <x:c r="AG54" s="221"/>
      <x:c r="AH54" s="220"/>
      <x:c r="AI54" s="220"/>
      <x:c r="AJ54" s="222"/>
      <x:c r="AK54" s="220"/>
      <x:c r="AL54" s="220"/>
      <x:c r="AM54" s="220"/>
      <x:c r="AN54" s="220"/>
      <x:c r="AO54" s="220"/>
      <x:c r="AP54" s="220"/>
      <x:c r="AQ54" s="220"/>
      <x:c r="AR54" s="222"/>
      <x:c r="AS54" s="220"/>
      <x:c r="AT54" s="220"/>
      <x:c r="AU54" s="220"/>
      <x:c r="AV54" s="220"/>
      <x:c r="AW54" s="220"/>
      <x:c r="AX54" s="220"/>
      <x:c r="AY54" s="221"/>
      <x:c r="AZ54" s="220"/>
      <x:c r="BA54" s="220" t="str">
        <x:f>IF(AND(A54="",B54="",F54="",H54="",J54="",AW54="",AY54=""),"",IF(OR(B54="skip",AW54="skip"),"SKIP",IF(OR(B54="to_candidate",AW54="proposed_name"),IF(OR(A54="",AX54="",AY54="",COUNTIF($A$6:$A$505,A54)&gt;1),"REVIEW","TO_PROPOSED"),IF(OR(B54="",A54="",F54="",H54="",J54="",U54="",AW54="",COUNTIF($A$6:$A$505,A54)&gt;1,(COUNTIFS('أرقام التواصل'!$A$6:$A$505,"client",'أرقام التواصل'!$B$6:$B$505,A54,'أرقام التواصل'!$I$6:$I$505,"TRUE")+COUNTIFS('أرقام التواصل'!$A$6:$A$505,"client",'أرقام التواصل'!$B$6:$B$505,A54,'أرقام التواصل'!$C$6:$C$505,1))=0),"REVIEW","READY"))))</x:f>
      </x:c>
      <x:c r="BB54" s="224" t="str">
        <x:f>IF(BA54="","",IF(OR(BA54="READY",BA54="TO_PROPOSED"),"",IF(BA54="SKIP","Skipped by decision",TRIM(IF(B54="","missing import_action; ","")&amp;IF(A54="","missing migration_customer_key; ","")&amp;IF(AND(A54&lt;&gt;"",COUNTIF($A$6:$A$505,A54)&gt;1),"duplicate migration_customer_key; ","")&amp;IF(AND(NOT(OR(B54="to_candidate",AW54="proposed_name")),F54=""),"missing branch_id; ","")&amp;IF(AND(NOT(OR(B54="to_candidate",AW54="proposed_name")),H54=""),"missing first_name; ","")&amp;IF(AND(NOT(OR(B54="to_candidate",AW54="proposed_name")),J54=""),"missing last_name; ","")&amp;IF(AND(NOT(OR(B54="to_candidate",AW54="proposed_name")),U54=""),"missing final_geo_unit_id; ","")&amp;IF(AW54="","missing final_destination; ","")&amp;IF(AND(NOT(OR(B54="to_candidate",AW54="proposed_name")),(COUNTIFS('أرقام التواصل'!$A$6:$A$505,"client",'أرقام التواصل'!$B$6:$B$505,A54,'أرقام التواصل'!$I$6:$I$505,"TRUE")+COUNTIFS('أرقام التواصل'!$A$6:$A$505,"client",'أرقام التواصل'!$B$6:$B$505,A54,'أرقام التواصل'!$C$6:$C$505,1))=0),"missing primary contact in أرقام التواصل; ","")&amp;IF(OR(B54="to_candidate",AW54="proposed_name"),IF(AX54="","missing proposed_move_reason; ","")&amp;IF(AY54="","missing proposed_name_key; ",""),"")))))</x:f>
      </x:c>
    </x:row>
    <x:row r="55">
      <x:c r="A55" s="219"/>
      <x:c r="B55" s="220"/>
      <x:c r="C55" s="221"/>
      <x:c r="D55" s="220"/>
      <x:c r="E55" s="222"/>
      <x:c r="F55" s="220"/>
      <x:c r="G55" s="220"/>
      <x:c r="H55" s="220"/>
      <x:c r="I55" s="220"/>
      <x:c r="J55" s="220"/>
      <x:c r="K55" s="220"/>
      <x:c r="L55" s="220" t="str">
        <x:f>IF(TRIM(H55&amp;" "&amp;I55&amp;" "&amp;J55&amp;IF(K55&lt;&gt;""," ("&amp;K55&amp;")",""))="","",TRIM(H55&amp;" "&amp;I55&amp;" "&amp;J55&amp;IF(K55&lt;&gt;""," ("&amp;K55&amp;")","")))</x:f>
      </x:c>
      <x:c r="M55" s="220"/>
      <x:c r="N55" s="220"/>
      <x:c r="O55" s="220"/>
      <x:c r="P55" s="220"/>
      <x:c r="Q55" s="220"/>
      <x:c r="R55" s="220"/>
      <x:c r="S55" s="220"/>
      <x:c r="T55" s="220"/>
      <x:c r="U55" s="220" t="str">
        <x:f>IF(AND(M55="",O55="",Q55="",S55=""),"",IF(S55&lt;&gt;"",S55,IF(Q55&lt;&gt;"",Q55,IF(O55&lt;&gt;"",O55,M55))))</x:f>
      </x:c>
      <x:c r="V55" s="220" t="str">
        <x:f>IF(AND(N55="",P55="",R55="",T55=""),"",IF(T55&lt;&gt;"",T55,IF(R55&lt;&gt;"",R55,IF(P55&lt;&gt;"",P55,N55))))</x:f>
      </x:c>
      <x:c r="W55" s="221"/>
      <x:c r="X55" s="220"/>
      <x:c r="Y55" s="220"/>
      <x:c r="Z55" s="223"/>
      <x:c r="AA55" s="223"/>
      <x:c r="AB55" s="221"/>
      <x:c r="AC55" s="220"/>
      <x:c r="AD55" s="220"/>
      <x:c r="AE55" s="222"/>
      <x:c r="AF55" s="220"/>
      <x:c r="AG55" s="221"/>
      <x:c r="AH55" s="220"/>
      <x:c r="AI55" s="220"/>
      <x:c r="AJ55" s="222"/>
      <x:c r="AK55" s="220"/>
      <x:c r="AL55" s="220"/>
      <x:c r="AM55" s="220"/>
      <x:c r="AN55" s="220"/>
      <x:c r="AO55" s="220"/>
      <x:c r="AP55" s="220"/>
      <x:c r="AQ55" s="220"/>
      <x:c r="AR55" s="222"/>
      <x:c r="AS55" s="220"/>
      <x:c r="AT55" s="220"/>
      <x:c r="AU55" s="220"/>
      <x:c r="AV55" s="220"/>
      <x:c r="AW55" s="220"/>
      <x:c r="AX55" s="220"/>
      <x:c r="AY55" s="221"/>
      <x:c r="AZ55" s="220"/>
      <x:c r="BA55" s="220" t="str">
        <x:f>IF(AND(A55="",B55="",F55="",H55="",J55="",AW55="",AY55=""),"",IF(OR(B55="skip",AW55="skip"),"SKIP",IF(OR(B55="to_candidate",AW55="proposed_name"),IF(OR(A55="",AX55="",AY55="",COUNTIF($A$6:$A$505,A55)&gt;1),"REVIEW","TO_PROPOSED"),IF(OR(B55="",A55="",F55="",H55="",J55="",U55="",AW55="",COUNTIF($A$6:$A$505,A55)&gt;1,(COUNTIFS('أرقام التواصل'!$A$6:$A$505,"client",'أرقام التواصل'!$B$6:$B$505,A55,'أرقام التواصل'!$I$6:$I$505,"TRUE")+COUNTIFS('أرقام التواصل'!$A$6:$A$505,"client",'أرقام التواصل'!$B$6:$B$505,A55,'أرقام التواصل'!$C$6:$C$505,1))=0),"REVIEW","READY"))))</x:f>
      </x:c>
      <x:c r="BB55" s="224" t="str">
        <x:f>IF(BA55="","",IF(OR(BA55="READY",BA55="TO_PROPOSED"),"",IF(BA55="SKIP","Skipped by decision",TRIM(IF(B55="","missing import_action; ","")&amp;IF(A55="","missing migration_customer_key; ","")&amp;IF(AND(A55&lt;&gt;"",COUNTIF($A$6:$A$505,A55)&gt;1),"duplicate migration_customer_key; ","")&amp;IF(AND(NOT(OR(B55="to_candidate",AW55="proposed_name")),F55=""),"missing branch_id; ","")&amp;IF(AND(NOT(OR(B55="to_candidate",AW55="proposed_name")),H55=""),"missing first_name; ","")&amp;IF(AND(NOT(OR(B55="to_candidate",AW55="proposed_name")),J55=""),"missing last_name; ","")&amp;IF(AND(NOT(OR(B55="to_candidate",AW55="proposed_name")),U55=""),"missing final_geo_unit_id; ","")&amp;IF(AW55="","missing final_destination; ","")&amp;IF(AND(NOT(OR(B55="to_candidate",AW55="proposed_name")),(COUNTIFS('أرقام التواصل'!$A$6:$A$505,"client",'أرقام التواصل'!$B$6:$B$505,A55,'أرقام التواصل'!$I$6:$I$505,"TRUE")+COUNTIFS('أرقام التواصل'!$A$6:$A$505,"client",'أرقام التواصل'!$B$6:$B$505,A55,'أرقام التواصل'!$C$6:$C$505,1))=0),"missing primary contact in أرقام التواصل; ","")&amp;IF(OR(B55="to_candidate",AW55="proposed_name"),IF(AX55="","missing proposed_move_reason; ","")&amp;IF(AY55="","missing proposed_name_key; ",""),"")))))</x:f>
      </x:c>
    </x:row>
    <x:row r="56">
      <x:c r="A56" s="219"/>
      <x:c r="B56" s="220"/>
      <x:c r="C56" s="221"/>
      <x:c r="D56" s="220"/>
      <x:c r="E56" s="222"/>
      <x:c r="F56" s="220"/>
      <x:c r="G56" s="220"/>
      <x:c r="H56" s="220"/>
      <x:c r="I56" s="220"/>
      <x:c r="J56" s="220"/>
      <x:c r="K56" s="220"/>
      <x:c r="L56" s="220" t="str">
        <x:f>IF(TRIM(H56&amp;" "&amp;I56&amp;" "&amp;J56&amp;IF(K56&lt;&gt;""," ("&amp;K56&amp;")",""))="","",TRIM(H56&amp;" "&amp;I56&amp;" "&amp;J56&amp;IF(K56&lt;&gt;""," ("&amp;K56&amp;")","")))</x:f>
      </x:c>
      <x:c r="M56" s="220"/>
      <x:c r="N56" s="220"/>
      <x:c r="O56" s="220"/>
      <x:c r="P56" s="220"/>
      <x:c r="Q56" s="220"/>
      <x:c r="R56" s="220"/>
      <x:c r="S56" s="220"/>
      <x:c r="T56" s="220"/>
      <x:c r="U56" s="220" t="str">
        <x:f>IF(AND(M56="",O56="",Q56="",S56=""),"",IF(S56&lt;&gt;"",S56,IF(Q56&lt;&gt;"",Q56,IF(O56&lt;&gt;"",O56,M56))))</x:f>
      </x:c>
      <x:c r="V56" s="220" t="str">
        <x:f>IF(AND(N56="",P56="",R56="",T56=""),"",IF(T56&lt;&gt;"",T56,IF(R56&lt;&gt;"",R56,IF(P56&lt;&gt;"",P56,N56))))</x:f>
      </x:c>
      <x:c r="W56" s="221"/>
      <x:c r="X56" s="220"/>
      <x:c r="Y56" s="220"/>
      <x:c r="Z56" s="223"/>
      <x:c r="AA56" s="223"/>
      <x:c r="AB56" s="221"/>
      <x:c r="AC56" s="220"/>
      <x:c r="AD56" s="220"/>
      <x:c r="AE56" s="222"/>
      <x:c r="AF56" s="220"/>
      <x:c r="AG56" s="221"/>
      <x:c r="AH56" s="220"/>
      <x:c r="AI56" s="220"/>
      <x:c r="AJ56" s="222"/>
      <x:c r="AK56" s="220"/>
      <x:c r="AL56" s="220"/>
      <x:c r="AM56" s="220"/>
      <x:c r="AN56" s="220"/>
      <x:c r="AO56" s="220"/>
      <x:c r="AP56" s="220"/>
      <x:c r="AQ56" s="220"/>
      <x:c r="AR56" s="222"/>
      <x:c r="AS56" s="220"/>
      <x:c r="AT56" s="220"/>
      <x:c r="AU56" s="220"/>
      <x:c r="AV56" s="220"/>
      <x:c r="AW56" s="220"/>
      <x:c r="AX56" s="220"/>
      <x:c r="AY56" s="221"/>
      <x:c r="AZ56" s="220"/>
      <x:c r="BA56" s="220" t="str">
        <x:f>IF(AND(A56="",B56="",F56="",H56="",J56="",AW56="",AY56=""),"",IF(OR(B56="skip",AW56="skip"),"SKIP",IF(OR(B56="to_candidate",AW56="proposed_name"),IF(OR(A56="",AX56="",AY56="",COUNTIF($A$6:$A$505,A56)&gt;1),"REVIEW","TO_PROPOSED"),IF(OR(B56="",A56="",F56="",H56="",J56="",U56="",AW56="",COUNTIF($A$6:$A$505,A56)&gt;1,(COUNTIFS('أرقام التواصل'!$A$6:$A$505,"client",'أرقام التواصل'!$B$6:$B$505,A56,'أرقام التواصل'!$I$6:$I$505,"TRUE")+COUNTIFS('أرقام التواصل'!$A$6:$A$505,"client",'أرقام التواصل'!$B$6:$B$505,A56,'أرقام التواصل'!$C$6:$C$505,1))=0),"REVIEW","READY"))))</x:f>
      </x:c>
      <x:c r="BB56" s="224" t="str">
        <x:f>IF(BA56="","",IF(OR(BA56="READY",BA56="TO_PROPOSED"),"",IF(BA56="SKIP","Skipped by decision",TRIM(IF(B56="","missing import_action; ","")&amp;IF(A56="","missing migration_customer_key; ","")&amp;IF(AND(A56&lt;&gt;"",COUNTIF($A$6:$A$505,A56)&gt;1),"duplicate migration_customer_key; ","")&amp;IF(AND(NOT(OR(B56="to_candidate",AW56="proposed_name")),F56=""),"missing branch_id; ","")&amp;IF(AND(NOT(OR(B56="to_candidate",AW56="proposed_name")),H56=""),"missing first_name; ","")&amp;IF(AND(NOT(OR(B56="to_candidate",AW56="proposed_name")),J56=""),"missing last_name; ","")&amp;IF(AND(NOT(OR(B56="to_candidate",AW56="proposed_name")),U56=""),"missing final_geo_unit_id; ","")&amp;IF(AW56="","missing final_destination; ","")&amp;IF(AND(NOT(OR(B56="to_candidate",AW56="proposed_name")),(COUNTIFS('أرقام التواصل'!$A$6:$A$505,"client",'أرقام التواصل'!$B$6:$B$505,A56,'أرقام التواصل'!$I$6:$I$505,"TRUE")+COUNTIFS('أرقام التواصل'!$A$6:$A$505,"client",'أرقام التواصل'!$B$6:$B$505,A56,'أرقام التواصل'!$C$6:$C$505,1))=0),"missing primary contact in أرقام التواصل; ","")&amp;IF(OR(B56="to_candidate",AW56="proposed_name"),IF(AX56="","missing proposed_move_reason; ","")&amp;IF(AY56="","missing proposed_name_key; ",""),"")))))</x:f>
      </x:c>
    </x:row>
    <x:row r="57">
      <x:c r="A57" s="219"/>
      <x:c r="B57" s="220"/>
      <x:c r="C57" s="221"/>
      <x:c r="D57" s="220"/>
      <x:c r="E57" s="222"/>
      <x:c r="F57" s="220"/>
      <x:c r="G57" s="220"/>
      <x:c r="H57" s="220"/>
      <x:c r="I57" s="220"/>
      <x:c r="J57" s="220"/>
      <x:c r="K57" s="220"/>
      <x:c r="L57" s="220" t="str">
        <x:f>IF(TRIM(H57&amp;" "&amp;I57&amp;" "&amp;J57&amp;IF(K57&lt;&gt;""," ("&amp;K57&amp;")",""))="","",TRIM(H57&amp;" "&amp;I57&amp;" "&amp;J57&amp;IF(K57&lt;&gt;""," ("&amp;K57&amp;")","")))</x:f>
      </x:c>
      <x:c r="M57" s="220"/>
      <x:c r="N57" s="220"/>
      <x:c r="O57" s="220"/>
      <x:c r="P57" s="220"/>
      <x:c r="Q57" s="220"/>
      <x:c r="R57" s="220"/>
      <x:c r="S57" s="220"/>
      <x:c r="T57" s="220"/>
      <x:c r="U57" s="220" t="str">
        <x:f>IF(AND(M57="",O57="",Q57="",S57=""),"",IF(S57&lt;&gt;"",S57,IF(Q57&lt;&gt;"",Q57,IF(O57&lt;&gt;"",O57,M57))))</x:f>
      </x:c>
      <x:c r="V57" s="220" t="str">
        <x:f>IF(AND(N57="",P57="",R57="",T57=""),"",IF(T57&lt;&gt;"",T57,IF(R57&lt;&gt;"",R57,IF(P57&lt;&gt;"",P57,N57))))</x:f>
      </x:c>
      <x:c r="W57" s="221"/>
      <x:c r="X57" s="220"/>
      <x:c r="Y57" s="220"/>
      <x:c r="Z57" s="223"/>
      <x:c r="AA57" s="223"/>
      <x:c r="AB57" s="221"/>
      <x:c r="AC57" s="220"/>
      <x:c r="AD57" s="220"/>
      <x:c r="AE57" s="222"/>
      <x:c r="AF57" s="220"/>
      <x:c r="AG57" s="221"/>
      <x:c r="AH57" s="220"/>
      <x:c r="AI57" s="220"/>
      <x:c r="AJ57" s="222"/>
      <x:c r="AK57" s="220"/>
      <x:c r="AL57" s="220"/>
      <x:c r="AM57" s="220"/>
      <x:c r="AN57" s="220"/>
      <x:c r="AO57" s="220"/>
      <x:c r="AP57" s="220"/>
      <x:c r="AQ57" s="220"/>
      <x:c r="AR57" s="222"/>
      <x:c r="AS57" s="220"/>
      <x:c r="AT57" s="220"/>
      <x:c r="AU57" s="220"/>
      <x:c r="AV57" s="220"/>
      <x:c r="AW57" s="220"/>
      <x:c r="AX57" s="220"/>
      <x:c r="AY57" s="221"/>
      <x:c r="AZ57" s="220"/>
      <x:c r="BA57" s="220" t="str">
        <x:f>IF(AND(A57="",B57="",F57="",H57="",J57="",AW57="",AY57=""),"",IF(OR(B57="skip",AW57="skip"),"SKIP",IF(OR(B57="to_candidate",AW57="proposed_name"),IF(OR(A57="",AX57="",AY57="",COUNTIF($A$6:$A$505,A57)&gt;1),"REVIEW","TO_PROPOSED"),IF(OR(B57="",A57="",F57="",H57="",J57="",U57="",AW57="",COUNTIF($A$6:$A$505,A57)&gt;1,(COUNTIFS('أرقام التواصل'!$A$6:$A$505,"client",'أرقام التواصل'!$B$6:$B$505,A57,'أرقام التواصل'!$I$6:$I$505,"TRUE")+COUNTIFS('أرقام التواصل'!$A$6:$A$505,"client",'أرقام التواصل'!$B$6:$B$505,A57,'أرقام التواصل'!$C$6:$C$505,1))=0),"REVIEW","READY"))))</x:f>
      </x:c>
      <x:c r="BB57" s="224" t="str">
        <x:f>IF(BA57="","",IF(OR(BA57="READY",BA57="TO_PROPOSED"),"",IF(BA57="SKIP","Skipped by decision",TRIM(IF(B57="","missing import_action; ","")&amp;IF(A57="","missing migration_customer_key; ","")&amp;IF(AND(A57&lt;&gt;"",COUNTIF($A$6:$A$505,A57)&gt;1),"duplicate migration_customer_key; ","")&amp;IF(AND(NOT(OR(B57="to_candidate",AW57="proposed_name")),F57=""),"missing branch_id; ","")&amp;IF(AND(NOT(OR(B57="to_candidate",AW57="proposed_name")),H57=""),"missing first_name; ","")&amp;IF(AND(NOT(OR(B57="to_candidate",AW57="proposed_name")),J57=""),"missing last_name; ","")&amp;IF(AND(NOT(OR(B57="to_candidate",AW57="proposed_name")),U57=""),"missing final_geo_unit_id; ","")&amp;IF(AW57="","missing final_destination; ","")&amp;IF(AND(NOT(OR(B57="to_candidate",AW57="proposed_name")),(COUNTIFS('أرقام التواصل'!$A$6:$A$505,"client",'أرقام التواصل'!$B$6:$B$505,A57,'أرقام التواصل'!$I$6:$I$505,"TRUE")+COUNTIFS('أرقام التواصل'!$A$6:$A$505,"client",'أرقام التواصل'!$B$6:$B$505,A57,'أرقام التواصل'!$C$6:$C$505,1))=0),"missing primary contact in أرقام التواصل; ","")&amp;IF(OR(B57="to_candidate",AW57="proposed_name"),IF(AX57="","missing proposed_move_reason; ","")&amp;IF(AY57="","missing proposed_name_key; ",""),"")))))</x:f>
      </x:c>
    </x:row>
    <x:row r="58">
      <x:c r="A58" s="219"/>
      <x:c r="B58" s="220"/>
      <x:c r="C58" s="221"/>
      <x:c r="D58" s="220"/>
      <x:c r="E58" s="222"/>
      <x:c r="F58" s="220"/>
      <x:c r="G58" s="220"/>
      <x:c r="H58" s="220"/>
      <x:c r="I58" s="220"/>
      <x:c r="J58" s="220"/>
      <x:c r="K58" s="220"/>
      <x:c r="L58" s="220" t="str">
        <x:f>IF(TRIM(H58&amp;" "&amp;I58&amp;" "&amp;J58&amp;IF(K58&lt;&gt;""," ("&amp;K58&amp;")",""))="","",TRIM(H58&amp;" "&amp;I58&amp;" "&amp;J58&amp;IF(K58&lt;&gt;""," ("&amp;K58&amp;")","")))</x:f>
      </x:c>
      <x:c r="M58" s="220"/>
      <x:c r="N58" s="220"/>
      <x:c r="O58" s="220"/>
      <x:c r="P58" s="220"/>
      <x:c r="Q58" s="220"/>
      <x:c r="R58" s="220"/>
      <x:c r="S58" s="220"/>
      <x:c r="T58" s="220"/>
      <x:c r="U58" s="220" t="str">
        <x:f>IF(AND(M58="",O58="",Q58="",S58=""),"",IF(S58&lt;&gt;"",S58,IF(Q58&lt;&gt;"",Q58,IF(O58&lt;&gt;"",O58,M58))))</x:f>
      </x:c>
      <x:c r="V58" s="220" t="str">
        <x:f>IF(AND(N58="",P58="",R58="",T58=""),"",IF(T58&lt;&gt;"",T58,IF(R58&lt;&gt;"",R58,IF(P58&lt;&gt;"",P58,N58))))</x:f>
      </x:c>
      <x:c r="W58" s="221"/>
      <x:c r="X58" s="220"/>
      <x:c r="Y58" s="220"/>
      <x:c r="Z58" s="223"/>
      <x:c r="AA58" s="223"/>
      <x:c r="AB58" s="221"/>
      <x:c r="AC58" s="220"/>
      <x:c r="AD58" s="220"/>
      <x:c r="AE58" s="222"/>
      <x:c r="AF58" s="220"/>
      <x:c r="AG58" s="221"/>
      <x:c r="AH58" s="220"/>
      <x:c r="AI58" s="220"/>
      <x:c r="AJ58" s="222"/>
      <x:c r="AK58" s="220"/>
      <x:c r="AL58" s="220"/>
      <x:c r="AM58" s="220"/>
      <x:c r="AN58" s="220"/>
      <x:c r="AO58" s="220"/>
      <x:c r="AP58" s="220"/>
      <x:c r="AQ58" s="220"/>
      <x:c r="AR58" s="222"/>
      <x:c r="AS58" s="220"/>
      <x:c r="AT58" s="220"/>
      <x:c r="AU58" s="220"/>
      <x:c r="AV58" s="220"/>
      <x:c r="AW58" s="220"/>
      <x:c r="AX58" s="220"/>
      <x:c r="AY58" s="221"/>
      <x:c r="AZ58" s="220"/>
      <x:c r="BA58" s="220" t="str">
        <x:f>IF(AND(A58="",B58="",F58="",H58="",J58="",AW58="",AY58=""),"",IF(OR(B58="skip",AW58="skip"),"SKIP",IF(OR(B58="to_candidate",AW58="proposed_name"),IF(OR(A58="",AX58="",AY58="",COUNTIF($A$6:$A$505,A58)&gt;1),"REVIEW","TO_PROPOSED"),IF(OR(B58="",A58="",F58="",H58="",J58="",U58="",AW58="",COUNTIF($A$6:$A$505,A58)&gt;1,(COUNTIFS('أرقام التواصل'!$A$6:$A$505,"client",'أرقام التواصل'!$B$6:$B$505,A58,'أرقام التواصل'!$I$6:$I$505,"TRUE")+COUNTIFS('أرقام التواصل'!$A$6:$A$505,"client",'أرقام التواصل'!$B$6:$B$505,A58,'أرقام التواصل'!$C$6:$C$505,1))=0),"REVIEW","READY"))))</x:f>
      </x:c>
      <x:c r="BB58" s="224" t="str">
        <x:f>IF(BA58="","",IF(OR(BA58="READY",BA58="TO_PROPOSED"),"",IF(BA58="SKIP","Skipped by decision",TRIM(IF(B58="","missing import_action; ","")&amp;IF(A58="","missing migration_customer_key; ","")&amp;IF(AND(A58&lt;&gt;"",COUNTIF($A$6:$A$505,A58)&gt;1),"duplicate migration_customer_key; ","")&amp;IF(AND(NOT(OR(B58="to_candidate",AW58="proposed_name")),F58=""),"missing branch_id; ","")&amp;IF(AND(NOT(OR(B58="to_candidate",AW58="proposed_name")),H58=""),"missing first_name; ","")&amp;IF(AND(NOT(OR(B58="to_candidate",AW58="proposed_name")),J58=""),"missing last_name; ","")&amp;IF(AND(NOT(OR(B58="to_candidate",AW58="proposed_name")),U58=""),"missing final_geo_unit_id; ","")&amp;IF(AW58="","missing final_destination; ","")&amp;IF(AND(NOT(OR(B58="to_candidate",AW58="proposed_name")),(COUNTIFS('أرقام التواصل'!$A$6:$A$505,"client",'أرقام التواصل'!$B$6:$B$505,A58,'أرقام التواصل'!$I$6:$I$505,"TRUE")+COUNTIFS('أرقام التواصل'!$A$6:$A$505,"client",'أرقام التواصل'!$B$6:$B$505,A58,'أرقام التواصل'!$C$6:$C$505,1))=0),"missing primary contact in أرقام التواصل; ","")&amp;IF(OR(B58="to_candidate",AW58="proposed_name"),IF(AX58="","missing proposed_move_reason; ","")&amp;IF(AY58="","missing proposed_name_key; ",""),"")))))</x:f>
      </x:c>
    </x:row>
    <x:row r="59">
      <x:c r="A59" s="219"/>
      <x:c r="B59" s="220"/>
      <x:c r="C59" s="221"/>
      <x:c r="D59" s="220"/>
      <x:c r="E59" s="222"/>
      <x:c r="F59" s="220"/>
      <x:c r="G59" s="220"/>
      <x:c r="H59" s="220"/>
      <x:c r="I59" s="220"/>
      <x:c r="J59" s="220"/>
      <x:c r="K59" s="220"/>
      <x:c r="L59" s="220" t="str">
        <x:f>IF(TRIM(H59&amp;" "&amp;I59&amp;" "&amp;J59&amp;IF(K59&lt;&gt;""," ("&amp;K59&amp;")",""))="","",TRIM(H59&amp;" "&amp;I59&amp;" "&amp;J59&amp;IF(K59&lt;&gt;""," ("&amp;K59&amp;")","")))</x:f>
      </x:c>
      <x:c r="M59" s="220"/>
      <x:c r="N59" s="220"/>
      <x:c r="O59" s="220"/>
      <x:c r="P59" s="220"/>
      <x:c r="Q59" s="220"/>
      <x:c r="R59" s="220"/>
      <x:c r="S59" s="220"/>
      <x:c r="T59" s="220"/>
      <x:c r="U59" s="220" t="str">
        <x:f>IF(AND(M59="",O59="",Q59="",S59=""),"",IF(S59&lt;&gt;"",S59,IF(Q59&lt;&gt;"",Q59,IF(O59&lt;&gt;"",O59,M59))))</x:f>
      </x:c>
      <x:c r="V59" s="220" t="str">
        <x:f>IF(AND(N59="",P59="",R59="",T59=""),"",IF(T59&lt;&gt;"",T59,IF(R59&lt;&gt;"",R59,IF(P59&lt;&gt;"",P59,N59))))</x:f>
      </x:c>
      <x:c r="W59" s="221"/>
      <x:c r="X59" s="220"/>
      <x:c r="Y59" s="220"/>
      <x:c r="Z59" s="223"/>
      <x:c r="AA59" s="223"/>
      <x:c r="AB59" s="221"/>
      <x:c r="AC59" s="220"/>
      <x:c r="AD59" s="220"/>
      <x:c r="AE59" s="222"/>
      <x:c r="AF59" s="220"/>
      <x:c r="AG59" s="221"/>
      <x:c r="AH59" s="220"/>
      <x:c r="AI59" s="220"/>
      <x:c r="AJ59" s="222"/>
      <x:c r="AK59" s="220"/>
      <x:c r="AL59" s="220"/>
      <x:c r="AM59" s="220"/>
      <x:c r="AN59" s="220"/>
      <x:c r="AO59" s="220"/>
      <x:c r="AP59" s="220"/>
      <x:c r="AQ59" s="220"/>
      <x:c r="AR59" s="222"/>
      <x:c r="AS59" s="220"/>
      <x:c r="AT59" s="220"/>
      <x:c r="AU59" s="220"/>
      <x:c r="AV59" s="220"/>
      <x:c r="AW59" s="220"/>
      <x:c r="AX59" s="220"/>
      <x:c r="AY59" s="221"/>
      <x:c r="AZ59" s="220"/>
      <x:c r="BA59" s="220" t="str">
        <x:f>IF(AND(A59="",B59="",F59="",H59="",J59="",AW59="",AY59=""),"",IF(OR(B59="skip",AW59="skip"),"SKIP",IF(OR(B59="to_candidate",AW59="proposed_name"),IF(OR(A59="",AX59="",AY59="",COUNTIF($A$6:$A$505,A59)&gt;1),"REVIEW","TO_PROPOSED"),IF(OR(B59="",A59="",F59="",H59="",J59="",U59="",AW59="",COUNTIF($A$6:$A$505,A59)&gt;1,(COUNTIFS('أرقام التواصل'!$A$6:$A$505,"client",'أرقام التواصل'!$B$6:$B$505,A59,'أرقام التواصل'!$I$6:$I$505,"TRUE")+COUNTIFS('أرقام التواصل'!$A$6:$A$505,"client",'أرقام التواصل'!$B$6:$B$505,A59,'أرقام التواصل'!$C$6:$C$505,1))=0),"REVIEW","READY"))))</x:f>
      </x:c>
      <x:c r="BB59" s="224" t="str">
        <x:f>IF(BA59="","",IF(OR(BA59="READY",BA59="TO_PROPOSED"),"",IF(BA59="SKIP","Skipped by decision",TRIM(IF(B59="","missing import_action; ","")&amp;IF(A59="","missing migration_customer_key; ","")&amp;IF(AND(A59&lt;&gt;"",COUNTIF($A$6:$A$505,A59)&gt;1),"duplicate migration_customer_key; ","")&amp;IF(AND(NOT(OR(B59="to_candidate",AW59="proposed_name")),F59=""),"missing branch_id; ","")&amp;IF(AND(NOT(OR(B59="to_candidate",AW59="proposed_name")),H59=""),"missing first_name; ","")&amp;IF(AND(NOT(OR(B59="to_candidate",AW59="proposed_name")),J59=""),"missing last_name; ","")&amp;IF(AND(NOT(OR(B59="to_candidate",AW59="proposed_name")),U59=""),"missing final_geo_unit_id; ","")&amp;IF(AW59="","missing final_destination; ","")&amp;IF(AND(NOT(OR(B59="to_candidate",AW59="proposed_name")),(COUNTIFS('أرقام التواصل'!$A$6:$A$505,"client",'أرقام التواصل'!$B$6:$B$505,A59,'أرقام التواصل'!$I$6:$I$505,"TRUE")+COUNTIFS('أرقام التواصل'!$A$6:$A$505,"client",'أرقام التواصل'!$B$6:$B$505,A59,'أرقام التواصل'!$C$6:$C$505,1))=0),"missing primary contact in أرقام التواصل; ","")&amp;IF(OR(B59="to_candidate",AW59="proposed_name"),IF(AX59="","missing proposed_move_reason; ","")&amp;IF(AY59="","missing proposed_name_key; ",""),"")))))</x:f>
      </x:c>
    </x:row>
    <x:row r="60">
      <x:c r="A60" s="219"/>
      <x:c r="B60" s="220"/>
      <x:c r="C60" s="221"/>
      <x:c r="D60" s="220"/>
      <x:c r="E60" s="222"/>
      <x:c r="F60" s="220"/>
      <x:c r="G60" s="220"/>
      <x:c r="H60" s="220"/>
      <x:c r="I60" s="220"/>
      <x:c r="J60" s="220"/>
      <x:c r="K60" s="220"/>
      <x:c r="L60" s="220" t="str">
        <x:f>IF(TRIM(H60&amp;" "&amp;I60&amp;" "&amp;J60&amp;IF(K60&lt;&gt;""," ("&amp;K60&amp;")",""))="","",TRIM(H60&amp;" "&amp;I60&amp;" "&amp;J60&amp;IF(K60&lt;&gt;""," ("&amp;K60&amp;")","")))</x:f>
      </x:c>
      <x:c r="M60" s="220"/>
      <x:c r="N60" s="220"/>
      <x:c r="O60" s="220"/>
      <x:c r="P60" s="220"/>
      <x:c r="Q60" s="220"/>
      <x:c r="R60" s="220"/>
      <x:c r="S60" s="220"/>
      <x:c r="T60" s="220"/>
      <x:c r="U60" s="220" t="str">
        <x:f>IF(AND(M60="",O60="",Q60="",S60=""),"",IF(S60&lt;&gt;"",S60,IF(Q60&lt;&gt;"",Q60,IF(O60&lt;&gt;"",O60,M60))))</x:f>
      </x:c>
      <x:c r="V60" s="220" t="str">
        <x:f>IF(AND(N60="",P60="",R60="",T60=""),"",IF(T60&lt;&gt;"",T60,IF(R60&lt;&gt;"",R60,IF(P60&lt;&gt;"",P60,N60))))</x:f>
      </x:c>
      <x:c r="W60" s="221"/>
      <x:c r="X60" s="220"/>
      <x:c r="Y60" s="220"/>
      <x:c r="Z60" s="223"/>
      <x:c r="AA60" s="223"/>
      <x:c r="AB60" s="221"/>
      <x:c r="AC60" s="220"/>
      <x:c r="AD60" s="220"/>
      <x:c r="AE60" s="222"/>
      <x:c r="AF60" s="220"/>
      <x:c r="AG60" s="221"/>
      <x:c r="AH60" s="220"/>
      <x:c r="AI60" s="220"/>
      <x:c r="AJ60" s="222"/>
      <x:c r="AK60" s="220"/>
      <x:c r="AL60" s="220"/>
      <x:c r="AM60" s="220"/>
      <x:c r="AN60" s="220"/>
      <x:c r="AO60" s="220"/>
      <x:c r="AP60" s="220"/>
      <x:c r="AQ60" s="220"/>
      <x:c r="AR60" s="222"/>
      <x:c r="AS60" s="220"/>
      <x:c r="AT60" s="220"/>
      <x:c r="AU60" s="220"/>
      <x:c r="AV60" s="220"/>
      <x:c r="AW60" s="220"/>
      <x:c r="AX60" s="220"/>
      <x:c r="AY60" s="221"/>
      <x:c r="AZ60" s="220"/>
      <x:c r="BA60" s="220" t="str">
        <x:f>IF(AND(A60="",B60="",F60="",H60="",J60="",AW60="",AY60=""),"",IF(OR(B60="skip",AW60="skip"),"SKIP",IF(OR(B60="to_candidate",AW60="proposed_name"),IF(OR(A60="",AX60="",AY60="",COUNTIF($A$6:$A$505,A60)&gt;1),"REVIEW","TO_PROPOSED"),IF(OR(B60="",A60="",F60="",H60="",J60="",U60="",AW60="",COUNTIF($A$6:$A$505,A60)&gt;1,(COUNTIFS('أرقام التواصل'!$A$6:$A$505,"client",'أرقام التواصل'!$B$6:$B$505,A60,'أرقام التواصل'!$I$6:$I$505,"TRUE")+COUNTIFS('أرقام التواصل'!$A$6:$A$505,"client",'أرقام التواصل'!$B$6:$B$505,A60,'أرقام التواصل'!$C$6:$C$505,1))=0),"REVIEW","READY"))))</x:f>
      </x:c>
      <x:c r="BB60" s="224" t="str">
        <x:f>IF(BA60="","",IF(OR(BA60="READY",BA60="TO_PROPOSED"),"",IF(BA60="SKIP","Skipped by decision",TRIM(IF(B60="","missing import_action; ","")&amp;IF(A60="","missing migration_customer_key; ","")&amp;IF(AND(A60&lt;&gt;"",COUNTIF($A$6:$A$505,A60)&gt;1),"duplicate migration_customer_key; ","")&amp;IF(AND(NOT(OR(B60="to_candidate",AW60="proposed_name")),F60=""),"missing branch_id; ","")&amp;IF(AND(NOT(OR(B60="to_candidate",AW60="proposed_name")),H60=""),"missing first_name; ","")&amp;IF(AND(NOT(OR(B60="to_candidate",AW60="proposed_name")),J60=""),"missing last_name; ","")&amp;IF(AND(NOT(OR(B60="to_candidate",AW60="proposed_name")),U60=""),"missing final_geo_unit_id; ","")&amp;IF(AW60="","missing final_destination; ","")&amp;IF(AND(NOT(OR(B60="to_candidate",AW60="proposed_name")),(COUNTIFS('أرقام التواصل'!$A$6:$A$505,"client",'أرقام التواصل'!$B$6:$B$505,A60,'أرقام التواصل'!$I$6:$I$505,"TRUE")+COUNTIFS('أرقام التواصل'!$A$6:$A$505,"client",'أرقام التواصل'!$B$6:$B$505,A60,'أرقام التواصل'!$C$6:$C$505,1))=0),"missing primary contact in أرقام التواصل; ","")&amp;IF(OR(B60="to_candidate",AW60="proposed_name"),IF(AX60="","missing proposed_move_reason; ","")&amp;IF(AY60="","missing proposed_name_key; ",""),"")))))</x:f>
      </x:c>
    </x:row>
    <x:row r="61">
      <x:c r="A61" s="219"/>
      <x:c r="B61" s="220"/>
      <x:c r="C61" s="221"/>
      <x:c r="D61" s="220"/>
      <x:c r="E61" s="222"/>
      <x:c r="F61" s="220"/>
      <x:c r="G61" s="220"/>
      <x:c r="H61" s="220"/>
      <x:c r="I61" s="220"/>
      <x:c r="J61" s="220"/>
      <x:c r="K61" s="220"/>
      <x:c r="L61" s="220" t="str">
        <x:f>IF(TRIM(H61&amp;" "&amp;I61&amp;" "&amp;J61&amp;IF(K61&lt;&gt;""," ("&amp;K61&amp;")",""))="","",TRIM(H61&amp;" "&amp;I61&amp;" "&amp;J61&amp;IF(K61&lt;&gt;""," ("&amp;K61&amp;")","")))</x:f>
      </x:c>
      <x:c r="M61" s="220"/>
      <x:c r="N61" s="220"/>
      <x:c r="O61" s="220"/>
      <x:c r="P61" s="220"/>
      <x:c r="Q61" s="220"/>
      <x:c r="R61" s="220"/>
      <x:c r="S61" s="220"/>
      <x:c r="T61" s="220"/>
      <x:c r="U61" s="220" t="str">
        <x:f>IF(AND(M61="",O61="",Q61="",S61=""),"",IF(S61&lt;&gt;"",S61,IF(Q61&lt;&gt;"",Q61,IF(O61&lt;&gt;"",O61,M61))))</x:f>
      </x:c>
      <x:c r="V61" s="220" t="str">
        <x:f>IF(AND(N61="",P61="",R61="",T61=""),"",IF(T61&lt;&gt;"",T61,IF(R61&lt;&gt;"",R61,IF(P61&lt;&gt;"",P61,N61))))</x:f>
      </x:c>
      <x:c r="W61" s="221"/>
      <x:c r="X61" s="220"/>
      <x:c r="Y61" s="220"/>
      <x:c r="Z61" s="223"/>
      <x:c r="AA61" s="223"/>
      <x:c r="AB61" s="221"/>
      <x:c r="AC61" s="220"/>
      <x:c r="AD61" s="220"/>
      <x:c r="AE61" s="222"/>
      <x:c r="AF61" s="220"/>
      <x:c r="AG61" s="221"/>
      <x:c r="AH61" s="220"/>
      <x:c r="AI61" s="220"/>
      <x:c r="AJ61" s="222"/>
      <x:c r="AK61" s="220"/>
      <x:c r="AL61" s="220"/>
      <x:c r="AM61" s="220"/>
      <x:c r="AN61" s="220"/>
      <x:c r="AO61" s="220"/>
      <x:c r="AP61" s="220"/>
      <x:c r="AQ61" s="220"/>
      <x:c r="AR61" s="222"/>
      <x:c r="AS61" s="220"/>
      <x:c r="AT61" s="220"/>
      <x:c r="AU61" s="220"/>
      <x:c r="AV61" s="220"/>
      <x:c r="AW61" s="220"/>
      <x:c r="AX61" s="220"/>
      <x:c r="AY61" s="221"/>
      <x:c r="AZ61" s="220"/>
      <x:c r="BA61" s="220" t="str">
        <x:f>IF(AND(A61="",B61="",F61="",H61="",J61="",AW61="",AY61=""),"",IF(OR(B61="skip",AW61="skip"),"SKIP",IF(OR(B61="to_candidate",AW61="proposed_name"),IF(OR(A61="",AX61="",AY61="",COUNTIF($A$6:$A$505,A61)&gt;1),"REVIEW","TO_PROPOSED"),IF(OR(B61="",A61="",F61="",H61="",J61="",U61="",AW61="",COUNTIF($A$6:$A$505,A61)&gt;1,(COUNTIFS('أرقام التواصل'!$A$6:$A$505,"client",'أرقام التواصل'!$B$6:$B$505,A61,'أرقام التواصل'!$I$6:$I$505,"TRUE")+COUNTIFS('أرقام التواصل'!$A$6:$A$505,"client",'أرقام التواصل'!$B$6:$B$505,A61,'أرقام التواصل'!$C$6:$C$505,1))=0),"REVIEW","READY"))))</x:f>
      </x:c>
      <x:c r="BB61" s="224" t="str">
        <x:f>IF(BA61="","",IF(OR(BA61="READY",BA61="TO_PROPOSED"),"",IF(BA61="SKIP","Skipped by decision",TRIM(IF(B61="","missing import_action; ","")&amp;IF(A61="","missing migration_customer_key; ","")&amp;IF(AND(A61&lt;&gt;"",COUNTIF($A$6:$A$505,A61)&gt;1),"duplicate migration_customer_key; ","")&amp;IF(AND(NOT(OR(B61="to_candidate",AW61="proposed_name")),F61=""),"missing branch_id; ","")&amp;IF(AND(NOT(OR(B61="to_candidate",AW61="proposed_name")),H61=""),"missing first_name; ","")&amp;IF(AND(NOT(OR(B61="to_candidate",AW61="proposed_name")),J61=""),"missing last_name; ","")&amp;IF(AND(NOT(OR(B61="to_candidate",AW61="proposed_name")),U61=""),"missing final_geo_unit_id; ","")&amp;IF(AW61="","missing final_destination; ","")&amp;IF(AND(NOT(OR(B61="to_candidate",AW61="proposed_name")),(COUNTIFS('أرقام التواصل'!$A$6:$A$505,"client",'أرقام التواصل'!$B$6:$B$505,A61,'أرقام التواصل'!$I$6:$I$505,"TRUE")+COUNTIFS('أرقام التواصل'!$A$6:$A$505,"client",'أرقام التواصل'!$B$6:$B$505,A61,'أرقام التواصل'!$C$6:$C$505,1))=0),"missing primary contact in أرقام التواصل; ","")&amp;IF(OR(B61="to_candidate",AW61="proposed_name"),IF(AX61="","missing proposed_move_reason; ","")&amp;IF(AY61="","missing proposed_name_key; ",""),"")))))</x:f>
      </x:c>
    </x:row>
    <x:row r="62">
      <x:c r="A62" s="219"/>
      <x:c r="B62" s="220"/>
      <x:c r="C62" s="221"/>
      <x:c r="D62" s="220"/>
      <x:c r="E62" s="222"/>
      <x:c r="F62" s="220"/>
      <x:c r="G62" s="220"/>
      <x:c r="H62" s="220"/>
      <x:c r="I62" s="220"/>
      <x:c r="J62" s="220"/>
      <x:c r="K62" s="220"/>
      <x:c r="L62" s="220" t="str">
        <x:f>IF(TRIM(H62&amp;" "&amp;I62&amp;" "&amp;J62&amp;IF(K62&lt;&gt;""," ("&amp;K62&amp;")",""))="","",TRIM(H62&amp;" "&amp;I62&amp;" "&amp;J62&amp;IF(K62&lt;&gt;""," ("&amp;K62&amp;")","")))</x:f>
      </x:c>
      <x:c r="M62" s="220"/>
      <x:c r="N62" s="220"/>
      <x:c r="O62" s="220"/>
      <x:c r="P62" s="220"/>
      <x:c r="Q62" s="220"/>
      <x:c r="R62" s="220"/>
      <x:c r="S62" s="220"/>
      <x:c r="T62" s="220"/>
      <x:c r="U62" s="220" t="str">
        <x:f>IF(AND(M62="",O62="",Q62="",S62=""),"",IF(S62&lt;&gt;"",S62,IF(Q62&lt;&gt;"",Q62,IF(O62&lt;&gt;"",O62,M62))))</x:f>
      </x:c>
      <x:c r="V62" s="220" t="str">
        <x:f>IF(AND(N62="",P62="",R62="",T62=""),"",IF(T62&lt;&gt;"",T62,IF(R62&lt;&gt;"",R62,IF(P62&lt;&gt;"",P62,N62))))</x:f>
      </x:c>
      <x:c r="W62" s="221"/>
      <x:c r="X62" s="220"/>
      <x:c r="Y62" s="220"/>
      <x:c r="Z62" s="223"/>
      <x:c r="AA62" s="223"/>
      <x:c r="AB62" s="221"/>
      <x:c r="AC62" s="220"/>
      <x:c r="AD62" s="220"/>
      <x:c r="AE62" s="222"/>
      <x:c r="AF62" s="220"/>
      <x:c r="AG62" s="221"/>
      <x:c r="AH62" s="220"/>
      <x:c r="AI62" s="220"/>
      <x:c r="AJ62" s="222"/>
      <x:c r="AK62" s="220"/>
      <x:c r="AL62" s="220"/>
      <x:c r="AM62" s="220"/>
      <x:c r="AN62" s="220"/>
      <x:c r="AO62" s="220"/>
      <x:c r="AP62" s="220"/>
      <x:c r="AQ62" s="220"/>
      <x:c r="AR62" s="222"/>
      <x:c r="AS62" s="220"/>
      <x:c r="AT62" s="220"/>
      <x:c r="AU62" s="220"/>
      <x:c r="AV62" s="220"/>
      <x:c r="AW62" s="220"/>
      <x:c r="AX62" s="220"/>
      <x:c r="AY62" s="221"/>
      <x:c r="AZ62" s="220"/>
      <x:c r="BA62" s="220" t="str">
        <x:f>IF(AND(A62="",B62="",F62="",H62="",J62="",AW62="",AY62=""),"",IF(OR(B62="skip",AW62="skip"),"SKIP",IF(OR(B62="to_candidate",AW62="proposed_name"),IF(OR(A62="",AX62="",AY62="",COUNTIF($A$6:$A$505,A62)&gt;1),"REVIEW","TO_PROPOSED"),IF(OR(B62="",A62="",F62="",H62="",J62="",U62="",AW62="",COUNTIF($A$6:$A$505,A62)&gt;1,(COUNTIFS('أرقام التواصل'!$A$6:$A$505,"client",'أرقام التواصل'!$B$6:$B$505,A62,'أرقام التواصل'!$I$6:$I$505,"TRUE")+COUNTIFS('أرقام التواصل'!$A$6:$A$505,"client",'أرقام التواصل'!$B$6:$B$505,A62,'أرقام التواصل'!$C$6:$C$505,1))=0),"REVIEW","READY"))))</x:f>
      </x:c>
      <x:c r="BB62" s="224" t="str">
        <x:f>IF(BA62="","",IF(OR(BA62="READY",BA62="TO_PROPOSED"),"",IF(BA62="SKIP","Skipped by decision",TRIM(IF(B62="","missing import_action; ","")&amp;IF(A62="","missing migration_customer_key; ","")&amp;IF(AND(A62&lt;&gt;"",COUNTIF($A$6:$A$505,A62)&gt;1),"duplicate migration_customer_key; ","")&amp;IF(AND(NOT(OR(B62="to_candidate",AW62="proposed_name")),F62=""),"missing branch_id; ","")&amp;IF(AND(NOT(OR(B62="to_candidate",AW62="proposed_name")),H62=""),"missing first_name; ","")&amp;IF(AND(NOT(OR(B62="to_candidate",AW62="proposed_name")),J62=""),"missing last_name; ","")&amp;IF(AND(NOT(OR(B62="to_candidate",AW62="proposed_name")),U62=""),"missing final_geo_unit_id; ","")&amp;IF(AW62="","missing final_destination; ","")&amp;IF(AND(NOT(OR(B62="to_candidate",AW62="proposed_name")),(COUNTIFS('أرقام التواصل'!$A$6:$A$505,"client",'أرقام التواصل'!$B$6:$B$505,A62,'أرقام التواصل'!$I$6:$I$505,"TRUE")+COUNTIFS('أرقام التواصل'!$A$6:$A$505,"client",'أرقام التواصل'!$B$6:$B$505,A62,'أرقام التواصل'!$C$6:$C$505,1))=0),"missing primary contact in أرقام التواصل; ","")&amp;IF(OR(B62="to_candidate",AW62="proposed_name"),IF(AX62="","missing proposed_move_reason; ","")&amp;IF(AY62="","missing proposed_name_key; ",""),"")))))</x:f>
      </x:c>
    </x:row>
    <x:row r="63">
      <x:c r="A63" s="219"/>
      <x:c r="B63" s="220"/>
      <x:c r="C63" s="221"/>
      <x:c r="D63" s="220"/>
      <x:c r="E63" s="222"/>
      <x:c r="F63" s="220"/>
      <x:c r="G63" s="220"/>
      <x:c r="H63" s="220"/>
      <x:c r="I63" s="220"/>
      <x:c r="J63" s="220"/>
      <x:c r="K63" s="220"/>
      <x:c r="L63" s="220" t="str">
        <x:f>IF(TRIM(H63&amp;" "&amp;I63&amp;" "&amp;J63&amp;IF(K63&lt;&gt;""," ("&amp;K63&amp;")",""))="","",TRIM(H63&amp;" "&amp;I63&amp;" "&amp;J63&amp;IF(K63&lt;&gt;""," ("&amp;K63&amp;")","")))</x:f>
      </x:c>
      <x:c r="M63" s="220"/>
      <x:c r="N63" s="220"/>
      <x:c r="O63" s="220"/>
      <x:c r="P63" s="220"/>
      <x:c r="Q63" s="220"/>
      <x:c r="R63" s="220"/>
      <x:c r="S63" s="220"/>
      <x:c r="T63" s="220"/>
      <x:c r="U63" s="220" t="str">
        <x:f>IF(AND(M63="",O63="",Q63="",S63=""),"",IF(S63&lt;&gt;"",S63,IF(Q63&lt;&gt;"",Q63,IF(O63&lt;&gt;"",O63,M63))))</x:f>
      </x:c>
      <x:c r="V63" s="220" t="str">
        <x:f>IF(AND(N63="",P63="",R63="",T63=""),"",IF(T63&lt;&gt;"",T63,IF(R63&lt;&gt;"",R63,IF(P63&lt;&gt;"",P63,N63))))</x:f>
      </x:c>
      <x:c r="W63" s="221"/>
      <x:c r="X63" s="220"/>
      <x:c r="Y63" s="220"/>
      <x:c r="Z63" s="223"/>
      <x:c r="AA63" s="223"/>
      <x:c r="AB63" s="221"/>
      <x:c r="AC63" s="220"/>
      <x:c r="AD63" s="220"/>
      <x:c r="AE63" s="222"/>
      <x:c r="AF63" s="220"/>
      <x:c r="AG63" s="221"/>
      <x:c r="AH63" s="220"/>
      <x:c r="AI63" s="220"/>
      <x:c r="AJ63" s="222"/>
      <x:c r="AK63" s="220"/>
      <x:c r="AL63" s="220"/>
      <x:c r="AM63" s="220"/>
      <x:c r="AN63" s="220"/>
      <x:c r="AO63" s="220"/>
      <x:c r="AP63" s="220"/>
      <x:c r="AQ63" s="220"/>
      <x:c r="AR63" s="222"/>
      <x:c r="AS63" s="220"/>
      <x:c r="AT63" s="220"/>
      <x:c r="AU63" s="220"/>
      <x:c r="AV63" s="220"/>
      <x:c r="AW63" s="220"/>
      <x:c r="AX63" s="220"/>
      <x:c r="AY63" s="221"/>
      <x:c r="AZ63" s="220"/>
      <x:c r="BA63" s="220" t="str">
        <x:f>IF(AND(A63="",B63="",F63="",H63="",J63="",AW63="",AY63=""),"",IF(OR(B63="skip",AW63="skip"),"SKIP",IF(OR(B63="to_candidate",AW63="proposed_name"),IF(OR(A63="",AX63="",AY63="",COUNTIF($A$6:$A$505,A63)&gt;1),"REVIEW","TO_PROPOSED"),IF(OR(B63="",A63="",F63="",H63="",J63="",U63="",AW63="",COUNTIF($A$6:$A$505,A63)&gt;1,(COUNTIFS('أرقام التواصل'!$A$6:$A$505,"client",'أرقام التواصل'!$B$6:$B$505,A63,'أرقام التواصل'!$I$6:$I$505,"TRUE")+COUNTIFS('أرقام التواصل'!$A$6:$A$505,"client",'أرقام التواصل'!$B$6:$B$505,A63,'أرقام التواصل'!$C$6:$C$505,1))=0),"REVIEW","READY"))))</x:f>
      </x:c>
      <x:c r="BB63" s="224" t="str">
        <x:f>IF(BA63="","",IF(OR(BA63="READY",BA63="TO_PROPOSED"),"",IF(BA63="SKIP","Skipped by decision",TRIM(IF(B63="","missing import_action; ","")&amp;IF(A63="","missing migration_customer_key; ","")&amp;IF(AND(A63&lt;&gt;"",COUNTIF($A$6:$A$505,A63)&gt;1),"duplicate migration_customer_key; ","")&amp;IF(AND(NOT(OR(B63="to_candidate",AW63="proposed_name")),F63=""),"missing branch_id; ","")&amp;IF(AND(NOT(OR(B63="to_candidate",AW63="proposed_name")),H63=""),"missing first_name; ","")&amp;IF(AND(NOT(OR(B63="to_candidate",AW63="proposed_name")),J63=""),"missing last_name; ","")&amp;IF(AND(NOT(OR(B63="to_candidate",AW63="proposed_name")),U63=""),"missing final_geo_unit_id; ","")&amp;IF(AW63="","missing final_destination; ","")&amp;IF(AND(NOT(OR(B63="to_candidate",AW63="proposed_name")),(COUNTIFS('أرقام التواصل'!$A$6:$A$505,"client",'أرقام التواصل'!$B$6:$B$505,A63,'أرقام التواصل'!$I$6:$I$505,"TRUE")+COUNTIFS('أرقام التواصل'!$A$6:$A$505,"client",'أرقام التواصل'!$B$6:$B$505,A63,'أرقام التواصل'!$C$6:$C$505,1))=0),"missing primary contact in أرقام التواصل; ","")&amp;IF(OR(B63="to_candidate",AW63="proposed_name"),IF(AX63="","missing proposed_move_reason; ","")&amp;IF(AY63="","missing proposed_name_key; ",""),"")))))</x:f>
      </x:c>
    </x:row>
    <x:row r="64">
      <x:c r="A64" s="219"/>
      <x:c r="B64" s="220"/>
      <x:c r="C64" s="221"/>
      <x:c r="D64" s="220"/>
      <x:c r="E64" s="222"/>
      <x:c r="F64" s="220"/>
      <x:c r="G64" s="220"/>
      <x:c r="H64" s="220"/>
      <x:c r="I64" s="220"/>
      <x:c r="J64" s="220"/>
      <x:c r="K64" s="220"/>
      <x:c r="L64" s="220" t="str">
        <x:f>IF(TRIM(H64&amp;" "&amp;I64&amp;" "&amp;J64&amp;IF(K64&lt;&gt;""," ("&amp;K64&amp;")",""))="","",TRIM(H64&amp;" "&amp;I64&amp;" "&amp;J64&amp;IF(K64&lt;&gt;""," ("&amp;K64&amp;")","")))</x:f>
      </x:c>
      <x:c r="M64" s="220"/>
      <x:c r="N64" s="220"/>
      <x:c r="O64" s="220"/>
      <x:c r="P64" s="220"/>
      <x:c r="Q64" s="220"/>
      <x:c r="R64" s="220"/>
      <x:c r="S64" s="220"/>
      <x:c r="T64" s="220"/>
      <x:c r="U64" s="220" t="str">
        <x:f>IF(AND(M64="",O64="",Q64="",S64=""),"",IF(S64&lt;&gt;"",S64,IF(Q64&lt;&gt;"",Q64,IF(O64&lt;&gt;"",O64,M64))))</x:f>
      </x:c>
      <x:c r="V64" s="220" t="str">
        <x:f>IF(AND(N64="",P64="",R64="",T64=""),"",IF(T64&lt;&gt;"",T64,IF(R64&lt;&gt;"",R64,IF(P64&lt;&gt;"",P64,N64))))</x:f>
      </x:c>
      <x:c r="W64" s="221"/>
      <x:c r="X64" s="220"/>
      <x:c r="Y64" s="220"/>
      <x:c r="Z64" s="223"/>
      <x:c r="AA64" s="223"/>
      <x:c r="AB64" s="221"/>
      <x:c r="AC64" s="220"/>
      <x:c r="AD64" s="220"/>
      <x:c r="AE64" s="222"/>
      <x:c r="AF64" s="220"/>
      <x:c r="AG64" s="221"/>
      <x:c r="AH64" s="220"/>
      <x:c r="AI64" s="220"/>
      <x:c r="AJ64" s="222"/>
      <x:c r="AK64" s="220"/>
      <x:c r="AL64" s="220"/>
      <x:c r="AM64" s="220"/>
      <x:c r="AN64" s="220"/>
      <x:c r="AO64" s="220"/>
      <x:c r="AP64" s="220"/>
      <x:c r="AQ64" s="220"/>
      <x:c r="AR64" s="222"/>
      <x:c r="AS64" s="220"/>
      <x:c r="AT64" s="220"/>
      <x:c r="AU64" s="220"/>
      <x:c r="AV64" s="220"/>
      <x:c r="AW64" s="220"/>
      <x:c r="AX64" s="220"/>
      <x:c r="AY64" s="221"/>
      <x:c r="AZ64" s="220"/>
      <x:c r="BA64" s="220" t="str">
        <x:f>IF(AND(A64="",B64="",F64="",H64="",J64="",AW64="",AY64=""),"",IF(OR(B64="skip",AW64="skip"),"SKIP",IF(OR(B64="to_candidate",AW64="proposed_name"),IF(OR(A64="",AX64="",AY64="",COUNTIF($A$6:$A$505,A64)&gt;1),"REVIEW","TO_PROPOSED"),IF(OR(B64="",A64="",F64="",H64="",J64="",U64="",AW64="",COUNTIF($A$6:$A$505,A64)&gt;1,(COUNTIFS('أرقام التواصل'!$A$6:$A$505,"client",'أرقام التواصل'!$B$6:$B$505,A64,'أرقام التواصل'!$I$6:$I$505,"TRUE")+COUNTIFS('أرقام التواصل'!$A$6:$A$505,"client",'أرقام التواصل'!$B$6:$B$505,A64,'أرقام التواصل'!$C$6:$C$505,1))=0),"REVIEW","READY"))))</x:f>
      </x:c>
      <x:c r="BB64" s="224" t="str">
        <x:f>IF(BA64="","",IF(OR(BA64="READY",BA64="TO_PROPOSED"),"",IF(BA64="SKIP","Skipped by decision",TRIM(IF(B64="","missing import_action; ","")&amp;IF(A64="","missing migration_customer_key; ","")&amp;IF(AND(A64&lt;&gt;"",COUNTIF($A$6:$A$505,A64)&gt;1),"duplicate migration_customer_key; ","")&amp;IF(AND(NOT(OR(B64="to_candidate",AW64="proposed_name")),F64=""),"missing branch_id; ","")&amp;IF(AND(NOT(OR(B64="to_candidate",AW64="proposed_name")),H64=""),"missing first_name; ","")&amp;IF(AND(NOT(OR(B64="to_candidate",AW64="proposed_name")),J64=""),"missing last_name; ","")&amp;IF(AND(NOT(OR(B64="to_candidate",AW64="proposed_name")),U64=""),"missing final_geo_unit_id; ","")&amp;IF(AW64="","missing final_destination; ","")&amp;IF(AND(NOT(OR(B64="to_candidate",AW64="proposed_name")),(COUNTIFS('أرقام التواصل'!$A$6:$A$505,"client",'أرقام التواصل'!$B$6:$B$505,A64,'أرقام التواصل'!$I$6:$I$505,"TRUE")+COUNTIFS('أرقام التواصل'!$A$6:$A$505,"client",'أرقام التواصل'!$B$6:$B$505,A64,'أرقام التواصل'!$C$6:$C$505,1))=0),"missing primary contact in أرقام التواصل; ","")&amp;IF(OR(B64="to_candidate",AW64="proposed_name"),IF(AX64="","missing proposed_move_reason; ","")&amp;IF(AY64="","missing proposed_name_key; ",""),"")))))</x:f>
      </x:c>
    </x:row>
    <x:row r="65">
      <x:c r="A65" s="219"/>
      <x:c r="B65" s="220"/>
      <x:c r="C65" s="221"/>
      <x:c r="D65" s="220"/>
      <x:c r="E65" s="222"/>
      <x:c r="F65" s="220"/>
      <x:c r="G65" s="220"/>
      <x:c r="H65" s="220"/>
      <x:c r="I65" s="220"/>
      <x:c r="J65" s="220"/>
      <x:c r="K65" s="220"/>
      <x:c r="L65" s="220" t="str">
        <x:f>IF(TRIM(H65&amp;" "&amp;I65&amp;" "&amp;J65&amp;IF(K65&lt;&gt;""," ("&amp;K65&amp;")",""))="","",TRIM(H65&amp;" "&amp;I65&amp;" "&amp;J65&amp;IF(K65&lt;&gt;""," ("&amp;K65&amp;")","")))</x:f>
      </x:c>
      <x:c r="M65" s="220"/>
      <x:c r="N65" s="220"/>
      <x:c r="O65" s="220"/>
      <x:c r="P65" s="220"/>
      <x:c r="Q65" s="220"/>
      <x:c r="R65" s="220"/>
      <x:c r="S65" s="220"/>
      <x:c r="T65" s="220"/>
      <x:c r="U65" s="220" t="str">
        <x:f>IF(AND(M65="",O65="",Q65="",S65=""),"",IF(S65&lt;&gt;"",S65,IF(Q65&lt;&gt;"",Q65,IF(O65&lt;&gt;"",O65,M65))))</x:f>
      </x:c>
      <x:c r="V65" s="220" t="str">
        <x:f>IF(AND(N65="",P65="",R65="",T65=""),"",IF(T65&lt;&gt;"",T65,IF(R65&lt;&gt;"",R65,IF(P65&lt;&gt;"",P65,N65))))</x:f>
      </x:c>
      <x:c r="W65" s="221"/>
      <x:c r="X65" s="220"/>
      <x:c r="Y65" s="220"/>
      <x:c r="Z65" s="223"/>
      <x:c r="AA65" s="223"/>
      <x:c r="AB65" s="221"/>
      <x:c r="AC65" s="220"/>
      <x:c r="AD65" s="220"/>
      <x:c r="AE65" s="222"/>
      <x:c r="AF65" s="220"/>
      <x:c r="AG65" s="221"/>
      <x:c r="AH65" s="220"/>
      <x:c r="AI65" s="220"/>
      <x:c r="AJ65" s="222"/>
      <x:c r="AK65" s="220"/>
      <x:c r="AL65" s="220"/>
      <x:c r="AM65" s="220"/>
      <x:c r="AN65" s="220"/>
      <x:c r="AO65" s="220"/>
      <x:c r="AP65" s="220"/>
      <x:c r="AQ65" s="220"/>
      <x:c r="AR65" s="222"/>
      <x:c r="AS65" s="220"/>
      <x:c r="AT65" s="220"/>
      <x:c r="AU65" s="220"/>
      <x:c r="AV65" s="220"/>
      <x:c r="AW65" s="220"/>
      <x:c r="AX65" s="220"/>
      <x:c r="AY65" s="221"/>
      <x:c r="AZ65" s="220"/>
      <x:c r="BA65" s="220" t="str">
        <x:f>IF(AND(A65="",B65="",F65="",H65="",J65="",AW65="",AY65=""),"",IF(OR(B65="skip",AW65="skip"),"SKIP",IF(OR(B65="to_candidate",AW65="proposed_name"),IF(OR(A65="",AX65="",AY65="",COUNTIF($A$6:$A$505,A65)&gt;1),"REVIEW","TO_PROPOSED"),IF(OR(B65="",A65="",F65="",H65="",J65="",U65="",AW65="",COUNTIF($A$6:$A$505,A65)&gt;1,(COUNTIFS('أرقام التواصل'!$A$6:$A$505,"client",'أرقام التواصل'!$B$6:$B$505,A65,'أرقام التواصل'!$I$6:$I$505,"TRUE")+COUNTIFS('أرقام التواصل'!$A$6:$A$505,"client",'أرقام التواصل'!$B$6:$B$505,A65,'أرقام التواصل'!$C$6:$C$505,1))=0),"REVIEW","READY"))))</x:f>
      </x:c>
      <x:c r="BB65" s="224" t="str">
        <x:f>IF(BA65="","",IF(OR(BA65="READY",BA65="TO_PROPOSED"),"",IF(BA65="SKIP","Skipped by decision",TRIM(IF(B65="","missing import_action; ","")&amp;IF(A65="","missing migration_customer_key; ","")&amp;IF(AND(A65&lt;&gt;"",COUNTIF($A$6:$A$505,A65)&gt;1),"duplicate migration_customer_key; ","")&amp;IF(AND(NOT(OR(B65="to_candidate",AW65="proposed_name")),F65=""),"missing branch_id; ","")&amp;IF(AND(NOT(OR(B65="to_candidate",AW65="proposed_name")),H65=""),"missing first_name; ","")&amp;IF(AND(NOT(OR(B65="to_candidate",AW65="proposed_name")),J65=""),"missing last_name; ","")&amp;IF(AND(NOT(OR(B65="to_candidate",AW65="proposed_name")),U65=""),"missing final_geo_unit_id; ","")&amp;IF(AW65="","missing final_destination; ","")&amp;IF(AND(NOT(OR(B65="to_candidate",AW65="proposed_name")),(COUNTIFS('أرقام التواصل'!$A$6:$A$505,"client",'أرقام التواصل'!$B$6:$B$505,A65,'أرقام التواصل'!$I$6:$I$505,"TRUE")+COUNTIFS('أرقام التواصل'!$A$6:$A$505,"client",'أرقام التواصل'!$B$6:$B$505,A65,'أرقام التواصل'!$C$6:$C$505,1))=0),"missing primary contact in أرقام التواصل; ","")&amp;IF(OR(B65="to_candidate",AW65="proposed_name"),IF(AX65="","missing proposed_move_reason; ","")&amp;IF(AY65="","missing proposed_name_key; ",""),"")))))</x:f>
      </x:c>
    </x:row>
    <x:row r="66">
      <x:c r="A66" s="219"/>
      <x:c r="B66" s="220"/>
      <x:c r="C66" s="221"/>
      <x:c r="D66" s="220"/>
      <x:c r="E66" s="222"/>
      <x:c r="F66" s="220"/>
      <x:c r="G66" s="220"/>
      <x:c r="H66" s="220"/>
      <x:c r="I66" s="220"/>
      <x:c r="J66" s="220"/>
      <x:c r="K66" s="220"/>
      <x:c r="L66" s="220" t="str">
        <x:f>IF(TRIM(H66&amp;" "&amp;I66&amp;" "&amp;J66&amp;IF(K66&lt;&gt;""," ("&amp;K66&amp;")",""))="","",TRIM(H66&amp;" "&amp;I66&amp;" "&amp;J66&amp;IF(K66&lt;&gt;""," ("&amp;K66&amp;")","")))</x:f>
      </x:c>
      <x:c r="M66" s="220"/>
      <x:c r="N66" s="220"/>
      <x:c r="O66" s="220"/>
      <x:c r="P66" s="220"/>
      <x:c r="Q66" s="220"/>
      <x:c r="R66" s="220"/>
      <x:c r="S66" s="220"/>
      <x:c r="T66" s="220"/>
      <x:c r="U66" s="220" t="str">
        <x:f>IF(AND(M66="",O66="",Q66="",S66=""),"",IF(S66&lt;&gt;"",S66,IF(Q66&lt;&gt;"",Q66,IF(O66&lt;&gt;"",O66,M66))))</x:f>
      </x:c>
      <x:c r="V66" s="220" t="str">
        <x:f>IF(AND(N66="",P66="",R66="",T66=""),"",IF(T66&lt;&gt;"",T66,IF(R66&lt;&gt;"",R66,IF(P66&lt;&gt;"",P66,N66))))</x:f>
      </x:c>
      <x:c r="W66" s="221"/>
      <x:c r="X66" s="220"/>
      <x:c r="Y66" s="220"/>
      <x:c r="Z66" s="223"/>
      <x:c r="AA66" s="223"/>
      <x:c r="AB66" s="221"/>
      <x:c r="AC66" s="220"/>
      <x:c r="AD66" s="220"/>
      <x:c r="AE66" s="222"/>
      <x:c r="AF66" s="220"/>
      <x:c r="AG66" s="221"/>
      <x:c r="AH66" s="220"/>
      <x:c r="AI66" s="220"/>
      <x:c r="AJ66" s="222"/>
      <x:c r="AK66" s="220"/>
      <x:c r="AL66" s="220"/>
      <x:c r="AM66" s="220"/>
      <x:c r="AN66" s="220"/>
      <x:c r="AO66" s="220"/>
      <x:c r="AP66" s="220"/>
      <x:c r="AQ66" s="220"/>
      <x:c r="AR66" s="222"/>
      <x:c r="AS66" s="220"/>
      <x:c r="AT66" s="220"/>
      <x:c r="AU66" s="220"/>
      <x:c r="AV66" s="220"/>
      <x:c r="AW66" s="220"/>
      <x:c r="AX66" s="220"/>
      <x:c r="AY66" s="221"/>
      <x:c r="AZ66" s="220"/>
      <x:c r="BA66" s="220" t="str">
        <x:f>IF(AND(A66="",B66="",F66="",H66="",J66="",AW66="",AY66=""),"",IF(OR(B66="skip",AW66="skip"),"SKIP",IF(OR(B66="to_candidate",AW66="proposed_name"),IF(OR(A66="",AX66="",AY66="",COUNTIF($A$6:$A$505,A66)&gt;1),"REVIEW","TO_PROPOSED"),IF(OR(B66="",A66="",F66="",H66="",J66="",U66="",AW66="",COUNTIF($A$6:$A$505,A66)&gt;1,(COUNTIFS('أرقام التواصل'!$A$6:$A$505,"client",'أرقام التواصل'!$B$6:$B$505,A66,'أرقام التواصل'!$I$6:$I$505,"TRUE")+COUNTIFS('أرقام التواصل'!$A$6:$A$505,"client",'أرقام التواصل'!$B$6:$B$505,A66,'أرقام التواصل'!$C$6:$C$505,1))=0),"REVIEW","READY"))))</x:f>
      </x:c>
      <x:c r="BB66" s="224" t="str">
        <x:f>IF(BA66="","",IF(OR(BA66="READY",BA66="TO_PROPOSED"),"",IF(BA66="SKIP","Skipped by decision",TRIM(IF(B66="","missing import_action; ","")&amp;IF(A66="","missing migration_customer_key; ","")&amp;IF(AND(A66&lt;&gt;"",COUNTIF($A$6:$A$505,A66)&gt;1),"duplicate migration_customer_key; ","")&amp;IF(AND(NOT(OR(B66="to_candidate",AW66="proposed_name")),F66=""),"missing branch_id; ","")&amp;IF(AND(NOT(OR(B66="to_candidate",AW66="proposed_name")),H66=""),"missing first_name; ","")&amp;IF(AND(NOT(OR(B66="to_candidate",AW66="proposed_name")),J66=""),"missing last_name; ","")&amp;IF(AND(NOT(OR(B66="to_candidate",AW66="proposed_name")),U66=""),"missing final_geo_unit_id; ","")&amp;IF(AW66="","missing final_destination; ","")&amp;IF(AND(NOT(OR(B66="to_candidate",AW66="proposed_name")),(COUNTIFS('أرقام التواصل'!$A$6:$A$505,"client",'أرقام التواصل'!$B$6:$B$505,A66,'أرقام التواصل'!$I$6:$I$505,"TRUE")+COUNTIFS('أرقام التواصل'!$A$6:$A$505,"client",'أرقام التواصل'!$B$6:$B$505,A66,'أرقام التواصل'!$C$6:$C$505,1))=0),"missing primary contact in أرقام التواصل; ","")&amp;IF(OR(B66="to_candidate",AW66="proposed_name"),IF(AX66="","missing proposed_move_reason; ","")&amp;IF(AY66="","missing proposed_name_key; ",""),"")))))</x:f>
      </x:c>
    </x:row>
    <x:row r="67">
      <x:c r="A67" s="219"/>
      <x:c r="B67" s="220"/>
      <x:c r="C67" s="221"/>
      <x:c r="D67" s="220"/>
      <x:c r="E67" s="222"/>
      <x:c r="F67" s="220"/>
      <x:c r="G67" s="220"/>
      <x:c r="H67" s="220"/>
      <x:c r="I67" s="220"/>
      <x:c r="J67" s="220"/>
      <x:c r="K67" s="220"/>
      <x:c r="L67" s="220" t="str">
        <x:f>IF(TRIM(H67&amp;" "&amp;I67&amp;" "&amp;J67&amp;IF(K67&lt;&gt;""," ("&amp;K67&amp;")",""))="","",TRIM(H67&amp;" "&amp;I67&amp;" "&amp;J67&amp;IF(K67&lt;&gt;""," ("&amp;K67&amp;")","")))</x:f>
      </x:c>
      <x:c r="M67" s="220"/>
      <x:c r="N67" s="220"/>
      <x:c r="O67" s="220"/>
      <x:c r="P67" s="220"/>
      <x:c r="Q67" s="220"/>
      <x:c r="R67" s="220"/>
      <x:c r="S67" s="220"/>
      <x:c r="T67" s="220"/>
      <x:c r="U67" s="220" t="str">
        <x:f>IF(AND(M67="",O67="",Q67="",S67=""),"",IF(S67&lt;&gt;"",S67,IF(Q67&lt;&gt;"",Q67,IF(O67&lt;&gt;"",O67,M67))))</x:f>
      </x:c>
      <x:c r="V67" s="220" t="str">
        <x:f>IF(AND(N67="",P67="",R67="",T67=""),"",IF(T67&lt;&gt;"",T67,IF(R67&lt;&gt;"",R67,IF(P67&lt;&gt;"",P67,N67))))</x:f>
      </x:c>
      <x:c r="W67" s="221"/>
      <x:c r="X67" s="220"/>
      <x:c r="Y67" s="220"/>
      <x:c r="Z67" s="223"/>
      <x:c r="AA67" s="223"/>
      <x:c r="AB67" s="221"/>
      <x:c r="AC67" s="220"/>
      <x:c r="AD67" s="220"/>
      <x:c r="AE67" s="222"/>
      <x:c r="AF67" s="220"/>
      <x:c r="AG67" s="221"/>
      <x:c r="AH67" s="220"/>
      <x:c r="AI67" s="220"/>
      <x:c r="AJ67" s="222"/>
      <x:c r="AK67" s="220"/>
      <x:c r="AL67" s="220"/>
      <x:c r="AM67" s="220"/>
      <x:c r="AN67" s="220"/>
      <x:c r="AO67" s="220"/>
      <x:c r="AP67" s="220"/>
      <x:c r="AQ67" s="220"/>
      <x:c r="AR67" s="222"/>
      <x:c r="AS67" s="220"/>
      <x:c r="AT67" s="220"/>
      <x:c r="AU67" s="220"/>
      <x:c r="AV67" s="220"/>
      <x:c r="AW67" s="220"/>
      <x:c r="AX67" s="220"/>
      <x:c r="AY67" s="221"/>
      <x:c r="AZ67" s="220"/>
      <x:c r="BA67" s="220" t="str">
        <x:f>IF(AND(A67="",B67="",F67="",H67="",J67="",AW67="",AY67=""),"",IF(OR(B67="skip",AW67="skip"),"SKIP",IF(OR(B67="to_candidate",AW67="proposed_name"),IF(OR(A67="",AX67="",AY67="",COUNTIF($A$6:$A$505,A67)&gt;1),"REVIEW","TO_PROPOSED"),IF(OR(B67="",A67="",F67="",H67="",J67="",U67="",AW67="",COUNTIF($A$6:$A$505,A67)&gt;1,(COUNTIFS('أرقام التواصل'!$A$6:$A$505,"client",'أرقام التواصل'!$B$6:$B$505,A67,'أرقام التواصل'!$I$6:$I$505,"TRUE")+COUNTIFS('أرقام التواصل'!$A$6:$A$505,"client",'أرقام التواصل'!$B$6:$B$505,A67,'أرقام التواصل'!$C$6:$C$505,1))=0),"REVIEW","READY"))))</x:f>
      </x:c>
      <x:c r="BB67" s="224" t="str">
        <x:f>IF(BA67="","",IF(OR(BA67="READY",BA67="TO_PROPOSED"),"",IF(BA67="SKIP","Skipped by decision",TRIM(IF(B67="","missing import_action; ","")&amp;IF(A67="","missing migration_customer_key; ","")&amp;IF(AND(A67&lt;&gt;"",COUNTIF($A$6:$A$505,A67)&gt;1),"duplicate migration_customer_key; ","")&amp;IF(AND(NOT(OR(B67="to_candidate",AW67="proposed_name")),F67=""),"missing branch_id; ","")&amp;IF(AND(NOT(OR(B67="to_candidate",AW67="proposed_name")),H67=""),"missing first_name; ","")&amp;IF(AND(NOT(OR(B67="to_candidate",AW67="proposed_name")),J67=""),"missing last_name; ","")&amp;IF(AND(NOT(OR(B67="to_candidate",AW67="proposed_name")),U67=""),"missing final_geo_unit_id; ","")&amp;IF(AW67="","missing final_destination; ","")&amp;IF(AND(NOT(OR(B67="to_candidate",AW67="proposed_name")),(COUNTIFS('أرقام التواصل'!$A$6:$A$505,"client",'أرقام التواصل'!$B$6:$B$505,A67,'أرقام التواصل'!$I$6:$I$505,"TRUE")+COUNTIFS('أرقام التواصل'!$A$6:$A$505,"client",'أرقام التواصل'!$B$6:$B$505,A67,'أرقام التواصل'!$C$6:$C$505,1))=0),"missing primary contact in أرقام التواصل; ","")&amp;IF(OR(B67="to_candidate",AW67="proposed_name"),IF(AX67="","missing proposed_move_reason; ","")&amp;IF(AY67="","missing proposed_name_key; ",""),"")))))</x:f>
      </x:c>
    </x:row>
    <x:row r="68">
      <x:c r="A68" s="219"/>
      <x:c r="B68" s="220"/>
      <x:c r="C68" s="221"/>
      <x:c r="D68" s="220"/>
      <x:c r="E68" s="222"/>
      <x:c r="F68" s="220"/>
      <x:c r="G68" s="220"/>
      <x:c r="H68" s="220"/>
      <x:c r="I68" s="220"/>
      <x:c r="J68" s="220"/>
      <x:c r="K68" s="220"/>
      <x:c r="L68" s="220" t="str">
        <x:f>IF(TRIM(H68&amp;" "&amp;I68&amp;" "&amp;J68&amp;IF(K68&lt;&gt;""," ("&amp;K68&amp;")",""))="","",TRIM(H68&amp;" "&amp;I68&amp;" "&amp;J68&amp;IF(K68&lt;&gt;""," ("&amp;K68&amp;")","")))</x:f>
      </x:c>
      <x:c r="M68" s="220"/>
      <x:c r="N68" s="220"/>
      <x:c r="O68" s="220"/>
      <x:c r="P68" s="220"/>
      <x:c r="Q68" s="220"/>
      <x:c r="R68" s="220"/>
      <x:c r="S68" s="220"/>
      <x:c r="T68" s="220"/>
      <x:c r="U68" s="220" t="str">
        <x:f>IF(AND(M68="",O68="",Q68="",S68=""),"",IF(S68&lt;&gt;"",S68,IF(Q68&lt;&gt;"",Q68,IF(O68&lt;&gt;"",O68,M68))))</x:f>
      </x:c>
      <x:c r="V68" s="220" t="str">
        <x:f>IF(AND(N68="",P68="",R68="",T68=""),"",IF(T68&lt;&gt;"",T68,IF(R68&lt;&gt;"",R68,IF(P68&lt;&gt;"",P68,N68))))</x:f>
      </x:c>
      <x:c r="W68" s="221"/>
      <x:c r="X68" s="220"/>
      <x:c r="Y68" s="220"/>
      <x:c r="Z68" s="223"/>
      <x:c r="AA68" s="223"/>
      <x:c r="AB68" s="221"/>
      <x:c r="AC68" s="220"/>
      <x:c r="AD68" s="220"/>
      <x:c r="AE68" s="222"/>
      <x:c r="AF68" s="220"/>
      <x:c r="AG68" s="221"/>
      <x:c r="AH68" s="220"/>
      <x:c r="AI68" s="220"/>
      <x:c r="AJ68" s="222"/>
      <x:c r="AK68" s="220"/>
      <x:c r="AL68" s="220"/>
      <x:c r="AM68" s="220"/>
      <x:c r="AN68" s="220"/>
      <x:c r="AO68" s="220"/>
      <x:c r="AP68" s="220"/>
      <x:c r="AQ68" s="220"/>
      <x:c r="AR68" s="222"/>
      <x:c r="AS68" s="220"/>
      <x:c r="AT68" s="220"/>
      <x:c r="AU68" s="220"/>
      <x:c r="AV68" s="220"/>
      <x:c r="AW68" s="220"/>
      <x:c r="AX68" s="220"/>
      <x:c r="AY68" s="221"/>
      <x:c r="AZ68" s="220"/>
      <x:c r="BA68" s="220" t="str">
        <x:f>IF(AND(A68="",B68="",F68="",H68="",J68="",AW68="",AY68=""),"",IF(OR(B68="skip",AW68="skip"),"SKIP",IF(OR(B68="to_candidate",AW68="proposed_name"),IF(OR(A68="",AX68="",AY68="",COUNTIF($A$6:$A$505,A68)&gt;1),"REVIEW","TO_PROPOSED"),IF(OR(B68="",A68="",F68="",H68="",J68="",U68="",AW68="",COUNTIF($A$6:$A$505,A68)&gt;1,(COUNTIFS('أرقام التواصل'!$A$6:$A$505,"client",'أرقام التواصل'!$B$6:$B$505,A68,'أرقام التواصل'!$I$6:$I$505,"TRUE")+COUNTIFS('أرقام التواصل'!$A$6:$A$505,"client",'أرقام التواصل'!$B$6:$B$505,A68,'أرقام التواصل'!$C$6:$C$505,1))=0),"REVIEW","READY"))))</x:f>
      </x:c>
      <x:c r="BB68" s="224" t="str">
        <x:f>IF(BA68="","",IF(OR(BA68="READY",BA68="TO_PROPOSED"),"",IF(BA68="SKIP","Skipped by decision",TRIM(IF(B68="","missing import_action; ","")&amp;IF(A68="","missing migration_customer_key; ","")&amp;IF(AND(A68&lt;&gt;"",COUNTIF($A$6:$A$505,A68)&gt;1),"duplicate migration_customer_key; ","")&amp;IF(AND(NOT(OR(B68="to_candidate",AW68="proposed_name")),F68=""),"missing branch_id; ","")&amp;IF(AND(NOT(OR(B68="to_candidate",AW68="proposed_name")),H68=""),"missing first_name; ","")&amp;IF(AND(NOT(OR(B68="to_candidate",AW68="proposed_name")),J68=""),"missing last_name; ","")&amp;IF(AND(NOT(OR(B68="to_candidate",AW68="proposed_name")),U68=""),"missing final_geo_unit_id; ","")&amp;IF(AW68="","missing final_destination; ","")&amp;IF(AND(NOT(OR(B68="to_candidate",AW68="proposed_name")),(COUNTIFS('أرقام التواصل'!$A$6:$A$505,"client",'أرقام التواصل'!$B$6:$B$505,A68,'أرقام التواصل'!$I$6:$I$505,"TRUE")+COUNTIFS('أرقام التواصل'!$A$6:$A$505,"client",'أرقام التواصل'!$B$6:$B$505,A68,'أرقام التواصل'!$C$6:$C$505,1))=0),"missing primary contact in أرقام التواصل; ","")&amp;IF(OR(B68="to_candidate",AW68="proposed_name"),IF(AX68="","missing proposed_move_reason; ","")&amp;IF(AY68="","missing proposed_name_key; ",""),"")))))</x:f>
      </x:c>
    </x:row>
    <x:row r="69">
      <x:c r="A69" s="219"/>
      <x:c r="B69" s="220"/>
      <x:c r="C69" s="221"/>
      <x:c r="D69" s="220"/>
      <x:c r="E69" s="222"/>
      <x:c r="F69" s="220"/>
      <x:c r="G69" s="220"/>
      <x:c r="H69" s="220"/>
      <x:c r="I69" s="220"/>
      <x:c r="J69" s="220"/>
      <x:c r="K69" s="220"/>
      <x:c r="L69" s="220" t="str">
        <x:f>IF(TRIM(H69&amp;" "&amp;I69&amp;" "&amp;J69&amp;IF(K69&lt;&gt;""," ("&amp;K69&amp;")",""))="","",TRIM(H69&amp;" "&amp;I69&amp;" "&amp;J69&amp;IF(K69&lt;&gt;""," ("&amp;K69&amp;")","")))</x:f>
      </x:c>
      <x:c r="M69" s="220"/>
      <x:c r="N69" s="220"/>
      <x:c r="O69" s="220"/>
      <x:c r="P69" s="220"/>
      <x:c r="Q69" s="220"/>
      <x:c r="R69" s="220"/>
      <x:c r="S69" s="220"/>
      <x:c r="T69" s="220"/>
      <x:c r="U69" s="220" t="str">
        <x:f>IF(AND(M69="",O69="",Q69="",S69=""),"",IF(S69&lt;&gt;"",S69,IF(Q69&lt;&gt;"",Q69,IF(O69&lt;&gt;"",O69,M69))))</x:f>
      </x:c>
      <x:c r="V69" s="220" t="str">
        <x:f>IF(AND(N69="",P69="",R69="",T69=""),"",IF(T69&lt;&gt;"",T69,IF(R69&lt;&gt;"",R69,IF(P69&lt;&gt;"",P69,N69))))</x:f>
      </x:c>
      <x:c r="W69" s="221"/>
      <x:c r="X69" s="220"/>
      <x:c r="Y69" s="220"/>
      <x:c r="Z69" s="223"/>
      <x:c r="AA69" s="223"/>
      <x:c r="AB69" s="221"/>
      <x:c r="AC69" s="220"/>
      <x:c r="AD69" s="220"/>
      <x:c r="AE69" s="222"/>
      <x:c r="AF69" s="220"/>
      <x:c r="AG69" s="221"/>
      <x:c r="AH69" s="220"/>
      <x:c r="AI69" s="220"/>
      <x:c r="AJ69" s="222"/>
      <x:c r="AK69" s="220"/>
      <x:c r="AL69" s="220"/>
      <x:c r="AM69" s="220"/>
      <x:c r="AN69" s="220"/>
      <x:c r="AO69" s="220"/>
      <x:c r="AP69" s="220"/>
      <x:c r="AQ69" s="220"/>
      <x:c r="AR69" s="222"/>
      <x:c r="AS69" s="220"/>
      <x:c r="AT69" s="220"/>
      <x:c r="AU69" s="220"/>
      <x:c r="AV69" s="220"/>
      <x:c r="AW69" s="220"/>
      <x:c r="AX69" s="220"/>
      <x:c r="AY69" s="221"/>
      <x:c r="AZ69" s="220"/>
      <x:c r="BA69" s="220" t="str">
        <x:f>IF(AND(A69="",B69="",F69="",H69="",J69="",AW69="",AY69=""),"",IF(OR(B69="skip",AW69="skip"),"SKIP",IF(OR(B69="to_candidate",AW69="proposed_name"),IF(OR(A69="",AX69="",AY69="",COUNTIF($A$6:$A$505,A69)&gt;1),"REVIEW","TO_PROPOSED"),IF(OR(B69="",A69="",F69="",H69="",J69="",U69="",AW69="",COUNTIF($A$6:$A$505,A69)&gt;1,(COUNTIFS('أرقام التواصل'!$A$6:$A$505,"client",'أرقام التواصل'!$B$6:$B$505,A69,'أرقام التواصل'!$I$6:$I$505,"TRUE")+COUNTIFS('أرقام التواصل'!$A$6:$A$505,"client",'أرقام التواصل'!$B$6:$B$505,A69,'أرقام التواصل'!$C$6:$C$505,1))=0),"REVIEW","READY"))))</x:f>
      </x:c>
      <x:c r="BB69" s="224" t="str">
        <x:f>IF(BA69="","",IF(OR(BA69="READY",BA69="TO_PROPOSED"),"",IF(BA69="SKIP","Skipped by decision",TRIM(IF(B69="","missing import_action; ","")&amp;IF(A69="","missing migration_customer_key; ","")&amp;IF(AND(A69&lt;&gt;"",COUNTIF($A$6:$A$505,A69)&gt;1),"duplicate migration_customer_key; ","")&amp;IF(AND(NOT(OR(B69="to_candidate",AW69="proposed_name")),F69=""),"missing branch_id; ","")&amp;IF(AND(NOT(OR(B69="to_candidate",AW69="proposed_name")),H69=""),"missing first_name; ","")&amp;IF(AND(NOT(OR(B69="to_candidate",AW69="proposed_name")),J69=""),"missing last_name; ","")&amp;IF(AND(NOT(OR(B69="to_candidate",AW69="proposed_name")),U69=""),"missing final_geo_unit_id; ","")&amp;IF(AW69="","missing final_destination; ","")&amp;IF(AND(NOT(OR(B69="to_candidate",AW69="proposed_name")),(COUNTIFS('أرقام التواصل'!$A$6:$A$505,"client",'أرقام التواصل'!$B$6:$B$505,A69,'أرقام التواصل'!$I$6:$I$505,"TRUE")+COUNTIFS('أرقام التواصل'!$A$6:$A$505,"client",'أرقام التواصل'!$B$6:$B$505,A69,'أرقام التواصل'!$C$6:$C$505,1))=0),"missing primary contact in أرقام التواصل; ","")&amp;IF(OR(B69="to_candidate",AW69="proposed_name"),IF(AX69="","missing proposed_move_reason; ","")&amp;IF(AY69="","missing proposed_name_key; ",""),"")))))</x:f>
      </x:c>
    </x:row>
    <x:row r="70">
      <x:c r="A70" s="219"/>
      <x:c r="B70" s="220"/>
      <x:c r="C70" s="221"/>
      <x:c r="D70" s="220"/>
      <x:c r="E70" s="222"/>
      <x:c r="F70" s="220"/>
      <x:c r="G70" s="220"/>
      <x:c r="H70" s="220"/>
      <x:c r="I70" s="220"/>
      <x:c r="J70" s="220"/>
      <x:c r="K70" s="220"/>
      <x:c r="L70" s="220" t="str">
        <x:f>IF(TRIM(H70&amp;" "&amp;I70&amp;" "&amp;J70&amp;IF(K70&lt;&gt;""," ("&amp;K70&amp;")",""))="","",TRIM(H70&amp;" "&amp;I70&amp;" "&amp;J70&amp;IF(K70&lt;&gt;""," ("&amp;K70&amp;")","")))</x:f>
      </x:c>
      <x:c r="M70" s="220"/>
      <x:c r="N70" s="220"/>
      <x:c r="O70" s="220"/>
      <x:c r="P70" s="220"/>
      <x:c r="Q70" s="220"/>
      <x:c r="R70" s="220"/>
      <x:c r="S70" s="220"/>
      <x:c r="T70" s="220"/>
      <x:c r="U70" s="220" t="str">
        <x:f>IF(AND(M70="",O70="",Q70="",S70=""),"",IF(S70&lt;&gt;"",S70,IF(Q70&lt;&gt;"",Q70,IF(O70&lt;&gt;"",O70,M70))))</x:f>
      </x:c>
      <x:c r="V70" s="220" t="str">
        <x:f>IF(AND(N70="",P70="",R70="",T70=""),"",IF(T70&lt;&gt;"",T70,IF(R70&lt;&gt;"",R70,IF(P70&lt;&gt;"",P70,N70))))</x:f>
      </x:c>
      <x:c r="W70" s="221"/>
      <x:c r="X70" s="220"/>
      <x:c r="Y70" s="220"/>
      <x:c r="Z70" s="223"/>
      <x:c r="AA70" s="223"/>
      <x:c r="AB70" s="221"/>
      <x:c r="AC70" s="220"/>
      <x:c r="AD70" s="220"/>
      <x:c r="AE70" s="222"/>
      <x:c r="AF70" s="220"/>
      <x:c r="AG70" s="221"/>
      <x:c r="AH70" s="220"/>
      <x:c r="AI70" s="220"/>
      <x:c r="AJ70" s="222"/>
      <x:c r="AK70" s="220"/>
      <x:c r="AL70" s="220"/>
      <x:c r="AM70" s="220"/>
      <x:c r="AN70" s="220"/>
      <x:c r="AO70" s="220"/>
      <x:c r="AP70" s="220"/>
      <x:c r="AQ70" s="220"/>
      <x:c r="AR70" s="222"/>
      <x:c r="AS70" s="220"/>
      <x:c r="AT70" s="220"/>
      <x:c r="AU70" s="220"/>
      <x:c r="AV70" s="220"/>
      <x:c r="AW70" s="220"/>
      <x:c r="AX70" s="220"/>
      <x:c r="AY70" s="221"/>
      <x:c r="AZ70" s="220"/>
      <x:c r="BA70" s="220" t="str">
        <x:f>IF(AND(A70="",B70="",F70="",H70="",J70="",AW70="",AY70=""),"",IF(OR(B70="skip",AW70="skip"),"SKIP",IF(OR(B70="to_candidate",AW70="proposed_name"),IF(OR(A70="",AX70="",AY70="",COUNTIF($A$6:$A$505,A70)&gt;1),"REVIEW","TO_PROPOSED"),IF(OR(B70="",A70="",F70="",H70="",J70="",U70="",AW70="",COUNTIF($A$6:$A$505,A70)&gt;1,(COUNTIFS('أرقام التواصل'!$A$6:$A$505,"client",'أرقام التواصل'!$B$6:$B$505,A70,'أرقام التواصل'!$I$6:$I$505,"TRUE")+COUNTIFS('أرقام التواصل'!$A$6:$A$505,"client",'أرقام التواصل'!$B$6:$B$505,A70,'أرقام التواصل'!$C$6:$C$505,1))=0),"REVIEW","READY"))))</x:f>
      </x:c>
      <x:c r="BB70" s="224" t="str">
        <x:f>IF(BA70="","",IF(OR(BA70="READY",BA70="TO_PROPOSED"),"",IF(BA70="SKIP","Skipped by decision",TRIM(IF(B70="","missing import_action; ","")&amp;IF(A70="","missing migration_customer_key; ","")&amp;IF(AND(A70&lt;&gt;"",COUNTIF($A$6:$A$505,A70)&gt;1),"duplicate migration_customer_key; ","")&amp;IF(AND(NOT(OR(B70="to_candidate",AW70="proposed_name")),F70=""),"missing branch_id; ","")&amp;IF(AND(NOT(OR(B70="to_candidate",AW70="proposed_name")),H70=""),"missing first_name; ","")&amp;IF(AND(NOT(OR(B70="to_candidate",AW70="proposed_name")),J70=""),"missing last_name; ","")&amp;IF(AND(NOT(OR(B70="to_candidate",AW70="proposed_name")),U70=""),"missing final_geo_unit_id; ","")&amp;IF(AW70="","missing final_destination; ","")&amp;IF(AND(NOT(OR(B70="to_candidate",AW70="proposed_name")),(COUNTIFS('أرقام التواصل'!$A$6:$A$505,"client",'أرقام التواصل'!$B$6:$B$505,A70,'أرقام التواصل'!$I$6:$I$505,"TRUE")+COUNTIFS('أرقام التواصل'!$A$6:$A$505,"client",'أرقام التواصل'!$B$6:$B$505,A70,'أرقام التواصل'!$C$6:$C$505,1))=0),"missing primary contact in أرقام التواصل; ","")&amp;IF(OR(B70="to_candidate",AW70="proposed_name"),IF(AX70="","missing proposed_move_reason; ","")&amp;IF(AY70="","missing proposed_name_key; ",""),"")))))</x:f>
      </x:c>
    </x:row>
    <x:row r="71">
      <x:c r="A71" s="219"/>
      <x:c r="B71" s="220"/>
      <x:c r="C71" s="221"/>
      <x:c r="D71" s="220"/>
      <x:c r="E71" s="222"/>
      <x:c r="F71" s="220"/>
      <x:c r="G71" s="220"/>
      <x:c r="H71" s="220"/>
      <x:c r="I71" s="220"/>
      <x:c r="J71" s="220"/>
      <x:c r="K71" s="220"/>
      <x:c r="L71" s="220" t="str">
        <x:f>IF(TRIM(H71&amp;" "&amp;I71&amp;" "&amp;J71&amp;IF(K71&lt;&gt;""," ("&amp;K71&amp;")",""))="","",TRIM(H71&amp;" "&amp;I71&amp;" "&amp;J71&amp;IF(K71&lt;&gt;""," ("&amp;K71&amp;")","")))</x:f>
      </x:c>
      <x:c r="M71" s="220"/>
      <x:c r="N71" s="220"/>
      <x:c r="O71" s="220"/>
      <x:c r="P71" s="220"/>
      <x:c r="Q71" s="220"/>
      <x:c r="R71" s="220"/>
      <x:c r="S71" s="220"/>
      <x:c r="T71" s="220"/>
      <x:c r="U71" s="220" t="str">
        <x:f>IF(AND(M71="",O71="",Q71="",S71=""),"",IF(S71&lt;&gt;"",S71,IF(Q71&lt;&gt;"",Q71,IF(O71&lt;&gt;"",O71,M71))))</x:f>
      </x:c>
      <x:c r="V71" s="220" t="str">
        <x:f>IF(AND(N71="",P71="",R71="",T71=""),"",IF(T71&lt;&gt;"",T71,IF(R71&lt;&gt;"",R71,IF(P71&lt;&gt;"",P71,N71))))</x:f>
      </x:c>
      <x:c r="W71" s="221"/>
      <x:c r="X71" s="220"/>
      <x:c r="Y71" s="220"/>
      <x:c r="Z71" s="223"/>
      <x:c r="AA71" s="223"/>
      <x:c r="AB71" s="221"/>
      <x:c r="AC71" s="220"/>
      <x:c r="AD71" s="220"/>
      <x:c r="AE71" s="222"/>
      <x:c r="AF71" s="220"/>
      <x:c r="AG71" s="221"/>
      <x:c r="AH71" s="220"/>
      <x:c r="AI71" s="220"/>
      <x:c r="AJ71" s="222"/>
      <x:c r="AK71" s="220"/>
      <x:c r="AL71" s="220"/>
      <x:c r="AM71" s="220"/>
      <x:c r="AN71" s="220"/>
      <x:c r="AO71" s="220"/>
      <x:c r="AP71" s="220"/>
      <x:c r="AQ71" s="220"/>
      <x:c r="AR71" s="222"/>
      <x:c r="AS71" s="220"/>
      <x:c r="AT71" s="220"/>
      <x:c r="AU71" s="220"/>
      <x:c r="AV71" s="220"/>
      <x:c r="AW71" s="220"/>
      <x:c r="AX71" s="220"/>
      <x:c r="AY71" s="221"/>
      <x:c r="AZ71" s="220"/>
      <x:c r="BA71" s="220" t="str">
        <x:f>IF(AND(A71="",B71="",F71="",H71="",J71="",AW71="",AY71=""),"",IF(OR(B71="skip",AW71="skip"),"SKIP",IF(OR(B71="to_candidate",AW71="proposed_name"),IF(OR(A71="",AX71="",AY71="",COUNTIF($A$6:$A$505,A71)&gt;1),"REVIEW","TO_PROPOSED"),IF(OR(B71="",A71="",F71="",H71="",J71="",U71="",AW71="",COUNTIF($A$6:$A$505,A71)&gt;1,(COUNTIFS('أرقام التواصل'!$A$6:$A$505,"client",'أرقام التواصل'!$B$6:$B$505,A71,'أرقام التواصل'!$I$6:$I$505,"TRUE")+COUNTIFS('أرقام التواصل'!$A$6:$A$505,"client",'أرقام التواصل'!$B$6:$B$505,A71,'أرقام التواصل'!$C$6:$C$505,1))=0),"REVIEW","READY"))))</x:f>
      </x:c>
      <x:c r="BB71" s="224" t="str">
        <x:f>IF(BA71="","",IF(OR(BA71="READY",BA71="TO_PROPOSED"),"",IF(BA71="SKIP","Skipped by decision",TRIM(IF(B71="","missing import_action; ","")&amp;IF(A71="","missing migration_customer_key; ","")&amp;IF(AND(A71&lt;&gt;"",COUNTIF($A$6:$A$505,A71)&gt;1),"duplicate migration_customer_key; ","")&amp;IF(AND(NOT(OR(B71="to_candidate",AW71="proposed_name")),F71=""),"missing branch_id; ","")&amp;IF(AND(NOT(OR(B71="to_candidate",AW71="proposed_name")),H71=""),"missing first_name; ","")&amp;IF(AND(NOT(OR(B71="to_candidate",AW71="proposed_name")),J71=""),"missing last_name; ","")&amp;IF(AND(NOT(OR(B71="to_candidate",AW71="proposed_name")),U71=""),"missing final_geo_unit_id; ","")&amp;IF(AW71="","missing final_destination; ","")&amp;IF(AND(NOT(OR(B71="to_candidate",AW71="proposed_name")),(COUNTIFS('أرقام التواصل'!$A$6:$A$505,"client",'أرقام التواصل'!$B$6:$B$505,A71,'أرقام التواصل'!$I$6:$I$505,"TRUE")+COUNTIFS('أرقام التواصل'!$A$6:$A$505,"client",'أرقام التواصل'!$B$6:$B$505,A71,'أرقام التواصل'!$C$6:$C$505,1))=0),"missing primary contact in أرقام التواصل; ","")&amp;IF(OR(B71="to_candidate",AW71="proposed_name"),IF(AX71="","missing proposed_move_reason; ","")&amp;IF(AY71="","missing proposed_name_key; ",""),"")))))</x:f>
      </x:c>
    </x:row>
    <x:row r="72">
      <x:c r="A72" s="219"/>
      <x:c r="B72" s="220"/>
      <x:c r="C72" s="221"/>
      <x:c r="D72" s="220"/>
      <x:c r="E72" s="222"/>
      <x:c r="F72" s="220"/>
      <x:c r="G72" s="220"/>
      <x:c r="H72" s="220"/>
      <x:c r="I72" s="220"/>
      <x:c r="J72" s="220"/>
      <x:c r="K72" s="220"/>
      <x:c r="L72" s="220" t="str">
        <x:f>IF(TRIM(H72&amp;" "&amp;I72&amp;" "&amp;J72&amp;IF(K72&lt;&gt;""," ("&amp;K72&amp;")",""))="","",TRIM(H72&amp;" "&amp;I72&amp;" "&amp;J72&amp;IF(K72&lt;&gt;""," ("&amp;K72&amp;")","")))</x:f>
      </x:c>
      <x:c r="M72" s="220"/>
      <x:c r="N72" s="220"/>
      <x:c r="O72" s="220"/>
      <x:c r="P72" s="220"/>
      <x:c r="Q72" s="220"/>
      <x:c r="R72" s="220"/>
      <x:c r="S72" s="220"/>
      <x:c r="T72" s="220"/>
      <x:c r="U72" s="220" t="str">
        <x:f>IF(AND(M72="",O72="",Q72="",S72=""),"",IF(S72&lt;&gt;"",S72,IF(Q72&lt;&gt;"",Q72,IF(O72&lt;&gt;"",O72,M72))))</x:f>
      </x:c>
      <x:c r="V72" s="220" t="str">
        <x:f>IF(AND(N72="",P72="",R72="",T72=""),"",IF(T72&lt;&gt;"",T72,IF(R72&lt;&gt;"",R72,IF(P72&lt;&gt;"",P72,N72))))</x:f>
      </x:c>
      <x:c r="W72" s="221"/>
      <x:c r="X72" s="220"/>
      <x:c r="Y72" s="220"/>
      <x:c r="Z72" s="223"/>
      <x:c r="AA72" s="223"/>
      <x:c r="AB72" s="221"/>
      <x:c r="AC72" s="220"/>
      <x:c r="AD72" s="220"/>
      <x:c r="AE72" s="222"/>
      <x:c r="AF72" s="220"/>
      <x:c r="AG72" s="221"/>
      <x:c r="AH72" s="220"/>
      <x:c r="AI72" s="220"/>
      <x:c r="AJ72" s="222"/>
      <x:c r="AK72" s="220"/>
      <x:c r="AL72" s="220"/>
      <x:c r="AM72" s="220"/>
      <x:c r="AN72" s="220"/>
      <x:c r="AO72" s="220"/>
      <x:c r="AP72" s="220"/>
      <x:c r="AQ72" s="220"/>
      <x:c r="AR72" s="222"/>
      <x:c r="AS72" s="220"/>
      <x:c r="AT72" s="220"/>
      <x:c r="AU72" s="220"/>
      <x:c r="AV72" s="220"/>
      <x:c r="AW72" s="220"/>
      <x:c r="AX72" s="220"/>
      <x:c r="AY72" s="221"/>
      <x:c r="AZ72" s="220"/>
      <x:c r="BA72" s="220" t="str">
        <x:f>IF(AND(A72="",B72="",F72="",H72="",J72="",AW72="",AY72=""),"",IF(OR(B72="skip",AW72="skip"),"SKIP",IF(OR(B72="to_candidate",AW72="proposed_name"),IF(OR(A72="",AX72="",AY72="",COUNTIF($A$6:$A$505,A72)&gt;1),"REVIEW","TO_PROPOSED"),IF(OR(B72="",A72="",F72="",H72="",J72="",U72="",AW72="",COUNTIF($A$6:$A$505,A72)&gt;1,(COUNTIFS('أرقام التواصل'!$A$6:$A$505,"client",'أرقام التواصل'!$B$6:$B$505,A72,'أرقام التواصل'!$I$6:$I$505,"TRUE")+COUNTIFS('أرقام التواصل'!$A$6:$A$505,"client",'أرقام التواصل'!$B$6:$B$505,A72,'أرقام التواصل'!$C$6:$C$505,1))=0),"REVIEW","READY"))))</x:f>
      </x:c>
      <x:c r="BB72" s="224" t="str">
        <x:f>IF(BA72="","",IF(OR(BA72="READY",BA72="TO_PROPOSED"),"",IF(BA72="SKIP","Skipped by decision",TRIM(IF(B72="","missing import_action; ","")&amp;IF(A72="","missing migration_customer_key; ","")&amp;IF(AND(A72&lt;&gt;"",COUNTIF($A$6:$A$505,A72)&gt;1),"duplicate migration_customer_key; ","")&amp;IF(AND(NOT(OR(B72="to_candidate",AW72="proposed_name")),F72=""),"missing branch_id; ","")&amp;IF(AND(NOT(OR(B72="to_candidate",AW72="proposed_name")),H72=""),"missing first_name; ","")&amp;IF(AND(NOT(OR(B72="to_candidate",AW72="proposed_name")),J72=""),"missing last_name; ","")&amp;IF(AND(NOT(OR(B72="to_candidate",AW72="proposed_name")),U72=""),"missing final_geo_unit_id; ","")&amp;IF(AW72="","missing final_destination; ","")&amp;IF(AND(NOT(OR(B72="to_candidate",AW72="proposed_name")),(COUNTIFS('أرقام التواصل'!$A$6:$A$505,"client",'أرقام التواصل'!$B$6:$B$505,A72,'أرقام التواصل'!$I$6:$I$505,"TRUE")+COUNTIFS('أرقام التواصل'!$A$6:$A$505,"client",'أرقام التواصل'!$B$6:$B$505,A72,'أرقام التواصل'!$C$6:$C$505,1))=0),"missing primary contact in أرقام التواصل; ","")&amp;IF(OR(B72="to_candidate",AW72="proposed_name"),IF(AX72="","missing proposed_move_reason; ","")&amp;IF(AY72="","missing proposed_name_key; ",""),"")))))</x:f>
      </x:c>
    </x:row>
    <x:row r="73">
      <x:c r="A73" s="219"/>
      <x:c r="B73" s="220"/>
      <x:c r="C73" s="221"/>
      <x:c r="D73" s="220"/>
      <x:c r="E73" s="222"/>
      <x:c r="F73" s="220"/>
      <x:c r="G73" s="220"/>
      <x:c r="H73" s="220"/>
      <x:c r="I73" s="220"/>
      <x:c r="J73" s="220"/>
      <x:c r="K73" s="220"/>
      <x:c r="L73" s="220" t="str">
        <x:f>IF(TRIM(H73&amp;" "&amp;I73&amp;" "&amp;J73&amp;IF(K73&lt;&gt;""," ("&amp;K73&amp;")",""))="","",TRIM(H73&amp;" "&amp;I73&amp;" "&amp;J73&amp;IF(K73&lt;&gt;""," ("&amp;K73&amp;")","")))</x:f>
      </x:c>
      <x:c r="M73" s="220"/>
      <x:c r="N73" s="220"/>
      <x:c r="O73" s="220"/>
      <x:c r="P73" s="220"/>
      <x:c r="Q73" s="220"/>
      <x:c r="R73" s="220"/>
      <x:c r="S73" s="220"/>
      <x:c r="T73" s="220"/>
      <x:c r="U73" s="220" t="str">
        <x:f>IF(AND(M73="",O73="",Q73="",S73=""),"",IF(S73&lt;&gt;"",S73,IF(Q73&lt;&gt;"",Q73,IF(O73&lt;&gt;"",O73,M73))))</x:f>
      </x:c>
      <x:c r="V73" s="220" t="str">
        <x:f>IF(AND(N73="",P73="",R73="",T73=""),"",IF(T73&lt;&gt;"",T73,IF(R73&lt;&gt;"",R73,IF(P73&lt;&gt;"",P73,N73))))</x:f>
      </x:c>
      <x:c r="W73" s="221"/>
      <x:c r="X73" s="220"/>
      <x:c r="Y73" s="220"/>
      <x:c r="Z73" s="223"/>
      <x:c r="AA73" s="223"/>
      <x:c r="AB73" s="221"/>
      <x:c r="AC73" s="220"/>
      <x:c r="AD73" s="220"/>
      <x:c r="AE73" s="222"/>
      <x:c r="AF73" s="220"/>
      <x:c r="AG73" s="221"/>
      <x:c r="AH73" s="220"/>
      <x:c r="AI73" s="220"/>
      <x:c r="AJ73" s="222"/>
      <x:c r="AK73" s="220"/>
      <x:c r="AL73" s="220"/>
      <x:c r="AM73" s="220"/>
      <x:c r="AN73" s="220"/>
      <x:c r="AO73" s="220"/>
      <x:c r="AP73" s="220"/>
      <x:c r="AQ73" s="220"/>
      <x:c r="AR73" s="222"/>
      <x:c r="AS73" s="220"/>
      <x:c r="AT73" s="220"/>
      <x:c r="AU73" s="220"/>
      <x:c r="AV73" s="220"/>
      <x:c r="AW73" s="220"/>
      <x:c r="AX73" s="220"/>
      <x:c r="AY73" s="221"/>
      <x:c r="AZ73" s="220"/>
      <x:c r="BA73" s="220" t="str">
        <x:f>IF(AND(A73="",B73="",F73="",H73="",J73="",AW73="",AY73=""),"",IF(OR(B73="skip",AW73="skip"),"SKIP",IF(OR(B73="to_candidate",AW73="proposed_name"),IF(OR(A73="",AX73="",AY73="",COUNTIF($A$6:$A$505,A73)&gt;1),"REVIEW","TO_PROPOSED"),IF(OR(B73="",A73="",F73="",H73="",J73="",U73="",AW73="",COUNTIF($A$6:$A$505,A73)&gt;1,(COUNTIFS('أرقام التواصل'!$A$6:$A$505,"client",'أرقام التواصل'!$B$6:$B$505,A73,'أرقام التواصل'!$I$6:$I$505,"TRUE")+COUNTIFS('أرقام التواصل'!$A$6:$A$505,"client",'أرقام التواصل'!$B$6:$B$505,A73,'أرقام التواصل'!$C$6:$C$505,1))=0),"REVIEW","READY"))))</x:f>
      </x:c>
      <x:c r="BB73" s="224" t="str">
        <x:f>IF(BA73="","",IF(OR(BA73="READY",BA73="TO_PROPOSED"),"",IF(BA73="SKIP","Skipped by decision",TRIM(IF(B73="","missing import_action; ","")&amp;IF(A73="","missing migration_customer_key; ","")&amp;IF(AND(A73&lt;&gt;"",COUNTIF($A$6:$A$505,A73)&gt;1),"duplicate migration_customer_key; ","")&amp;IF(AND(NOT(OR(B73="to_candidate",AW73="proposed_name")),F73=""),"missing branch_id; ","")&amp;IF(AND(NOT(OR(B73="to_candidate",AW73="proposed_name")),H73=""),"missing first_name; ","")&amp;IF(AND(NOT(OR(B73="to_candidate",AW73="proposed_name")),J73=""),"missing last_name; ","")&amp;IF(AND(NOT(OR(B73="to_candidate",AW73="proposed_name")),U73=""),"missing final_geo_unit_id; ","")&amp;IF(AW73="","missing final_destination; ","")&amp;IF(AND(NOT(OR(B73="to_candidate",AW73="proposed_name")),(COUNTIFS('أرقام التواصل'!$A$6:$A$505,"client",'أرقام التواصل'!$B$6:$B$505,A73,'أرقام التواصل'!$I$6:$I$505,"TRUE")+COUNTIFS('أرقام التواصل'!$A$6:$A$505,"client",'أرقام التواصل'!$B$6:$B$505,A73,'أرقام التواصل'!$C$6:$C$505,1))=0),"missing primary contact in أرقام التواصل; ","")&amp;IF(OR(B73="to_candidate",AW73="proposed_name"),IF(AX73="","missing proposed_move_reason; ","")&amp;IF(AY73="","missing proposed_name_key; ",""),"")))))</x:f>
      </x:c>
    </x:row>
    <x:row r="74">
      <x:c r="A74" s="219"/>
      <x:c r="B74" s="220"/>
      <x:c r="C74" s="221"/>
      <x:c r="D74" s="220"/>
      <x:c r="E74" s="222"/>
      <x:c r="F74" s="220"/>
      <x:c r="G74" s="220"/>
      <x:c r="H74" s="220"/>
      <x:c r="I74" s="220"/>
      <x:c r="J74" s="220"/>
      <x:c r="K74" s="220"/>
      <x:c r="L74" s="220" t="str">
        <x:f>IF(TRIM(H74&amp;" "&amp;I74&amp;" "&amp;J74&amp;IF(K74&lt;&gt;""," ("&amp;K74&amp;")",""))="","",TRIM(H74&amp;" "&amp;I74&amp;" "&amp;J74&amp;IF(K74&lt;&gt;""," ("&amp;K74&amp;")","")))</x:f>
      </x:c>
      <x:c r="M74" s="220"/>
      <x:c r="N74" s="220"/>
      <x:c r="O74" s="220"/>
      <x:c r="P74" s="220"/>
      <x:c r="Q74" s="220"/>
      <x:c r="R74" s="220"/>
      <x:c r="S74" s="220"/>
      <x:c r="T74" s="220"/>
      <x:c r="U74" s="220" t="str">
        <x:f>IF(AND(M74="",O74="",Q74="",S74=""),"",IF(S74&lt;&gt;"",S74,IF(Q74&lt;&gt;"",Q74,IF(O74&lt;&gt;"",O74,M74))))</x:f>
      </x:c>
      <x:c r="V74" s="220" t="str">
        <x:f>IF(AND(N74="",P74="",R74="",T74=""),"",IF(T74&lt;&gt;"",T74,IF(R74&lt;&gt;"",R74,IF(P74&lt;&gt;"",P74,N74))))</x:f>
      </x:c>
      <x:c r="W74" s="221"/>
      <x:c r="X74" s="220"/>
      <x:c r="Y74" s="220"/>
      <x:c r="Z74" s="223"/>
      <x:c r="AA74" s="223"/>
      <x:c r="AB74" s="221"/>
      <x:c r="AC74" s="220"/>
      <x:c r="AD74" s="220"/>
      <x:c r="AE74" s="222"/>
      <x:c r="AF74" s="220"/>
      <x:c r="AG74" s="221"/>
      <x:c r="AH74" s="220"/>
      <x:c r="AI74" s="220"/>
      <x:c r="AJ74" s="222"/>
      <x:c r="AK74" s="220"/>
      <x:c r="AL74" s="220"/>
      <x:c r="AM74" s="220"/>
      <x:c r="AN74" s="220"/>
      <x:c r="AO74" s="220"/>
      <x:c r="AP74" s="220"/>
      <x:c r="AQ74" s="220"/>
      <x:c r="AR74" s="222"/>
      <x:c r="AS74" s="220"/>
      <x:c r="AT74" s="220"/>
      <x:c r="AU74" s="220"/>
      <x:c r="AV74" s="220"/>
      <x:c r="AW74" s="220"/>
      <x:c r="AX74" s="220"/>
      <x:c r="AY74" s="221"/>
      <x:c r="AZ74" s="220"/>
      <x:c r="BA74" s="220" t="str">
        <x:f>IF(AND(A74="",B74="",F74="",H74="",J74="",AW74="",AY74=""),"",IF(OR(B74="skip",AW74="skip"),"SKIP",IF(OR(B74="to_candidate",AW74="proposed_name"),IF(OR(A74="",AX74="",AY74="",COUNTIF($A$6:$A$505,A74)&gt;1),"REVIEW","TO_PROPOSED"),IF(OR(B74="",A74="",F74="",H74="",J74="",U74="",AW74="",COUNTIF($A$6:$A$505,A74)&gt;1,(COUNTIFS('أرقام التواصل'!$A$6:$A$505,"client",'أرقام التواصل'!$B$6:$B$505,A74,'أرقام التواصل'!$I$6:$I$505,"TRUE")+COUNTIFS('أرقام التواصل'!$A$6:$A$505,"client",'أرقام التواصل'!$B$6:$B$505,A74,'أرقام التواصل'!$C$6:$C$505,1))=0),"REVIEW","READY"))))</x:f>
      </x:c>
      <x:c r="BB74" s="224" t="str">
        <x:f>IF(BA74="","",IF(OR(BA74="READY",BA74="TO_PROPOSED"),"",IF(BA74="SKIP","Skipped by decision",TRIM(IF(B74="","missing import_action; ","")&amp;IF(A74="","missing migration_customer_key; ","")&amp;IF(AND(A74&lt;&gt;"",COUNTIF($A$6:$A$505,A74)&gt;1),"duplicate migration_customer_key; ","")&amp;IF(AND(NOT(OR(B74="to_candidate",AW74="proposed_name")),F74=""),"missing branch_id; ","")&amp;IF(AND(NOT(OR(B74="to_candidate",AW74="proposed_name")),H74=""),"missing first_name; ","")&amp;IF(AND(NOT(OR(B74="to_candidate",AW74="proposed_name")),J74=""),"missing last_name; ","")&amp;IF(AND(NOT(OR(B74="to_candidate",AW74="proposed_name")),U74=""),"missing final_geo_unit_id; ","")&amp;IF(AW74="","missing final_destination; ","")&amp;IF(AND(NOT(OR(B74="to_candidate",AW74="proposed_name")),(COUNTIFS('أرقام التواصل'!$A$6:$A$505,"client",'أرقام التواصل'!$B$6:$B$505,A74,'أرقام التواصل'!$I$6:$I$505,"TRUE")+COUNTIFS('أرقام التواصل'!$A$6:$A$505,"client",'أرقام التواصل'!$B$6:$B$505,A74,'أرقام التواصل'!$C$6:$C$505,1))=0),"missing primary contact in أرقام التواصل; ","")&amp;IF(OR(B74="to_candidate",AW74="proposed_name"),IF(AX74="","missing proposed_move_reason; ","")&amp;IF(AY74="","missing proposed_name_key; ",""),"")))))</x:f>
      </x:c>
    </x:row>
    <x:row r="75">
      <x:c r="A75" s="219"/>
      <x:c r="B75" s="220"/>
      <x:c r="C75" s="221"/>
      <x:c r="D75" s="220"/>
      <x:c r="E75" s="222"/>
      <x:c r="F75" s="220"/>
      <x:c r="G75" s="220"/>
      <x:c r="H75" s="220"/>
      <x:c r="I75" s="220"/>
      <x:c r="J75" s="220"/>
      <x:c r="K75" s="220"/>
      <x:c r="L75" s="220" t="str">
        <x:f>IF(TRIM(H75&amp;" "&amp;I75&amp;" "&amp;J75&amp;IF(K75&lt;&gt;""," ("&amp;K75&amp;")",""))="","",TRIM(H75&amp;" "&amp;I75&amp;" "&amp;J75&amp;IF(K75&lt;&gt;""," ("&amp;K75&amp;")","")))</x:f>
      </x:c>
      <x:c r="M75" s="220"/>
      <x:c r="N75" s="220"/>
      <x:c r="O75" s="220"/>
      <x:c r="P75" s="220"/>
      <x:c r="Q75" s="220"/>
      <x:c r="R75" s="220"/>
      <x:c r="S75" s="220"/>
      <x:c r="T75" s="220"/>
      <x:c r="U75" s="220" t="str">
        <x:f>IF(AND(M75="",O75="",Q75="",S75=""),"",IF(S75&lt;&gt;"",S75,IF(Q75&lt;&gt;"",Q75,IF(O75&lt;&gt;"",O75,M75))))</x:f>
      </x:c>
      <x:c r="V75" s="220" t="str">
        <x:f>IF(AND(N75="",P75="",R75="",T75=""),"",IF(T75&lt;&gt;"",T75,IF(R75&lt;&gt;"",R75,IF(P75&lt;&gt;"",P75,N75))))</x:f>
      </x:c>
      <x:c r="W75" s="221"/>
      <x:c r="X75" s="220"/>
      <x:c r="Y75" s="220"/>
      <x:c r="Z75" s="223"/>
      <x:c r="AA75" s="223"/>
      <x:c r="AB75" s="221"/>
      <x:c r="AC75" s="220"/>
      <x:c r="AD75" s="220"/>
      <x:c r="AE75" s="222"/>
      <x:c r="AF75" s="220"/>
      <x:c r="AG75" s="221"/>
      <x:c r="AH75" s="220"/>
      <x:c r="AI75" s="220"/>
      <x:c r="AJ75" s="222"/>
      <x:c r="AK75" s="220"/>
      <x:c r="AL75" s="220"/>
      <x:c r="AM75" s="220"/>
      <x:c r="AN75" s="220"/>
      <x:c r="AO75" s="220"/>
      <x:c r="AP75" s="220"/>
      <x:c r="AQ75" s="220"/>
      <x:c r="AR75" s="222"/>
      <x:c r="AS75" s="220"/>
      <x:c r="AT75" s="220"/>
      <x:c r="AU75" s="220"/>
      <x:c r="AV75" s="220"/>
      <x:c r="AW75" s="220"/>
      <x:c r="AX75" s="220"/>
      <x:c r="AY75" s="221"/>
      <x:c r="AZ75" s="220"/>
      <x:c r="BA75" s="220" t="str">
        <x:f>IF(AND(A75="",B75="",F75="",H75="",J75="",AW75="",AY75=""),"",IF(OR(B75="skip",AW75="skip"),"SKIP",IF(OR(B75="to_candidate",AW75="proposed_name"),IF(OR(A75="",AX75="",AY75="",COUNTIF($A$6:$A$505,A75)&gt;1),"REVIEW","TO_PROPOSED"),IF(OR(B75="",A75="",F75="",H75="",J75="",U75="",AW75="",COUNTIF($A$6:$A$505,A75)&gt;1,(COUNTIFS('أرقام التواصل'!$A$6:$A$505,"client",'أرقام التواصل'!$B$6:$B$505,A75,'أرقام التواصل'!$I$6:$I$505,"TRUE")+COUNTIFS('أرقام التواصل'!$A$6:$A$505,"client",'أرقام التواصل'!$B$6:$B$505,A75,'أرقام التواصل'!$C$6:$C$505,1))=0),"REVIEW","READY"))))</x:f>
      </x:c>
      <x:c r="BB75" s="224" t="str">
        <x:f>IF(BA75="","",IF(OR(BA75="READY",BA75="TO_PROPOSED"),"",IF(BA75="SKIP","Skipped by decision",TRIM(IF(B75="","missing import_action; ","")&amp;IF(A75="","missing migration_customer_key; ","")&amp;IF(AND(A75&lt;&gt;"",COUNTIF($A$6:$A$505,A75)&gt;1),"duplicate migration_customer_key; ","")&amp;IF(AND(NOT(OR(B75="to_candidate",AW75="proposed_name")),F75=""),"missing branch_id; ","")&amp;IF(AND(NOT(OR(B75="to_candidate",AW75="proposed_name")),H75=""),"missing first_name; ","")&amp;IF(AND(NOT(OR(B75="to_candidate",AW75="proposed_name")),J75=""),"missing last_name; ","")&amp;IF(AND(NOT(OR(B75="to_candidate",AW75="proposed_name")),U75=""),"missing final_geo_unit_id; ","")&amp;IF(AW75="","missing final_destination; ","")&amp;IF(AND(NOT(OR(B75="to_candidate",AW75="proposed_name")),(COUNTIFS('أرقام التواصل'!$A$6:$A$505,"client",'أرقام التواصل'!$B$6:$B$505,A75,'أرقام التواصل'!$I$6:$I$505,"TRUE")+COUNTIFS('أرقام التواصل'!$A$6:$A$505,"client",'أرقام التواصل'!$B$6:$B$505,A75,'أرقام التواصل'!$C$6:$C$505,1))=0),"missing primary contact in أرقام التواصل; ","")&amp;IF(OR(B75="to_candidate",AW75="proposed_name"),IF(AX75="","missing proposed_move_reason; ","")&amp;IF(AY75="","missing proposed_name_key; ",""),"")))))</x:f>
      </x:c>
    </x:row>
    <x:row r="76">
      <x:c r="A76" s="219"/>
      <x:c r="B76" s="220"/>
      <x:c r="C76" s="221"/>
      <x:c r="D76" s="220"/>
      <x:c r="E76" s="222"/>
      <x:c r="F76" s="220"/>
      <x:c r="G76" s="220"/>
      <x:c r="H76" s="220"/>
      <x:c r="I76" s="220"/>
      <x:c r="J76" s="220"/>
      <x:c r="K76" s="220"/>
      <x:c r="L76" s="220" t="str">
        <x:f>IF(TRIM(H76&amp;" "&amp;I76&amp;" "&amp;J76&amp;IF(K76&lt;&gt;""," ("&amp;K76&amp;")",""))="","",TRIM(H76&amp;" "&amp;I76&amp;" "&amp;J76&amp;IF(K76&lt;&gt;""," ("&amp;K76&amp;")","")))</x:f>
      </x:c>
      <x:c r="M76" s="220"/>
      <x:c r="N76" s="220"/>
      <x:c r="O76" s="220"/>
      <x:c r="P76" s="220"/>
      <x:c r="Q76" s="220"/>
      <x:c r="R76" s="220"/>
      <x:c r="S76" s="220"/>
      <x:c r="T76" s="220"/>
      <x:c r="U76" s="220" t="str">
        <x:f>IF(AND(M76="",O76="",Q76="",S76=""),"",IF(S76&lt;&gt;"",S76,IF(Q76&lt;&gt;"",Q76,IF(O76&lt;&gt;"",O76,M76))))</x:f>
      </x:c>
      <x:c r="V76" s="220" t="str">
        <x:f>IF(AND(N76="",P76="",R76="",T76=""),"",IF(T76&lt;&gt;"",T76,IF(R76&lt;&gt;"",R76,IF(P76&lt;&gt;"",P76,N76))))</x:f>
      </x:c>
      <x:c r="W76" s="221"/>
      <x:c r="X76" s="220"/>
      <x:c r="Y76" s="220"/>
      <x:c r="Z76" s="223"/>
      <x:c r="AA76" s="223"/>
      <x:c r="AB76" s="221"/>
      <x:c r="AC76" s="220"/>
      <x:c r="AD76" s="220"/>
      <x:c r="AE76" s="222"/>
      <x:c r="AF76" s="220"/>
      <x:c r="AG76" s="221"/>
      <x:c r="AH76" s="220"/>
      <x:c r="AI76" s="220"/>
      <x:c r="AJ76" s="222"/>
      <x:c r="AK76" s="220"/>
      <x:c r="AL76" s="220"/>
      <x:c r="AM76" s="220"/>
      <x:c r="AN76" s="220"/>
      <x:c r="AO76" s="220"/>
      <x:c r="AP76" s="220"/>
      <x:c r="AQ76" s="220"/>
      <x:c r="AR76" s="222"/>
      <x:c r="AS76" s="220"/>
      <x:c r="AT76" s="220"/>
      <x:c r="AU76" s="220"/>
      <x:c r="AV76" s="220"/>
      <x:c r="AW76" s="220"/>
      <x:c r="AX76" s="220"/>
      <x:c r="AY76" s="221"/>
      <x:c r="AZ76" s="220"/>
      <x:c r="BA76" s="220" t="str">
        <x:f>IF(AND(A76="",B76="",F76="",H76="",J76="",AW76="",AY76=""),"",IF(OR(B76="skip",AW76="skip"),"SKIP",IF(OR(B76="to_candidate",AW76="proposed_name"),IF(OR(A76="",AX76="",AY76="",COUNTIF($A$6:$A$505,A76)&gt;1),"REVIEW","TO_PROPOSED"),IF(OR(B76="",A76="",F76="",H76="",J76="",U76="",AW76="",COUNTIF($A$6:$A$505,A76)&gt;1,(COUNTIFS('أرقام التواصل'!$A$6:$A$505,"client",'أرقام التواصل'!$B$6:$B$505,A76,'أرقام التواصل'!$I$6:$I$505,"TRUE")+COUNTIFS('أرقام التواصل'!$A$6:$A$505,"client",'أرقام التواصل'!$B$6:$B$505,A76,'أرقام التواصل'!$C$6:$C$505,1))=0),"REVIEW","READY"))))</x:f>
      </x:c>
      <x:c r="BB76" s="224" t="str">
        <x:f>IF(BA76="","",IF(OR(BA76="READY",BA76="TO_PROPOSED"),"",IF(BA76="SKIP","Skipped by decision",TRIM(IF(B76="","missing import_action; ","")&amp;IF(A76="","missing migration_customer_key; ","")&amp;IF(AND(A76&lt;&gt;"",COUNTIF($A$6:$A$505,A76)&gt;1),"duplicate migration_customer_key; ","")&amp;IF(AND(NOT(OR(B76="to_candidate",AW76="proposed_name")),F76=""),"missing branch_id; ","")&amp;IF(AND(NOT(OR(B76="to_candidate",AW76="proposed_name")),H76=""),"missing first_name; ","")&amp;IF(AND(NOT(OR(B76="to_candidate",AW76="proposed_name")),J76=""),"missing last_name; ","")&amp;IF(AND(NOT(OR(B76="to_candidate",AW76="proposed_name")),U76=""),"missing final_geo_unit_id; ","")&amp;IF(AW76="","missing final_destination; ","")&amp;IF(AND(NOT(OR(B76="to_candidate",AW76="proposed_name")),(COUNTIFS('أرقام التواصل'!$A$6:$A$505,"client",'أرقام التواصل'!$B$6:$B$505,A76,'أرقام التواصل'!$I$6:$I$505,"TRUE")+COUNTIFS('أرقام التواصل'!$A$6:$A$505,"client",'أرقام التواصل'!$B$6:$B$505,A76,'أرقام التواصل'!$C$6:$C$505,1))=0),"missing primary contact in أرقام التواصل; ","")&amp;IF(OR(B76="to_candidate",AW76="proposed_name"),IF(AX76="","missing proposed_move_reason; ","")&amp;IF(AY76="","missing proposed_name_key; ",""),"")))))</x:f>
      </x:c>
    </x:row>
    <x:row r="77">
      <x:c r="A77" s="219"/>
      <x:c r="B77" s="220"/>
      <x:c r="C77" s="221"/>
      <x:c r="D77" s="220"/>
      <x:c r="E77" s="222"/>
      <x:c r="F77" s="220"/>
      <x:c r="G77" s="220"/>
      <x:c r="H77" s="220"/>
      <x:c r="I77" s="220"/>
      <x:c r="J77" s="220"/>
      <x:c r="K77" s="220"/>
      <x:c r="L77" s="220" t="str">
        <x:f>IF(TRIM(H77&amp;" "&amp;I77&amp;" "&amp;J77&amp;IF(K77&lt;&gt;""," ("&amp;K77&amp;")",""))="","",TRIM(H77&amp;" "&amp;I77&amp;" "&amp;J77&amp;IF(K77&lt;&gt;""," ("&amp;K77&amp;")","")))</x:f>
      </x:c>
      <x:c r="M77" s="220"/>
      <x:c r="N77" s="220"/>
      <x:c r="O77" s="220"/>
      <x:c r="P77" s="220"/>
      <x:c r="Q77" s="220"/>
      <x:c r="R77" s="220"/>
      <x:c r="S77" s="220"/>
      <x:c r="T77" s="220"/>
      <x:c r="U77" s="220" t="str">
        <x:f>IF(AND(M77="",O77="",Q77="",S77=""),"",IF(S77&lt;&gt;"",S77,IF(Q77&lt;&gt;"",Q77,IF(O77&lt;&gt;"",O77,M77))))</x:f>
      </x:c>
      <x:c r="V77" s="220" t="str">
        <x:f>IF(AND(N77="",P77="",R77="",T77=""),"",IF(T77&lt;&gt;"",T77,IF(R77&lt;&gt;"",R77,IF(P77&lt;&gt;"",P77,N77))))</x:f>
      </x:c>
      <x:c r="W77" s="221"/>
      <x:c r="X77" s="220"/>
      <x:c r="Y77" s="220"/>
      <x:c r="Z77" s="223"/>
      <x:c r="AA77" s="223"/>
      <x:c r="AB77" s="221"/>
      <x:c r="AC77" s="220"/>
      <x:c r="AD77" s="220"/>
      <x:c r="AE77" s="222"/>
      <x:c r="AF77" s="220"/>
      <x:c r="AG77" s="221"/>
      <x:c r="AH77" s="220"/>
      <x:c r="AI77" s="220"/>
      <x:c r="AJ77" s="222"/>
      <x:c r="AK77" s="220"/>
      <x:c r="AL77" s="220"/>
      <x:c r="AM77" s="220"/>
      <x:c r="AN77" s="220"/>
      <x:c r="AO77" s="220"/>
      <x:c r="AP77" s="220"/>
      <x:c r="AQ77" s="220"/>
      <x:c r="AR77" s="222"/>
      <x:c r="AS77" s="220"/>
      <x:c r="AT77" s="220"/>
      <x:c r="AU77" s="220"/>
      <x:c r="AV77" s="220"/>
      <x:c r="AW77" s="220"/>
      <x:c r="AX77" s="220"/>
      <x:c r="AY77" s="221"/>
      <x:c r="AZ77" s="220"/>
      <x:c r="BA77" s="220" t="str">
        <x:f>IF(AND(A77="",B77="",F77="",H77="",J77="",AW77="",AY77=""),"",IF(OR(B77="skip",AW77="skip"),"SKIP",IF(OR(B77="to_candidate",AW77="proposed_name"),IF(OR(A77="",AX77="",AY77="",COUNTIF($A$6:$A$505,A77)&gt;1),"REVIEW","TO_PROPOSED"),IF(OR(B77="",A77="",F77="",H77="",J77="",U77="",AW77="",COUNTIF($A$6:$A$505,A77)&gt;1,(COUNTIFS('أرقام التواصل'!$A$6:$A$505,"client",'أرقام التواصل'!$B$6:$B$505,A77,'أرقام التواصل'!$I$6:$I$505,"TRUE")+COUNTIFS('أرقام التواصل'!$A$6:$A$505,"client",'أرقام التواصل'!$B$6:$B$505,A77,'أرقام التواصل'!$C$6:$C$505,1))=0),"REVIEW","READY"))))</x:f>
      </x:c>
      <x:c r="BB77" s="224" t="str">
        <x:f>IF(BA77="","",IF(OR(BA77="READY",BA77="TO_PROPOSED"),"",IF(BA77="SKIP","Skipped by decision",TRIM(IF(B77="","missing import_action; ","")&amp;IF(A77="","missing migration_customer_key; ","")&amp;IF(AND(A77&lt;&gt;"",COUNTIF($A$6:$A$505,A77)&gt;1),"duplicate migration_customer_key; ","")&amp;IF(AND(NOT(OR(B77="to_candidate",AW77="proposed_name")),F77=""),"missing branch_id; ","")&amp;IF(AND(NOT(OR(B77="to_candidate",AW77="proposed_name")),H77=""),"missing first_name; ","")&amp;IF(AND(NOT(OR(B77="to_candidate",AW77="proposed_name")),J77=""),"missing last_name; ","")&amp;IF(AND(NOT(OR(B77="to_candidate",AW77="proposed_name")),U77=""),"missing final_geo_unit_id; ","")&amp;IF(AW77="","missing final_destination; ","")&amp;IF(AND(NOT(OR(B77="to_candidate",AW77="proposed_name")),(COUNTIFS('أرقام التواصل'!$A$6:$A$505,"client",'أرقام التواصل'!$B$6:$B$505,A77,'أرقام التواصل'!$I$6:$I$505,"TRUE")+COUNTIFS('أرقام التواصل'!$A$6:$A$505,"client",'أرقام التواصل'!$B$6:$B$505,A77,'أرقام التواصل'!$C$6:$C$505,1))=0),"missing primary contact in أرقام التواصل; ","")&amp;IF(OR(B77="to_candidate",AW77="proposed_name"),IF(AX77="","missing proposed_move_reason; ","")&amp;IF(AY77="","missing proposed_name_key; ",""),"")))))</x:f>
      </x:c>
    </x:row>
    <x:row r="78">
      <x:c r="A78" s="219"/>
      <x:c r="B78" s="220"/>
      <x:c r="C78" s="221"/>
      <x:c r="D78" s="220"/>
      <x:c r="E78" s="222"/>
      <x:c r="F78" s="220"/>
      <x:c r="G78" s="220"/>
      <x:c r="H78" s="220"/>
      <x:c r="I78" s="220"/>
      <x:c r="J78" s="220"/>
      <x:c r="K78" s="220"/>
      <x:c r="L78" s="220" t="str">
        <x:f>IF(TRIM(H78&amp;" "&amp;I78&amp;" "&amp;J78&amp;IF(K78&lt;&gt;""," ("&amp;K78&amp;")",""))="","",TRIM(H78&amp;" "&amp;I78&amp;" "&amp;J78&amp;IF(K78&lt;&gt;""," ("&amp;K78&amp;")","")))</x:f>
      </x:c>
      <x:c r="M78" s="220"/>
      <x:c r="N78" s="220"/>
      <x:c r="O78" s="220"/>
      <x:c r="P78" s="220"/>
      <x:c r="Q78" s="220"/>
      <x:c r="R78" s="220"/>
      <x:c r="S78" s="220"/>
      <x:c r="T78" s="220"/>
      <x:c r="U78" s="220" t="str">
        <x:f>IF(AND(M78="",O78="",Q78="",S78=""),"",IF(S78&lt;&gt;"",S78,IF(Q78&lt;&gt;"",Q78,IF(O78&lt;&gt;"",O78,M78))))</x:f>
      </x:c>
      <x:c r="V78" s="220" t="str">
        <x:f>IF(AND(N78="",P78="",R78="",T78=""),"",IF(T78&lt;&gt;"",T78,IF(R78&lt;&gt;"",R78,IF(P78&lt;&gt;"",P78,N78))))</x:f>
      </x:c>
      <x:c r="W78" s="221"/>
      <x:c r="X78" s="220"/>
      <x:c r="Y78" s="220"/>
      <x:c r="Z78" s="223"/>
      <x:c r="AA78" s="223"/>
      <x:c r="AB78" s="221"/>
      <x:c r="AC78" s="220"/>
      <x:c r="AD78" s="220"/>
      <x:c r="AE78" s="222"/>
      <x:c r="AF78" s="220"/>
      <x:c r="AG78" s="221"/>
      <x:c r="AH78" s="220"/>
      <x:c r="AI78" s="220"/>
      <x:c r="AJ78" s="222"/>
      <x:c r="AK78" s="220"/>
      <x:c r="AL78" s="220"/>
      <x:c r="AM78" s="220"/>
      <x:c r="AN78" s="220"/>
      <x:c r="AO78" s="220"/>
      <x:c r="AP78" s="220"/>
      <x:c r="AQ78" s="220"/>
      <x:c r="AR78" s="222"/>
      <x:c r="AS78" s="220"/>
      <x:c r="AT78" s="220"/>
      <x:c r="AU78" s="220"/>
      <x:c r="AV78" s="220"/>
      <x:c r="AW78" s="220"/>
      <x:c r="AX78" s="220"/>
      <x:c r="AY78" s="221"/>
      <x:c r="AZ78" s="220"/>
      <x:c r="BA78" s="220" t="str">
        <x:f>IF(AND(A78="",B78="",F78="",H78="",J78="",AW78="",AY78=""),"",IF(OR(B78="skip",AW78="skip"),"SKIP",IF(OR(B78="to_candidate",AW78="proposed_name"),IF(OR(A78="",AX78="",AY78="",COUNTIF($A$6:$A$505,A78)&gt;1),"REVIEW","TO_PROPOSED"),IF(OR(B78="",A78="",F78="",H78="",J78="",U78="",AW78="",COUNTIF($A$6:$A$505,A78)&gt;1,(COUNTIFS('أرقام التواصل'!$A$6:$A$505,"client",'أرقام التواصل'!$B$6:$B$505,A78,'أرقام التواصل'!$I$6:$I$505,"TRUE")+COUNTIFS('أرقام التواصل'!$A$6:$A$505,"client",'أرقام التواصل'!$B$6:$B$505,A78,'أرقام التواصل'!$C$6:$C$505,1))=0),"REVIEW","READY"))))</x:f>
      </x:c>
      <x:c r="BB78" s="224" t="str">
        <x:f>IF(BA78="","",IF(OR(BA78="READY",BA78="TO_PROPOSED"),"",IF(BA78="SKIP","Skipped by decision",TRIM(IF(B78="","missing import_action; ","")&amp;IF(A78="","missing migration_customer_key; ","")&amp;IF(AND(A78&lt;&gt;"",COUNTIF($A$6:$A$505,A78)&gt;1),"duplicate migration_customer_key; ","")&amp;IF(AND(NOT(OR(B78="to_candidate",AW78="proposed_name")),F78=""),"missing branch_id; ","")&amp;IF(AND(NOT(OR(B78="to_candidate",AW78="proposed_name")),H78=""),"missing first_name; ","")&amp;IF(AND(NOT(OR(B78="to_candidate",AW78="proposed_name")),J78=""),"missing last_name; ","")&amp;IF(AND(NOT(OR(B78="to_candidate",AW78="proposed_name")),U78=""),"missing final_geo_unit_id; ","")&amp;IF(AW78="","missing final_destination; ","")&amp;IF(AND(NOT(OR(B78="to_candidate",AW78="proposed_name")),(COUNTIFS('أرقام التواصل'!$A$6:$A$505,"client",'أرقام التواصل'!$B$6:$B$505,A78,'أرقام التواصل'!$I$6:$I$505,"TRUE")+COUNTIFS('أرقام التواصل'!$A$6:$A$505,"client",'أرقام التواصل'!$B$6:$B$505,A78,'أرقام التواصل'!$C$6:$C$505,1))=0),"missing primary contact in أرقام التواصل; ","")&amp;IF(OR(B78="to_candidate",AW78="proposed_name"),IF(AX78="","missing proposed_move_reason; ","")&amp;IF(AY78="","missing proposed_name_key; ",""),"")))))</x:f>
      </x:c>
    </x:row>
    <x:row r="79">
      <x:c r="A79" s="219"/>
      <x:c r="B79" s="220"/>
      <x:c r="C79" s="221"/>
      <x:c r="D79" s="220"/>
      <x:c r="E79" s="222"/>
      <x:c r="F79" s="220"/>
      <x:c r="G79" s="220"/>
      <x:c r="H79" s="220"/>
      <x:c r="I79" s="220"/>
      <x:c r="J79" s="220"/>
      <x:c r="K79" s="220"/>
      <x:c r="L79" s="220" t="str">
        <x:f>IF(TRIM(H79&amp;" "&amp;I79&amp;" "&amp;J79&amp;IF(K79&lt;&gt;""," ("&amp;K79&amp;")",""))="","",TRIM(H79&amp;" "&amp;I79&amp;" "&amp;J79&amp;IF(K79&lt;&gt;""," ("&amp;K79&amp;")","")))</x:f>
      </x:c>
      <x:c r="M79" s="220"/>
      <x:c r="N79" s="220"/>
      <x:c r="O79" s="220"/>
      <x:c r="P79" s="220"/>
      <x:c r="Q79" s="220"/>
      <x:c r="R79" s="220"/>
      <x:c r="S79" s="220"/>
      <x:c r="T79" s="220"/>
      <x:c r="U79" s="220" t="str">
        <x:f>IF(AND(M79="",O79="",Q79="",S79=""),"",IF(S79&lt;&gt;"",S79,IF(Q79&lt;&gt;"",Q79,IF(O79&lt;&gt;"",O79,M79))))</x:f>
      </x:c>
      <x:c r="V79" s="220" t="str">
        <x:f>IF(AND(N79="",P79="",R79="",T79=""),"",IF(T79&lt;&gt;"",T79,IF(R79&lt;&gt;"",R79,IF(P79&lt;&gt;"",P79,N79))))</x:f>
      </x:c>
      <x:c r="W79" s="221"/>
      <x:c r="X79" s="220"/>
      <x:c r="Y79" s="220"/>
      <x:c r="Z79" s="223"/>
      <x:c r="AA79" s="223"/>
      <x:c r="AB79" s="221"/>
      <x:c r="AC79" s="220"/>
      <x:c r="AD79" s="220"/>
      <x:c r="AE79" s="222"/>
      <x:c r="AF79" s="220"/>
      <x:c r="AG79" s="221"/>
      <x:c r="AH79" s="220"/>
      <x:c r="AI79" s="220"/>
      <x:c r="AJ79" s="222"/>
      <x:c r="AK79" s="220"/>
      <x:c r="AL79" s="220"/>
      <x:c r="AM79" s="220"/>
      <x:c r="AN79" s="220"/>
      <x:c r="AO79" s="220"/>
      <x:c r="AP79" s="220"/>
      <x:c r="AQ79" s="220"/>
      <x:c r="AR79" s="222"/>
      <x:c r="AS79" s="220"/>
      <x:c r="AT79" s="220"/>
      <x:c r="AU79" s="220"/>
      <x:c r="AV79" s="220"/>
      <x:c r="AW79" s="220"/>
      <x:c r="AX79" s="220"/>
      <x:c r="AY79" s="221"/>
      <x:c r="AZ79" s="220"/>
      <x:c r="BA79" s="220" t="str">
        <x:f>IF(AND(A79="",B79="",F79="",H79="",J79="",AW79="",AY79=""),"",IF(OR(B79="skip",AW79="skip"),"SKIP",IF(OR(B79="to_candidate",AW79="proposed_name"),IF(OR(A79="",AX79="",AY79="",COUNTIF($A$6:$A$505,A79)&gt;1),"REVIEW","TO_PROPOSED"),IF(OR(B79="",A79="",F79="",H79="",J79="",U79="",AW79="",COUNTIF($A$6:$A$505,A79)&gt;1,(COUNTIFS('أرقام التواصل'!$A$6:$A$505,"client",'أرقام التواصل'!$B$6:$B$505,A79,'أرقام التواصل'!$I$6:$I$505,"TRUE")+COUNTIFS('أرقام التواصل'!$A$6:$A$505,"client",'أرقام التواصل'!$B$6:$B$505,A79,'أرقام التواصل'!$C$6:$C$505,1))=0),"REVIEW","READY"))))</x:f>
      </x:c>
      <x:c r="BB79" s="224" t="str">
        <x:f>IF(BA79="","",IF(OR(BA79="READY",BA79="TO_PROPOSED"),"",IF(BA79="SKIP","Skipped by decision",TRIM(IF(B79="","missing import_action; ","")&amp;IF(A79="","missing migration_customer_key; ","")&amp;IF(AND(A79&lt;&gt;"",COUNTIF($A$6:$A$505,A79)&gt;1),"duplicate migration_customer_key; ","")&amp;IF(AND(NOT(OR(B79="to_candidate",AW79="proposed_name")),F79=""),"missing branch_id; ","")&amp;IF(AND(NOT(OR(B79="to_candidate",AW79="proposed_name")),H79=""),"missing first_name; ","")&amp;IF(AND(NOT(OR(B79="to_candidate",AW79="proposed_name")),J79=""),"missing last_name; ","")&amp;IF(AND(NOT(OR(B79="to_candidate",AW79="proposed_name")),U79=""),"missing final_geo_unit_id; ","")&amp;IF(AW79="","missing final_destination; ","")&amp;IF(AND(NOT(OR(B79="to_candidate",AW79="proposed_name")),(COUNTIFS('أرقام التواصل'!$A$6:$A$505,"client",'أرقام التواصل'!$B$6:$B$505,A79,'أرقام التواصل'!$I$6:$I$505,"TRUE")+COUNTIFS('أرقام التواصل'!$A$6:$A$505,"client",'أرقام التواصل'!$B$6:$B$505,A79,'أرقام التواصل'!$C$6:$C$505,1))=0),"missing primary contact in أرقام التواصل; ","")&amp;IF(OR(B79="to_candidate",AW79="proposed_name"),IF(AX79="","missing proposed_move_reason; ","")&amp;IF(AY79="","missing proposed_name_key; ",""),"")))))</x:f>
      </x:c>
    </x:row>
    <x:row r="80">
      <x:c r="A80" s="219"/>
      <x:c r="B80" s="220"/>
      <x:c r="C80" s="221"/>
      <x:c r="D80" s="220"/>
      <x:c r="E80" s="222"/>
      <x:c r="F80" s="220"/>
      <x:c r="G80" s="220"/>
      <x:c r="H80" s="220"/>
      <x:c r="I80" s="220"/>
      <x:c r="J80" s="220"/>
      <x:c r="K80" s="220"/>
      <x:c r="L80" s="220" t="str">
        <x:f>IF(TRIM(H80&amp;" "&amp;I80&amp;" "&amp;J80&amp;IF(K80&lt;&gt;""," ("&amp;K80&amp;")",""))="","",TRIM(H80&amp;" "&amp;I80&amp;" "&amp;J80&amp;IF(K80&lt;&gt;""," ("&amp;K80&amp;")","")))</x:f>
      </x:c>
      <x:c r="M80" s="220"/>
      <x:c r="N80" s="220"/>
      <x:c r="O80" s="220"/>
      <x:c r="P80" s="220"/>
      <x:c r="Q80" s="220"/>
      <x:c r="R80" s="220"/>
      <x:c r="S80" s="220"/>
      <x:c r="T80" s="220"/>
      <x:c r="U80" s="220" t="str">
        <x:f>IF(AND(M80="",O80="",Q80="",S80=""),"",IF(S80&lt;&gt;"",S80,IF(Q80&lt;&gt;"",Q80,IF(O80&lt;&gt;"",O80,M80))))</x:f>
      </x:c>
      <x:c r="V80" s="220" t="str">
        <x:f>IF(AND(N80="",P80="",R80="",T80=""),"",IF(T80&lt;&gt;"",T80,IF(R80&lt;&gt;"",R80,IF(P80&lt;&gt;"",P80,N80))))</x:f>
      </x:c>
      <x:c r="W80" s="221"/>
      <x:c r="X80" s="220"/>
      <x:c r="Y80" s="220"/>
      <x:c r="Z80" s="223"/>
      <x:c r="AA80" s="223"/>
      <x:c r="AB80" s="221"/>
      <x:c r="AC80" s="220"/>
      <x:c r="AD80" s="220"/>
      <x:c r="AE80" s="222"/>
      <x:c r="AF80" s="220"/>
      <x:c r="AG80" s="221"/>
      <x:c r="AH80" s="220"/>
      <x:c r="AI80" s="220"/>
      <x:c r="AJ80" s="222"/>
      <x:c r="AK80" s="220"/>
      <x:c r="AL80" s="220"/>
      <x:c r="AM80" s="220"/>
      <x:c r="AN80" s="220"/>
      <x:c r="AO80" s="220"/>
      <x:c r="AP80" s="220"/>
      <x:c r="AQ80" s="220"/>
      <x:c r="AR80" s="222"/>
      <x:c r="AS80" s="220"/>
      <x:c r="AT80" s="220"/>
      <x:c r="AU80" s="220"/>
      <x:c r="AV80" s="220"/>
      <x:c r="AW80" s="220"/>
      <x:c r="AX80" s="220"/>
      <x:c r="AY80" s="221"/>
      <x:c r="AZ80" s="220"/>
      <x:c r="BA80" s="220" t="str">
        <x:f>IF(AND(A80="",B80="",F80="",H80="",J80="",AW80="",AY80=""),"",IF(OR(B80="skip",AW80="skip"),"SKIP",IF(OR(B80="to_candidate",AW80="proposed_name"),IF(OR(A80="",AX80="",AY80="",COUNTIF($A$6:$A$505,A80)&gt;1),"REVIEW","TO_PROPOSED"),IF(OR(B80="",A80="",F80="",H80="",J80="",U80="",AW80="",COUNTIF($A$6:$A$505,A80)&gt;1,(COUNTIFS('أرقام التواصل'!$A$6:$A$505,"client",'أرقام التواصل'!$B$6:$B$505,A80,'أرقام التواصل'!$I$6:$I$505,"TRUE")+COUNTIFS('أرقام التواصل'!$A$6:$A$505,"client",'أرقام التواصل'!$B$6:$B$505,A80,'أرقام التواصل'!$C$6:$C$505,1))=0),"REVIEW","READY"))))</x:f>
      </x:c>
      <x:c r="BB80" s="224" t="str">
        <x:f>IF(BA80="","",IF(OR(BA80="READY",BA80="TO_PROPOSED"),"",IF(BA80="SKIP","Skipped by decision",TRIM(IF(B80="","missing import_action; ","")&amp;IF(A80="","missing migration_customer_key; ","")&amp;IF(AND(A80&lt;&gt;"",COUNTIF($A$6:$A$505,A80)&gt;1),"duplicate migration_customer_key; ","")&amp;IF(AND(NOT(OR(B80="to_candidate",AW80="proposed_name")),F80=""),"missing branch_id; ","")&amp;IF(AND(NOT(OR(B80="to_candidate",AW80="proposed_name")),H80=""),"missing first_name; ","")&amp;IF(AND(NOT(OR(B80="to_candidate",AW80="proposed_name")),J80=""),"missing last_name; ","")&amp;IF(AND(NOT(OR(B80="to_candidate",AW80="proposed_name")),U80=""),"missing final_geo_unit_id; ","")&amp;IF(AW80="","missing final_destination; ","")&amp;IF(AND(NOT(OR(B80="to_candidate",AW80="proposed_name")),(COUNTIFS('أرقام التواصل'!$A$6:$A$505,"client",'أرقام التواصل'!$B$6:$B$505,A80,'أرقام التواصل'!$I$6:$I$505,"TRUE")+COUNTIFS('أرقام التواصل'!$A$6:$A$505,"client",'أرقام التواصل'!$B$6:$B$505,A80,'أرقام التواصل'!$C$6:$C$505,1))=0),"missing primary contact in أرقام التواصل; ","")&amp;IF(OR(B80="to_candidate",AW80="proposed_name"),IF(AX80="","missing proposed_move_reason; ","")&amp;IF(AY80="","missing proposed_name_key; ",""),"")))))</x:f>
      </x:c>
    </x:row>
    <x:row r="81">
      <x:c r="A81" s="219"/>
      <x:c r="B81" s="220"/>
      <x:c r="C81" s="221"/>
      <x:c r="D81" s="220"/>
      <x:c r="E81" s="222"/>
      <x:c r="F81" s="220"/>
      <x:c r="G81" s="220"/>
      <x:c r="H81" s="220"/>
      <x:c r="I81" s="220"/>
      <x:c r="J81" s="220"/>
      <x:c r="K81" s="220"/>
      <x:c r="L81" s="220" t="str">
        <x:f>IF(TRIM(H81&amp;" "&amp;I81&amp;" "&amp;J81&amp;IF(K81&lt;&gt;""," ("&amp;K81&amp;")",""))="","",TRIM(H81&amp;" "&amp;I81&amp;" "&amp;J81&amp;IF(K81&lt;&gt;""," ("&amp;K81&amp;")","")))</x:f>
      </x:c>
      <x:c r="M81" s="220"/>
      <x:c r="N81" s="220"/>
      <x:c r="O81" s="220"/>
      <x:c r="P81" s="220"/>
      <x:c r="Q81" s="220"/>
      <x:c r="R81" s="220"/>
      <x:c r="S81" s="220"/>
      <x:c r="T81" s="220"/>
      <x:c r="U81" s="220" t="str">
        <x:f>IF(AND(M81="",O81="",Q81="",S81=""),"",IF(S81&lt;&gt;"",S81,IF(Q81&lt;&gt;"",Q81,IF(O81&lt;&gt;"",O81,M81))))</x:f>
      </x:c>
      <x:c r="V81" s="220" t="str">
        <x:f>IF(AND(N81="",P81="",R81="",T81=""),"",IF(T81&lt;&gt;"",T81,IF(R81&lt;&gt;"",R81,IF(P81&lt;&gt;"",P81,N81))))</x:f>
      </x:c>
      <x:c r="W81" s="221"/>
      <x:c r="X81" s="220"/>
      <x:c r="Y81" s="220"/>
      <x:c r="Z81" s="223"/>
      <x:c r="AA81" s="223"/>
      <x:c r="AB81" s="221"/>
      <x:c r="AC81" s="220"/>
      <x:c r="AD81" s="220"/>
      <x:c r="AE81" s="222"/>
      <x:c r="AF81" s="220"/>
      <x:c r="AG81" s="221"/>
      <x:c r="AH81" s="220"/>
      <x:c r="AI81" s="220"/>
      <x:c r="AJ81" s="222"/>
      <x:c r="AK81" s="220"/>
      <x:c r="AL81" s="220"/>
      <x:c r="AM81" s="220"/>
      <x:c r="AN81" s="220"/>
      <x:c r="AO81" s="220"/>
      <x:c r="AP81" s="220"/>
      <x:c r="AQ81" s="220"/>
      <x:c r="AR81" s="222"/>
      <x:c r="AS81" s="220"/>
      <x:c r="AT81" s="220"/>
      <x:c r="AU81" s="220"/>
      <x:c r="AV81" s="220"/>
      <x:c r="AW81" s="220"/>
      <x:c r="AX81" s="220"/>
      <x:c r="AY81" s="221"/>
      <x:c r="AZ81" s="220"/>
      <x:c r="BA81" s="220" t="str">
        <x:f>IF(AND(A81="",B81="",F81="",H81="",J81="",AW81="",AY81=""),"",IF(OR(B81="skip",AW81="skip"),"SKIP",IF(OR(B81="to_candidate",AW81="proposed_name"),IF(OR(A81="",AX81="",AY81="",COUNTIF($A$6:$A$505,A81)&gt;1),"REVIEW","TO_PROPOSED"),IF(OR(B81="",A81="",F81="",H81="",J81="",U81="",AW81="",COUNTIF($A$6:$A$505,A81)&gt;1,(COUNTIFS('أرقام التواصل'!$A$6:$A$505,"client",'أرقام التواصل'!$B$6:$B$505,A81,'أرقام التواصل'!$I$6:$I$505,"TRUE")+COUNTIFS('أرقام التواصل'!$A$6:$A$505,"client",'أرقام التواصل'!$B$6:$B$505,A81,'أرقام التواصل'!$C$6:$C$505,1))=0),"REVIEW","READY"))))</x:f>
      </x:c>
      <x:c r="BB81" s="224" t="str">
        <x:f>IF(BA81="","",IF(OR(BA81="READY",BA81="TO_PROPOSED"),"",IF(BA81="SKIP","Skipped by decision",TRIM(IF(B81="","missing import_action; ","")&amp;IF(A81="","missing migration_customer_key; ","")&amp;IF(AND(A81&lt;&gt;"",COUNTIF($A$6:$A$505,A81)&gt;1),"duplicate migration_customer_key; ","")&amp;IF(AND(NOT(OR(B81="to_candidate",AW81="proposed_name")),F81=""),"missing branch_id; ","")&amp;IF(AND(NOT(OR(B81="to_candidate",AW81="proposed_name")),H81=""),"missing first_name; ","")&amp;IF(AND(NOT(OR(B81="to_candidate",AW81="proposed_name")),J81=""),"missing last_name; ","")&amp;IF(AND(NOT(OR(B81="to_candidate",AW81="proposed_name")),U81=""),"missing final_geo_unit_id; ","")&amp;IF(AW81="","missing final_destination; ","")&amp;IF(AND(NOT(OR(B81="to_candidate",AW81="proposed_name")),(COUNTIFS('أرقام التواصل'!$A$6:$A$505,"client",'أرقام التواصل'!$B$6:$B$505,A81,'أرقام التواصل'!$I$6:$I$505,"TRUE")+COUNTIFS('أرقام التواصل'!$A$6:$A$505,"client",'أرقام التواصل'!$B$6:$B$505,A81,'أرقام التواصل'!$C$6:$C$505,1))=0),"missing primary contact in أرقام التواصل; ","")&amp;IF(OR(B81="to_candidate",AW81="proposed_name"),IF(AX81="","missing proposed_move_reason; ","")&amp;IF(AY81="","missing proposed_name_key; ",""),"")))))</x:f>
      </x:c>
    </x:row>
    <x:row r="82">
      <x:c r="A82" s="219"/>
      <x:c r="B82" s="220"/>
      <x:c r="C82" s="221"/>
      <x:c r="D82" s="220"/>
      <x:c r="E82" s="222"/>
      <x:c r="F82" s="220"/>
      <x:c r="G82" s="220"/>
      <x:c r="H82" s="220"/>
      <x:c r="I82" s="220"/>
      <x:c r="J82" s="220"/>
      <x:c r="K82" s="220"/>
      <x:c r="L82" s="220" t="str">
        <x:f>IF(TRIM(H82&amp;" "&amp;I82&amp;" "&amp;J82&amp;IF(K82&lt;&gt;""," ("&amp;K82&amp;")",""))="","",TRIM(H82&amp;" "&amp;I82&amp;" "&amp;J82&amp;IF(K82&lt;&gt;""," ("&amp;K82&amp;")","")))</x:f>
      </x:c>
      <x:c r="M82" s="220"/>
      <x:c r="N82" s="220"/>
      <x:c r="O82" s="220"/>
      <x:c r="P82" s="220"/>
      <x:c r="Q82" s="220"/>
      <x:c r="R82" s="220"/>
      <x:c r="S82" s="220"/>
      <x:c r="T82" s="220"/>
      <x:c r="U82" s="220" t="str">
        <x:f>IF(AND(M82="",O82="",Q82="",S82=""),"",IF(S82&lt;&gt;"",S82,IF(Q82&lt;&gt;"",Q82,IF(O82&lt;&gt;"",O82,M82))))</x:f>
      </x:c>
      <x:c r="V82" s="220" t="str">
        <x:f>IF(AND(N82="",P82="",R82="",T82=""),"",IF(T82&lt;&gt;"",T82,IF(R82&lt;&gt;"",R82,IF(P82&lt;&gt;"",P82,N82))))</x:f>
      </x:c>
      <x:c r="W82" s="221"/>
      <x:c r="X82" s="220"/>
      <x:c r="Y82" s="220"/>
      <x:c r="Z82" s="223"/>
      <x:c r="AA82" s="223"/>
      <x:c r="AB82" s="221"/>
      <x:c r="AC82" s="220"/>
      <x:c r="AD82" s="220"/>
      <x:c r="AE82" s="222"/>
      <x:c r="AF82" s="220"/>
      <x:c r="AG82" s="221"/>
      <x:c r="AH82" s="220"/>
      <x:c r="AI82" s="220"/>
      <x:c r="AJ82" s="222"/>
      <x:c r="AK82" s="220"/>
      <x:c r="AL82" s="220"/>
      <x:c r="AM82" s="220"/>
      <x:c r="AN82" s="220"/>
      <x:c r="AO82" s="220"/>
      <x:c r="AP82" s="220"/>
      <x:c r="AQ82" s="220"/>
      <x:c r="AR82" s="222"/>
      <x:c r="AS82" s="220"/>
      <x:c r="AT82" s="220"/>
      <x:c r="AU82" s="220"/>
      <x:c r="AV82" s="220"/>
      <x:c r="AW82" s="220"/>
      <x:c r="AX82" s="220"/>
      <x:c r="AY82" s="221"/>
      <x:c r="AZ82" s="220"/>
      <x:c r="BA82" s="220" t="str">
        <x:f>IF(AND(A82="",B82="",F82="",H82="",J82="",AW82="",AY82=""),"",IF(OR(B82="skip",AW82="skip"),"SKIP",IF(OR(B82="to_candidate",AW82="proposed_name"),IF(OR(A82="",AX82="",AY82="",COUNTIF($A$6:$A$505,A82)&gt;1),"REVIEW","TO_PROPOSED"),IF(OR(B82="",A82="",F82="",H82="",J82="",U82="",AW82="",COUNTIF($A$6:$A$505,A82)&gt;1,(COUNTIFS('أرقام التواصل'!$A$6:$A$505,"client",'أرقام التواصل'!$B$6:$B$505,A82,'أرقام التواصل'!$I$6:$I$505,"TRUE")+COUNTIFS('أرقام التواصل'!$A$6:$A$505,"client",'أرقام التواصل'!$B$6:$B$505,A82,'أرقام التواصل'!$C$6:$C$505,1))=0),"REVIEW","READY"))))</x:f>
      </x:c>
      <x:c r="BB82" s="224" t="str">
        <x:f>IF(BA82="","",IF(OR(BA82="READY",BA82="TO_PROPOSED"),"",IF(BA82="SKIP","Skipped by decision",TRIM(IF(B82="","missing import_action; ","")&amp;IF(A82="","missing migration_customer_key; ","")&amp;IF(AND(A82&lt;&gt;"",COUNTIF($A$6:$A$505,A82)&gt;1),"duplicate migration_customer_key; ","")&amp;IF(AND(NOT(OR(B82="to_candidate",AW82="proposed_name")),F82=""),"missing branch_id; ","")&amp;IF(AND(NOT(OR(B82="to_candidate",AW82="proposed_name")),H82=""),"missing first_name; ","")&amp;IF(AND(NOT(OR(B82="to_candidate",AW82="proposed_name")),J82=""),"missing last_name; ","")&amp;IF(AND(NOT(OR(B82="to_candidate",AW82="proposed_name")),U82=""),"missing final_geo_unit_id; ","")&amp;IF(AW82="","missing final_destination; ","")&amp;IF(AND(NOT(OR(B82="to_candidate",AW82="proposed_name")),(COUNTIFS('أرقام التواصل'!$A$6:$A$505,"client",'أرقام التواصل'!$B$6:$B$505,A82,'أرقام التواصل'!$I$6:$I$505,"TRUE")+COUNTIFS('أرقام التواصل'!$A$6:$A$505,"client",'أرقام التواصل'!$B$6:$B$505,A82,'أرقام التواصل'!$C$6:$C$505,1))=0),"missing primary contact in أرقام التواصل; ","")&amp;IF(OR(B82="to_candidate",AW82="proposed_name"),IF(AX82="","missing proposed_move_reason; ","")&amp;IF(AY82="","missing proposed_name_key; ",""),"")))))</x:f>
      </x:c>
    </x:row>
    <x:row r="83">
      <x:c r="A83" s="219"/>
      <x:c r="B83" s="220"/>
      <x:c r="C83" s="221"/>
      <x:c r="D83" s="220"/>
      <x:c r="E83" s="222"/>
      <x:c r="F83" s="220"/>
      <x:c r="G83" s="220"/>
      <x:c r="H83" s="220"/>
      <x:c r="I83" s="220"/>
      <x:c r="J83" s="220"/>
      <x:c r="K83" s="220"/>
      <x:c r="L83" s="220" t="str">
        <x:f>IF(TRIM(H83&amp;" "&amp;I83&amp;" "&amp;J83&amp;IF(K83&lt;&gt;""," ("&amp;K83&amp;")",""))="","",TRIM(H83&amp;" "&amp;I83&amp;" "&amp;J83&amp;IF(K83&lt;&gt;""," ("&amp;K83&amp;")","")))</x:f>
      </x:c>
      <x:c r="M83" s="220"/>
      <x:c r="N83" s="220"/>
      <x:c r="O83" s="220"/>
      <x:c r="P83" s="220"/>
      <x:c r="Q83" s="220"/>
      <x:c r="R83" s="220"/>
      <x:c r="S83" s="220"/>
      <x:c r="T83" s="220"/>
      <x:c r="U83" s="220" t="str">
        <x:f>IF(AND(M83="",O83="",Q83="",S83=""),"",IF(S83&lt;&gt;"",S83,IF(Q83&lt;&gt;"",Q83,IF(O83&lt;&gt;"",O83,M83))))</x:f>
      </x:c>
      <x:c r="V83" s="220" t="str">
        <x:f>IF(AND(N83="",P83="",R83="",T83=""),"",IF(T83&lt;&gt;"",T83,IF(R83&lt;&gt;"",R83,IF(P83&lt;&gt;"",P83,N83))))</x:f>
      </x:c>
      <x:c r="W83" s="221"/>
      <x:c r="X83" s="220"/>
      <x:c r="Y83" s="220"/>
      <x:c r="Z83" s="223"/>
      <x:c r="AA83" s="223"/>
      <x:c r="AB83" s="221"/>
      <x:c r="AC83" s="220"/>
      <x:c r="AD83" s="220"/>
      <x:c r="AE83" s="222"/>
      <x:c r="AF83" s="220"/>
      <x:c r="AG83" s="221"/>
      <x:c r="AH83" s="220"/>
      <x:c r="AI83" s="220"/>
      <x:c r="AJ83" s="222"/>
      <x:c r="AK83" s="220"/>
      <x:c r="AL83" s="220"/>
      <x:c r="AM83" s="220"/>
      <x:c r="AN83" s="220"/>
      <x:c r="AO83" s="220"/>
      <x:c r="AP83" s="220"/>
      <x:c r="AQ83" s="220"/>
      <x:c r="AR83" s="222"/>
      <x:c r="AS83" s="220"/>
      <x:c r="AT83" s="220"/>
      <x:c r="AU83" s="220"/>
      <x:c r="AV83" s="220"/>
      <x:c r="AW83" s="220"/>
      <x:c r="AX83" s="220"/>
      <x:c r="AY83" s="221"/>
      <x:c r="AZ83" s="220"/>
      <x:c r="BA83" s="220" t="str">
        <x:f>IF(AND(A83="",B83="",F83="",H83="",J83="",AW83="",AY83=""),"",IF(OR(B83="skip",AW83="skip"),"SKIP",IF(OR(B83="to_candidate",AW83="proposed_name"),IF(OR(A83="",AX83="",AY83="",COUNTIF($A$6:$A$505,A83)&gt;1),"REVIEW","TO_PROPOSED"),IF(OR(B83="",A83="",F83="",H83="",J83="",U83="",AW83="",COUNTIF($A$6:$A$505,A83)&gt;1,(COUNTIFS('أرقام التواصل'!$A$6:$A$505,"client",'أرقام التواصل'!$B$6:$B$505,A83,'أرقام التواصل'!$I$6:$I$505,"TRUE")+COUNTIFS('أرقام التواصل'!$A$6:$A$505,"client",'أرقام التواصل'!$B$6:$B$505,A83,'أرقام التواصل'!$C$6:$C$505,1))=0),"REVIEW","READY"))))</x:f>
      </x:c>
      <x:c r="BB83" s="224" t="str">
        <x:f>IF(BA83="","",IF(OR(BA83="READY",BA83="TO_PROPOSED"),"",IF(BA83="SKIP","Skipped by decision",TRIM(IF(B83="","missing import_action; ","")&amp;IF(A83="","missing migration_customer_key; ","")&amp;IF(AND(A83&lt;&gt;"",COUNTIF($A$6:$A$505,A83)&gt;1),"duplicate migration_customer_key; ","")&amp;IF(AND(NOT(OR(B83="to_candidate",AW83="proposed_name")),F83=""),"missing branch_id; ","")&amp;IF(AND(NOT(OR(B83="to_candidate",AW83="proposed_name")),H83=""),"missing first_name; ","")&amp;IF(AND(NOT(OR(B83="to_candidate",AW83="proposed_name")),J83=""),"missing last_name; ","")&amp;IF(AND(NOT(OR(B83="to_candidate",AW83="proposed_name")),U83=""),"missing final_geo_unit_id; ","")&amp;IF(AW83="","missing final_destination; ","")&amp;IF(AND(NOT(OR(B83="to_candidate",AW83="proposed_name")),(COUNTIFS('أرقام التواصل'!$A$6:$A$505,"client",'أرقام التواصل'!$B$6:$B$505,A83,'أرقام التواصل'!$I$6:$I$505,"TRUE")+COUNTIFS('أرقام التواصل'!$A$6:$A$505,"client",'أرقام التواصل'!$B$6:$B$505,A83,'أرقام التواصل'!$C$6:$C$505,1))=0),"missing primary contact in أرقام التواصل; ","")&amp;IF(OR(B83="to_candidate",AW83="proposed_name"),IF(AX83="","missing proposed_move_reason; ","")&amp;IF(AY83="","missing proposed_name_key; ",""),"")))))</x:f>
      </x:c>
    </x:row>
    <x:row r="84">
      <x:c r="A84" s="219"/>
      <x:c r="B84" s="220"/>
      <x:c r="C84" s="221"/>
      <x:c r="D84" s="220"/>
      <x:c r="E84" s="222"/>
      <x:c r="F84" s="220"/>
      <x:c r="G84" s="220"/>
      <x:c r="H84" s="220"/>
      <x:c r="I84" s="220"/>
      <x:c r="J84" s="220"/>
      <x:c r="K84" s="220"/>
      <x:c r="L84" s="220" t="str">
        <x:f>IF(TRIM(H84&amp;" "&amp;I84&amp;" "&amp;J84&amp;IF(K84&lt;&gt;""," ("&amp;K84&amp;")",""))="","",TRIM(H84&amp;" "&amp;I84&amp;" "&amp;J84&amp;IF(K84&lt;&gt;""," ("&amp;K84&amp;")","")))</x:f>
      </x:c>
      <x:c r="M84" s="220"/>
      <x:c r="N84" s="220"/>
      <x:c r="O84" s="220"/>
      <x:c r="P84" s="220"/>
      <x:c r="Q84" s="220"/>
      <x:c r="R84" s="220"/>
      <x:c r="S84" s="220"/>
      <x:c r="T84" s="220"/>
      <x:c r="U84" s="220" t="str">
        <x:f>IF(AND(M84="",O84="",Q84="",S84=""),"",IF(S84&lt;&gt;"",S84,IF(Q84&lt;&gt;"",Q84,IF(O84&lt;&gt;"",O84,M84))))</x:f>
      </x:c>
      <x:c r="V84" s="220" t="str">
        <x:f>IF(AND(N84="",P84="",R84="",T84=""),"",IF(T84&lt;&gt;"",T84,IF(R84&lt;&gt;"",R84,IF(P84&lt;&gt;"",P84,N84))))</x:f>
      </x:c>
      <x:c r="W84" s="221"/>
      <x:c r="X84" s="220"/>
      <x:c r="Y84" s="220"/>
      <x:c r="Z84" s="223"/>
      <x:c r="AA84" s="223"/>
      <x:c r="AB84" s="221"/>
      <x:c r="AC84" s="220"/>
      <x:c r="AD84" s="220"/>
      <x:c r="AE84" s="222"/>
      <x:c r="AF84" s="220"/>
      <x:c r="AG84" s="221"/>
      <x:c r="AH84" s="220"/>
      <x:c r="AI84" s="220"/>
      <x:c r="AJ84" s="222"/>
      <x:c r="AK84" s="220"/>
      <x:c r="AL84" s="220"/>
      <x:c r="AM84" s="220"/>
      <x:c r="AN84" s="220"/>
      <x:c r="AO84" s="220"/>
      <x:c r="AP84" s="220"/>
      <x:c r="AQ84" s="220"/>
      <x:c r="AR84" s="222"/>
      <x:c r="AS84" s="220"/>
      <x:c r="AT84" s="220"/>
      <x:c r="AU84" s="220"/>
      <x:c r="AV84" s="220"/>
      <x:c r="AW84" s="220"/>
      <x:c r="AX84" s="220"/>
      <x:c r="AY84" s="221"/>
      <x:c r="AZ84" s="220"/>
      <x:c r="BA84" s="220" t="str">
        <x:f>IF(AND(A84="",B84="",F84="",H84="",J84="",AW84="",AY84=""),"",IF(OR(B84="skip",AW84="skip"),"SKIP",IF(OR(B84="to_candidate",AW84="proposed_name"),IF(OR(A84="",AX84="",AY84="",COUNTIF($A$6:$A$505,A84)&gt;1),"REVIEW","TO_PROPOSED"),IF(OR(B84="",A84="",F84="",H84="",J84="",U84="",AW84="",COUNTIF($A$6:$A$505,A84)&gt;1,(COUNTIFS('أرقام التواصل'!$A$6:$A$505,"client",'أرقام التواصل'!$B$6:$B$505,A84,'أرقام التواصل'!$I$6:$I$505,"TRUE")+COUNTIFS('أرقام التواصل'!$A$6:$A$505,"client",'أرقام التواصل'!$B$6:$B$505,A84,'أرقام التواصل'!$C$6:$C$505,1))=0),"REVIEW","READY"))))</x:f>
      </x:c>
      <x:c r="BB84" s="224" t="str">
        <x:f>IF(BA84="","",IF(OR(BA84="READY",BA84="TO_PROPOSED"),"",IF(BA84="SKIP","Skipped by decision",TRIM(IF(B84="","missing import_action; ","")&amp;IF(A84="","missing migration_customer_key; ","")&amp;IF(AND(A84&lt;&gt;"",COUNTIF($A$6:$A$505,A84)&gt;1),"duplicate migration_customer_key; ","")&amp;IF(AND(NOT(OR(B84="to_candidate",AW84="proposed_name")),F84=""),"missing branch_id; ","")&amp;IF(AND(NOT(OR(B84="to_candidate",AW84="proposed_name")),H84=""),"missing first_name; ","")&amp;IF(AND(NOT(OR(B84="to_candidate",AW84="proposed_name")),J84=""),"missing last_name; ","")&amp;IF(AND(NOT(OR(B84="to_candidate",AW84="proposed_name")),U84=""),"missing final_geo_unit_id; ","")&amp;IF(AW84="","missing final_destination; ","")&amp;IF(AND(NOT(OR(B84="to_candidate",AW84="proposed_name")),(COUNTIFS('أرقام التواصل'!$A$6:$A$505,"client",'أرقام التواصل'!$B$6:$B$505,A84,'أرقام التواصل'!$I$6:$I$505,"TRUE")+COUNTIFS('أرقام التواصل'!$A$6:$A$505,"client",'أرقام التواصل'!$B$6:$B$505,A84,'أرقام التواصل'!$C$6:$C$505,1))=0),"missing primary contact in أرقام التواصل; ","")&amp;IF(OR(B84="to_candidate",AW84="proposed_name"),IF(AX84="","missing proposed_move_reason; ","")&amp;IF(AY84="","missing proposed_name_key; ",""),"")))))</x:f>
      </x:c>
    </x:row>
    <x:row r="85">
      <x:c r="A85" s="219"/>
      <x:c r="B85" s="220"/>
      <x:c r="C85" s="221"/>
      <x:c r="D85" s="220"/>
      <x:c r="E85" s="222"/>
      <x:c r="F85" s="220"/>
      <x:c r="G85" s="220"/>
      <x:c r="H85" s="220"/>
      <x:c r="I85" s="220"/>
      <x:c r="J85" s="220"/>
      <x:c r="K85" s="220"/>
      <x:c r="L85" s="220" t="str">
        <x:f>IF(TRIM(H85&amp;" "&amp;I85&amp;" "&amp;J85&amp;IF(K85&lt;&gt;""," ("&amp;K85&amp;")",""))="","",TRIM(H85&amp;" "&amp;I85&amp;" "&amp;J85&amp;IF(K85&lt;&gt;""," ("&amp;K85&amp;")","")))</x:f>
      </x:c>
      <x:c r="M85" s="220"/>
      <x:c r="N85" s="220"/>
      <x:c r="O85" s="220"/>
      <x:c r="P85" s="220"/>
      <x:c r="Q85" s="220"/>
      <x:c r="R85" s="220"/>
      <x:c r="S85" s="220"/>
      <x:c r="T85" s="220"/>
      <x:c r="U85" s="220" t="str">
        <x:f>IF(AND(M85="",O85="",Q85="",S85=""),"",IF(S85&lt;&gt;"",S85,IF(Q85&lt;&gt;"",Q85,IF(O85&lt;&gt;"",O85,M85))))</x:f>
      </x:c>
      <x:c r="V85" s="220" t="str">
        <x:f>IF(AND(N85="",P85="",R85="",T85=""),"",IF(T85&lt;&gt;"",T85,IF(R85&lt;&gt;"",R85,IF(P85&lt;&gt;"",P85,N85))))</x:f>
      </x:c>
      <x:c r="W85" s="221"/>
      <x:c r="X85" s="220"/>
      <x:c r="Y85" s="220"/>
      <x:c r="Z85" s="223"/>
      <x:c r="AA85" s="223"/>
      <x:c r="AB85" s="221"/>
      <x:c r="AC85" s="220"/>
      <x:c r="AD85" s="220"/>
      <x:c r="AE85" s="222"/>
      <x:c r="AF85" s="220"/>
      <x:c r="AG85" s="221"/>
      <x:c r="AH85" s="220"/>
      <x:c r="AI85" s="220"/>
      <x:c r="AJ85" s="222"/>
      <x:c r="AK85" s="220"/>
      <x:c r="AL85" s="220"/>
      <x:c r="AM85" s="220"/>
      <x:c r="AN85" s="220"/>
      <x:c r="AO85" s="220"/>
      <x:c r="AP85" s="220"/>
      <x:c r="AQ85" s="220"/>
      <x:c r="AR85" s="222"/>
      <x:c r="AS85" s="220"/>
      <x:c r="AT85" s="220"/>
      <x:c r="AU85" s="220"/>
      <x:c r="AV85" s="220"/>
      <x:c r="AW85" s="220"/>
      <x:c r="AX85" s="220"/>
      <x:c r="AY85" s="221"/>
      <x:c r="AZ85" s="220"/>
      <x:c r="BA85" s="220" t="str">
        <x:f>IF(AND(A85="",B85="",F85="",H85="",J85="",AW85="",AY85=""),"",IF(OR(B85="skip",AW85="skip"),"SKIP",IF(OR(B85="to_candidate",AW85="proposed_name"),IF(OR(A85="",AX85="",AY85="",COUNTIF($A$6:$A$505,A85)&gt;1),"REVIEW","TO_PROPOSED"),IF(OR(B85="",A85="",F85="",H85="",J85="",U85="",AW85="",COUNTIF($A$6:$A$505,A85)&gt;1,(COUNTIFS('أرقام التواصل'!$A$6:$A$505,"client",'أرقام التواصل'!$B$6:$B$505,A85,'أرقام التواصل'!$I$6:$I$505,"TRUE")+COUNTIFS('أرقام التواصل'!$A$6:$A$505,"client",'أرقام التواصل'!$B$6:$B$505,A85,'أرقام التواصل'!$C$6:$C$505,1))=0),"REVIEW","READY"))))</x:f>
      </x:c>
      <x:c r="BB85" s="224" t="str">
        <x:f>IF(BA85="","",IF(OR(BA85="READY",BA85="TO_PROPOSED"),"",IF(BA85="SKIP","Skipped by decision",TRIM(IF(B85="","missing import_action; ","")&amp;IF(A85="","missing migration_customer_key; ","")&amp;IF(AND(A85&lt;&gt;"",COUNTIF($A$6:$A$505,A85)&gt;1),"duplicate migration_customer_key; ","")&amp;IF(AND(NOT(OR(B85="to_candidate",AW85="proposed_name")),F85=""),"missing branch_id; ","")&amp;IF(AND(NOT(OR(B85="to_candidate",AW85="proposed_name")),H85=""),"missing first_name; ","")&amp;IF(AND(NOT(OR(B85="to_candidate",AW85="proposed_name")),J85=""),"missing last_name; ","")&amp;IF(AND(NOT(OR(B85="to_candidate",AW85="proposed_name")),U85=""),"missing final_geo_unit_id; ","")&amp;IF(AW85="","missing final_destination; ","")&amp;IF(AND(NOT(OR(B85="to_candidate",AW85="proposed_name")),(COUNTIFS('أرقام التواصل'!$A$6:$A$505,"client",'أرقام التواصل'!$B$6:$B$505,A85,'أرقام التواصل'!$I$6:$I$505,"TRUE")+COUNTIFS('أرقام التواصل'!$A$6:$A$505,"client",'أرقام التواصل'!$B$6:$B$505,A85,'أرقام التواصل'!$C$6:$C$505,1))=0),"missing primary contact in أرقام التواصل; ","")&amp;IF(OR(B85="to_candidate",AW85="proposed_name"),IF(AX85="","missing proposed_move_reason; ","")&amp;IF(AY85="","missing proposed_name_key; ",""),"")))))</x:f>
      </x:c>
    </x:row>
    <x:row r="86">
      <x:c r="A86" s="219"/>
      <x:c r="B86" s="220"/>
      <x:c r="C86" s="221"/>
      <x:c r="D86" s="220"/>
      <x:c r="E86" s="222"/>
      <x:c r="F86" s="220"/>
      <x:c r="G86" s="220"/>
      <x:c r="H86" s="220"/>
      <x:c r="I86" s="220"/>
      <x:c r="J86" s="220"/>
      <x:c r="K86" s="220"/>
      <x:c r="L86" s="220" t="str">
        <x:f>IF(TRIM(H86&amp;" "&amp;I86&amp;" "&amp;J86&amp;IF(K86&lt;&gt;""," ("&amp;K86&amp;")",""))="","",TRIM(H86&amp;" "&amp;I86&amp;" "&amp;J86&amp;IF(K86&lt;&gt;""," ("&amp;K86&amp;")","")))</x:f>
      </x:c>
      <x:c r="M86" s="220"/>
      <x:c r="N86" s="220"/>
      <x:c r="O86" s="220"/>
      <x:c r="P86" s="220"/>
      <x:c r="Q86" s="220"/>
      <x:c r="R86" s="220"/>
      <x:c r="S86" s="220"/>
      <x:c r="T86" s="220"/>
      <x:c r="U86" s="220" t="str">
        <x:f>IF(AND(M86="",O86="",Q86="",S86=""),"",IF(S86&lt;&gt;"",S86,IF(Q86&lt;&gt;"",Q86,IF(O86&lt;&gt;"",O86,M86))))</x:f>
      </x:c>
      <x:c r="V86" s="220" t="str">
        <x:f>IF(AND(N86="",P86="",R86="",T86=""),"",IF(T86&lt;&gt;"",T86,IF(R86&lt;&gt;"",R86,IF(P86&lt;&gt;"",P86,N86))))</x:f>
      </x:c>
      <x:c r="W86" s="221"/>
      <x:c r="X86" s="220"/>
      <x:c r="Y86" s="220"/>
      <x:c r="Z86" s="223"/>
      <x:c r="AA86" s="223"/>
      <x:c r="AB86" s="221"/>
      <x:c r="AC86" s="220"/>
      <x:c r="AD86" s="220"/>
      <x:c r="AE86" s="222"/>
      <x:c r="AF86" s="220"/>
      <x:c r="AG86" s="221"/>
      <x:c r="AH86" s="220"/>
      <x:c r="AI86" s="220"/>
      <x:c r="AJ86" s="222"/>
      <x:c r="AK86" s="220"/>
      <x:c r="AL86" s="220"/>
      <x:c r="AM86" s="220"/>
      <x:c r="AN86" s="220"/>
      <x:c r="AO86" s="220"/>
      <x:c r="AP86" s="220"/>
      <x:c r="AQ86" s="220"/>
      <x:c r="AR86" s="222"/>
      <x:c r="AS86" s="220"/>
      <x:c r="AT86" s="220"/>
      <x:c r="AU86" s="220"/>
      <x:c r="AV86" s="220"/>
      <x:c r="AW86" s="220"/>
      <x:c r="AX86" s="220"/>
      <x:c r="AY86" s="221"/>
      <x:c r="AZ86" s="220"/>
      <x:c r="BA86" s="220" t="str">
        <x:f>IF(AND(A86="",B86="",F86="",H86="",J86="",AW86="",AY86=""),"",IF(OR(B86="skip",AW86="skip"),"SKIP",IF(OR(B86="to_candidate",AW86="proposed_name"),IF(OR(A86="",AX86="",AY86="",COUNTIF($A$6:$A$505,A86)&gt;1),"REVIEW","TO_PROPOSED"),IF(OR(B86="",A86="",F86="",H86="",J86="",U86="",AW86="",COUNTIF($A$6:$A$505,A86)&gt;1,(COUNTIFS('أرقام التواصل'!$A$6:$A$505,"client",'أرقام التواصل'!$B$6:$B$505,A86,'أرقام التواصل'!$I$6:$I$505,"TRUE")+COUNTIFS('أرقام التواصل'!$A$6:$A$505,"client",'أرقام التواصل'!$B$6:$B$505,A86,'أرقام التواصل'!$C$6:$C$505,1))=0),"REVIEW","READY"))))</x:f>
      </x:c>
      <x:c r="BB86" s="224" t="str">
        <x:f>IF(BA86="","",IF(OR(BA86="READY",BA86="TO_PROPOSED"),"",IF(BA86="SKIP","Skipped by decision",TRIM(IF(B86="","missing import_action; ","")&amp;IF(A86="","missing migration_customer_key; ","")&amp;IF(AND(A86&lt;&gt;"",COUNTIF($A$6:$A$505,A86)&gt;1),"duplicate migration_customer_key; ","")&amp;IF(AND(NOT(OR(B86="to_candidate",AW86="proposed_name")),F86=""),"missing branch_id; ","")&amp;IF(AND(NOT(OR(B86="to_candidate",AW86="proposed_name")),H86=""),"missing first_name; ","")&amp;IF(AND(NOT(OR(B86="to_candidate",AW86="proposed_name")),J86=""),"missing last_name; ","")&amp;IF(AND(NOT(OR(B86="to_candidate",AW86="proposed_name")),U86=""),"missing final_geo_unit_id; ","")&amp;IF(AW86="","missing final_destination; ","")&amp;IF(AND(NOT(OR(B86="to_candidate",AW86="proposed_name")),(COUNTIFS('أرقام التواصل'!$A$6:$A$505,"client",'أرقام التواصل'!$B$6:$B$505,A86,'أرقام التواصل'!$I$6:$I$505,"TRUE")+COUNTIFS('أرقام التواصل'!$A$6:$A$505,"client",'أرقام التواصل'!$B$6:$B$505,A86,'أرقام التواصل'!$C$6:$C$505,1))=0),"missing primary contact in أرقام التواصل; ","")&amp;IF(OR(B86="to_candidate",AW86="proposed_name"),IF(AX86="","missing proposed_move_reason; ","")&amp;IF(AY86="","missing proposed_name_key; ",""),"")))))</x:f>
      </x:c>
    </x:row>
    <x:row r="87">
      <x:c r="A87" s="219"/>
      <x:c r="B87" s="220"/>
      <x:c r="C87" s="221"/>
      <x:c r="D87" s="220"/>
      <x:c r="E87" s="222"/>
      <x:c r="F87" s="220"/>
      <x:c r="G87" s="220"/>
      <x:c r="H87" s="220"/>
      <x:c r="I87" s="220"/>
      <x:c r="J87" s="220"/>
      <x:c r="K87" s="220"/>
      <x:c r="L87" s="220" t="str">
        <x:f>IF(TRIM(H87&amp;" "&amp;I87&amp;" "&amp;J87&amp;IF(K87&lt;&gt;""," ("&amp;K87&amp;")",""))="","",TRIM(H87&amp;" "&amp;I87&amp;" "&amp;J87&amp;IF(K87&lt;&gt;""," ("&amp;K87&amp;")","")))</x:f>
      </x:c>
      <x:c r="M87" s="220"/>
      <x:c r="N87" s="220"/>
      <x:c r="O87" s="220"/>
      <x:c r="P87" s="220"/>
      <x:c r="Q87" s="220"/>
      <x:c r="R87" s="220"/>
      <x:c r="S87" s="220"/>
      <x:c r="T87" s="220"/>
      <x:c r="U87" s="220" t="str">
        <x:f>IF(AND(M87="",O87="",Q87="",S87=""),"",IF(S87&lt;&gt;"",S87,IF(Q87&lt;&gt;"",Q87,IF(O87&lt;&gt;"",O87,M87))))</x:f>
      </x:c>
      <x:c r="V87" s="220" t="str">
        <x:f>IF(AND(N87="",P87="",R87="",T87=""),"",IF(T87&lt;&gt;"",T87,IF(R87&lt;&gt;"",R87,IF(P87&lt;&gt;"",P87,N87))))</x:f>
      </x:c>
      <x:c r="W87" s="221"/>
      <x:c r="X87" s="220"/>
      <x:c r="Y87" s="220"/>
      <x:c r="Z87" s="223"/>
      <x:c r="AA87" s="223"/>
      <x:c r="AB87" s="221"/>
      <x:c r="AC87" s="220"/>
      <x:c r="AD87" s="220"/>
      <x:c r="AE87" s="222"/>
      <x:c r="AF87" s="220"/>
      <x:c r="AG87" s="221"/>
      <x:c r="AH87" s="220"/>
      <x:c r="AI87" s="220"/>
      <x:c r="AJ87" s="222"/>
      <x:c r="AK87" s="220"/>
      <x:c r="AL87" s="220"/>
      <x:c r="AM87" s="220"/>
      <x:c r="AN87" s="220"/>
      <x:c r="AO87" s="220"/>
      <x:c r="AP87" s="220"/>
      <x:c r="AQ87" s="220"/>
      <x:c r="AR87" s="222"/>
      <x:c r="AS87" s="220"/>
      <x:c r="AT87" s="220"/>
      <x:c r="AU87" s="220"/>
      <x:c r="AV87" s="220"/>
      <x:c r="AW87" s="220"/>
      <x:c r="AX87" s="220"/>
      <x:c r="AY87" s="221"/>
      <x:c r="AZ87" s="220"/>
      <x:c r="BA87" s="220" t="str">
        <x:f>IF(AND(A87="",B87="",F87="",H87="",J87="",AW87="",AY87=""),"",IF(OR(B87="skip",AW87="skip"),"SKIP",IF(OR(B87="to_candidate",AW87="proposed_name"),IF(OR(A87="",AX87="",AY87="",COUNTIF($A$6:$A$505,A87)&gt;1),"REVIEW","TO_PROPOSED"),IF(OR(B87="",A87="",F87="",H87="",J87="",U87="",AW87="",COUNTIF($A$6:$A$505,A87)&gt;1,(COUNTIFS('أرقام التواصل'!$A$6:$A$505,"client",'أرقام التواصل'!$B$6:$B$505,A87,'أرقام التواصل'!$I$6:$I$505,"TRUE")+COUNTIFS('أرقام التواصل'!$A$6:$A$505,"client",'أرقام التواصل'!$B$6:$B$505,A87,'أرقام التواصل'!$C$6:$C$505,1))=0),"REVIEW","READY"))))</x:f>
      </x:c>
      <x:c r="BB87" s="224" t="str">
        <x:f>IF(BA87="","",IF(OR(BA87="READY",BA87="TO_PROPOSED"),"",IF(BA87="SKIP","Skipped by decision",TRIM(IF(B87="","missing import_action; ","")&amp;IF(A87="","missing migration_customer_key; ","")&amp;IF(AND(A87&lt;&gt;"",COUNTIF($A$6:$A$505,A87)&gt;1),"duplicate migration_customer_key; ","")&amp;IF(AND(NOT(OR(B87="to_candidate",AW87="proposed_name")),F87=""),"missing branch_id; ","")&amp;IF(AND(NOT(OR(B87="to_candidate",AW87="proposed_name")),H87=""),"missing first_name; ","")&amp;IF(AND(NOT(OR(B87="to_candidate",AW87="proposed_name")),J87=""),"missing last_name; ","")&amp;IF(AND(NOT(OR(B87="to_candidate",AW87="proposed_name")),U87=""),"missing final_geo_unit_id; ","")&amp;IF(AW87="","missing final_destination; ","")&amp;IF(AND(NOT(OR(B87="to_candidate",AW87="proposed_name")),(COUNTIFS('أرقام التواصل'!$A$6:$A$505,"client",'أرقام التواصل'!$B$6:$B$505,A87,'أرقام التواصل'!$I$6:$I$505,"TRUE")+COUNTIFS('أرقام التواصل'!$A$6:$A$505,"client",'أرقام التواصل'!$B$6:$B$505,A87,'أرقام التواصل'!$C$6:$C$505,1))=0),"missing primary contact in أرقام التواصل; ","")&amp;IF(OR(B87="to_candidate",AW87="proposed_name"),IF(AX87="","missing proposed_move_reason; ","")&amp;IF(AY87="","missing proposed_name_key; ",""),"")))))</x:f>
      </x:c>
    </x:row>
    <x:row r="88">
      <x:c r="A88" s="219"/>
      <x:c r="B88" s="220"/>
      <x:c r="C88" s="221"/>
      <x:c r="D88" s="220"/>
      <x:c r="E88" s="222"/>
      <x:c r="F88" s="220"/>
      <x:c r="G88" s="220"/>
      <x:c r="H88" s="220"/>
      <x:c r="I88" s="220"/>
      <x:c r="J88" s="220"/>
      <x:c r="K88" s="220"/>
      <x:c r="L88" s="220" t="str">
        <x:f>IF(TRIM(H88&amp;" "&amp;I88&amp;" "&amp;J88&amp;IF(K88&lt;&gt;""," ("&amp;K88&amp;")",""))="","",TRIM(H88&amp;" "&amp;I88&amp;" "&amp;J88&amp;IF(K88&lt;&gt;""," ("&amp;K88&amp;")","")))</x:f>
      </x:c>
      <x:c r="M88" s="220"/>
      <x:c r="N88" s="220"/>
      <x:c r="O88" s="220"/>
      <x:c r="P88" s="220"/>
      <x:c r="Q88" s="220"/>
      <x:c r="R88" s="220"/>
      <x:c r="S88" s="220"/>
      <x:c r="T88" s="220"/>
      <x:c r="U88" s="220" t="str">
        <x:f>IF(AND(M88="",O88="",Q88="",S88=""),"",IF(S88&lt;&gt;"",S88,IF(Q88&lt;&gt;"",Q88,IF(O88&lt;&gt;"",O88,M88))))</x:f>
      </x:c>
      <x:c r="V88" s="220" t="str">
        <x:f>IF(AND(N88="",P88="",R88="",T88=""),"",IF(T88&lt;&gt;"",T88,IF(R88&lt;&gt;"",R88,IF(P88&lt;&gt;"",P88,N88))))</x:f>
      </x:c>
      <x:c r="W88" s="221"/>
      <x:c r="X88" s="220"/>
      <x:c r="Y88" s="220"/>
      <x:c r="Z88" s="223"/>
      <x:c r="AA88" s="223"/>
      <x:c r="AB88" s="221"/>
      <x:c r="AC88" s="220"/>
      <x:c r="AD88" s="220"/>
      <x:c r="AE88" s="222"/>
      <x:c r="AF88" s="220"/>
      <x:c r="AG88" s="221"/>
      <x:c r="AH88" s="220"/>
      <x:c r="AI88" s="220"/>
      <x:c r="AJ88" s="222"/>
      <x:c r="AK88" s="220"/>
      <x:c r="AL88" s="220"/>
      <x:c r="AM88" s="220"/>
      <x:c r="AN88" s="220"/>
      <x:c r="AO88" s="220"/>
      <x:c r="AP88" s="220"/>
      <x:c r="AQ88" s="220"/>
      <x:c r="AR88" s="222"/>
      <x:c r="AS88" s="220"/>
      <x:c r="AT88" s="220"/>
      <x:c r="AU88" s="220"/>
      <x:c r="AV88" s="220"/>
      <x:c r="AW88" s="220"/>
      <x:c r="AX88" s="220"/>
      <x:c r="AY88" s="221"/>
      <x:c r="AZ88" s="220"/>
      <x:c r="BA88" s="220" t="str">
        <x:f>IF(AND(A88="",B88="",F88="",H88="",J88="",AW88="",AY88=""),"",IF(OR(B88="skip",AW88="skip"),"SKIP",IF(OR(B88="to_candidate",AW88="proposed_name"),IF(OR(A88="",AX88="",AY88="",COUNTIF($A$6:$A$505,A88)&gt;1),"REVIEW","TO_PROPOSED"),IF(OR(B88="",A88="",F88="",H88="",J88="",U88="",AW88="",COUNTIF($A$6:$A$505,A88)&gt;1,(COUNTIFS('أرقام التواصل'!$A$6:$A$505,"client",'أرقام التواصل'!$B$6:$B$505,A88,'أرقام التواصل'!$I$6:$I$505,"TRUE")+COUNTIFS('أرقام التواصل'!$A$6:$A$505,"client",'أرقام التواصل'!$B$6:$B$505,A88,'أرقام التواصل'!$C$6:$C$505,1))=0),"REVIEW","READY"))))</x:f>
      </x:c>
      <x:c r="BB88" s="224" t="str">
        <x:f>IF(BA88="","",IF(OR(BA88="READY",BA88="TO_PROPOSED"),"",IF(BA88="SKIP","Skipped by decision",TRIM(IF(B88="","missing import_action; ","")&amp;IF(A88="","missing migration_customer_key; ","")&amp;IF(AND(A88&lt;&gt;"",COUNTIF($A$6:$A$505,A88)&gt;1),"duplicate migration_customer_key; ","")&amp;IF(AND(NOT(OR(B88="to_candidate",AW88="proposed_name")),F88=""),"missing branch_id; ","")&amp;IF(AND(NOT(OR(B88="to_candidate",AW88="proposed_name")),H88=""),"missing first_name; ","")&amp;IF(AND(NOT(OR(B88="to_candidate",AW88="proposed_name")),J88=""),"missing last_name; ","")&amp;IF(AND(NOT(OR(B88="to_candidate",AW88="proposed_name")),U88=""),"missing final_geo_unit_id; ","")&amp;IF(AW88="","missing final_destination; ","")&amp;IF(AND(NOT(OR(B88="to_candidate",AW88="proposed_name")),(COUNTIFS('أرقام التواصل'!$A$6:$A$505,"client",'أرقام التواصل'!$B$6:$B$505,A88,'أرقام التواصل'!$I$6:$I$505,"TRUE")+COUNTIFS('أرقام التواصل'!$A$6:$A$505,"client",'أرقام التواصل'!$B$6:$B$505,A88,'أرقام التواصل'!$C$6:$C$505,1))=0),"missing primary contact in أرقام التواصل; ","")&amp;IF(OR(B88="to_candidate",AW88="proposed_name"),IF(AX88="","missing proposed_move_reason; ","")&amp;IF(AY88="","missing proposed_name_key; ",""),"")))))</x:f>
      </x:c>
    </x:row>
    <x:row r="89">
      <x:c r="A89" s="219"/>
      <x:c r="B89" s="220"/>
      <x:c r="C89" s="221"/>
      <x:c r="D89" s="220"/>
      <x:c r="E89" s="222"/>
      <x:c r="F89" s="220"/>
      <x:c r="G89" s="220"/>
      <x:c r="H89" s="220"/>
      <x:c r="I89" s="220"/>
      <x:c r="J89" s="220"/>
      <x:c r="K89" s="220"/>
      <x:c r="L89" s="220" t="str">
        <x:f>IF(TRIM(H89&amp;" "&amp;I89&amp;" "&amp;J89&amp;IF(K89&lt;&gt;""," ("&amp;K89&amp;")",""))="","",TRIM(H89&amp;" "&amp;I89&amp;" "&amp;J89&amp;IF(K89&lt;&gt;""," ("&amp;K89&amp;")","")))</x:f>
      </x:c>
      <x:c r="M89" s="220"/>
      <x:c r="N89" s="220"/>
      <x:c r="O89" s="220"/>
      <x:c r="P89" s="220"/>
      <x:c r="Q89" s="220"/>
      <x:c r="R89" s="220"/>
      <x:c r="S89" s="220"/>
      <x:c r="T89" s="220"/>
      <x:c r="U89" s="220" t="str">
        <x:f>IF(AND(M89="",O89="",Q89="",S89=""),"",IF(S89&lt;&gt;"",S89,IF(Q89&lt;&gt;"",Q89,IF(O89&lt;&gt;"",O89,M89))))</x:f>
      </x:c>
      <x:c r="V89" s="220" t="str">
        <x:f>IF(AND(N89="",P89="",R89="",T89=""),"",IF(T89&lt;&gt;"",T89,IF(R89&lt;&gt;"",R89,IF(P89&lt;&gt;"",P89,N89))))</x:f>
      </x:c>
      <x:c r="W89" s="221"/>
      <x:c r="X89" s="220"/>
      <x:c r="Y89" s="220"/>
      <x:c r="Z89" s="223"/>
      <x:c r="AA89" s="223"/>
      <x:c r="AB89" s="221"/>
      <x:c r="AC89" s="220"/>
      <x:c r="AD89" s="220"/>
      <x:c r="AE89" s="222"/>
      <x:c r="AF89" s="220"/>
      <x:c r="AG89" s="221"/>
      <x:c r="AH89" s="220"/>
      <x:c r="AI89" s="220"/>
      <x:c r="AJ89" s="222"/>
      <x:c r="AK89" s="220"/>
      <x:c r="AL89" s="220"/>
      <x:c r="AM89" s="220"/>
      <x:c r="AN89" s="220"/>
      <x:c r="AO89" s="220"/>
      <x:c r="AP89" s="220"/>
      <x:c r="AQ89" s="220"/>
      <x:c r="AR89" s="222"/>
      <x:c r="AS89" s="220"/>
      <x:c r="AT89" s="220"/>
      <x:c r="AU89" s="220"/>
      <x:c r="AV89" s="220"/>
      <x:c r="AW89" s="220"/>
      <x:c r="AX89" s="220"/>
      <x:c r="AY89" s="221"/>
      <x:c r="AZ89" s="220"/>
      <x:c r="BA89" s="220" t="str">
        <x:f>IF(AND(A89="",B89="",F89="",H89="",J89="",AW89="",AY89=""),"",IF(OR(B89="skip",AW89="skip"),"SKIP",IF(OR(B89="to_candidate",AW89="proposed_name"),IF(OR(A89="",AX89="",AY89="",COUNTIF($A$6:$A$505,A89)&gt;1),"REVIEW","TO_PROPOSED"),IF(OR(B89="",A89="",F89="",H89="",J89="",U89="",AW89="",COUNTIF($A$6:$A$505,A89)&gt;1,(COUNTIFS('أرقام التواصل'!$A$6:$A$505,"client",'أرقام التواصل'!$B$6:$B$505,A89,'أرقام التواصل'!$I$6:$I$505,"TRUE")+COUNTIFS('أرقام التواصل'!$A$6:$A$505,"client",'أرقام التواصل'!$B$6:$B$505,A89,'أرقام التواصل'!$C$6:$C$505,1))=0),"REVIEW","READY"))))</x:f>
      </x:c>
      <x:c r="BB89" s="224" t="str">
        <x:f>IF(BA89="","",IF(OR(BA89="READY",BA89="TO_PROPOSED"),"",IF(BA89="SKIP","Skipped by decision",TRIM(IF(B89="","missing import_action; ","")&amp;IF(A89="","missing migration_customer_key; ","")&amp;IF(AND(A89&lt;&gt;"",COUNTIF($A$6:$A$505,A89)&gt;1),"duplicate migration_customer_key; ","")&amp;IF(AND(NOT(OR(B89="to_candidate",AW89="proposed_name")),F89=""),"missing branch_id; ","")&amp;IF(AND(NOT(OR(B89="to_candidate",AW89="proposed_name")),H89=""),"missing first_name; ","")&amp;IF(AND(NOT(OR(B89="to_candidate",AW89="proposed_name")),J89=""),"missing last_name; ","")&amp;IF(AND(NOT(OR(B89="to_candidate",AW89="proposed_name")),U89=""),"missing final_geo_unit_id; ","")&amp;IF(AW89="","missing final_destination; ","")&amp;IF(AND(NOT(OR(B89="to_candidate",AW89="proposed_name")),(COUNTIFS('أرقام التواصل'!$A$6:$A$505,"client",'أرقام التواصل'!$B$6:$B$505,A89,'أرقام التواصل'!$I$6:$I$505,"TRUE")+COUNTIFS('أرقام التواصل'!$A$6:$A$505,"client",'أرقام التواصل'!$B$6:$B$505,A89,'أرقام التواصل'!$C$6:$C$505,1))=0),"missing primary contact in أرقام التواصل; ","")&amp;IF(OR(B89="to_candidate",AW89="proposed_name"),IF(AX89="","missing proposed_move_reason; ","")&amp;IF(AY89="","missing proposed_name_key; ",""),"")))))</x:f>
      </x:c>
    </x:row>
    <x:row r="90">
      <x:c r="A90" s="219"/>
      <x:c r="B90" s="220"/>
      <x:c r="C90" s="221"/>
      <x:c r="D90" s="220"/>
      <x:c r="E90" s="222"/>
      <x:c r="F90" s="220"/>
      <x:c r="G90" s="220"/>
      <x:c r="H90" s="220"/>
      <x:c r="I90" s="220"/>
      <x:c r="J90" s="220"/>
      <x:c r="K90" s="220"/>
      <x:c r="L90" s="220" t="str">
        <x:f>IF(TRIM(H90&amp;" "&amp;I90&amp;" "&amp;J90&amp;IF(K90&lt;&gt;""," ("&amp;K90&amp;")",""))="","",TRIM(H90&amp;" "&amp;I90&amp;" "&amp;J90&amp;IF(K90&lt;&gt;""," ("&amp;K90&amp;")","")))</x:f>
      </x:c>
      <x:c r="M90" s="220"/>
      <x:c r="N90" s="220"/>
      <x:c r="O90" s="220"/>
      <x:c r="P90" s="220"/>
      <x:c r="Q90" s="220"/>
      <x:c r="R90" s="220"/>
      <x:c r="S90" s="220"/>
      <x:c r="T90" s="220"/>
      <x:c r="U90" s="220" t="str">
        <x:f>IF(AND(M90="",O90="",Q90="",S90=""),"",IF(S90&lt;&gt;"",S90,IF(Q90&lt;&gt;"",Q90,IF(O90&lt;&gt;"",O90,M90))))</x:f>
      </x:c>
      <x:c r="V90" s="220" t="str">
        <x:f>IF(AND(N90="",P90="",R90="",T90=""),"",IF(T90&lt;&gt;"",T90,IF(R90&lt;&gt;"",R90,IF(P90&lt;&gt;"",P90,N90))))</x:f>
      </x:c>
      <x:c r="W90" s="221"/>
      <x:c r="X90" s="220"/>
      <x:c r="Y90" s="220"/>
      <x:c r="Z90" s="223"/>
      <x:c r="AA90" s="223"/>
      <x:c r="AB90" s="221"/>
      <x:c r="AC90" s="220"/>
      <x:c r="AD90" s="220"/>
      <x:c r="AE90" s="222"/>
      <x:c r="AF90" s="220"/>
      <x:c r="AG90" s="221"/>
      <x:c r="AH90" s="220"/>
      <x:c r="AI90" s="220"/>
      <x:c r="AJ90" s="222"/>
      <x:c r="AK90" s="220"/>
      <x:c r="AL90" s="220"/>
      <x:c r="AM90" s="220"/>
      <x:c r="AN90" s="220"/>
      <x:c r="AO90" s="220"/>
      <x:c r="AP90" s="220"/>
      <x:c r="AQ90" s="220"/>
      <x:c r="AR90" s="222"/>
      <x:c r="AS90" s="220"/>
      <x:c r="AT90" s="220"/>
      <x:c r="AU90" s="220"/>
      <x:c r="AV90" s="220"/>
      <x:c r="AW90" s="220"/>
      <x:c r="AX90" s="220"/>
      <x:c r="AY90" s="221"/>
      <x:c r="AZ90" s="220"/>
      <x:c r="BA90" s="220" t="str">
        <x:f>IF(AND(A90="",B90="",F90="",H90="",J90="",AW90="",AY90=""),"",IF(OR(B90="skip",AW90="skip"),"SKIP",IF(OR(B90="to_candidate",AW90="proposed_name"),IF(OR(A90="",AX90="",AY90="",COUNTIF($A$6:$A$505,A90)&gt;1),"REVIEW","TO_PROPOSED"),IF(OR(B90="",A90="",F90="",H90="",J90="",U90="",AW90="",COUNTIF($A$6:$A$505,A90)&gt;1,(COUNTIFS('أرقام التواصل'!$A$6:$A$505,"client",'أرقام التواصل'!$B$6:$B$505,A90,'أرقام التواصل'!$I$6:$I$505,"TRUE")+COUNTIFS('أرقام التواصل'!$A$6:$A$505,"client",'أرقام التواصل'!$B$6:$B$505,A90,'أرقام التواصل'!$C$6:$C$505,1))=0),"REVIEW","READY"))))</x:f>
      </x:c>
      <x:c r="BB90" s="224" t="str">
        <x:f>IF(BA90="","",IF(OR(BA90="READY",BA90="TO_PROPOSED"),"",IF(BA90="SKIP","Skipped by decision",TRIM(IF(B90="","missing import_action; ","")&amp;IF(A90="","missing migration_customer_key; ","")&amp;IF(AND(A90&lt;&gt;"",COUNTIF($A$6:$A$505,A90)&gt;1),"duplicate migration_customer_key; ","")&amp;IF(AND(NOT(OR(B90="to_candidate",AW90="proposed_name")),F90=""),"missing branch_id; ","")&amp;IF(AND(NOT(OR(B90="to_candidate",AW90="proposed_name")),H90=""),"missing first_name; ","")&amp;IF(AND(NOT(OR(B90="to_candidate",AW90="proposed_name")),J90=""),"missing last_name; ","")&amp;IF(AND(NOT(OR(B90="to_candidate",AW90="proposed_name")),U90=""),"missing final_geo_unit_id; ","")&amp;IF(AW90="","missing final_destination; ","")&amp;IF(AND(NOT(OR(B90="to_candidate",AW90="proposed_name")),(COUNTIFS('أرقام التواصل'!$A$6:$A$505,"client",'أرقام التواصل'!$B$6:$B$505,A90,'أرقام التواصل'!$I$6:$I$505,"TRUE")+COUNTIFS('أرقام التواصل'!$A$6:$A$505,"client",'أرقام التواصل'!$B$6:$B$505,A90,'أرقام التواصل'!$C$6:$C$505,1))=0),"missing primary contact in أرقام التواصل; ","")&amp;IF(OR(B90="to_candidate",AW90="proposed_name"),IF(AX90="","missing proposed_move_reason; ","")&amp;IF(AY90="","missing proposed_name_key; ",""),"")))))</x:f>
      </x:c>
    </x:row>
    <x:row r="91">
      <x:c r="A91" s="219"/>
      <x:c r="B91" s="220"/>
      <x:c r="C91" s="221"/>
      <x:c r="D91" s="220"/>
      <x:c r="E91" s="222"/>
      <x:c r="F91" s="220"/>
      <x:c r="G91" s="220"/>
      <x:c r="H91" s="220"/>
      <x:c r="I91" s="220"/>
      <x:c r="J91" s="220"/>
      <x:c r="K91" s="220"/>
      <x:c r="L91" s="220" t="str">
        <x:f>IF(TRIM(H91&amp;" "&amp;I91&amp;" "&amp;J91&amp;IF(K91&lt;&gt;""," ("&amp;K91&amp;")",""))="","",TRIM(H91&amp;" "&amp;I91&amp;" "&amp;J91&amp;IF(K91&lt;&gt;""," ("&amp;K91&amp;")","")))</x:f>
      </x:c>
      <x:c r="M91" s="220"/>
      <x:c r="N91" s="220"/>
      <x:c r="O91" s="220"/>
      <x:c r="P91" s="220"/>
      <x:c r="Q91" s="220"/>
      <x:c r="R91" s="220"/>
      <x:c r="S91" s="220"/>
      <x:c r="T91" s="220"/>
      <x:c r="U91" s="220" t="str">
        <x:f>IF(AND(M91="",O91="",Q91="",S91=""),"",IF(S91&lt;&gt;"",S91,IF(Q91&lt;&gt;"",Q91,IF(O91&lt;&gt;"",O91,M91))))</x:f>
      </x:c>
      <x:c r="V91" s="220" t="str">
        <x:f>IF(AND(N91="",P91="",R91="",T91=""),"",IF(T91&lt;&gt;"",T91,IF(R91&lt;&gt;"",R91,IF(P91&lt;&gt;"",P91,N91))))</x:f>
      </x:c>
      <x:c r="W91" s="221"/>
      <x:c r="X91" s="220"/>
      <x:c r="Y91" s="220"/>
      <x:c r="Z91" s="223"/>
      <x:c r="AA91" s="223"/>
      <x:c r="AB91" s="221"/>
      <x:c r="AC91" s="220"/>
      <x:c r="AD91" s="220"/>
      <x:c r="AE91" s="222"/>
      <x:c r="AF91" s="220"/>
      <x:c r="AG91" s="221"/>
      <x:c r="AH91" s="220"/>
      <x:c r="AI91" s="220"/>
      <x:c r="AJ91" s="222"/>
      <x:c r="AK91" s="220"/>
      <x:c r="AL91" s="220"/>
      <x:c r="AM91" s="220"/>
      <x:c r="AN91" s="220"/>
      <x:c r="AO91" s="220"/>
      <x:c r="AP91" s="220"/>
      <x:c r="AQ91" s="220"/>
      <x:c r="AR91" s="222"/>
      <x:c r="AS91" s="220"/>
      <x:c r="AT91" s="220"/>
      <x:c r="AU91" s="220"/>
      <x:c r="AV91" s="220"/>
      <x:c r="AW91" s="220"/>
      <x:c r="AX91" s="220"/>
      <x:c r="AY91" s="221"/>
      <x:c r="AZ91" s="220"/>
      <x:c r="BA91" s="220" t="str">
        <x:f>IF(AND(A91="",B91="",F91="",H91="",J91="",AW91="",AY91=""),"",IF(OR(B91="skip",AW91="skip"),"SKIP",IF(OR(B91="to_candidate",AW91="proposed_name"),IF(OR(A91="",AX91="",AY91="",COUNTIF($A$6:$A$505,A91)&gt;1),"REVIEW","TO_PROPOSED"),IF(OR(B91="",A91="",F91="",H91="",J91="",U91="",AW91="",COUNTIF($A$6:$A$505,A91)&gt;1,(COUNTIFS('أرقام التواصل'!$A$6:$A$505,"client",'أرقام التواصل'!$B$6:$B$505,A91,'أرقام التواصل'!$I$6:$I$505,"TRUE")+COUNTIFS('أرقام التواصل'!$A$6:$A$505,"client",'أرقام التواصل'!$B$6:$B$505,A91,'أرقام التواصل'!$C$6:$C$505,1))=0),"REVIEW","READY"))))</x:f>
      </x:c>
      <x:c r="BB91" s="224" t="str">
        <x:f>IF(BA91="","",IF(OR(BA91="READY",BA91="TO_PROPOSED"),"",IF(BA91="SKIP","Skipped by decision",TRIM(IF(B91="","missing import_action; ","")&amp;IF(A91="","missing migration_customer_key; ","")&amp;IF(AND(A91&lt;&gt;"",COUNTIF($A$6:$A$505,A91)&gt;1),"duplicate migration_customer_key; ","")&amp;IF(AND(NOT(OR(B91="to_candidate",AW91="proposed_name")),F91=""),"missing branch_id; ","")&amp;IF(AND(NOT(OR(B91="to_candidate",AW91="proposed_name")),H91=""),"missing first_name; ","")&amp;IF(AND(NOT(OR(B91="to_candidate",AW91="proposed_name")),J91=""),"missing last_name; ","")&amp;IF(AND(NOT(OR(B91="to_candidate",AW91="proposed_name")),U91=""),"missing final_geo_unit_id; ","")&amp;IF(AW91="","missing final_destination; ","")&amp;IF(AND(NOT(OR(B91="to_candidate",AW91="proposed_name")),(COUNTIFS('أرقام التواصل'!$A$6:$A$505,"client",'أرقام التواصل'!$B$6:$B$505,A91,'أرقام التواصل'!$I$6:$I$505,"TRUE")+COUNTIFS('أرقام التواصل'!$A$6:$A$505,"client",'أرقام التواصل'!$B$6:$B$505,A91,'أرقام التواصل'!$C$6:$C$505,1))=0),"missing primary contact in أرقام التواصل; ","")&amp;IF(OR(B91="to_candidate",AW91="proposed_name"),IF(AX91="","missing proposed_move_reason; ","")&amp;IF(AY91="","missing proposed_name_key; ",""),"")))))</x:f>
      </x:c>
    </x:row>
    <x:row r="92">
      <x:c r="A92" s="219"/>
      <x:c r="B92" s="220"/>
      <x:c r="C92" s="221"/>
      <x:c r="D92" s="220"/>
      <x:c r="E92" s="222"/>
      <x:c r="F92" s="220"/>
      <x:c r="G92" s="220"/>
      <x:c r="H92" s="220"/>
      <x:c r="I92" s="220"/>
      <x:c r="J92" s="220"/>
      <x:c r="K92" s="220"/>
      <x:c r="L92" s="220" t="str">
        <x:f>IF(TRIM(H92&amp;" "&amp;I92&amp;" "&amp;J92&amp;IF(K92&lt;&gt;""," ("&amp;K92&amp;")",""))="","",TRIM(H92&amp;" "&amp;I92&amp;" "&amp;J92&amp;IF(K92&lt;&gt;""," ("&amp;K92&amp;")","")))</x:f>
      </x:c>
      <x:c r="M92" s="220"/>
      <x:c r="N92" s="220"/>
      <x:c r="O92" s="220"/>
      <x:c r="P92" s="220"/>
      <x:c r="Q92" s="220"/>
      <x:c r="R92" s="220"/>
      <x:c r="S92" s="220"/>
      <x:c r="T92" s="220"/>
      <x:c r="U92" s="220" t="str">
        <x:f>IF(AND(M92="",O92="",Q92="",S92=""),"",IF(S92&lt;&gt;"",S92,IF(Q92&lt;&gt;"",Q92,IF(O92&lt;&gt;"",O92,M92))))</x:f>
      </x:c>
      <x:c r="V92" s="220" t="str">
        <x:f>IF(AND(N92="",P92="",R92="",T92=""),"",IF(T92&lt;&gt;"",T92,IF(R92&lt;&gt;"",R92,IF(P92&lt;&gt;"",P92,N92))))</x:f>
      </x:c>
      <x:c r="W92" s="221"/>
      <x:c r="X92" s="220"/>
      <x:c r="Y92" s="220"/>
      <x:c r="Z92" s="223"/>
      <x:c r="AA92" s="223"/>
      <x:c r="AB92" s="221"/>
      <x:c r="AC92" s="220"/>
      <x:c r="AD92" s="220"/>
      <x:c r="AE92" s="222"/>
      <x:c r="AF92" s="220"/>
      <x:c r="AG92" s="221"/>
      <x:c r="AH92" s="220"/>
      <x:c r="AI92" s="220"/>
      <x:c r="AJ92" s="222"/>
      <x:c r="AK92" s="220"/>
      <x:c r="AL92" s="220"/>
      <x:c r="AM92" s="220"/>
      <x:c r="AN92" s="220"/>
      <x:c r="AO92" s="220"/>
      <x:c r="AP92" s="220"/>
      <x:c r="AQ92" s="220"/>
      <x:c r="AR92" s="222"/>
      <x:c r="AS92" s="220"/>
      <x:c r="AT92" s="220"/>
      <x:c r="AU92" s="220"/>
      <x:c r="AV92" s="220"/>
      <x:c r="AW92" s="220"/>
      <x:c r="AX92" s="220"/>
      <x:c r="AY92" s="221"/>
      <x:c r="AZ92" s="220"/>
      <x:c r="BA92" s="220" t="str">
        <x:f>IF(AND(A92="",B92="",F92="",H92="",J92="",AW92="",AY92=""),"",IF(OR(B92="skip",AW92="skip"),"SKIP",IF(OR(B92="to_candidate",AW92="proposed_name"),IF(OR(A92="",AX92="",AY92="",COUNTIF($A$6:$A$505,A92)&gt;1),"REVIEW","TO_PROPOSED"),IF(OR(B92="",A92="",F92="",H92="",J92="",U92="",AW92="",COUNTIF($A$6:$A$505,A92)&gt;1,(COUNTIFS('أرقام التواصل'!$A$6:$A$505,"client",'أرقام التواصل'!$B$6:$B$505,A92,'أرقام التواصل'!$I$6:$I$505,"TRUE")+COUNTIFS('أرقام التواصل'!$A$6:$A$505,"client",'أرقام التواصل'!$B$6:$B$505,A92,'أرقام التواصل'!$C$6:$C$505,1))=0),"REVIEW","READY"))))</x:f>
      </x:c>
      <x:c r="BB92" s="224" t="str">
        <x:f>IF(BA92="","",IF(OR(BA92="READY",BA92="TO_PROPOSED"),"",IF(BA92="SKIP","Skipped by decision",TRIM(IF(B92="","missing import_action; ","")&amp;IF(A92="","missing migration_customer_key; ","")&amp;IF(AND(A92&lt;&gt;"",COUNTIF($A$6:$A$505,A92)&gt;1),"duplicate migration_customer_key; ","")&amp;IF(AND(NOT(OR(B92="to_candidate",AW92="proposed_name")),F92=""),"missing branch_id; ","")&amp;IF(AND(NOT(OR(B92="to_candidate",AW92="proposed_name")),H92=""),"missing first_name; ","")&amp;IF(AND(NOT(OR(B92="to_candidate",AW92="proposed_name")),J92=""),"missing last_name; ","")&amp;IF(AND(NOT(OR(B92="to_candidate",AW92="proposed_name")),U92=""),"missing final_geo_unit_id; ","")&amp;IF(AW92="","missing final_destination; ","")&amp;IF(AND(NOT(OR(B92="to_candidate",AW92="proposed_name")),(COUNTIFS('أرقام التواصل'!$A$6:$A$505,"client",'أرقام التواصل'!$B$6:$B$505,A92,'أرقام التواصل'!$I$6:$I$505,"TRUE")+COUNTIFS('أرقام التواصل'!$A$6:$A$505,"client",'أرقام التواصل'!$B$6:$B$505,A92,'أرقام التواصل'!$C$6:$C$505,1))=0),"missing primary contact in أرقام التواصل; ","")&amp;IF(OR(B92="to_candidate",AW92="proposed_name"),IF(AX92="","missing proposed_move_reason; ","")&amp;IF(AY92="","missing proposed_name_key; ",""),"")))))</x:f>
      </x:c>
    </x:row>
    <x:row r="93">
      <x:c r="A93" s="219"/>
      <x:c r="B93" s="220"/>
      <x:c r="C93" s="221"/>
      <x:c r="D93" s="220"/>
      <x:c r="E93" s="222"/>
      <x:c r="F93" s="220"/>
      <x:c r="G93" s="220"/>
      <x:c r="H93" s="220"/>
      <x:c r="I93" s="220"/>
      <x:c r="J93" s="220"/>
      <x:c r="K93" s="220"/>
      <x:c r="L93" s="220" t="str">
        <x:f>IF(TRIM(H93&amp;" "&amp;I93&amp;" "&amp;J93&amp;IF(K93&lt;&gt;""," ("&amp;K93&amp;")",""))="","",TRIM(H93&amp;" "&amp;I93&amp;" "&amp;J93&amp;IF(K93&lt;&gt;""," ("&amp;K93&amp;")","")))</x:f>
      </x:c>
      <x:c r="M93" s="220"/>
      <x:c r="N93" s="220"/>
      <x:c r="O93" s="220"/>
      <x:c r="P93" s="220"/>
      <x:c r="Q93" s="220"/>
      <x:c r="R93" s="220"/>
      <x:c r="S93" s="220"/>
      <x:c r="T93" s="220"/>
      <x:c r="U93" s="220" t="str">
        <x:f>IF(AND(M93="",O93="",Q93="",S93=""),"",IF(S93&lt;&gt;"",S93,IF(Q93&lt;&gt;"",Q93,IF(O93&lt;&gt;"",O93,M93))))</x:f>
      </x:c>
      <x:c r="V93" s="220" t="str">
        <x:f>IF(AND(N93="",P93="",R93="",T93=""),"",IF(T93&lt;&gt;"",T93,IF(R93&lt;&gt;"",R93,IF(P93&lt;&gt;"",P93,N93))))</x:f>
      </x:c>
      <x:c r="W93" s="221"/>
      <x:c r="X93" s="220"/>
      <x:c r="Y93" s="220"/>
      <x:c r="Z93" s="223"/>
      <x:c r="AA93" s="223"/>
      <x:c r="AB93" s="221"/>
      <x:c r="AC93" s="220"/>
      <x:c r="AD93" s="220"/>
      <x:c r="AE93" s="222"/>
      <x:c r="AF93" s="220"/>
      <x:c r="AG93" s="221"/>
      <x:c r="AH93" s="220"/>
      <x:c r="AI93" s="220"/>
      <x:c r="AJ93" s="222"/>
      <x:c r="AK93" s="220"/>
      <x:c r="AL93" s="220"/>
      <x:c r="AM93" s="220"/>
      <x:c r="AN93" s="220"/>
      <x:c r="AO93" s="220"/>
      <x:c r="AP93" s="220"/>
      <x:c r="AQ93" s="220"/>
      <x:c r="AR93" s="222"/>
      <x:c r="AS93" s="220"/>
      <x:c r="AT93" s="220"/>
      <x:c r="AU93" s="220"/>
      <x:c r="AV93" s="220"/>
      <x:c r="AW93" s="220"/>
      <x:c r="AX93" s="220"/>
      <x:c r="AY93" s="221"/>
      <x:c r="AZ93" s="220"/>
      <x:c r="BA93" s="220" t="str">
        <x:f>IF(AND(A93="",B93="",F93="",H93="",J93="",AW93="",AY93=""),"",IF(OR(B93="skip",AW93="skip"),"SKIP",IF(OR(B93="to_candidate",AW93="proposed_name"),IF(OR(A93="",AX93="",AY93="",COUNTIF($A$6:$A$505,A93)&gt;1),"REVIEW","TO_PROPOSED"),IF(OR(B93="",A93="",F93="",H93="",J93="",U93="",AW93="",COUNTIF($A$6:$A$505,A93)&gt;1,(COUNTIFS('أرقام التواصل'!$A$6:$A$505,"client",'أرقام التواصل'!$B$6:$B$505,A93,'أرقام التواصل'!$I$6:$I$505,"TRUE")+COUNTIFS('أرقام التواصل'!$A$6:$A$505,"client",'أرقام التواصل'!$B$6:$B$505,A93,'أرقام التواصل'!$C$6:$C$505,1))=0),"REVIEW","READY"))))</x:f>
      </x:c>
      <x:c r="BB93" s="224" t="str">
        <x:f>IF(BA93="","",IF(OR(BA93="READY",BA93="TO_PROPOSED"),"",IF(BA93="SKIP","Skipped by decision",TRIM(IF(B93="","missing import_action; ","")&amp;IF(A93="","missing migration_customer_key; ","")&amp;IF(AND(A93&lt;&gt;"",COUNTIF($A$6:$A$505,A93)&gt;1),"duplicate migration_customer_key; ","")&amp;IF(AND(NOT(OR(B93="to_candidate",AW93="proposed_name")),F93=""),"missing branch_id; ","")&amp;IF(AND(NOT(OR(B93="to_candidate",AW93="proposed_name")),H93=""),"missing first_name; ","")&amp;IF(AND(NOT(OR(B93="to_candidate",AW93="proposed_name")),J93=""),"missing last_name; ","")&amp;IF(AND(NOT(OR(B93="to_candidate",AW93="proposed_name")),U93=""),"missing final_geo_unit_id; ","")&amp;IF(AW93="","missing final_destination; ","")&amp;IF(AND(NOT(OR(B93="to_candidate",AW93="proposed_name")),(COUNTIFS('أرقام التواصل'!$A$6:$A$505,"client",'أرقام التواصل'!$B$6:$B$505,A93,'أرقام التواصل'!$I$6:$I$505,"TRUE")+COUNTIFS('أرقام التواصل'!$A$6:$A$505,"client",'أرقام التواصل'!$B$6:$B$505,A93,'أرقام التواصل'!$C$6:$C$505,1))=0),"missing primary contact in أرقام التواصل; ","")&amp;IF(OR(B93="to_candidate",AW93="proposed_name"),IF(AX93="","missing proposed_move_reason; ","")&amp;IF(AY93="","missing proposed_name_key; ",""),"")))))</x:f>
      </x:c>
    </x:row>
    <x:row r="94">
      <x:c r="A94" s="219"/>
      <x:c r="B94" s="220"/>
      <x:c r="C94" s="221"/>
      <x:c r="D94" s="220"/>
      <x:c r="E94" s="222"/>
      <x:c r="F94" s="220"/>
      <x:c r="G94" s="220"/>
      <x:c r="H94" s="220"/>
      <x:c r="I94" s="220"/>
      <x:c r="J94" s="220"/>
      <x:c r="K94" s="220"/>
      <x:c r="L94" s="220" t="str">
        <x:f>IF(TRIM(H94&amp;" "&amp;I94&amp;" "&amp;J94&amp;IF(K94&lt;&gt;""," ("&amp;K94&amp;")",""))="","",TRIM(H94&amp;" "&amp;I94&amp;" "&amp;J94&amp;IF(K94&lt;&gt;""," ("&amp;K94&amp;")","")))</x:f>
      </x:c>
      <x:c r="M94" s="220"/>
      <x:c r="N94" s="220"/>
      <x:c r="O94" s="220"/>
      <x:c r="P94" s="220"/>
      <x:c r="Q94" s="220"/>
      <x:c r="R94" s="220"/>
      <x:c r="S94" s="220"/>
      <x:c r="T94" s="220"/>
      <x:c r="U94" s="220" t="str">
        <x:f>IF(AND(M94="",O94="",Q94="",S94=""),"",IF(S94&lt;&gt;"",S94,IF(Q94&lt;&gt;"",Q94,IF(O94&lt;&gt;"",O94,M94))))</x:f>
      </x:c>
      <x:c r="V94" s="220" t="str">
        <x:f>IF(AND(N94="",P94="",R94="",T94=""),"",IF(T94&lt;&gt;"",T94,IF(R94&lt;&gt;"",R94,IF(P94&lt;&gt;"",P94,N94))))</x:f>
      </x:c>
      <x:c r="W94" s="221"/>
      <x:c r="X94" s="220"/>
      <x:c r="Y94" s="220"/>
      <x:c r="Z94" s="223"/>
      <x:c r="AA94" s="223"/>
      <x:c r="AB94" s="221"/>
      <x:c r="AC94" s="220"/>
      <x:c r="AD94" s="220"/>
      <x:c r="AE94" s="222"/>
      <x:c r="AF94" s="220"/>
      <x:c r="AG94" s="221"/>
      <x:c r="AH94" s="220"/>
      <x:c r="AI94" s="220"/>
      <x:c r="AJ94" s="222"/>
      <x:c r="AK94" s="220"/>
      <x:c r="AL94" s="220"/>
      <x:c r="AM94" s="220"/>
      <x:c r="AN94" s="220"/>
      <x:c r="AO94" s="220"/>
      <x:c r="AP94" s="220"/>
      <x:c r="AQ94" s="220"/>
      <x:c r="AR94" s="222"/>
      <x:c r="AS94" s="220"/>
      <x:c r="AT94" s="220"/>
      <x:c r="AU94" s="220"/>
      <x:c r="AV94" s="220"/>
      <x:c r="AW94" s="220"/>
      <x:c r="AX94" s="220"/>
      <x:c r="AY94" s="221"/>
      <x:c r="AZ94" s="220"/>
      <x:c r="BA94" s="220" t="str">
        <x:f>IF(AND(A94="",B94="",F94="",H94="",J94="",AW94="",AY94=""),"",IF(OR(B94="skip",AW94="skip"),"SKIP",IF(OR(B94="to_candidate",AW94="proposed_name"),IF(OR(A94="",AX94="",AY94="",COUNTIF($A$6:$A$505,A94)&gt;1),"REVIEW","TO_PROPOSED"),IF(OR(B94="",A94="",F94="",H94="",J94="",U94="",AW94="",COUNTIF($A$6:$A$505,A94)&gt;1,(COUNTIFS('أرقام التواصل'!$A$6:$A$505,"client",'أرقام التواصل'!$B$6:$B$505,A94,'أرقام التواصل'!$I$6:$I$505,"TRUE")+COUNTIFS('أرقام التواصل'!$A$6:$A$505,"client",'أرقام التواصل'!$B$6:$B$505,A94,'أرقام التواصل'!$C$6:$C$505,1))=0),"REVIEW","READY"))))</x:f>
      </x:c>
      <x:c r="BB94" s="224" t="str">
        <x:f>IF(BA94="","",IF(OR(BA94="READY",BA94="TO_PROPOSED"),"",IF(BA94="SKIP","Skipped by decision",TRIM(IF(B94="","missing import_action; ","")&amp;IF(A94="","missing migration_customer_key; ","")&amp;IF(AND(A94&lt;&gt;"",COUNTIF($A$6:$A$505,A94)&gt;1),"duplicate migration_customer_key; ","")&amp;IF(AND(NOT(OR(B94="to_candidate",AW94="proposed_name")),F94=""),"missing branch_id; ","")&amp;IF(AND(NOT(OR(B94="to_candidate",AW94="proposed_name")),H94=""),"missing first_name; ","")&amp;IF(AND(NOT(OR(B94="to_candidate",AW94="proposed_name")),J94=""),"missing last_name; ","")&amp;IF(AND(NOT(OR(B94="to_candidate",AW94="proposed_name")),U94=""),"missing final_geo_unit_id; ","")&amp;IF(AW94="","missing final_destination; ","")&amp;IF(AND(NOT(OR(B94="to_candidate",AW94="proposed_name")),(COUNTIFS('أرقام التواصل'!$A$6:$A$505,"client",'أرقام التواصل'!$B$6:$B$505,A94,'أرقام التواصل'!$I$6:$I$505,"TRUE")+COUNTIFS('أرقام التواصل'!$A$6:$A$505,"client",'أرقام التواصل'!$B$6:$B$505,A94,'أرقام التواصل'!$C$6:$C$505,1))=0),"missing primary contact in أرقام التواصل; ","")&amp;IF(OR(B94="to_candidate",AW94="proposed_name"),IF(AX94="","missing proposed_move_reason; ","")&amp;IF(AY94="","missing proposed_name_key; ",""),"")))))</x:f>
      </x:c>
    </x:row>
    <x:row r="95">
      <x:c r="A95" s="219"/>
      <x:c r="B95" s="220"/>
      <x:c r="C95" s="221"/>
      <x:c r="D95" s="220"/>
      <x:c r="E95" s="222"/>
      <x:c r="F95" s="220"/>
      <x:c r="G95" s="220"/>
      <x:c r="H95" s="220"/>
      <x:c r="I95" s="220"/>
      <x:c r="J95" s="220"/>
      <x:c r="K95" s="220"/>
      <x:c r="L95" s="220" t="str">
        <x:f>IF(TRIM(H95&amp;" "&amp;I95&amp;" "&amp;J95&amp;IF(K95&lt;&gt;""," ("&amp;K95&amp;")",""))="","",TRIM(H95&amp;" "&amp;I95&amp;" "&amp;J95&amp;IF(K95&lt;&gt;""," ("&amp;K95&amp;")","")))</x:f>
      </x:c>
      <x:c r="M95" s="220"/>
      <x:c r="N95" s="220"/>
      <x:c r="O95" s="220"/>
      <x:c r="P95" s="220"/>
      <x:c r="Q95" s="220"/>
      <x:c r="R95" s="220"/>
      <x:c r="S95" s="220"/>
      <x:c r="T95" s="220"/>
      <x:c r="U95" s="220" t="str">
        <x:f>IF(AND(M95="",O95="",Q95="",S95=""),"",IF(S95&lt;&gt;"",S95,IF(Q95&lt;&gt;"",Q95,IF(O95&lt;&gt;"",O95,M95))))</x:f>
      </x:c>
      <x:c r="V95" s="220" t="str">
        <x:f>IF(AND(N95="",P95="",R95="",T95=""),"",IF(T95&lt;&gt;"",T95,IF(R95&lt;&gt;"",R95,IF(P95&lt;&gt;"",P95,N95))))</x:f>
      </x:c>
      <x:c r="W95" s="221"/>
      <x:c r="X95" s="220"/>
      <x:c r="Y95" s="220"/>
      <x:c r="Z95" s="223"/>
      <x:c r="AA95" s="223"/>
      <x:c r="AB95" s="221"/>
      <x:c r="AC95" s="220"/>
      <x:c r="AD95" s="220"/>
      <x:c r="AE95" s="222"/>
      <x:c r="AF95" s="220"/>
      <x:c r="AG95" s="221"/>
      <x:c r="AH95" s="220"/>
      <x:c r="AI95" s="220"/>
      <x:c r="AJ95" s="222"/>
      <x:c r="AK95" s="220"/>
      <x:c r="AL95" s="220"/>
      <x:c r="AM95" s="220"/>
      <x:c r="AN95" s="220"/>
      <x:c r="AO95" s="220"/>
      <x:c r="AP95" s="220"/>
      <x:c r="AQ95" s="220"/>
      <x:c r="AR95" s="222"/>
      <x:c r="AS95" s="220"/>
      <x:c r="AT95" s="220"/>
      <x:c r="AU95" s="220"/>
      <x:c r="AV95" s="220"/>
      <x:c r="AW95" s="220"/>
      <x:c r="AX95" s="220"/>
      <x:c r="AY95" s="221"/>
      <x:c r="AZ95" s="220"/>
      <x:c r="BA95" s="220" t="str">
        <x:f>IF(AND(A95="",B95="",F95="",H95="",J95="",AW95="",AY95=""),"",IF(OR(B95="skip",AW95="skip"),"SKIP",IF(OR(B95="to_candidate",AW95="proposed_name"),IF(OR(A95="",AX95="",AY95="",COUNTIF($A$6:$A$505,A95)&gt;1),"REVIEW","TO_PROPOSED"),IF(OR(B95="",A95="",F95="",H95="",J95="",U95="",AW95="",COUNTIF($A$6:$A$505,A95)&gt;1,(COUNTIFS('أرقام التواصل'!$A$6:$A$505,"client",'أرقام التواصل'!$B$6:$B$505,A95,'أرقام التواصل'!$I$6:$I$505,"TRUE")+COUNTIFS('أرقام التواصل'!$A$6:$A$505,"client",'أرقام التواصل'!$B$6:$B$505,A95,'أرقام التواصل'!$C$6:$C$505,1))=0),"REVIEW","READY"))))</x:f>
      </x:c>
      <x:c r="BB95" s="224" t="str">
        <x:f>IF(BA95="","",IF(OR(BA95="READY",BA95="TO_PROPOSED"),"",IF(BA95="SKIP","Skipped by decision",TRIM(IF(B95="","missing import_action; ","")&amp;IF(A95="","missing migration_customer_key; ","")&amp;IF(AND(A95&lt;&gt;"",COUNTIF($A$6:$A$505,A95)&gt;1),"duplicate migration_customer_key; ","")&amp;IF(AND(NOT(OR(B95="to_candidate",AW95="proposed_name")),F95=""),"missing branch_id; ","")&amp;IF(AND(NOT(OR(B95="to_candidate",AW95="proposed_name")),H95=""),"missing first_name; ","")&amp;IF(AND(NOT(OR(B95="to_candidate",AW95="proposed_name")),J95=""),"missing last_name; ","")&amp;IF(AND(NOT(OR(B95="to_candidate",AW95="proposed_name")),U95=""),"missing final_geo_unit_id; ","")&amp;IF(AW95="","missing final_destination; ","")&amp;IF(AND(NOT(OR(B95="to_candidate",AW95="proposed_name")),(COUNTIFS('أرقام التواصل'!$A$6:$A$505,"client",'أرقام التواصل'!$B$6:$B$505,A95,'أرقام التواصل'!$I$6:$I$505,"TRUE")+COUNTIFS('أرقام التواصل'!$A$6:$A$505,"client",'أرقام التواصل'!$B$6:$B$505,A95,'أرقام التواصل'!$C$6:$C$505,1))=0),"missing primary contact in أرقام التواصل; ","")&amp;IF(OR(B95="to_candidate",AW95="proposed_name"),IF(AX95="","missing proposed_move_reason; ","")&amp;IF(AY95="","missing proposed_name_key; ",""),"")))))</x:f>
      </x:c>
    </x:row>
    <x:row r="96">
      <x:c r="A96" s="219"/>
      <x:c r="B96" s="220"/>
      <x:c r="C96" s="221"/>
      <x:c r="D96" s="220"/>
      <x:c r="E96" s="222"/>
      <x:c r="F96" s="220"/>
      <x:c r="G96" s="220"/>
      <x:c r="H96" s="220"/>
      <x:c r="I96" s="220"/>
      <x:c r="J96" s="220"/>
      <x:c r="K96" s="220"/>
      <x:c r="L96" s="220" t="str">
        <x:f>IF(TRIM(H96&amp;" "&amp;I96&amp;" "&amp;J96&amp;IF(K96&lt;&gt;""," ("&amp;K96&amp;")",""))="","",TRIM(H96&amp;" "&amp;I96&amp;" "&amp;J96&amp;IF(K96&lt;&gt;""," ("&amp;K96&amp;")","")))</x:f>
      </x:c>
      <x:c r="M96" s="220"/>
      <x:c r="N96" s="220"/>
      <x:c r="O96" s="220"/>
      <x:c r="P96" s="220"/>
      <x:c r="Q96" s="220"/>
      <x:c r="R96" s="220"/>
      <x:c r="S96" s="220"/>
      <x:c r="T96" s="220"/>
      <x:c r="U96" s="220" t="str">
        <x:f>IF(AND(M96="",O96="",Q96="",S96=""),"",IF(S96&lt;&gt;"",S96,IF(Q96&lt;&gt;"",Q96,IF(O96&lt;&gt;"",O96,M96))))</x:f>
      </x:c>
      <x:c r="V96" s="220" t="str">
        <x:f>IF(AND(N96="",P96="",R96="",T96=""),"",IF(T96&lt;&gt;"",T96,IF(R96&lt;&gt;"",R96,IF(P96&lt;&gt;"",P96,N96))))</x:f>
      </x:c>
      <x:c r="W96" s="221"/>
      <x:c r="X96" s="220"/>
      <x:c r="Y96" s="220"/>
      <x:c r="Z96" s="223"/>
      <x:c r="AA96" s="223"/>
      <x:c r="AB96" s="221"/>
      <x:c r="AC96" s="220"/>
      <x:c r="AD96" s="220"/>
      <x:c r="AE96" s="222"/>
      <x:c r="AF96" s="220"/>
      <x:c r="AG96" s="221"/>
      <x:c r="AH96" s="220"/>
      <x:c r="AI96" s="220"/>
      <x:c r="AJ96" s="222"/>
      <x:c r="AK96" s="220"/>
      <x:c r="AL96" s="220"/>
      <x:c r="AM96" s="220"/>
      <x:c r="AN96" s="220"/>
      <x:c r="AO96" s="220"/>
      <x:c r="AP96" s="220"/>
      <x:c r="AQ96" s="220"/>
      <x:c r="AR96" s="222"/>
      <x:c r="AS96" s="220"/>
      <x:c r="AT96" s="220"/>
      <x:c r="AU96" s="220"/>
      <x:c r="AV96" s="220"/>
      <x:c r="AW96" s="220"/>
      <x:c r="AX96" s="220"/>
      <x:c r="AY96" s="221"/>
      <x:c r="AZ96" s="220"/>
      <x:c r="BA96" s="220" t="str">
        <x:f>IF(AND(A96="",B96="",F96="",H96="",J96="",AW96="",AY96=""),"",IF(OR(B96="skip",AW96="skip"),"SKIP",IF(OR(B96="to_candidate",AW96="proposed_name"),IF(OR(A96="",AX96="",AY96="",COUNTIF($A$6:$A$505,A96)&gt;1),"REVIEW","TO_PROPOSED"),IF(OR(B96="",A96="",F96="",H96="",J96="",U96="",AW96="",COUNTIF($A$6:$A$505,A96)&gt;1,(COUNTIFS('أرقام التواصل'!$A$6:$A$505,"client",'أرقام التواصل'!$B$6:$B$505,A96,'أرقام التواصل'!$I$6:$I$505,"TRUE")+COUNTIFS('أرقام التواصل'!$A$6:$A$505,"client",'أرقام التواصل'!$B$6:$B$505,A96,'أرقام التواصل'!$C$6:$C$505,1))=0),"REVIEW","READY"))))</x:f>
      </x:c>
      <x:c r="BB96" s="224" t="str">
        <x:f>IF(BA96="","",IF(OR(BA96="READY",BA96="TO_PROPOSED"),"",IF(BA96="SKIP","Skipped by decision",TRIM(IF(B96="","missing import_action; ","")&amp;IF(A96="","missing migration_customer_key; ","")&amp;IF(AND(A96&lt;&gt;"",COUNTIF($A$6:$A$505,A96)&gt;1),"duplicate migration_customer_key; ","")&amp;IF(AND(NOT(OR(B96="to_candidate",AW96="proposed_name")),F96=""),"missing branch_id; ","")&amp;IF(AND(NOT(OR(B96="to_candidate",AW96="proposed_name")),H96=""),"missing first_name; ","")&amp;IF(AND(NOT(OR(B96="to_candidate",AW96="proposed_name")),J96=""),"missing last_name; ","")&amp;IF(AND(NOT(OR(B96="to_candidate",AW96="proposed_name")),U96=""),"missing final_geo_unit_id; ","")&amp;IF(AW96="","missing final_destination; ","")&amp;IF(AND(NOT(OR(B96="to_candidate",AW96="proposed_name")),(COUNTIFS('أرقام التواصل'!$A$6:$A$505,"client",'أرقام التواصل'!$B$6:$B$505,A96,'أرقام التواصل'!$I$6:$I$505,"TRUE")+COUNTIFS('أرقام التواصل'!$A$6:$A$505,"client",'أرقام التواصل'!$B$6:$B$505,A96,'أرقام التواصل'!$C$6:$C$505,1))=0),"missing primary contact in أرقام التواصل; ","")&amp;IF(OR(B96="to_candidate",AW96="proposed_name"),IF(AX96="","missing proposed_move_reason; ","")&amp;IF(AY96="","missing proposed_name_key; ",""),"")))))</x:f>
      </x:c>
    </x:row>
    <x:row r="97">
      <x:c r="A97" s="219"/>
      <x:c r="B97" s="220"/>
      <x:c r="C97" s="221"/>
      <x:c r="D97" s="220"/>
      <x:c r="E97" s="222"/>
      <x:c r="F97" s="220"/>
      <x:c r="G97" s="220"/>
      <x:c r="H97" s="220"/>
      <x:c r="I97" s="220"/>
      <x:c r="J97" s="220"/>
      <x:c r="K97" s="220"/>
      <x:c r="L97" s="220" t="str">
        <x:f>IF(TRIM(H97&amp;" "&amp;I97&amp;" "&amp;J97&amp;IF(K97&lt;&gt;""," ("&amp;K97&amp;")",""))="","",TRIM(H97&amp;" "&amp;I97&amp;" "&amp;J97&amp;IF(K97&lt;&gt;""," ("&amp;K97&amp;")","")))</x:f>
      </x:c>
      <x:c r="M97" s="220"/>
      <x:c r="N97" s="220"/>
      <x:c r="O97" s="220"/>
      <x:c r="P97" s="220"/>
      <x:c r="Q97" s="220"/>
      <x:c r="R97" s="220"/>
      <x:c r="S97" s="220"/>
      <x:c r="T97" s="220"/>
      <x:c r="U97" s="220" t="str">
        <x:f>IF(AND(M97="",O97="",Q97="",S97=""),"",IF(S97&lt;&gt;"",S97,IF(Q97&lt;&gt;"",Q97,IF(O97&lt;&gt;"",O97,M97))))</x:f>
      </x:c>
      <x:c r="V97" s="220" t="str">
        <x:f>IF(AND(N97="",P97="",R97="",T97=""),"",IF(T97&lt;&gt;"",T97,IF(R97&lt;&gt;"",R97,IF(P97&lt;&gt;"",P97,N97))))</x:f>
      </x:c>
      <x:c r="W97" s="221"/>
      <x:c r="X97" s="220"/>
      <x:c r="Y97" s="220"/>
      <x:c r="Z97" s="223"/>
      <x:c r="AA97" s="223"/>
      <x:c r="AB97" s="221"/>
      <x:c r="AC97" s="220"/>
      <x:c r="AD97" s="220"/>
      <x:c r="AE97" s="222"/>
      <x:c r="AF97" s="220"/>
      <x:c r="AG97" s="221"/>
      <x:c r="AH97" s="220"/>
      <x:c r="AI97" s="220"/>
      <x:c r="AJ97" s="222"/>
      <x:c r="AK97" s="220"/>
      <x:c r="AL97" s="220"/>
      <x:c r="AM97" s="220"/>
      <x:c r="AN97" s="220"/>
      <x:c r="AO97" s="220"/>
      <x:c r="AP97" s="220"/>
      <x:c r="AQ97" s="220"/>
      <x:c r="AR97" s="222"/>
      <x:c r="AS97" s="220"/>
      <x:c r="AT97" s="220"/>
      <x:c r="AU97" s="220"/>
      <x:c r="AV97" s="220"/>
      <x:c r="AW97" s="220"/>
      <x:c r="AX97" s="220"/>
      <x:c r="AY97" s="221"/>
      <x:c r="AZ97" s="220"/>
      <x:c r="BA97" s="220" t="str">
        <x:f>IF(AND(A97="",B97="",F97="",H97="",J97="",AW97="",AY97=""),"",IF(OR(B97="skip",AW97="skip"),"SKIP",IF(OR(B97="to_candidate",AW97="proposed_name"),IF(OR(A97="",AX97="",AY97="",COUNTIF($A$6:$A$505,A97)&gt;1),"REVIEW","TO_PROPOSED"),IF(OR(B97="",A97="",F97="",H97="",J97="",U97="",AW97="",COUNTIF($A$6:$A$505,A97)&gt;1,(COUNTIFS('أرقام التواصل'!$A$6:$A$505,"client",'أرقام التواصل'!$B$6:$B$505,A97,'أرقام التواصل'!$I$6:$I$505,"TRUE")+COUNTIFS('أرقام التواصل'!$A$6:$A$505,"client",'أرقام التواصل'!$B$6:$B$505,A97,'أرقام التواصل'!$C$6:$C$505,1))=0),"REVIEW","READY"))))</x:f>
      </x:c>
      <x:c r="BB97" s="224" t="str">
        <x:f>IF(BA97="","",IF(OR(BA97="READY",BA97="TO_PROPOSED"),"",IF(BA97="SKIP","Skipped by decision",TRIM(IF(B97="","missing import_action; ","")&amp;IF(A97="","missing migration_customer_key; ","")&amp;IF(AND(A97&lt;&gt;"",COUNTIF($A$6:$A$505,A97)&gt;1),"duplicate migration_customer_key; ","")&amp;IF(AND(NOT(OR(B97="to_candidate",AW97="proposed_name")),F97=""),"missing branch_id; ","")&amp;IF(AND(NOT(OR(B97="to_candidate",AW97="proposed_name")),H97=""),"missing first_name; ","")&amp;IF(AND(NOT(OR(B97="to_candidate",AW97="proposed_name")),J97=""),"missing last_name; ","")&amp;IF(AND(NOT(OR(B97="to_candidate",AW97="proposed_name")),U97=""),"missing final_geo_unit_id; ","")&amp;IF(AW97="","missing final_destination; ","")&amp;IF(AND(NOT(OR(B97="to_candidate",AW97="proposed_name")),(COUNTIFS('أرقام التواصل'!$A$6:$A$505,"client",'أرقام التواصل'!$B$6:$B$505,A97,'أرقام التواصل'!$I$6:$I$505,"TRUE")+COUNTIFS('أرقام التواصل'!$A$6:$A$505,"client",'أرقام التواصل'!$B$6:$B$505,A97,'أرقام التواصل'!$C$6:$C$505,1))=0),"missing primary contact in أرقام التواصل; ","")&amp;IF(OR(B97="to_candidate",AW97="proposed_name"),IF(AX97="","missing proposed_move_reason; ","")&amp;IF(AY97="","missing proposed_name_key; ",""),"")))))</x:f>
      </x:c>
    </x:row>
    <x:row r="98">
      <x:c r="A98" s="219"/>
      <x:c r="B98" s="220"/>
      <x:c r="C98" s="221"/>
      <x:c r="D98" s="220"/>
      <x:c r="E98" s="222"/>
      <x:c r="F98" s="220"/>
      <x:c r="G98" s="220"/>
      <x:c r="H98" s="220"/>
      <x:c r="I98" s="220"/>
      <x:c r="J98" s="220"/>
      <x:c r="K98" s="220"/>
      <x:c r="L98" s="220" t="str">
        <x:f>IF(TRIM(H98&amp;" "&amp;I98&amp;" "&amp;J98&amp;IF(K98&lt;&gt;""," ("&amp;K98&amp;")",""))="","",TRIM(H98&amp;" "&amp;I98&amp;" "&amp;J98&amp;IF(K98&lt;&gt;""," ("&amp;K98&amp;")","")))</x:f>
      </x:c>
      <x:c r="M98" s="220"/>
      <x:c r="N98" s="220"/>
      <x:c r="O98" s="220"/>
      <x:c r="P98" s="220"/>
      <x:c r="Q98" s="220"/>
      <x:c r="R98" s="220"/>
      <x:c r="S98" s="220"/>
      <x:c r="T98" s="220"/>
      <x:c r="U98" s="220" t="str">
        <x:f>IF(AND(M98="",O98="",Q98="",S98=""),"",IF(S98&lt;&gt;"",S98,IF(Q98&lt;&gt;"",Q98,IF(O98&lt;&gt;"",O98,M98))))</x:f>
      </x:c>
      <x:c r="V98" s="220" t="str">
        <x:f>IF(AND(N98="",P98="",R98="",T98=""),"",IF(T98&lt;&gt;"",T98,IF(R98&lt;&gt;"",R98,IF(P98&lt;&gt;"",P98,N98))))</x:f>
      </x:c>
      <x:c r="W98" s="221"/>
      <x:c r="X98" s="220"/>
      <x:c r="Y98" s="220"/>
      <x:c r="Z98" s="223"/>
      <x:c r="AA98" s="223"/>
      <x:c r="AB98" s="221"/>
      <x:c r="AC98" s="220"/>
      <x:c r="AD98" s="220"/>
      <x:c r="AE98" s="222"/>
      <x:c r="AF98" s="220"/>
      <x:c r="AG98" s="221"/>
      <x:c r="AH98" s="220"/>
      <x:c r="AI98" s="220"/>
      <x:c r="AJ98" s="222"/>
      <x:c r="AK98" s="220"/>
      <x:c r="AL98" s="220"/>
      <x:c r="AM98" s="220"/>
      <x:c r="AN98" s="220"/>
      <x:c r="AO98" s="220"/>
      <x:c r="AP98" s="220"/>
      <x:c r="AQ98" s="220"/>
      <x:c r="AR98" s="222"/>
      <x:c r="AS98" s="220"/>
      <x:c r="AT98" s="220"/>
      <x:c r="AU98" s="220"/>
      <x:c r="AV98" s="220"/>
      <x:c r="AW98" s="220"/>
      <x:c r="AX98" s="220"/>
      <x:c r="AY98" s="221"/>
      <x:c r="AZ98" s="220"/>
      <x:c r="BA98" s="220" t="str">
        <x:f>IF(AND(A98="",B98="",F98="",H98="",J98="",AW98="",AY98=""),"",IF(OR(B98="skip",AW98="skip"),"SKIP",IF(OR(B98="to_candidate",AW98="proposed_name"),IF(OR(A98="",AX98="",AY98="",COUNTIF($A$6:$A$505,A98)&gt;1),"REVIEW","TO_PROPOSED"),IF(OR(B98="",A98="",F98="",H98="",J98="",U98="",AW98="",COUNTIF($A$6:$A$505,A98)&gt;1,(COUNTIFS('أرقام التواصل'!$A$6:$A$505,"client",'أرقام التواصل'!$B$6:$B$505,A98,'أرقام التواصل'!$I$6:$I$505,"TRUE")+COUNTIFS('أرقام التواصل'!$A$6:$A$505,"client",'أرقام التواصل'!$B$6:$B$505,A98,'أرقام التواصل'!$C$6:$C$505,1))=0),"REVIEW","READY"))))</x:f>
      </x:c>
      <x:c r="BB98" s="224" t="str">
        <x:f>IF(BA98="","",IF(OR(BA98="READY",BA98="TO_PROPOSED"),"",IF(BA98="SKIP","Skipped by decision",TRIM(IF(B98="","missing import_action; ","")&amp;IF(A98="","missing migration_customer_key; ","")&amp;IF(AND(A98&lt;&gt;"",COUNTIF($A$6:$A$505,A98)&gt;1),"duplicate migration_customer_key; ","")&amp;IF(AND(NOT(OR(B98="to_candidate",AW98="proposed_name")),F98=""),"missing branch_id; ","")&amp;IF(AND(NOT(OR(B98="to_candidate",AW98="proposed_name")),H98=""),"missing first_name; ","")&amp;IF(AND(NOT(OR(B98="to_candidate",AW98="proposed_name")),J98=""),"missing last_name; ","")&amp;IF(AND(NOT(OR(B98="to_candidate",AW98="proposed_name")),U98=""),"missing final_geo_unit_id; ","")&amp;IF(AW98="","missing final_destination; ","")&amp;IF(AND(NOT(OR(B98="to_candidate",AW98="proposed_name")),(COUNTIFS('أرقام التواصل'!$A$6:$A$505,"client",'أرقام التواصل'!$B$6:$B$505,A98,'أرقام التواصل'!$I$6:$I$505,"TRUE")+COUNTIFS('أرقام التواصل'!$A$6:$A$505,"client",'أرقام التواصل'!$B$6:$B$505,A98,'أرقام التواصل'!$C$6:$C$505,1))=0),"missing primary contact in أرقام التواصل; ","")&amp;IF(OR(B98="to_candidate",AW98="proposed_name"),IF(AX98="","missing proposed_move_reason; ","")&amp;IF(AY98="","missing proposed_name_key; ",""),"")))))</x:f>
      </x:c>
    </x:row>
    <x:row r="99">
      <x:c r="A99" s="219"/>
      <x:c r="B99" s="220"/>
      <x:c r="C99" s="221"/>
      <x:c r="D99" s="220"/>
      <x:c r="E99" s="222"/>
      <x:c r="F99" s="220"/>
      <x:c r="G99" s="220"/>
      <x:c r="H99" s="220"/>
      <x:c r="I99" s="220"/>
      <x:c r="J99" s="220"/>
      <x:c r="K99" s="220"/>
      <x:c r="L99" s="220" t="str">
        <x:f>IF(TRIM(H99&amp;" "&amp;I99&amp;" "&amp;J99&amp;IF(K99&lt;&gt;""," ("&amp;K99&amp;")",""))="","",TRIM(H99&amp;" "&amp;I99&amp;" "&amp;J99&amp;IF(K99&lt;&gt;""," ("&amp;K99&amp;")","")))</x:f>
      </x:c>
      <x:c r="M99" s="220"/>
      <x:c r="N99" s="220"/>
      <x:c r="O99" s="220"/>
      <x:c r="P99" s="220"/>
      <x:c r="Q99" s="220"/>
      <x:c r="R99" s="220"/>
      <x:c r="S99" s="220"/>
      <x:c r="T99" s="220"/>
      <x:c r="U99" s="220" t="str">
        <x:f>IF(AND(M99="",O99="",Q99="",S99=""),"",IF(S99&lt;&gt;"",S99,IF(Q99&lt;&gt;"",Q99,IF(O99&lt;&gt;"",O99,M99))))</x:f>
      </x:c>
      <x:c r="V99" s="220" t="str">
        <x:f>IF(AND(N99="",P99="",R99="",T99=""),"",IF(T99&lt;&gt;"",T99,IF(R99&lt;&gt;"",R99,IF(P99&lt;&gt;"",P99,N99))))</x:f>
      </x:c>
      <x:c r="W99" s="221"/>
      <x:c r="X99" s="220"/>
      <x:c r="Y99" s="220"/>
      <x:c r="Z99" s="223"/>
      <x:c r="AA99" s="223"/>
      <x:c r="AB99" s="221"/>
      <x:c r="AC99" s="220"/>
      <x:c r="AD99" s="220"/>
      <x:c r="AE99" s="222"/>
      <x:c r="AF99" s="220"/>
      <x:c r="AG99" s="221"/>
      <x:c r="AH99" s="220"/>
      <x:c r="AI99" s="220"/>
      <x:c r="AJ99" s="222"/>
      <x:c r="AK99" s="220"/>
      <x:c r="AL99" s="220"/>
      <x:c r="AM99" s="220"/>
      <x:c r="AN99" s="220"/>
      <x:c r="AO99" s="220"/>
      <x:c r="AP99" s="220"/>
      <x:c r="AQ99" s="220"/>
      <x:c r="AR99" s="222"/>
      <x:c r="AS99" s="220"/>
      <x:c r="AT99" s="220"/>
      <x:c r="AU99" s="220"/>
      <x:c r="AV99" s="220"/>
      <x:c r="AW99" s="220"/>
      <x:c r="AX99" s="220"/>
      <x:c r="AY99" s="221"/>
      <x:c r="AZ99" s="220"/>
      <x:c r="BA99" s="220" t="str">
        <x:f>IF(AND(A99="",B99="",F99="",H99="",J99="",AW99="",AY99=""),"",IF(OR(B99="skip",AW99="skip"),"SKIP",IF(OR(B99="to_candidate",AW99="proposed_name"),IF(OR(A99="",AX99="",AY99="",COUNTIF($A$6:$A$505,A99)&gt;1),"REVIEW","TO_PROPOSED"),IF(OR(B99="",A99="",F99="",H99="",J99="",U99="",AW99="",COUNTIF($A$6:$A$505,A99)&gt;1,(COUNTIFS('أرقام التواصل'!$A$6:$A$505,"client",'أرقام التواصل'!$B$6:$B$505,A99,'أرقام التواصل'!$I$6:$I$505,"TRUE")+COUNTIFS('أرقام التواصل'!$A$6:$A$505,"client",'أرقام التواصل'!$B$6:$B$505,A99,'أرقام التواصل'!$C$6:$C$505,1))=0),"REVIEW","READY"))))</x:f>
      </x:c>
      <x:c r="BB99" s="224" t="str">
        <x:f>IF(BA99="","",IF(OR(BA99="READY",BA99="TO_PROPOSED"),"",IF(BA99="SKIP","Skipped by decision",TRIM(IF(B99="","missing import_action; ","")&amp;IF(A99="","missing migration_customer_key; ","")&amp;IF(AND(A99&lt;&gt;"",COUNTIF($A$6:$A$505,A99)&gt;1),"duplicate migration_customer_key; ","")&amp;IF(AND(NOT(OR(B99="to_candidate",AW99="proposed_name")),F99=""),"missing branch_id; ","")&amp;IF(AND(NOT(OR(B99="to_candidate",AW99="proposed_name")),H99=""),"missing first_name; ","")&amp;IF(AND(NOT(OR(B99="to_candidate",AW99="proposed_name")),J99=""),"missing last_name; ","")&amp;IF(AND(NOT(OR(B99="to_candidate",AW99="proposed_name")),U99=""),"missing final_geo_unit_id; ","")&amp;IF(AW99="","missing final_destination; ","")&amp;IF(AND(NOT(OR(B99="to_candidate",AW99="proposed_name")),(COUNTIFS('أرقام التواصل'!$A$6:$A$505,"client",'أرقام التواصل'!$B$6:$B$505,A99,'أرقام التواصل'!$I$6:$I$505,"TRUE")+COUNTIFS('أرقام التواصل'!$A$6:$A$505,"client",'أرقام التواصل'!$B$6:$B$505,A99,'أرقام التواصل'!$C$6:$C$505,1))=0),"missing primary contact in أرقام التواصل; ","")&amp;IF(OR(B99="to_candidate",AW99="proposed_name"),IF(AX99="","missing proposed_move_reason; ","")&amp;IF(AY99="","missing proposed_name_key; ",""),"")))))</x:f>
      </x:c>
    </x:row>
    <x:row r="100">
      <x:c r="A100" s="219"/>
      <x:c r="B100" s="220"/>
      <x:c r="C100" s="221"/>
      <x:c r="D100" s="220"/>
      <x:c r="E100" s="222"/>
      <x:c r="F100" s="220"/>
      <x:c r="G100" s="220"/>
      <x:c r="H100" s="220"/>
      <x:c r="I100" s="220"/>
      <x:c r="J100" s="220"/>
      <x:c r="K100" s="220"/>
      <x:c r="L100" s="220" t="str">
        <x:f>IF(TRIM(H100&amp;" "&amp;I100&amp;" "&amp;J100&amp;IF(K100&lt;&gt;""," ("&amp;K100&amp;")",""))="","",TRIM(H100&amp;" "&amp;I100&amp;" "&amp;J100&amp;IF(K100&lt;&gt;""," ("&amp;K100&amp;")","")))</x:f>
      </x:c>
      <x:c r="M100" s="220"/>
      <x:c r="N100" s="220"/>
      <x:c r="O100" s="220"/>
      <x:c r="P100" s="220"/>
      <x:c r="Q100" s="220"/>
      <x:c r="R100" s="220"/>
      <x:c r="S100" s="220"/>
      <x:c r="T100" s="220"/>
      <x:c r="U100" s="220" t="str">
        <x:f>IF(AND(M100="",O100="",Q100="",S100=""),"",IF(S100&lt;&gt;"",S100,IF(Q100&lt;&gt;"",Q100,IF(O100&lt;&gt;"",O100,M100))))</x:f>
      </x:c>
      <x:c r="V100" s="220" t="str">
        <x:f>IF(AND(N100="",P100="",R100="",T100=""),"",IF(T100&lt;&gt;"",T100,IF(R100&lt;&gt;"",R100,IF(P100&lt;&gt;"",P100,N100))))</x:f>
      </x:c>
      <x:c r="W100" s="221"/>
      <x:c r="X100" s="220"/>
      <x:c r="Y100" s="220"/>
      <x:c r="Z100" s="223"/>
      <x:c r="AA100" s="223"/>
      <x:c r="AB100" s="221"/>
      <x:c r="AC100" s="220"/>
      <x:c r="AD100" s="220"/>
      <x:c r="AE100" s="222"/>
      <x:c r="AF100" s="220"/>
      <x:c r="AG100" s="221"/>
      <x:c r="AH100" s="220"/>
      <x:c r="AI100" s="220"/>
      <x:c r="AJ100" s="222"/>
      <x:c r="AK100" s="220"/>
      <x:c r="AL100" s="220"/>
      <x:c r="AM100" s="220"/>
      <x:c r="AN100" s="220"/>
      <x:c r="AO100" s="220"/>
      <x:c r="AP100" s="220"/>
      <x:c r="AQ100" s="220"/>
      <x:c r="AR100" s="222"/>
      <x:c r="AS100" s="220"/>
      <x:c r="AT100" s="220"/>
      <x:c r="AU100" s="220"/>
      <x:c r="AV100" s="220"/>
      <x:c r="AW100" s="220"/>
      <x:c r="AX100" s="220"/>
      <x:c r="AY100" s="221"/>
      <x:c r="AZ100" s="220"/>
      <x:c r="BA100" s="220" t="str">
        <x:f>IF(AND(A100="",B100="",F100="",H100="",J100="",AW100="",AY100=""),"",IF(OR(B100="skip",AW100="skip"),"SKIP",IF(OR(B100="to_candidate",AW100="proposed_name"),IF(OR(A100="",AX100="",AY100="",COUNTIF($A$6:$A$505,A100)&gt;1),"REVIEW","TO_PROPOSED"),IF(OR(B100="",A100="",F100="",H100="",J100="",U100="",AW100="",COUNTIF($A$6:$A$505,A100)&gt;1,(COUNTIFS('أرقام التواصل'!$A$6:$A$505,"client",'أرقام التواصل'!$B$6:$B$505,A100,'أرقام التواصل'!$I$6:$I$505,"TRUE")+COUNTIFS('أرقام التواصل'!$A$6:$A$505,"client",'أرقام التواصل'!$B$6:$B$505,A100,'أرقام التواصل'!$C$6:$C$505,1))=0),"REVIEW","READY"))))</x:f>
      </x:c>
      <x:c r="BB100" s="224" t="str">
        <x:f>IF(BA100="","",IF(OR(BA100="READY",BA100="TO_PROPOSED"),"",IF(BA100="SKIP","Skipped by decision",TRIM(IF(B100="","missing import_action; ","")&amp;IF(A100="","missing migration_customer_key; ","")&amp;IF(AND(A100&lt;&gt;"",COUNTIF($A$6:$A$505,A100)&gt;1),"duplicate migration_customer_key; ","")&amp;IF(AND(NOT(OR(B100="to_candidate",AW100="proposed_name")),F100=""),"missing branch_id; ","")&amp;IF(AND(NOT(OR(B100="to_candidate",AW100="proposed_name")),H100=""),"missing first_name; ","")&amp;IF(AND(NOT(OR(B100="to_candidate",AW100="proposed_name")),J100=""),"missing last_name; ","")&amp;IF(AND(NOT(OR(B100="to_candidate",AW100="proposed_name")),U100=""),"missing final_geo_unit_id; ","")&amp;IF(AW100="","missing final_destination; ","")&amp;IF(AND(NOT(OR(B100="to_candidate",AW100="proposed_name")),(COUNTIFS('أرقام التواصل'!$A$6:$A$505,"client",'أرقام التواصل'!$B$6:$B$505,A100,'أرقام التواصل'!$I$6:$I$505,"TRUE")+COUNTIFS('أرقام التواصل'!$A$6:$A$505,"client",'أرقام التواصل'!$B$6:$B$505,A100,'أرقام التواصل'!$C$6:$C$505,1))=0),"missing primary contact in أرقام التواصل; ","")&amp;IF(OR(B100="to_candidate",AW100="proposed_name"),IF(AX100="","missing proposed_move_reason; ","")&amp;IF(AY100="","missing proposed_name_key; ",""),"")))))</x:f>
      </x:c>
    </x:row>
    <x:row r="101">
      <x:c r="A101" s="219"/>
      <x:c r="B101" s="220"/>
      <x:c r="C101" s="221"/>
      <x:c r="D101" s="220"/>
      <x:c r="E101" s="222"/>
      <x:c r="F101" s="220"/>
      <x:c r="G101" s="220"/>
      <x:c r="H101" s="220"/>
      <x:c r="I101" s="220"/>
      <x:c r="J101" s="220"/>
      <x:c r="K101" s="220"/>
      <x:c r="L101" s="220" t="str">
        <x:f>IF(TRIM(H101&amp;" "&amp;I101&amp;" "&amp;J101&amp;IF(K101&lt;&gt;""," ("&amp;K101&amp;")",""))="","",TRIM(H101&amp;" "&amp;I101&amp;" "&amp;J101&amp;IF(K101&lt;&gt;""," ("&amp;K101&amp;")","")))</x:f>
      </x:c>
      <x:c r="M101" s="220"/>
      <x:c r="N101" s="220"/>
      <x:c r="O101" s="220"/>
      <x:c r="P101" s="220"/>
      <x:c r="Q101" s="220"/>
      <x:c r="R101" s="220"/>
      <x:c r="S101" s="220"/>
      <x:c r="T101" s="220"/>
      <x:c r="U101" s="220" t="str">
        <x:f>IF(AND(M101="",O101="",Q101="",S101=""),"",IF(S101&lt;&gt;"",S101,IF(Q101&lt;&gt;"",Q101,IF(O101&lt;&gt;"",O101,M101))))</x:f>
      </x:c>
      <x:c r="V101" s="220" t="str">
        <x:f>IF(AND(N101="",P101="",R101="",T101=""),"",IF(T101&lt;&gt;"",T101,IF(R101&lt;&gt;"",R101,IF(P101&lt;&gt;"",P101,N101))))</x:f>
      </x:c>
      <x:c r="W101" s="221"/>
      <x:c r="X101" s="220"/>
      <x:c r="Y101" s="220"/>
      <x:c r="Z101" s="223"/>
      <x:c r="AA101" s="223"/>
      <x:c r="AB101" s="221"/>
      <x:c r="AC101" s="220"/>
      <x:c r="AD101" s="220"/>
      <x:c r="AE101" s="222"/>
      <x:c r="AF101" s="220"/>
      <x:c r="AG101" s="221"/>
      <x:c r="AH101" s="220"/>
      <x:c r="AI101" s="220"/>
      <x:c r="AJ101" s="222"/>
      <x:c r="AK101" s="220"/>
      <x:c r="AL101" s="220"/>
      <x:c r="AM101" s="220"/>
      <x:c r="AN101" s="220"/>
      <x:c r="AO101" s="220"/>
      <x:c r="AP101" s="220"/>
      <x:c r="AQ101" s="220"/>
      <x:c r="AR101" s="222"/>
      <x:c r="AS101" s="220"/>
      <x:c r="AT101" s="220"/>
      <x:c r="AU101" s="220"/>
      <x:c r="AV101" s="220"/>
      <x:c r="AW101" s="220"/>
      <x:c r="AX101" s="220"/>
      <x:c r="AY101" s="221"/>
      <x:c r="AZ101" s="220"/>
      <x:c r="BA101" s="220" t="str">
        <x:f>IF(AND(A101="",B101="",F101="",H101="",J101="",AW101="",AY101=""),"",IF(OR(B101="skip",AW101="skip"),"SKIP",IF(OR(B101="to_candidate",AW101="proposed_name"),IF(OR(A101="",AX101="",AY101="",COUNTIF($A$6:$A$505,A101)&gt;1),"REVIEW","TO_PROPOSED"),IF(OR(B101="",A101="",F101="",H101="",J101="",U101="",AW101="",COUNTIF($A$6:$A$505,A101)&gt;1,(COUNTIFS('أرقام التواصل'!$A$6:$A$505,"client",'أرقام التواصل'!$B$6:$B$505,A101,'أرقام التواصل'!$I$6:$I$505,"TRUE")+COUNTIFS('أرقام التواصل'!$A$6:$A$505,"client",'أرقام التواصل'!$B$6:$B$505,A101,'أرقام التواصل'!$C$6:$C$505,1))=0),"REVIEW","READY"))))</x:f>
      </x:c>
      <x:c r="BB101" s="224" t="str">
        <x:f>IF(BA101="","",IF(OR(BA101="READY",BA101="TO_PROPOSED"),"",IF(BA101="SKIP","Skipped by decision",TRIM(IF(B101="","missing import_action; ","")&amp;IF(A101="","missing migration_customer_key; ","")&amp;IF(AND(A101&lt;&gt;"",COUNTIF($A$6:$A$505,A101)&gt;1),"duplicate migration_customer_key; ","")&amp;IF(AND(NOT(OR(B101="to_candidate",AW101="proposed_name")),F101=""),"missing branch_id; ","")&amp;IF(AND(NOT(OR(B101="to_candidate",AW101="proposed_name")),H101=""),"missing first_name; ","")&amp;IF(AND(NOT(OR(B101="to_candidate",AW101="proposed_name")),J101=""),"missing last_name; ","")&amp;IF(AND(NOT(OR(B101="to_candidate",AW101="proposed_name")),U101=""),"missing final_geo_unit_id; ","")&amp;IF(AW101="","missing final_destination; ","")&amp;IF(AND(NOT(OR(B101="to_candidate",AW101="proposed_name")),(COUNTIFS('أرقام التواصل'!$A$6:$A$505,"client",'أرقام التواصل'!$B$6:$B$505,A101,'أرقام التواصل'!$I$6:$I$505,"TRUE")+COUNTIFS('أرقام التواصل'!$A$6:$A$505,"client",'أرقام التواصل'!$B$6:$B$505,A101,'أرقام التواصل'!$C$6:$C$505,1))=0),"missing primary contact in أرقام التواصل; ","")&amp;IF(OR(B101="to_candidate",AW101="proposed_name"),IF(AX101="","missing proposed_move_reason; ","")&amp;IF(AY101="","missing proposed_name_key; ",""),"")))))</x:f>
      </x:c>
    </x:row>
    <x:row r="102">
      <x:c r="A102" s="219"/>
      <x:c r="B102" s="220"/>
      <x:c r="C102" s="221"/>
      <x:c r="D102" s="220"/>
      <x:c r="E102" s="222"/>
      <x:c r="F102" s="220"/>
      <x:c r="G102" s="220"/>
      <x:c r="H102" s="220"/>
      <x:c r="I102" s="220"/>
      <x:c r="J102" s="220"/>
      <x:c r="K102" s="220"/>
      <x:c r="L102" s="220" t="str">
        <x:f>IF(TRIM(H102&amp;" "&amp;I102&amp;" "&amp;J102&amp;IF(K102&lt;&gt;""," ("&amp;K102&amp;")",""))="","",TRIM(H102&amp;" "&amp;I102&amp;" "&amp;J102&amp;IF(K102&lt;&gt;""," ("&amp;K102&amp;")","")))</x:f>
      </x:c>
      <x:c r="M102" s="220"/>
      <x:c r="N102" s="220"/>
      <x:c r="O102" s="220"/>
      <x:c r="P102" s="220"/>
      <x:c r="Q102" s="220"/>
      <x:c r="R102" s="220"/>
      <x:c r="S102" s="220"/>
      <x:c r="T102" s="220"/>
      <x:c r="U102" s="220" t="str">
        <x:f>IF(AND(M102="",O102="",Q102="",S102=""),"",IF(S102&lt;&gt;"",S102,IF(Q102&lt;&gt;"",Q102,IF(O102&lt;&gt;"",O102,M102))))</x:f>
      </x:c>
      <x:c r="V102" s="220" t="str">
        <x:f>IF(AND(N102="",P102="",R102="",T102=""),"",IF(T102&lt;&gt;"",T102,IF(R102&lt;&gt;"",R102,IF(P102&lt;&gt;"",P102,N102))))</x:f>
      </x:c>
      <x:c r="W102" s="221"/>
      <x:c r="X102" s="220"/>
      <x:c r="Y102" s="220"/>
      <x:c r="Z102" s="223"/>
      <x:c r="AA102" s="223"/>
      <x:c r="AB102" s="221"/>
      <x:c r="AC102" s="220"/>
      <x:c r="AD102" s="220"/>
      <x:c r="AE102" s="222"/>
      <x:c r="AF102" s="220"/>
      <x:c r="AG102" s="221"/>
      <x:c r="AH102" s="220"/>
      <x:c r="AI102" s="220"/>
      <x:c r="AJ102" s="222"/>
      <x:c r="AK102" s="220"/>
      <x:c r="AL102" s="220"/>
      <x:c r="AM102" s="220"/>
      <x:c r="AN102" s="220"/>
      <x:c r="AO102" s="220"/>
      <x:c r="AP102" s="220"/>
      <x:c r="AQ102" s="220"/>
      <x:c r="AR102" s="222"/>
      <x:c r="AS102" s="220"/>
      <x:c r="AT102" s="220"/>
      <x:c r="AU102" s="220"/>
      <x:c r="AV102" s="220"/>
      <x:c r="AW102" s="220"/>
      <x:c r="AX102" s="220"/>
      <x:c r="AY102" s="221"/>
      <x:c r="AZ102" s="220"/>
      <x:c r="BA102" s="220" t="str">
        <x:f>IF(AND(A102="",B102="",F102="",H102="",J102="",AW102="",AY102=""),"",IF(OR(B102="skip",AW102="skip"),"SKIP",IF(OR(B102="to_candidate",AW102="proposed_name"),IF(OR(A102="",AX102="",AY102="",COUNTIF($A$6:$A$505,A102)&gt;1),"REVIEW","TO_PROPOSED"),IF(OR(B102="",A102="",F102="",H102="",J102="",U102="",AW102="",COUNTIF($A$6:$A$505,A102)&gt;1,(COUNTIFS('أرقام التواصل'!$A$6:$A$505,"client",'أرقام التواصل'!$B$6:$B$505,A102,'أرقام التواصل'!$I$6:$I$505,"TRUE")+COUNTIFS('أرقام التواصل'!$A$6:$A$505,"client",'أرقام التواصل'!$B$6:$B$505,A102,'أرقام التواصل'!$C$6:$C$505,1))=0),"REVIEW","READY"))))</x:f>
      </x:c>
      <x:c r="BB102" s="224" t="str">
        <x:f>IF(BA102="","",IF(OR(BA102="READY",BA102="TO_PROPOSED"),"",IF(BA102="SKIP","Skipped by decision",TRIM(IF(B102="","missing import_action; ","")&amp;IF(A102="","missing migration_customer_key; ","")&amp;IF(AND(A102&lt;&gt;"",COUNTIF($A$6:$A$505,A102)&gt;1),"duplicate migration_customer_key; ","")&amp;IF(AND(NOT(OR(B102="to_candidate",AW102="proposed_name")),F102=""),"missing branch_id; ","")&amp;IF(AND(NOT(OR(B102="to_candidate",AW102="proposed_name")),H102=""),"missing first_name; ","")&amp;IF(AND(NOT(OR(B102="to_candidate",AW102="proposed_name")),J102=""),"missing last_name; ","")&amp;IF(AND(NOT(OR(B102="to_candidate",AW102="proposed_name")),U102=""),"missing final_geo_unit_id; ","")&amp;IF(AW102="","missing final_destination; ","")&amp;IF(AND(NOT(OR(B102="to_candidate",AW102="proposed_name")),(COUNTIFS('أرقام التواصل'!$A$6:$A$505,"client",'أرقام التواصل'!$B$6:$B$505,A102,'أرقام التواصل'!$I$6:$I$505,"TRUE")+COUNTIFS('أرقام التواصل'!$A$6:$A$505,"client",'أرقام التواصل'!$B$6:$B$505,A102,'أرقام التواصل'!$C$6:$C$505,1))=0),"missing primary contact in أرقام التواصل; ","")&amp;IF(OR(B102="to_candidate",AW102="proposed_name"),IF(AX102="","missing proposed_move_reason; ","")&amp;IF(AY102="","missing proposed_name_key; ",""),"")))))</x:f>
      </x:c>
    </x:row>
    <x:row r="103">
      <x:c r="A103" s="219"/>
      <x:c r="B103" s="220"/>
      <x:c r="C103" s="221"/>
      <x:c r="D103" s="220"/>
      <x:c r="E103" s="222"/>
      <x:c r="F103" s="220"/>
      <x:c r="G103" s="220"/>
      <x:c r="H103" s="220"/>
      <x:c r="I103" s="220"/>
      <x:c r="J103" s="220"/>
      <x:c r="K103" s="220"/>
      <x:c r="L103" s="220" t="str">
        <x:f>IF(TRIM(H103&amp;" "&amp;I103&amp;" "&amp;J103&amp;IF(K103&lt;&gt;""," ("&amp;K103&amp;")",""))="","",TRIM(H103&amp;" "&amp;I103&amp;" "&amp;J103&amp;IF(K103&lt;&gt;""," ("&amp;K103&amp;")","")))</x:f>
      </x:c>
      <x:c r="M103" s="220"/>
      <x:c r="N103" s="220"/>
      <x:c r="O103" s="220"/>
      <x:c r="P103" s="220"/>
      <x:c r="Q103" s="220"/>
      <x:c r="R103" s="220"/>
      <x:c r="S103" s="220"/>
      <x:c r="T103" s="220"/>
      <x:c r="U103" s="220" t="str">
        <x:f>IF(AND(M103="",O103="",Q103="",S103=""),"",IF(S103&lt;&gt;"",S103,IF(Q103&lt;&gt;"",Q103,IF(O103&lt;&gt;"",O103,M103))))</x:f>
      </x:c>
      <x:c r="V103" s="220" t="str">
        <x:f>IF(AND(N103="",P103="",R103="",T103=""),"",IF(T103&lt;&gt;"",T103,IF(R103&lt;&gt;"",R103,IF(P103&lt;&gt;"",P103,N103))))</x:f>
      </x:c>
      <x:c r="W103" s="221"/>
      <x:c r="X103" s="220"/>
      <x:c r="Y103" s="220"/>
      <x:c r="Z103" s="223"/>
      <x:c r="AA103" s="223"/>
      <x:c r="AB103" s="221"/>
      <x:c r="AC103" s="220"/>
      <x:c r="AD103" s="220"/>
      <x:c r="AE103" s="222"/>
      <x:c r="AF103" s="220"/>
      <x:c r="AG103" s="221"/>
      <x:c r="AH103" s="220"/>
      <x:c r="AI103" s="220"/>
      <x:c r="AJ103" s="222"/>
      <x:c r="AK103" s="220"/>
      <x:c r="AL103" s="220"/>
      <x:c r="AM103" s="220"/>
      <x:c r="AN103" s="220"/>
      <x:c r="AO103" s="220"/>
      <x:c r="AP103" s="220"/>
      <x:c r="AQ103" s="220"/>
      <x:c r="AR103" s="222"/>
      <x:c r="AS103" s="220"/>
      <x:c r="AT103" s="220"/>
      <x:c r="AU103" s="220"/>
      <x:c r="AV103" s="220"/>
      <x:c r="AW103" s="220"/>
      <x:c r="AX103" s="220"/>
      <x:c r="AY103" s="221"/>
      <x:c r="AZ103" s="220"/>
      <x:c r="BA103" s="220" t="str">
        <x:f>IF(AND(A103="",B103="",F103="",H103="",J103="",AW103="",AY103=""),"",IF(OR(B103="skip",AW103="skip"),"SKIP",IF(OR(B103="to_candidate",AW103="proposed_name"),IF(OR(A103="",AX103="",AY103="",COUNTIF($A$6:$A$505,A103)&gt;1),"REVIEW","TO_PROPOSED"),IF(OR(B103="",A103="",F103="",H103="",J103="",U103="",AW103="",COUNTIF($A$6:$A$505,A103)&gt;1,(COUNTIFS('أرقام التواصل'!$A$6:$A$505,"client",'أرقام التواصل'!$B$6:$B$505,A103,'أرقام التواصل'!$I$6:$I$505,"TRUE")+COUNTIFS('أرقام التواصل'!$A$6:$A$505,"client",'أرقام التواصل'!$B$6:$B$505,A103,'أرقام التواصل'!$C$6:$C$505,1))=0),"REVIEW","READY"))))</x:f>
      </x:c>
      <x:c r="BB103" s="224" t="str">
        <x:f>IF(BA103="","",IF(OR(BA103="READY",BA103="TO_PROPOSED"),"",IF(BA103="SKIP","Skipped by decision",TRIM(IF(B103="","missing import_action; ","")&amp;IF(A103="","missing migration_customer_key; ","")&amp;IF(AND(A103&lt;&gt;"",COUNTIF($A$6:$A$505,A103)&gt;1),"duplicate migration_customer_key; ","")&amp;IF(AND(NOT(OR(B103="to_candidate",AW103="proposed_name")),F103=""),"missing branch_id; ","")&amp;IF(AND(NOT(OR(B103="to_candidate",AW103="proposed_name")),H103=""),"missing first_name; ","")&amp;IF(AND(NOT(OR(B103="to_candidate",AW103="proposed_name")),J103=""),"missing last_name; ","")&amp;IF(AND(NOT(OR(B103="to_candidate",AW103="proposed_name")),U103=""),"missing final_geo_unit_id; ","")&amp;IF(AW103="","missing final_destination; ","")&amp;IF(AND(NOT(OR(B103="to_candidate",AW103="proposed_name")),(COUNTIFS('أرقام التواصل'!$A$6:$A$505,"client",'أرقام التواصل'!$B$6:$B$505,A103,'أرقام التواصل'!$I$6:$I$505,"TRUE")+COUNTIFS('أرقام التواصل'!$A$6:$A$505,"client",'أرقام التواصل'!$B$6:$B$505,A103,'أرقام التواصل'!$C$6:$C$505,1))=0),"missing primary contact in أرقام التواصل; ","")&amp;IF(OR(B103="to_candidate",AW103="proposed_name"),IF(AX103="","missing proposed_move_reason; ","")&amp;IF(AY103="","missing proposed_name_key; ",""),"")))))</x:f>
      </x:c>
    </x:row>
    <x:row r="104">
      <x:c r="A104" s="219"/>
      <x:c r="B104" s="220"/>
      <x:c r="C104" s="221"/>
      <x:c r="D104" s="220"/>
      <x:c r="E104" s="222"/>
      <x:c r="F104" s="220"/>
      <x:c r="G104" s="220"/>
      <x:c r="H104" s="220"/>
      <x:c r="I104" s="220"/>
      <x:c r="J104" s="220"/>
      <x:c r="K104" s="220"/>
      <x:c r="L104" s="220" t="str">
        <x:f>IF(TRIM(H104&amp;" "&amp;I104&amp;" "&amp;J104&amp;IF(K104&lt;&gt;""," ("&amp;K104&amp;")",""))="","",TRIM(H104&amp;" "&amp;I104&amp;" "&amp;J104&amp;IF(K104&lt;&gt;""," ("&amp;K104&amp;")","")))</x:f>
      </x:c>
      <x:c r="M104" s="220"/>
      <x:c r="N104" s="220"/>
      <x:c r="O104" s="220"/>
      <x:c r="P104" s="220"/>
      <x:c r="Q104" s="220"/>
      <x:c r="R104" s="220"/>
      <x:c r="S104" s="220"/>
      <x:c r="T104" s="220"/>
      <x:c r="U104" s="220" t="str">
        <x:f>IF(AND(M104="",O104="",Q104="",S104=""),"",IF(S104&lt;&gt;"",S104,IF(Q104&lt;&gt;"",Q104,IF(O104&lt;&gt;"",O104,M104))))</x:f>
      </x:c>
      <x:c r="V104" s="220" t="str">
        <x:f>IF(AND(N104="",P104="",R104="",T104=""),"",IF(T104&lt;&gt;"",T104,IF(R104&lt;&gt;"",R104,IF(P104&lt;&gt;"",P104,N104))))</x:f>
      </x:c>
      <x:c r="W104" s="221"/>
      <x:c r="X104" s="220"/>
      <x:c r="Y104" s="220"/>
      <x:c r="Z104" s="223"/>
      <x:c r="AA104" s="223"/>
      <x:c r="AB104" s="221"/>
      <x:c r="AC104" s="220"/>
      <x:c r="AD104" s="220"/>
      <x:c r="AE104" s="222"/>
      <x:c r="AF104" s="220"/>
      <x:c r="AG104" s="221"/>
      <x:c r="AH104" s="220"/>
      <x:c r="AI104" s="220"/>
      <x:c r="AJ104" s="222"/>
      <x:c r="AK104" s="220"/>
      <x:c r="AL104" s="220"/>
      <x:c r="AM104" s="220"/>
      <x:c r="AN104" s="220"/>
      <x:c r="AO104" s="220"/>
      <x:c r="AP104" s="220"/>
      <x:c r="AQ104" s="220"/>
      <x:c r="AR104" s="222"/>
      <x:c r="AS104" s="220"/>
      <x:c r="AT104" s="220"/>
      <x:c r="AU104" s="220"/>
      <x:c r="AV104" s="220"/>
      <x:c r="AW104" s="220"/>
      <x:c r="AX104" s="220"/>
      <x:c r="AY104" s="221"/>
      <x:c r="AZ104" s="220"/>
      <x:c r="BA104" s="220" t="str">
        <x:f>IF(AND(A104="",B104="",F104="",H104="",J104="",AW104="",AY104=""),"",IF(OR(B104="skip",AW104="skip"),"SKIP",IF(OR(B104="to_candidate",AW104="proposed_name"),IF(OR(A104="",AX104="",AY104="",COUNTIF($A$6:$A$505,A104)&gt;1),"REVIEW","TO_PROPOSED"),IF(OR(B104="",A104="",F104="",H104="",J104="",U104="",AW104="",COUNTIF($A$6:$A$505,A104)&gt;1,(COUNTIFS('أرقام التواصل'!$A$6:$A$505,"client",'أرقام التواصل'!$B$6:$B$505,A104,'أرقام التواصل'!$I$6:$I$505,"TRUE")+COUNTIFS('أرقام التواصل'!$A$6:$A$505,"client",'أرقام التواصل'!$B$6:$B$505,A104,'أرقام التواصل'!$C$6:$C$505,1))=0),"REVIEW","READY"))))</x:f>
      </x:c>
      <x:c r="BB104" s="224" t="str">
        <x:f>IF(BA104="","",IF(OR(BA104="READY",BA104="TO_PROPOSED"),"",IF(BA104="SKIP","Skipped by decision",TRIM(IF(B104="","missing import_action; ","")&amp;IF(A104="","missing migration_customer_key; ","")&amp;IF(AND(A104&lt;&gt;"",COUNTIF($A$6:$A$505,A104)&gt;1),"duplicate migration_customer_key; ","")&amp;IF(AND(NOT(OR(B104="to_candidate",AW104="proposed_name")),F104=""),"missing branch_id; ","")&amp;IF(AND(NOT(OR(B104="to_candidate",AW104="proposed_name")),H104=""),"missing first_name; ","")&amp;IF(AND(NOT(OR(B104="to_candidate",AW104="proposed_name")),J104=""),"missing last_name; ","")&amp;IF(AND(NOT(OR(B104="to_candidate",AW104="proposed_name")),U104=""),"missing final_geo_unit_id; ","")&amp;IF(AW104="","missing final_destination; ","")&amp;IF(AND(NOT(OR(B104="to_candidate",AW104="proposed_name")),(COUNTIFS('أرقام التواصل'!$A$6:$A$505,"client",'أرقام التواصل'!$B$6:$B$505,A104,'أرقام التواصل'!$I$6:$I$505,"TRUE")+COUNTIFS('أرقام التواصل'!$A$6:$A$505,"client",'أرقام التواصل'!$B$6:$B$505,A104,'أرقام التواصل'!$C$6:$C$505,1))=0),"missing primary contact in أرقام التواصل; ","")&amp;IF(OR(B104="to_candidate",AW104="proposed_name"),IF(AX104="","missing proposed_move_reason; ","")&amp;IF(AY104="","missing proposed_name_key; ",""),"")))))</x:f>
      </x:c>
    </x:row>
    <x:row r="105">
      <x:c r="A105" s="219"/>
      <x:c r="B105" s="220"/>
      <x:c r="C105" s="221"/>
      <x:c r="D105" s="220"/>
      <x:c r="E105" s="222"/>
      <x:c r="F105" s="220"/>
      <x:c r="G105" s="220"/>
      <x:c r="H105" s="220"/>
      <x:c r="I105" s="220"/>
      <x:c r="J105" s="220"/>
      <x:c r="K105" s="220"/>
      <x:c r="L105" s="220" t="str">
        <x:f>IF(TRIM(H105&amp;" "&amp;I105&amp;" "&amp;J105&amp;IF(K105&lt;&gt;""," ("&amp;K105&amp;")",""))="","",TRIM(H105&amp;" "&amp;I105&amp;" "&amp;J105&amp;IF(K105&lt;&gt;""," ("&amp;K105&amp;")","")))</x:f>
      </x:c>
      <x:c r="M105" s="220"/>
      <x:c r="N105" s="220"/>
      <x:c r="O105" s="220"/>
      <x:c r="P105" s="220"/>
      <x:c r="Q105" s="220"/>
      <x:c r="R105" s="220"/>
      <x:c r="S105" s="220"/>
      <x:c r="T105" s="220"/>
      <x:c r="U105" s="220" t="str">
        <x:f>IF(AND(M105="",O105="",Q105="",S105=""),"",IF(S105&lt;&gt;"",S105,IF(Q105&lt;&gt;"",Q105,IF(O105&lt;&gt;"",O105,M105))))</x:f>
      </x:c>
      <x:c r="V105" s="220" t="str">
        <x:f>IF(AND(N105="",P105="",R105="",T105=""),"",IF(T105&lt;&gt;"",T105,IF(R105&lt;&gt;"",R105,IF(P105&lt;&gt;"",P105,N105))))</x:f>
      </x:c>
      <x:c r="W105" s="221"/>
      <x:c r="X105" s="220"/>
      <x:c r="Y105" s="220"/>
      <x:c r="Z105" s="223"/>
      <x:c r="AA105" s="223"/>
      <x:c r="AB105" s="221"/>
      <x:c r="AC105" s="220"/>
      <x:c r="AD105" s="220"/>
      <x:c r="AE105" s="222"/>
      <x:c r="AF105" s="220"/>
      <x:c r="AG105" s="221"/>
      <x:c r="AH105" s="220"/>
      <x:c r="AI105" s="220"/>
      <x:c r="AJ105" s="222"/>
      <x:c r="AK105" s="220"/>
      <x:c r="AL105" s="220"/>
      <x:c r="AM105" s="220"/>
      <x:c r="AN105" s="220"/>
      <x:c r="AO105" s="220"/>
      <x:c r="AP105" s="220"/>
      <x:c r="AQ105" s="220"/>
      <x:c r="AR105" s="222"/>
      <x:c r="AS105" s="220"/>
      <x:c r="AT105" s="220"/>
      <x:c r="AU105" s="220"/>
      <x:c r="AV105" s="220"/>
      <x:c r="AW105" s="220"/>
      <x:c r="AX105" s="220"/>
      <x:c r="AY105" s="221"/>
      <x:c r="AZ105" s="220"/>
      <x:c r="BA105" s="220" t="str">
        <x:f>IF(AND(A105="",B105="",F105="",H105="",J105="",AW105="",AY105=""),"",IF(OR(B105="skip",AW105="skip"),"SKIP",IF(OR(B105="to_candidate",AW105="proposed_name"),IF(OR(A105="",AX105="",AY105="",COUNTIF($A$6:$A$505,A105)&gt;1),"REVIEW","TO_PROPOSED"),IF(OR(B105="",A105="",F105="",H105="",J105="",U105="",AW105="",COUNTIF($A$6:$A$505,A105)&gt;1,(COUNTIFS('أرقام التواصل'!$A$6:$A$505,"client",'أرقام التواصل'!$B$6:$B$505,A105,'أرقام التواصل'!$I$6:$I$505,"TRUE")+COUNTIFS('أرقام التواصل'!$A$6:$A$505,"client",'أرقام التواصل'!$B$6:$B$505,A105,'أرقام التواصل'!$C$6:$C$505,1))=0),"REVIEW","READY"))))</x:f>
      </x:c>
      <x:c r="BB105" s="224" t="str">
        <x:f>IF(BA105="","",IF(OR(BA105="READY",BA105="TO_PROPOSED"),"",IF(BA105="SKIP","Skipped by decision",TRIM(IF(B105="","missing import_action; ","")&amp;IF(A105="","missing migration_customer_key; ","")&amp;IF(AND(A105&lt;&gt;"",COUNTIF($A$6:$A$505,A105)&gt;1),"duplicate migration_customer_key; ","")&amp;IF(AND(NOT(OR(B105="to_candidate",AW105="proposed_name")),F105=""),"missing branch_id; ","")&amp;IF(AND(NOT(OR(B105="to_candidate",AW105="proposed_name")),H105=""),"missing first_name; ","")&amp;IF(AND(NOT(OR(B105="to_candidate",AW105="proposed_name")),J105=""),"missing last_name; ","")&amp;IF(AND(NOT(OR(B105="to_candidate",AW105="proposed_name")),U105=""),"missing final_geo_unit_id; ","")&amp;IF(AW105="","missing final_destination; ","")&amp;IF(AND(NOT(OR(B105="to_candidate",AW105="proposed_name")),(COUNTIFS('أرقام التواصل'!$A$6:$A$505,"client",'أرقام التواصل'!$B$6:$B$505,A105,'أرقام التواصل'!$I$6:$I$505,"TRUE")+COUNTIFS('أرقام التواصل'!$A$6:$A$505,"client",'أرقام التواصل'!$B$6:$B$505,A105,'أرقام التواصل'!$C$6:$C$505,1))=0),"missing primary contact in أرقام التواصل; ","")&amp;IF(OR(B105="to_candidate",AW105="proposed_name"),IF(AX105="","missing proposed_move_reason; ","")&amp;IF(AY105="","missing proposed_name_key; ",""),"")))))</x:f>
      </x:c>
    </x:row>
    <x:row r="106">
      <x:c r="A106" s="219"/>
      <x:c r="B106" s="220"/>
      <x:c r="C106" s="221"/>
      <x:c r="D106" s="220"/>
      <x:c r="E106" s="222"/>
      <x:c r="F106" s="220"/>
      <x:c r="G106" s="220"/>
      <x:c r="H106" s="220"/>
      <x:c r="I106" s="220"/>
      <x:c r="J106" s="220"/>
      <x:c r="K106" s="220"/>
      <x:c r="L106" s="220" t="str">
        <x:f>IF(TRIM(H106&amp;" "&amp;I106&amp;" "&amp;J106&amp;IF(K106&lt;&gt;""," ("&amp;K106&amp;")",""))="","",TRIM(H106&amp;" "&amp;I106&amp;" "&amp;J106&amp;IF(K106&lt;&gt;""," ("&amp;K106&amp;")","")))</x:f>
      </x:c>
      <x:c r="M106" s="220"/>
      <x:c r="N106" s="220"/>
      <x:c r="O106" s="220"/>
      <x:c r="P106" s="220"/>
      <x:c r="Q106" s="220"/>
      <x:c r="R106" s="220"/>
      <x:c r="S106" s="220"/>
      <x:c r="T106" s="220"/>
      <x:c r="U106" s="220" t="str">
        <x:f>IF(AND(M106="",O106="",Q106="",S106=""),"",IF(S106&lt;&gt;"",S106,IF(Q106&lt;&gt;"",Q106,IF(O106&lt;&gt;"",O106,M106))))</x:f>
      </x:c>
      <x:c r="V106" s="220" t="str">
        <x:f>IF(AND(N106="",P106="",R106="",T106=""),"",IF(T106&lt;&gt;"",T106,IF(R106&lt;&gt;"",R106,IF(P106&lt;&gt;"",P106,N106))))</x:f>
      </x:c>
      <x:c r="W106" s="221"/>
      <x:c r="X106" s="220"/>
      <x:c r="Y106" s="220"/>
      <x:c r="Z106" s="223"/>
      <x:c r="AA106" s="223"/>
      <x:c r="AB106" s="221"/>
      <x:c r="AC106" s="220"/>
      <x:c r="AD106" s="220"/>
      <x:c r="AE106" s="222"/>
      <x:c r="AF106" s="220"/>
      <x:c r="AG106" s="221"/>
      <x:c r="AH106" s="220"/>
      <x:c r="AI106" s="220"/>
      <x:c r="AJ106" s="222"/>
      <x:c r="AK106" s="220"/>
      <x:c r="AL106" s="220"/>
      <x:c r="AM106" s="220"/>
      <x:c r="AN106" s="220"/>
      <x:c r="AO106" s="220"/>
      <x:c r="AP106" s="220"/>
      <x:c r="AQ106" s="220"/>
      <x:c r="AR106" s="222"/>
      <x:c r="AS106" s="220"/>
      <x:c r="AT106" s="220"/>
      <x:c r="AU106" s="220"/>
      <x:c r="AV106" s="220"/>
      <x:c r="AW106" s="220"/>
      <x:c r="AX106" s="220"/>
      <x:c r="AY106" s="221"/>
      <x:c r="AZ106" s="220"/>
      <x:c r="BA106" s="220" t="str">
        <x:f>IF(AND(A106="",B106="",F106="",H106="",J106="",AW106="",AY106=""),"",IF(OR(B106="skip",AW106="skip"),"SKIP",IF(OR(B106="to_candidate",AW106="proposed_name"),IF(OR(A106="",AX106="",AY106="",COUNTIF($A$6:$A$505,A106)&gt;1),"REVIEW","TO_PROPOSED"),IF(OR(B106="",A106="",F106="",H106="",J106="",U106="",AW106="",COUNTIF($A$6:$A$505,A106)&gt;1,(COUNTIFS('أرقام التواصل'!$A$6:$A$505,"client",'أرقام التواصل'!$B$6:$B$505,A106,'أرقام التواصل'!$I$6:$I$505,"TRUE")+COUNTIFS('أرقام التواصل'!$A$6:$A$505,"client",'أرقام التواصل'!$B$6:$B$505,A106,'أرقام التواصل'!$C$6:$C$505,1))=0),"REVIEW","READY"))))</x:f>
      </x:c>
      <x:c r="BB106" s="224" t="str">
        <x:f>IF(BA106="","",IF(OR(BA106="READY",BA106="TO_PROPOSED"),"",IF(BA106="SKIP","Skipped by decision",TRIM(IF(B106="","missing import_action; ","")&amp;IF(A106="","missing migration_customer_key; ","")&amp;IF(AND(A106&lt;&gt;"",COUNTIF($A$6:$A$505,A106)&gt;1),"duplicate migration_customer_key; ","")&amp;IF(AND(NOT(OR(B106="to_candidate",AW106="proposed_name")),F106=""),"missing branch_id; ","")&amp;IF(AND(NOT(OR(B106="to_candidate",AW106="proposed_name")),H106=""),"missing first_name; ","")&amp;IF(AND(NOT(OR(B106="to_candidate",AW106="proposed_name")),J106=""),"missing last_name; ","")&amp;IF(AND(NOT(OR(B106="to_candidate",AW106="proposed_name")),U106=""),"missing final_geo_unit_id; ","")&amp;IF(AW106="","missing final_destination; ","")&amp;IF(AND(NOT(OR(B106="to_candidate",AW106="proposed_name")),(COUNTIFS('أرقام التواصل'!$A$6:$A$505,"client",'أرقام التواصل'!$B$6:$B$505,A106,'أرقام التواصل'!$I$6:$I$505,"TRUE")+COUNTIFS('أرقام التواصل'!$A$6:$A$505,"client",'أرقام التواصل'!$B$6:$B$505,A106,'أرقام التواصل'!$C$6:$C$505,1))=0),"missing primary contact in أرقام التواصل; ","")&amp;IF(OR(B106="to_candidate",AW106="proposed_name"),IF(AX106="","missing proposed_move_reason; ","")&amp;IF(AY106="","missing proposed_name_key; ",""),"")))))</x:f>
      </x:c>
    </x:row>
    <x:row r="107">
      <x:c r="A107" s="219"/>
      <x:c r="B107" s="220"/>
      <x:c r="C107" s="221"/>
      <x:c r="D107" s="220"/>
      <x:c r="E107" s="222"/>
      <x:c r="F107" s="220"/>
      <x:c r="G107" s="220"/>
      <x:c r="H107" s="220"/>
      <x:c r="I107" s="220"/>
      <x:c r="J107" s="220"/>
      <x:c r="K107" s="220"/>
      <x:c r="L107" s="220" t="str">
        <x:f>IF(TRIM(H107&amp;" "&amp;I107&amp;" "&amp;J107&amp;IF(K107&lt;&gt;""," ("&amp;K107&amp;")",""))="","",TRIM(H107&amp;" "&amp;I107&amp;" "&amp;J107&amp;IF(K107&lt;&gt;""," ("&amp;K107&amp;")","")))</x:f>
      </x:c>
      <x:c r="M107" s="220"/>
      <x:c r="N107" s="220"/>
      <x:c r="O107" s="220"/>
      <x:c r="P107" s="220"/>
      <x:c r="Q107" s="220"/>
      <x:c r="R107" s="220"/>
      <x:c r="S107" s="220"/>
      <x:c r="T107" s="220"/>
      <x:c r="U107" s="220" t="str">
        <x:f>IF(AND(M107="",O107="",Q107="",S107=""),"",IF(S107&lt;&gt;"",S107,IF(Q107&lt;&gt;"",Q107,IF(O107&lt;&gt;"",O107,M107))))</x:f>
      </x:c>
      <x:c r="V107" s="220" t="str">
        <x:f>IF(AND(N107="",P107="",R107="",T107=""),"",IF(T107&lt;&gt;"",T107,IF(R107&lt;&gt;"",R107,IF(P107&lt;&gt;"",P107,N107))))</x:f>
      </x:c>
      <x:c r="W107" s="221"/>
      <x:c r="X107" s="220"/>
      <x:c r="Y107" s="220"/>
      <x:c r="Z107" s="223"/>
      <x:c r="AA107" s="223"/>
      <x:c r="AB107" s="221"/>
      <x:c r="AC107" s="220"/>
      <x:c r="AD107" s="220"/>
      <x:c r="AE107" s="222"/>
      <x:c r="AF107" s="220"/>
      <x:c r="AG107" s="221"/>
      <x:c r="AH107" s="220"/>
      <x:c r="AI107" s="220"/>
      <x:c r="AJ107" s="222"/>
      <x:c r="AK107" s="220"/>
      <x:c r="AL107" s="220"/>
      <x:c r="AM107" s="220"/>
      <x:c r="AN107" s="220"/>
      <x:c r="AO107" s="220"/>
      <x:c r="AP107" s="220"/>
      <x:c r="AQ107" s="220"/>
      <x:c r="AR107" s="222"/>
      <x:c r="AS107" s="220"/>
      <x:c r="AT107" s="220"/>
      <x:c r="AU107" s="220"/>
      <x:c r="AV107" s="220"/>
      <x:c r="AW107" s="220"/>
      <x:c r="AX107" s="220"/>
      <x:c r="AY107" s="221"/>
      <x:c r="AZ107" s="220"/>
      <x:c r="BA107" s="220" t="str">
        <x:f>IF(AND(A107="",B107="",F107="",H107="",J107="",AW107="",AY107=""),"",IF(OR(B107="skip",AW107="skip"),"SKIP",IF(OR(B107="to_candidate",AW107="proposed_name"),IF(OR(A107="",AX107="",AY107="",COUNTIF($A$6:$A$505,A107)&gt;1),"REVIEW","TO_PROPOSED"),IF(OR(B107="",A107="",F107="",H107="",J107="",U107="",AW107="",COUNTIF($A$6:$A$505,A107)&gt;1,(COUNTIFS('أرقام التواصل'!$A$6:$A$505,"client",'أرقام التواصل'!$B$6:$B$505,A107,'أرقام التواصل'!$I$6:$I$505,"TRUE")+COUNTIFS('أرقام التواصل'!$A$6:$A$505,"client",'أرقام التواصل'!$B$6:$B$505,A107,'أرقام التواصل'!$C$6:$C$505,1))=0),"REVIEW","READY"))))</x:f>
      </x:c>
      <x:c r="BB107" s="224" t="str">
        <x:f>IF(BA107="","",IF(OR(BA107="READY",BA107="TO_PROPOSED"),"",IF(BA107="SKIP","Skipped by decision",TRIM(IF(B107="","missing import_action; ","")&amp;IF(A107="","missing migration_customer_key; ","")&amp;IF(AND(A107&lt;&gt;"",COUNTIF($A$6:$A$505,A107)&gt;1),"duplicate migration_customer_key; ","")&amp;IF(AND(NOT(OR(B107="to_candidate",AW107="proposed_name")),F107=""),"missing branch_id; ","")&amp;IF(AND(NOT(OR(B107="to_candidate",AW107="proposed_name")),H107=""),"missing first_name; ","")&amp;IF(AND(NOT(OR(B107="to_candidate",AW107="proposed_name")),J107=""),"missing last_name; ","")&amp;IF(AND(NOT(OR(B107="to_candidate",AW107="proposed_name")),U107=""),"missing final_geo_unit_id; ","")&amp;IF(AW107="","missing final_destination; ","")&amp;IF(AND(NOT(OR(B107="to_candidate",AW107="proposed_name")),(COUNTIFS('أرقام التواصل'!$A$6:$A$505,"client",'أرقام التواصل'!$B$6:$B$505,A107,'أرقام التواصل'!$I$6:$I$505,"TRUE")+COUNTIFS('أرقام التواصل'!$A$6:$A$505,"client",'أرقام التواصل'!$B$6:$B$505,A107,'أرقام التواصل'!$C$6:$C$505,1))=0),"missing primary contact in أرقام التواصل; ","")&amp;IF(OR(B107="to_candidate",AW107="proposed_name"),IF(AX107="","missing proposed_move_reason; ","")&amp;IF(AY107="","missing proposed_name_key; ",""),"")))))</x:f>
      </x:c>
    </x:row>
    <x:row r="108">
      <x:c r="A108" s="219"/>
      <x:c r="B108" s="220"/>
      <x:c r="C108" s="221"/>
      <x:c r="D108" s="220"/>
      <x:c r="E108" s="222"/>
      <x:c r="F108" s="220"/>
      <x:c r="G108" s="220"/>
      <x:c r="H108" s="220"/>
      <x:c r="I108" s="220"/>
      <x:c r="J108" s="220"/>
      <x:c r="K108" s="220"/>
      <x:c r="L108" s="220" t="str">
        <x:f>IF(TRIM(H108&amp;" "&amp;I108&amp;" "&amp;J108&amp;IF(K108&lt;&gt;""," ("&amp;K108&amp;")",""))="","",TRIM(H108&amp;" "&amp;I108&amp;" "&amp;J108&amp;IF(K108&lt;&gt;""," ("&amp;K108&amp;")","")))</x:f>
      </x:c>
      <x:c r="M108" s="220"/>
      <x:c r="N108" s="220"/>
      <x:c r="O108" s="220"/>
      <x:c r="P108" s="220"/>
      <x:c r="Q108" s="220"/>
      <x:c r="R108" s="220"/>
      <x:c r="S108" s="220"/>
      <x:c r="T108" s="220"/>
      <x:c r="U108" s="220" t="str">
        <x:f>IF(AND(M108="",O108="",Q108="",S108=""),"",IF(S108&lt;&gt;"",S108,IF(Q108&lt;&gt;"",Q108,IF(O108&lt;&gt;"",O108,M108))))</x:f>
      </x:c>
      <x:c r="V108" s="220" t="str">
        <x:f>IF(AND(N108="",P108="",R108="",T108=""),"",IF(T108&lt;&gt;"",T108,IF(R108&lt;&gt;"",R108,IF(P108&lt;&gt;"",P108,N108))))</x:f>
      </x:c>
      <x:c r="W108" s="221"/>
      <x:c r="X108" s="220"/>
      <x:c r="Y108" s="220"/>
      <x:c r="Z108" s="223"/>
      <x:c r="AA108" s="223"/>
      <x:c r="AB108" s="221"/>
      <x:c r="AC108" s="220"/>
      <x:c r="AD108" s="220"/>
      <x:c r="AE108" s="222"/>
      <x:c r="AF108" s="220"/>
      <x:c r="AG108" s="221"/>
      <x:c r="AH108" s="220"/>
      <x:c r="AI108" s="220"/>
      <x:c r="AJ108" s="222"/>
      <x:c r="AK108" s="220"/>
      <x:c r="AL108" s="220"/>
      <x:c r="AM108" s="220"/>
      <x:c r="AN108" s="220"/>
      <x:c r="AO108" s="220"/>
      <x:c r="AP108" s="220"/>
      <x:c r="AQ108" s="220"/>
      <x:c r="AR108" s="222"/>
      <x:c r="AS108" s="220"/>
      <x:c r="AT108" s="220"/>
      <x:c r="AU108" s="220"/>
      <x:c r="AV108" s="220"/>
      <x:c r="AW108" s="220"/>
      <x:c r="AX108" s="220"/>
      <x:c r="AY108" s="221"/>
      <x:c r="AZ108" s="220"/>
      <x:c r="BA108" s="220" t="str">
        <x:f>IF(AND(A108="",B108="",F108="",H108="",J108="",AW108="",AY108=""),"",IF(OR(B108="skip",AW108="skip"),"SKIP",IF(OR(B108="to_candidate",AW108="proposed_name"),IF(OR(A108="",AX108="",AY108="",COUNTIF($A$6:$A$505,A108)&gt;1),"REVIEW","TO_PROPOSED"),IF(OR(B108="",A108="",F108="",H108="",J108="",U108="",AW108="",COUNTIF($A$6:$A$505,A108)&gt;1,(COUNTIFS('أرقام التواصل'!$A$6:$A$505,"client",'أرقام التواصل'!$B$6:$B$505,A108,'أرقام التواصل'!$I$6:$I$505,"TRUE")+COUNTIFS('أرقام التواصل'!$A$6:$A$505,"client",'أرقام التواصل'!$B$6:$B$505,A108,'أرقام التواصل'!$C$6:$C$505,1))=0),"REVIEW","READY"))))</x:f>
      </x:c>
      <x:c r="BB108" s="224" t="str">
        <x:f>IF(BA108="","",IF(OR(BA108="READY",BA108="TO_PROPOSED"),"",IF(BA108="SKIP","Skipped by decision",TRIM(IF(B108="","missing import_action; ","")&amp;IF(A108="","missing migration_customer_key; ","")&amp;IF(AND(A108&lt;&gt;"",COUNTIF($A$6:$A$505,A108)&gt;1),"duplicate migration_customer_key; ","")&amp;IF(AND(NOT(OR(B108="to_candidate",AW108="proposed_name")),F108=""),"missing branch_id; ","")&amp;IF(AND(NOT(OR(B108="to_candidate",AW108="proposed_name")),H108=""),"missing first_name; ","")&amp;IF(AND(NOT(OR(B108="to_candidate",AW108="proposed_name")),J108=""),"missing last_name; ","")&amp;IF(AND(NOT(OR(B108="to_candidate",AW108="proposed_name")),U108=""),"missing final_geo_unit_id; ","")&amp;IF(AW108="","missing final_destination; ","")&amp;IF(AND(NOT(OR(B108="to_candidate",AW108="proposed_name")),(COUNTIFS('أرقام التواصل'!$A$6:$A$505,"client",'أرقام التواصل'!$B$6:$B$505,A108,'أرقام التواصل'!$I$6:$I$505,"TRUE")+COUNTIFS('أرقام التواصل'!$A$6:$A$505,"client",'أرقام التواصل'!$B$6:$B$505,A108,'أرقام التواصل'!$C$6:$C$505,1))=0),"missing primary contact in أرقام التواصل; ","")&amp;IF(OR(B108="to_candidate",AW108="proposed_name"),IF(AX108="","missing proposed_move_reason; ","")&amp;IF(AY108="","missing proposed_name_key; ",""),"")))))</x:f>
      </x:c>
    </x:row>
    <x:row r="109">
      <x:c r="A109" s="219"/>
      <x:c r="B109" s="220"/>
      <x:c r="C109" s="221"/>
      <x:c r="D109" s="220"/>
      <x:c r="E109" s="222"/>
      <x:c r="F109" s="220"/>
      <x:c r="G109" s="220"/>
      <x:c r="H109" s="220"/>
      <x:c r="I109" s="220"/>
      <x:c r="J109" s="220"/>
      <x:c r="K109" s="220"/>
      <x:c r="L109" s="220" t="str">
        <x:f>IF(TRIM(H109&amp;" "&amp;I109&amp;" "&amp;J109&amp;IF(K109&lt;&gt;""," ("&amp;K109&amp;")",""))="","",TRIM(H109&amp;" "&amp;I109&amp;" "&amp;J109&amp;IF(K109&lt;&gt;""," ("&amp;K109&amp;")","")))</x:f>
      </x:c>
      <x:c r="M109" s="220"/>
      <x:c r="N109" s="220"/>
      <x:c r="O109" s="220"/>
      <x:c r="P109" s="220"/>
      <x:c r="Q109" s="220"/>
      <x:c r="R109" s="220"/>
      <x:c r="S109" s="220"/>
      <x:c r="T109" s="220"/>
      <x:c r="U109" s="220" t="str">
        <x:f>IF(AND(M109="",O109="",Q109="",S109=""),"",IF(S109&lt;&gt;"",S109,IF(Q109&lt;&gt;"",Q109,IF(O109&lt;&gt;"",O109,M109))))</x:f>
      </x:c>
      <x:c r="V109" s="220" t="str">
        <x:f>IF(AND(N109="",P109="",R109="",T109=""),"",IF(T109&lt;&gt;"",T109,IF(R109&lt;&gt;"",R109,IF(P109&lt;&gt;"",P109,N109))))</x:f>
      </x:c>
      <x:c r="W109" s="221"/>
      <x:c r="X109" s="220"/>
      <x:c r="Y109" s="220"/>
      <x:c r="Z109" s="223"/>
      <x:c r="AA109" s="223"/>
      <x:c r="AB109" s="221"/>
      <x:c r="AC109" s="220"/>
      <x:c r="AD109" s="220"/>
      <x:c r="AE109" s="222"/>
      <x:c r="AF109" s="220"/>
      <x:c r="AG109" s="221"/>
      <x:c r="AH109" s="220"/>
      <x:c r="AI109" s="220"/>
      <x:c r="AJ109" s="222"/>
      <x:c r="AK109" s="220"/>
      <x:c r="AL109" s="220"/>
      <x:c r="AM109" s="220"/>
      <x:c r="AN109" s="220"/>
      <x:c r="AO109" s="220"/>
      <x:c r="AP109" s="220"/>
      <x:c r="AQ109" s="220"/>
      <x:c r="AR109" s="222"/>
      <x:c r="AS109" s="220"/>
      <x:c r="AT109" s="220"/>
      <x:c r="AU109" s="220"/>
      <x:c r="AV109" s="220"/>
      <x:c r="AW109" s="220"/>
      <x:c r="AX109" s="220"/>
      <x:c r="AY109" s="221"/>
      <x:c r="AZ109" s="220"/>
      <x:c r="BA109" s="220" t="str">
        <x:f>IF(AND(A109="",B109="",F109="",H109="",J109="",AW109="",AY109=""),"",IF(OR(B109="skip",AW109="skip"),"SKIP",IF(OR(B109="to_candidate",AW109="proposed_name"),IF(OR(A109="",AX109="",AY109="",COUNTIF($A$6:$A$505,A109)&gt;1),"REVIEW","TO_PROPOSED"),IF(OR(B109="",A109="",F109="",H109="",J109="",U109="",AW109="",COUNTIF($A$6:$A$505,A109)&gt;1,(COUNTIFS('أرقام التواصل'!$A$6:$A$505,"client",'أرقام التواصل'!$B$6:$B$505,A109,'أرقام التواصل'!$I$6:$I$505,"TRUE")+COUNTIFS('أرقام التواصل'!$A$6:$A$505,"client",'أرقام التواصل'!$B$6:$B$505,A109,'أرقام التواصل'!$C$6:$C$505,1))=0),"REVIEW","READY"))))</x:f>
      </x:c>
      <x:c r="BB109" s="224" t="str">
        <x:f>IF(BA109="","",IF(OR(BA109="READY",BA109="TO_PROPOSED"),"",IF(BA109="SKIP","Skipped by decision",TRIM(IF(B109="","missing import_action; ","")&amp;IF(A109="","missing migration_customer_key; ","")&amp;IF(AND(A109&lt;&gt;"",COUNTIF($A$6:$A$505,A109)&gt;1),"duplicate migration_customer_key; ","")&amp;IF(AND(NOT(OR(B109="to_candidate",AW109="proposed_name")),F109=""),"missing branch_id; ","")&amp;IF(AND(NOT(OR(B109="to_candidate",AW109="proposed_name")),H109=""),"missing first_name; ","")&amp;IF(AND(NOT(OR(B109="to_candidate",AW109="proposed_name")),J109=""),"missing last_name; ","")&amp;IF(AND(NOT(OR(B109="to_candidate",AW109="proposed_name")),U109=""),"missing final_geo_unit_id; ","")&amp;IF(AW109="","missing final_destination; ","")&amp;IF(AND(NOT(OR(B109="to_candidate",AW109="proposed_name")),(COUNTIFS('أرقام التواصل'!$A$6:$A$505,"client",'أرقام التواصل'!$B$6:$B$505,A109,'أرقام التواصل'!$I$6:$I$505,"TRUE")+COUNTIFS('أرقام التواصل'!$A$6:$A$505,"client",'أرقام التواصل'!$B$6:$B$505,A109,'أرقام التواصل'!$C$6:$C$505,1))=0),"missing primary contact in أرقام التواصل; ","")&amp;IF(OR(B109="to_candidate",AW109="proposed_name"),IF(AX109="","missing proposed_move_reason; ","")&amp;IF(AY109="","missing proposed_name_key; ",""),"")))))</x:f>
      </x:c>
    </x:row>
    <x:row r="110">
      <x:c r="A110" s="219"/>
      <x:c r="B110" s="220"/>
      <x:c r="C110" s="221"/>
      <x:c r="D110" s="220"/>
      <x:c r="E110" s="222"/>
      <x:c r="F110" s="220"/>
      <x:c r="G110" s="220"/>
      <x:c r="H110" s="220"/>
      <x:c r="I110" s="220"/>
      <x:c r="J110" s="220"/>
      <x:c r="K110" s="220"/>
      <x:c r="L110" s="220" t="str">
        <x:f>IF(TRIM(H110&amp;" "&amp;I110&amp;" "&amp;J110&amp;IF(K110&lt;&gt;""," ("&amp;K110&amp;")",""))="","",TRIM(H110&amp;" "&amp;I110&amp;" "&amp;J110&amp;IF(K110&lt;&gt;""," ("&amp;K110&amp;")","")))</x:f>
      </x:c>
      <x:c r="M110" s="220"/>
      <x:c r="N110" s="220"/>
      <x:c r="O110" s="220"/>
      <x:c r="P110" s="220"/>
      <x:c r="Q110" s="220"/>
      <x:c r="R110" s="220"/>
      <x:c r="S110" s="220"/>
      <x:c r="T110" s="220"/>
      <x:c r="U110" s="220" t="str">
        <x:f>IF(AND(M110="",O110="",Q110="",S110=""),"",IF(S110&lt;&gt;"",S110,IF(Q110&lt;&gt;"",Q110,IF(O110&lt;&gt;"",O110,M110))))</x:f>
      </x:c>
      <x:c r="V110" s="220" t="str">
        <x:f>IF(AND(N110="",P110="",R110="",T110=""),"",IF(T110&lt;&gt;"",T110,IF(R110&lt;&gt;"",R110,IF(P110&lt;&gt;"",P110,N110))))</x:f>
      </x:c>
      <x:c r="W110" s="221"/>
      <x:c r="X110" s="220"/>
      <x:c r="Y110" s="220"/>
      <x:c r="Z110" s="223"/>
      <x:c r="AA110" s="223"/>
      <x:c r="AB110" s="221"/>
      <x:c r="AC110" s="220"/>
      <x:c r="AD110" s="220"/>
      <x:c r="AE110" s="222"/>
      <x:c r="AF110" s="220"/>
      <x:c r="AG110" s="221"/>
      <x:c r="AH110" s="220"/>
      <x:c r="AI110" s="220"/>
      <x:c r="AJ110" s="222"/>
      <x:c r="AK110" s="220"/>
      <x:c r="AL110" s="220"/>
      <x:c r="AM110" s="220"/>
      <x:c r="AN110" s="220"/>
      <x:c r="AO110" s="220"/>
      <x:c r="AP110" s="220"/>
      <x:c r="AQ110" s="220"/>
      <x:c r="AR110" s="222"/>
      <x:c r="AS110" s="220"/>
      <x:c r="AT110" s="220"/>
      <x:c r="AU110" s="220"/>
      <x:c r="AV110" s="220"/>
      <x:c r="AW110" s="220"/>
      <x:c r="AX110" s="220"/>
      <x:c r="AY110" s="221"/>
      <x:c r="AZ110" s="220"/>
      <x:c r="BA110" s="220" t="str">
        <x:f>IF(AND(A110="",B110="",F110="",H110="",J110="",AW110="",AY110=""),"",IF(OR(B110="skip",AW110="skip"),"SKIP",IF(OR(B110="to_candidate",AW110="proposed_name"),IF(OR(A110="",AX110="",AY110="",COUNTIF($A$6:$A$505,A110)&gt;1),"REVIEW","TO_PROPOSED"),IF(OR(B110="",A110="",F110="",H110="",J110="",U110="",AW110="",COUNTIF($A$6:$A$505,A110)&gt;1,(COUNTIFS('أرقام التواصل'!$A$6:$A$505,"client",'أرقام التواصل'!$B$6:$B$505,A110,'أرقام التواصل'!$I$6:$I$505,"TRUE")+COUNTIFS('أرقام التواصل'!$A$6:$A$505,"client",'أرقام التواصل'!$B$6:$B$505,A110,'أرقام التواصل'!$C$6:$C$505,1))=0),"REVIEW","READY"))))</x:f>
      </x:c>
      <x:c r="BB110" s="224" t="str">
        <x:f>IF(BA110="","",IF(OR(BA110="READY",BA110="TO_PROPOSED"),"",IF(BA110="SKIP","Skipped by decision",TRIM(IF(B110="","missing import_action; ","")&amp;IF(A110="","missing migration_customer_key; ","")&amp;IF(AND(A110&lt;&gt;"",COUNTIF($A$6:$A$505,A110)&gt;1),"duplicate migration_customer_key; ","")&amp;IF(AND(NOT(OR(B110="to_candidate",AW110="proposed_name")),F110=""),"missing branch_id; ","")&amp;IF(AND(NOT(OR(B110="to_candidate",AW110="proposed_name")),H110=""),"missing first_name; ","")&amp;IF(AND(NOT(OR(B110="to_candidate",AW110="proposed_name")),J110=""),"missing last_name; ","")&amp;IF(AND(NOT(OR(B110="to_candidate",AW110="proposed_name")),U110=""),"missing final_geo_unit_id; ","")&amp;IF(AW110="","missing final_destination; ","")&amp;IF(AND(NOT(OR(B110="to_candidate",AW110="proposed_name")),(COUNTIFS('أرقام التواصل'!$A$6:$A$505,"client",'أرقام التواصل'!$B$6:$B$505,A110,'أرقام التواصل'!$I$6:$I$505,"TRUE")+COUNTIFS('أرقام التواصل'!$A$6:$A$505,"client",'أرقام التواصل'!$B$6:$B$505,A110,'أرقام التواصل'!$C$6:$C$505,1))=0),"missing primary contact in أرقام التواصل; ","")&amp;IF(OR(B110="to_candidate",AW110="proposed_name"),IF(AX110="","missing proposed_move_reason; ","")&amp;IF(AY110="","missing proposed_name_key; ",""),"")))))</x:f>
      </x:c>
    </x:row>
    <x:row r="111">
      <x:c r="A111" s="219"/>
      <x:c r="B111" s="220"/>
      <x:c r="C111" s="221"/>
      <x:c r="D111" s="220"/>
      <x:c r="E111" s="222"/>
      <x:c r="F111" s="220"/>
      <x:c r="G111" s="220"/>
      <x:c r="H111" s="220"/>
      <x:c r="I111" s="220"/>
      <x:c r="J111" s="220"/>
      <x:c r="K111" s="220"/>
      <x:c r="L111" s="220" t="str">
        <x:f>IF(TRIM(H111&amp;" "&amp;I111&amp;" "&amp;J111&amp;IF(K111&lt;&gt;""," ("&amp;K111&amp;")",""))="","",TRIM(H111&amp;" "&amp;I111&amp;" "&amp;J111&amp;IF(K111&lt;&gt;""," ("&amp;K111&amp;")","")))</x:f>
      </x:c>
      <x:c r="M111" s="220"/>
      <x:c r="N111" s="220"/>
      <x:c r="O111" s="220"/>
      <x:c r="P111" s="220"/>
      <x:c r="Q111" s="220"/>
      <x:c r="R111" s="220"/>
      <x:c r="S111" s="220"/>
      <x:c r="T111" s="220"/>
      <x:c r="U111" s="220" t="str">
        <x:f>IF(AND(M111="",O111="",Q111="",S111=""),"",IF(S111&lt;&gt;"",S111,IF(Q111&lt;&gt;"",Q111,IF(O111&lt;&gt;"",O111,M111))))</x:f>
      </x:c>
      <x:c r="V111" s="220" t="str">
        <x:f>IF(AND(N111="",P111="",R111="",T111=""),"",IF(T111&lt;&gt;"",T111,IF(R111&lt;&gt;"",R111,IF(P111&lt;&gt;"",P111,N111))))</x:f>
      </x:c>
      <x:c r="W111" s="221"/>
      <x:c r="X111" s="220"/>
      <x:c r="Y111" s="220"/>
      <x:c r="Z111" s="223"/>
      <x:c r="AA111" s="223"/>
      <x:c r="AB111" s="221"/>
      <x:c r="AC111" s="220"/>
      <x:c r="AD111" s="220"/>
      <x:c r="AE111" s="222"/>
      <x:c r="AF111" s="220"/>
      <x:c r="AG111" s="221"/>
      <x:c r="AH111" s="220"/>
      <x:c r="AI111" s="220"/>
      <x:c r="AJ111" s="222"/>
      <x:c r="AK111" s="220"/>
      <x:c r="AL111" s="220"/>
      <x:c r="AM111" s="220"/>
      <x:c r="AN111" s="220"/>
      <x:c r="AO111" s="220"/>
      <x:c r="AP111" s="220"/>
      <x:c r="AQ111" s="220"/>
      <x:c r="AR111" s="222"/>
      <x:c r="AS111" s="220"/>
      <x:c r="AT111" s="220"/>
      <x:c r="AU111" s="220"/>
      <x:c r="AV111" s="220"/>
      <x:c r="AW111" s="220"/>
      <x:c r="AX111" s="220"/>
      <x:c r="AY111" s="221"/>
      <x:c r="AZ111" s="220"/>
      <x:c r="BA111" s="220" t="str">
        <x:f>IF(AND(A111="",B111="",F111="",H111="",J111="",AW111="",AY111=""),"",IF(OR(B111="skip",AW111="skip"),"SKIP",IF(OR(B111="to_candidate",AW111="proposed_name"),IF(OR(A111="",AX111="",AY111="",COUNTIF($A$6:$A$505,A111)&gt;1),"REVIEW","TO_PROPOSED"),IF(OR(B111="",A111="",F111="",H111="",J111="",U111="",AW111="",COUNTIF($A$6:$A$505,A111)&gt;1,(COUNTIFS('أرقام التواصل'!$A$6:$A$505,"client",'أرقام التواصل'!$B$6:$B$505,A111,'أرقام التواصل'!$I$6:$I$505,"TRUE")+COUNTIFS('أرقام التواصل'!$A$6:$A$505,"client",'أرقام التواصل'!$B$6:$B$505,A111,'أرقام التواصل'!$C$6:$C$505,1))=0),"REVIEW","READY"))))</x:f>
      </x:c>
      <x:c r="BB111" s="224" t="str">
        <x:f>IF(BA111="","",IF(OR(BA111="READY",BA111="TO_PROPOSED"),"",IF(BA111="SKIP","Skipped by decision",TRIM(IF(B111="","missing import_action; ","")&amp;IF(A111="","missing migration_customer_key; ","")&amp;IF(AND(A111&lt;&gt;"",COUNTIF($A$6:$A$505,A111)&gt;1),"duplicate migration_customer_key; ","")&amp;IF(AND(NOT(OR(B111="to_candidate",AW111="proposed_name")),F111=""),"missing branch_id; ","")&amp;IF(AND(NOT(OR(B111="to_candidate",AW111="proposed_name")),H111=""),"missing first_name; ","")&amp;IF(AND(NOT(OR(B111="to_candidate",AW111="proposed_name")),J111=""),"missing last_name; ","")&amp;IF(AND(NOT(OR(B111="to_candidate",AW111="proposed_name")),U111=""),"missing final_geo_unit_id; ","")&amp;IF(AW111="","missing final_destination; ","")&amp;IF(AND(NOT(OR(B111="to_candidate",AW111="proposed_name")),(COUNTIFS('أرقام التواصل'!$A$6:$A$505,"client",'أرقام التواصل'!$B$6:$B$505,A111,'أرقام التواصل'!$I$6:$I$505,"TRUE")+COUNTIFS('أرقام التواصل'!$A$6:$A$505,"client",'أرقام التواصل'!$B$6:$B$505,A111,'أرقام التواصل'!$C$6:$C$505,1))=0),"missing primary contact in أرقام التواصل; ","")&amp;IF(OR(B111="to_candidate",AW111="proposed_name"),IF(AX111="","missing proposed_move_reason; ","")&amp;IF(AY111="","missing proposed_name_key; ",""),"")))))</x:f>
      </x:c>
    </x:row>
    <x:row r="112">
      <x:c r="A112" s="219"/>
      <x:c r="B112" s="220"/>
      <x:c r="C112" s="221"/>
      <x:c r="D112" s="220"/>
      <x:c r="E112" s="222"/>
      <x:c r="F112" s="220"/>
      <x:c r="G112" s="220"/>
      <x:c r="H112" s="220"/>
      <x:c r="I112" s="220"/>
      <x:c r="J112" s="220"/>
      <x:c r="K112" s="220"/>
      <x:c r="L112" s="220" t="str">
        <x:f>IF(TRIM(H112&amp;" "&amp;I112&amp;" "&amp;J112&amp;IF(K112&lt;&gt;""," ("&amp;K112&amp;")",""))="","",TRIM(H112&amp;" "&amp;I112&amp;" "&amp;J112&amp;IF(K112&lt;&gt;""," ("&amp;K112&amp;")","")))</x:f>
      </x:c>
      <x:c r="M112" s="220"/>
      <x:c r="N112" s="220"/>
      <x:c r="O112" s="220"/>
      <x:c r="P112" s="220"/>
      <x:c r="Q112" s="220"/>
      <x:c r="R112" s="220"/>
      <x:c r="S112" s="220"/>
      <x:c r="T112" s="220"/>
      <x:c r="U112" s="220" t="str">
        <x:f>IF(AND(M112="",O112="",Q112="",S112=""),"",IF(S112&lt;&gt;"",S112,IF(Q112&lt;&gt;"",Q112,IF(O112&lt;&gt;"",O112,M112))))</x:f>
      </x:c>
      <x:c r="V112" s="220" t="str">
        <x:f>IF(AND(N112="",P112="",R112="",T112=""),"",IF(T112&lt;&gt;"",T112,IF(R112&lt;&gt;"",R112,IF(P112&lt;&gt;"",P112,N112))))</x:f>
      </x:c>
      <x:c r="W112" s="221"/>
      <x:c r="X112" s="220"/>
      <x:c r="Y112" s="220"/>
      <x:c r="Z112" s="223"/>
      <x:c r="AA112" s="223"/>
      <x:c r="AB112" s="221"/>
      <x:c r="AC112" s="220"/>
      <x:c r="AD112" s="220"/>
      <x:c r="AE112" s="222"/>
      <x:c r="AF112" s="220"/>
      <x:c r="AG112" s="221"/>
      <x:c r="AH112" s="220"/>
      <x:c r="AI112" s="220"/>
      <x:c r="AJ112" s="222"/>
      <x:c r="AK112" s="220"/>
      <x:c r="AL112" s="220"/>
      <x:c r="AM112" s="220"/>
      <x:c r="AN112" s="220"/>
      <x:c r="AO112" s="220"/>
      <x:c r="AP112" s="220"/>
      <x:c r="AQ112" s="220"/>
      <x:c r="AR112" s="222"/>
      <x:c r="AS112" s="220"/>
      <x:c r="AT112" s="220"/>
      <x:c r="AU112" s="220"/>
      <x:c r="AV112" s="220"/>
      <x:c r="AW112" s="220"/>
      <x:c r="AX112" s="220"/>
      <x:c r="AY112" s="221"/>
      <x:c r="AZ112" s="220"/>
      <x:c r="BA112" s="220" t="str">
        <x:f>IF(AND(A112="",B112="",F112="",H112="",J112="",AW112="",AY112=""),"",IF(OR(B112="skip",AW112="skip"),"SKIP",IF(OR(B112="to_candidate",AW112="proposed_name"),IF(OR(A112="",AX112="",AY112="",COUNTIF($A$6:$A$505,A112)&gt;1),"REVIEW","TO_PROPOSED"),IF(OR(B112="",A112="",F112="",H112="",J112="",U112="",AW112="",COUNTIF($A$6:$A$505,A112)&gt;1,(COUNTIFS('أرقام التواصل'!$A$6:$A$505,"client",'أرقام التواصل'!$B$6:$B$505,A112,'أرقام التواصل'!$I$6:$I$505,"TRUE")+COUNTIFS('أرقام التواصل'!$A$6:$A$505,"client",'أرقام التواصل'!$B$6:$B$505,A112,'أرقام التواصل'!$C$6:$C$505,1))=0),"REVIEW","READY"))))</x:f>
      </x:c>
      <x:c r="BB112" s="224" t="str">
        <x:f>IF(BA112="","",IF(OR(BA112="READY",BA112="TO_PROPOSED"),"",IF(BA112="SKIP","Skipped by decision",TRIM(IF(B112="","missing import_action; ","")&amp;IF(A112="","missing migration_customer_key; ","")&amp;IF(AND(A112&lt;&gt;"",COUNTIF($A$6:$A$505,A112)&gt;1),"duplicate migration_customer_key; ","")&amp;IF(AND(NOT(OR(B112="to_candidate",AW112="proposed_name")),F112=""),"missing branch_id; ","")&amp;IF(AND(NOT(OR(B112="to_candidate",AW112="proposed_name")),H112=""),"missing first_name; ","")&amp;IF(AND(NOT(OR(B112="to_candidate",AW112="proposed_name")),J112=""),"missing last_name; ","")&amp;IF(AND(NOT(OR(B112="to_candidate",AW112="proposed_name")),U112=""),"missing final_geo_unit_id; ","")&amp;IF(AW112="","missing final_destination; ","")&amp;IF(AND(NOT(OR(B112="to_candidate",AW112="proposed_name")),(COUNTIFS('أرقام التواصل'!$A$6:$A$505,"client",'أرقام التواصل'!$B$6:$B$505,A112,'أرقام التواصل'!$I$6:$I$505,"TRUE")+COUNTIFS('أرقام التواصل'!$A$6:$A$505,"client",'أرقام التواصل'!$B$6:$B$505,A112,'أرقام التواصل'!$C$6:$C$505,1))=0),"missing primary contact in أرقام التواصل; ","")&amp;IF(OR(B112="to_candidate",AW112="proposed_name"),IF(AX112="","missing proposed_move_reason; ","")&amp;IF(AY112="","missing proposed_name_key; ",""),"")))))</x:f>
      </x:c>
    </x:row>
    <x:row r="113">
      <x:c r="A113" s="219"/>
      <x:c r="B113" s="220"/>
      <x:c r="C113" s="221"/>
      <x:c r="D113" s="220"/>
      <x:c r="E113" s="222"/>
      <x:c r="F113" s="220"/>
      <x:c r="G113" s="220"/>
      <x:c r="H113" s="220"/>
      <x:c r="I113" s="220"/>
      <x:c r="J113" s="220"/>
      <x:c r="K113" s="220"/>
      <x:c r="L113" s="220" t="str">
        <x:f>IF(TRIM(H113&amp;" "&amp;I113&amp;" "&amp;J113&amp;IF(K113&lt;&gt;""," ("&amp;K113&amp;")",""))="","",TRIM(H113&amp;" "&amp;I113&amp;" "&amp;J113&amp;IF(K113&lt;&gt;""," ("&amp;K113&amp;")","")))</x:f>
      </x:c>
      <x:c r="M113" s="220"/>
      <x:c r="N113" s="220"/>
      <x:c r="O113" s="220"/>
      <x:c r="P113" s="220"/>
      <x:c r="Q113" s="220"/>
      <x:c r="R113" s="220"/>
      <x:c r="S113" s="220"/>
      <x:c r="T113" s="220"/>
      <x:c r="U113" s="220" t="str">
        <x:f>IF(AND(M113="",O113="",Q113="",S113=""),"",IF(S113&lt;&gt;"",S113,IF(Q113&lt;&gt;"",Q113,IF(O113&lt;&gt;"",O113,M113))))</x:f>
      </x:c>
      <x:c r="V113" s="220" t="str">
        <x:f>IF(AND(N113="",P113="",R113="",T113=""),"",IF(T113&lt;&gt;"",T113,IF(R113&lt;&gt;"",R113,IF(P113&lt;&gt;"",P113,N113))))</x:f>
      </x:c>
      <x:c r="W113" s="221"/>
      <x:c r="X113" s="220"/>
      <x:c r="Y113" s="220"/>
      <x:c r="Z113" s="223"/>
      <x:c r="AA113" s="223"/>
      <x:c r="AB113" s="221"/>
      <x:c r="AC113" s="220"/>
      <x:c r="AD113" s="220"/>
      <x:c r="AE113" s="222"/>
      <x:c r="AF113" s="220"/>
      <x:c r="AG113" s="221"/>
      <x:c r="AH113" s="220"/>
      <x:c r="AI113" s="220"/>
      <x:c r="AJ113" s="222"/>
      <x:c r="AK113" s="220"/>
      <x:c r="AL113" s="220"/>
      <x:c r="AM113" s="220"/>
      <x:c r="AN113" s="220"/>
      <x:c r="AO113" s="220"/>
      <x:c r="AP113" s="220"/>
      <x:c r="AQ113" s="220"/>
      <x:c r="AR113" s="222"/>
      <x:c r="AS113" s="220"/>
      <x:c r="AT113" s="220"/>
      <x:c r="AU113" s="220"/>
      <x:c r="AV113" s="220"/>
      <x:c r="AW113" s="220"/>
      <x:c r="AX113" s="220"/>
      <x:c r="AY113" s="221"/>
      <x:c r="AZ113" s="220"/>
      <x:c r="BA113" s="220" t="str">
        <x:f>IF(AND(A113="",B113="",F113="",H113="",J113="",AW113="",AY113=""),"",IF(OR(B113="skip",AW113="skip"),"SKIP",IF(OR(B113="to_candidate",AW113="proposed_name"),IF(OR(A113="",AX113="",AY113="",COUNTIF($A$6:$A$505,A113)&gt;1),"REVIEW","TO_PROPOSED"),IF(OR(B113="",A113="",F113="",H113="",J113="",U113="",AW113="",COUNTIF($A$6:$A$505,A113)&gt;1,(COUNTIFS('أرقام التواصل'!$A$6:$A$505,"client",'أرقام التواصل'!$B$6:$B$505,A113,'أرقام التواصل'!$I$6:$I$505,"TRUE")+COUNTIFS('أرقام التواصل'!$A$6:$A$505,"client",'أرقام التواصل'!$B$6:$B$505,A113,'أرقام التواصل'!$C$6:$C$505,1))=0),"REVIEW","READY"))))</x:f>
      </x:c>
      <x:c r="BB113" s="224" t="str">
        <x:f>IF(BA113="","",IF(OR(BA113="READY",BA113="TO_PROPOSED"),"",IF(BA113="SKIP","Skipped by decision",TRIM(IF(B113="","missing import_action; ","")&amp;IF(A113="","missing migration_customer_key; ","")&amp;IF(AND(A113&lt;&gt;"",COUNTIF($A$6:$A$505,A113)&gt;1),"duplicate migration_customer_key; ","")&amp;IF(AND(NOT(OR(B113="to_candidate",AW113="proposed_name")),F113=""),"missing branch_id; ","")&amp;IF(AND(NOT(OR(B113="to_candidate",AW113="proposed_name")),H113=""),"missing first_name; ","")&amp;IF(AND(NOT(OR(B113="to_candidate",AW113="proposed_name")),J113=""),"missing last_name; ","")&amp;IF(AND(NOT(OR(B113="to_candidate",AW113="proposed_name")),U113=""),"missing final_geo_unit_id; ","")&amp;IF(AW113="","missing final_destination; ","")&amp;IF(AND(NOT(OR(B113="to_candidate",AW113="proposed_name")),(COUNTIFS('أرقام التواصل'!$A$6:$A$505,"client",'أرقام التواصل'!$B$6:$B$505,A113,'أرقام التواصل'!$I$6:$I$505,"TRUE")+COUNTIFS('أرقام التواصل'!$A$6:$A$505,"client",'أرقام التواصل'!$B$6:$B$505,A113,'أرقام التواصل'!$C$6:$C$505,1))=0),"missing primary contact in أرقام التواصل; ","")&amp;IF(OR(B113="to_candidate",AW113="proposed_name"),IF(AX113="","missing proposed_move_reason; ","")&amp;IF(AY113="","missing proposed_name_key; ",""),"")))))</x:f>
      </x:c>
    </x:row>
    <x:row r="114">
      <x:c r="A114" s="219"/>
      <x:c r="B114" s="220"/>
      <x:c r="C114" s="221"/>
      <x:c r="D114" s="220"/>
      <x:c r="E114" s="222"/>
      <x:c r="F114" s="220"/>
      <x:c r="G114" s="220"/>
      <x:c r="H114" s="220"/>
      <x:c r="I114" s="220"/>
      <x:c r="J114" s="220"/>
      <x:c r="K114" s="220"/>
      <x:c r="L114" s="220" t="str">
        <x:f>IF(TRIM(H114&amp;" "&amp;I114&amp;" "&amp;J114&amp;IF(K114&lt;&gt;""," ("&amp;K114&amp;")",""))="","",TRIM(H114&amp;" "&amp;I114&amp;" "&amp;J114&amp;IF(K114&lt;&gt;""," ("&amp;K114&amp;")","")))</x:f>
      </x:c>
      <x:c r="M114" s="220"/>
      <x:c r="N114" s="220"/>
      <x:c r="O114" s="220"/>
      <x:c r="P114" s="220"/>
      <x:c r="Q114" s="220"/>
      <x:c r="R114" s="220"/>
      <x:c r="S114" s="220"/>
      <x:c r="T114" s="220"/>
      <x:c r="U114" s="220" t="str">
        <x:f>IF(AND(M114="",O114="",Q114="",S114=""),"",IF(S114&lt;&gt;"",S114,IF(Q114&lt;&gt;"",Q114,IF(O114&lt;&gt;"",O114,M114))))</x:f>
      </x:c>
      <x:c r="V114" s="220" t="str">
        <x:f>IF(AND(N114="",P114="",R114="",T114=""),"",IF(T114&lt;&gt;"",T114,IF(R114&lt;&gt;"",R114,IF(P114&lt;&gt;"",P114,N114))))</x:f>
      </x:c>
      <x:c r="W114" s="221"/>
      <x:c r="X114" s="220"/>
      <x:c r="Y114" s="220"/>
      <x:c r="Z114" s="223"/>
      <x:c r="AA114" s="223"/>
      <x:c r="AB114" s="221"/>
      <x:c r="AC114" s="220"/>
      <x:c r="AD114" s="220"/>
      <x:c r="AE114" s="222"/>
      <x:c r="AF114" s="220"/>
      <x:c r="AG114" s="221"/>
      <x:c r="AH114" s="220"/>
      <x:c r="AI114" s="220"/>
      <x:c r="AJ114" s="222"/>
      <x:c r="AK114" s="220"/>
      <x:c r="AL114" s="220"/>
      <x:c r="AM114" s="220"/>
      <x:c r="AN114" s="220"/>
      <x:c r="AO114" s="220"/>
      <x:c r="AP114" s="220"/>
      <x:c r="AQ114" s="220"/>
      <x:c r="AR114" s="222"/>
      <x:c r="AS114" s="220"/>
      <x:c r="AT114" s="220"/>
      <x:c r="AU114" s="220"/>
      <x:c r="AV114" s="220"/>
      <x:c r="AW114" s="220"/>
      <x:c r="AX114" s="220"/>
      <x:c r="AY114" s="221"/>
      <x:c r="AZ114" s="220"/>
      <x:c r="BA114" s="220" t="str">
        <x:f>IF(AND(A114="",B114="",F114="",H114="",J114="",AW114="",AY114=""),"",IF(OR(B114="skip",AW114="skip"),"SKIP",IF(OR(B114="to_candidate",AW114="proposed_name"),IF(OR(A114="",AX114="",AY114="",COUNTIF($A$6:$A$505,A114)&gt;1),"REVIEW","TO_PROPOSED"),IF(OR(B114="",A114="",F114="",H114="",J114="",U114="",AW114="",COUNTIF($A$6:$A$505,A114)&gt;1,(COUNTIFS('أرقام التواصل'!$A$6:$A$505,"client",'أرقام التواصل'!$B$6:$B$505,A114,'أرقام التواصل'!$I$6:$I$505,"TRUE")+COUNTIFS('أرقام التواصل'!$A$6:$A$505,"client",'أرقام التواصل'!$B$6:$B$505,A114,'أرقام التواصل'!$C$6:$C$505,1))=0),"REVIEW","READY"))))</x:f>
      </x:c>
      <x:c r="BB114" s="224" t="str">
        <x:f>IF(BA114="","",IF(OR(BA114="READY",BA114="TO_PROPOSED"),"",IF(BA114="SKIP","Skipped by decision",TRIM(IF(B114="","missing import_action; ","")&amp;IF(A114="","missing migration_customer_key; ","")&amp;IF(AND(A114&lt;&gt;"",COUNTIF($A$6:$A$505,A114)&gt;1),"duplicate migration_customer_key; ","")&amp;IF(AND(NOT(OR(B114="to_candidate",AW114="proposed_name")),F114=""),"missing branch_id; ","")&amp;IF(AND(NOT(OR(B114="to_candidate",AW114="proposed_name")),H114=""),"missing first_name; ","")&amp;IF(AND(NOT(OR(B114="to_candidate",AW114="proposed_name")),J114=""),"missing last_name; ","")&amp;IF(AND(NOT(OR(B114="to_candidate",AW114="proposed_name")),U114=""),"missing final_geo_unit_id; ","")&amp;IF(AW114="","missing final_destination; ","")&amp;IF(AND(NOT(OR(B114="to_candidate",AW114="proposed_name")),(COUNTIFS('أرقام التواصل'!$A$6:$A$505,"client",'أرقام التواصل'!$B$6:$B$505,A114,'أرقام التواصل'!$I$6:$I$505,"TRUE")+COUNTIFS('أرقام التواصل'!$A$6:$A$505,"client",'أرقام التواصل'!$B$6:$B$505,A114,'أرقام التواصل'!$C$6:$C$505,1))=0),"missing primary contact in أرقام التواصل; ","")&amp;IF(OR(B114="to_candidate",AW114="proposed_name"),IF(AX114="","missing proposed_move_reason; ","")&amp;IF(AY114="","missing proposed_name_key; ",""),"")))))</x:f>
      </x:c>
    </x:row>
    <x:row r="115">
      <x:c r="A115" s="219"/>
      <x:c r="B115" s="220"/>
      <x:c r="C115" s="221"/>
      <x:c r="D115" s="220"/>
      <x:c r="E115" s="222"/>
      <x:c r="F115" s="220"/>
      <x:c r="G115" s="220"/>
      <x:c r="H115" s="220"/>
      <x:c r="I115" s="220"/>
      <x:c r="J115" s="220"/>
      <x:c r="K115" s="220"/>
      <x:c r="L115" s="220" t="str">
        <x:f>IF(TRIM(H115&amp;" "&amp;I115&amp;" "&amp;J115&amp;IF(K115&lt;&gt;""," ("&amp;K115&amp;")",""))="","",TRIM(H115&amp;" "&amp;I115&amp;" "&amp;J115&amp;IF(K115&lt;&gt;""," ("&amp;K115&amp;")","")))</x:f>
      </x:c>
      <x:c r="M115" s="220"/>
      <x:c r="N115" s="220"/>
      <x:c r="O115" s="220"/>
      <x:c r="P115" s="220"/>
      <x:c r="Q115" s="220"/>
      <x:c r="R115" s="220"/>
      <x:c r="S115" s="220"/>
      <x:c r="T115" s="220"/>
      <x:c r="U115" s="220" t="str">
        <x:f>IF(AND(M115="",O115="",Q115="",S115=""),"",IF(S115&lt;&gt;"",S115,IF(Q115&lt;&gt;"",Q115,IF(O115&lt;&gt;"",O115,M115))))</x:f>
      </x:c>
      <x:c r="V115" s="220" t="str">
        <x:f>IF(AND(N115="",P115="",R115="",T115=""),"",IF(T115&lt;&gt;"",T115,IF(R115&lt;&gt;"",R115,IF(P115&lt;&gt;"",P115,N115))))</x:f>
      </x:c>
      <x:c r="W115" s="221"/>
      <x:c r="X115" s="220"/>
      <x:c r="Y115" s="220"/>
      <x:c r="Z115" s="223"/>
      <x:c r="AA115" s="223"/>
      <x:c r="AB115" s="221"/>
      <x:c r="AC115" s="220"/>
      <x:c r="AD115" s="220"/>
      <x:c r="AE115" s="222"/>
      <x:c r="AF115" s="220"/>
      <x:c r="AG115" s="221"/>
      <x:c r="AH115" s="220"/>
      <x:c r="AI115" s="220"/>
      <x:c r="AJ115" s="222"/>
      <x:c r="AK115" s="220"/>
      <x:c r="AL115" s="220"/>
      <x:c r="AM115" s="220"/>
      <x:c r="AN115" s="220"/>
      <x:c r="AO115" s="220"/>
      <x:c r="AP115" s="220"/>
      <x:c r="AQ115" s="220"/>
      <x:c r="AR115" s="222"/>
      <x:c r="AS115" s="220"/>
      <x:c r="AT115" s="220"/>
      <x:c r="AU115" s="220"/>
      <x:c r="AV115" s="220"/>
      <x:c r="AW115" s="220"/>
      <x:c r="AX115" s="220"/>
      <x:c r="AY115" s="221"/>
      <x:c r="AZ115" s="220"/>
      <x:c r="BA115" s="220" t="str">
        <x:f>IF(AND(A115="",B115="",F115="",H115="",J115="",AW115="",AY115=""),"",IF(OR(B115="skip",AW115="skip"),"SKIP",IF(OR(B115="to_candidate",AW115="proposed_name"),IF(OR(A115="",AX115="",AY115="",COUNTIF($A$6:$A$505,A115)&gt;1),"REVIEW","TO_PROPOSED"),IF(OR(B115="",A115="",F115="",H115="",J115="",U115="",AW115="",COUNTIF($A$6:$A$505,A115)&gt;1,(COUNTIFS('أرقام التواصل'!$A$6:$A$505,"client",'أرقام التواصل'!$B$6:$B$505,A115,'أرقام التواصل'!$I$6:$I$505,"TRUE")+COUNTIFS('أرقام التواصل'!$A$6:$A$505,"client",'أرقام التواصل'!$B$6:$B$505,A115,'أرقام التواصل'!$C$6:$C$505,1))=0),"REVIEW","READY"))))</x:f>
      </x:c>
      <x:c r="BB115" s="224" t="str">
        <x:f>IF(BA115="","",IF(OR(BA115="READY",BA115="TO_PROPOSED"),"",IF(BA115="SKIP","Skipped by decision",TRIM(IF(B115="","missing import_action; ","")&amp;IF(A115="","missing migration_customer_key; ","")&amp;IF(AND(A115&lt;&gt;"",COUNTIF($A$6:$A$505,A115)&gt;1),"duplicate migration_customer_key; ","")&amp;IF(AND(NOT(OR(B115="to_candidate",AW115="proposed_name")),F115=""),"missing branch_id; ","")&amp;IF(AND(NOT(OR(B115="to_candidate",AW115="proposed_name")),H115=""),"missing first_name; ","")&amp;IF(AND(NOT(OR(B115="to_candidate",AW115="proposed_name")),J115=""),"missing last_name; ","")&amp;IF(AND(NOT(OR(B115="to_candidate",AW115="proposed_name")),U115=""),"missing final_geo_unit_id; ","")&amp;IF(AW115="","missing final_destination; ","")&amp;IF(AND(NOT(OR(B115="to_candidate",AW115="proposed_name")),(COUNTIFS('أرقام التواصل'!$A$6:$A$505,"client",'أرقام التواصل'!$B$6:$B$505,A115,'أرقام التواصل'!$I$6:$I$505,"TRUE")+COUNTIFS('أرقام التواصل'!$A$6:$A$505,"client",'أرقام التواصل'!$B$6:$B$505,A115,'أرقام التواصل'!$C$6:$C$505,1))=0),"missing primary contact in أرقام التواصل; ","")&amp;IF(OR(B115="to_candidate",AW115="proposed_name"),IF(AX115="","missing proposed_move_reason; ","")&amp;IF(AY115="","missing proposed_name_key; ",""),"")))))</x:f>
      </x:c>
    </x:row>
    <x:row r="116">
      <x:c r="A116" s="219"/>
      <x:c r="B116" s="220"/>
      <x:c r="C116" s="221"/>
      <x:c r="D116" s="220"/>
      <x:c r="E116" s="222"/>
      <x:c r="F116" s="220"/>
      <x:c r="G116" s="220"/>
      <x:c r="H116" s="220"/>
      <x:c r="I116" s="220"/>
      <x:c r="J116" s="220"/>
      <x:c r="K116" s="220"/>
      <x:c r="L116" s="220" t="str">
        <x:f>IF(TRIM(H116&amp;" "&amp;I116&amp;" "&amp;J116&amp;IF(K116&lt;&gt;""," ("&amp;K116&amp;")",""))="","",TRIM(H116&amp;" "&amp;I116&amp;" "&amp;J116&amp;IF(K116&lt;&gt;""," ("&amp;K116&amp;")","")))</x:f>
      </x:c>
      <x:c r="M116" s="220"/>
      <x:c r="N116" s="220"/>
      <x:c r="O116" s="220"/>
      <x:c r="P116" s="220"/>
      <x:c r="Q116" s="220"/>
      <x:c r="R116" s="220"/>
      <x:c r="S116" s="220"/>
      <x:c r="T116" s="220"/>
      <x:c r="U116" s="220" t="str">
        <x:f>IF(AND(M116="",O116="",Q116="",S116=""),"",IF(S116&lt;&gt;"",S116,IF(Q116&lt;&gt;"",Q116,IF(O116&lt;&gt;"",O116,M116))))</x:f>
      </x:c>
      <x:c r="V116" s="220" t="str">
        <x:f>IF(AND(N116="",P116="",R116="",T116=""),"",IF(T116&lt;&gt;"",T116,IF(R116&lt;&gt;"",R116,IF(P116&lt;&gt;"",P116,N116))))</x:f>
      </x:c>
      <x:c r="W116" s="221"/>
      <x:c r="X116" s="220"/>
      <x:c r="Y116" s="220"/>
      <x:c r="Z116" s="223"/>
      <x:c r="AA116" s="223"/>
      <x:c r="AB116" s="221"/>
      <x:c r="AC116" s="220"/>
      <x:c r="AD116" s="220"/>
      <x:c r="AE116" s="222"/>
      <x:c r="AF116" s="220"/>
      <x:c r="AG116" s="221"/>
      <x:c r="AH116" s="220"/>
      <x:c r="AI116" s="220"/>
      <x:c r="AJ116" s="222"/>
      <x:c r="AK116" s="220"/>
      <x:c r="AL116" s="220"/>
      <x:c r="AM116" s="220"/>
      <x:c r="AN116" s="220"/>
      <x:c r="AO116" s="220"/>
      <x:c r="AP116" s="220"/>
      <x:c r="AQ116" s="220"/>
      <x:c r="AR116" s="222"/>
      <x:c r="AS116" s="220"/>
      <x:c r="AT116" s="220"/>
      <x:c r="AU116" s="220"/>
      <x:c r="AV116" s="220"/>
      <x:c r="AW116" s="220"/>
      <x:c r="AX116" s="220"/>
      <x:c r="AY116" s="221"/>
      <x:c r="AZ116" s="220"/>
      <x:c r="BA116" s="220" t="str">
        <x:f>IF(AND(A116="",B116="",F116="",H116="",J116="",AW116="",AY116=""),"",IF(OR(B116="skip",AW116="skip"),"SKIP",IF(OR(B116="to_candidate",AW116="proposed_name"),IF(OR(A116="",AX116="",AY116="",COUNTIF($A$6:$A$505,A116)&gt;1),"REVIEW","TO_PROPOSED"),IF(OR(B116="",A116="",F116="",H116="",J116="",U116="",AW116="",COUNTIF($A$6:$A$505,A116)&gt;1,(COUNTIFS('أرقام التواصل'!$A$6:$A$505,"client",'أرقام التواصل'!$B$6:$B$505,A116,'أرقام التواصل'!$I$6:$I$505,"TRUE")+COUNTIFS('أرقام التواصل'!$A$6:$A$505,"client",'أرقام التواصل'!$B$6:$B$505,A116,'أرقام التواصل'!$C$6:$C$505,1))=0),"REVIEW","READY"))))</x:f>
      </x:c>
      <x:c r="BB116" s="224" t="str">
        <x:f>IF(BA116="","",IF(OR(BA116="READY",BA116="TO_PROPOSED"),"",IF(BA116="SKIP","Skipped by decision",TRIM(IF(B116="","missing import_action; ","")&amp;IF(A116="","missing migration_customer_key; ","")&amp;IF(AND(A116&lt;&gt;"",COUNTIF($A$6:$A$505,A116)&gt;1),"duplicate migration_customer_key; ","")&amp;IF(AND(NOT(OR(B116="to_candidate",AW116="proposed_name")),F116=""),"missing branch_id; ","")&amp;IF(AND(NOT(OR(B116="to_candidate",AW116="proposed_name")),H116=""),"missing first_name; ","")&amp;IF(AND(NOT(OR(B116="to_candidate",AW116="proposed_name")),J116=""),"missing last_name; ","")&amp;IF(AND(NOT(OR(B116="to_candidate",AW116="proposed_name")),U116=""),"missing final_geo_unit_id; ","")&amp;IF(AW116="","missing final_destination; ","")&amp;IF(AND(NOT(OR(B116="to_candidate",AW116="proposed_name")),(COUNTIFS('أرقام التواصل'!$A$6:$A$505,"client",'أرقام التواصل'!$B$6:$B$505,A116,'أرقام التواصل'!$I$6:$I$505,"TRUE")+COUNTIFS('أرقام التواصل'!$A$6:$A$505,"client",'أرقام التواصل'!$B$6:$B$505,A116,'أرقام التواصل'!$C$6:$C$505,1))=0),"missing primary contact in أرقام التواصل; ","")&amp;IF(OR(B116="to_candidate",AW116="proposed_name"),IF(AX116="","missing proposed_move_reason; ","")&amp;IF(AY116="","missing proposed_name_key; ",""),"")))))</x:f>
      </x:c>
    </x:row>
    <x:row r="117">
      <x:c r="A117" s="219"/>
      <x:c r="B117" s="220"/>
      <x:c r="C117" s="221"/>
      <x:c r="D117" s="220"/>
      <x:c r="E117" s="222"/>
      <x:c r="F117" s="220"/>
      <x:c r="G117" s="220"/>
      <x:c r="H117" s="220"/>
      <x:c r="I117" s="220"/>
      <x:c r="J117" s="220"/>
      <x:c r="K117" s="220"/>
      <x:c r="L117" s="220" t="str">
        <x:f>IF(TRIM(H117&amp;" "&amp;I117&amp;" "&amp;J117&amp;IF(K117&lt;&gt;""," ("&amp;K117&amp;")",""))="","",TRIM(H117&amp;" "&amp;I117&amp;" "&amp;J117&amp;IF(K117&lt;&gt;""," ("&amp;K117&amp;")","")))</x:f>
      </x:c>
      <x:c r="M117" s="220"/>
      <x:c r="N117" s="220"/>
      <x:c r="O117" s="220"/>
      <x:c r="P117" s="220"/>
      <x:c r="Q117" s="220"/>
      <x:c r="R117" s="220"/>
      <x:c r="S117" s="220"/>
      <x:c r="T117" s="220"/>
      <x:c r="U117" s="220" t="str">
        <x:f>IF(AND(M117="",O117="",Q117="",S117=""),"",IF(S117&lt;&gt;"",S117,IF(Q117&lt;&gt;"",Q117,IF(O117&lt;&gt;"",O117,M117))))</x:f>
      </x:c>
      <x:c r="V117" s="220" t="str">
        <x:f>IF(AND(N117="",P117="",R117="",T117=""),"",IF(T117&lt;&gt;"",T117,IF(R117&lt;&gt;"",R117,IF(P117&lt;&gt;"",P117,N117))))</x:f>
      </x:c>
      <x:c r="W117" s="221"/>
      <x:c r="X117" s="220"/>
      <x:c r="Y117" s="220"/>
      <x:c r="Z117" s="223"/>
      <x:c r="AA117" s="223"/>
      <x:c r="AB117" s="221"/>
      <x:c r="AC117" s="220"/>
      <x:c r="AD117" s="220"/>
      <x:c r="AE117" s="222"/>
      <x:c r="AF117" s="220"/>
      <x:c r="AG117" s="221"/>
      <x:c r="AH117" s="220"/>
      <x:c r="AI117" s="220"/>
      <x:c r="AJ117" s="222"/>
      <x:c r="AK117" s="220"/>
      <x:c r="AL117" s="220"/>
      <x:c r="AM117" s="220"/>
      <x:c r="AN117" s="220"/>
      <x:c r="AO117" s="220"/>
      <x:c r="AP117" s="220"/>
      <x:c r="AQ117" s="220"/>
      <x:c r="AR117" s="222"/>
      <x:c r="AS117" s="220"/>
      <x:c r="AT117" s="220"/>
      <x:c r="AU117" s="220"/>
      <x:c r="AV117" s="220"/>
      <x:c r="AW117" s="220"/>
      <x:c r="AX117" s="220"/>
      <x:c r="AY117" s="221"/>
      <x:c r="AZ117" s="220"/>
      <x:c r="BA117" s="220" t="str">
        <x:f>IF(AND(A117="",B117="",F117="",H117="",J117="",AW117="",AY117=""),"",IF(OR(B117="skip",AW117="skip"),"SKIP",IF(OR(B117="to_candidate",AW117="proposed_name"),IF(OR(A117="",AX117="",AY117="",COUNTIF($A$6:$A$505,A117)&gt;1),"REVIEW","TO_PROPOSED"),IF(OR(B117="",A117="",F117="",H117="",J117="",U117="",AW117="",COUNTIF($A$6:$A$505,A117)&gt;1,(COUNTIFS('أرقام التواصل'!$A$6:$A$505,"client",'أرقام التواصل'!$B$6:$B$505,A117,'أرقام التواصل'!$I$6:$I$505,"TRUE")+COUNTIFS('أرقام التواصل'!$A$6:$A$505,"client",'أرقام التواصل'!$B$6:$B$505,A117,'أرقام التواصل'!$C$6:$C$505,1))=0),"REVIEW","READY"))))</x:f>
      </x:c>
      <x:c r="BB117" s="224" t="str">
        <x:f>IF(BA117="","",IF(OR(BA117="READY",BA117="TO_PROPOSED"),"",IF(BA117="SKIP","Skipped by decision",TRIM(IF(B117="","missing import_action; ","")&amp;IF(A117="","missing migration_customer_key; ","")&amp;IF(AND(A117&lt;&gt;"",COUNTIF($A$6:$A$505,A117)&gt;1),"duplicate migration_customer_key; ","")&amp;IF(AND(NOT(OR(B117="to_candidate",AW117="proposed_name")),F117=""),"missing branch_id; ","")&amp;IF(AND(NOT(OR(B117="to_candidate",AW117="proposed_name")),H117=""),"missing first_name; ","")&amp;IF(AND(NOT(OR(B117="to_candidate",AW117="proposed_name")),J117=""),"missing last_name; ","")&amp;IF(AND(NOT(OR(B117="to_candidate",AW117="proposed_name")),U117=""),"missing final_geo_unit_id; ","")&amp;IF(AW117="","missing final_destination; ","")&amp;IF(AND(NOT(OR(B117="to_candidate",AW117="proposed_name")),(COUNTIFS('أرقام التواصل'!$A$6:$A$505,"client",'أرقام التواصل'!$B$6:$B$505,A117,'أرقام التواصل'!$I$6:$I$505,"TRUE")+COUNTIFS('أرقام التواصل'!$A$6:$A$505,"client",'أرقام التواصل'!$B$6:$B$505,A117,'أرقام التواصل'!$C$6:$C$505,1))=0),"missing primary contact in أرقام التواصل; ","")&amp;IF(OR(B117="to_candidate",AW117="proposed_name"),IF(AX117="","missing proposed_move_reason; ","")&amp;IF(AY117="","missing proposed_name_key; ",""),"")))))</x:f>
      </x:c>
    </x:row>
    <x:row r="118">
      <x:c r="A118" s="219"/>
      <x:c r="B118" s="220"/>
      <x:c r="C118" s="221"/>
      <x:c r="D118" s="220"/>
      <x:c r="E118" s="222"/>
      <x:c r="F118" s="220"/>
      <x:c r="G118" s="220"/>
      <x:c r="H118" s="220"/>
      <x:c r="I118" s="220"/>
      <x:c r="J118" s="220"/>
      <x:c r="K118" s="220"/>
      <x:c r="L118" s="220" t="str">
        <x:f>IF(TRIM(H118&amp;" "&amp;I118&amp;" "&amp;J118&amp;IF(K118&lt;&gt;""," ("&amp;K118&amp;")",""))="","",TRIM(H118&amp;" "&amp;I118&amp;" "&amp;J118&amp;IF(K118&lt;&gt;""," ("&amp;K118&amp;")","")))</x:f>
      </x:c>
      <x:c r="M118" s="220"/>
      <x:c r="N118" s="220"/>
      <x:c r="O118" s="220"/>
      <x:c r="P118" s="220"/>
      <x:c r="Q118" s="220"/>
      <x:c r="R118" s="220"/>
      <x:c r="S118" s="220"/>
      <x:c r="T118" s="220"/>
      <x:c r="U118" s="220" t="str">
        <x:f>IF(AND(M118="",O118="",Q118="",S118=""),"",IF(S118&lt;&gt;"",S118,IF(Q118&lt;&gt;"",Q118,IF(O118&lt;&gt;"",O118,M118))))</x:f>
      </x:c>
      <x:c r="V118" s="220" t="str">
        <x:f>IF(AND(N118="",P118="",R118="",T118=""),"",IF(T118&lt;&gt;"",T118,IF(R118&lt;&gt;"",R118,IF(P118&lt;&gt;"",P118,N118))))</x:f>
      </x:c>
      <x:c r="W118" s="221"/>
      <x:c r="X118" s="220"/>
      <x:c r="Y118" s="220"/>
      <x:c r="Z118" s="223"/>
      <x:c r="AA118" s="223"/>
      <x:c r="AB118" s="221"/>
      <x:c r="AC118" s="220"/>
      <x:c r="AD118" s="220"/>
      <x:c r="AE118" s="222"/>
      <x:c r="AF118" s="220"/>
      <x:c r="AG118" s="221"/>
      <x:c r="AH118" s="220"/>
      <x:c r="AI118" s="220"/>
      <x:c r="AJ118" s="222"/>
      <x:c r="AK118" s="220"/>
      <x:c r="AL118" s="220"/>
      <x:c r="AM118" s="220"/>
      <x:c r="AN118" s="220"/>
      <x:c r="AO118" s="220"/>
      <x:c r="AP118" s="220"/>
      <x:c r="AQ118" s="220"/>
      <x:c r="AR118" s="222"/>
      <x:c r="AS118" s="220"/>
      <x:c r="AT118" s="220"/>
      <x:c r="AU118" s="220"/>
      <x:c r="AV118" s="220"/>
      <x:c r="AW118" s="220"/>
      <x:c r="AX118" s="220"/>
      <x:c r="AY118" s="221"/>
      <x:c r="AZ118" s="220"/>
      <x:c r="BA118" s="220" t="str">
        <x:f>IF(AND(A118="",B118="",F118="",H118="",J118="",AW118="",AY118=""),"",IF(OR(B118="skip",AW118="skip"),"SKIP",IF(OR(B118="to_candidate",AW118="proposed_name"),IF(OR(A118="",AX118="",AY118="",COUNTIF($A$6:$A$505,A118)&gt;1),"REVIEW","TO_PROPOSED"),IF(OR(B118="",A118="",F118="",H118="",J118="",U118="",AW118="",COUNTIF($A$6:$A$505,A118)&gt;1,(COUNTIFS('أرقام التواصل'!$A$6:$A$505,"client",'أرقام التواصل'!$B$6:$B$505,A118,'أرقام التواصل'!$I$6:$I$505,"TRUE")+COUNTIFS('أرقام التواصل'!$A$6:$A$505,"client",'أرقام التواصل'!$B$6:$B$505,A118,'أرقام التواصل'!$C$6:$C$505,1))=0),"REVIEW","READY"))))</x:f>
      </x:c>
      <x:c r="BB118" s="224" t="str">
        <x:f>IF(BA118="","",IF(OR(BA118="READY",BA118="TO_PROPOSED"),"",IF(BA118="SKIP","Skipped by decision",TRIM(IF(B118="","missing import_action; ","")&amp;IF(A118="","missing migration_customer_key; ","")&amp;IF(AND(A118&lt;&gt;"",COUNTIF($A$6:$A$505,A118)&gt;1),"duplicate migration_customer_key; ","")&amp;IF(AND(NOT(OR(B118="to_candidate",AW118="proposed_name")),F118=""),"missing branch_id; ","")&amp;IF(AND(NOT(OR(B118="to_candidate",AW118="proposed_name")),H118=""),"missing first_name; ","")&amp;IF(AND(NOT(OR(B118="to_candidate",AW118="proposed_name")),J118=""),"missing last_name; ","")&amp;IF(AND(NOT(OR(B118="to_candidate",AW118="proposed_name")),U118=""),"missing final_geo_unit_id; ","")&amp;IF(AW118="","missing final_destination; ","")&amp;IF(AND(NOT(OR(B118="to_candidate",AW118="proposed_name")),(COUNTIFS('أرقام التواصل'!$A$6:$A$505,"client",'أرقام التواصل'!$B$6:$B$505,A118,'أرقام التواصل'!$I$6:$I$505,"TRUE")+COUNTIFS('أرقام التواصل'!$A$6:$A$505,"client",'أرقام التواصل'!$B$6:$B$505,A118,'أرقام التواصل'!$C$6:$C$505,1))=0),"missing primary contact in أرقام التواصل; ","")&amp;IF(OR(B118="to_candidate",AW118="proposed_name"),IF(AX118="","missing proposed_move_reason; ","")&amp;IF(AY118="","missing proposed_name_key; ",""),"")))))</x:f>
      </x:c>
    </x:row>
    <x:row r="119">
      <x:c r="A119" s="219"/>
      <x:c r="B119" s="220"/>
      <x:c r="C119" s="221"/>
      <x:c r="D119" s="220"/>
      <x:c r="E119" s="222"/>
      <x:c r="F119" s="220"/>
      <x:c r="G119" s="220"/>
      <x:c r="H119" s="220"/>
      <x:c r="I119" s="220"/>
      <x:c r="J119" s="220"/>
      <x:c r="K119" s="220"/>
      <x:c r="L119" s="220" t="str">
        <x:f>IF(TRIM(H119&amp;" "&amp;I119&amp;" "&amp;J119&amp;IF(K119&lt;&gt;""," ("&amp;K119&amp;")",""))="","",TRIM(H119&amp;" "&amp;I119&amp;" "&amp;J119&amp;IF(K119&lt;&gt;""," ("&amp;K119&amp;")","")))</x:f>
      </x:c>
      <x:c r="M119" s="220"/>
      <x:c r="N119" s="220"/>
      <x:c r="O119" s="220"/>
      <x:c r="P119" s="220"/>
      <x:c r="Q119" s="220"/>
      <x:c r="R119" s="220"/>
      <x:c r="S119" s="220"/>
      <x:c r="T119" s="220"/>
      <x:c r="U119" s="220" t="str">
        <x:f>IF(AND(M119="",O119="",Q119="",S119=""),"",IF(S119&lt;&gt;"",S119,IF(Q119&lt;&gt;"",Q119,IF(O119&lt;&gt;"",O119,M119))))</x:f>
      </x:c>
      <x:c r="V119" s="220" t="str">
        <x:f>IF(AND(N119="",P119="",R119="",T119=""),"",IF(T119&lt;&gt;"",T119,IF(R119&lt;&gt;"",R119,IF(P119&lt;&gt;"",P119,N119))))</x:f>
      </x:c>
      <x:c r="W119" s="221"/>
      <x:c r="X119" s="220"/>
      <x:c r="Y119" s="220"/>
      <x:c r="Z119" s="223"/>
      <x:c r="AA119" s="223"/>
      <x:c r="AB119" s="221"/>
      <x:c r="AC119" s="220"/>
      <x:c r="AD119" s="220"/>
      <x:c r="AE119" s="222"/>
      <x:c r="AF119" s="220"/>
      <x:c r="AG119" s="221"/>
      <x:c r="AH119" s="220"/>
      <x:c r="AI119" s="220"/>
      <x:c r="AJ119" s="222"/>
      <x:c r="AK119" s="220"/>
      <x:c r="AL119" s="220"/>
      <x:c r="AM119" s="220"/>
      <x:c r="AN119" s="220"/>
      <x:c r="AO119" s="220"/>
      <x:c r="AP119" s="220"/>
      <x:c r="AQ119" s="220"/>
      <x:c r="AR119" s="222"/>
      <x:c r="AS119" s="220"/>
      <x:c r="AT119" s="220"/>
      <x:c r="AU119" s="220"/>
      <x:c r="AV119" s="220"/>
      <x:c r="AW119" s="220"/>
      <x:c r="AX119" s="220"/>
      <x:c r="AY119" s="221"/>
      <x:c r="AZ119" s="220"/>
      <x:c r="BA119" s="220" t="str">
        <x:f>IF(AND(A119="",B119="",F119="",H119="",J119="",AW119="",AY119=""),"",IF(OR(B119="skip",AW119="skip"),"SKIP",IF(OR(B119="to_candidate",AW119="proposed_name"),IF(OR(A119="",AX119="",AY119="",COUNTIF($A$6:$A$505,A119)&gt;1),"REVIEW","TO_PROPOSED"),IF(OR(B119="",A119="",F119="",H119="",J119="",U119="",AW119="",COUNTIF($A$6:$A$505,A119)&gt;1,(COUNTIFS('أرقام التواصل'!$A$6:$A$505,"client",'أرقام التواصل'!$B$6:$B$505,A119,'أرقام التواصل'!$I$6:$I$505,"TRUE")+COUNTIFS('أرقام التواصل'!$A$6:$A$505,"client",'أرقام التواصل'!$B$6:$B$505,A119,'أرقام التواصل'!$C$6:$C$505,1))=0),"REVIEW","READY"))))</x:f>
      </x:c>
      <x:c r="BB119" s="224" t="str">
        <x:f>IF(BA119="","",IF(OR(BA119="READY",BA119="TO_PROPOSED"),"",IF(BA119="SKIP","Skipped by decision",TRIM(IF(B119="","missing import_action; ","")&amp;IF(A119="","missing migration_customer_key; ","")&amp;IF(AND(A119&lt;&gt;"",COUNTIF($A$6:$A$505,A119)&gt;1),"duplicate migration_customer_key; ","")&amp;IF(AND(NOT(OR(B119="to_candidate",AW119="proposed_name")),F119=""),"missing branch_id; ","")&amp;IF(AND(NOT(OR(B119="to_candidate",AW119="proposed_name")),H119=""),"missing first_name; ","")&amp;IF(AND(NOT(OR(B119="to_candidate",AW119="proposed_name")),J119=""),"missing last_name; ","")&amp;IF(AND(NOT(OR(B119="to_candidate",AW119="proposed_name")),U119=""),"missing final_geo_unit_id; ","")&amp;IF(AW119="","missing final_destination; ","")&amp;IF(AND(NOT(OR(B119="to_candidate",AW119="proposed_name")),(COUNTIFS('أرقام التواصل'!$A$6:$A$505,"client",'أرقام التواصل'!$B$6:$B$505,A119,'أرقام التواصل'!$I$6:$I$505,"TRUE")+COUNTIFS('أرقام التواصل'!$A$6:$A$505,"client",'أرقام التواصل'!$B$6:$B$505,A119,'أرقام التواصل'!$C$6:$C$505,1))=0),"missing primary contact in أرقام التواصل; ","")&amp;IF(OR(B119="to_candidate",AW119="proposed_name"),IF(AX119="","missing proposed_move_reason; ","")&amp;IF(AY119="","missing proposed_name_key; ",""),"")))))</x:f>
      </x:c>
    </x:row>
    <x:row r="120">
      <x:c r="A120" s="219"/>
      <x:c r="B120" s="220"/>
      <x:c r="C120" s="221"/>
      <x:c r="D120" s="220"/>
      <x:c r="E120" s="222"/>
      <x:c r="F120" s="220"/>
      <x:c r="G120" s="220"/>
      <x:c r="H120" s="220"/>
      <x:c r="I120" s="220"/>
      <x:c r="J120" s="220"/>
      <x:c r="K120" s="220"/>
      <x:c r="L120" s="220" t="str">
        <x:f>IF(TRIM(H120&amp;" "&amp;I120&amp;" "&amp;J120&amp;IF(K120&lt;&gt;""," ("&amp;K120&amp;")",""))="","",TRIM(H120&amp;" "&amp;I120&amp;" "&amp;J120&amp;IF(K120&lt;&gt;""," ("&amp;K120&amp;")","")))</x:f>
      </x:c>
      <x:c r="M120" s="220"/>
      <x:c r="N120" s="220"/>
      <x:c r="O120" s="220"/>
      <x:c r="P120" s="220"/>
      <x:c r="Q120" s="220"/>
      <x:c r="R120" s="220"/>
      <x:c r="S120" s="220"/>
      <x:c r="T120" s="220"/>
      <x:c r="U120" s="220" t="str">
        <x:f>IF(AND(M120="",O120="",Q120="",S120=""),"",IF(S120&lt;&gt;"",S120,IF(Q120&lt;&gt;"",Q120,IF(O120&lt;&gt;"",O120,M120))))</x:f>
      </x:c>
      <x:c r="V120" s="220" t="str">
        <x:f>IF(AND(N120="",P120="",R120="",T120=""),"",IF(T120&lt;&gt;"",T120,IF(R120&lt;&gt;"",R120,IF(P120&lt;&gt;"",P120,N120))))</x:f>
      </x:c>
      <x:c r="W120" s="221"/>
      <x:c r="X120" s="220"/>
      <x:c r="Y120" s="220"/>
      <x:c r="Z120" s="223"/>
      <x:c r="AA120" s="223"/>
      <x:c r="AB120" s="221"/>
      <x:c r="AC120" s="220"/>
      <x:c r="AD120" s="220"/>
      <x:c r="AE120" s="222"/>
      <x:c r="AF120" s="220"/>
      <x:c r="AG120" s="221"/>
      <x:c r="AH120" s="220"/>
      <x:c r="AI120" s="220"/>
      <x:c r="AJ120" s="222"/>
      <x:c r="AK120" s="220"/>
      <x:c r="AL120" s="220"/>
      <x:c r="AM120" s="220"/>
      <x:c r="AN120" s="220"/>
      <x:c r="AO120" s="220"/>
      <x:c r="AP120" s="220"/>
      <x:c r="AQ120" s="220"/>
      <x:c r="AR120" s="222"/>
      <x:c r="AS120" s="220"/>
      <x:c r="AT120" s="220"/>
      <x:c r="AU120" s="220"/>
      <x:c r="AV120" s="220"/>
      <x:c r="AW120" s="220"/>
      <x:c r="AX120" s="220"/>
      <x:c r="AY120" s="221"/>
      <x:c r="AZ120" s="220"/>
      <x:c r="BA120" s="220" t="str">
        <x:f>IF(AND(A120="",B120="",F120="",H120="",J120="",AW120="",AY120=""),"",IF(OR(B120="skip",AW120="skip"),"SKIP",IF(OR(B120="to_candidate",AW120="proposed_name"),IF(OR(A120="",AX120="",AY120="",COUNTIF($A$6:$A$505,A120)&gt;1),"REVIEW","TO_PROPOSED"),IF(OR(B120="",A120="",F120="",H120="",J120="",U120="",AW120="",COUNTIF($A$6:$A$505,A120)&gt;1,(COUNTIFS('أرقام التواصل'!$A$6:$A$505,"client",'أرقام التواصل'!$B$6:$B$505,A120,'أرقام التواصل'!$I$6:$I$505,"TRUE")+COUNTIFS('أرقام التواصل'!$A$6:$A$505,"client",'أرقام التواصل'!$B$6:$B$505,A120,'أرقام التواصل'!$C$6:$C$505,1))=0),"REVIEW","READY"))))</x:f>
      </x:c>
      <x:c r="BB120" s="224" t="str">
        <x:f>IF(BA120="","",IF(OR(BA120="READY",BA120="TO_PROPOSED"),"",IF(BA120="SKIP","Skipped by decision",TRIM(IF(B120="","missing import_action; ","")&amp;IF(A120="","missing migration_customer_key; ","")&amp;IF(AND(A120&lt;&gt;"",COUNTIF($A$6:$A$505,A120)&gt;1),"duplicate migration_customer_key; ","")&amp;IF(AND(NOT(OR(B120="to_candidate",AW120="proposed_name")),F120=""),"missing branch_id; ","")&amp;IF(AND(NOT(OR(B120="to_candidate",AW120="proposed_name")),H120=""),"missing first_name; ","")&amp;IF(AND(NOT(OR(B120="to_candidate",AW120="proposed_name")),J120=""),"missing last_name; ","")&amp;IF(AND(NOT(OR(B120="to_candidate",AW120="proposed_name")),U120=""),"missing final_geo_unit_id; ","")&amp;IF(AW120="","missing final_destination; ","")&amp;IF(AND(NOT(OR(B120="to_candidate",AW120="proposed_name")),(COUNTIFS('أرقام التواصل'!$A$6:$A$505,"client",'أرقام التواصل'!$B$6:$B$505,A120,'أرقام التواصل'!$I$6:$I$505,"TRUE")+COUNTIFS('أرقام التواصل'!$A$6:$A$505,"client",'أرقام التواصل'!$B$6:$B$505,A120,'أرقام التواصل'!$C$6:$C$505,1))=0),"missing primary contact in أرقام التواصل; ","")&amp;IF(OR(B120="to_candidate",AW120="proposed_name"),IF(AX120="","missing proposed_move_reason; ","")&amp;IF(AY120="","missing proposed_name_key; ",""),"")))))</x:f>
      </x:c>
    </x:row>
    <x:row r="121">
      <x:c r="A121" s="219"/>
      <x:c r="B121" s="220"/>
      <x:c r="C121" s="221"/>
      <x:c r="D121" s="220"/>
      <x:c r="E121" s="222"/>
      <x:c r="F121" s="220"/>
      <x:c r="G121" s="220"/>
      <x:c r="H121" s="220"/>
      <x:c r="I121" s="220"/>
      <x:c r="J121" s="220"/>
      <x:c r="K121" s="220"/>
      <x:c r="L121" s="220" t="str">
        <x:f>IF(TRIM(H121&amp;" "&amp;I121&amp;" "&amp;J121&amp;IF(K121&lt;&gt;""," ("&amp;K121&amp;")",""))="","",TRIM(H121&amp;" "&amp;I121&amp;" "&amp;J121&amp;IF(K121&lt;&gt;""," ("&amp;K121&amp;")","")))</x:f>
      </x:c>
      <x:c r="M121" s="220"/>
      <x:c r="N121" s="220"/>
      <x:c r="O121" s="220"/>
      <x:c r="P121" s="220"/>
      <x:c r="Q121" s="220"/>
      <x:c r="R121" s="220"/>
      <x:c r="S121" s="220"/>
      <x:c r="T121" s="220"/>
      <x:c r="U121" s="220" t="str">
        <x:f>IF(AND(M121="",O121="",Q121="",S121=""),"",IF(S121&lt;&gt;"",S121,IF(Q121&lt;&gt;"",Q121,IF(O121&lt;&gt;"",O121,M121))))</x:f>
      </x:c>
      <x:c r="V121" s="220" t="str">
        <x:f>IF(AND(N121="",P121="",R121="",T121=""),"",IF(T121&lt;&gt;"",T121,IF(R121&lt;&gt;"",R121,IF(P121&lt;&gt;"",P121,N121))))</x:f>
      </x:c>
      <x:c r="W121" s="221"/>
      <x:c r="X121" s="220"/>
      <x:c r="Y121" s="220"/>
      <x:c r="Z121" s="223"/>
      <x:c r="AA121" s="223"/>
      <x:c r="AB121" s="221"/>
      <x:c r="AC121" s="220"/>
      <x:c r="AD121" s="220"/>
      <x:c r="AE121" s="222"/>
      <x:c r="AF121" s="220"/>
      <x:c r="AG121" s="221"/>
      <x:c r="AH121" s="220"/>
      <x:c r="AI121" s="220"/>
      <x:c r="AJ121" s="222"/>
      <x:c r="AK121" s="220"/>
      <x:c r="AL121" s="220"/>
      <x:c r="AM121" s="220"/>
      <x:c r="AN121" s="220"/>
      <x:c r="AO121" s="220"/>
      <x:c r="AP121" s="220"/>
      <x:c r="AQ121" s="220"/>
      <x:c r="AR121" s="222"/>
      <x:c r="AS121" s="220"/>
      <x:c r="AT121" s="220"/>
      <x:c r="AU121" s="220"/>
      <x:c r="AV121" s="220"/>
      <x:c r="AW121" s="220"/>
      <x:c r="AX121" s="220"/>
      <x:c r="AY121" s="221"/>
      <x:c r="AZ121" s="220"/>
      <x:c r="BA121" s="220" t="str">
        <x:f>IF(AND(A121="",B121="",F121="",H121="",J121="",AW121="",AY121=""),"",IF(OR(B121="skip",AW121="skip"),"SKIP",IF(OR(B121="to_candidate",AW121="proposed_name"),IF(OR(A121="",AX121="",AY121="",COUNTIF($A$6:$A$505,A121)&gt;1),"REVIEW","TO_PROPOSED"),IF(OR(B121="",A121="",F121="",H121="",J121="",U121="",AW121="",COUNTIF($A$6:$A$505,A121)&gt;1,(COUNTIFS('أرقام التواصل'!$A$6:$A$505,"client",'أرقام التواصل'!$B$6:$B$505,A121,'أرقام التواصل'!$I$6:$I$505,"TRUE")+COUNTIFS('أرقام التواصل'!$A$6:$A$505,"client",'أرقام التواصل'!$B$6:$B$505,A121,'أرقام التواصل'!$C$6:$C$505,1))=0),"REVIEW","READY"))))</x:f>
      </x:c>
      <x:c r="BB121" s="224" t="str">
        <x:f>IF(BA121="","",IF(OR(BA121="READY",BA121="TO_PROPOSED"),"",IF(BA121="SKIP","Skipped by decision",TRIM(IF(B121="","missing import_action; ","")&amp;IF(A121="","missing migration_customer_key; ","")&amp;IF(AND(A121&lt;&gt;"",COUNTIF($A$6:$A$505,A121)&gt;1),"duplicate migration_customer_key; ","")&amp;IF(AND(NOT(OR(B121="to_candidate",AW121="proposed_name")),F121=""),"missing branch_id; ","")&amp;IF(AND(NOT(OR(B121="to_candidate",AW121="proposed_name")),H121=""),"missing first_name; ","")&amp;IF(AND(NOT(OR(B121="to_candidate",AW121="proposed_name")),J121=""),"missing last_name; ","")&amp;IF(AND(NOT(OR(B121="to_candidate",AW121="proposed_name")),U121=""),"missing final_geo_unit_id; ","")&amp;IF(AW121="","missing final_destination; ","")&amp;IF(AND(NOT(OR(B121="to_candidate",AW121="proposed_name")),(COUNTIFS('أرقام التواصل'!$A$6:$A$505,"client",'أرقام التواصل'!$B$6:$B$505,A121,'أرقام التواصل'!$I$6:$I$505,"TRUE")+COUNTIFS('أرقام التواصل'!$A$6:$A$505,"client",'أرقام التواصل'!$B$6:$B$505,A121,'أرقام التواصل'!$C$6:$C$505,1))=0),"missing primary contact in أرقام التواصل; ","")&amp;IF(OR(B121="to_candidate",AW121="proposed_name"),IF(AX121="","missing proposed_move_reason; ","")&amp;IF(AY121="","missing proposed_name_key; ",""),"")))))</x:f>
      </x:c>
    </x:row>
    <x:row r="122">
      <x:c r="A122" s="219"/>
      <x:c r="B122" s="220"/>
      <x:c r="C122" s="221"/>
      <x:c r="D122" s="220"/>
      <x:c r="E122" s="222"/>
      <x:c r="F122" s="220"/>
      <x:c r="G122" s="220"/>
      <x:c r="H122" s="220"/>
      <x:c r="I122" s="220"/>
      <x:c r="J122" s="220"/>
      <x:c r="K122" s="220"/>
      <x:c r="L122" s="220" t="str">
        <x:f>IF(TRIM(H122&amp;" "&amp;I122&amp;" "&amp;J122&amp;IF(K122&lt;&gt;""," ("&amp;K122&amp;")",""))="","",TRIM(H122&amp;" "&amp;I122&amp;" "&amp;J122&amp;IF(K122&lt;&gt;""," ("&amp;K122&amp;")","")))</x:f>
      </x:c>
      <x:c r="M122" s="220"/>
      <x:c r="N122" s="220"/>
      <x:c r="O122" s="220"/>
      <x:c r="P122" s="220"/>
      <x:c r="Q122" s="220"/>
      <x:c r="R122" s="220"/>
      <x:c r="S122" s="220"/>
      <x:c r="T122" s="220"/>
      <x:c r="U122" s="220" t="str">
        <x:f>IF(AND(M122="",O122="",Q122="",S122=""),"",IF(S122&lt;&gt;"",S122,IF(Q122&lt;&gt;"",Q122,IF(O122&lt;&gt;"",O122,M122))))</x:f>
      </x:c>
      <x:c r="V122" s="220" t="str">
        <x:f>IF(AND(N122="",P122="",R122="",T122=""),"",IF(T122&lt;&gt;"",T122,IF(R122&lt;&gt;"",R122,IF(P122&lt;&gt;"",P122,N122))))</x:f>
      </x:c>
      <x:c r="W122" s="221"/>
      <x:c r="X122" s="220"/>
      <x:c r="Y122" s="220"/>
      <x:c r="Z122" s="223"/>
      <x:c r="AA122" s="223"/>
      <x:c r="AB122" s="221"/>
      <x:c r="AC122" s="220"/>
      <x:c r="AD122" s="220"/>
      <x:c r="AE122" s="222"/>
      <x:c r="AF122" s="220"/>
      <x:c r="AG122" s="221"/>
      <x:c r="AH122" s="220"/>
      <x:c r="AI122" s="220"/>
      <x:c r="AJ122" s="222"/>
      <x:c r="AK122" s="220"/>
      <x:c r="AL122" s="220"/>
      <x:c r="AM122" s="220"/>
      <x:c r="AN122" s="220"/>
      <x:c r="AO122" s="220"/>
      <x:c r="AP122" s="220"/>
      <x:c r="AQ122" s="220"/>
      <x:c r="AR122" s="222"/>
      <x:c r="AS122" s="220"/>
      <x:c r="AT122" s="220"/>
      <x:c r="AU122" s="220"/>
      <x:c r="AV122" s="220"/>
      <x:c r="AW122" s="220"/>
      <x:c r="AX122" s="220"/>
      <x:c r="AY122" s="221"/>
      <x:c r="AZ122" s="220"/>
      <x:c r="BA122" s="220" t="str">
        <x:f>IF(AND(A122="",B122="",F122="",H122="",J122="",AW122="",AY122=""),"",IF(OR(B122="skip",AW122="skip"),"SKIP",IF(OR(B122="to_candidate",AW122="proposed_name"),IF(OR(A122="",AX122="",AY122="",COUNTIF($A$6:$A$505,A122)&gt;1),"REVIEW","TO_PROPOSED"),IF(OR(B122="",A122="",F122="",H122="",J122="",U122="",AW122="",COUNTIF($A$6:$A$505,A122)&gt;1,(COUNTIFS('أرقام التواصل'!$A$6:$A$505,"client",'أرقام التواصل'!$B$6:$B$505,A122,'أرقام التواصل'!$I$6:$I$505,"TRUE")+COUNTIFS('أرقام التواصل'!$A$6:$A$505,"client",'أرقام التواصل'!$B$6:$B$505,A122,'أرقام التواصل'!$C$6:$C$505,1))=0),"REVIEW","READY"))))</x:f>
      </x:c>
      <x:c r="BB122" s="224" t="str">
        <x:f>IF(BA122="","",IF(OR(BA122="READY",BA122="TO_PROPOSED"),"",IF(BA122="SKIP","Skipped by decision",TRIM(IF(B122="","missing import_action; ","")&amp;IF(A122="","missing migration_customer_key; ","")&amp;IF(AND(A122&lt;&gt;"",COUNTIF($A$6:$A$505,A122)&gt;1),"duplicate migration_customer_key; ","")&amp;IF(AND(NOT(OR(B122="to_candidate",AW122="proposed_name")),F122=""),"missing branch_id; ","")&amp;IF(AND(NOT(OR(B122="to_candidate",AW122="proposed_name")),H122=""),"missing first_name; ","")&amp;IF(AND(NOT(OR(B122="to_candidate",AW122="proposed_name")),J122=""),"missing last_name; ","")&amp;IF(AND(NOT(OR(B122="to_candidate",AW122="proposed_name")),U122=""),"missing final_geo_unit_id; ","")&amp;IF(AW122="","missing final_destination; ","")&amp;IF(AND(NOT(OR(B122="to_candidate",AW122="proposed_name")),(COUNTIFS('أرقام التواصل'!$A$6:$A$505,"client",'أرقام التواصل'!$B$6:$B$505,A122,'أرقام التواصل'!$I$6:$I$505,"TRUE")+COUNTIFS('أرقام التواصل'!$A$6:$A$505,"client",'أرقام التواصل'!$B$6:$B$505,A122,'أرقام التواصل'!$C$6:$C$505,1))=0),"missing primary contact in أرقام التواصل; ","")&amp;IF(OR(B122="to_candidate",AW122="proposed_name"),IF(AX122="","missing proposed_move_reason; ","")&amp;IF(AY122="","missing proposed_name_key; ",""),"")))))</x:f>
      </x:c>
    </x:row>
    <x:row r="123">
      <x:c r="A123" s="219"/>
      <x:c r="B123" s="220"/>
      <x:c r="C123" s="221"/>
      <x:c r="D123" s="220"/>
      <x:c r="E123" s="222"/>
      <x:c r="F123" s="220"/>
      <x:c r="G123" s="220"/>
      <x:c r="H123" s="220"/>
      <x:c r="I123" s="220"/>
      <x:c r="J123" s="220"/>
      <x:c r="K123" s="220"/>
      <x:c r="L123" s="220" t="str">
        <x:f>IF(TRIM(H123&amp;" "&amp;I123&amp;" "&amp;J123&amp;IF(K123&lt;&gt;""," ("&amp;K123&amp;")",""))="","",TRIM(H123&amp;" "&amp;I123&amp;" "&amp;J123&amp;IF(K123&lt;&gt;""," ("&amp;K123&amp;")","")))</x:f>
      </x:c>
      <x:c r="M123" s="220"/>
      <x:c r="N123" s="220"/>
      <x:c r="O123" s="220"/>
      <x:c r="P123" s="220"/>
      <x:c r="Q123" s="220"/>
      <x:c r="R123" s="220"/>
      <x:c r="S123" s="220"/>
      <x:c r="T123" s="220"/>
      <x:c r="U123" s="220" t="str">
        <x:f>IF(AND(M123="",O123="",Q123="",S123=""),"",IF(S123&lt;&gt;"",S123,IF(Q123&lt;&gt;"",Q123,IF(O123&lt;&gt;"",O123,M123))))</x:f>
      </x:c>
      <x:c r="V123" s="220" t="str">
        <x:f>IF(AND(N123="",P123="",R123="",T123=""),"",IF(T123&lt;&gt;"",T123,IF(R123&lt;&gt;"",R123,IF(P123&lt;&gt;"",P123,N123))))</x:f>
      </x:c>
      <x:c r="W123" s="221"/>
      <x:c r="X123" s="220"/>
      <x:c r="Y123" s="220"/>
      <x:c r="Z123" s="223"/>
      <x:c r="AA123" s="223"/>
      <x:c r="AB123" s="221"/>
      <x:c r="AC123" s="220"/>
      <x:c r="AD123" s="220"/>
      <x:c r="AE123" s="222"/>
      <x:c r="AF123" s="220"/>
      <x:c r="AG123" s="221"/>
      <x:c r="AH123" s="220"/>
      <x:c r="AI123" s="220"/>
      <x:c r="AJ123" s="222"/>
      <x:c r="AK123" s="220"/>
      <x:c r="AL123" s="220"/>
      <x:c r="AM123" s="220"/>
      <x:c r="AN123" s="220"/>
      <x:c r="AO123" s="220"/>
      <x:c r="AP123" s="220"/>
      <x:c r="AQ123" s="220"/>
      <x:c r="AR123" s="222"/>
      <x:c r="AS123" s="220"/>
      <x:c r="AT123" s="220"/>
      <x:c r="AU123" s="220"/>
      <x:c r="AV123" s="220"/>
      <x:c r="AW123" s="220"/>
      <x:c r="AX123" s="220"/>
      <x:c r="AY123" s="221"/>
      <x:c r="AZ123" s="220"/>
      <x:c r="BA123" s="220" t="str">
        <x:f>IF(AND(A123="",B123="",F123="",H123="",J123="",AW123="",AY123=""),"",IF(OR(B123="skip",AW123="skip"),"SKIP",IF(OR(B123="to_candidate",AW123="proposed_name"),IF(OR(A123="",AX123="",AY123="",COUNTIF($A$6:$A$505,A123)&gt;1),"REVIEW","TO_PROPOSED"),IF(OR(B123="",A123="",F123="",H123="",J123="",U123="",AW123="",COUNTIF($A$6:$A$505,A123)&gt;1,(COUNTIFS('أرقام التواصل'!$A$6:$A$505,"client",'أرقام التواصل'!$B$6:$B$505,A123,'أرقام التواصل'!$I$6:$I$505,"TRUE")+COUNTIFS('أرقام التواصل'!$A$6:$A$505,"client",'أرقام التواصل'!$B$6:$B$505,A123,'أرقام التواصل'!$C$6:$C$505,1))=0),"REVIEW","READY"))))</x:f>
      </x:c>
      <x:c r="BB123" s="224" t="str">
        <x:f>IF(BA123="","",IF(OR(BA123="READY",BA123="TO_PROPOSED"),"",IF(BA123="SKIP","Skipped by decision",TRIM(IF(B123="","missing import_action; ","")&amp;IF(A123="","missing migration_customer_key; ","")&amp;IF(AND(A123&lt;&gt;"",COUNTIF($A$6:$A$505,A123)&gt;1),"duplicate migration_customer_key; ","")&amp;IF(AND(NOT(OR(B123="to_candidate",AW123="proposed_name")),F123=""),"missing branch_id; ","")&amp;IF(AND(NOT(OR(B123="to_candidate",AW123="proposed_name")),H123=""),"missing first_name; ","")&amp;IF(AND(NOT(OR(B123="to_candidate",AW123="proposed_name")),J123=""),"missing last_name; ","")&amp;IF(AND(NOT(OR(B123="to_candidate",AW123="proposed_name")),U123=""),"missing final_geo_unit_id; ","")&amp;IF(AW123="","missing final_destination; ","")&amp;IF(AND(NOT(OR(B123="to_candidate",AW123="proposed_name")),(COUNTIFS('أرقام التواصل'!$A$6:$A$505,"client",'أرقام التواصل'!$B$6:$B$505,A123,'أرقام التواصل'!$I$6:$I$505,"TRUE")+COUNTIFS('أرقام التواصل'!$A$6:$A$505,"client",'أرقام التواصل'!$B$6:$B$505,A123,'أرقام التواصل'!$C$6:$C$505,1))=0),"missing primary contact in أرقام التواصل; ","")&amp;IF(OR(B123="to_candidate",AW123="proposed_name"),IF(AX123="","missing proposed_move_reason; ","")&amp;IF(AY123="","missing proposed_name_key; ",""),"")))))</x:f>
      </x:c>
    </x:row>
    <x:row r="124">
      <x:c r="A124" s="219"/>
      <x:c r="B124" s="220"/>
      <x:c r="C124" s="221"/>
      <x:c r="D124" s="220"/>
      <x:c r="E124" s="222"/>
      <x:c r="F124" s="220"/>
      <x:c r="G124" s="220"/>
      <x:c r="H124" s="220"/>
      <x:c r="I124" s="220"/>
      <x:c r="J124" s="220"/>
      <x:c r="K124" s="220"/>
      <x:c r="L124" s="220" t="str">
        <x:f>IF(TRIM(H124&amp;" "&amp;I124&amp;" "&amp;J124&amp;IF(K124&lt;&gt;""," ("&amp;K124&amp;")",""))="","",TRIM(H124&amp;" "&amp;I124&amp;" "&amp;J124&amp;IF(K124&lt;&gt;""," ("&amp;K124&amp;")","")))</x:f>
      </x:c>
      <x:c r="M124" s="220"/>
      <x:c r="N124" s="220"/>
      <x:c r="O124" s="220"/>
      <x:c r="P124" s="220"/>
      <x:c r="Q124" s="220"/>
      <x:c r="R124" s="220"/>
      <x:c r="S124" s="220"/>
      <x:c r="T124" s="220"/>
      <x:c r="U124" s="220" t="str">
        <x:f>IF(AND(M124="",O124="",Q124="",S124=""),"",IF(S124&lt;&gt;"",S124,IF(Q124&lt;&gt;"",Q124,IF(O124&lt;&gt;"",O124,M124))))</x:f>
      </x:c>
      <x:c r="V124" s="220" t="str">
        <x:f>IF(AND(N124="",P124="",R124="",T124=""),"",IF(T124&lt;&gt;"",T124,IF(R124&lt;&gt;"",R124,IF(P124&lt;&gt;"",P124,N124))))</x:f>
      </x:c>
      <x:c r="W124" s="221"/>
      <x:c r="X124" s="220"/>
      <x:c r="Y124" s="220"/>
      <x:c r="Z124" s="223"/>
      <x:c r="AA124" s="223"/>
      <x:c r="AB124" s="221"/>
      <x:c r="AC124" s="220"/>
      <x:c r="AD124" s="220"/>
      <x:c r="AE124" s="222"/>
      <x:c r="AF124" s="220"/>
      <x:c r="AG124" s="221"/>
      <x:c r="AH124" s="220"/>
      <x:c r="AI124" s="220"/>
      <x:c r="AJ124" s="222"/>
      <x:c r="AK124" s="220"/>
      <x:c r="AL124" s="220"/>
      <x:c r="AM124" s="220"/>
      <x:c r="AN124" s="220"/>
      <x:c r="AO124" s="220"/>
      <x:c r="AP124" s="220"/>
      <x:c r="AQ124" s="220"/>
      <x:c r="AR124" s="222"/>
      <x:c r="AS124" s="220"/>
      <x:c r="AT124" s="220"/>
      <x:c r="AU124" s="220"/>
      <x:c r="AV124" s="220"/>
      <x:c r="AW124" s="220"/>
      <x:c r="AX124" s="220"/>
      <x:c r="AY124" s="221"/>
      <x:c r="AZ124" s="220"/>
      <x:c r="BA124" s="220" t="str">
        <x:f>IF(AND(A124="",B124="",F124="",H124="",J124="",AW124="",AY124=""),"",IF(OR(B124="skip",AW124="skip"),"SKIP",IF(OR(B124="to_candidate",AW124="proposed_name"),IF(OR(A124="",AX124="",AY124="",COUNTIF($A$6:$A$505,A124)&gt;1),"REVIEW","TO_PROPOSED"),IF(OR(B124="",A124="",F124="",H124="",J124="",U124="",AW124="",COUNTIF($A$6:$A$505,A124)&gt;1,(COUNTIFS('أرقام التواصل'!$A$6:$A$505,"client",'أرقام التواصل'!$B$6:$B$505,A124,'أرقام التواصل'!$I$6:$I$505,"TRUE")+COUNTIFS('أرقام التواصل'!$A$6:$A$505,"client",'أرقام التواصل'!$B$6:$B$505,A124,'أرقام التواصل'!$C$6:$C$505,1))=0),"REVIEW","READY"))))</x:f>
      </x:c>
      <x:c r="BB124" s="224" t="str">
        <x:f>IF(BA124="","",IF(OR(BA124="READY",BA124="TO_PROPOSED"),"",IF(BA124="SKIP","Skipped by decision",TRIM(IF(B124="","missing import_action; ","")&amp;IF(A124="","missing migration_customer_key; ","")&amp;IF(AND(A124&lt;&gt;"",COUNTIF($A$6:$A$505,A124)&gt;1),"duplicate migration_customer_key; ","")&amp;IF(AND(NOT(OR(B124="to_candidate",AW124="proposed_name")),F124=""),"missing branch_id; ","")&amp;IF(AND(NOT(OR(B124="to_candidate",AW124="proposed_name")),H124=""),"missing first_name; ","")&amp;IF(AND(NOT(OR(B124="to_candidate",AW124="proposed_name")),J124=""),"missing last_name; ","")&amp;IF(AND(NOT(OR(B124="to_candidate",AW124="proposed_name")),U124=""),"missing final_geo_unit_id; ","")&amp;IF(AW124="","missing final_destination; ","")&amp;IF(AND(NOT(OR(B124="to_candidate",AW124="proposed_name")),(COUNTIFS('أرقام التواصل'!$A$6:$A$505,"client",'أرقام التواصل'!$B$6:$B$505,A124,'أرقام التواصل'!$I$6:$I$505,"TRUE")+COUNTIFS('أرقام التواصل'!$A$6:$A$505,"client",'أرقام التواصل'!$B$6:$B$505,A124,'أرقام التواصل'!$C$6:$C$505,1))=0),"missing primary contact in أرقام التواصل; ","")&amp;IF(OR(B124="to_candidate",AW124="proposed_name"),IF(AX124="","missing proposed_move_reason; ","")&amp;IF(AY124="","missing proposed_name_key; ",""),"")))))</x:f>
      </x:c>
    </x:row>
    <x:row r="125">
      <x:c r="A125" s="219"/>
      <x:c r="B125" s="220"/>
      <x:c r="C125" s="221"/>
      <x:c r="D125" s="220"/>
      <x:c r="E125" s="222"/>
      <x:c r="F125" s="220"/>
      <x:c r="G125" s="220"/>
      <x:c r="H125" s="220"/>
      <x:c r="I125" s="220"/>
      <x:c r="J125" s="220"/>
      <x:c r="K125" s="220"/>
      <x:c r="L125" s="220" t="str">
        <x:f>IF(TRIM(H125&amp;" "&amp;I125&amp;" "&amp;J125&amp;IF(K125&lt;&gt;""," ("&amp;K125&amp;")",""))="","",TRIM(H125&amp;" "&amp;I125&amp;" "&amp;J125&amp;IF(K125&lt;&gt;""," ("&amp;K125&amp;")","")))</x:f>
      </x:c>
      <x:c r="M125" s="220"/>
      <x:c r="N125" s="220"/>
      <x:c r="O125" s="220"/>
      <x:c r="P125" s="220"/>
      <x:c r="Q125" s="220"/>
      <x:c r="R125" s="220"/>
      <x:c r="S125" s="220"/>
      <x:c r="T125" s="220"/>
      <x:c r="U125" s="220" t="str">
        <x:f>IF(AND(M125="",O125="",Q125="",S125=""),"",IF(S125&lt;&gt;"",S125,IF(Q125&lt;&gt;"",Q125,IF(O125&lt;&gt;"",O125,M125))))</x:f>
      </x:c>
      <x:c r="V125" s="220" t="str">
        <x:f>IF(AND(N125="",P125="",R125="",T125=""),"",IF(T125&lt;&gt;"",T125,IF(R125&lt;&gt;"",R125,IF(P125&lt;&gt;"",P125,N125))))</x:f>
      </x:c>
      <x:c r="W125" s="221"/>
      <x:c r="X125" s="220"/>
      <x:c r="Y125" s="220"/>
      <x:c r="Z125" s="223"/>
      <x:c r="AA125" s="223"/>
      <x:c r="AB125" s="221"/>
      <x:c r="AC125" s="220"/>
      <x:c r="AD125" s="220"/>
      <x:c r="AE125" s="222"/>
      <x:c r="AF125" s="220"/>
      <x:c r="AG125" s="221"/>
      <x:c r="AH125" s="220"/>
      <x:c r="AI125" s="220"/>
      <x:c r="AJ125" s="222"/>
      <x:c r="AK125" s="220"/>
      <x:c r="AL125" s="220"/>
      <x:c r="AM125" s="220"/>
      <x:c r="AN125" s="220"/>
      <x:c r="AO125" s="220"/>
      <x:c r="AP125" s="220"/>
      <x:c r="AQ125" s="220"/>
      <x:c r="AR125" s="222"/>
      <x:c r="AS125" s="220"/>
      <x:c r="AT125" s="220"/>
      <x:c r="AU125" s="220"/>
      <x:c r="AV125" s="220"/>
      <x:c r="AW125" s="220"/>
      <x:c r="AX125" s="220"/>
      <x:c r="AY125" s="221"/>
      <x:c r="AZ125" s="220"/>
      <x:c r="BA125" s="220" t="str">
        <x:f>IF(AND(A125="",B125="",F125="",H125="",J125="",AW125="",AY125=""),"",IF(OR(B125="skip",AW125="skip"),"SKIP",IF(OR(B125="to_candidate",AW125="proposed_name"),IF(OR(A125="",AX125="",AY125="",COUNTIF($A$6:$A$505,A125)&gt;1),"REVIEW","TO_PROPOSED"),IF(OR(B125="",A125="",F125="",H125="",J125="",U125="",AW125="",COUNTIF($A$6:$A$505,A125)&gt;1,(COUNTIFS('أرقام التواصل'!$A$6:$A$505,"client",'أرقام التواصل'!$B$6:$B$505,A125,'أرقام التواصل'!$I$6:$I$505,"TRUE")+COUNTIFS('أرقام التواصل'!$A$6:$A$505,"client",'أرقام التواصل'!$B$6:$B$505,A125,'أرقام التواصل'!$C$6:$C$505,1))=0),"REVIEW","READY"))))</x:f>
      </x:c>
      <x:c r="BB125" s="224" t="str">
        <x:f>IF(BA125="","",IF(OR(BA125="READY",BA125="TO_PROPOSED"),"",IF(BA125="SKIP","Skipped by decision",TRIM(IF(B125="","missing import_action; ","")&amp;IF(A125="","missing migration_customer_key; ","")&amp;IF(AND(A125&lt;&gt;"",COUNTIF($A$6:$A$505,A125)&gt;1),"duplicate migration_customer_key; ","")&amp;IF(AND(NOT(OR(B125="to_candidate",AW125="proposed_name")),F125=""),"missing branch_id; ","")&amp;IF(AND(NOT(OR(B125="to_candidate",AW125="proposed_name")),H125=""),"missing first_name; ","")&amp;IF(AND(NOT(OR(B125="to_candidate",AW125="proposed_name")),J125=""),"missing last_name; ","")&amp;IF(AND(NOT(OR(B125="to_candidate",AW125="proposed_name")),U125=""),"missing final_geo_unit_id; ","")&amp;IF(AW125="","missing final_destination; ","")&amp;IF(AND(NOT(OR(B125="to_candidate",AW125="proposed_name")),(COUNTIFS('أرقام التواصل'!$A$6:$A$505,"client",'أرقام التواصل'!$B$6:$B$505,A125,'أرقام التواصل'!$I$6:$I$505,"TRUE")+COUNTIFS('أرقام التواصل'!$A$6:$A$505,"client",'أرقام التواصل'!$B$6:$B$505,A125,'أرقام التواصل'!$C$6:$C$505,1))=0),"missing primary contact in أرقام التواصل; ","")&amp;IF(OR(B125="to_candidate",AW125="proposed_name"),IF(AX125="","missing proposed_move_reason; ","")&amp;IF(AY125="","missing proposed_name_key; ",""),"")))))</x:f>
      </x:c>
    </x:row>
    <x:row r="126">
      <x:c r="A126" s="219"/>
      <x:c r="B126" s="220"/>
      <x:c r="C126" s="221"/>
      <x:c r="D126" s="220"/>
      <x:c r="E126" s="222"/>
      <x:c r="F126" s="220"/>
      <x:c r="G126" s="220"/>
      <x:c r="H126" s="220"/>
      <x:c r="I126" s="220"/>
      <x:c r="J126" s="220"/>
      <x:c r="K126" s="220"/>
      <x:c r="L126" s="220" t="str">
        <x:f>IF(TRIM(H126&amp;" "&amp;I126&amp;" "&amp;J126&amp;IF(K126&lt;&gt;""," ("&amp;K126&amp;")",""))="","",TRIM(H126&amp;" "&amp;I126&amp;" "&amp;J126&amp;IF(K126&lt;&gt;""," ("&amp;K126&amp;")","")))</x:f>
      </x:c>
      <x:c r="M126" s="220"/>
      <x:c r="N126" s="220"/>
      <x:c r="O126" s="220"/>
      <x:c r="P126" s="220"/>
      <x:c r="Q126" s="220"/>
      <x:c r="R126" s="220"/>
      <x:c r="S126" s="220"/>
      <x:c r="T126" s="220"/>
      <x:c r="U126" s="220" t="str">
        <x:f>IF(AND(M126="",O126="",Q126="",S126=""),"",IF(S126&lt;&gt;"",S126,IF(Q126&lt;&gt;"",Q126,IF(O126&lt;&gt;"",O126,M126))))</x:f>
      </x:c>
      <x:c r="V126" s="220" t="str">
        <x:f>IF(AND(N126="",P126="",R126="",T126=""),"",IF(T126&lt;&gt;"",T126,IF(R126&lt;&gt;"",R126,IF(P126&lt;&gt;"",P126,N126))))</x:f>
      </x:c>
      <x:c r="W126" s="221"/>
      <x:c r="X126" s="220"/>
      <x:c r="Y126" s="220"/>
      <x:c r="Z126" s="223"/>
      <x:c r="AA126" s="223"/>
      <x:c r="AB126" s="221"/>
      <x:c r="AC126" s="220"/>
      <x:c r="AD126" s="220"/>
      <x:c r="AE126" s="222"/>
      <x:c r="AF126" s="220"/>
      <x:c r="AG126" s="221"/>
      <x:c r="AH126" s="220"/>
      <x:c r="AI126" s="220"/>
      <x:c r="AJ126" s="222"/>
      <x:c r="AK126" s="220"/>
      <x:c r="AL126" s="220"/>
      <x:c r="AM126" s="220"/>
      <x:c r="AN126" s="220"/>
      <x:c r="AO126" s="220"/>
      <x:c r="AP126" s="220"/>
      <x:c r="AQ126" s="220"/>
      <x:c r="AR126" s="222"/>
      <x:c r="AS126" s="220"/>
      <x:c r="AT126" s="220"/>
      <x:c r="AU126" s="220"/>
      <x:c r="AV126" s="220"/>
      <x:c r="AW126" s="220"/>
      <x:c r="AX126" s="220"/>
      <x:c r="AY126" s="221"/>
      <x:c r="AZ126" s="220"/>
      <x:c r="BA126" s="220" t="str">
        <x:f>IF(AND(A126="",B126="",F126="",H126="",J126="",AW126="",AY126=""),"",IF(OR(B126="skip",AW126="skip"),"SKIP",IF(OR(B126="to_candidate",AW126="proposed_name"),IF(OR(A126="",AX126="",AY126="",COUNTIF($A$6:$A$505,A126)&gt;1),"REVIEW","TO_PROPOSED"),IF(OR(B126="",A126="",F126="",H126="",J126="",U126="",AW126="",COUNTIF($A$6:$A$505,A126)&gt;1,(COUNTIFS('أرقام التواصل'!$A$6:$A$505,"client",'أرقام التواصل'!$B$6:$B$505,A126,'أرقام التواصل'!$I$6:$I$505,"TRUE")+COUNTIFS('أرقام التواصل'!$A$6:$A$505,"client",'أرقام التواصل'!$B$6:$B$505,A126,'أرقام التواصل'!$C$6:$C$505,1))=0),"REVIEW","READY"))))</x:f>
      </x:c>
      <x:c r="BB126" s="224" t="str">
        <x:f>IF(BA126="","",IF(OR(BA126="READY",BA126="TO_PROPOSED"),"",IF(BA126="SKIP","Skipped by decision",TRIM(IF(B126="","missing import_action; ","")&amp;IF(A126="","missing migration_customer_key; ","")&amp;IF(AND(A126&lt;&gt;"",COUNTIF($A$6:$A$505,A126)&gt;1),"duplicate migration_customer_key; ","")&amp;IF(AND(NOT(OR(B126="to_candidate",AW126="proposed_name")),F126=""),"missing branch_id; ","")&amp;IF(AND(NOT(OR(B126="to_candidate",AW126="proposed_name")),H126=""),"missing first_name; ","")&amp;IF(AND(NOT(OR(B126="to_candidate",AW126="proposed_name")),J126=""),"missing last_name; ","")&amp;IF(AND(NOT(OR(B126="to_candidate",AW126="proposed_name")),U126=""),"missing final_geo_unit_id; ","")&amp;IF(AW126="","missing final_destination; ","")&amp;IF(AND(NOT(OR(B126="to_candidate",AW126="proposed_name")),(COUNTIFS('أرقام التواصل'!$A$6:$A$505,"client",'أرقام التواصل'!$B$6:$B$505,A126,'أرقام التواصل'!$I$6:$I$505,"TRUE")+COUNTIFS('أرقام التواصل'!$A$6:$A$505,"client",'أرقام التواصل'!$B$6:$B$505,A126,'أرقام التواصل'!$C$6:$C$505,1))=0),"missing primary contact in أرقام التواصل; ","")&amp;IF(OR(B126="to_candidate",AW126="proposed_name"),IF(AX126="","missing proposed_move_reason; ","")&amp;IF(AY126="","missing proposed_name_key; ",""),"")))))</x:f>
      </x:c>
    </x:row>
    <x:row r="127">
      <x:c r="A127" s="219"/>
      <x:c r="B127" s="220"/>
      <x:c r="C127" s="221"/>
      <x:c r="D127" s="220"/>
      <x:c r="E127" s="222"/>
      <x:c r="F127" s="220"/>
      <x:c r="G127" s="220"/>
      <x:c r="H127" s="220"/>
      <x:c r="I127" s="220"/>
      <x:c r="J127" s="220"/>
      <x:c r="K127" s="220"/>
      <x:c r="L127" s="220" t="str">
        <x:f>IF(TRIM(H127&amp;" "&amp;I127&amp;" "&amp;J127&amp;IF(K127&lt;&gt;""," ("&amp;K127&amp;")",""))="","",TRIM(H127&amp;" "&amp;I127&amp;" "&amp;J127&amp;IF(K127&lt;&gt;""," ("&amp;K127&amp;")","")))</x:f>
      </x:c>
      <x:c r="M127" s="220"/>
      <x:c r="N127" s="220"/>
      <x:c r="O127" s="220"/>
      <x:c r="P127" s="220"/>
      <x:c r="Q127" s="220"/>
      <x:c r="R127" s="220"/>
      <x:c r="S127" s="220"/>
      <x:c r="T127" s="220"/>
      <x:c r="U127" s="220" t="str">
        <x:f>IF(AND(M127="",O127="",Q127="",S127=""),"",IF(S127&lt;&gt;"",S127,IF(Q127&lt;&gt;"",Q127,IF(O127&lt;&gt;"",O127,M127))))</x:f>
      </x:c>
      <x:c r="V127" s="220" t="str">
        <x:f>IF(AND(N127="",P127="",R127="",T127=""),"",IF(T127&lt;&gt;"",T127,IF(R127&lt;&gt;"",R127,IF(P127&lt;&gt;"",P127,N127))))</x:f>
      </x:c>
      <x:c r="W127" s="221"/>
      <x:c r="X127" s="220"/>
      <x:c r="Y127" s="220"/>
      <x:c r="Z127" s="223"/>
      <x:c r="AA127" s="223"/>
      <x:c r="AB127" s="221"/>
      <x:c r="AC127" s="220"/>
      <x:c r="AD127" s="220"/>
      <x:c r="AE127" s="222"/>
      <x:c r="AF127" s="220"/>
      <x:c r="AG127" s="221"/>
      <x:c r="AH127" s="220"/>
      <x:c r="AI127" s="220"/>
      <x:c r="AJ127" s="222"/>
      <x:c r="AK127" s="220"/>
      <x:c r="AL127" s="220"/>
      <x:c r="AM127" s="220"/>
      <x:c r="AN127" s="220"/>
      <x:c r="AO127" s="220"/>
      <x:c r="AP127" s="220"/>
      <x:c r="AQ127" s="220"/>
      <x:c r="AR127" s="222"/>
      <x:c r="AS127" s="220"/>
      <x:c r="AT127" s="220"/>
      <x:c r="AU127" s="220"/>
      <x:c r="AV127" s="220"/>
      <x:c r="AW127" s="220"/>
      <x:c r="AX127" s="220"/>
      <x:c r="AY127" s="221"/>
      <x:c r="AZ127" s="220"/>
      <x:c r="BA127" s="220" t="str">
        <x:f>IF(AND(A127="",B127="",F127="",H127="",J127="",AW127="",AY127=""),"",IF(OR(B127="skip",AW127="skip"),"SKIP",IF(OR(B127="to_candidate",AW127="proposed_name"),IF(OR(A127="",AX127="",AY127="",COUNTIF($A$6:$A$505,A127)&gt;1),"REVIEW","TO_PROPOSED"),IF(OR(B127="",A127="",F127="",H127="",J127="",U127="",AW127="",COUNTIF($A$6:$A$505,A127)&gt;1,(COUNTIFS('أرقام التواصل'!$A$6:$A$505,"client",'أرقام التواصل'!$B$6:$B$505,A127,'أرقام التواصل'!$I$6:$I$505,"TRUE")+COUNTIFS('أرقام التواصل'!$A$6:$A$505,"client",'أرقام التواصل'!$B$6:$B$505,A127,'أرقام التواصل'!$C$6:$C$505,1))=0),"REVIEW","READY"))))</x:f>
      </x:c>
      <x:c r="BB127" s="224" t="str">
        <x:f>IF(BA127="","",IF(OR(BA127="READY",BA127="TO_PROPOSED"),"",IF(BA127="SKIP","Skipped by decision",TRIM(IF(B127="","missing import_action; ","")&amp;IF(A127="","missing migration_customer_key; ","")&amp;IF(AND(A127&lt;&gt;"",COUNTIF($A$6:$A$505,A127)&gt;1),"duplicate migration_customer_key; ","")&amp;IF(AND(NOT(OR(B127="to_candidate",AW127="proposed_name")),F127=""),"missing branch_id; ","")&amp;IF(AND(NOT(OR(B127="to_candidate",AW127="proposed_name")),H127=""),"missing first_name; ","")&amp;IF(AND(NOT(OR(B127="to_candidate",AW127="proposed_name")),J127=""),"missing last_name; ","")&amp;IF(AND(NOT(OR(B127="to_candidate",AW127="proposed_name")),U127=""),"missing final_geo_unit_id; ","")&amp;IF(AW127="","missing final_destination; ","")&amp;IF(AND(NOT(OR(B127="to_candidate",AW127="proposed_name")),(COUNTIFS('أرقام التواصل'!$A$6:$A$505,"client",'أرقام التواصل'!$B$6:$B$505,A127,'أرقام التواصل'!$I$6:$I$505,"TRUE")+COUNTIFS('أرقام التواصل'!$A$6:$A$505,"client",'أرقام التواصل'!$B$6:$B$505,A127,'أرقام التواصل'!$C$6:$C$505,1))=0),"missing primary contact in أرقام التواصل; ","")&amp;IF(OR(B127="to_candidate",AW127="proposed_name"),IF(AX127="","missing proposed_move_reason; ","")&amp;IF(AY127="","missing proposed_name_key; ",""),"")))))</x:f>
      </x:c>
    </x:row>
    <x:row r="128">
      <x:c r="A128" s="219"/>
      <x:c r="B128" s="220"/>
      <x:c r="C128" s="221"/>
      <x:c r="D128" s="220"/>
      <x:c r="E128" s="222"/>
      <x:c r="F128" s="220"/>
      <x:c r="G128" s="220"/>
      <x:c r="H128" s="220"/>
      <x:c r="I128" s="220"/>
      <x:c r="J128" s="220"/>
      <x:c r="K128" s="220"/>
      <x:c r="L128" s="220" t="str">
        <x:f>IF(TRIM(H128&amp;" "&amp;I128&amp;" "&amp;J128&amp;IF(K128&lt;&gt;""," ("&amp;K128&amp;")",""))="","",TRIM(H128&amp;" "&amp;I128&amp;" "&amp;J128&amp;IF(K128&lt;&gt;""," ("&amp;K128&amp;")","")))</x:f>
      </x:c>
      <x:c r="M128" s="220"/>
      <x:c r="N128" s="220"/>
      <x:c r="O128" s="220"/>
      <x:c r="P128" s="220"/>
      <x:c r="Q128" s="220"/>
      <x:c r="R128" s="220"/>
      <x:c r="S128" s="220"/>
      <x:c r="T128" s="220"/>
      <x:c r="U128" s="220" t="str">
        <x:f>IF(AND(M128="",O128="",Q128="",S128=""),"",IF(S128&lt;&gt;"",S128,IF(Q128&lt;&gt;"",Q128,IF(O128&lt;&gt;"",O128,M128))))</x:f>
      </x:c>
      <x:c r="V128" s="220" t="str">
        <x:f>IF(AND(N128="",P128="",R128="",T128=""),"",IF(T128&lt;&gt;"",T128,IF(R128&lt;&gt;"",R128,IF(P128&lt;&gt;"",P128,N128))))</x:f>
      </x:c>
      <x:c r="W128" s="221"/>
      <x:c r="X128" s="220"/>
      <x:c r="Y128" s="220"/>
      <x:c r="Z128" s="223"/>
      <x:c r="AA128" s="223"/>
      <x:c r="AB128" s="221"/>
      <x:c r="AC128" s="220"/>
      <x:c r="AD128" s="220"/>
      <x:c r="AE128" s="222"/>
      <x:c r="AF128" s="220"/>
      <x:c r="AG128" s="221"/>
      <x:c r="AH128" s="220"/>
      <x:c r="AI128" s="220"/>
      <x:c r="AJ128" s="222"/>
      <x:c r="AK128" s="220"/>
      <x:c r="AL128" s="220"/>
      <x:c r="AM128" s="220"/>
      <x:c r="AN128" s="220"/>
      <x:c r="AO128" s="220"/>
      <x:c r="AP128" s="220"/>
      <x:c r="AQ128" s="220"/>
      <x:c r="AR128" s="222"/>
      <x:c r="AS128" s="220"/>
      <x:c r="AT128" s="220"/>
      <x:c r="AU128" s="220"/>
      <x:c r="AV128" s="220"/>
      <x:c r="AW128" s="220"/>
      <x:c r="AX128" s="220"/>
      <x:c r="AY128" s="221"/>
      <x:c r="AZ128" s="220"/>
      <x:c r="BA128" s="220" t="str">
        <x:f>IF(AND(A128="",B128="",F128="",H128="",J128="",AW128="",AY128=""),"",IF(OR(B128="skip",AW128="skip"),"SKIP",IF(OR(B128="to_candidate",AW128="proposed_name"),IF(OR(A128="",AX128="",AY128="",COUNTIF($A$6:$A$505,A128)&gt;1),"REVIEW","TO_PROPOSED"),IF(OR(B128="",A128="",F128="",H128="",J128="",U128="",AW128="",COUNTIF($A$6:$A$505,A128)&gt;1,(COUNTIFS('أرقام التواصل'!$A$6:$A$505,"client",'أرقام التواصل'!$B$6:$B$505,A128,'أرقام التواصل'!$I$6:$I$505,"TRUE")+COUNTIFS('أرقام التواصل'!$A$6:$A$505,"client",'أرقام التواصل'!$B$6:$B$505,A128,'أرقام التواصل'!$C$6:$C$505,1))=0),"REVIEW","READY"))))</x:f>
      </x:c>
      <x:c r="BB128" s="224" t="str">
        <x:f>IF(BA128="","",IF(OR(BA128="READY",BA128="TO_PROPOSED"),"",IF(BA128="SKIP","Skipped by decision",TRIM(IF(B128="","missing import_action; ","")&amp;IF(A128="","missing migration_customer_key; ","")&amp;IF(AND(A128&lt;&gt;"",COUNTIF($A$6:$A$505,A128)&gt;1),"duplicate migration_customer_key; ","")&amp;IF(AND(NOT(OR(B128="to_candidate",AW128="proposed_name")),F128=""),"missing branch_id; ","")&amp;IF(AND(NOT(OR(B128="to_candidate",AW128="proposed_name")),H128=""),"missing first_name; ","")&amp;IF(AND(NOT(OR(B128="to_candidate",AW128="proposed_name")),J128=""),"missing last_name; ","")&amp;IF(AND(NOT(OR(B128="to_candidate",AW128="proposed_name")),U128=""),"missing final_geo_unit_id; ","")&amp;IF(AW128="","missing final_destination; ","")&amp;IF(AND(NOT(OR(B128="to_candidate",AW128="proposed_name")),(COUNTIFS('أرقام التواصل'!$A$6:$A$505,"client",'أرقام التواصل'!$B$6:$B$505,A128,'أرقام التواصل'!$I$6:$I$505,"TRUE")+COUNTIFS('أرقام التواصل'!$A$6:$A$505,"client",'أرقام التواصل'!$B$6:$B$505,A128,'أرقام التواصل'!$C$6:$C$505,1))=0),"missing primary contact in أرقام التواصل; ","")&amp;IF(OR(B128="to_candidate",AW128="proposed_name"),IF(AX128="","missing proposed_move_reason; ","")&amp;IF(AY128="","missing proposed_name_key; ",""),"")))))</x:f>
      </x:c>
    </x:row>
    <x:row r="129">
      <x:c r="A129" s="219"/>
      <x:c r="B129" s="220"/>
      <x:c r="C129" s="221"/>
      <x:c r="D129" s="220"/>
      <x:c r="E129" s="222"/>
      <x:c r="F129" s="220"/>
      <x:c r="G129" s="220"/>
      <x:c r="H129" s="220"/>
      <x:c r="I129" s="220"/>
      <x:c r="J129" s="220"/>
      <x:c r="K129" s="220"/>
      <x:c r="L129" s="220" t="str">
        <x:f>IF(TRIM(H129&amp;" "&amp;I129&amp;" "&amp;J129&amp;IF(K129&lt;&gt;""," ("&amp;K129&amp;")",""))="","",TRIM(H129&amp;" "&amp;I129&amp;" "&amp;J129&amp;IF(K129&lt;&gt;""," ("&amp;K129&amp;")","")))</x:f>
      </x:c>
      <x:c r="M129" s="220"/>
      <x:c r="N129" s="220"/>
      <x:c r="O129" s="220"/>
      <x:c r="P129" s="220"/>
      <x:c r="Q129" s="220"/>
      <x:c r="R129" s="220"/>
      <x:c r="S129" s="220"/>
      <x:c r="T129" s="220"/>
      <x:c r="U129" s="220" t="str">
        <x:f>IF(AND(M129="",O129="",Q129="",S129=""),"",IF(S129&lt;&gt;"",S129,IF(Q129&lt;&gt;"",Q129,IF(O129&lt;&gt;"",O129,M129))))</x:f>
      </x:c>
      <x:c r="V129" s="220" t="str">
        <x:f>IF(AND(N129="",P129="",R129="",T129=""),"",IF(T129&lt;&gt;"",T129,IF(R129&lt;&gt;"",R129,IF(P129&lt;&gt;"",P129,N129))))</x:f>
      </x:c>
      <x:c r="W129" s="221"/>
      <x:c r="X129" s="220"/>
      <x:c r="Y129" s="220"/>
      <x:c r="Z129" s="223"/>
      <x:c r="AA129" s="223"/>
      <x:c r="AB129" s="221"/>
      <x:c r="AC129" s="220"/>
      <x:c r="AD129" s="220"/>
      <x:c r="AE129" s="222"/>
      <x:c r="AF129" s="220"/>
      <x:c r="AG129" s="221"/>
      <x:c r="AH129" s="220"/>
      <x:c r="AI129" s="220"/>
      <x:c r="AJ129" s="222"/>
      <x:c r="AK129" s="220"/>
      <x:c r="AL129" s="220"/>
      <x:c r="AM129" s="220"/>
      <x:c r="AN129" s="220"/>
      <x:c r="AO129" s="220"/>
      <x:c r="AP129" s="220"/>
      <x:c r="AQ129" s="220"/>
      <x:c r="AR129" s="222"/>
      <x:c r="AS129" s="220"/>
      <x:c r="AT129" s="220"/>
      <x:c r="AU129" s="220"/>
      <x:c r="AV129" s="220"/>
      <x:c r="AW129" s="220"/>
      <x:c r="AX129" s="220"/>
      <x:c r="AY129" s="221"/>
      <x:c r="AZ129" s="220"/>
      <x:c r="BA129" s="220" t="str">
        <x:f>IF(AND(A129="",B129="",F129="",H129="",J129="",AW129="",AY129=""),"",IF(OR(B129="skip",AW129="skip"),"SKIP",IF(OR(B129="to_candidate",AW129="proposed_name"),IF(OR(A129="",AX129="",AY129="",COUNTIF($A$6:$A$505,A129)&gt;1),"REVIEW","TO_PROPOSED"),IF(OR(B129="",A129="",F129="",H129="",J129="",U129="",AW129="",COUNTIF($A$6:$A$505,A129)&gt;1,(COUNTIFS('أرقام التواصل'!$A$6:$A$505,"client",'أرقام التواصل'!$B$6:$B$505,A129,'أرقام التواصل'!$I$6:$I$505,"TRUE")+COUNTIFS('أرقام التواصل'!$A$6:$A$505,"client",'أرقام التواصل'!$B$6:$B$505,A129,'أرقام التواصل'!$C$6:$C$505,1))=0),"REVIEW","READY"))))</x:f>
      </x:c>
      <x:c r="BB129" s="224" t="str">
        <x:f>IF(BA129="","",IF(OR(BA129="READY",BA129="TO_PROPOSED"),"",IF(BA129="SKIP","Skipped by decision",TRIM(IF(B129="","missing import_action; ","")&amp;IF(A129="","missing migration_customer_key; ","")&amp;IF(AND(A129&lt;&gt;"",COUNTIF($A$6:$A$505,A129)&gt;1),"duplicate migration_customer_key; ","")&amp;IF(AND(NOT(OR(B129="to_candidate",AW129="proposed_name")),F129=""),"missing branch_id; ","")&amp;IF(AND(NOT(OR(B129="to_candidate",AW129="proposed_name")),H129=""),"missing first_name; ","")&amp;IF(AND(NOT(OR(B129="to_candidate",AW129="proposed_name")),J129=""),"missing last_name; ","")&amp;IF(AND(NOT(OR(B129="to_candidate",AW129="proposed_name")),U129=""),"missing final_geo_unit_id; ","")&amp;IF(AW129="","missing final_destination; ","")&amp;IF(AND(NOT(OR(B129="to_candidate",AW129="proposed_name")),(COUNTIFS('أرقام التواصل'!$A$6:$A$505,"client",'أرقام التواصل'!$B$6:$B$505,A129,'أرقام التواصل'!$I$6:$I$505,"TRUE")+COUNTIFS('أرقام التواصل'!$A$6:$A$505,"client",'أرقام التواصل'!$B$6:$B$505,A129,'أرقام التواصل'!$C$6:$C$505,1))=0),"missing primary contact in أرقام التواصل; ","")&amp;IF(OR(B129="to_candidate",AW129="proposed_name"),IF(AX129="","missing proposed_move_reason; ","")&amp;IF(AY129="","missing proposed_name_key; ",""),"")))))</x:f>
      </x:c>
    </x:row>
    <x:row r="130">
      <x:c r="A130" s="219"/>
      <x:c r="B130" s="220"/>
      <x:c r="C130" s="221"/>
      <x:c r="D130" s="220"/>
      <x:c r="E130" s="222"/>
      <x:c r="F130" s="220"/>
      <x:c r="G130" s="220"/>
      <x:c r="H130" s="220"/>
      <x:c r="I130" s="220"/>
      <x:c r="J130" s="220"/>
      <x:c r="K130" s="220"/>
      <x:c r="L130" s="220" t="str">
        <x:f>IF(TRIM(H130&amp;" "&amp;I130&amp;" "&amp;J130&amp;IF(K130&lt;&gt;""," ("&amp;K130&amp;")",""))="","",TRIM(H130&amp;" "&amp;I130&amp;" "&amp;J130&amp;IF(K130&lt;&gt;""," ("&amp;K130&amp;")","")))</x:f>
      </x:c>
      <x:c r="M130" s="220"/>
      <x:c r="N130" s="220"/>
      <x:c r="O130" s="220"/>
      <x:c r="P130" s="220"/>
      <x:c r="Q130" s="220"/>
      <x:c r="R130" s="220"/>
      <x:c r="S130" s="220"/>
      <x:c r="T130" s="220"/>
      <x:c r="U130" s="220" t="str">
        <x:f>IF(AND(M130="",O130="",Q130="",S130=""),"",IF(S130&lt;&gt;"",S130,IF(Q130&lt;&gt;"",Q130,IF(O130&lt;&gt;"",O130,M130))))</x:f>
      </x:c>
      <x:c r="V130" s="220" t="str">
        <x:f>IF(AND(N130="",P130="",R130="",T130=""),"",IF(T130&lt;&gt;"",T130,IF(R130&lt;&gt;"",R130,IF(P130&lt;&gt;"",P130,N130))))</x:f>
      </x:c>
      <x:c r="W130" s="221"/>
      <x:c r="X130" s="220"/>
      <x:c r="Y130" s="220"/>
      <x:c r="Z130" s="223"/>
      <x:c r="AA130" s="223"/>
      <x:c r="AB130" s="221"/>
      <x:c r="AC130" s="220"/>
      <x:c r="AD130" s="220"/>
      <x:c r="AE130" s="222"/>
      <x:c r="AF130" s="220"/>
      <x:c r="AG130" s="221"/>
      <x:c r="AH130" s="220"/>
      <x:c r="AI130" s="220"/>
      <x:c r="AJ130" s="222"/>
      <x:c r="AK130" s="220"/>
      <x:c r="AL130" s="220"/>
      <x:c r="AM130" s="220"/>
      <x:c r="AN130" s="220"/>
      <x:c r="AO130" s="220"/>
      <x:c r="AP130" s="220"/>
      <x:c r="AQ130" s="220"/>
      <x:c r="AR130" s="222"/>
      <x:c r="AS130" s="220"/>
      <x:c r="AT130" s="220"/>
      <x:c r="AU130" s="220"/>
      <x:c r="AV130" s="220"/>
      <x:c r="AW130" s="220"/>
      <x:c r="AX130" s="220"/>
      <x:c r="AY130" s="221"/>
      <x:c r="AZ130" s="220"/>
      <x:c r="BA130" s="220" t="str">
        <x:f>IF(AND(A130="",B130="",F130="",H130="",J130="",AW130="",AY130=""),"",IF(OR(B130="skip",AW130="skip"),"SKIP",IF(OR(B130="to_candidate",AW130="proposed_name"),IF(OR(A130="",AX130="",AY130="",COUNTIF($A$6:$A$505,A130)&gt;1),"REVIEW","TO_PROPOSED"),IF(OR(B130="",A130="",F130="",H130="",J130="",U130="",AW130="",COUNTIF($A$6:$A$505,A130)&gt;1,(COUNTIFS('أرقام التواصل'!$A$6:$A$505,"client",'أرقام التواصل'!$B$6:$B$505,A130,'أرقام التواصل'!$I$6:$I$505,"TRUE")+COUNTIFS('أرقام التواصل'!$A$6:$A$505,"client",'أرقام التواصل'!$B$6:$B$505,A130,'أرقام التواصل'!$C$6:$C$505,1))=0),"REVIEW","READY"))))</x:f>
      </x:c>
      <x:c r="BB130" s="224" t="str">
        <x:f>IF(BA130="","",IF(OR(BA130="READY",BA130="TO_PROPOSED"),"",IF(BA130="SKIP","Skipped by decision",TRIM(IF(B130="","missing import_action; ","")&amp;IF(A130="","missing migration_customer_key; ","")&amp;IF(AND(A130&lt;&gt;"",COUNTIF($A$6:$A$505,A130)&gt;1),"duplicate migration_customer_key; ","")&amp;IF(AND(NOT(OR(B130="to_candidate",AW130="proposed_name")),F130=""),"missing branch_id; ","")&amp;IF(AND(NOT(OR(B130="to_candidate",AW130="proposed_name")),H130=""),"missing first_name; ","")&amp;IF(AND(NOT(OR(B130="to_candidate",AW130="proposed_name")),J130=""),"missing last_name; ","")&amp;IF(AND(NOT(OR(B130="to_candidate",AW130="proposed_name")),U130=""),"missing final_geo_unit_id; ","")&amp;IF(AW130="","missing final_destination; ","")&amp;IF(AND(NOT(OR(B130="to_candidate",AW130="proposed_name")),(COUNTIFS('أرقام التواصل'!$A$6:$A$505,"client",'أرقام التواصل'!$B$6:$B$505,A130,'أرقام التواصل'!$I$6:$I$505,"TRUE")+COUNTIFS('أرقام التواصل'!$A$6:$A$505,"client",'أرقام التواصل'!$B$6:$B$505,A130,'أرقام التواصل'!$C$6:$C$505,1))=0),"missing primary contact in أرقام التواصل; ","")&amp;IF(OR(B130="to_candidate",AW130="proposed_name"),IF(AX130="","missing proposed_move_reason; ","")&amp;IF(AY130="","missing proposed_name_key; ",""),"")))))</x:f>
      </x:c>
    </x:row>
    <x:row r="131">
      <x:c r="A131" s="219"/>
      <x:c r="B131" s="220"/>
      <x:c r="C131" s="221"/>
      <x:c r="D131" s="220"/>
      <x:c r="E131" s="222"/>
      <x:c r="F131" s="220"/>
      <x:c r="G131" s="220"/>
      <x:c r="H131" s="220"/>
      <x:c r="I131" s="220"/>
      <x:c r="J131" s="220"/>
      <x:c r="K131" s="220"/>
      <x:c r="L131" s="220" t="str">
        <x:f>IF(TRIM(H131&amp;" "&amp;I131&amp;" "&amp;J131&amp;IF(K131&lt;&gt;""," ("&amp;K131&amp;")",""))="","",TRIM(H131&amp;" "&amp;I131&amp;" "&amp;J131&amp;IF(K131&lt;&gt;""," ("&amp;K131&amp;")","")))</x:f>
      </x:c>
      <x:c r="M131" s="220"/>
      <x:c r="N131" s="220"/>
      <x:c r="O131" s="220"/>
      <x:c r="P131" s="220"/>
      <x:c r="Q131" s="220"/>
      <x:c r="R131" s="220"/>
      <x:c r="S131" s="220"/>
      <x:c r="T131" s="220"/>
      <x:c r="U131" s="220" t="str">
        <x:f>IF(AND(M131="",O131="",Q131="",S131=""),"",IF(S131&lt;&gt;"",S131,IF(Q131&lt;&gt;"",Q131,IF(O131&lt;&gt;"",O131,M131))))</x:f>
      </x:c>
      <x:c r="V131" s="220" t="str">
        <x:f>IF(AND(N131="",P131="",R131="",T131=""),"",IF(T131&lt;&gt;"",T131,IF(R131&lt;&gt;"",R131,IF(P131&lt;&gt;"",P131,N131))))</x:f>
      </x:c>
      <x:c r="W131" s="221"/>
      <x:c r="X131" s="220"/>
      <x:c r="Y131" s="220"/>
      <x:c r="Z131" s="223"/>
      <x:c r="AA131" s="223"/>
      <x:c r="AB131" s="221"/>
      <x:c r="AC131" s="220"/>
      <x:c r="AD131" s="220"/>
      <x:c r="AE131" s="222"/>
      <x:c r="AF131" s="220"/>
      <x:c r="AG131" s="221"/>
      <x:c r="AH131" s="220"/>
      <x:c r="AI131" s="220"/>
      <x:c r="AJ131" s="222"/>
      <x:c r="AK131" s="220"/>
      <x:c r="AL131" s="220"/>
      <x:c r="AM131" s="220"/>
      <x:c r="AN131" s="220"/>
      <x:c r="AO131" s="220"/>
      <x:c r="AP131" s="220"/>
      <x:c r="AQ131" s="220"/>
      <x:c r="AR131" s="222"/>
      <x:c r="AS131" s="220"/>
      <x:c r="AT131" s="220"/>
      <x:c r="AU131" s="220"/>
      <x:c r="AV131" s="220"/>
      <x:c r="AW131" s="220"/>
      <x:c r="AX131" s="220"/>
      <x:c r="AY131" s="221"/>
      <x:c r="AZ131" s="220"/>
      <x:c r="BA131" s="220" t="str">
        <x:f>IF(AND(A131="",B131="",F131="",H131="",J131="",AW131="",AY131=""),"",IF(OR(B131="skip",AW131="skip"),"SKIP",IF(OR(B131="to_candidate",AW131="proposed_name"),IF(OR(A131="",AX131="",AY131="",COUNTIF($A$6:$A$505,A131)&gt;1),"REVIEW","TO_PROPOSED"),IF(OR(B131="",A131="",F131="",H131="",J131="",U131="",AW131="",COUNTIF($A$6:$A$505,A131)&gt;1,(COUNTIFS('أرقام التواصل'!$A$6:$A$505,"client",'أرقام التواصل'!$B$6:$B$505,A131,'أرقام التواصل'!$I$6:$I$505,"TRUE")+COUNTIFS('أرقام التواصل'!$A$6:$A$505,"client",'أرقام التواصل'!$B$6:$B$505,A131,'أرقام التواصل'!$C$6:$C$505,1))=0),"REVIEW","READY"))))</x:f>
      </x:c>
      <x:c r="BB131" s="224" t="str">
        <x:f>IF(BA131="","",IF(OR(BA131="READY",BA131="TO_PROPOSED"),"",IF(BA131="SKIP","Skipped by decision",TRIM(IF(B131="","missing import_action; ","")&amp;IF(A131="","missing migration_customer_key; ","")&amp;IF(AND(A131&lt;&gt;"",COUNTIF($A$6:$A$505,A131)&gt;1),"duplicate migration_customer_key; ","")&amp;IF(AND(NOT(OR(B131="to_candidate",AW131="proposed_name")),F131=""),"missing branch_id; ","")&amp;IF(AND(NOT(OR(B131="to_candidate",AW131="proposed_name")),H131=""),"missing first_name; ","")&amp;IF(AND(NOT(OR(B131="to_candidate",AW131="proposed_name")),J131=""),"missing last_name; ","")&amp;IF(AND(NOT(OR(B131="to_candidate",AW131="proposed_name")),U131=""),"missing final_geo_unit_id; ","")&amp;IF(AW131="","missing final_destination; ","")&amp;IF(AND(NOT(OR(B131="to_candidate",AW131="proposed_name")),(COUNTIFS('أرقام التواصل'!$A$6:$A$505,"client",'أرقام التواصل'!$B$6:$B$505,A131,'أرقام التواصل'!$I$6:$I$505,"TRUE")+COUNTIFS('أرقام التواصل'!$A$6:$A$505,"client",'أرقام التواصل'!$B$6:$B$505,A131,'أرقام التواصل'!$C$6:$C$505,1))=0),"missing primary contact in أرقام التواصل; ","")&amp;IF(OR(B131="to_candidate",AW131="proposed_name"),IF(AX131="","missing proposed_move_reason; ","")&amp;IF(AY131="","missing proposed_name_key; ",""),"")))))</x:f>
      </x:c>
    </x:row>
    <x:row r="132">
      <x:c r="A132" s="219"/>
      <x:c r="B132" s="220"/>
      <x:c r="C132" s="221"/>
      <x:c r="D132" s="220"/>
      <x:c r="E132" s="222"/>
      <x:c r="F132" s="220"/>
      <x:c r="G132" s="220"/>
      <x:c r="H132" s="220"/>
      <x:c r="I132" s="220"/>
      <x:c r="J132" s="220"/>
      <x:c r="K132" s="220"/>
      <x:c r="L132" s="220" t="str">
        <x:f>IF(TRIM(H132&amp;" "&amp;I132&amp;" "&amp;J132&amp;IF(K132&lt;&gt;""," ("&amp;K132&amp;")",""))="","",TRIM(H132&amp;" "&amp;I132&amp;" "&amp;J132&amp;IF(K132&lt;&gt;""," ("&amp;K132&amp;")","")))</x:f>
      </x:c>
      <x:c r="M132" s="220"/>
      <x:c r="N132" s="220"/>
      <x:c r="O132" s="220"/>
      <x:c r="P132" s="220"/>
      <x:c r="Q132" s="220"/>
      <x:c r="R132" s="220"/>
      <x:c r="S132" s="220"/>
      <x:c r="T132" s="220"/>
      <x:c r="U132" s="220" t="str">
        <x:f>IF(AND(M132="",O132="",Q132="",S132=""),"",IF(S132&lt;&gt;"",S132,IF(Q132&lt;&gt;"",Q132,IF(O132&lt;&gt;"",O132,M132))))</x:f>
      </x:c>
      <x:c r="V132" s="220" t="str">
        <x:f>IF(AND(N132="",P132="",R132="",T132=""),"",IF(T132&lt;&gt;"",T132,IF(R132&lt;&gt;"",R132,IF(P132&lt;&gt;"",P132,N132))))</x:f>
      </x:c>
      <x:c r="W132" s="221"/>
      <x:c r="X132" s="220"/>
      <x:c r="Y132" s="220"/>
      <x:c r="Z132" s="223"/>
      <x:c r="AA132" s="223"/>
      <x:c r="AB132" s="221"/>
      <x:c r="AC132" s="220"/>
      <x:c r="AD132" s="220"/>
      <x:c r="AE132" s="222"/>
      <x:c r="AF132" s="220"/>
      <x:c r="AG132" s="221"/>
      <x:c r="AH132" s="220"/>
      <x:c r="AI132" s="220"/>
      <x:c r="AJ132" s="222"/>
      <x:c r="AK132" s="220"/>
      <x:c r="AL132" s="220"/>
      <x:c r="AM132" s="220"/>
      <x:c r="AN132" s="220"/>
      <x:c r="AO132" s="220"/>
      <x:c r="AP132" s="220"/>
      <x:c r="AQ132" s="220"/>
      <x:c r="AR132" s="222"/>
      <x:c r="AS132" s="220"/>
      <x:c r="AT132" s="220"/>
      <x:c r="AU132" s="220"/>
      <x:c r="AV132" s="220"/>
      <x:c r="AW132" s="220"/>
      <x:c r="AX132" s="220"/>
      <x:c r="AY132" s="221"/>
      <x:c r="AZ132" s="220"/>
      <x:c r="BA132" s="220" t="str">
        <x:f>IF(AND(A132="",B132="",F132="",H132="",J132="",AW132="",AY132=""),"",IF(OR(B132="skip",AW132="skip"),"SKIP",IF(OR(B132="to_candidate",AW132="proposed_name"),IF(OR(A132="",AX132="",AY132="",COUNTIF($A$6:$A$505,A132)&gt;1),"REVIEW","TO_PROPOSED"),IF(OR(B132="",A132="",F132="",H132="",J132="",U132="",AW132="",COUNTIF($A$6:$A$505,A132)&gt;1,(COUNTIFS('أرقام التواصل'!$A$6:$A$505,"client",'أرقام التواصل'!$B$6:$B$505,A132,'أرقام التواصل'!$I$6:$I$505,"TRUE")+COUNTIFS('أرقام التواصل'!$A$6:$A$505,"client",'أرقام التواصل'!$B$6:$B$505,A132,'أرقام التواصل'!$C$6:$C$505,1))=0),"REVIEW","READY"))))</x:f>
      </x:c>
      <x:c r="BB132" s="224" t="str">
        <x:f>IF(BA132="","",IF(OR(BA132="READY",BA132="TO_PROPOSED"),"",IF(BA132="SKIP","Skipped by decision",TRIM(IF(B132="","missing import_action; ","")&amp;IF(A132="","missing migration_customer_key; ","")&amp;IF(AND(A132&lt;&gt;"",COUNTIF($A$6:$A$505,A132)&gt;1),"duplicate migration_customer_key; ","")&amp;IF(AND(NOT(OR(B132="to_candidate",AW132="proposed_name")),F132=""),"missing branch_id; ","")&amp;IF(AND(NOT(OR(B132="to_candidate",AW132="proposed_name")),H132=""),"missing first_name; ","")&amp;IF(AND(NOT(OR(B132="to_candidate",AW132="proposed_name")),J132=""),"missing last_name; ","")&amp;IF(AND(NOT(OR(B132="to_candidate",AW132="proposed_name")),U132=""),"missing final_geo_unit_id; ","")&amp;IF(AW132="","missing final_destination; ","")&amp;IF(AND(NOT(OR(B132="to_candidate",AW132="proposed_name")),(COUNTIFS('أرقام التواصل'!$A$6:$A$505,"client",'أرقام التواصل'!$B$6:$B$505,A132,'أرقام التواصل'!$I$6:$I$505,"TRUE")+COUNTIFS('أرقام التواصل'!$A$6:$A$505,"client",'أرقام التواصل'!$B$6:$B$505,A132,'أرقام التواصل'!$C$6:$C$505,1))=0),"missing primary contact in أرقام التواصل; ","")&amp;IF(OR(B132="to_candidate",AW132="proposed_name"),IF(AX132="","missing proposed_move_reason; ","")&amp;IF(AY132="","missing proposed_name_key; ",""),"")))))</x:f>
      </x:c>
    </x:row>
    <x:row r="133">
      <x:c r="A133" s="219"/>
      <x:c r="B133" s="220"/>
      <x:c r="C133" s="221"/>
      <x:c r="D133" s="220"/>
      <x:c r="E133" s="222"/>
      <x:c r="F133" s="220"/>
      <x:c r="G133" s="220"/>
      <x:c r="H133" s="220"/>
      <x:c r="I133" s="220"/>
      <x:c r="J133" s="220"/>
      <x:c r="K133" s="220"/>
      <x:c r="L133" s="220" t="str">
        <x:f>IF(TRIM(H133&amp;" "&amp;I133&amp;" "&amp;J133&amp;IF(K133&lt;&gt;""," ("&amp;K133&amp;")",""))="","",TRIM(H133&amp;" "&amp;I133&amp;" "&amp;J133&amp;IF(K133&lt;&gt;""," ("&amp;K133&amp;")","")))</x:f>
      </x:c>
      <x:c r="M133" s="220"/>
      <x:c r="N133" s="220"/>
      <x:c r="O133" s="220"/>
      <x:c r="P133" s="220"/>
      <x:c r="Q133" s="220"/>
      <x:c r="R133" s="220"/>
      <x:c r="S133" s="220"/>
      <x:c r="T133" s="220"/>
      <x:c r="U133" s="220" t="str">
        <x:f>IF(AND(M133="",O133="",Q133="",S133=""),"",IF(S133&lt;&gt;"",S133,IF(Q133&lt;&gt;"",Q133,IF(O133&lt;&gt;"",O133,M133))))</x:f>
      </x:c>
      <x:c r="V133" s="220" t="str">
        <x:f>IF(AND(N133="",P133="",R133="",T133=""),"",IF(T133&lt;&gt;"",T133,IF(R133&lt;&gt;"",R133,IF(P133&lt;&gt;"",P133,N133))))</x:f>
      </x:c>
      <x:c r="W133" s="221"/>
      <x:c r="X133" s="220"/>
      <x:c r="Y133" s="220"/>
      <x:c r="Z133" s="223"/>
      <x:c r="AA133" s="223"/>
      <x:c r="AB133" s="221"/>
      <x:c r="AC133" s="220"/>
      <x:c r="AD133" s="220"/>
      <x:c r="AE133" s="222"/>
      <x:c r="AF133" s="220"/>
      <x:c r="AG133" s="221"/>
      <x:c r="AH133" s="220"/>
      <x:c r="AI133" s="220"/>
      <x:c r="AJ133" s="222"/>
      <x:c r="AK133" s="220"/>
      <x:c r="AL133" s="220"/>
      <x:c r="AM133" s="220"/>
      <x:c r="AN133" s="220"/>
      <x:c r="AO133" s="220"/>
      <x:c r="AP133" s="220"/>
      <x:c r="AQ133" s="220"/>
      <x:c r="AR133" s="222"/>
      <x:c r="AS133" s="220"/>
      <x:c r="AT133" s="220"/>
      <x:c r="AU133" s="220"/>
      <x:c r="AV133" s="220"/>
      <x:c r="AW133" s="220"/>
      <x:c r="AX133" s="220"/>
      <x:c r="AY133" s="221"/>
      <x:c r="AZ133" s="220"/>
      <x:c r="BA133" s="220" t="str">
        <x:f>IF(AND(A133="",B133="",F133="",H133="",J133="",AW133="",AY133=""),"",IF(OR(B133="skip",AW133="skip"),"SKIP",IF(OR(B133="to_candidate",AW133="proposed_name"),IF(OR(A133="",AX133="",AY133="",COUNTIF($A$6:$A$505,A133)&gt;1),"REVIEW","TO_PROPOSED"),IF(OR(B133="",A133="",F133="",H133="",J133="",U133="",AW133="",COUNTIF($A$6:$A$505,A133)&gt;1,(COUNTIFS('أرقام التواصل'!$A$6:$A$505,"client",'أرقام التواصل'!$B$6:$B$505,A133,'أرقام التواصل'!$I$6:$I$505,"TRUE")+COUNTIFS('أرقام التواصل'!$A$6:$A$505,"client",'أرقام التواصل'!$B$6:$B$505,A133,'أرقام التواصل'!$C$6:$C$505,1))=0),"REVIEW","READY"))))</x:f>
      </x:c>
      <x:c r="BB133" s="224" t="str">
        <x:f>IF(BA133="","",IF(OR(BA133="READY",BA133="TO_PROPOSED"),"",IF(BA133="SKIP","Skipped by decision",TRIM(IF(B133="","missing import_action; ","")&amp;IF(A133="","missing migration_customer_key; ","")&amp;IF(AND(A133&lt;&gt;"",COUNTIF($A$6:$A$505,A133)&gt;1),"duplicate migration_customer_key; ","")&amp;IF(AND(NOT(OR(B133="to_candidate",AW133="proposed_name")),F133=""),"missing branch_id; ","")&amp;IF(AND(NOT(OR(B133="to_candidate",AW133="proposed_name")),H133=""),"missing first_name; ","")&amp;IF(AND(NOT(OR(B133="to_candidate",AW133="proposed_name")),J133=""),"missing last_name; ","")&amp;IF(AND(NOT(OR(B133="to_candidate",AW133="proposed_name")),U133=""),"missing final_geo_unit_id; ","")&amp;IF(AW133="","missing final_destination; ","")&amp;IF(AND(NOT(OR(B133="to_candidate",AW133="proposed_name")),(COUNTIFS('أرقام التواصل'!$A$6:$A$505,"client",'أرقام التواصل'!$B$6:$B$505,A133,'أرقام التواصل'!$I$6:$I$505,"TRUE")+COUNTIFS('أرقام التواصل'!$A$6:$A$505,"client",'أرقام التواصل'!$B$6:$B$505,A133,'أرقام التواصل'!$C$6:$C$505,1))=0),"missing primary contact in أرقام التواصل; ","")&amp;IF(OR(B133="to_candidate",AW133="proposed_name"),IF(AX133="","missing proposed_move_reason; ","")&amp;IF(AY133="","missing proposed_name_key; ",""),"")))))</x:f>
      </x:c>
    </x:row>
    <x:row r="134">
      <x:c r="A134" s="219"/>
      <x:c r="B134" s="220"/>
      <x:c r="C134" s="221"/>
      <x:c r="D134" s="220"/>
      <x:c r="E134" s="222"/>
      <x:c r="F134" s="220"/>
      <x:c r="G134" s="220"/>
      <x:c r="H134" s="220"/>
      <x:c r="I134" s="220"/>
      <x:c r="J134" s="220"/>
      <x:c r="K134" s="220"/>
      <x:c r="L134" s="220" t="str">
        <x:f>IF(TRIM(H134&amp;" "&amp;I134&amp;" "&amp;J134&amp;IF(K134&lt;&gt;""," ("&amp;K134&amp;")",""))="","",TRIM(H134&amp;" "&amp;I134&amp;" "&amp;J134&amp;IF(K134&lt;&gt;""," ("&amp;K134&amp;")","")))</x:f>
      </x:c>
      <x:c r="M134" s="220"/>
      <x:c r="N134" s="220"/>
      <x:c r="O134" s="220"/>
      <x:c r="P134" s="220"/>
      <x:c r="Q134" s="220"/>
      <x:c r="R134" s="220"/>
      <x:c r="S134" s="220"/>
      <x:c r="T134" s="220"/>
      <x:c r="U134" s="220" t="str">
        <x:f>IF(AND(M134="",O134="",Q134="",S134=""),"",IF(S134&lt;&gt;"",S134,IF(Q134&lt;&gt;"",Q134,IF(O134&lt;&gt;"",O134,M134))))</x:f>
      </x:c>
      <x:c r="V134" s="220" t="str">
        <x:f>IF(AND(N134="",P134="",R134="",T134=""),"",IF(T134&lt;&gt;"",T134,IF(R134&lt;&gt;"",R134,IF(P134&lt;&gt;"",P134,N134))))</x:f>
      </x:c>
      <x:c r="W134" s="221"/>
      <x:c r="X134" s="220"/>
      <x:c r="Y134" s="220"/>
      <x:c r="Z134" s="223"/>
      <x:c r="AA134" s="223"/>
      <x:c r="AB134" s="221"/>
      <x:c r="AC134" s="220"/>
      <x:c r="AD134" s="220"/>
      <x:c r="AE134" s="222"/>
      <x:c r="AF134" s="220"/>
      <x:c r="AG134" s="221"/>
      <x:c r="AH134" s="220"/>
      <x:c r="AI134" s="220"/>
      <x:c r="AJ134" s="222"/>
      <x:c r="AK134" s="220"/>
      <x:c r="AL134" s="220"/>
      <x:c r="AM134" s="220"/>
      <x:c r="AN134" s="220"/>
      <x:c r="AO134" s="220"/>
      <x:c r="AP134" s="220"/>
      <x:c r="AQ134" s="220"/>
      <x:c r="AR134" s="222"/>
      <x:c r="AS134" s="220"/>
      <x:c r="AT134" s="220"/>
      <x:c r="AU134" s="220"/>
      <x:c r="AV134" s="220"/>
      <x:c r="AW134" s="220"/>
      <x:c r="AX134" s="220"/>
      <x:c r="AY134" s="221"/>
      <x:c r="AZ134" s="220"/>
      <x:c r="BA134" s="220" t="str">
        <x:f>IF(AND(A134="",B134="",F134="",H134="",J134="",AW134="",AY134=""),"",IF(OR(B134="skip",AW134="skip"),"SKIP",IF(OR(B134="to_candidate",AW134="proposed_name"),IF(OR(A134="",AX134="",AY134="",COUNTIF($A$6:$A$505,A134)&gt;1),"REVIEW","TO_PROPOSED"),IF(OR(B134="",A134="",F134="",H134="",J134="",U134="",AW134="",COUNTIF($A$6:$A$505,A134)&gt;1,(COUNTIFS('أرقام التواصل'!$A$6:$A$505,"client",'أرقام التواصل'!$B$6:$B$505,A134,'أرقام التواصل'!$I$6:$I$505,"TRUE")+COUNTIFS('أرقام التواصل'!$A$6:$A$505,"client",'أرقام التواصل'!$B$6:$B$505,A134,'أرقام التواصل'!$C$6:$C$505,1))=0),"REVIEW","READY"))))</x:f>
      </x:c>
      <x:c r="BB134" s="224" t="str">
        <x:f>IF(BA134="","",IF(OR(BA134="READY",BA134="TO_PROPOSED"),"",IF(BA134="SKIP","Skipped by decision",TRIM(IF(B134="","missing import_action; ","")&amp;IF(A134="","missing migration_customer_key; ","")&amp;IF(AND(A134&lt;&gt;"",COUNTIF($A$6:$A$505,A134)&gt;1),"duplicate migration_customer_key; ","")&amp;IF(AND(NOT(OR(B134="to_candidate",AW134="proposed_name")),F134=""),"missing branch_id; ","")&amp;IF(AND(NOT(OR(B134="to_candidate",AW134="proposed_name")),H134=""),"missing first_name; ","")&amp;IF(AND(NOT(OR(B134="to_candidate",AW134="proposed_name")),J134=""),"missing last_name; ","")&amp;IF(AND(NOT(OR(B134="to_candidate",AW134="proposed_name")),U134=""),"missing final_geo_unit_id; ","")&amp;IF(AW134="","missing final_destination; ","")&amp;IF(AND(NOT(OR(B134="to_candidate",AW134="proposed_name")),(COUNTIFS('أرقام التواصل'!$A$6:$A$505,"client",'أرقام التواصل'!$B$6:$B$505,A134,'أرقام التواصل'!$I$6:$I$505,"TRUE")+COUNTIFS('أرقام التواصل'!$A$6:$A$505,"client",'أرقام التواصل'!$B$6:$B$505,A134,'أرقام التواصل'!$C$6:$C$505,1))=0),"missing primary contact in أرقام التواصل; ","")&amp;IF(OR(B134="to_candidate",AW134="proposed_name"),IF(AX134="","missing proposed_move_reason; ","")&amp;IF(AY134="","missing proposed_name_key; ",""),"")))))</x:f>
      </x:c>
    </x:row>
    <x:row r="135">
      <x:c r="A135" s="219"/>
      <x:c r="B135" s="220"/>
      <x:c r="C135" s="221"/>
      <x:c r="D135" s="220"/>
      <x:c r="E135" s="222"/>
      <x:c r="F135" s="220"/>
      <x:c r="G135" s="220"/>
      <x:c r="H135" s="220"/>
      <x:c r="I135" s="220"/>
      <x:c r="J135" s="220"/>
      <x:c r="K135" s="220"/>
      <x:c r="L135" s="220" t="str">
        <x:f>IF(TRIM(H135&amp;" "&amp;I135&amp;" "&amp;J135&amp;IF(K135&lt;&gt;""," ("&amp;K135&amp;")",""))="","",TRIM(H135&amp;" "&amp;I135&amp;" "&amp;J135&amp;IF(K135&lt;&gt;""," ("&amp;K135&amp;")","")))</x:f>
      </x:c>
      <x:c r="M135" s="220"/>
      <x:c r="N135" s="220"/>
      <x:c r="O135" s="220"/>
      <x:c r="P135" s="220"/>
      <x:c r="Q135" s="220"/>
      <x:c r="R135" s="220"/>
      <x:c r="S135" s="220"/>
      <x:c r="T135" s="220"/>
      <x:c r="U135" s="220" t="str">
        <x:f>IF(AND(M135="",O135="",Q135="",S135=""),"",IF(S135&lt;&gt;"",S135,IF(Q135&lt;&gt;"",Q135,IF(O135&lt;&gt;"",O135,M135))))</x:f>
      </x:c>
      <x:c r="V135" s="220" t="str">
        <x:f>IF(AND(N135="",P135="",R135="",T135=""),"",IF(T135&lt;&gt;"",T135,IF(R135&lt;&gt;"",R135,IF(P135&lt;&gt;"",P135,N135))))</x:f>
      </x:c>
      <x:c r="W135" s="221"/>
      <x:c r="X135" s="220"/>
      <x:c r="Y135" s="220"/>
      <x:c r="Z135" s="223"/>
      <x:c r="AA135" s="223"/>
      <x:c r="AB135" s="221"/>
      <x:c r="AC135" s="220"/>
      <x:c r="AD135" s="220"/>
      <x:c r="AE135" s="222"/>
      <x:c r="AF135" s="220"/>
      <x:c r="AG135" s="221"/>
      <x:c r="AH135" s="220"/>
      <x:c r="AI135" s="220"/>
      <x:c r="AJ135" s="222"/>
      <x:c r="AK135" s="220"/>
      <x:c r="AL135" s="220"/>
      <x:c r="AM135" s="220"/>
      <x:c r="AN135" s="220"/>
      <x:c r="AO135" s="220"/>
      <x:c r="AP135" s="220"/>
      <x:c r="AQ135" s="220"/>
      <x:c r="AR135" s="222"/>
      <x:c r="AS135" s="220"/>
      <x:c r="AT135" s="220"/>
      <x:c r="AU135" s="220"/>
      <x:c r="AV135" s="220"/>
      <x:c r="AW135" s="220"/>
      <x:c r="AX135" s="220"/>
      <x:c r="AY135" s="221"/>
      <x:c r="AZ135" s="220"/>
      <x:c r="BA135" s="220" t="str">
        <x:f>IF(AND(A135="",B135="",F135="",H135="",J135="",AW135="",AY135=""),"",IF(OR(B135="skip",AW135="skip"),"SKIP",IF(OR(B135="to_candidate",AW135="proposed_name"),IF(OR(A135="",AX135="",AY135="",COUNTIF($A$6:$A$505,A135)&gt;1),"REVIEW","TO_PROPOSED"),IF(OR(B135="",A135="",F135="",H135="",J135="",U135="",AW135="",COUNTIF($A$6:$A$505,A135)&gt;1,(COUNTIFS('أرقام التواصل'!$A$6:$A$505,"client",'أرقام التواصل'!$B$6:$B$505,A135,'أرقام التواصل'!$I$6:$I$505,"TRUE")+COUNTIFS('أرقام التواصل'!$A$6:$A$505,"client",'أرقام التواصل'!$B$6:$B$505,A135,'أرقام التواصل'!$C$6:$C$505,1))=0),"REVIEW","READY"))))</x:f>
      </x:c>
      <x:c r="BB135" s="224" t="str">
        <x:f>IF(BA135="","",IF(OR(BA135="READY",BA135="TO_PROPOSED"),"",IF(BA135="SKIP","Skipped by decision",TRIM(IF(B135="","missing import_action; ","")&amp;IF(A135="","missing migration_customer_key; ","")&amp;IF(AND(A135&lt;&gt;"",COUNTIF($A$6:$A$505,A135)&gt;1),"duplicate migration_customer_key; ","")&amp;IF(AND(NOT(OR(B135="to_candidate",AW135="proposed_name")),F135=""),"missing branch_id; ","")&amp;IF(AND(NOT(OR(B135="to_candidate",AW135="proposed_name")),H135=""),"missing first_name; ","")&amp;IF(AND(NOT(OR(B135="to_candidate",AW135="proposed_name")),J135=""),"missing last_name; ","")&amp;IF(AND(NOT(OR(B135="to_candidate",AW135="proposed_name")),U135=""),"missing final_geo_unit_id; ","")&amp;IF(AW135="","missing final_destination; ","")&amp;IF(AND(NOT(OR(B135="to_candidate",AW135="proposed_name")),(COUNTIFS('أرقام التواصل'!$A$6:$A$505,"client",'أرقام التواصل'!$B$6:$B$505,A135,'أرقام التواصل'!$I$6:$I$505,"TRUE")+COUNTIFS('أرقام التواصل'!$A$6:$A$505,"client",'أرقام التواصل'!$B$6:$B$505,A135,'أرقام التواصل'!$C$6:$C$505,1))=0),"missing primary contact in أرقام التواصل; ","")&amp;IF(OR(B135="to_candidate",AW135="proposed_name"),IF(AX135="","missing proposed_move_reason; ","")&amp;IF(AY135="","missing proposed_name_key; ",""),"")))))</x:f>
      </x:c>
    </x:row>
    <x:row r="136">
      <x:c r="A136" s="219"/>
      <x:c r="B136" s="220"/>
      <x:c r="C136" s="221"/>
      <x:c r="D136" s="220"/>
      <x:c r="E136" s="222"/>
      <x:c r="F136" s="220"/>
      <x:c r="G136" s="220"/>
      <x:c r="H136" s="220"/>
      <x:c r="I136" s="220"/>
      <x:c r="J136" s="220"/>
      <x:c r="K136" s="220"/>
      <x:c r="L136" s="220" t="str">
        <x:f>IF(TRIM(H136&amp;" "&amp;I136&amp;" "&amp;J136&amp;IF(K136&lt;&gt;""," ("&amp;K136&amp;")",""))="","",TRIM(H136&amp;" "&amp;I136&amp;" "&amp;J136&amp;IF(K136&lt;&gt;""," ("&amp;K136&amp;")","")))</x:f>
      </x:c>
      <x:c r="M136" s="220"/>
      <x:c r="N136" s="220"/>
      <x:c r="O136" s="220"/>
      <x:c r="P136" s="220"/>
      <x:c r="Q136" s="220"/>
      <x:c r="R136" s="220"/>
      <x:c r="S136" s="220"/>
      <x:c r="T136" s="220"/>
      <x:c r="U136" s="220" t="str">
        <x:f>IF(AND(M136="",O136="",Q136="",S136=""),"",IF(S136&lt;&gt;"",S136,IF(Q136&lt;&gt;"",Q136,IF(O136&lt;&gt;"",O136,M136))))</x:f>
      </x:c>
      <x:c r="V136" s="220" t="str">
        <x:f>IF(AND(N136="",P136="",R136="",T136=""),"",IF(T136&lt;&gt;"",T136,IF(R136&lt;&gt;"",R136,IF(P136&lt;&gt;"",P136,N136))))</x:f>
      </x:c>
      <x:c r="W136" s="221"/>
      <x:c r="X136" s="220"/>
      <x:c r="Y136" s="220"/>
      <x:c r="Z136" s="223"/>
      <x:c r="AA136" s="223"/>
      <x:c r="AB136" s="221"/>
      <x:c r="AC136" s="220"/>
      <x:c r="AD136" s="220"/>
      <x:c r="AE136" s="222"/>
      <x:c r="AF136" s="220"/>
      <x:c r="AG136" s="221"/>
      <x:c r="AH136" s="220"/>
      <x:c r="AI136" s="220"/>
      <x:c r="AJ136" s="222"/>
      <x:c r="AK136" s="220"/>
      <x:c r="AL136" s="220"/>
      <x:c r="AM136" s="220"/>
      <x:c r="AN136" s="220"/>
      <x:c r="AO136" s="220"/>
      <x:c r="AP136" s="220"/>
      <x:c r="AQ136" s="220"/>
      <x:c r="AR136" s="222"/>
      <x:c r="AS136" s="220"/>
      <x:c r="AT136" s="220"/>
      <x:c r="AU136" s="220"/>
      <x:c r="AV136" s="220"/>
      <x:c r="AW136" s="220"/>
      <x:c r="AX136" s="220"/>
      <x:c r="AY136" s="221"/>
      <x:c r="AZ136" s="220"/>
      <x:c r="BA136" s="220" t="str">
        <x:f>IF(AND(A136="",B136="",F136="",H136="",J136="",AW136="",AY136=""),"",IF(OR(B136="skip",AW136="skip"),"SKIP",IF(OR(B136="to_candidate",AW136="proposed_name"),IF(OR(A136="",AX136="",AY136="",COUNTIF($A$6:$A$505,A136)&gt;1),"REVIEW","TO_PROPOSED"),IF(OR(B136="",A136="",F136="",H136="",J136="",U136="",AW136="",COUNTIF($A$6:$A$505,A136)&gt;1,(COUNTIFS('أرقام التواصل'!$A$6:$A$505,"client",'أرقام التواصل'!$B$6:$B$505,A136,'أرقام التواصل'!$I$6:$I$505,"TRUE")+COUNTIFS('أرقام التواصل'!$A$6:$A$505,"client",'أرقام التواصل'!$B$6:$B$505,A136,'أرقام التواصل'!$C$6:$C$505,1))=0),"REVIEW","READY"))))</x:f>
      </x:c>
      <x:c r="BB136" s="224" t="str">
        <x:f>IF(BA136="","",IF(OR(BA136="READY",BA136="TO_PROPOSED"),"",IF(BA136="SKIP","Skipped by decision",TRIM(IF(B136="","missing import_action; ","")&amp;IF(A136="","missing migration_customer_key; ","")&amp;IF(AND(A136&lt;&gt;"",COUNTIF($A$6:$A$505,A136)&gt;1),"duplicate migration_customer_key; ","")&amp;IF(AND(NOT(OR(B136="to_candidate",AW136="proposed_name")),F136=""),"missing branch_id; ","")&amp;IF(AND(NOT(OR(B136="to_candidate",AW136="proposed_name")),H136=""),"missing first_name; ","")&amp;IF(AND(NOT(OR(B136="to_candidate",AW136="proposed_name")),J136=""),"missing last_name; ","")&amp;IF(AND(NOT(OR(B136="to_candidate",AW136="proposed_name")),U136=""),"missing final_geo_unit_id; ","")&amp;IF(AW136="","missing final_destination; ","")&amp;IF(AND(NOT(OR(B136="to_candidate",AW136="proposed_name")),(COUNTIFS('أرقام التواصل'!$A$6:$A$505,"client",'أرقام التواصل'!$B$6:$B$505,A136,'أرقام التواصل'!$I$6:$I$505,"TRUE")+COUNTIFS('أرقام التواصل'!$A$6:$A$505,"client",'أرقام التواصل'!$B$6:$B$505,A136,'أرقام التواصل'!$C$6:$C$505,1))=0),"missing primary contact in أرقام التواصل; ","")&amp;IF(OR(B136="to_candidate",AW136="proposed_name"),IF(AX136="","missing proposed_move_reason; ","")&amp;IF(AY136="","missing proposed_name_key; ",""),"")))))</x:f>
      </x:c>
    </x:row>
    <x:row r="137">
      <x:c r="A137" s="219"/>
      <x:c r="B137" s="220"/>
      <x:c r="C137" s="221"/>
      <x:c r="D137" s="220"/>
      <x:c r="E137" s="222"/>
      <x:c r="F137" s="220"/>
      <x:c r="G137" s="220"/>
      <x:c r="H137" s="220"/>
      <x:c r="I137" s="220"/>
      <x:c r="J137" s="220"/>
      <x:c r="K137" s="220"/>
      <x:c r="L137" s="220" t="str">
        <x:f>IF(TRIM(H137&amp;" "&amp;I137&amp;" "&amp;J137&amp;IF(K137&lt;&gt;""," ("&amp;K137&amp;")",""))="","",TRIM(H137&amp;" "&amp;I137&amp;" "&amp;J137&amp;IF(K137&lt;&gt;""," ("&amp;K137&amp;")","")))</x:f>
      </x:c>
      <x:c r="M137" s="220"/>
      <x:c r="N137" s="220"/>
      <x:c r="O137" s="220"/>
      <x:c r="P137" s="220"/>
      <x:c r="Q137" s="220"/>
      <x:c r="R137" s="220"/>
      <x:c r="S137" s="220"/>
      <x:c r="T137" s="220"/>
      <x:c r="U137" s="220" t="str">
        <x:f>IF(AND(M137="",O137="",Q137="",S137=""),"",IF(S137&lt;&gt;"",S137,IF(Q137&lt;&gt;"",Q137,IF(O137&lt;&gt;"",O137,M137))))</x:f>
      </x:c>
      <x:c r="V137" s="220" t="str">
        <x:f>IF(AND(N137="",P137="",R137="",T137=""),"",IF(T137&lt;&gt;"",T137,IF(R137&lt;&gt;"",R137,IF(P137&lt;&gt;"",P137,N137))))</x:f>
      </x:c>
      <x:c r="W137" s="221"/>
      <x:c r="X137" s="220"/>
      <x:c r="Y137" s="220"/>
      <x:c r="Z137" s="223"/>
      <x:c r="AA137" s="223"/>
      <x:c r="AB137" s="221"/>
      <x:c r="AC137" s="220"/>
      <x:c r="AD137" s="220"/>
      <x:c r="AE137" s="222"/>
      <x:c r="AF137" s="220"/>
      <x:c r="AG137" s="221"/>
      <x:c r="AH137" s="220"/>
      <x:c r="AI137" s="220"/>
      <x:c r="AJ137" s="222"/>
      <x:c r="AK137" s="220"/>
      <x:c r="AL137" s="220"/>
      <x:c r="AM137" s="220"/>
      <x:c r="AN137" s="220"/>
      <x:c r="AO137" s="220"/>
      <x:c r="AP137" s="220"/>
      <x:c r="AQ137" s="220"/>
      <x:c r="AR137" s="222"/>
      <x:c r="AS137" s="220"/>
      <x:c r="AT137" s="220"/>
      <x:c r="AU137" s="220"/>
      <x:c r="AV137" s="220"/>
      <x:c r="AW137" s="220"/>
      <x:c r="AX137" s="220"/>
      <x:c r="AY137" s="221"/>
      <x:c r="AZ137" s="220"/>
      <x:c r="BA137" s="220" t="str">
        <x:f>IF(AND(A137="",B137="",F137="",H137="",J137="",AW137="",AY137=""),"",IF(OR(B137="skip",AW137="skip"),"SKIP",IF(OR(B137="to_candidate",AW137="proposed_name"),IF(OR(A137="",AX137="",AY137="",COUNTIF($A$6:$A$505,A137)&gt;1),"REVIEW","TO_PROPOSED"),IF(OR(B137="",A137="",F137="",H137="",J137="",U137="",AW137="",COUNTIF($A$6:$A$505,A137)&gt;1,(COUNTIFS('أرقام التواصل'!$A$6:$A$505,"client",'أرقام التواصل'!$B$6:$B$505,A137,'أرقام التواصل'!$I$6:$I$505,"TRUE")+COUNTIFS('أرقام التواصل'!$A$6:$A$505,"client",'أرقام التواصل'!$B$6:$B$505,A137,'أرقام التواصل'!$C$6:$C$505,1))=0),"REVIEW","READY"))))</x:f>
      </x:c>
      <x:c r="BB137" s="224" t="str">
        <x:f>IF(BA137="","",IF(OR(BA137="READY",BA137="TO_PROPOSED"),"",IF(BA137="SKIP","Skipped by decision",TRIM(IF(B137="","missing import_action; ","")&amp;IF(A137="","missing migration_customer_key; ","")&amp;IF(AND(A137&lt;&gt;"",COUNTIF($A$6:$A$505,A137)&gt;1),"duplicate migration_customer_key; ","")&amp;IF(AND(NOT(OR(B137="to_candidate",AW137="proposed_name")),F137=""),"missing branch_id; ","")&amp;IF(AND(NOT(OR(B137="to_candidate",AW137="proposed_name")),H137=""),"missing first_name; ","")&amp;IF(AND(NOT(OR(B137="to_candidate",AW137="proposed_name")),J137=""),"missing last_name; ","")&amp;IF(AND(NOT(OR(B137="to_candidate",AW137="proposed_name")),U137=""),"missing final_geo_unit_id; ","")&amp;IF(AW137="","missing final_destination; ","")&amp;IF(AND(NOT(OR(B137="to_candidate",AW137="proposed_name")),(COUNTIFS('أرقام التواصل'!$A$6:$A$505,"client",'أرقام التواصل'!$B$6:$B$505,A137,'أرقام التواصل'!$I$6:$I$505,"TRUE")+COUNTIFS('أرقام التواصل'!$A$6:$A$505,"client",'أرقام التواصل'!$B$6:$B$505,A137,'أرقام التواصل'!$C$6:$C$505,1))=0),"missing primary contact in أرقام التواصل; ","")&amp;IF(OR(B137="to_candidate",AW137="proposed_name"),IF(AX137="","missing proposed_move_reason; ","")&amp;IF(AY137="","missing proposed_name_key; ",""),"")))))</x:f>
      </x:c>
    </x:row>
    <x:row r="138">
      <x:c r="A138" s="219"/>
      <x:c r="B138" s="220"/>
      <x:c r="C138" s="221"/>
      <x:c r="D138" s="220"/>
      <x:c r="E138" s="222"/>
      <x:c r="F138" s="220"/>
      <x:c r="G138" s="220"/>
      <x:c r="H138" s="220"/>
      <x:c r="I138" s="220"/>
      <x:c r="J138" s="220"/>
      <x:c r="K138" s="220"/>
      <x:c r="L138" s="220" t="str">
        <x:f>IF(TRIM(H138&amp;" "&amp;I138&amp;" "&amp;J138&amp;IF(K138&lt;&gt;""," ("&amp;K138&amp;")",""))="","",TRIM(H138&amp;" "&amp;I138&amp;" "&amp;J138&amp;IF(K138&lt;&gt;""," ("&amp;K138&amp;")","")))</x:f>
      </x:c>
      <x:c r="M138" s="220"/>
      <x:c r="N138" s="220"/>
      <x:c r="O138" s="220"/>
      <x:c r="P138" s="220"/>
      <x:c r="Q138" s="220"/>
      <x:c r="R138" s="220"/>
      <x:c r="S138" s="220"/>
      <x:c r="T138" s="220"/>
      <x:c r="U138" s="220" t="str">
        <x:f>IF(AND(M138="",O138="",Q138="",S138=""),"",IF(S138&lt;&gt;"",S138,IF(Q138&lt;&gt;"",Q138,IF(O138&lt;&gt;"",O138,M138))))</x:f>
      </x:c>
      <x:c r="V138" s="220" t="str">
        <x:f>IF(AND(N138="",P138="",R138="",T138=""),"",IF(T138&lt;&gt;"",T138,IF(R138&lt;&gt;"",R138,IF(P138&lt;&gt;"",P138,N138))))</x:f>
      </x:c>
      <x:c r="W138" s="221"/>
      <x:c r="X138" s="220"/>
      <x:c r="Y138" s="220"/>
      <x:c r="Z138" s="223"/>
      <x:c r="AA138" s="223"/>
      <x:c r="AB138" s="221"/>
      <x:c r="AC138" s="220"/>
      <x:c r="AD138" s="220"/>
      <x:c r="AE138" s="222"/>
      <x:c r="AF138" s="220"/>
      <x:c r="AG138" s="221"/>
      <x:c r="AH138" s="220"/>
      <x:c r="AI138" s="220"/>
      <x:c r="AJ138" s="222"/>
      <x:c r="AK138" s="220"/>
      <x:c r="AL138" s="220"/>
      <x:c r="AM138" s="220"/>
      <x:c r="AN138" s="220"/>
      <x:c r="AO138" s="220"/>
      <x:c r="AP138" s="220"/>
      <x:c r="AQ138" s="220"/>
      <x:c r="AR138" s="222"/>
      <x:c r="AS138" s="220"/>
      <x:c r="AT138" s="220"/>
      <x:c r="AU138" s="220"/>
      <x:c r="AV138" s="220"/>
      <x:c r="AW138" s="220"/>
      <x:c r="AX138" s="220"/>
      <x:c r="AY138" s="221"/>
      <x:c r="AZ138" s="220"/>
      <x:c r="BA138" s="220" t="str">
        <x:f>IF(AND(A138="",B138="",F138="",H138="",J138="",AW138="",AY138=""),"",IF(OR(B138="skip",AW138="skip"),"SKIP",IF(OR(B138="to_candidate",AW138="proposed_name"),IF(OR(A138="",AX138="",AY138="",COUNTIF($A$6:$A$505,A138)&gt;1),"REVIEW","TO_PROPOSED"),IF(OR(B138="",A138="",F138="",H138="",J138="",U138="",AW138="",COUNTIF($A$6:$A$505,A138)&gt;1,(COUNTIFS('أرقام التواصل'!$A$6:$A$505,"client",'أرقام التواصل'!$B$6:$B$505,A138,'أرقام التواصل'!$I$6:$I$505,"TRUE")+COUNTIFS('أرقام التواصل'!$A$6:$A$505,"client",'أرقام التواصل'!$B$6:$B$505,A138,'أرقام التواصل'!$C$6:$C$505,1))=0),"REVIEW","READY"))))</x:f>
      </x:c>
      <x:c r="BB138" s="224" t="str">
        <x:f>IF(BA138="","",IF(OR(BA138="READY",BA138="TO_PROPOSED"),"",IF(BA138="SKIP","Skipped by decision",TRIM(IF(B138="","missing import_action; ","")&amp;IF(A138="","missing migration_customer_key; ","")&amp;IF(AND(A138&lt;&gt;"",COUNTIF($A$6:$A$505,A138)&gt;1),"duplicate migration_customer_key; ","")&amp;IF(AND(NOT(OR(B138="to_candidate",AW138="proposed_name")),F138=""),"missing branch_id; ","")&amp;IF(AND(NOT(OR(B138="to_candidate",AW138="proposed_name")),H138=""),"missing first_name; ","")&amp;IF(AND(NOT(OR(B138="to_candidate",AW138="proposed_name")),J138=""),"missing last_name; ","")&amp;IF(AND(NOT(OR(B138="to_candidate",AW138="proposed_name")),U138=""),"missing final_geo_unit_id; ","")&amp;IF(AW138="","missing final_destination; ","")&amp;IF(AND(NOT(OR(B138="to_candidate",AW138="proposed_name")),(COUNTIFS('أرقام التواصل'!$A$6:$A$505,"client",'أرقام التواصل'!$B$6:$B$505,A138,'أرقام التواصل'!$I$6:$I$505,"TRUE")+COUNTIFS('أرقام التواصل'!$A$6:$A$505,"client",'أرقام التواصل'!$B$6:$B$505,A138,'أرقام التواصل'!$C$6:$C$505,1))=0),"missing primary contact in أرقام التواصل; ","")&amp;IF(OR(B138="to_candidate",AW138="proposed_name"),IF(AX138="","missing proposed_move_reason; ","")&amp;IF(AY138="","missing proposed_name_key; ",""),"")))))</x:f>
      </x:c>
    </x:row>
    <x:row r="139">
      <x:c r="A139" s="219"/>
      <x:c r="B139" s="220"/>
      <x:c r="C139" s="221"/>
      <x:c r="D139" s="220"/>
      <x:c r="E139" s="222"/>
      <x:c r="F139" s="220"/>
      <x:c r="G139" s="220"/>
      <x:c r="H139" s="220"/>
      <x:c r="I139" s="220"/>
      <x:c r="J139" s="220"/>
      <x:c r="K139" s="220"/>
      <x:c r="L139" s="220" t="str">
        <x:f>IF(TRIM(H139&amp;" "&amp;I139&amp;" "&amp;J139&amp;IF(K139&lt;&gt;""," ("&amp;K139&amp;")",""))="","",TRIM(H139&amp;" "&amp;I139&amp;" "&amp;J139&amp;IF(K139&lt;&gt;""," ("&amp;K139&amp;")","")))</x:f>
      </x:c>
      <x:c r="M139" s="220"/>
      <x:c r="N139" s="220"/>
      <x:c r="O139" s="220"/>
      <x:c r="P139" s="220"/>
      <x:c r="Q139" s="220"/>
      <x:c r="R139" s="220"/>
      <x:c r="S139" s="220"/>
      <x:c r="T139" s="220"/>
      <x:c r="U139" s="220" t="str">
        <x:f>IF(AND(M139="",O139="",Q139="",S139=""),"",IF(S139&lt;&gt;"",S139,IF(Q139&lt;&gt;"",Q139,IF(O139&lt;&gt;"",O139,M139))))</x:f>
      </x:c>
      <x:c r="V139" s="220" t="str">
        <x:f>IF(AND(N139="",P139="",R139="",T139=""),"",IF(T139&lt;&gt;"",T139,IF(R139&lt;&gt;"",R139,IF(P139&lt;&gt;"",P139,N139))))</x:f>
      </x:c>
      <x:c r="W139" s="221"/>
      <x:c r="X139" s="220"/>
      <x:c r="Y139" s="220"/>
      <x:c r="Z139" s="223"/>
      <x:c r="AA139" s="223"/>
      <x:c r="AB139" s="221"/>
      <x:c r="AC139" s="220"/>
      <x:c r="AD139" s="220"/>
      <x:c r="AE139" s="222"/>
      <x:c r="AF139" s="220"/>
      <x:c r="AG139" s="221"/>
      <x:c r="AH139" s="220"/>
      <x:c r="AI139" s="220"/>
      <x:c r="AJ139" s="222"/>
      <x:c r="AK139" s="220"/>
      <x:c r="AL139" s="220"/>
      <x:c r="AM139" s="220"/>
      <x:c r="AN139" s="220"/>
      <x:c r="AO139" s="220"/>
      <x:c r="AP139" s="220"/>
      <x:c r="AQ139" s="220"/>
      <x:c r="AR139" s="222"/>
      <x:c r="AS139" s="220"/>
      <x:c r="AT139" s="220"/>
      <x:c r="AU139" s="220"/>
      <x:c r="AV139" s="220"/>
      <x:c r="AW139" s="220"/>
      <x:c r="AX139" s="220"/>
      <x:c r="AY139" s="221"/>
      <x:c r="AZ139" s="220"/>
      <x:c r="BA139" s="220" t="str">
        <x:f>IF(AND(A139="",B139="",F139="",H139="",J139="",AW139="",AY139=""),"",IF(OR(B139="skip",AW139="skip"),"SKIP",IF(OR(B139="to_candidate",AW139="proposed_name"),IF(OR(A139="",AX139="",AY139="",COUNTIF($A$6:$A$505,A139)&gt;1),"REVIEW","TO_PROPOSED"),IF(OR(B139="",A139="",F139="",H139="",J139="",U139="",AW139="",COUNTIF($A$6:$A$505,A139)&gt;1,(COUNTIFS('أرقام التواصل'!$A$6:$A$505,"client",'أرقام التواصل'!$B$6:$B$505,A139,'أرقام التواصل'!$I$6:$I$505,"TRUE")+COUNTIFS('أرقام التواصل'!$A$6:$A$505,"client",'أرقام التواصل'!$B$6:$B$505,A139,'أرقام التواصل'!$C$6:$C$505,1))=0),"REVIEW","READY"))))</x:f>
      </x:c>
      <x:c r="BB139" s="224" t="str">
        <x:f>IF(BA139="","",IF(OR(BA139="READY",BA139="TO_PROPOSED"),"",IF(BA139="SKIP","Skipped by decision",TRIM(IF(B139="","missing import_action; ","")&amp;IF(A139="","missing migration_customer_key; ","")&amp;IF(AND(A139&lt;&gt;"",COUNTIF($A$6:$A$505,A139)&gt;1),"duplicate migration_customer_key; ","")&amp;IF(AND(NOT(OR(B139="to_candidate",AW139="proposed_name")),F139=""),"missing branch_id; ","")&amp;IF(AND(NOT(OR(B139="to_candidate",AW139="proposed_name")),H139=""),"missing first_name; ","")&amp;IF(AND(NOT(OR(B139="to_candidate",AW139="proposed_name")),J139=""),"missing last_name; ","")&amp;IF(AND(NOT(OR(B139="to_candidate",AW139="proposed_name")),U139=""),"missing final_geo_unit_id; ","")&amp;IF(AW139="","missing final_destination; ","")&amp;IF(AND(NOT(OR(B139="to_candidate",AW139="proposed_name")),(COUNTIFS('أرقام التواصل'!$A$6:$A$505,"client",'أرقام التواصل'!$B$6:$B$505,A139,'أرقام التواصل'!$I$6:$I$505,"TRUE")+COUNTIFS('أرقام التواصل'!$A$6:$A$505,"client",'أرقام التواصل'!$B$6:$B$505,A139,'أرقام التواصل'!$C$6:$C$505,1))=0),"missing primary contact in أرقام التواصل; ","")&amp;IF(OR(B139="to_candidate",AW139="proposed_name"),IF(AX139="","missing proposed_move_reason; ","")&amp;IF(AY139="","missing proposed_name_key; ",""),"")))))</x:f>
      </x:c>
    </x:row>
    <x:row r="140">
      <x:c r="A140" s="219"/>
      <x:c r="B140" s="220"/>
      <x:c r="C140" s="221"/>
      <x:c r="D140" s="220"/>
      <x:c r="E140" s="222"/>
      <x:c r="F140" s="220"/>
      <x:c r="G140" s="220"/>
      <x:c r="H140" s="220"/>
      <x:c r="I140" s="220"/>
      <x:c r="J140" s="220"/>
      <x:c r="K140" s="220"/>
      <x:c r="L140" s="220" t="str">
        <x:f>IF(TRIM(H140&amp;" "&amp;I140&amp;" "&amp;J140&amp;IF(K140&lt;&gt;""," ("&amp;K140&amp;")",""))="","",TRIM(H140&amp;" "&amp;I140&amp;" "&amp;J140&amp;IF(K140&lt;&gt;""," ("&amp;K140&amp;")","")))</x:f>
      </x:c>
      <x:c r="M140" s="220"/>
      <x:c r="N140" s="220"/>
      <x:c r="O140" s="220"/>
      <x:c r="P140" s="220"/>
      <x:c r="Q140" s="220"/>
      <x:c r="R140" s="220"/>
      <x:c r="S140" s="220"/>
      <x:c r="T140" s="220"/>
      <x:c r="U140" s="220" t="str">
        <x:f>IF(AND(M140="",O140="",Q140="",S140=""),"",IF(S140&lt;&gt;"",S140,IF(Q140&lt;&gt;"",Q140,IF(O140&lt;&gt;"",O140,M140))))</x:f>
      </x:c>
      <x:c r="V140" s="220" t="str">
        <x:f>IF(AND(N140="",P140="",R140="",T140=""),"",IF(T140&lt;&gt;"",T140,IF(R140&lt;&gt;"",R140,IF(P140&lt;&gt;"",P140,N140))))</x:f>
      </x:c>
      <x:c r="W140" s="221"/>
      <x:c r="X140" s="220"/>
      <x:c r="Y140" s="220"/>
      <x:c r="Z140" s="223"/>
      <x:c r="AA140" s="223"/>
      <x:c r="AB140" s="221"/>
      <x:c r="AC140" s="220"/>
      <x:c r="AD140" s="220"/>
      <x:c r="AE140" s="222"/>
      <x:c r="AF140" s="220"/>
      <x:c r="AG140" s="221"/>
      <x:c r="AH140" s="220"/>
      <x:c r="AI140" s="220"/>
      <x:c r="AJ140" s="222"/>
      <x:c r="AK140" s="220"/>
      <x:c r="AL140" s="220"/>
      <x:c r="AM140" s="220"/>
      <x:c r="AN140" s="220"/>
      <x:c r="AO140" s="220"/>
      <x:c r="AP140" s="220"/>
      <x:c r="AQ140" s="220"/>
      <x:c r="AR140" s="222"/>
      <x:c r="AS140" s="220"/>
      <x:c r="AT140" s="220"/>
      <x:c r="AU140" s="220"/>
      <x:c r="AV140" s="220"/>
      <x:c r="AW140" s="220"/>
      <x:c r="AX140" s="220"/>
      <x:c r="AY140" s="221"/>
      <x:c r="AZ140" s="220"/>
      <x:c r="BA140" s="220" t="str">
        <x:f>IF(AND(A140="",B140="",F140="",H140="",J140="",AW140="",AY140=""),"",IF(OR(B140="skip",AW140="skip"),"SKIP",IF(OR(B140="to_candidate",AW140="proposed_name"),IF(OR(A140="",AX140="",AY140="",COUNTIF($A$6:$A$505,A140)&gt;1),"REVIEW","TO_PROPOSED"),IF(OR(B140="",A140="",F140="",H140="",J140="",U140="",AW140="",COUNTIF($A$6:$A$505,A140)&gt;1,(COUNTIFS('أرقام التواصل'!$A$6:$A$505,"client",'أرقام التواصل'!$B$6:$B$505,A140,'أرقام التواصل'!$I$6:$I$505,"TRUE")+COUNTIFS('أرقام التواصل'!$A$6:$A$505,"client",'أرقام التواصل'!$B$6:$B$505,A140,'أرقام التواصل'!$C$6:$C$505,1))=0),"REVIEW","READY"))))</x:f>
      </x:c>
      <x:c r="BB140" s="224" t="str">
        <x:f>IF(BA140="","",IF(OR(BA140="READY",BA140="TO_PROPOSED"),"",IF(BA140="SKIP","Skipped by decision",TRIM(IF(B140="","missing import_action; ","")&amp;IF(A140="","missing migration_customer_key; ","")&amp;IF(AND(A140&lt;&gt;"",COUNTIF($A$6:$A$505,A140)&gt;1),"duplicate migration_customer_key; ","")&amp;IF(AND(NOT(OR(B140="to_candidate",AW140="proposed_name")),F140=""),"missing branch_id; ","")&amp;IF(AND(NOT(OR(B140="to_candidate",AW140="proposed_name")),H140=""),"missing first_name; ","")&amp;IF(AND(NOT(OR(B140="to_candidate",AW140="proposed_name")),J140=""),"missing last_name; ","")&amp;IF(AND(NOT(OR(B140="to_candidate",AW140="proposed_name")),U140=""),"missing final_geo_unit_id; ","")&amp;IF(AW140="","missing final_destination; ","")&amp;IF(AND(NOT(OR(B140="to_candidate",AW140="proposed_name")),(COUNTIFS('أرقام التواصل'!$A$6:$A$505,"client",'أرقام التواصل'!$B$6:$B$505,A140,'أرقام التواصل'!$I$6:$I$505,"TRUE")+COUNTIFS('أرقام التواصل'!$A$6:$A$505,"client",'أرقام التواصل'!$B$6:$B$505,A140,'أرقام التواصل'!$C$6:$C$505,1))=0),"missing primary contact in أرقام التواصل; ","")&amp;IF(OR(B140="to_candidate",AW140="proposed_name"),IF(AX140="","missing proposed_move_reason; ","")&amp;IF(AY140="","missing proposed_name_key; ",""),"")))))</x:f>
      </x:c>
    </x:row>
    <x:row r="141">
      <x:c r="A141" s="219"/>
      <x:c r="B141" s="220"/>
      <x:c r="C141" s="221"/>
      <x:c r="D141" s="220"/>
      <x:c r="E141" s="222"/>
      <x:c r="F141" s="220"/>
      <x:c r="G141" s="220"/>
      <x:c r="H141" s="220"/>
      <x:c r="I141" s="220"/>
      <x:c r="J141" s="220"/>
      <x:c r="K141" s="220"/>
      <x:c r="L141" s="220" t="str">
        <x:f>IF(TRIM(H141&amp;" "&amp;I141&amp;" "&amp;J141&amp;IF(K141&lt;&gt;""," ("&amp;K141&amp;")",""))="","",TRIM(H141&amp;" "&amp;I141&amp;" "&amp;J141&amp;IF(K141&lt;&gt;""," ("&amp;K141&amp;")","")))</x:f>
      </x:c>
      <x:c r="M141" s="220"/>
      <x:c r="N141" s="220"/>
      <x:c r="O141" s="220"/>
      <x:c r="P141" s="220"/>
      <x:c r="Q141" s="220"/>
      <x:c r="R141" s="220"/>
      <x:c r="S141" s="220"/>
      <x:c r="T141" s="220"/>
      <x:c r="U141" s="220" t="str">
        <x:f>IF(AND(M141="",O141="",Q141="",S141=""),"",IF(S141&lt;&gt;"",S141,IF(Q141&lt;&gt;"",Q141,IF(O141&lt;&gt;"",O141,M141))))</x:f>
      </x:c>
      <x:c r="V141" s="220" t="str">
        <x:f>IF(AND(N141="",P141="",R141="",T141=""),"",IF(T141&lt;&gt;"",T141,IF(R141&lt;&gt;"",R141,IF(P141&lt;&gt;"",P141,N141))))</x:f>
      </x:c>
      <x:c r="W141" s="221"/>
      <x:c r="X141" s="220"/>
      <x:c r="Y141" s="220"/>
      <x:c r="Z141" s="223"/>
      <x:c r="AA141" s="223"/>
      <x:c r="AB141" s="221"/>
      <x:c r="AC141" s="220"/>
      <x:c r="AD141" s="220"/>
      <x:c r="AE141" s="222"/>
      <x:c r="AF141" s="220"/>
      <x:c r="AG141" s="221"/>
      <x:c r="AH141" s="220"/>
      <x:c r="AI141" s="220"/>
      <x:c r="AJ141" s="222"/>
      <x:c r="AK141" s="220"/>
      <x:c r="AL141" s="220"/>
      <x:c r="AM141" s="220"/>
      <x:c r="AN141" s="220"/>
      <x:c r="AO141" s="220"/>
      <x:c r="AP141" s="220"/>
      <x:c r="AQ141" s="220"/>
      <x:c r="AR141" s="222"/>
      <x:c r="AS141" s="220"/>
      <x:c r="AT141" s="220"/>
      <x:c r="AU141" s="220"/>
      <x:c r="AV141" s="220"/>
      <x:c r="AW141" s="220"/>
      <x:c r="AX141" s="220"/>
      <x:c r="AY141" s="221"/>
      <x:c r="AZ141" s="220"/>
      <x:c r="BA141" s="220" t="str">
        <x:f>IF(AND(A141="",B141="",F141="",H141="",J141="",AW141="",AY141=""),"",IF(OR(B141="skip",AW141="skip"),"SKIP",IF(OR(B141="to_candidate",AW141="proposed_name"),IF(OR(A141="",AX141="",AY141="",COUNTIF($A$6:$A$505,A141)&gt;1),"REVIEW","TO_PROPOSED"),IF(OR(B141="",A141="",F141="",H141="",J141="",U141="",AW141="",COUNTIF($A$6:$A$505,A141)&gt;1,(COUNTIFS('أرقام التواصل'!$A$6:$A$505,"client",'أرقام التواصل'!$B$6:$B$505,A141,'أرقام التواصل'!$I$6:$I$505,"TRUE")+COUNTIFS('أرقام التواصل'!$A$6:$A$505,"client",'أرقام التواصل'!$B$6:$B$505,A141,'أرقام التواصل'!$C$6:$C$505,1))=0),"REVIEW","READY"))))</x:f>
      </x:c>
      <x:c r="BB141" s="224" t="str">
        <x:f>IF(BA141="","",IF(OR(BA141="READY",BA141="TO_PROPOSED"),"",IF(BA141="SKIP","Skipped by decision",TRIM(IF(B141="","missing import_action; ","")&amp;IF(A141="","missing migration_customer_key; ","")&amp;IF(AND(A141&lt;&gt;"",COUNTIF($A$6:$A$505,A141)&gt;1),"duplicate migration_customer_key; ","")&amp;IF(AND(NOT(OR(B141="to_candidate",AW141="proposed_name")),F141=""),"missing branch_id; ","")&amp;IF(AND(NOT(OR(B141="to_candidate",AW141="proposed_name")),H141=""),"missing first_name; ","")&amp;IF(AND(NOT(OR(B141="to_candidate",AW141="proposed_name")),J141=""),"missing last_name; ","")&amp;IF(AND(NOT(OR(B141="to_candidate",AW141="proposed_name")),U141=""),"missing final_geo_unit_id; ","")&amp;IF(AW141="","missing final_destination; ","")&amp;IF(AND(NOT(OR(B141="to_candidate",AW141="proposed_name")),(COUNTIFS('أرقام التواصل'!$A$6:$A$505,"client",'أرقام التواصل'!$B$6:$B$505,A141,'أرقام التواصل'!$I$6:$I$505,"TRUE")+COUNTIFS('أرقام التواصل'!$A$6:$A$505,"client",'أرقام التواصل'!$B$6:$B$505,A141,'أرقام التواصل'!$C$6:$C$505,1))=0),"missing primary contact in أرقام التواصل; ","")&amp;IF(OR(B141="to_candidate",AW141="proposed_name"),IF(AX141="","missing proposed_move_reason; ","")&amp;IF(AY141="","missing proposed_name_key; ",""),"")))))</x:f>
      </x:c>
    </x:row>
    <x:row r="142">
      <x:c r="A142" s="219"/>
      <x:c r="B142" s="220"/>
      <x:c r="C142" s="221"/>
      <x:c r="D142" s="220"/>
      <x:c r="E142" s="222"/>
      <x:c r="F142" s="220"/>
      <x:c r="G142" s="220"/>
      <x:c r="H142" s="220"/>
      <x:c r="I142" s="220"/>
      <x:c r="J142" s="220"/>
      <x:c r="K142" s="220"/>
      <x:c r="L142" s="220" t="str">
        <x:f>IF(TRIM(H142&amp;" "&amp;I142&amp;" "&amp;J142&amp;IF(K142&lt;&gt;""," ("&amp;K142&amp;")",""))="","",TRIM(H142&amp;" "&amp;I142&amp;" "&amp;J142&amp;IF(K142&lt;&gt;""," ("&amp;K142&amp;")","")))</x:f>
      </x:c>
      <x:c r="M142" s="220"/>
      <x:c r="N142" s="220"/>
      <x:c r="O142" s="220"/>
      <x:c r="P142" s="220"/>
      <x:c r="Q142" s="220"/>
      <x:c r="R142" s="220"/>
      <x:c r="S142" s="220"/>
      <x:c r="T142" s="220"/>
      <x:c r="U142" s="220" t="str">
        <x:f>IF(AND(M142="",O142="",Q142="",S142=""),"",IF(S142&lt;&gt;"",S142,IF(Q142&lt;&gt;"",Q142,IF(O142&lt;&gt;"",O142,M142))))</x:f>
      </x:c>
      <x:c r="V142" s="220" t="str">
        <x:f>IF(AND(N142="",P142="",R142="",T142=""),"",IF(T142&lt;&gt;"",T142,IF(R142&lt;&gt;"",R142,IF(P142&lt;&gt;"",P142,N142))))</x:f>
      </x:c>
      <x:c r="W142" s="221"/>
      <x:c r="X142" s="220"/>
      <x:c r="Y142" s="220"/>
      <x:c r="Z142" s="223"/>
      <x:c r="AA142" s="223"/>
      <x:c r="AB142" s="221"/>
      <x:c r="AC142" s="220"/>
      <x:c r="AD142" s="220"/>
      <x:c r="AE142" s="222"/>
      <x:c r="AF142" s="220"/>
      <x:c r="AG142" s="221"/>
      <x:c r="AH142" s="220"/>
      <x:c r="AI142" s="220"/>
      <x:c r="AJ142" s="222"/>
      <x:c r="AK142" s="220"/>
      <x:c r="AL142" s="220"/>
      <x:c r="AM142" s="220"/>
      <x:c r="AN142" s="220"/>
      <x:c r="AO142" s="220"/>
      <x:c r="AP142" s="220"/>
      <x:c r="AQ142" s="220"/>
      <x:c r="AR142" s="222"/>
      <x:c r="AS142" s="220"/>
      <x:c r="AT142" s="220"/>
      <x:c r="AU142" s="220"/>
      <x:c r="AV142" s="220"/>
      <x:c r="AW142" s="220"/>
      <x:c r="AX142" s="220"/>
      <x:c r="AY142" s="221"/>
      <x:c r="AZ142" s="220"/>
      <x:c r="BA142" s="220" t="str">
        <x:f>IF(AND(A142="",B142="",F142="",H142="",J142="",AW142="",AY142=""),"",IF(OR(B142="skip",AW142="skip"),"SKIP",IF(OR(B142="to_candidate",AW142="proposed_name"),IF(OR(A142="",AX142="",AY142="",COUNTIF($A$6:$A$505,A142)&gt;1),"REVIEW","TO_PROPOSED"),IF(OR(B142="",A142="",F142="",H142="",J142="",U142="",AW142="",COUNTIF($A$6:$A$505,A142)&gt;1,(COUNTIFS('أرقام التواصل'!$A$6:$A$505,"client",'أرقام التواصل'!$B$6:$B$505,A142,'أرقام التواصل'!$I$6:$I$505,"TRUE")+COUNTIFS('أرقام التواصل'!$A$6:$A$505,"client",'أرقام التواصل'!$B$6:$B$505,A142,'أرقام التواصل'!$C$6:$C$505,1))=0),"REVIEW","READY"))))</x:f>
      </x:c>
      <x:c r="BB142" s="224" t="str">
        <x:f>IF(BA142="","",IF(OR(BA142="READY",BA142="TO_PROPOSED"),"",IF(BA142="SKIP","Skipped by decision",TRIM(IF(B142="","missing import_action; ","")&amp;IF(A142="","missing migration_customer_key; ","")&amp;IF(AND(A142&lt;&gt;"",COUNTIF($A$6:$A$505,A142)&gt;1),"duplicate migration_customer_key; ","")&amp;IF(AND(NOT(OR(B142="to_candidate",AW142="proposed_name")),F142=""),"missing branch_id; ","")&amp;IF(AND(NOT(OR(B142="to_candidate",AW142="proposed_name")),H142=""),"missing first_name; ","")&amp;IF(AND(NOT(OR(B142="to_candidate",AW142="proposed_name")),J142=""),"missing last_name; ","")&amp;IF(AND(NOT(OR(B142="to_candidate",AW142="proposed_name")),U142=""),"missing final_geo_unit_id; ","")&amp;IF(AW142="","missing final_destination; ","")&amp;IF(AND(NOT(OR(B142="to_candidate",AW142="proposed_name")),(COUNTIFS('أرقام التواصل'!$A$6:$A$505,"client",'أرقام التواصل'!$B$6:$B$505,A142,'أرقام التواصل'!$I$6:$I$505,"TRUE")+COUNTIFS('أرقام التواصل'!$A$6:$A$505,"client",'أرقام التواصل'!$B$6:$B$505,A142,'أرقام التواصل'!$C$6:$C$505,1))=0),"missing primary contact in أرقام التواصل; ","")&amp;IF(OR(B142="to_candidate",AW142="proposed_name"),IF(AX142="","missing proposed_move_reason; ","")&amp;IF(AY142="","missing proposed_name_key; ",""),"")))))</x:f>
      </x:c>
    </x:row>
    <x:row r="143">
      <x:c r="A143" s="219"/>
      <x:c r="B143" s="220"/>
      <x:c r="C143" s="221"/>
      <x:c r="D143" s="220"/>
      <x:c r="E143" s="222"/>
      <x:c r="F143" s="220"/>
      <x:c r="G143" s="220"/>
      <x:c r="H143" s="220"/>
      <x:c r="I143" s="220"/>
      <x:c r="J143" s="220"/>
      <x:c r="K143" s="220"/>
      <x:c r="L143" s="220" t="str">
        <x:f>IF(TRIM(H143&amp;" "&amp;I143&amp;" "&amp;J143&amp;IF(K143&lt;&gt;""," ("&amp;K143&amp;")",""))="","",TRIM(H143&amp;" "&amp;I143&amp;" "&amp;J143&amp;IF(K143&lt;&gt;""," ("&amp;K143&amp;")","")))</x:f>
      </x:c>
      <x:c r="M143" s="220"/>
      <x:c r="N143" s="220"/>
      <x:c r="O143" s="220"/>
      <x:c r="P143" s="220"/>
      <x:c r="Q143" s="220"/>
      <x:c r="R143" s="220"/>
      <x:c r="S143" s="220"/>
      <x:c r="T143" s="220"/>
      <x:c r="U143" s="220" t="str">
        <x:f>IF(AND(M143="",O143="",Q143="",S143=""),"",IF(S143&lt;&gt;"",S143,IF(Q143&lt;&gt;"",Q143,IF(O143&lt;&gt;"",O143,M143))))</x:f>
      </x:c>
      <x:c r="V143" s="220" t="str">
        <x:f>IF(AND(N143="",P143="",R143="",T143=""),"",IF(T143&lt;&gt;"",T143,IF(R143&lt;&gt;"",R143,IF(P143&lt;&gt;"",P143,N143))))</x:f>
      </x:c>
      <x:c r="W143" s="221"/>
      <x:c r="X143" s="220"/>
      <x:c r="Y143" s="220"/>
      <x:c r="Z143" s="223"/>
      <x:c r="AA143" s="223"/>
      <x:c r="AB143" s="221"/>
      <x:c r="AC143" s="220"/>
      <x:c r="AD143" s="220"/>
      <x:c r="AE143" s="222"/>
      <x:c r="AF143" s="220"/>
      <x:c r="AG143" s="221"/>
      <x:c r="AH143" s="220"/>
      <x:c r="AI143" s="220"/>
      <x:c r="AJ143" s="222"/>
      <x:c r="AK143" s="220"/>
      <x:c r="AL143" s="220"/>
      <x:c r="AM143" s="220"/>
      <x:c r="AN143" s="220"/>
      <x:c r="AO143" s="220"/>
      <x:c r="AP143" s="220"/>
      <x:c r="AQ143" s="220"/>
      <x:c r="AR143" s="222"/>
      <x:c r="AS143" s="220"/>
      <x:c r="AT143" s="220"/>
      <x:c r="AU143" s="220"/>
      <x:c r="AV143" s="220"/>
      <x:c r="AW143" s="220"/>
      <x:c r="AX143" s="220"/>
      <x:c r="AY143" s="221"/>
      <x:c r="AZ143" s="220"/>
      <x:c r="BA143" s="220" t="str">
        <x:f>IF(AND(A143="",B143="",F143="",H143="",J143="",AW143="",AY143=""),"",IF(OR(B143="skip",AW143="skip"),"SKIP",IF(OR(B143="to_candidate",AW143="proposed_name"),IF(OR(A143="",AX143="",AY143="",COUNTIF($A$6:$A$505,A143)&gt;1),"REVIEW","TO_PROPOSED"),IF(OR(B143="",A143="",F143="",H143="",J143="",U143="",AW143="",COUNTIF($A$6:$A$505,A143)&gt;1,(COUNTIFS('أرقام التواصل'!$A$6:$A$505,"client",'أرقام التواصل'!$B$6:$B$505,A143,'أرقام التواصل'!$I$6:$I$505,"TRUE")+COUNTIFS('أرقام التواصل'!$A$6:$A$505,"client",'أرقام التواصل'!$B$6:$B$505,A143,'أرقام التواصل'!$C$6:$C$505,1))=0),"REVIEW","READY"))))</x:f>
      </x:c>
      <x:c r="BB143" s="224" t="str">
        <x:f>IF(BA143="","",IF(OR(BA143="READY",BA143="TO_PROPOSED"),"",IF(BA143="SKIP","Skipped by decision",TRIM(IF(B143="","missing import_action; ","")&amp;IF(A143="","missing migration_customer_key; ","")&amp;IF(AND(A143&lt;&gt;"",COUNTIF($A$6:$A$505,A143)&gt;1),"duplicate migration_customer_key; ","")&amp;IF(AND(NOT(OR(B143="to_candidate",AW143="proposed_name")),F143=""),"missing branch_id; ","")&amp;IF(AND(NOT(OR(B143="to_candidate",AW143="proposed_name")),H143=""),"missing first_name; ","")&amp;IF(AND(NOT(OR(B143="to_candidate",AW143="proposed_name")),J143=""),"missing last_name; ","")&amp;IF(AND(NOT(OR(B143="to_candidate",AW143="proposed_name")),U143=""),"missing final_geo_unit_id; ","")&amp;IF(AW143="","missing final_destination; ","")&amp;IF(AND(NOT(OR(B143="to_candidate",AW143="proposed_name")),(COUNTIFS('أرقام التواصل'!$A$6:$A$505,"client",'أرقام التواصل'!$B$6:$B$505,A143,'أرقام التواصل'!$I$6:$I$505,"TRUE")+COUNTIFS('أرقام التواصل'!$A$6:$A$505,"client",'أرقام التواصل'!$B$6:$B$505,A143,'أرقام التواصل'!$C$6:$C$505,1))=0),"missing primary contact in أرقام التواصل; ","")&amp;IF(OR(B143="to_candidate",AW143="proposed_name"),IF(AX143="","missing proposed_move_reason; ","")&amp;IF(AY143="","missing proposed_name_key; ",""),"")))))</x:f>
      </x:c>
    </x:row>
    <x:row r="144">
      <x:c r="A144" s="219"/>
      <x:c r="B144" s="220"/>
      <x:c r="C144" s="221"/>
      <x:c r="D144" s="220"/>
      <x:c r="E144" s="222"/>
      <x:c r="F144" s="220"/>
      <x:c r="G144" s="220"/>
      <x:c r="H144" s="220"/>
      <x:c r="I144" s="220"/>
      <x:c r="J144" s="220"/>
      <x:c r="K144" s="220"/>
      <x:c r="L144" s="220" t="str">
        <x:f>IF(TRIM(H144&amp;" "&amp;I144&amp;" "&amp;J144&amp;IF(K144&lt;&gt;""," ("&amp;K144&amp;")",""))="","",TRIM(H144&amp;" "&amp;I144&amp;" "&amp;J144&amp;IF(K144&lt;&gt;""," ("&amp;K144&amp;")","")))</x:f>
      </x:c>
      <x:c r="M144" s="220"/>
      <x:c r="N144" s="220"/>
      <x:c r="O144" s="220"/>
      <x:c r="P144" s="220"/>
      <x:c r="Q144" s="220"/>
      <x:c r="R144" s="220"/>
      <x:c r="S144" s="220"/>
      <x:c r="T144" s="220"/>
      <x:c r="U144" s="220" t="str">
        <x:f>IF(AND(M144="",O144="",Q144="",S144=""),"",IF(S144&lt;&gt;"",S144,IF(Q144&lt;&gt;"",Q144,IF(O144&lt;&gt;"",O144,M144))))</x:f>
      </x:c>
      <x:c r="V144" s="220" t="str">
        <x:f>IF(AND(N144="",P144="",R144="",T144=""),"",IF(T144&lt;&gt;"",T144,IF(R144&lt;&gt;"",R144,IF(P144&lt;&gt;"",P144,N144))))</x:f>
      </x:c>
      <x:c r="W144" s="221"/>
      <x:c r="X144" s="220"/>
      <x:c r="Y144" s="220"/>
      <x:c r="Z144" s="223"/>
      <x:c r="AA144" s="223"/>
      <x:c r="AB144" s="221"/>
      <x:c r="AC144" s="220"/>
      <x:c r="AD144" s="220"/>
      <x:c r="AE144" s="222"/>
      <x:c r="AF144" s="220"/>
      <x:c r="AG144" s="221"/>
      <x:c r="AH144" s="220"/>
      <x:c r="AI144" s="220"/>
      <x:c r="AJ144" s="222"/>
      <x:c r="AK144" s="220"/>
      <x:c r="AL144" s="220"/>
      <x:c r="AM144" s="220"/>
      <x:c r="AN144" s="220"/>
      <x:c r="AO144" s="220"/>
      <x:c r="AP144" s="220"/>
      <x:c r="AQ144" s="220"/>
      <x:c r="AR144" s="222"/>
      <x:c r="AS144" s="220"/>
      <x:c r="AT144" s="220"/>
      <x:c r="AU144" s="220"/>
      <x:c r="AV144" s="220"/>
      <x:c r="AW144" s="220"/>
      <x:c r="AX144" s="220"/>
      <x:c r="AY144" s="221"/>
      <x:c r="AZ144" s="220"/>
      <x:c r="BA144" s="220" t="str">
        <x:f>IF(AND(A144="",B144="",F144="",H144="",J144="",AW144="",AY144=""),"",IF(OR(B144="skip",AW144="skip"),"SKIP",IF(OR(B144="to_candidate",AW144="proposed_name"),IF(OR(A144="",AX144="",AY144="",COUNTIF($A$6:$A$505,A144)&gt;1),"REVIEW","TO_PROPOSED"),IF(OR(B144="",A144="",F144="",H144="",J144="",U144="",AW144="",COUNTIF($A$6:$A$505,A144)&gt;1,(COUNTIFS('أرقام التواصل'!$A$6:$A$505,"client",'أرقام التواصل'!$B$6:$B$505,A144,'أرقام التواصل'!$I$6:$I$505,"TRUE")+COUNTIFS('أرقام التواصل'!$A$6:$A$505,"client",'أرقام التواصل'!$B$6:$B$505,A144,'أرقام التواصل'!$C$6:$C$505,1))=0),"REVIEW","READY"))))</x:f>
      </x:c>
      <x:c r="BB144" s="224" t="str">
        <x:f>IF(BA144="","",IF(OR(BA144="READY",BA144="TO_PROPOSED"),"",IF(BA144="SKIP","Skipped by decision",TRIM(IF(B144="","missing import_action; ","")&amp;IF(A144="","missing migration_customer_key; ","")&amp;IF(AND(A144&lt;&gt;"",COUNTIF($A$6:$A$505,A144)&gt;1),"duplicate migration_customer_key; ","")&amp;IF(AND(NOT(OR(B144="to_candidate",AW144="proposed_name")),F144=""),"missing branch_id; ","")&amp;IF(AND(NOT(OR(B144="to_candidate",AW144="proposed_name")),H144=""),"missing first_name; ","")&amp;IF(AND(NOT(OR(B144="to_candidate",AW144="proposed_name")),J144=""),"missing last_name; ","")&amp;IF(AND(NOT(OR(B144="to_candidate",AW144="proposed_name")),U144=""),"missing final_geo_unit_id; ","")&amp;IF(AW144="","missing final_destination; ","")&amp;IF(AND(NOT(OR(B144="to_candidate",AW144="proposed_name")),(COUNTIFS('أرقام التواصل'!$A$6:$A$505,"client",'أرقام التواصل'!$B$6:$B$505,A144,'أرقام التواصل'!$I$6:$I$505,"TRUE")+COUNTIFS('أرقام التواصل'!$A$6:$A$505,"client",'أرقام التواصل'!$B$6:$B$505,A144,'أرقام التواصل'!$C$6:$C$505,1))=0),"missing primary contact in أرقام التواصل; ","")&amp;IF(OR(B144="to_candidate",AW144="proposed_name"),IF(AX144="","missing proposed_move_reason; ","")&amp;IF(AY144="","missing proposed_name_key; ",""),"")))))</x:f>
      </x:c>
    </x:row>
    <x:row r="145">
      <x:c r="A145" s="219"/>
      <x:c r="B145" s="220"/>
      <x:c r="C145" s="221"/>
      <x:c r="D145" s="220"/>
      <x:c r="E145" s="222"/>
      <x:c r="F145" s="220"/>
      <x:c r="G145" s="220"/>
      <x:c r="H145" s="220"/>
      <x:c r="I145" s="220"/>
      <x:c r="J145" s="220"/>
      <x:c r="K145" s="220"/>
      <x:c r="L145" s="220" t="str">
        <x:f>IF(TRIM(H145&amp;" "&amp;I145&amp;" "&amp;J145&amp;IF(K145&lt;&gt;""," ("&amp;K145&amp;")",""))="","",TRIM(H145&amp;" "&amp;I145&amp;" "&amp;J145&amp;IF(K145&lt;&gt;""," ("&amp;K145&amp;")","")))</x:f>
      </x:c>
      <x:c r="M145" s="220"/>
      <x:c r="N145" s="220"/>
      <x:c r="O145" s="220"/>
      <x:c r="P145" s="220"/>
      <x:c r="Q145" s="220"/>
      <x:c r="R145" s="220"/>
      <x:c r="S145" s="220"/>
      <x:c r="T145" s="220"/>
      <x:c r="U145" s="220" t="str">
        <x:f>IF(AND(M145="",O145="",Q145="",S145=""),"",IF(S145&lt;&gt;"",S145,IF(Q145&lt;&gt;"",Q145,IF(O145&lt;&gt;"",O145,M145))))</x:f>
      </x:c>
      <x:c r="V145" s="220" t="str">
        <x:f>IF(AND(N145="",P145="",R145="",T145=""),"",IF(T145&lt;&gt;"",T145,IF(R145&lt;&gt;"",R145,IF(P145&lt;&gt;"",P145,N145))))</x:f>
      </x:c>
      <x:c r="W145" s="221"/>
      <x:c r="X145" s="220"/>
      <x:c r="Y145" s="220"/>
      <x:c r="Z145" s="223"/>
      <x:c r="AA145" s="223"/>
      <x:c r="AB145" s="221"/>
      <x:c r="AC145" s="220"/>
      <x:c r="AD145" s="220"/>
      <x:c r="AE145" s="222"/>
      <x:c r="AF145" s="220"/>
      <x:c r="AG145" s="221"/>
      <x:c r="AH145" s="220"/>
      <x:c r="AI145" s="220"/>
      <x:c r="AJ145" s="222"/>
      <x:c r="AK145" s="220"/>
      <x:c r="AL145" s="220"/>
      <x:c r="AM145" s="220"/>
      <x:c r="AN145" s="220"/>
      <x:c r="AO145" s="220"/>
      <x:c r="AP145" s="220"/>
      <x:c r="AQ145" s="220"/>
      <x:c r="AR145" s="222"/>
      <x:c r="AS145" s="220"/>
      <x:c r="AT145" s="220"/>
      <x:c r="AU145" s="220"/>
      <x:c r="AV145" s="220"/>
      <x:c r="AW145" s="220"/>
      <x:c r="AX145" s="220"/>
      <x:c r="AY145" s="221"/>
      <x:c r="AZ145" s="220"/>
      <x:c r="BA145" s="220" t="str">
        <x:f>IF(AND(A145="",B145="",F145="",H145="",J145="",AW145="",AY145=""),"",IF(OR(B145="skip",AW145="skip"),"SKIP",IF(OR(B145="to_candidate",AW145="proposed_name"),IF(OR(A145="",AX145="",AY145="",COUNTIF($A$6:$A$505,A145)&gt;1),"REVIEW","TO_PROPOSED"),IF(OR(B145="",A145="",F145="",H145="",J145="",U145="",AW145="",COUNTIF($A$6:$A$505,A145)&gt;1,(COUNTIFS('أرقام التواصل'!$A$6:$A$505,"client",'أرقام التواصل'!$B$6:$B$505,A145,'أرقام التواصل'!$I$6:$I$505,"TRUE")+COUNTIFS('أرقام التواصل'!$A$6:$A$505,"client",'أرقام التواصل'!$B$6:$B$505,A145,'أرقام التواصل'!$C$6:$C$505,1))=0),"REVIEW","READY"))))</x:f>
      </x:c>
      <x:c r="BB145" s="224" t="str">
        <x:f>IF(BA145="","",IF(OR(BA145="READY",BA145="TO_PROPOSED"),"",IF(BA145="SKIP","Skipped by decision",TRIM(IF(B145="","missing import_action; ","")&amp;IF(A145="","missing migration_customer_key; ","")&amp;IF(AND(A145&lt;&gt;"",COUNTIF($A$6:$A$505,A145)&gt;1),"duplicate migration_customer_key; ","")&amp;IF(AND(NOT(OR(B145="to_candidate",AW145="proposed_name")),F145=""),"missing branch_id; ","")&amp;IF(AND(NOT(OR(B145="to_candidate",AW145="proposed_name")),H145=""),"missing first_name; ","")&amp;IF(AND(NOT(OR(B145="to_candidate",AW145="proposed_name")),J145=""),"missing last_name; ","")&amp;IF(AND(NOT(OR(B145="to_candidate",AW145="proposed_name")),U145=""),"missing final_geo_unit_id; ","")&amp;IF(AW145="","missing final_destination; ","")&amp;IF(AND(NOT(OR(B145="to_candidate",AW145="proposed_name")),(COUNTIFS('أرقام التواصل'!$A$6:$A$505,"client",'أرقام التواصل'!$B$6:$B$505,A145,'أرقام التواصل'!$I$6:$I$505,"TRUE")+COUNTIFS('أرقام التواصل'!$A$6:$A$505,"client",'أرقام التواصل'!$B$6:$B$505,A145,'أرقام التواصل'!$C$6:$C$505,1))=0),"missing primary contact in أرقام التواصل; ","")&amp;IF(OR(B145="to_candidate",AW145="proposed_name"),IF(AX145="","missing proposed_move_reason; ","")&amp;IF(AY145="","missing proposed_name_key; ",""),"")))))</x:f>
      </x:c>
    </x:row>
    <x:row r="146">
      <x:c r="A146" s="219"/>
      <x:c r="B146" s="220"/>
      <x:c r="C146" s="221"/>
      <x:c r="D146" s="220"/>
      <x:c r="E146" s="222"/>
      <x:c r="F146" s="220"/>
      <x:c r="G146" s="220"/>
      <x:c r="H146" s="220"/>
      <x:c r="I146" s="220"/>
      <x:c r="J146" s="220"/>
      <x:c r="K146" s="220"/>
      <x:c r="L146" s="220" t="str">
        <x:f>IF(TRIM(H146&amp;" "&amp;I146&amp;" "&amp;J146&amp;IF(K146&lt;&gt;""," ("&amp;K146&amp;")",""))="","",TRIM(H146&amp;" "&amp;I146&amp;" "&amp;J146&amp;IF(K146&lt;&gt;""," ("&amp;K146&amp;")","")))</x:f>
      </x:c>
      <x:c r="M146" s="220"/>
      <x:c r="N146" s="220"/>
      <x:c r="O146" s="220"/>
      <x:c r="P146" s="220"/>
      <x:c r="Q146" s="220"/>
      <x:c r="R146" s="220"/>
      <x:c r="S146" s="220"/>
      <x:c r="T146" s="220"/>
      <x:c r="U146" s="220" t="str">
        <x:f>IF(AND(M146="",O146="",Q146="",S146=""),"",IF(S146&lt;&gt;"",S146,IF(Q146&lt;&gt;"",Q146,IF(O146&lt;&gt;"",O146,M146))))</x:f>
      </x:c>
      <x:c r="V146" s="220" t="str">
        <x:f>IF(AND(N146="",P146="",R146="",T146=""),"",IF(T146&lt;&gt;"",T146,IF(R146&lt;&gt;"",R146,IF(P146&lt;&gt;"",P146,N146))))</x:f>
      </x:c>
      <x:c r="W146" s="221"/>
      <x:c r="X146" s="220"/>
      <x:c r="Y146" s="220"/>
      <x:c r="Z146" s="223"/>
      <x:c r="AA146" s="223"/>
      <x:c r="AB146" s="221"/>
      <x:c r="AC146" s="220"/>
      <x:c r="AD146" s="220"/>
      <x:c r="AE146" s="222"/>
      <x:c r="AF146" s="220"/>
      <x:c r="AG146" s="221"/>
      <x:c r="AH146" s="220"/>
      <x:c r="AI146" s="220"/>
      <x:c r="AJ146" s="222"/>
      <x:c r="AK146" s="220"/>
      <x:c r="AL146" s="220"/>
      <x:c r="AM146" s="220"/>
      <x:c r="AN146" s="220"/>
      <x:c r="AO146" s="220"/>
      <x:c r="AP146" s="220"/>
      <x:c r="AQ146" s="220"/>
      <x:c r="AR146" s="222"/>
      <x:c r="AS146" s="220"/>
      <x:c r="AT146" s="220"/>
      <x:c r="AU146" s="220"/>
      <x:c r="AV146" s="220"/>
      <x:c r="AW146" s="220"/>
      <x:c r="AX146" s="220"/>
      <x:c r="AY146" s="221"/>
      <x:c r="AZ146" s="220"/>
      <x:c r="BA146" s="220" t="str">
        <x:f>IF(AND(A146="",B146="",F146="",H146="",J146="",AW146="",AY146=""),"",IF(OR(B146="skip",AW146="skip"),"SKIP",IF(OR(B146="to_candidate",AW146="proposed_name"),IF(OR(A146="",AX146="",AY146="",COUNTIF($A$6:$A$505,A146)&gt;1),"REVIEW","TO_PROPOSED"),IF(OR(B146="",A146="",F146="",H146="",J146="",U146="",AW146="",COUNTIF($A$6:$A$505,A146)&gt;1,(COUNTIFS('أرقام التواصل'!$A$6:$A$505,"client",'أرقام التواصل'!$B$6:$B$505,A146,'أرقام التواصل'!$I$6:$I$505,"TRUE")+COUNTIFS('أرقام التواصل'!$A$6:$A$505,"client",'أرقام التواصل'!$B$6:$B$505,A146,'أرقام التواصل'!$C$6:$C$505,1))=0),"REVIEW","READY"))))</x:f>
      </x:c>
      <x:c r="BB146" s="224" t="str">
        <x:f>IF(BA146="","",IF(OR(BA146="READY",BA146="TO_PROPOSED"),"",IF(BA146="SKIP","Skipped by decision",TRIM(IF(B146="","missing import_action; ","")&amp;IF(A146="","missing migration_customer_key; ","")&amp;IF(AND(A146&lt;&gt;"",COUNTIF($A$6:$A$505,A146)&gt;1),"duplicate migration_customer_key; ","")&amp;IF(AND(NOT(OR(B146="to_candidate",AW146="proposed_name")),F146=""),"missing branch_id; ","")&amp;IF(AND(NOT(OR(B146="to_candidate",AW146="proposed_name")),H146=""),"missing first_name; ","")&amp;IF(AND(NOT(OR(B146="to_candidate",AW146="proposed_name")),J146=""),"missing last_name; ","")&amp;IF(AND(NOT(OR(B146="to_candidate",AW146="proposed_name")),U146=""),"missing final_geo_unit_id; ","")&amp;IF(AW146="","missing final_destination; ","")&amp;IF(AND(NOT(OR(B146="to_candidate",AW146="proposed_name")),(COUNTIFS('أرقام التواصل'!$A$6:$A$505,"client",'أرقام التواصل'!$B$6:$B$505,A146,'أرقام التواصل'!$I$6:$I$505,"TRUE")+COUNTIFS('أرقام التواصل'!$A$6:$A$505,"client",'أرقام التواصل'!$B$6:$B$505,A146,'أرقام التواصل'!$C$6:$C$505,1))=0),"missing primary contact in أرقام التواصل; ","")&amp;IF(OR(B146="to_candidate",AW146="proposed_name"),IF(AX146="","missing proposed_move_reason; ","")&amp;IF(AY146="","missing proposed_name_key; ",""),"")))))</x:f>
      </x:c>
    </x:row>
    <x:row r="147">
      <x:c r="A147" s="219"/>
      <x:c r="B147" s="220"/>
      <x:c r="C147" s="221"/>
      <x:c r="D147" s="220"/>
      <x:c r="E147" s="222"/>
      <x:c r="F147" s="220"/>
      <x:c r="G147" s="220"/>
      <x:c r="H147" s="220"/>
      <x:c r="I147" s="220"/>
      <x:c r="J147" s="220"/>
      <x:c r="K147" s="220"/>
      <x:c r="L147" s="220" t="str">
        <x:f>IF(TRIM(H147&amp;" "&amp;I147&amp;" "&amp;J147&amp;IF(K147&lt;&gt;""," ("&amp;K147&amp;")",""))="","",TRIM(H147&amp;" "&amp;I147&amp;" "&amp;J147&amp;IF(K147&lt;&gt;""," ("&amp;K147&amp;")","")))</x:f>
      </x:c>
      <x:c r="M147" s="220"/>
      <x:c r="N147" s="220"/>
      <x:c r="O147" s="220"/>
      <x:c r="P147" s="220"/>
      <x:c r="Q147" s="220"/>
      <x:c r="R147" s="220"/>
      <x:c r="S147" s="220"/>
      <x:c r="T147" s="220"/>
      <x:c r="U147" s="220" t="str">
        <x:f>IF(AND(M147="",O147="",Q147="",S147=""),"",IF(S147&lt;&gt;"",S147,IF(Q147&lt;&gt;"",Q147,IF(O147&lt;&gt;"",O147,M147))))</x:f>
      </x:c>
      <x:c r="V147" s="220" t="str">
        <x:f>IF(AND(N147="",P147="",R147="",T147=""),"",IF(T147&lt;&gt;"",T147,IF(R147&lt;&gt;"",R147,IF(P147&lt;&gt;"",P147,N147))))</x:f>
      </x:c>
      <x:c r="W147" s="221"/>
      <x:c r="X147" s="220"/>
      <x:c r="Y147" s="220"/>
      <x:c r="Z147" s="223"/>
      <x:c r="AA147" s="223"/>
      <x:c r="AB147" s="221"/>
      <x:c r="AC147" s="220"/>
      <x:c r="AD147" s="220"/>
      <x:c r="AE147" s="222"/>
      <x:c r="AF147" s="220"/>
      <x:c r="AG147" s="221"/>
      <x:c r="AH147" s="220"/>
      <x:c r="AI147" s="220"/>
      <x:c r="AJ147" s="222"/>
      <x:c r="AK147" s="220"/>
      <x:c r="AL147" s="220"/>
      <x:c r="AM147" s="220"/>
      <x:c r="AN147" s="220"/>
      <x:c r="AO147" s="220"/>
      <x:c r="AP147" s="220"/>
      <x:c r="AQ147" s="220"/>
      <x:c r="AR147" s="222"/>
      <x:c r="AS147" s="220"/>
      <x:c r="AT147" s="220"/>
      <x:c r="AU147" s="220"/>
      <x:c r="AV147" s="220"/>
      <x:c r="AW147" s="220"/>
      <x:c r="AX147" s="220"/>
      <x:c r="AY147" s="221"/>
      <x:c r="AZ147" s="220"/>
      <x:c r="BA147" s="220" t="str">
        <x:f>IF(AND(A147="",B147="",F147="",H147="",J147="",AW147="",AY147=""),"",IF(OR(B147="skip",AW147="skip"),"SKIP",IF(OR(B147="to_candidate",AW147="proposed_name"),IF(OR(A147="",AX147="",AY147="",COUNTIF($A$6:$A$505,A147)&gt;1),"REVIEW","TO_PROPOSED"),IF(OR(B147="",A147="",F147="",H147="",J147="",U147="",AW147="",COUNTIF($A$6:$A$505,A147)&gt;1,(COUNTIFS('أرقام التواصل'!$A$6:$A$505,"client",'أرقام التواصل'!$B$6:$B$505,A147,'أرقام التواصل'!$I$6:$I$505,"TRUE")+COUNTIFS('أرقام التواصل'!$A$6:$A$505,"client",'أرقام التواصل'!$B$6:$B$505,A147,'أرقام التواصل'!$C$6:$C$505,1))=0),"REVIEW","READY"))))</x:f>
      </x:c>
      <x:c r="BB147" s="224" t="str">
        <x:f>IF(BA147="","",IF(OR(BA147="READY",BA147="TO_PROPOSED"),"",IF(BA147="SKIP","Skipped by decision",TRIM(IF(B147="","missing import_action; ","")&amp;IF(A147="","missing migration_customer_key; ","")&amp;IF(AND(A147&lt;&gt;"",COUNTIF($A$6:$A$505,A147)&gt;1),"duplicate migration_customer_key; ","")&amp;IF(AND(NOT(OR(B147="to_candidate",AW147="proposed_name")),F147=""),"missing branch_id; ","")&amp;IF(AND(NOT(OR(B147="to_candidate",AW147="proposed_name")),H147=""),"missing first_name; ","")&amp;IF(AND(NOT(OR(B147="to_candidate",AW147="proposed_name")),J147=""),"missing last_name; ","")&amp;IF(AND(NOT(OR(B147="to_candidate",AW147="proposed_name")),U147=""),"missing final_geo_unit_id; ","")&amp;IF(AW147="","missing final_destination; ","")&amp;IF(AND(NOT(OR(B147="to_candidate",AW147="proposed_name")),(COUNTIFS('أرقام التواصل'!$A$6:$A$505,"client",'أرقام التواصل'!$B$6:$B$505,A147,'أرقام التواصل'!$I$6:$I$505,"TRUE")+COUNTIFS('أرقام التواصل'!$A$6:$A$505,"client",'أرقام التواصل'!$B$6:$B$505,A147,'أرقام التواصل'!$C$6:$C$505,1))=0),"missing primary contact in أرقام التواصل; ","")&amp;IF(OR(B147="to_candidate",AW147="proposed_name"),IF(AX147="","missing proposed_move_reason; ","")&amp;IF(AY147="","missing proposed_name_key; ",""),"")))))</x:f>
      </x:c>
    </x:row>
    <x:row r="148">
      <x:c r="A148" s="219"/>
      <x:c r="B148" s="220"/>
      <x:c r="C148" s="221"/>
      <x:c r="D148" s="220"/>
      <x:c r="E148" s="222"/>
      <x:c r="F148" s="220"/>
      <x:c r="G148" s="220"/>
      <x:c r="H148" s="220"/>
      <x:c r="I148" s="220"/>
      <x:c r="J148" s="220"/>
      <x:c r="K148" s="220"/>
      <x:c r="L148" s="220" t="str">
        <x:f>IF(TRIM(H148&amp;" "&amp;I148&amp;" "&amp;J148&amp;IF(K148&lt;&gt;""," ("&amp;K148&amp;")",""))="","",TRIM(H148&amp;" "&amp;I148&amp;" "&amp;J148&amp;IF(K148&lt;&gt;""," ("&amp;K148&amp;")","")))</x:f>
      </x:c>
      <x:c r="M148" s="220"/>
      <x:c r="N148" s="220"/>
      <x:c r="O148" s="220"/>
      <x:c r="P148" s="220"/>
      <x:c r="Q148" s="220"/>
      <x:c r="R148" s="220"/>
      <x:c r="S148" s="220"/>
      <x:c r="T148" s="220"/>
      <x:c r="U148" s="220" t="str">
        <x:f>IF(AND(M148="",O148="",Q148="",S148=""),"",IF(S148&lt;&gt;"",S148,IF(Q148&lt;&gt;"",Q148,IF(O148&lt;&gt;"",O148,M148))))</x:f>
      </x:c>
      <x:c r="V148" s="220" t="str">
        <x:f>IF(AND(N148="",P148="",R148="",T148=""),"",IF(T148&lt;&gt;"",T148,IF(R148&lt;&gt;"",R148,IF(P148&lt;&gt;"",P148,N148))))</x:f>
      </x:c>
      <x:c r="W148" s="221"/>
      <x:c r="X148" s="220"/>
      <x:c r="Y148" s="220"/>
      <x:c r="Z148" s="223"/>
      <x:c r="AA148" s="223"/>
      <x:c r="AB148" s="221"/>
      <x:c r="AC148" s="220"/>
      <x:c r="AD148" s="220"/>
      <x:c r="AE148" s="222"/>
      <x:c r="AF148" s="220"/>
      <x:c r="AG148" s="221"/>
      <x:c r="AH148" s="220"/>
      <x:c r="AI148" s="220"/>
      <x:c r="AJ148" s="222"/>
      <x:c r="AK148" s="220"/>
      <x:c r="AL148" s="220"/>
      <x:c r="AM148" s="220"/>
      <x:c r="AN148" s="220"/>
      <x:c r="AO148" s="220"/>
      <x:c r="AP148" s="220"/>
      <x:c r="AQ148" s="220"/>
      <x:c r="AR148" s="222"/>
      <x:c r="AS148" s="220"/>
      <x:c r="AT148" s="220"/>
      <x:c r="AU148" s="220"/>
      <x:c r="AV148" s="220"/>
      <x:c r="AW148" s="220"/>
      <x:c r="AX148" s="220"/>
      <x:c r="AY148" s="221"/>
      <x:c r="AZ148" s="220"/>
      <x:c r="BA148" s="220" t="str">
        <x:f>IF(AND(A148="",B148="",F148="",H148="",J148="",AW148="",AY148=""),"",IF(OR(B148="skip",AW148="skip"),"SKIP",IF(OR(B148="to_candidate",AW148="proposed_name"),IF(OR(A148="",AX148="",AY148="",COUNTIF($A$6:$A$505,A148)&gt;1),"REVIEW","TO_PROPOSED"),IF(OR(B148="",A148="",F148="",H148="",J148="",U148="",AW148="",COUNTIF($A$6:$A$505,A148)&gt;1,(COUNTIFS('أرقام التواصل'!$A$6:$A$505,"client",'أرقام التواصل'!$B$6:$B$505,A148,'أرقام التواصل'!$I$6:$I$505,"TRUE")+COUNTIFS('أرقام التواصل'!$A$6:$A$505,"client",'أرقام التواصل'!$B$6:$B$505,A148,'أرقام التواصل'!$C$6:$C$505,1))=0),"REVIEW","READY"))))</x:f>
      </x:c>
      <x:c r="BB148" s="224" t="str">
        <x:f>IF(BA148="","",IF(OR(BA148="READY",BA148="TO_PROPOSED"),"",IF(BA148="SKIP","Skipped by decision",TRIM(IF(B148="","missing import_action; ","")&amp;IF(A148="","missing migration_customer_key; ","")&amp;IF(AND(A148&lt;&gt;"",COUNTIF($A$6:$A$505,A148)&gt;1),"duplicate migration_customer_key; ","")&amp;IF(AND(NOT(OR(B148="to_candidate",AW148="proposed_name")),F148=""),"missing branch_id; ","")&amp;IF(AND(NOT(OR(B148="to_candidate",AW148="proposed_name")),H148=""),"missing first_name; ","")&amp;IF(AND(NOT(OR(B148="to_candidate",AW148="proposed_name")),J148=""),"missing last_name; ","")&amp;IF(AND(NOT(OR(B148="to_candidate",AW148="proposed_name")),U148=""),"missing final_geo_unit_id; ","")&amp;IF(AW148="","missing final_destination; ","")&amp;IF(AND(NOT(OR(B148="to_candidate",AW148="proposed_name")),(COUNTIFS('أرقام التواصل'!$A$6:$A$505,"client",'أرقام التواصل'!$B$6:$B$505,A148,'أرقام التواصل'!$I$6:$I$505,"TRUE")+COUNTIFS('أرقام التواصل'!$A$6:$A$505,"client",'أرقام التواصل'!$B$6:$B$505,A148,'أرقام التواصل'!$C$6:$C$505,1))=0),"missing primary contact in أرقام التواصل; ","")&amp;IF(OR(B148="to_candidate",AW148="proposed_name"),IF(AX148="","missing proposed_move_reason; ","")&amp;IF(AY148="","missing proposed_name_key; ",""),"")))))</x:f>
      </x:c>
    </x:row>
    <x:row r="149">
      <x:c r="A149" s="219"/>
      <x:c r="B149" s="220"/>
      <x:c r="C149" s="221"/>
      <x:c r="D149" s="220"/>
      <x:c r="E149" s="222"/>
      <x:c r="F149" s="220"/>
      <x:c r="G149" s="220"/>
      <x:c r="H149" s="220"/>
      <x:c r="I149" s="220"/>
      <x:c r="J149" s="220"/>
      <x:c r="K149" s="220"/>
      <x:c r="L149" s="220" t="str">
        <x:f>IF(TRIM(H149&amp;" "&amp;I149&amp;" "&amp;J149&amp;IF(K149&lt;&gt;""," ("&amp;K149&amp;")",""))="","",TRIM(H149&amp;" "&amp;I149&amp;" "&amp;J149&amp;IF(K149&lt;&gt;""," ("&amp;K149&amp;")","")))</x:f>
      </x:c>
      <x:c r="M149" s="220"/>
      <x:c r="N149" s="220"/>
      <x:c r="O149" s="220"/>
      <x:c r="P149" s="220"/>
      <x:c r="Q149" s="220"/>
      <x:c r="R149" s="220"/>
      <x:c r="S149" s="220"/>
      <x:c r="T149" s="220"/>
      <x:c r="U149" s="220" t="str">
        <x:f>IF(AND(M149="",O149="",Q149="",S149=""),"",IF(S149&lt;&gt;"",S149,IF(Q149&lt;&gt;"",Q149,IF(O149&lt;&gt;"",O149,M149))))</x:f>
      </x:c>
      <x:c r="V149" s="220" t="str">
        <x:f>IF(AND(N149="",P149="",R149="",T149=""),"",IF(T149&lt;&gt;"",T149,IF(R149&lt;&gt;"",R149,IF(P149&lt;&gt;"",P149,N149))))</x:f>
      </x:c>
      <x:c r="W149" s="221"/>
      <x:c r="X149" s="220"/>
      <x:c r="Y149" s="220"/>
      <x:c r="Z149" s="223"/>
      <x:c r="AA149" s="223"/>
      <x:c r="AB149" s="221"/>
      <x:c r="AC149" s="220"/>
      <x:c r="AD149" s="220"/>
      <x:c r="AE149" s="222"/>
      <x:c r="AF149" s="220"/>
      <x:c r="AG149" s="221"/>
      <x:c r="AH149" s="220"/>
      <x:c r="AI149" s="220"/>
      <x:c r="AJ149" s="222"/>
      <x:c r="AK149" s="220"/>
      <x:c r="AL149" s="220"/>
      <x:c r="AM149" s="220"/>
      <x:c r="AN149" s="220"/>
      <x:c r="AO149" s="220"/>
      <x:c r="AP149" s="220"/>
      <x:c r="AQ149" s="220"/>
      <x:c r="AR149" s="222"/>
      <x:c r="AS149" s="220"/>
      <x:c r="AT149" s="220"/>
      <x:c r="AU149" s="220"/>
      <x:c r="AV149" s="220"/>
      <x:c r="AW149" s="220"/>
      <x:c r="AX149" s="220"/>
      <x:c r="AY149" s="221"/>
      <x:c r="AZ149" s="220"/>
      <x:c r="BA149" s="220" t="str">
        <x:f>IF(AND(A149="",B149="",F149="",H149="",J149="",AW149="",AY149=""),"",IF(OR(B149="skip",AW149="skip"),"SKIP",IF(OR(B149="to_candidate",AW149="proposed_name"),IF(OR(A149="",AX149="",AY149="",COUNTIF($A$6:$A$505,A149)&gt;1),"REVIEW","TO_PROPOSED"),IF(OR(B149="",A149="",F149="",H149="",J149="",U149="",AW149="",COUNTIF($A$6:$A$505,A149)&gt;1,(COUNTIFS('أرقام التواصل'!$A$6:$A$505,"client",'أرقام التواصل'!$B$6:$B$505,A149,'أرقام التواصل'!$I$6:$I$505,"TRUE")+COUNTIFS('أرقام التواصل'!$A$6:$A$505,"client",'أرقام التواصل'!$B$6:$B$505,A149,'أرقام التواصل'!$C$6:$C$505,1))=0),"REVIEW","READY"))))</x:f>
      </x:c>
      <x:c r="BB149" s="224" t="str">
        <x:f>IF(BA149="","",IF(OR(BA149="READY",BA149="TO_PROPOSED"),"",IF(BA149="SKIP","Skipped by decision",TRIM(IF(B149="","missing import_action; ","")&amp;IF(A149="","missing migration_customer_key; ","")&amp;IF(AND(A149&lt;&gt;"",COUNTIF($A$6:$A$505,A149)&gt;1),"duplicate migration_customer_key; ","")&amp;IF(AND(NOT(OR(B149="to_candidate",AW149="proposed_name")),F149=""),"missing branch_id; ","")&amp;IF(AND(NOT(OR(B149="to_candidate",AW149="proposed_name")),H149=""),"missing first_name; ","")&amp;IF(AND(NOT(OR(B149="to_candidate",AW149="proposed_name")),J149=""),"missing last_name; ","")&amp;IF(AND(NOT(OR(B149="to_candidate",AW149="proposed_name")),U149=""),"missing final_geo_unit_id; ","")&amp;IF(AW149="","missing final_destination; ","")&amp;IF(AND(NOT(OR(B149="to_candidate",AW149="proposed_name")),(COUNTIFS('أرقام التواصل'!$A$6:$A$505,"client",'أرقام التواصل'!$B$6:$B$505,A149,'أرقام التواصل'!$I$6:$I$505,"TRUE")+COUNTIFS('أرقام التواصل'!$A$6:$A$505,"client",'أرقام التواصل'!$B$6:$B$505,A149,'أرقام التواصل'!$C$6:$C$505,1))=0),"missing primary contact in أرقام التواصل; ","")&amp;IF(OR(B149="to_candidate",AW149="proposed_name"),IF(AX149="","missing proposed_move_reason; ","")&amp;IF(AY149="","missing proposed_name_key; ",""),"")))))</x:f>
      </x:c>
    </x:row>
    <x:row r="150">
      <x:c r="A150" s="219"/>
      <x:c r="B150" s="220"/>
      <x:c r="C150" s="221"/>
      <x:c r="D150" s="220"/>
      <x:c r="E150" s="222"/>
      <x:c r="F150" s="220"/>
      <x:c r="G150" s="220"/>
      <x:c r="H150" s="220"/>
      <x:c r="I150" s="220"/>
      <x:c r="J150" s="220"/>
      <x:c r="K150" s="220"/>
      <x:c r="L150" s="220" t="str">
        <x:f>IF(TRIM(H150&amp;" "&amp;I150&amp;" "&amp;J150&amp;IF(K150&lt;&gt;""," ("&amp;K150&amp;")",""))="","",TRIM(H150&amp;" "&amp;I150&amp;" "&amp;J150&amp;IF(K150&lt;&gt;""," ("&amp;K150&amp;")","")))</x:f>
      </x:c>
      <x:c r="M150" s="220"/>
      <x:c r="N150" s="220"/>
      <x:c r="O150" s="220"/>
      <x:c r="P150" s="220"/>
      <x:c r="Q150" s="220"/>
      <x:c r="R150" s="220"/>
      <x:c r="S150" s="220"/>
      <x:c r="T150" s="220"/>
      <x:c r="U150" s="220" t="str">
        <x:f>IF(AND(M150="",O150="",Q150="",S150=""),"",IF(S150&lt;&gt;"",S150,IF(Q150&lt;&gt;"",Q150,IF(O150&lt;&gt;"",O150,M150))))</x:f>
      </x:c>
      <x:c r="V150" s="220" t="str">
        <x:f>IF(AND(N150="",P150="",R150="",T150=""),"",IF(T150&lt;&gt;"",T150,IF(R150&lt;&gt;"",R150,IF(P150&lt;&gt;"",P150,N150))))</x:f>
      </x:c>
      <x:c r="W150" s="221"/>
      <x:c r="X150" s="220"/>
      <x:c r="Y150" s="220"/>
      <x:c r="Z150" s="223"/>
      <x:c r="AA150" s="223"/>
      <x:c r="AB150" s="221"/>
      <x:c r="AC150" s="220"/>
      <x:c r="AD150" s="220"/>
      <x:c r="AE150" s="222"/>
      <x:c r="AF150" s="220"/>
      <x:c r="AG150" s="221"/>
      <x:c r="AH150" s="220"/>
      <x:c r="AI150" s="220"/>
      <x:c r="AJ150" s="222"/>
      <x:c r="AK150" s="220"/>
      <x:c r="AL150" s="220"/>
      <x:c r="AM150" s="220"/>
      <x:c r="AN150" s="220"/>
      <x:c r="AO150" s="220"/>
      <x:c r="AP150" s="220"/>
      <x:c r="AQ150" s="220"/>
      <x:c r="AR150" s="222"/>
      <x:c r="AS150" s="220"/>
      <x:c r="AT150" s="220"/>
      <x:c r="AU150" s="220"/>
      <x:c r="AV150" s="220"/>
      <x:c r="AW150" s="220"/>
      <x:c r="AX150" s="220"/>
      <x:c r="AY150" s="221"/>
      <x:c r="AZ150" s="220"/>
      <x:c r="BA150" s="220" t="str">
        <x:f>IF(AND(A150="",B150="",F150="",H150="",J150="",AW150="",AY150=""),"",IF(OR(B150="skip",AW150="skip"),"SKIP",IF(OR(B150="to_candidate",AW150="proposed_name"),IF(OR(A150="",AX150="",AY150="",COUNTIF($A$6:$A$505,A150)&gt;1),"REVIEW","TO_PROPOSED"),IF(OR(B150="",A150="",F150="",H150="",J150="",U150="",AW150="",COUNTIF($A$6:$A$505,A150)&gt;1,(COUNTIFS('أرقام التواصل'!$A$6:$A$505,"client",'أرقام التواصل'!$B$6:$B$505,A150,'أرقام التواصل'!$I$6:$I$505,"TRUE")+COUNTIFS('أرقام التواصل'!$A$6:$A$505,"client",'أرقام التواصل'!$B$6:$B$505,A150,'أرقام التواصل'!$C$6:$C$505,1))=0),"REVIEW","READY"))))</x:f>
      </x:c>
      <x:c r="BB150" s="224" t="str">
        <x:f>IF(BA150="","",IF(OR(BA150="READY",BA150="TO_PROPOSED"),"",IF(BA150="SKIP","Skipped by decision",TRIM(IF(B150="","missing import_action; ","")&amp;IF(A150="","missing migration_customer_key; ","")&amp;IF(AND(A150&lt;&gt;"",COUNTIF($A$6:$A$505,A150)&gt;1),"duplicate migration_customer_key; ","")&amp;IF(AND(NOT(OR(B150="to_candidate",AW150="proposed_name")),F150=""),"missing branch_id; ","")&amp;IF(AND(NOT(OR(B150="to_candidate",AW150="proposed_name")),H150=""),"missing first_name; ","")&amp;IF(AND(NOT(OR(B150="to_candidate",AW150="proposed_name")),J150=""),"missing last_name; ","")&amp;IF(AND(NOT(OR(B150="to_candidate",AW150="proposed_name")),U150=""),"missing final_geo_unit_id; ","")&amp;IF(AW150="","missing final_destination; ","")&amp;IF(AND(NOT(OR(B150="to_candidate",AW150="proposed_name")),(COUNTIFS('أرقام التواصل'!$A$6:$A$505,"client",'أرقام التواصل'!$B$6:$B$505,A150,'أرقام التواصل'!$I$6:$I$505,"TRUE")+COUNTIFS('أرقام التواصل'!$A$6:$A$505,"client",'أرقام التواصل'!$B$6:$B$505,A150,'أرقام التواصل'!$C$6:$C$505,1))=0),"missing primary contact in أرقام التواصل; ","")&amp;IF(OR(B150="to_candidate",AW150="proposed_name"),IF(AX150="","missing proposed_move_reason; ","")&amp;IF(AY150="","missing proposed_name_key; ",""),"")))))</x:f>
      </x:c>
    </x:row>
    <x:row r="151">
      <x:c r="A151" s="219"/>
      <x:c r="B151" s="220"/>
      <x:c r="C151" s="221"/>
      <x:c r="D151" s="220"/>
      <x:c r="E151" s="222"/>
      <x:c r="F151" s="220"/>
      <x:c r="G151" s="220"/>
      <x:c r="H151" s="220"/>
      <x:c r="I151" s="220"/>
      <x:c r="J151" s="220"/>
      <x:c r="K151" s="220"/>
      <x:c r="L151" s="220" t="str">
        <x:f>IF(TRIM(H151&amp;" "&amp;I151&amp;" "&amp;J151&amp;IF(K151&lt;&gt;""," ("&amp;K151&amp;")",""))="","",TRIM(H151&amp;" "&amp;I151&amp;" "&amp;J151&amp;IF(K151&lt;&gt;""," ("&amp;K151&amp;")","")))</x:f>
      </x:c>
      <x:c r="M151" s="220"/>
      <x:c r="N151" s="220"/>
      <x:c r="O151" s="220"/>
      <x:c r="P151" s="220"/>
      <x:c r="Q151" s="220"/>
      <x:c r="R151" s="220"/>
      <x:c r="S151" s="220"/>
      <x:c r="T151" s="220"/>
      <x:c r="U151" s="220" t="str">
        <x:f>IF(AND(M151="",O151="",Q151="",S151=""),"",IF(S151&lt;&gt;"",S151,IF(Q151&lt;&gt;"",Q151,IF(O151&lt;&gt;"",O151,M151))))</x:f>
      </x:c>
      <x:c r="V151" s="220" t="str">
        <x:f>IF(AND(N151="",P151="",R151="",T151=""),"",IF(T151&lt;&gt;"",T151,IF(R151&lt;&gt;"",R151,IF(P151&lt;&gt;"",P151,N151))))</x:f>
      </x:c>
      <x:c r="W151" s="221"/>
      <x:c r="X151" s="220"/>
      <x:c r="Y151" s="220"/>
      <x:c r="Z151" s="223"/>
      <x:c r="AA151" s="223"/>
      <x:c r="AB151" s="221"/>
      <x:c r="AC151" s="220"/>
      <x:c r="AD151" s="220"/>
      <x:c r="AE151" s="222"/>
      <x:c r="AF151" s="220"/>
      <x:c r="AG151" s="221"/>
      <x:c r="AH151" s="220"/>
      <x:c r="AI151" s="220"/>
      <x:c r="AJ151" s="222"/>
      <x:c r="AK151" s="220"/>
      <x:c r="AL151" s="220"/>
      <x:c r="AM151" s="220"/>
      <x:c r="AN151" s="220"/>
      <x:c r="AO151" s="220"/>
      <x:c r="AP151" s="220"/>
      <x:c r="AQ151" s="220"/>
      <x:c r="AR151" s="222"/>
      <x:c r="AS151" s="220"/>
      <x:c r="AT151" s="220"/>
      <x:c r="AU151" s="220"/>
      <x:c r="AV151" s="220"/>
      <x:c r="AW151" s="220"/>
      <x:c r="AX151" s="220"/>
      <x:c r="AY151" s="221"/>
      <x:c r="AZ151" s="220"/>
      <x:c r="BA151" s="220" t="str">
        <x:f>IF(AND(A151="",B151="",F151="",H151="",J151="",AW151="",AY151=""),"",IF(OR(B151="skip",AW151="skip"),"SKIP",IF(OR(B151="to_candidate",AW151="proposed_name"),IF(OR(A151="",AX151="",AY151="",COUNTIF($A$6:$A$505,A151)&gt;1),"REVIEW","TO_PROPOSED"),IF(OR(B151="",A151="",F151="",H151="",J151="",U151="",AW151="",COUNTIF($A$6:$A$505,A151)&gt;1,(COUNTIFS('أرقام التواصل'!$A$6:$A$505,"client",'أرقام التواصل'!$B$6:$B$505,A151,'أرقام التواصل'!$I$6:$I$505,"TRUE")+COUNTIFS('أرقام التواصل'!$A$6:$A$505,"client",'أرقام التواصل'!$B$6:$B$505,A151,'أرقام التواصل'!$C$6:$C$505,1))=0),"REVIEW","READY"))))</x:f>
      </x:c>
      <x:c r="BB151" s="224" t="str">
        <x:f>IF(BA151="","",IF(OR(BA151="READY",BA151="TO_PROPOSED"),"",IF(BA151="SKIP","Skipped by decision",TRIM(IF(B151="","missing import_action; ","")&amp;IF(A151="","missing migration_customer_key; ","")&amp;IF(AND(A151&lt;&gt;"",COUNTIF($A$6:$A$505,A151)&gt;1),"duplicate migration_customer_key; ","")&amp;IF(AND(NOT(OR(B151="to_candidate",AW151="proposed_name")),F151=""),"missing branch_id; ","")&amp;IF(AND(NOT(OR(B151="to_candidate",AW151="proposed_name")),H151=""),"missing first_name; ","")&amp;IF(AND(NOT(OR(B151="to_candidate",AW151="proposed_name")),J151=""),"missing last_name; ","")&amp;IF(AND(NOT(OR(B151="to_candidate",AW151="proposed_name")),U151=""),"missing final_geo_unit_id; ","")&amp;IF(AW151="","missing final_destination; ","")&amp;IF(AND(NOT(OR(B151="to_candidate",AW151="proposed_name")),(COUNTIFS('أرقام التواصل'!$A$6:$A$505,"client",'أرقام التواصل'!$B$6:$B$505,A151,'أرقام التواصل'!$I$6:$I$505,"TRUE")+COUNTIFS('أرقام التواصل'!$A$6:$A$505,"client",'أرقام التواصل'!$B$6:$B$505,A151,'أرقام التواصل'!$C$6:$C$505,1))=0),"missing primary contact in أرقام التواصل; ","")&amp;IF(OR(B151="to_candidate",AW151="proposed_name"),IF(AX151="","missing proposed_move_reason; ","")&amp;IF(AY151="","missing proposed_name_key; ",""),"")))))</x:f>
      </x:c>
    </x:row>
    <x:row r="152">
      <x:c r="A152" s="219"/>
      <x:c r="B152" s="220"/>
      <x:c r="C152" s="221"/>
      <x:c r="D152" s="220"/>
      <x:c r="E152" s="222"/>
      <x:c r="F152" s="220"/>
      <x:c r="G152" s="220"/>
      <x:c r="H152" s="220"/>
      <x:c r="I152" s="220"/>
      <x:c r="J152" s="220"/>
      <x:c r="K152" s="220"/>
      <x:c r="L152" s="220" t="str">
        <x:f>IF(TRIM(H152&amp;" "&amp;I152&amp;" "&amp;J152&amp;IF(K152&lt;&gt;""," ("&amp;K152&amp;")",""))="","",TRIM(H152&amp;" "&amp;I152&amp;" "&amp;J152&amp;IF(K152&lt;&gt;""," ("&amp;K152&amp;")","")))</x:f>
      </x:c>
      <x:c r="M152" s="220"/>
      <x:c r="N152" s="220"/>
      <x:c r="O152" s="220"/>
      <x:c r="P152" s="220"/>
      <x:c r="Q152" s="220"/>
      <x:c r="R152" s="220"/>
      <x:c r="S152" s="220"/>
      <x:c r="T152" s="220"/>
      <x:c r="U152" s="220" t="str">
        <x:f>IF(AND(M152="",O152="",Q152="",S152=""),"",IF(S152&lt;&gt;"",S152,IF(Q152&lt;&gt;"",Q152,IF(O152&lt;&gt;"",O152,M152))))</x:f>
      </x:c>
      <x:c r="V152" s="220" t="str">
        <x:f>IF(AND(N152="",P152="",R152="",T152=""),"",IF(T152&lt;&gt;"",T152,IF(R152&lt;&gt;"",R152,IF(P152&lt;&gt;"",P152,N152))))</x:f>
      </x:c>
      <x:c r="W152" s="221"/>
      <x:c r="X152" s="220"/>
      <x:c r="Y152" s="220"/>
      <x:c r="Z152" s="223"/>
      <x:c r="AA152" s="223"/>
      <x:c r="AB152" s="221"/>
      <x:c r="AC152" s="220"/>
      <x:c r="AD152" s="220"/>
      <x:c r="AE152" s="222"/>
      <x:c r="AF152" s="220"/>
      <x:c r="AG152" s="221"/>
      <x:c r="AH152" s="220"/>
      <x:c r="AI152" s="220"/>
      <x:c r="AJ152" s="222"/>
      <x:c r="AK152" s="220"/>
      <x:c r="AL152" s="220"/>
      <x:c r="AM152" s="220"/>
      <x:c r="AN152" s="220"/>
      <x:c r="AO152" s="220"/>
      <x:c r="AP152" s="220"/>
      <x:c r="AQ152" s="220"/>
      <x:c r="AR152" s="222"/>
      <x:c r="AS152" s="220"/>
      <x:c r="AT152" s="220"/>
      <x:c r="AU152" s="220"/>
      <x:c r="AV152" s="220"/>
      <x:c r="AW152" s="220"/>
      <x:c r="AX152" s="220"/>
      <x:c r="AY152" s="221"/>
      <x:c r="AZ152" s="220"/>
      <x:c r="BA152" s="220" t="str">
        <x:f>IF(AND(A152="",B152="",F152="",H152="",J152="",AW152="",AY152=""),"",IF(OR(B152="skip",AW152="skip"),"SKIP",IF(OR(B152="to_candidate",AW152="proposed_name"),IF(OR(A152="",AX152="",AY152="",COUNTIF($A$6:$A$505,A152)&gt;1),"REVIEW","TO_PROPOSED"),IF(OR(B152="",A152="",F152="",H152="",J152="",U152="",AW152="",COUNTIF($A$6:$A$505,A152)&gt;1,(COUNTIFS('أرقام التواصل'!$A$6:$A$505,"client",'أرقام التواصل'!$B$6:$B$505,A152,'أرقام التواصل'!$I$6:$I$505,"TRUE")+COUNTIFS('أرقام التواصل'!$A$6:$A$505,"client",'أرقام التواصل'!$B$6:$B$505,A152,'أرقام التواصل'!$C$6:$C$505,1))=0),"REVIEW","READY"))))</x:f>
      </x:c>
      <x:c r="BB152" s="224" t="str">
        <x:f>IF(BA152="","",IF(OR(BA152="READY",BA152="TO_PROPOSED"),"",IF(BA152="SKIP","Skipped by decision",TRIM(IF(B152="","missing import_action; ","")&amp;IF(A152="","missing migration_customer_key; ","")&amp;IF(AND(A152&lt;&gt;"",COUNTIF($A$6:$A$505,A152)&gt;1),"duplicate migration_customer_key; ","")&amp;IF(AND(NOT(OR(B152="to_candidate",AW152="proposed_name")),F152=""),"missing branch_id; ","")&amp;IF(AND(NOT(OR(B152="to_candidate",AW152="proposed_name")),H152=""),"missing first_name; ","")&amp;IF(AND(NOT(OR(B152="to_candidate",AW152="proposed_name")),J152=""),"missing last_name; ","")&amp;IF(AND(NOT(OR(B152="to_candidate",AW152="proposed_name")),U152=""),"missing final_geo_unit_id; ","")&amp;IF(AW152="","missing final_destination; ","")&amp;IF(AND(NOT(OR(B152="to_candidate",AW152="proposed_name")),(COUNTIFS('أرقام التواصل'!$A$6:$A$505,"client",'أرقام التواصل'!$B$6:$B$505,A152,'أرقام التواصل'!$I$6:$I$505,"TRUE")+COUNTIFS('أرقام التواصل'!$A$6:$A$505,"client",'أرقام التواصل'!$B$6:$B$505,A152,'أرقام التواصل'!$C$6:$C$505,1))=0),"missing primary contact in أرقام التواصل; ","")&amp;IF(OR(B152="to_candidate",AW152="proposed_name"),IF(AX152="","missing proposed_move_reason; ","")&amp;IF(AY152="","missing proposed_name_key; ",""),"")))))</x:f>
      </x:c>
    </x:row>
    <x:row r="153">
      <x:c r="A153" s="219"/>
      <x:c r="B153" s="220"/>
      <x:c r="C153" s="221"/>
      <x:c r="D153" s="220"/>
      <x:c r="E153" s="222"/>
      <x:c r="F153" s="220"/>
      <x:c r="G153" s="220"/>
      <x:c r="H153" s="220"/>
      <x:c r="I153" s="220"/>
      <x:c r="J153" s="220"/>
      <x:c r="K153" s="220"/>
      <x:c r="L153" s="220" t="str">
        <x:f>IF(TRIM(H153&amp;" "&amp;I153&amp;" "&amp;J153&amp;IF(K153&lt;&gt;""," ("&amp;K153&amp;")",""))="","",TRIM(H153&amp;" "&amp;I153&amp;" "&amp;J153&amp;IF(K153&lt;&gt;""," ("&amp;K153&amp;")","")))</x:f>
      </x:c>
      <x:c r="M153" s="220"/>
      <x:c r="N153" s="220"/>
      <x:c r="O153" s="220"/>
      <x:c r="P153" s="220"/>
      <x:c r="Q153" s="220"/>
      <x:c r="R153" s="220"/>
      <x:c r="S153" s="220"/>
      <x:c r="T153" s="220"/>
      <x:c r="U153" s="220" t="str">
        <x:f>IF(AND(M153="",O153="",Q153="",S153=""),"",IF(S153&lt;&gt;"",S153,IF(Q153&lt;&gt;"",Q153,IF(O153&lt;&gt;"",O153,M153))))</x:f>
      </x:c>
      <x:c r="V153" s="220" t="str">
        <x:f>IF(AND(N153="",P153="",R153="",T153=""),"",IF(T153&lt;&gt;"",T153,IF(R153&lt;&gt;"",R153,IF(P153&lt;&gt;"",P153,N153))))</x:f>
      </x:c>
      <x:c r="W153" s="221"/>
      <x:c r="X153" s="220"/>
      <x:c r="Y153" s="220"/>
      <x:c r="Z153" s="223"/>
      <x:c r="AA153" s="223"/>
      <x:c r="AB153" s="221"/>
      <x:c r="AC153" s="220"/>
      <x:c r="AD153" s="220"/>
      <x:c r="AE153" s="222"/>
      <x:c r="AF153" s="220"/>
      <x:c r="AG153" s="221"/>
      <x:c r="AH153" s="220"/>
      <x:c r="AI153" s="220"/>
      <x:c r="AJ153" s="222"/>
      <x:c r="AK153" s="220"/>
      <x:c r="AL153" s="220"/>
      <x:c r="AM153" s="220"/>
      <x:c r="AN153" s="220"/>
      <x:c r="AO153" s="220"/>
      <x:c r="AP153" s="220"/>
      <x:c r="AQ153" s="220"/>
      <x:c r="AR153" s="222"/>
      <x:c r="AS153" s="220"/>
      <x:c r="AT153" s="220"/>
      <x:c r="AU153" s="220"/>
      <x:c r="AV153" s="220"/>
      <x:c r="AW153" s="220"/>
      <x:c r="AX153" s="220"/>
      <x:c r="AY153" s="221"/>
      <x:c r="AZ153" s="220"/>
      <x:c r="BA153" s="220" t="str">
        <x:f>IF(AND(A153="",B153="",F153="",H153="",J153="",AW153="",AY153=""),"",IF(OR(B153="skip",AW153="skip"),"SKIP",IF(OR(B153="to_candidate",AW153="proposed_name"),IF(OR(A153="",AX153="",AY153="",COUNTIF($A$6:$A$505,A153)&gt;1),"REVIEW","TO_PROPOSED"),IF(OR(B153="",A153="",F153="",H153="",J153="",U153="",AW153="",COUNTIF($A$6:$A$505,A153)&gt;1,(COUNTIFS('أرقام التواصل'!$A$6:$A$505,"client",'أرقام التواصل'!$B$6:$B$505,A153,'أرقام التواصل'!$I$6:$I$505,"TRUE")+COUNTIFS('أرقام التواصل'!$A$6:$A$505,"client",'أرقام التواصل'!$B$6:$B$505,A153,'أرقام التواصل'!$C$6:$C$505,1))=0),"REVIEW","READY"))))</x:f>
      </x:c>
      <x:c r="BB153" s="224" t="str">
        <x:f>IF(BA153="","",IF(OR(BA153="READY",BA153="TO_PROPOSED"),"",IF(BA153="SKIP","Skipped by decision",TRIM(IF(B153="","missing import_action; ","")&amp;IF(A153="","missing migration_customer_key; ","")&amp;IF(AND(A153&lt;&gt;"",COUNTIF($A$6:$A$505,A153)&gt;1),"duplicate migration_customer_key; ","")&amp;IF(AND(NOT(OR(B153="to_candidate",AW153="proposed_name")),F153=""),"missing branch_id; ","")&amp;IF(AND(NOT(OR(B153="to_candidate",AW153="proposed_name")),H153=""),"missing first_name; ","")&amp;IF(AND(NOT(OR(B153="to_candidate",AW153="proposed_name")),J153=""),"missing last_name; ","")&amp;IF(AND(NOT(OR(B153="to_candidate",AW153="proposed_name")),U153=""),"missing final_geo_unit_id; ","")&amp;IF(AW153="","missing final_destination; ","")&amp;IF(AND(NOT(OR(B153="to_candidate",AW153="proposed_name")),(COUNTIFS('أرقام التواصل'!$A$6:$A$505,"client",'أرقام التواصل'!$B$6:$B$505,A153,'أرقام التواصل'!$I$6:$I$505,"TRUE")+COUNTIFS('أرقام التواصل'!$A$6:$A$505,"client",'أرقام التواصل'!$B$6:$B$505,A153,'أرقام التواصل'!$C$6:$C$505,1))=0),"missing primary contact in أرقام التواصل; ","")&amp;IF(OR(B153="to_candidate",AW153="proposed_name"),IF(AX153="","missing proposed_move_reason; ","")&amp;IF(AY153="","missing proposed_name_key; ",""),"")))))</x:f>
      </x:c>
    </x:row>
    <x:row r="154">
      <x:c r="A154" s="219"/>
      <x:c r="B154" s="220"/>
      <x:c r="C154" s="221"/>
      <x:c r="D154" s="220"/>
      <x:c r="E154" s="222"/>
      <x:c r="F154" s="220"/>
      <x:c r="G154" s="220"/>
      <x:c r="H154" s="220"/>
      <x:c r="I154" s="220"/>
      <x:c r="J154" s="220"/>
      <x:c r="K154" s="220"/>
      <x:c r="L154" s="220" t="str">
        <x:f>IF(TRIM(H154&amp;" "&amp;I154&amp;" "&amp;J154&amp;IF(K154&lt;&gt;""," ("&amp;K154&amp;")",""))="","",TRIM(H154&amp;" "&amp;I154&amp;" "&amp;J154&amp;IF(K154&lt;&gt;""," ("&amp;K154&amp;")","")))</x:f>
      </x:c>
      <x:c r="M154" s="220"/>
      <x:c r="N154" s="220"/>
      <x:c r="O154" s="220"/>
      <x:c r="P154" s="220"/>
      <x:c r="Q154" s="220"/>
      <x:c r="R154" s="220"/>
      <x:c r="S154" s="220"/>
      <x:c r="T154" s="220"/>
      <x:c r="U154" s="220" t="str">
        <x:f>IF(AND(M154="",O154="",Q154="",S154=""),"",IF(S154&lt;&gt;"",S154,IF(Q154&lt;&gt;"",Q154,IF(O154&lt;&gt;"",O154,M154))))</x:f>
      </x:c>
      <x:c r="V154" s="220" t="str">
        <x:f>IF(AND(N154="",P154="",R154="",T154=""),"",IF(T154&lt;&gt;"",T154,IF(R154&lt;&gt;"",R154,IF(P154&lt;&gt;"",P154,N154))))</x:f>
      </x:c>
      <x:c r="W154" s="221"/>
      <x:c r="X154" s="220"/>
      <x:c r="Y154" s="220"/>
      <x:c r="Z154" s="223"/>
      <x:c r="AA154" s="223"/>
      <x:c r="AB154" s="221"/>
      <x:c r="AC154" s="220"/>
      <x:c r="AD154" s="220"/>
      <x:c r="AE154" s="222"/>
      <x:c r="AF154" s="220"/>
      <x:c r="AG154" s="221"/>
      <x:c r="AH154" s="220"/>
      <x:c r="AI154" s="220"/>
      <x:c r="AJ154" s="222"/>
      <x:c r="AK154" s="220"/>
      <x:c r="AL154" s="220"/>
      <x:c r="AM154" s="220"/>
      <x:c r="AN154" s="220"/>
      <x:c r="AO154" s="220"/>
      <x:c r="AP154" s="220"/>
      <x:c r="AQ154" s="220"/>
      <x:c r="AR154" s="222"/>
      <x:c r="AS154" s="220"/>
      <x:c r="AT154" s="220"/>
      <x:c r="AU154" s="220"/>
      <x:c r="AV154" s="220"/>
      <x:c r="AW154" s="220"/>
      <x:c r="AX154" s="220"/>
      <x:c r="AY154" s="221"/>
      <x:c r="AZ154" s="220"/>
      <x:c r="BA154" s="220" t="str">
        <x:f>IF(AND(A154="",B154="",F154="",H154="",J154="",AW154="",AY154=""),"",IF(OR(B154="skip",AW154="skip"),"SKIP",IF(OR(B154="to_candidate",AW154="proposed_name"),IF(OR(A154="",AX154="",AY154="",COUNTIF($A$6:$A$505,A154)&gt;1),"REVIEW","TO_PROPOSED"),IF(OR(B154="",A154="",F154="",H154="",J154="",U154="",AW154="",COUNTIF($A$6:$A$505,A154)&gt;1,(COUNTIFS('أرقام التواصل'!$A$6:$A$505,"client",'أرقام التواصل'!$B$6:$B$505,A154,'أرقام التواصل'!$I$6:$I$505,"TRUE")+COUNTIFS('أرقام التواصل'!$A$6:$A$505,"client",'أرقام التواصل'!$B$6:$B$505,A154,'أرقام التواصل'!$C$6:$C$505,1))=0),"REVIEW","READY"))))</x:f>
      </x:c>
      <x:c r="BB154" s="224" t="str">
        <x:f>IF(BA154="","",IF(OR(BA154="READY",BA154="TO_PROPOSED"),"",IF(BA154="SKIP","Skipped by decision",TRIM(IF(B154="","missing import_action; ","")&amp;IF(A154="","missing migration_customer_key; ","")&amp;IF(AND(A154&lt;&gt;"",COUNTIF($A$6:$A$505,A154)&gt;1),"duplicate migration_customer_key; ","")&amp;IF(AND(NOT(OR(B154="to_candidate",AW154="proposed_name")),F154=""),"missing branch_id; ","")&amp;IF(AND(NOT(OR(B154="to_candidate",AW154="proposed_name")),H154=""),"missing first_name; ","")&amp;IF(AND(NOT(OR(B154="to_candidate",AW154="proposed_name")),J154=""),"missing last_name; ","")&amp;IF(AND(NOT(OR(B154="to_candidate",AW154="proposed_name")),U154=""),"missing final_geo_unit_id; ","")&amp;IF(AW154="","missing final_destination; ","")&amp;IF(AND(NOT(OR(B154="to_candidate",AW154="proposed_name")),(COUNTIFS('أرقام التواصل'!$A$6:$A$505,"client",'أرقام التواصل'!$B$6:$B$505,A154,'أرقام التواصل'!$I$6:$I$505,"TRUE")+COUNTIFS('أرقام التواصل'!$A$6:$A$505,"client",'أرقام التواصل'!$B$6:$B$505,A154,'أرقام التواصل'!$C$6:$C$505,1))=0),"missing primary contact in أرقام التواصل; ","")&amp;IF(OR(B154="to_candidate",AW154="proposed_name"),IF(AX154="","missing proposed_move_reason; ","")&amp;IF(AY154="","missing proposed_name_key; ",""),"")))))</x:f>
      </x:c>
    </x:row>
    <x:row r="155">
      <x:c r="A155" s="219"/>
      <x:c r="B155" s="220"/>
      <x:c r="C155" s="221"/>
      <x:c r="D155" s="220"/>
      <x:c r="E155" s="222"/>
      <x:c r="F155" s="220"/>
      <x:c r="G155" s="220"/>
      <x:c r="H155" s="220"/>
      <x:c r="I155" s="220"/>
      <x:c r="J155" s="220"/>
      <x:c r="K155" s="220"/>
      <x:c r="L155" s="220" t="str">
        <x:f>IF(TRIM(H155&amp;" "&amp;I155&amp;" "&amp;J155&amp;IF(K155&lt;&gt;""," ("&amp;K155&amp;")",""))="","",TRIM(H155&amp;" "&amp;I155&amp;" "&amp;J155&amp;IF(K155&lt;&gt;""," ("&amp;K155&amp;")","")))</x:f>
      </x:c>
      <x:c r="M155" s="220"/>
      <x:c r="N155" s="220"/>
      <x:c r="O155" s="220"/>
      <x:c r="P155" s="220"/>
      <x:c r="Q155" s="220"/>
      <x:c r="R155" s="220"/>
      <x:c r="S155" s="220"/>
      <x:c r="T155" s="220"/>
      <x:c r="U155" s="220" t="str">
        <x:f>IF(AND(M155="",O155="",Q155="",S155=""),"",IF(S155&lt;&gt;"",S155,IF(Q155&lt;&gt;"",Q155,IF(O155&lt;&gt;"",O155,M155))))</x:f>
      </x:c>
      <x:c r="V155" s="220" t="str">
        <x:f>IF(AND(N155="",P155="",R155="",T155=""),"",IF(T155&lt;&gt;"",T155,IF(R155&lt;&gt;"",R155,IF(P155&lt;&gt;"",P155,N155))))</x:f>
      </x:c>
      <x:c r="W155" s="221"/>
      <x:c r="X155" s="220"/>
      <x:c r="Y155" s="220"/>
      <x:c r="Z155" s="223"/>
      <x:c r="AA155" s="223"/>
      <x:c r="AB155" s="221"/>
      <x:c r="AC155" s="220"/>
      <x:c r="AD155" s="220"/>
      <x:c r="AE155" s="222"/>
      <x:c r="AF155" s="220"/>
      <x:c r="AG155" s="221"/>
      <x:c r="AH155" s="220"/>
      <x:c r="AI155" s="220"/>
      <x:c r="AJ155" s="222"/>
      <x:c r="AK155" s="220"/>
      <x:c r="AL155" s="220"/>
      <x:c r="AM155" s="220"/>
      <x:c r="AN155" s="220"/>
      <x:c r="AO155" s="220"/>
      <x:c r="AP155" s="220"/>
      <x:c r="AQ155" s="220"/>
      <x:c r="AR155" s="222"/>
      <x:c r="AS155" s="220"/>
      <x:c r="AT155" s="220"/>
      <x:c r="AU155" s="220"/>
      <x:c r="AV155" s="220"/>
      <x:c r="AW155" s="220"/>
      <x:c r="AX155" s="220"/>
      <x:c r="AY155" s="221"/>
      <x:c r="AZ155" s="220"/>
      <x:c r="BA155" s="220" t="str">
        <x:f>IF(AND(A155="",B155="",F155="",H155="",J155="",AW155="",AY155=""),"",IF(OR(B155="skip",AW155="skip"),"SKIP",IF(OR(B155="to_candidate",AW155="proposed_name"),IF(OR(A155="",AX155="",AY155="",COUNTIF($A$6:$A$505,A155)&gt;1),"REVIEW","TO_PROPOSED"),IF(OR(B155="",A155="",F155="",H155="",J155="",U155="",AW155="",COUNTIF($A$6:$A$505,A155)&gt;1,(COUNTIFS('أرقام التواصل'!$A$6:$A$505,"client",'أرقام التواصل'!$B$6:$B$505,A155,'أرقام التواصل'!$I$6:$I$505,"TRUE")+COUNTIFS('أرقام التواصل'!$A$6:$A$505,"client",'أرقام التواصل'!$B$6:$B$505,A155,'أرقام التواصل'!$C$6:$C$505,1))=0),"REVIEW","READY"))))</x:f>
      </x:c>
      <x:c r="BB155" s="224" t="str">
        <x:f>IF(BA155="","",IF(OR(BA155="READY",BA155="TO_PROPOSED"),"",IF(BA155="SKIP","Skipped by decision",TRIM(IF(B155="","missing import_action; ","")&amp;IF(A155="","missing migration_customer_key; ","")&amp;IF(AND(A155&lt;&gt;"",COUNTIF($A$6:$A$505,A155)&gt;1),"duplicate migration_customer_key; ","")&amp;IF(AND(NOT(OR(B155="to_candidate",AW155="proposed_name")),F155=""),"missing branch_id; ","")&amp;IF(AND(NOT(OR(B155="to_candidate",AW155="proposed_name")),H155=""),"missing first_name; ","")&amp;IF(AND(NOT(OR(B155="to_candidate",AW155="proposed_name")),J155=""),"missing last_name; ","")&amp;IF(AND(NOT(OR(B155="to_candidate",AW155="proposed_name")),U155=""),"missing final_geo_unit_id; ","")&amp;IF(AW155="","missing final_destination; ","")&amp;IF(AND(NOT(OR(B155="to_candidate",AW155="proposed_name")),(COUNTIFS('أرقام التواصل'!$A$6:$A$505,"client",'أرقام التواصل'!$B$6:$B$505,A155,'أرقام التواصل'!$I$6:$I$505,"TRUE")+COUNTIFS('أرقام التواصل'!$A$6:$A$505,"client",'أرقام التواصل'!$B$6:$B$505,A155,'أرقام التواصل'!$C$6:$C$505,1))=0),"missing primary contact in أرقام التواصل; ","")&amp;IF(OR(B155="to_candidate",AW155="proposed_name"),IF(AX155="","missing proposed_move_reason; ","")&amp;IF(AY155="","missing proposed_name_key; ",""),"")))))</x:f>
      </x:c>
    </x:row>
    <x:row r="156">
      <x:c r="A156" s="219"/>
      <x:c r="B156" s="220"/>
      <x:c r="C156" s="221"/>
      <x:c r="D156" s="220"/>
      <x:c r="E156" s="222"/>
      <x:c r="F156" s="220"/>
      <x:c r="G156" s="220"/>
      <x:c r="H156" s="220"/>
      <x:c r="I156" s="220"/>
      <x:c r="J156" s="220"/>
      <x:c r="K156" s="220"/>
      <x:c r="L156" s="220" t="str">
        <x:f>IF(TRIM(H156&amp;" "&amp;I156&amp;" "&amp;J156&amp;IF(K156&lt;&gt;""," ("&amp;K156&amp;")",""))="","",TRIM(H156&amp;" "&amp;I156&amp;" "&amp;J156&amp;IF(K156&lt;&gt;""," ("&amp;K156&amp;")","")))</x:f>
      </x:c>
      <x:c r="M156" s="220"/>
      <x:c r="N156" s="220"/>
      <x:c r="O156" s="220"/>
      <x:c r="P156" s="220"/>
      <x:c r="Q156" s="220"/>
      <x:c r="R156" s="220"/>
      <x:c r="S156" s="220"/>
      <x:c r="T156" s="220"/>
      <x:c r="U156" s="220" t="str">
        <x:f>IF(AND(M156="",O156="",Q156="",S156=""),"",IF(S156&lt;&gt;"",S156,IF(Q156&lt;&gt;"",Q156,IF(O156&lt;&gt;"",O156,M156))))</x:f>
      </x:c>
      <x:c r="V156" s="220" t="str">
        <x:f>IF(AND(N156="",P156="",R156="",T156=""),"",IF(T156&lt;&gt;"",T156,IF(R156&lt;&gt;"",R156,IF(P156&lt;&gt;"",P156,N156))))</x:f>
      </x:c>
      <x:c r="W156" s="221"/>
      <x:c r="X156" s="220"/>
      <x:c r="Y156" s="220"/>
      <x:c r="Z156" s="223"/>
      <x:c r="AA156" s="223"/>
      <x:c r="AB156" s="221"/>
      <x:c r="AC156" s="220"/>
      <x:c r="AD156" s="220"/>
      <x:c r="AE156" s="222"/>
      <x:c r="AF156" s="220"/>
      <x:c r="AG156" s="221"/>
      <x:c r="AH156" s="220"/>
      <x:c r="AI156" s="220"/>
      <x:c r="AJ156" s="222"/>
      <x:c r="AK156" s="220"/>
      <x:c r="AL156" s="220"/>
      <x:c r="AM156" s="220"/>
      <x:c r="AN156" s="220"/>
      <x:c r="AO156" s="220"/>
      <x:c r="AP156" s="220"/>
      <x:c r="AQ156" s="220"/>
      <x:c r="AR156" s="222"/>
      <x:c r="AS156" s="220"/>
      <x:c r="AT156" s="220"/>
      <x:c r="AU156" s="220"/>
      <x:c r="AV156" s="220"/>
      <x:c r="AW156" s="220"/>
      <x:c r="AX156" s="220"/>
      <x:c r="AY156" s="221"/>
      <x:c r="AZ156" s="220"/>
      <x:c r="BA156" s="220" t="str">
        <x:f>IF(AND(A156="",B156="",F156="",H156="",J156="",AW156="",AY156=""),"",IF(OR(B156="skip",AW156="skip"),"SKIP",IF(OR(B156="to_candidate",AW156="proposed_name"),IF(OR(A156="",AX156="",AY156="",COUNTIF($A$6:$A$505,A156)&gt;1),"REVIEW","TO_PROPOSED"),IF(OR(B156="",A156="",F156="",H156="",J156="",U156="",AW156="",COUNTIF($A$6:$A$505,A156)&gt;1,(COUNTIFS('أرقام التواصل'!$A$6:$A$505,"client",'أرقام التواصل'!$B$6:$B$505,A156,'أرقام التواصل'!$I$6:$I$505,"TRUE")+COUNTIFS('أرقام التواصل'!$A$6:$A$505,"client",'أرقام التواصل'!$B$6:$B$505,A156,'أرقام التواصل'!$C$6:$C$505,1))=0),"REVIEW","READY"))))</x:f>
      </x:c>
      <x:c r="BB156" s="224" t="str">
        <x:f>IF(BA156="","",IF(OR(BA156="READY",BA156="TO_PROPOSED"),"",IF(BA156="SKIP","Skipped by decision",TRIM(IF(B156="","missing import_action; ","")&amp;IF(A156="","missing migration_customer_key; ","")&amp;IF(AND(A156&lt;&gt;"",COUNTIF($A$6:$A$505,A156)&gt;1),"duplicate migration_customer_key; ","")&amp;IF(AND(NOT(OR(B156="to_candidate",AW156="proposed_name")),F156=""),"missing branch_id; ","")&amp;IF(AND(NOT(OR(B156="to_candidate",AW156="proposed_name")),H156=""),"missing first_name; ","")&amp;IF(AND(NOT(OR(B156="to_candidate",AW156="proposed_name")),J156=""),"missing last_name; ","")&amp;IF(AND(NOT(OR(B156="to_candidate",AW156="proposed_name")),U156=""),"missing final_geo_unit_id; ","")&amp;IF(AW156="","missing final_destination; ","")&amp;IF(AND(NOT(OR(B156="to_candidate",AW156="proposed_name")),(COUNTIFS('أرقام التواصل'!$A$6:$A$505,"client",'أرقام التواصل'!$B$6:$B$505,A156,'أرقام التواصل'!$I$6:$I$505,"TRUE")+COUNTIFS('أرقام التواصل'!$A$6:$A$505,"client",'أرقام التواصل'!$B$6:$B$505,A156,'أرقام التواصل'!$C$6:$C$505,1))=0),"missing primary contact in أرقام التواصل; ","")&amp;IF(OR(B156="to_candidate",AW156="proposed_name"),IF(AX156="","missing proposed_move_reason; ","")&amp;IF(AY156="","missing proposed_name_key; ",""),"")))))</x:f>
      </x:c>
    </x:row>
    <x:row r="157">
      <x:c r="A157" s="219"/>
      <x:c r="B157" s="220"/>
      <x:c r="C157" s="221"/>
      <x:c r="D157" s="220"/>
      <x:c r="E157" s="222"/>
      <x:c r="F157" s="220"/>
      <x:c r="G157" s="220"/>
      <x:c r="H157" s="220"/>
      <x:c r="I157" s="220"/>
      <x:c r="J157" s="220"/>
      <x:c r="K157" s="220"/>
      <x:c r="L157" s="220" t="str">
        <x:f>IF(TRIM(H157&amp;" "&amp;I157&amp;" "&amp;J157&amp;IF(K157&lt;&gt;""," ("&amp;K157&amp;")",""))="","",TRIM(H157&amp;" "&amp;I157&amp;" "&amp;J157&amp;IF(K157&lt;&gt;""," ("&amp;K157&amp;")","")))</x:f>
      </x:c>
      <x:c r="M157" s="220"/>
      <x:c r="N157" s="220"/>
      <x:c r="O157" s="220"/>
      <x:c r="P157" s="220"/>
      <x:c r="Q157" s="220"/>
      <x:c r="R157" s="220"/>
      <x:c r="S157" s="220"/>
      <x:c r="T157" s="220"/>
      <x:c r="U157" s="220" t="str">
        <x:f>IF(AND(M157="",O157="",Q157="",S157=""),"",IF(S157&lt;&gt;"",S157,IF(Q157&lt;&gt;"",Q157,IF(O157&lt;&gt;"",O157,M157))))</x:f>
      </x:c>
      <x:c r="V157" s="220" t="str">
        <x:f>IF(AND(N157="",P157="",R157="",T157=""),"",IF(T157&lt;&gt;"",T157,IF(R157&lt;&gt;"",R157,IF(P157&lt;&gt;"",P157,N157))))</x:f>
      </x:c>
      <x:c r="W157" s="221"/>
      <x:c r="X157" s="220"/>
      <x:c r="Y157" s="220"/>
      <x:c r="Z157" s="223"/>
      <x:c r="AA157" s="223"/>
      <x:c r="AB157" s="221"/>
      <x:c r="AC157" s="220"/>
      <x:c r="AD157" s="220"/>
      <x:c r="AE157" s="222"/>
      <x:c r="AF157" s="220"/>
      <x:c r="AG157" s="221"/>
      <x:c r="AH157" s="220"/>
      <x:c r="AI157" s="220"/>
      <x:c r="AJ157" s="222"/>
      <x:c r="AK157" s="220"/>
      <x:c r="AL157" s="220"/>
      <x:c r="AM157" s="220"/>
      <x:c r="AN157" s="220"/>
      <x:c r="AO157" s="220"/>
      <x:c r="AP157" s="220"/>
      <x:c r="AQ157" s="220"/>
      <x:c r="AR157" s="222"/>
      <x:c r="AS157" s="220"/>
      <x:c r="AT157" s="220"/>
      <x:c r="AU157" s="220"/>
      <x:c r="AV157" s="220"/>
      <x:c r="AW157" s="220"/>
      <x:c r="AX157" s="220"/>
      <x:c r="AY157" s="221"/>
      <x:c r="AZ157" s="220"/>
      <x:c r="BA157" s="220" t="str">
        <x:f>IF(AND(A157="",B157="",F157="",H157="",J157="",AW157="",AY157=""),"",IF(OR(B157="skip",AW157="skip"),"SKIP",IF(OR(B157="to_candidate",AW157="proposed_name"),IF(OR(A157="",AX157="",AY157="",COUNTIF($A$6:$A$505,A157)&gt;1),"REVIEW","TO_PROPOSED"),IF(OR(B157="",A157="",F157="",H157="",J157="",U157="",AW157="",COUNTIF($A$6:$A$505,A157)&gt;1,(COUNTIFS('أرقام التواصل'!$A$6:$A$505,"client",'أرقام التواصل'!$B$6:$B$505,A157,'أرقام التواصل'!$I$6:$I$505,"TRUE")+COUNTIFS('أرقام التواصل'!$A$6:$A$505,"client",'أرقام التواصل'!$B$6:$B$505,A157,'أرقام التواصل'!$C$6:$C$505,1))=0),"REVIEW","READY"))))</x:f>
      </x:c>
      <x:c r="BB157" s="224" t="str">
        <x:f>IF(BA157="","",IF(OR(BA157="READY",BA157="TO_PROPOSED"),"",IF(BA157="SKIP","Skipped by decision",TRIM(IF(B157="","missing import_action; ","")&amp;IF(A157="","missing migration_customer_key; ","")&amp;IF(AND(A157&lt;&gt;"",COUNTIF($A$6:$A$505,A157)&gt;1),"duplicate migration_customer_key; ","")&amp;IF(AND(NOT(OR(B157="to_candidate",AW157="proposed_name")),F157=""),"missing branch_id; ","")&amp;IF(AND(NOT(OR(B157="to_candidate",AW157="proposed_name")),H157=""),"missing first_name; ","")&amp;IF(AND(NOT(OR(B157="to_candidate",AW157="proposed_name")),J157=""),"missing last_name; ","")&amp;IF(AND(NOT(OR(B157="to_candidate",AW157="proposed_name")),U157=""),"missing final_geo_unit_id; ","")&amp;IF(AW157="","missing final_destination; ","")&amp;IF(AND(NOT(OR(B157="to_candidate",AW157="proposed_name")),(COUNTIFS('أرقام التواصل'!$A$6:$A$505,"client",'أرقام التواصل'!$B$6:$B$505,A157,'أرقام التواصل'!$I$6:$I$505,"TRUE")+COUNTIFS('أرقام التواصل'!$A$6:$A$505,"client",'أرقام التواصل'!$B$6:$B$505,A157,'أرقام التواصل'!$C$6:$C$505,1))=0),"missing primary contact in أرقام التواصل; ","")&amp;IF(OR(B157="to_candidate",AW157="proposed_name"),IF(AX157="","missing proposed_move_reason; ","")&amp;IF(AY157="","missing proposed_name_key; ",""),"")))))</x:f>
      </x:c>
    </x:row>
    <x:row r="158">
      <x:c r="A158" s="219"/>
      <x:c r="B158" s="220"/>
      <x:c r="C158" s="221"/>
      <x:c r="D158" s="220"/>
      <x:c r="E158" s="222"/>
      <x:c r="F158" s="220"/>
      <x:c r="G158" s="220"/>
      <x:c r="H158" s="220"/>
      <x:c r="I158" s="220"/>
      <x:c r="J158" s="220"/>
      <x:c r="K158" s="220"/>
      <x:c r="L158" s="220" t="str">
        <x:f>IF(TRIM(H158&amp;" "&amp;I158&amp;" "&amp;J158&amp;IF(K158&lt;&gt;""," ("&amp;K158&amp;")",""))="","",TRIM(H158&amp;" "&amp;I158&amp;" "&amp;J158&amp;IF(K158&lt;&gt;""," ("&amp;K158&amp;")","")))</x:f>
      </x:c>
      <x:c r="M158" s="220"/>
      <x:c r="N158" s="220"/>
      <x:c r="O158" s="220"/>
      <x:c r="P158" s="220"/>
      <x:c r="Q158" s="220"/>
      <x:c r="R158" s="220"/>
      <x:c r="S158" s="220"/>
      <x:c r="T158" s="220"/>
      <x:c r="U158" s="220" t="str">
        <x:f>IF(AND(M158="",O158="",Q158="",S158=""),"",IF(S158&lt;&gt;"",S158,IF(Q158&lt;&gt;"",Q158,IF(O158&lt;&gt;"",O158,M158))))</x:f>
      </x:c>
      <x:c r="V158" s="220" t="str">
        <x:f>IF(AND(N158="",P158="",R158="",T158=""),"",IF(T158&lt;&gt;"",T158,IF(R158&lt;&gt;"",R158,IF(P158&lt;&gt;"",P158,N158))))</x:f>
      </x:c>
      <x:c r="W158" s="221"/>
      <x:c r="X158" s="220"/>
      <x:c r="Y158" s="220"/>
      <x:c r="Z158" s="223"/>
      <x:c r="AA158" s="223"/>
      <x:c r="AB158" s="221"/>
      <x:c r="AC158" s="220"/>
      <x:c r="AD158" s="220"/>
      <x:c r="AE158" s="222"/>
      <x:c r="AF158" s="220"/>
      <x:c r="AG158" s="221"/>
      <x:c r="AH158" s="220"/>
      <x:c r="AI158" s="220"/>
      <x:c r="AJ158" s="222"/>
      <x:c r="AK158" s="220"/>
      <x:c r="AL158" s="220"/>
      <x:c r="AM158" s="220"/>
      <x:c r="AN158" s="220"/>
      <x:c r="AO158" s="220"/>
      <x:c r="AP158" s="220"/>
      <x:c r="AQ158" s="220"/>
      <x:c r="AR158" s="222"/>
      <x:c r="AS158" s="220"/>
      <x:c r="AT158" s="220"/>
      <x:c r="AU158" s="220"/>
      <x:c r="AV158" s="220"/>
      <x:c r="AW158" s="220"/>
      <x:c r="AX158" s="220"/>
      <x:c r="AY158" s="221"/>
      <x:c r="AZ158" s="220"/>
      <x:c r="BA158" s="220" t="str">
        <x:f>IF(AND(A158="",B158="",F158="",H158="",J158="",AW158="",AY158=""),"",IF(OR(B158="skip",AW158="skip"),"SKIP",IF(OR(B158="to_candidate",AW158="proposed_name"),IF(OR(A158="",AX158="",AY158="",COUNTIF($A$6:$A$505,A158)&gt;1),"REVIEW","TO_PROPOSED"),IF(OR(B158="",A158="",F158="",H158="",J158="",U158="",AW158="",COUNTIF($A$6:$A$505,A158)&gt;1,(COUNTIFS('أرقام التواصل'!$A$6:$A$505,"client",'أرقام التواصل'!$B$6:$B$505,A158,'أرقام التواصل'!$I$6:$I$505,"TRUE")+COUNTIFS('أرقام التواصل'!$A$6:$A$505,"client",'أرقام التواصل'!$B$6:$B$505,A158,'أرقام التواصل'!$C$6:$C$505,1))=0),"REVIEW","READY"))))</x:f>
      </x:c>
      <x:c r="BB158" s="224" t="str">
        <x:f>IF(BA158="","",IF(OR(BA158="READY",BA158="TO_PROPOSED"),"",IF(BA158="SKIP","Skipped by decision",TRIM(IF(B158="","missing import_action; ","")&amp;IF(A158="","missing migration_customer_key; ","")&amp;IF(AND(A158&lt;&gt;"",COUNTIF($A$6:$A$505,A158)&gt;1),"duplicate migration_customer_key; ","")&amp;IF(AND(NOT(OR(B158="to_candidate",AW158="proposed_name")),F158=""),"missing branch_id; ","")&amp;IF(AND(NOT(OR(B158="to_candidate",AW158="proposed_name")),H158=""),"missing first_name; ","")&amp;IF(AND(NOT(OR(B158="to_candidate",AW158="proposed_name")),J158=""),"missing last_name; ","")&amp;IF(AND(NOT(OR(B158="to_candidate",AW158="proposed_name")),U158=""),"missing final_geo_unit_id; ","")&amp;IF(AW158="","missing final_destination; ","")&amp;IF(AND(NOT(OR(B158="to_candidate",AW158="proposed_name")),(COUNTIFS('أرقام التواصل'!$A$6:$A$505,"client",'أرقام التواصل'!$B$6:$B$505,A158,'أرقام التواصل'!$I$6:$I$505,"TRUE")+COUNTIFS('أرقام التواصل'!$A$6:$A$505,"client",'أرقام التواصل'!$B$6:$B$505,A158,'أرقام التواصل'!$C$6:$C$505,1))=0),"missing primary contact in أرقام التواصل; ","")&amp;IF(OR(B158="to_candidate",AW158="proposed_name"),IF(AX158="","missing proposed_move_reason; ","")&amp;IF(AY158="","missing proposed_name_key; ",""),"")))))</x:f>
      </x:c>
    </x:row>
    <x:row r="159">
      <x:c r="A159" s="219"/>
      <x:c r="B159" s="220"/>
      <x:c r="C159" s="221"/>
      <x:c r="D159" s="220"/>
      <x:c r="E159" s="222"/>
      <x:c r="F159" s="220"/>
      <x:c r="G159" s="220"/>
      <x:c r="H159" s="220"/>
      <x:c r="I159" s="220"/>
      <x:c r="J159" s="220"/>
      <x:c r="K159" s="220"/>
      <x:c r="L159" s="220" t="str">
        <x:f>IF(TRIM(H159&amp;" "&amp;I159&amp;" "&amp;J159&amp;IF(K159&lt;&gt;""," ("&amp;K159&amp;")",""))="","",TRIM(H159&amp;" "&amp;I159&amp;" "&amp;J159&amp;IF(K159&lt;&gt;""," ("&amp;K159&amp;")","")))</x:f>
      </x:c>
      <x:c r="M159" s="220"/>
      <x:c r="N159" s="220"/>
      <x:c r="O159" s="220"/>
      <x:c r="P159" s="220"/>
      <x:c r="Q159" s="220"/>
      <x:c r="R159" s="220"/>
      <x:c r="S159" s="220"/>
      <x:c r="T159" s="220"/>
      <x:c r="U159" s="220" t="str">
        <x:f>IF(AND(M159="",O159="",Q159="",S159=""),"",IF(S159&lt;&gt;"",S159,IF(Q159&lt;&gt;"",Q159,IF(O159&lt;&gt;"",O159,M159))))</x:f>
      </x:c>
      <x:c r="V159" s="220" t="str">
        <x:f>IF(AND(N159="",P159="",R159="",T159=""),"",IF(T159&lt;&gt;"",T159,IF(R159&lt;&gt;"",R159,IF(P159&lt;&gt;"",P159,N159))))</x:f>
      </x:c>
      <x:c r="W159" s="221"/>
      <x:c r="X159" s="220"/>
      <x:c r="Y159" s="220"/>
      <x:c r="Z159" s="223"/>
      <x:c r="AA159" s="223"/>
      <x:c r="AB159" s="221"/>
      <x:c r="AC159" s="220"/>
      <x:c r="AD159" s="220"/>
      <x:c r="AE159" s="222"/>
      <x:c r="AF159" s="220"/>
      <x:c r="AG159" s="221"/>
      <x:c r="AH159" s="220"/>
      <x:c r="AI159" s="220"/>
      <x:c r="AJ159" s="222"/>
      <x:c r="AK159" s="220"/>
      <x:c r="AL159" s="220"/>
      <x:c r="AM159" s="220"/>
      <x:c r="AN159" s="220"/>
      <x:c r="AO159" s="220"/>
      <x:c r="AP159" s="220"/>
      <x:c r="AQ159" s="220"/>
      <x:c r="AR159" s="222"/>
      <x:c r="AS159" s="220"/>
      <x:c r="AT159" s="220"/>
      <x:c r="AU159" s="220"/>
      <x:c r="AV159" s="220"/>
      <x:c r="AW159" s="220"/>
      <x:c r="AX159" s="220"/>
      <x:c r="AY159" s="221"/>
      <x:c r="AZ159" s="220"/>
      <x:c r="BA159" s="220" t="str">
        <x:f>IF(AND(A159="",B159="",F159="",H159="",J159="",AW159="",AY159=""),"",IF(OR(B159="skip",AW159="skip"),"SKIP",IF(OR(B159="to_candidate",AW159="proposed_name"),IF(OR(A159="",AX159="",AY159="",COUNTIF($A$6:$A$505,A159)&gt;1),"REVIEW","TO_PROPOSED"),IF(OR(B159="",A159="",F159="",H159="",J159="",U159="",AW159="",COUNTIF($A$6:$A$505,A159)&gt;1,(COUNTIFS('أرقام التواصل'!$A$6:$A$505,"client",'أرقام التواصل'!$B$6:$B$505,A159,'أرقام التواصل'!$I$6:$I$505,"TRUE")+COUNTIFS('أرقام التواصل'!$A$6:$A$505,"client",'أرقام التواصل'!$B$6:$B$505,A159,'أرقام التواصل'!$C$6:$C$505,1))=0),"REVIEW","READY"))))</x:f>
      </x:c>
      <x:c r="BB159" s="224" t="str">
        <x:f>IF(BA159="","",IF(OR(BA159="READY",BA159="TO_PROPOSED"),"",IF(BA159="SKIP","Skipped by decision",TRIM(IF(B159="","missing import_action; ","")&amp;IF(A159="","missing migration_customer_key; ","")&amp;IF(AND(A159&lt;&gt;"",COUNTIF($A$6:$A$505,A159)&gt;1),"duplicate migration_customer_key; ","")&amp;IF(AND(NOT(OR(B159="to_candidate",AW159="proposed_name")),F159=""),"missing branch_id; ","")&amp;IF(AND(NOT(OR(B159="to_candidate",AW159="proposed_name")),H159=""),"missing first_name; ","")&amp;IF(AND(NOT(OR(B159="to_candidate",AW159="proposed_name")),J159=""),"missing last_name; ","")&amp;IF(AND(NOT(OR(B159="to_candidate",AW159="proposed_name")),U159=""),"missing final_geo_unit_id; ","")&amp;IF(AW159="","missing final_destination; ","")&amp;IF(AND(NOT(OR(B159="to_candidate",AW159="proposed_name")),(COUNTIFS('أرقام التواصل'!$A$6:$A$505,"client",'أرقام التواصل'!$B$6:$B$505,A159,'أرقام التواصل'!$I$6:$I$505,"TRUE")+COUNTIFS('أرقام التواصل'!$A$6:$A$505,"client",'أرقام التواصل'!$B$6:$B$505,A159,'أرقام التواصل'!$C$6:$C$505,1))=0),"missing primary contact in أرقام التواصل; ","")&amp;IF(OR(B159="to_candidate",AW159="proposed_name"),IF(AX159="","missing proposed_move_reason; ","")&amp;IF(AY159="","missing proposed_name_key; ",""),"")))))</x:f>
      </x:c>
    </x:row>
    <x:row r="160">
      <x:c r="A160" s="219"/>
      <x:c r="B160" s="220"/>
      <x:c r="C160" s="221"/>
      <x:c r="D160" s="220"/>
      <x:c r="E160" s="222"/>
      <x:c r="F160" s="220"/>
      <x:c r="G160" s="220"/>
      <x:c r="H160" s="220"/>
      <x:c r="I160" s="220"/>
      <x:c r="J160" s="220"/>
      <x:c r="K160" s="220"/>
      <x:c r="L160" s="220" t="str">
        <x:f>IF(TRIM(H160&amp;" "&amp;I160&amp;" "&amp;J160&amp;IF(K160&lt;&gt;""," ("&amp;K160&amp;")",""))="","",TRIM(H160&amp;" "&amp;I160&amp;" "&amp;J160&amp;IF(K160&lt;&gt;""," ("&amp;K160&amp;")","")))</x:f>
      </x:c>
      <x:c r="M160" s="220"/>
      <x:c r="N160" s="220"/>
      <x:c r="O160" s="220"/>
      <x:c r="P160" s="220"/>
      <x:c r="Q160" s="220"/>
      <x:c r="R160" s="220"/>
      <x:c r="S160" s="220"/>
      <x:c r="T160" s="220"/>
      <x:c r="U160" s="220" t="str">
        <x:f>IF(AND(M160="",O160="",Q160="",S160=""),"",IF(S160&lt;&gt;"",S160,IF(Q160&lt;&gt;"",Q160,IF(O160&lt;&gt;"",O160,M160))))</x:f>
      </x:c>
      <x:c r="V160" s="220" t="str">
        <x:f>IF(AND(N160="",P160="",R160="",T160=""),"",IF(T160&lt;&gt;"",T160,IF(R160&lt;&gt;"",R160,IF(P160&lt;&gt;"",P160,N160))))</x:f>
      </x:c>
      <x:c r="W160" s="221"/>
      <x:c r="X160" s="220"/>
      <x:c r="Y160" s="220"/>
      <x:c r="Z160" s="223"/>
      <x:c r="AA160" s="223"/>
      <x:c r="AB160" s="221"/>
      <x:c r="AC160" s="220"/>
      <x:c r="AD160" s="220"/>
      <x:c r="AE160" s="222"/>
      <x:c r="AF160" s="220"/>
      <x:c r="AG160" s="221"/>
      <x:c r="AH160" s="220"/>
      <x:c r="AI160" s="220"/>
      <x:c r="AJ160" s="222"/>
      <x:c r="AK160" s="220"/>
      <x:c r="AL160" s="220"/>
      <x:c r="AM160" s="220"/>
      <x:c r="AN160" s="220"/>
      <x:c r="AO160" s="220"/>
      <x:c r="AP160" s="220"/>
      <x:c r="AQ160" s="220"/>
      <x:c r="AR160" s="222"/>
      <x:c r="AS160" s="220"/>
      <x:c r="AT160" s="220"/>
      <x:c r="AU160" s="220"/>
      <x:c r="AV160" s="220"/>
      <x:c r="AW160" s="220"/>
      <x:c r="AX160" s="220"/>
      <x:c r="AY160" s="221"/>
      <x:c r="AZ160" s="220"/>
      <x:c r="BA160" s="220" t="str">
        <x:f>IF(AND(A160="",B160="",F160="",H160="",J160="",AW160="",AY160=""),"",IF(OR(B160="skip",AW160="skip"),"SKIP",IF(OR(B160="to_candidate",AW160="proposed_name"),IF(OR(A160="",AX160="",AY160="",COUNTIF($A$6:$A$505,A160)&gt;1),"REVIEW","TO_PROPOSED"),IF(OR(B160="",A160="",F160="",H160="",J160="",U160="",AW160="",COUNTIF($A$6:$A$505,A160)&gt;1,(COUNTIFS('أرقام التواصل'!$A$6:$A$505,"client",'أرقام التواصل'!$B$6:$B$505,A160,'أرقام التواصل'!$I$6:$I$505,"TRUE")+COUNTIFS('أرقام التواصل'!$A$6:$A$505,"client",'أرقام التواصل'!$B$6:$B$505,A160,'أرقام التواصل'!$C$6:$C$505,1))=0),"REVIEW","READY"))))</x:f>
      </x:c>
      <x:c r="BB160" s="224" t="str">
        <x:f>IF(BA160="","",IF(OR(BA160="READY",BA160="TO_PROPOSED"),"",IF(BA160="SKIP","Skipped by decision",TRIM(IF(B160="","missing import_action; ","")&amp;IF(A160="","missing migration_customer_key; ","")&amp;IF(AND(A160&lt;&gt;"",COUNTIF($A$6:$A$505,A160)&gt;1),"duplicate migration_customer_key; ","")&amp;IF(AND(NOT(OR(B160="to_candidate",AW160="proposed_name")),F160=""),"missing branch_id; ","")&amp;IF(AND(NOT(OR(B160="to_candidate",AW160="proposed_name")),H160=""),"missing first_name; ","")&amp;IF(AND(NOT(OR(B160="to_candidate",AW160="proposed_name")),J160=""),"missing last_name; ","")&amp;IF(AND(NOT(OR(B160="to_candidate",AW160="proposed_name")),U160=""),"missing final_geo_unit_id; ","")&amp;IF(AW160="","missing final_destination; ","")&amp;IF(AND(NOT(OR(B160="to_candidate",AW160="proposed_name")),(COUNTIFS('أرقام التواصل'!$A$6:$A$505,"client",'أرقام التواصل'!$B$6:$B$505,A160,'أرقام التواصل'!$I$6:$I$505,"TRUE")+COUNTIFS('أرقام التواصل'!$A$6:$A$505,"client",'أرقام التواصل'!$B$6:$B$505,A160,'أرقام التواصل'!$C$6:$C$505,1))=0),"missing primary contact in أرقام التواصل; ","")&amp;IF(OR(B160="to_candidate",AW160="proposed_name"),IF(AX160="","missing proposed_move_reason; ","")&amp;IF(AY160="","missing proposed_name_key; ",""),"")))))</x:f>
      </x:c>
    </x:row>
    <x:row r="161">
      <x:c r="A161" s="219"/>
      <x:c r="B161" s="220"/>
      <x:c r="C161" s="221"/>
      <x:c r="D161" s="220"/>
      <x:c r="E161" s="222"/>
      <x:c r="F161" s="220"/>
      <x:c r="G161" s="220"/>
      <x:c r="H161" s="220"/>
      <x:c r="I161" s="220"/>
      <x:c r="J161" s="220"/>
      <x:c r="K161" s="220"/>
      <x:c r="L161" s="220" t="str">
        <x:f>IF(TRIM(H161&amp;" "&amp;I161&amp;" "&amp;J161&amp;IF(K161&lt;&gt;""," ("&amp;K161&amp;")",""))="","",TRIM(H161&amp;" "&amp;I161&amp;" "&amp;J161&amp;IF(K161&lt;&gt;""," ("&amp;K161&amp;")","")))</x:f>
      </x:c>
      <x:c r="M161" s="220"/>
      <x:c r="N161" s="220"/>
      <x:c r="O161" s="220"/>
      <x:c r="P161" s="220"/>
      <x:c r="Q161" s="220"/>
      <x:c r="R161" s="220"/>
      <x:c r="S161" s="220"/>
      <x:c r="T161" s="220"/>
      <x:c r="U161" s="220" t="str">
        <x:f>IF(AND(M161="",O161="",Q161="",S161=""),"",IF(S161&lt;&gt;"",S161,IF(Q161&lt;&gt;"",Q161,IF(O161&lt;&gt;"",O161,M161))))</x:f>
      </x:c>
      <x:c r="V161" s="220" t="str">
        <x:f>IF(AND(N161="",P161="",R161="",T161=""),"",IF(T161&lt;&gt;"",T161,IF(R161&lt;&gt;"",R161,IF(P161&lt;&gt;"",P161,N161))))</x:f>
      </x:c>
      <x:c r="W161" s="221"/>
      <x:c r="X161" s="220"/>
      <x:c r="Y161" s="220"/>
      <x:c r="Z161" s="223"/>
      <x:c r="AA161" s="223"/>
      <x:c r="AB161" s="221"/>
      <x:c r="AC161" s="220"/>
      <x:c r="AD161" s="220"/>
      <x:c r="AE161" s="222"/>
      <x:c r="AF161" s="220"/>
      <x:c r="AG161" s="221"/>
      <x:c r="AH161" s="220"/>
      <x:c r="AI161" s="220"/>
      <x:c r="AJ161" s="222"/>
      <x:c r="AK161" s="220"/>
      <x:c r="AL161" s="220"/>
      <x:c r="AM161" s="220"/>
      <x:c r="AN161" s="220"/>
      <x:c r="AO161" s="220"/>
      <x:c r="AP161" s="220"/>
      <x:c r="AQ161" s="220"/>
      <x:c r="AR161" s="222"/>
      <x:c r="AS161" s="220"/>
      <x:c r="AT161" s="220"/>
      <x:c r="AU161" s="220"/>
      <x:c r="AV161" s="220"/>
      <x:c r="AW161" s="220"/>
      <x:c r="AX161" s="220"/>
      <x:c r="AY161" s="221"/>
      <x:c r="AZ161" s="220"/>
      <x:c r="BA161" s="220" t="str">
        <x:f>IF(AND(A161="",B161="",F161="",H161="",J161="",AW161="",AY161=""),"",IF(OR(B161="skip",AW161="skip"),"SKIP",IF(OR(B161="to_candidate",AW161="proposed_name"),IF(OR(A161="",AX161="",AY161="",COUNTIF($A$6:$A$505,A161)&gt;1),"REVIEW","TO_PROPOSED"),IF(OR(B161="",A161="",F161="",H161="",J161="",U161="",AW161="",COUNTIF($A$6:$A$505,A161)&gt;1,(COUNTIFS('أرقام التواصل'!$A$6:$A$505,"client",'أرقام التواصل'!$B$6:$B$505,A161,'أرقام التواصل'!$I$6:$I$505,"TRUE")+COUNTIFS('أرقام التواصل'!$A$6:$A$505,"client",'أرقام التواصل'!$B$6:$B$505,A161,'أرقام التواصل'!$C$6:$C$505,1))=0),"REVIEW","READY"))))</x:f>
      </x:c>
      <x:c r="BB161" s="224" t="str">
        <x:f>IF(BA161="","",IF(OR(BA161="READY",BA161="TO_PROPOSED"),"",IF(BA161="SKIP","Skipped by decision",TRIM(IF(B161="","missing import_action; ","")&amp;IF(A161="","missing migration_customer_key; ","")&amp;IF(AND(A161&lt;&gt;"",COUNTIF($A$6:$A$505,A161)&gt;1),"duplicate migration_customer_key; ","")&amp;IF(AND(NOT(OR(B161="to_candidate",AW161="proposed_name")),F161=""),"missing branch_id; ","")&amp;IF(AND(NOT(OR(B161="to_candidate",AW161="proposed_name")),H161=""),"missing first_name; ","")&amp;IF(AND(NOT(OR(B161="to_candidate",AW161="proposed_name")),J161=""),"missing last_name; ","")&amp;IF(AND(NOT(OR(B161="to_candidate",AW161="proposed_name")),U161=""),"missing final_geo_unit_id; ","")&amp;IF(AW161="","missing final_destination; ","")&amp;IF(AND(NOT(OR(B161="to_candidate",AW161="proposed_name")),(COUNTIFS('أرقام التواصل'!$A$6:$A$505,"client",'أرقام التواصل'!$B$6:$B$505,A161,'أرقام التواصل'!$I$6:$I$505,"TRUE")+COUNTIFS('أرقام التواصل'!$A$6:$A$505,"client",'أرقام التواصل'!$B$6:$B$505,A161,'أرقام التواصل'!$C$6:$C$505,1))=0),"missing primary contact in أرقام التواصل; ","")&amp;IF(OR(B161="to_candidate",AW161="proposed_name"),IF(AX161="","missing proposed_move_reason; ","")&amp;IF(AY161="","missing proposed_name_key; ",""),"")))))</x:f>
      </x:c>
    </x:row>
    <x:row r="162">
      <x:c r="A162" s="219"/>
      <x:c r="B162" s="220"/>
      <x:c r="C162" s="221"/>
      <x:c r="D162" s="220"/>
      <x:c r="E162" s="222"/>
      <x:c r="F162" s="220"/>
      <x:c r="G162" s="220"/>
      <x:c r="H162" s="220"/>
      <x:c r="I162" s="220"/>
      <x:c r="J162" s="220"/>
      <x:c r="K162" s="220"/>
      <x:c r="L162" s="220" t="str">
        <x:f>IF(TRIM(H162&amp;" "&amp;I162&amp;" "&amp;J162&amp;IF(K162&lt;&gt;""," ("&amp;K162&amp;")",""))="","",TRIM(H162&amp;" "&amp;I162&amp;" "&amp;J162&amp;IF(K162&lt;&gt;""," ("&amp;K162&amp;")","")))</x:f>
      </x:c>
      <x:c r="M162" s="220"/>
      <x:c r="N162" s="220"/>
      <x:c r="O162" s="220"/>
      <x:c r="P162" s="220"/>
      <x:c r="Q162" s="220"/>
      <x:c r="R162" s="220"/>
      <x:c r="S162" s="220"/>
      <x:c r="T162" s="220"/>
      <x:c r="U162" s="220" t="str">
        <x:f>IF(AND(M162="",O162="",Q162="",S162=""),"",IF(S162&lt;&gt;"",S162,IF(Q162&lt;&gt;"",Q162,IF(O162&lt;&gt;"",O162,M162))))</x:f>
      </x:c>
      <x:c r="V162" s="220" t="str">
        <x:f>IF(AND(N162="",P162="",R162="",T162=""),"",IF(T162&lt;&gt;"",T162,IF(R162&lt;&gt;"",R162,IF(P162&lt;&gt;"",P162,N162))))</x:f>
      </x:c>
      <x:c r="W162" s="221"/>
      <x:c r="X162" s="220"/>
      <x:c r="Y162" s="220"/>
      <x:c r="Z162" s="223"/>
      <x:c r="AA162" s="223"/>
      <x:c r="AB162" s="221"/>
      <x:c r="AC162" s="220"/>
      <x:c r="AD162" s="220"/>
      <x:c r="AE162" s="222"/>
      <x:c r="AF162" s="220"/>
      <x:c r="AG162" s="221"/>
      <x:c r="AH162" s="220"/>
      <x:c r="AI162" s="220"/>
      <x:c r="AJ162" s="222"/>
      <x:c r="AK162" s="220"/>
      <x:c r="AL162" s="220"/>
      <x:c r="AM162" s="220"/>
      <x:c r="AN162" s="220"/>
      <x:c r="AO162" s="220"/>
      <x:c r="AP162" s="220"/>
      <x:c r="AQ162" s="220"/>
      <x:c r="AR162" s="222"/>
      <x:c r="AS162" s="220"/>
      <x:c r="AT162" s="220"/>
      <x:c r="AU162" s="220"/>
      <x:c r="AV162" s="220"/>
      <x:c r="AW162" s="220"/>
      <x:c r="AX162" s="220"/>
      <x:c r="AY162" s="221"/>
      <x:c r="AZ162" s="220"/>
      <x:c r="BA162" s="220" t="str">
        <x:f>IF(AND(A162="",B162="",F162="",H162="",J162="",AW162="",AY162=""),"",IF(OR(B162="skip",AW162="skip"),"SKIP",IF(OR(B162="to_candidate",AW162="proposed_name"),IF(OR(A162="",AX162="",AY162="",COUNTIF($A$6:$A$505,A162)&gt;1),"REVIEW","TO_PROPOSED"),IF(OR(B162="",A162="",F162="",H162="",J162="",U162="",AW162="",COUNTIF($A$6:$A$505,A162)&gt;1,(COUNTIFS('أرقام التواصل'!$A$6:$A$505,"client",'أرقام التواصل'!$B$6:$B$505,A162,'أرقام التواصل'!$I$6:$I$505,"TRUE")+COUNTIFS('أرقام التواصل'!$A$6:$A$505,"client",'أرقام التواصل'!$B$6:$B$505,A162,'أرقام التواصل'!$C$6:$C$505,1))=0),"REVIEW","READY"))))</x:f>
      </x:c>
      <x:c r="BB162" s="224" t="str">
        <x:f>IF(BA162="","",IF(OR(BA162="READY",BA162="TO_PROPOSED"),"",IF(BA162="SKIP","Skipped by decision",TRIM(IF(B162="","missing import_action; ","")&amp;IF(A162="","missing migration_customer_key; ","")&amp;IF(AND(A162&lt;&gt;"",COUNTIF($A$6:$A$505,A162)&gt;1),"duplicate migration_customer_key; ","")&amp;IF(AND(NOT(OR(B162="to_candidate",AW162="proposed_name")),F162=""),"missing branch_id; ","")&amp;IF(AND(NOT(OR(B162="to_candidate",AW162="proposed_name")),H162=""),"missing first_name; ","")&amp;IF(AND(NOT(OR(B162="to_candidate",AW162="proposed_name")),J162=""),"missing last_name; ","")&amp;IF(AND(NOT(OR(B162="to_candidate",AW162="proposed_name")),U162=""),"missing final_geo_unit_id; ","")&amp;IF(AW162="","missing final_destination; ","")&amp;IF(AND(NOT(OR(B162="to_candidate",AW162="proposed_name")),(COUNTIFS('أرقام التواصل'!$A$6:$A$505,"client",'أرقام التواصل'!$B$6:$B$505,A162,'أرقام التواصل'!$I$6:$I$505,"TRUE")+COUNTIFS('أرقام التواصل'!$A$6:$A$505,"client",'أرقام التواصل'!$B$6:$B$505,A162,'أرقام التواصل'!$C$6:$C$505,1))=0),"missing primary contact in أرقام التواصل; ","")&amp;IF(OR(B162="to_candidate",AW162="proposed_name"),IF(AX162="","missing proposed_move_reason; ","")&amp;IF(AY162="","missing proposed_name_key; ",""),"")))))</x:f>
      </x:c>
    </x:row>
    <x:row r="163">
      <x:c r="A163" s="219"/>
      <x:c r="B163" s="220"/>
      <x:c r="C163" s="221"/>
      <x:c r="D163" s="220"/>
      <x:c r="E163" s="222"/>
      <x:c r="F163" s="220"/>
      <x:c r="G163" s="220"/>
      <x:c r="H163" s="220"/>
      <x:c r="I163" s="220"/>
      <x:c r="J163" s="220"/>
      <x:c r="K163" s="220"/>
      <x:c r="L163" s="220" t="str">
        <x:f>IF(TRIM(H163&amp;" "&amp;I163&amp;" "&amp;J163&amp;IF(K163&lt;&gt;""," ("&amp;K163&amp;")",""))="","",TRIM(H163&amp;" "&amp;I163&amp;" "&amp;J163&amp;IF(K163&lt;&gt;""," ("&amp;K163&amp;")","")))</x:f>
      </x:c>
      <x:c r="M163" s="220"/>
      <x:c r="N163" s="220"/>
      <x:c r="O163" s="220"/>
      <x:c r="P163" s="220"/>
      <x:c r="Q163" s="220"/>
      <x:c r="R163" s="220"/>
      <x:c r="S163" s="220"/>
      <x:c r="T163" s="220"/>
      <x:c r="U163" s="220" t="str">
        <x:f>IF(AND(M163="",O163="",Q163="",S163=""),"",IF(S163&lt;&gt;"",S163,IF(Q163&lt;&gt;"",Q163,IF(O163&lt;&gt;"",O163,M163))))</x:f>
      </x:c>
      <x:c r="V163" s="220" t="str">
        <x:f>IF(AND(N163="",P163="",R163="",T163=""),"",IF(T163&lt;&gt;"",T163,IF(R163&lt;&gt;"",R163,IF(P163&lt;&gt;"",P163,N163))))</x:f>
      </x:c>
      <x:c r="W163" s="221"/>
      <x:c r="X163" s="220"/>
      <x:c r="Y163" s="220"/>
      <x:c r="Z163" s="223"/>
      <x:c r="AA163" s="223"/>
      <x:c r="AB163" s="221"/>
      <x:c r="AC163" s="220"/>
      <x:c r="AD163" s="220"/>
      <x:c r="AE163" s="222"/>
      <x:c r="AF163" s="220"/>
      <x:c r="AG163" s="221"/>
      <x:c r="AH163" s="220"/>
      <x:c r="AI163" s="220"/>
      <x:c r="AJ163" s="222"/>
      <x:c r="AK163" s="220"/>
      <x:c r="AL163" s="220"/>
      <x:c r="AM163" s="220"/>
      <x:c r="AN163" s="220"/>
      <x:c r="AO163" s="220"/>
      <x:c r="AP163" s="220"/>
      <x:c r="AQ163" s="220"/>
      <x:c r="AR163" s="222"/>
      <x:c r="AS163" s="220"/>
      <x:c r="AT163" s="220"/>
      <x:c r="AU163" s="220"/>
      <x:c r="AV163" s="220"/>
      <x:c r="AW163" s="220"/>
      <x:c r="AX163" s="220"/>
      <x:c r="AY163" s="221"/>
      <x:c r="AZ163" s="220"/>
      <x:c r="BA163" s="220" t="str">
        <x:f>IF(AND(A163="",B163="",F163="",H163="",J163="",AW163="",AY163=""),"",IF(OR(B163="skip",AW163="skip"),"SKIP",IF(OR(B163="to_candidate",AW163="proposed_name"),IF(OR(A163="",AX163="",AY163="",COUNTIF($A$6:$A$505,A163)&gt;1),"REVIEW","TO_PROPOSED"),IF(OR(B163="",A163="",F163="",H163="",J163="",U163="",AW163="",COUNTIF($A$6:$A$505,A163)&gt;1,(COUNTIFS('أرقام التواصل'!$A$6:$A$505,"client",'أرقام التواصل'!$B$6:$B$505,A163,'أرقام التواصل'!$I$6:$I$505,"TRUE")+COUNTIFS('أرقام التواصل'!$A$6:$A$505,"client",'أرقام التواصل'!$B$6:$B$505,A163,'أرقام التواصل'!$C$6:$C$505,1))=0),"REVIEW","READY"))))</x:f>
      </x:c>
      <x:c r="BB163" s="224" t="str">
        <x:f>IF(BA163="","",IF(OR(BA163="READY",BA163="TO_PROPOSED"),"",IF(BA163="SKIP","Skipped by decision",TRIM(IF(B163="","missing import_action; ","")&amp;IF(A163="","missing migration_customer_key; ","")&amp;IF(AND(A163&lt;&gt;"",COUNTIF($A$6:$A$505,A163)&gt;1),"duplicate migration_customer_key; ","")&amp;IF(AND(NOT(OR(B163="to_candidate",AW163="proposed_name")),F163=""),"missing branch_id; ","")&amp;IF(AND(NOT(OR(B163="to_candidate",AW163="proposed_name")),H163=""),"missing first_name; ","")&amp;IF(AND(NOT(OR(B163="to_candidate",AW163="proposed_name")),J163=""),"missing last_name; ","")&amp;IF(AND(NOT(OR(B163="to_candidate",AW163="proposed_name")),U163=""),"missing final_geo_unit_id; ","")&amp;IF(AW163="","missing final_destination; ","")&amp;IF(AND(NOT(OR(B163="to_candidate",AW163="proposed_name")),(COUNTIFS('أرقام التواصل'!$A$6:$A$505,"client",'أرقام التواصل'!$B$6:$B$505,A163,'أرقام التواصل'!$I$6:$I$505,"TRUE")+COUNTIFS('أرقام التواصل'!$A$6:$A$505,"client",'أرقام التواصل'!$B$6:$B$505,A163,'أرقام التواصل'!$C$6:$C$505,1))=0),"missing primary contact in أرقام التواصل; ","")&amp;IF(OR(B163="to_candidate",AW163="proposed_name"),IF(AX163="","missing proposed_move_reason; ","")&amp;IF(AY163="","missing proposed_name_key; ",""),"")))))</x:f>
      </x:c>
    </x:row>
    <x:row r="164">
      <x:c r="A164" s="219"/>
      <x:c r="B164" s="220"/>
      <x:c r="C164" s="221"/>
      <x:c r="D164" s="220"/>
      <x:c r="E164" s="222"/>
      <x:c r="F164" s="220"/>
      <x:c r="G164" s="220"/>
      <x:c r="H164" s="220"/>
      <x:c r="I164" s="220"/>
      <x:c r="J164" s="220"/>
      <x:c r="K164" s="220"/>
      <x:c r="L164" s="220" t="str">
        <x:f>IF(TRIM(H164&amp;" "&amp;I164&amp;" "&amp;J164&amp;IF(K164&lt;&gt;""," ("&amp;K164&amp;")",""))="","",TRIM(H164&amp;" "&amp;I164&amp;" "&amp;J164&amp;IF(K164&lt;&gt;""," ("&amp;K164&amp;")","")))</x:f>
      </x:c>
      <x:c r="M164" s="220"/>
      <x:c r="N164" s="220"/>
      <x:c r="O164" s="220"/>
      <x:c r="P164" s="220"/>
      <x:c r="Q164" s="220"/>
      <x:c r="R164" s="220"/>
      <x:c r="S164" s="220"/>
      <x:c r="T164" s="220"/>
      <x:c r="U164" s="220" t="str">
        <x:f>IF(AND(M164="",O164="",Q164="",S164=""),"",IF(S164&lt;&gt;"",S164,IF(Q164&lt;&gt;"",Q164,IF(O164&lt;&gt;"",O164,M164))))</x:f>
      </x:c>
      <x:c r="V164" s="220" t="str">
        <x:f>IF(AND(N164="",P164="",R164="",T164=""),"",IF(T164&lt;&gt;"",T164,IF(R164&lt;&gt;"",R164,IF(P164&lt;&gt;"",P164,N164))))</x:f>
      </x:c>
      <x:c r="W164" s="221"/>
      <x:c r="X164" s="220"/>
      <x:c r="Y164" s="220"/>
      <x:c r="Z164" s="223"/>
      <x:c r="AA164" s="223"/>
      <x:c r="AB164" s="221"/>
      <x:c r="AC164" s="220"/>
      <x:c r="AD164" s="220"/>
      <x:c r="AE164" s="222"/>
      <x:c r="AF164" s="220"/>
      <x:c r="AG164" s="221"/>
      <x:c r="AH164" s="220"/>
      <x:c r="AI164" s="220"/>
      <x:c r="AJ164" s="222"/>
      <x:c r="AK164" s="220"/>
      <x:c r="AL164" s="220"/>
      <x:c r="AM164" s="220"/>
      <x:c r="AN164" s="220"/>
      <x:c r="AO164" s="220"/>
      <x:c r="AP164" s="220"/>
      <x:c r="AQ164" s="220"/>
      <x:c r="AR164" s="222"/>
      <x:c r="AS164" s="220"/>
      <x:c r="AT164" s="220"/>
      <x:c r="AU164" s="220"/>
      <x:c r="AV164" s="220"/>
      <x:c r="AW164" s="220"/>
      <x:c r="AX164" s="220"/>
      <x:c r="AY164" s="221"/>
      <x:c r="AZ164" s="220"/>
      <x:c r="BA164" s="220" t="str">
        <x:f>IF(AND(A164="",B164="",F164="",H164="",J164="",AW164="",AY164=""),"",IF(OR(B164="skip",AW164="skip"),"SKIP",IF(OR(B164="to_candidate",AW164="proposed_name"),IF(OR(A164="",AX164="",AY164="",COUNTIF($A$6:$A$505,A164)&gt;1),"REVIEW","TO_PROPOSED"),IF(OR(B164="",A164="",F164="",H164="",J164="",U164="",AW164="",COUNTIF($A$6:$A$505,A164)&gt;1,(COUNTIFS('أرقام التواصل'!$A$6:$A$505,"client",'أرقام التواصل'!$B$6:$B$505,A164,'أرقام التواصل'!$I$6:$I$505,"TRUE")+COUNTIFS('أرقام التواصل'!$A$6:$A$505,"client",'أرقام التواصل'!$B$6:$B$505,A164,'أرقام التواصل'!$C$6:$C$505,1))=0),"REVIEW","READY"))))</x:f>
      </x:c>
      <x:c r="BB164" s="224" t="str">
        <x:f>IF(BA164="","",IF(OR(BA164="READY",BA164="TO_PROPOSED"),"",IF(BA164="SKIP","Skipped by decision",TRIM(IF(B164="","missing import_action; ","")&amp;IF(A164="","missing migration_customer_key; ","")&amp;IF(AND(A164&lt;&gt;"",COUNTIF($A$6:$A$505,A164)&gt;1),"duplicate migration_customer_key; ","")&amp;IF(AND(NOT(OR(B164="to_candidate",AW164="proposed_name")),F164=""),"missing branch_id; ","")&amp;IF(AND(NOT(OR(B164="to_candidate",AW164="proposed_name")),H164=""),"missing first_name; ","")&amp;IF(AND(NOT(OR(B164="to_candidate",AW164="proposed_name")),J164=""),"missing last_name; ","")&amp;IF(AND(NOT(OR(B164="to_candidate",AW164="proposed_name")),U164=""),"missing final_geo_unit_id; ","")&amp;IF(AW164="","missing final_destination; ","")&amp;IF(AND(NOT(OR(B164="to_candidate",AW164="proposed_name")),(COUNTIFS('أرقام التواصل'!$A$6:$A$505,"client",'أرقام التواصل'!$B$6:$B$505,A164,'أرقام التواصل'!$I$6:$I$505,"TRUE")+COUNTIFS('أرقام التواصل'!$A$6:$A$505,"client",'أرقام التواصل'!$B$6:$B$505,A164,'أرقام التواصل'!$C$6:$C$505,1))=0),"missing primary contact in أرقام التواصل; ","")&amp;IF(OR(B164="to_candidate",AW164="proposed_name"),IF(AX164="","missing proposed_move_reason; ","")&amp;IF(AY164="","missing proposed_name_key; ",""),"")))))</x:f>
      </x:c>
    </x:row>
    <x:row r="165">
      <x:c r="A165" s="219"/>
      <x:c r="B165" s="220"/>
      <x:c r="C165" s="221"/>
      <x:c r="D165" s="220"/>
      <x:c r="E165" s="222"/>
      <x:c r="F165" s="220"/>
      <x:c r="G165" s="220"/>
      <x:c r="H165" s="220"/>
      <x:c r="I165" s="220"/>
      <x:c r="J165" s="220"/>
      <x:c r="K165" s="220"/>
      <x:c r="L165" s="220" t="str">
        <x:f>IF(TRIM(H165&amp;" "&amp;I165&amp;" "&amp;J165&amp;IF(K165&lt;&gt;""," ("&amp;K165&amp;")",""))="","",TRIM(H165&amp;" "&amp;I165&amp;" "&amp;J165&amp;IF(K165&lt;&gt;""," ("&amp;K165&amp;")","")))</x:f>
      </x:c>
      <x:c r="M165" s="220"/>
      <x:c r="N165" s="220"/>
      <x:c r="O165" s="220"/>
      <x:c r="P165" s="220"/>
      <x:c r="Q165" s="220"/>
      <x:c r="R165" s="220"/>
      <x:c r="S165" s="220"/>
      <x:c r="T165" s="220"/>
      <x:c r="U165" s="220" t="str">
        <x:f>IF(AND(M165="",O165="",Q165="",S165=""),"",IF(S165&lt;&gt;"",S165,IF(Q165&lt;&gt;"",Q165,IF(O165&lt;&gt;"",O165,M165))))</x:f>
      </x:c>
      <x:c r="V165" s="220" t="str">
        <x:f>IF(AND(N165="",P165="",R165="",T165=""),"",IF(T165&lt;&gt;"",T165,IF(R165&lt;&gt;"",R165,IF(P165&lt;&gt;"",P165,N165))))</x:f>
      </x:c>
      <x:c r="W165" s="221"/>
      <x:c r="X165" s="220"/>
      <x:c r="Y165" s="220"/>
      <x:c r="Z165" s="223"/>
      <x:c r="AA165" s="223"/>
      <x:c r="AB165" s="221"/>
      <x:c r="AC165" s="220"/>
      <x:c r="AD165" s="220"/>
      <x:c r="AE165" s="222"/>
      <x:c r="AF165" s="220"/>
      <x:c r="AG165" s="221"/>
      <x:c r="AH165" s="220"/>
      <x:c r="AI165" s="220"/>
      <x:c r="AJ165" s="222"/>
      <x:c r="AK165" s="220"/>
      <x:c r="AL165" s="220"/>
      <x:c r="AM165" s="220"/>
      <x:c r="AN165" s="220"/>
      <x:c r="AO165" s="220"/>
      <x:c r="AP165" s="220"/>
      <x:c r="AQ165" s="220"/>
      <x:c r="AR165" s="222"/>
      <x:c r="AS165" s="220"/>
      <x:c r="AT165" s="220"/>
      <x:c r="AU165" s="220"/>
      <x:c r="AV165" s="220"/>
      <x:c r="AW165" s="220"/>
      <x:c r="AX165" s="220"/>
      <x:c r="AY165" s="221"/>
      <x:c r="AZ165" s="220"/>
      <x:c r="BA165" s="220" t="str">
        <x:f>IF(AND(A165="",B165="",F165="",H165="",J165="",AW165="",AY165=""),"",IF(OR(B165="skip",AW165="skip"),"SKIP",IF(OR(B165="to_candidate",AW165="proposed_name"),IF(OR(A165="",AX165="",AY165="",COUNTIF($A$6:$A$505,A165)&gt;1),"REVIEW","TO_PROPOSED"),IF(OR(B165="",A165="",F165="",H165="",J165="",U165="",AW165="",COUNTIF($A$6:$A$505,A165)&gt;1,(COUNTIFS('أرقام التواصل'!$A$6:$A$505,"client",'أرقام التواصل'!$B$6:$B$505,A165,'أرقام التواصل'!$I$6:$I$505,"TRUE")+COUNTIFS('أرقام التواصل'!$A$6:$A$505,"client",'أرقام التواصل'!$B$6:$B$505,A165,'أرقام التواصل'!$C$6:$C$505,1))=0),"REVIEW","READY"))))</x:f>
      </x:c>
      <x:c r="BB165" s="224" t="str">
        <x:f>IF(BA165="","",IF(OR(BA165="READY",BA165="TO_PROPOSED"),"",IF(BA165="SKIP","Skipped by decision",TRIM(IF(B165="","missing import_action; ","")&amp;IF(A165="","missing migration_customer_key; ","")&amp;IF(AND(A165&lt;&gt;"",COUNTIF($A$6:$A$505,A165)&gt;1),"duplicate migration_customer_key; ","")&amp;IF(AND(NOT(OR(B165="to_candidate",AW165="proposed_name")),F165=""),"missing branch_id; ","")&amp;IF(AND(NOT(OR(B165="to_candidate",AW165="proposed_name")),H165=""),"missing first_name; ","")&amp;IF(AND(NOT(OR(B165="to_candidate",AW165="proposed_name")),J165=""),"missing last_name; ","")&amp;IF(AND(NOT(OR(B165="to_candidate",AW165="proposed_name")),U165=""),"missing final_geo_unit_id; ","")&amp;IF(AW165="","missing final_destination; ","")&amp;IF(AND(NOT(OR(B165="to_candidate",AW165="proposed_name")),(COUNTIFS('أرقام التواصل'!$A$6:$A$505,"client",'أرقام التواصل'!$B$6:$B$505,A165,'أرقام التواصل'!$I$6:$I$505,"TRUE")+COUNTIFS('أرقام التواصل'!$A$6:$A$505,"client",'أرقام التواصل'!$B$6:$B$505,A165,'أرقام التواصل'!$C$6:$C$505,1))=0),"missing primary contact in أرقام التواصل; ","")&amp;IF(OR(B165="to_candidate",AW165="proposed_name"),IF(AX165="","missing proposed_move_reason; ","")&amp;IF(AY165="","missing proposed_name_key; ",""),"")))))</x:f>
      </x:c>
    </x:row>
    <x:row r="166">
      <x:c r="A166" s="219"/>
      <x:c r="B166" s="220"/>
      <x:c r="C166" s="221"/>
      <x:c r="D166" s="220"/>
      <x:c r="E166" s="222"/>
      <x:c r="F166" s="220"/>
      <x:c r="G166" s="220"/>
      <x:c r="H166" s="220"/>
      <x:c r="I166" s="220"/>
      <x:c r="J166" s="220"/>
      <x:c r="K166" s="220"/>
      <x:c r="L166" s="220" t="str">
        <x:f>IF(TRIM(H166&amp;" "&amp;I166&amp;" "&amp;J166&amp;IF(K166&lt;&gt;""," ("&amp;K166&amp;")",""))="","",TRIM(H166&amp;" "&amp;I166&amp;" "&amp;J166&amp;IF(K166&lt;&gt;""," ("&amp;K166&amp;")","")))</x:f>
      </x:c>
      <x:c r="M166" s="220"/>
      <x:c r="N166" s="220"/>
      <x:c r="O166" s="220"/>
      <x:c r="P166" s="220"/>
      <x:c r="Q166" s="220"/>
      <x:c r="R166" s="220"/>
      <x:c r="S166" s="220"/>
      <x:c r="T166" s="220"/>
      <x:c r="U166" s="220" t="str">
        <x:f>IF(AND(M166="",O166="",Q166="",S166=""),"",IF(S166&lt;&gt;"",S166,IF(Q166&lt;&gt;"",Q166,IF(O166&lt;&gt;"",O166,M166))))</x:f>
      </x:c>
      <x:c r="V166" s="220" t="str">
        <x:f>IF(AND(N166="",P166="",R166="",T166=""),"",IF(T166&lt;&gt;"",T166,IF(R166&lt;&gt;"",R166,IF(P166&lt;&gt;"",P166,N166))))</x:f>
      </x:c>
      <x:c r="W166" s="221"/>
      <x:c r="X166" s="220"/>
      <x:c r="Y166" s="220"/>
      <x:c r="Z166" s="223"/>
      <x:c r="AA166" s="223"/>
      <x:c r="AB166" s="221"/>
      <x:c r="AC166" s="220"/>
      <x:c r="AD166" s="220"/>
      <x:c r="AE166" s="222"/>
      <x:c r="AF166" s="220"/>
      <x:c r="AG166" s="221"/>
      <x:c r="AH166" s="220"/>
      <x:c r="AI166" s="220"/>
      <x:c r="AJ166" s="222"/>
      <x:c r="AK166" s="220"/>
      <x:c r="AL166" s="220"/>
      <x:c r="AM166" s="220"/>
      <x:c r="AN166" s="220"/>
      <x:c r="AO166" s="220"/>
      <x:c r="AP166" s="220"/>
      <x:c r="AQ166" s="220"/>
      <x:c r="AR166" s="222"/>
      <x:c r="AS166" s="220"/>
      <x:c r="AT166" s="220"/>
      <x:c r="AU166" s="220"/>
      <x:c r="AV166" s="220"/>
      <x:c r="AW166" s="220"/>
      <x:c r="AX166" s="220"/>
      <x:c r="AY166" s="221"/>
      <x:c r="AZ166" s="220"/>
      <x:c r="BA166" s="220" t="str">
        <x:f>IF(AND(A166="",B166="",F166="",H166="",J166="",AW166="",AY166=""),"",IF(OR(B166="skip",AW166="skip"),"SKIP",IF(OR(B166="to_candidate",AW166="proposed_name"),IF(OR(A166="",AX166="",AY166="",COUNTIF($A$6:$A$505,A166)&gt;1),"REVIEW","TO_PROPOSED"),IF(OR(B166="",A166="",F166="",H166="",J166="",U166="",AW166="",COUNTIF($A$6:$A$505,A166)&gt;1,(COUNTIFS('أرقام التواصل'!$A$6:$A$505,"client",'أرقام التواصل'!$B$6:$B$505,A166,'أرقام التواصل'!$I$6:$I$505,"TRUE")+COUNTIFS('أرقام التواصل'!$A$6:$A$505,"client",'أرقام التواصل'!$B$6:$B$505,A166,'أرقام التواصل'!$C$6:$C$505,1))=0),"REVIEW","READY"))))</x:f>
      </x:c>
      <x:c r="BB166" s="224" t="str">
        <x:f>IF(BA166="","",IF(OR(BA166="READY",BA166="TO_PROPOSED"),"",IF(BA166="SKIP","Skipped by decision",TRIM(IF(B166="","missing import_action; ","")&amp;IF(A166="","missing migration_customer_key; ","")&amp;IF(AND(A166&lt;&gt;"",COUNTIF($A$6:$A$505,A166)&gt;1),"duplicate migration_customer_key; ","")&amp;IF(AND(NOT(OR(B166="to_candidate",AW166="proposed_name")),F166=""),"missing branch_id; ","")&amp;IF(AND(NOT(OR(B166="to_candidate",AW166="proposed_name")),H166=""),"missing first_name; ","")&amp;IF(AND(NOT(OR(B166="to_candidate",AW166="proposed_name")),J166=""),"missing last_name; ","")&amp;IF(AND(NOT(OR(B166="to_candidate",AW166="proposed_name")),U166=""),"missing final_geo_unit_id; ","")&amp;IF(AW166="","missing final_destination; ","")&amp;IF(AND(NOT(OR(B166="to_candidate",AW166="proposed_name")),(COUNTIFS('أرقام التواصل'!$A$6:$A$505,"client",'أرقام التواصل'!$B$6:$B$505,A166,'أرقام التواصل'!$I$6:$I$505,"TRUE")+COUNTIFS('أرقام التواصل'!$A$6:$A$505,"client",'أرقام التواصل'!$B$6:$B$505,A166,'أرقام التواصل'!$C$6:$C$505,1))=0),"missing primary contact in أرقام التواصل; ","")&amp;IF(OR(B166="to_candidate",AW166="proposed_name"),IF(AX166="","missing proposed_move_reason; ","")&amp;IF(AY166="","missing proposed_name_key; ",""),"")))))</x:f>
      </x:c>
    </x:row>
    <x:row r="167">
      <x:c r="A167" s="219"/>
      <x:c r="B167" s="220"/>
      <x:c r="C167" s="221"/>
      <x:c r="D167" s="220"/>
      <x:c r="E167" s="222"/>
      <x:c r="F167" s="220"/>
      <x:c r="G167" s="220"/>
      <x:c r="H167" s="220"/>
      <x:c r="I167" s="220"/>
      <x:c r="J167" s="220"/>
      <x:c r="K167" s="220"/>
      <x:c r="L167" s="220" t="str">
        <x:f>IF(TRIM(H167&amp;" "&amp;I167&amp;" "&amp;J167&amp;IF(K167&lt;&gt;""," ("&amp;K167&amp;")",""))="","",TRIM(H167&amp;" "&amp;I167&amp;" "&amp;J167&amp;IF(K167&lt;&gt;""," ("&amp;K167&amp;")","")))</x:f>
      </x:c>
      <x:c r="M167" s="220"/>
      <x:c r="N167" s="220"/>
      <x:c r="O167" s="220"/>
      <x:c r="P167" s="220"/>
      <x:c r="Q167" s="220"/>
      <x:c r="R167" s="220"/>
      <x:c r="S167" s="220"/>
      <x:c r="T167" s="220"/>
      <x:c r="U167" s="220" t="str">
        <x:f>IF(AND(M167="",O167="",Q167="",S167=""),"",IF(S167&lt;&gt;"",S167,IF(Q167&lt;&gt;"",Q167,IF(O167&lt;&gt;"",O167,M167))))</x:f>
      </x:c>
      <x:c r="V167" s="220" t="str">
        <x:f>IF(AND(N167="",P167="",R167="",T167=""),"",IF(T167&lt;&gt;"",T167,IF(R167&lt;&gt;"",R167,IF(P167&lt;&gt;"",P167,N167))))</x:f>
      </x:c>
      <x:c r="W167" s="221"/>
      <x:c r="X167" s="220"/>
      <x:c r="Y167" s="220"/>
      <x:c r="Z167" s="223"/>
      <x:c r="AA167" s="223"/>
      <x:c r="AB167" s="221"/>
      <x:c r="AC167" s="220"/>
      <x:c r="AD167" s="220"/>
      <x:c r="AE167" s="222"/>
      <x:c r="AF167" s="220"/>
      <x:c r="AG167" s="221"/>
      <x:c r="AH167" s="220"/>
      <x:c r="AI167" s="220"/>
      <x:c r="AJ167" s="222"/>
      <x:c r="AK167" s="220"/>
      <x:c r="AL167" s="220"/>
      <x:c r="AM167" s="220"/>
      <x:c r="AN167" s="220"/>
      <x:c r="AO167" s="220"/>
      <x:c r="AP167" s="220"/>
      <x:c r="AQ167" s="220"/>
      <x:c r="AR167" s="222"/>
      <x:c r="AS167" s="220"/>
      <x:c r="AT167" s="220"/>
      <x:c r="AU167" s="220"/>
      <x:c r="AV167" s="220"/>
      <x:c r="AW167" s="220"/>
      <x:c r="AX167" s="220"/>
      <x:c r="AY167" s="221"/>
      <x:c r="AZ167" s="220"/>
      <x:c r="BA167" s="220" t="str">
        <x:f>IF(AND(A167="",B167="",F167="",H167="",J167="",AW167="",AY167=""),"",IF(OR(B167="skip",AW167="skip"),"SKIP",IF(OR(B167="to_candidate",AW167="proposed_name"),IF(OR(A167="",AX167="",AY167="",COUNTIF($A$6:$A$505,A167)&gt;1),"REVIEW","TO_PROPOSED"),IF(OR(B167="",A167="",F167="",H167="",J167="",U167="",AW167="",COUNTIF($A$6:$A$505,A167)&gt;1,(COUNTIFS('أرقام التواصل'!$A$6:$A$505,"client",'أرقام التواصل'!$B$6:$B$505,A167,'أرقام التواصل'!$I$6:$I$505,"TRUE")+COUNTIFS('أرقام التواصل'!$A$6:$A$505,"client",'أرقام التواصل'!$B$6:$B$505,A167,'أرقام التواصل'!$C$6:$C$505,1))=0),"REVIEW","READY"))))</x:f>
      </x:c>
      <x:c r="BB167" s="224" t="str">
        <x:f>IF(BA167="","",IF(OR(BA167="READY",BA167="TO_PROPOSED"),"",IF(BA167="SKIP","Skipped by decision",TRIM(IF(B167="","missing import_action; ","")&amp;IF(A167="","missing migration_customer_key; ","")&amp;IF(AND(A167&lt;&gt;"",COUNTIF($A$6:$A$505,A167)&gt;1),"duplicate migration_customer_key; ","")&amp;IF(AND(NOT(OR(B167="to_candidate",AW167="proposed_name")),F167=""),"missing branch_id; ","")&amp;IF(AND(NOT(OR(B167="to_candidate",AW167="proposed_name")),H167=""),"missing first_name; ","")&amp;IF(AND(NOT(OR(B167="to_candidate",AW167="proposed_name")),J167=""),"missing last_name; ","")&amp;IF(AND(NOT(OR(B167="to_candidate",AW167="proposed_name")),U167=""),"missing final_geo_unit_id; ","")&amp;IF(AW167="","missing final_destination; ","")&amp;IF(AND(NOT(OR(B167="to_candidate",AW167="proposed_name")),(COUNTIFS('أرقام التواصل'!$A$6:$A$505,"client",'أرقام التواصل'!$B$6:$B$505,A167,'أرقام التواصل'!$I$6:$I$505,"TRUE")+COUNTIFS('أرقام التواصل'!$A$6:$A$505,"client",'أرقام التواصل'!$B$6:$B$505,A167,'أرقام التواصل'!$C$6:$C$505,1))=0),"missing primary contact in أرقام التواصل; ","")&amp;IF(OR(B167="to_candidate",AW167="proposed_name"),IF(AX167="","missing proposed_move_reason; ","")&amp;IF(AY167="","missing proposed_name_key; ",""),"")))))</x:f>
      </x:c>
    </x:row>
    <x:row r="168">
      <x:c r="A168" s="219"/>
      <x:c r="B168" s="220"/>
      <x:c r="C168" s="221"/>
      <x:c r="D168" s="220"/>
      <x:c r="E168" s="222"/>
      <x:c r="F168" s="220"/>
      <x:c r="G168" s="220"/>
      <x:c r="H168" s="220"/>
      <x:c r="I168" s="220"/>
      <x:c r="J168" s="220"/>
      <x:c r="K168" s="220"/>
      <x:c r="L168" s="220" t="str">
        <x:f>IF(TRIM(H168&amp;" "&amp;I168&amp;" "&amp;J168&amp;IF(K168&lt;&gt;""," ("&amp;K168&amp;")",""))="","",TRIM(H168&amp;" "&amp;I168&amp;" "&amp;J168&amp;IF(K168&lt;&gt;""," ("&amp;K168&amp;")","")))</x:f>
      </x:c>
      <x:c r="M168" s="220"/>
      <x:c r="N168" s="220"/>
      <x:c r="O168" s="220"/>
      <x:c r="P168" s="220"/>
      <x:c r="Q168" s="220"/>
      <x:c r="R168" s="220"/>
      <x:c r="S168" s="220"/>
      <x:c r="T168" s="220"/>
      <x:c r="U168" s="220" t="str">
        <x:f>IF(AND(M168="",O168="",Q168="",S168=""),"",IF(S168&lt;&gt;"",S168,IF(Q168&lt;&gt;"",Q168,IF(O168&lt;&gt;"",O168,M168))))</x:f>
      </x:c>
      <x:c r="V168" s="220" t="str">
        <x:f>IF(AND(N168="",P168="",R168="",T168=""),"",IF(T168&lt;&gt;"",T168,IF(R168&lt;&gt;"",R168,IF(P168&lt;&gt;"",P168,N168))))</x:f>
      </x:c>
      <x:c r="W168" s="221"/>
      <x:c r="X168" s="220"/>
      <x:c r="Y168" s="220"/>
      <x:c r="Z168" s="223"/>
      <x:c r="AA168" s="223"/>
      <x:c r="AB168" s="221"/>
      <x:c r="AC168" s="220"/>
      <x:c r="AD168" s="220"/>
      <x:c r="AE168" s="222"/>
      <x:c r="AF168" s="220"/>
      <x:c r="AG168" s="221"/>
      <x:c r="AH168" s="220"/>
      <x:c r="AI168" s="220"/>
      <x:c r="AJ168" s="222"/>
      <x:c r="AK168" s="220"/>
      <x:c r="AL168" s="220"/>
      <x:c r="AM168" s="220"/>
      <x:c r="AN168" s="220"/>
      <x:c r="AO168" s="220"/>
      <x:c r="AP168" s="220"/>
      <x:c r="AQ168" s="220"/>
      <x:c r="AR168" s="222"/>
      <x:c r="AS168" s="220"/>
      <x:c r="AT168" s="220"/>
      <x:c r="AU168" s="220"/>
      <x:c r="AV168" s="220"/>
      <x:c r="AW168" s="220"/>
      <x:c r="AX168" s="220"/>
      <x:c r="AY168" s="221"/>
      <x:c r="AZ168" s="220"/>
      <x:c r="BA168" s="220" t="str">
        <x:f>IF(AND(A168="",B168="",F168="",H168="",J168="",AW168="",AY168=""),"",IF(OR(B168="skip",AW168="skip"),"SKIP",IF(OR(B168="to_candidate",AW168="proposed_name"),IF(OR(A168="",AX168="",AY168="",COUNTIF($A$6:$A$505,A168)&gt;1),"REVIEW","TO_PROPOSED"),IF(OR(B168="",A168="",F168="",H168="",J168="",U168="",AW168="",COUNTIF($A$6:$A$505,A168)&gt;1,(COUNTIFS('أرقام التواصل'!$A$6:$A$505,"client",'أرقام التواصل'!$B$6:$B$505,A168,'أرقام التواصل'!$I$6:$I$505,"TRUE")+COUNTIFS('أرقام التواصل'!$A$6:$A$505,"client",'أرقام التواصل'!$B$6:$B$505,A168,'أرقام التواصل'!$C$6:$C$505,1))=0),"REVIEW","READY"))))</x:f>
      </x:c>
      <x:c r="BB168" s="224" t="str">
        <x:f>IF(BA168="","",IF(OR(BA168="READY",BA168="TO_PROPOSED"),"",IF(BA168="SKIP","Skipped by decision",TRIM(IF(B168="","missing import_action; ","")&amp;IF(A168="","missing migration_customer_key; ","")&amp;IF(AND(A168&lt;&gt;"",COUNTIF($A$6:$A$505,A168)&gt;1),"duplicate migration_customer_key; ","")&amp;IF(AND(NOT(OR(B168="to_candidate",AW168="proposed_name")),F168=""),"missing branch_id; ","")&amp;IF(AND(NOT(OR(B168="to_candidate",AW168="proposed_name")),H168=""),"missing first_name; ","")&amp;IF(AND(NOT(OR(B168="to_candidate",AW168="proposed_name")),J168=""),"missing last_name; ","")&amp;IF(AND(NOT(OR(B168="to_candidate",AW168="proposed_name")),U168=""),"missing final_geo_unit_id; ","")&amp;IF(AW168="","missing final_destination; ","")&amp;IF(AND(NOT(OR(B168="to_candidate",AW168="proposed_name")),(COUNTIFS('أرقام التواصل'!$A$6:$A$505,"client",'أرقام التواصل'!$B$6:$B$505,A168,'أرقام التواصل'!$I$6:$I$505,"TRUE")+COUNTIFS('أرقام التواصل'!$A$6:$A$505,"client",'أرقام التواصل'!$B$6:$B$505,A168,'أرقام التواصل'!$C$6:$C$505,1))=0),"missing primary contact in أرقام التواصل; ","")&amp;IF(OR(B168="to_candidate",AW168="proposed_name"),IF(AX168="","missing proposed_move_reason; ","")&amp;IF(AY168="","missing proposed_name_key; ",""),"")))))</x:f>
      </x:c>
    </x:row>
    <x:row r="169">
      <x:c r="A169" s="219"/>
      <x:c r="B169" s="220"/>
      <x:c r="C169" s="221"/>
      <x:c r="D169" s="220"/>
      <x:c r="E169" s="222"/>
      <x:c r="F169" s="220"/>
      <x:c r="G169" s="220"/>
      <x:c r="H169" s="220"/>
      <x:c r="I169" s="220"/>
      <x:c r="J169" s="220"/>
      <x:c r="K169" s="220"/>
      <x:c r="L169" s="220" t="str">
        <x:f>IF(TRIM(H169&amp;" "&amp;I169&amp;" "&amp;J169&amp;IF(K169&lt;&gt;""," ("&amp;K169&amp;")",""))="","",TRIM(H169&amp;" "&amp;I169&amp;" "&amp;J169&amp;IF(K169&lt;&gt;""," ("&amp;K169&amp;")","")))</x:f>
      </x:c>
      <x:c r="M169" s="220"/>
      <x:c r="N169" s="220"/>
      <x:c r="O169" s="220"/>
      <x:c r="P169" s="220"/>
      <x:c r="Q169" s="220"/>
      <x:c r="R169" s="220"/>
      <x:c r="S169" s="220"/>
      <x:c r="T169" s="220"/>
      <x:c r="U169" s="220" t="str">
        <x:f>IF(AND(M169="",O169="",Q169="",S169=""),"",IF(S169&lt;&gt;"",S169,IF(Q169&lt;&gt;"",Q169,IF(O169&lt;&gt;"",O169,M169))))</x:f>
      </x:c>
      <x:c r="V169" s="220" t="str">
        <x:f>IF(AND(N169="",P169="",R169="",T169=""),"",IF(T169&lt;&gt;"",T169,IF(R169&lt;&gt;"",R169,IF(P169&lt;&gt;"",P169,N169))))</x:f>
      </x:c>
      <x:c r="W169" s="221"/>
      <x:c r="X169" s="220"/>
      <x:c r="Y169" s="220"/>
      <x:c r="Z169" s="223"/>
      <x:c r="AA169" s="223"/>
      <x:c r="AB169" s="221"/>
      <x:c r="AC169" s="220"/>
      <x:c r="AD169" s="220"/>
      <x:c r="AE169" s="222"/>
      <x:c r="AF169" s="220"/>
      <x:c r="AG169" s="221"/>
      <x:c r="AH169" s="220"/>
      <x:c r="AI169" s="220"/>
      <x:c r="AJ169" s="222"/>
      <x:c r="AK169" s="220"/>
      <x:c r="AL169" s="220"/>
      <x:c r="AM169" s="220"/>
      <x:c r="AN169" s="220"/>
      <x:c r="AO169" s="220"/>
      <x:c r="AP169" s="220"/>
      <x:c r="AQ169" s="220"/>
      <x:c r="AR169" s="222"/>
      <x:c r="AS169" s="220"/>
      <x:c r="AT169" s="220"/>
      <x:c r="AU169" s="220"/>
      <x:c r="AV169" s="220"/>
      <x:c r="AW169" s="220"/>
      <x:c r="AX169" s="220"/>
      <x:c r="AY169" s="221"/>
      <x:c r="AZ169" s="220"/>
      <x:c r="BA169" s="220" t="str">
        <x:f>IF(AND(A169="",B169="",F169="",H169="",J169="",AW169="",AY169=""),"",IF(OR(B169="skip",AW169="skip"),"SKIP",IF(OR(B169="to_candidate",AW169="proposed_name"),IF(OR(A169="",AX169="",AY169="",COUNTIF($A$6:$A$505,A169)&gt;1),"REVIEW","TO_PROPOSED"),IF(OR(B169="",A169="",F169="",H169="",J169="",U169="",AW169="",COUNTIF($A$6:$A$505,A169)&gt;1,(COUNTIFS('أرقام التواصل'!$A$6:$A$505,"client",'أرقام التواصل'!$B$6:$B$505,A169,'أرقام التواصل'!$I$6:$I$505,"TRUE")+COUNTIFS('أرقام التواصل'!$A$6:$A$505,"client",'أرقام التواصل'!$B$6:$B$505,A169,'أرقام التواصل'!$C$6:$C$505,1))=0),"REVIEW","READY"))))</x:f>
      </x:c>
      <x:c r="BB169" s="224" t="str">
        <x:f>IF(BA169="","",IF(OR(BA169="READY",BA169="TO_PROPOSED"),"",IF(BA169="SKIP","Skipped by decision",TRIM(IF(B169="","missing import_action; ","")&amp;IF(A169="","missing migration_customer_key; ","")&amp;IF(AND(A169&lt;&gt;"",COUNTIF($A$6:$A$505,A169)&gt;1),"duplicate migration_customer_key; ","")&amp;IF(AND(NOT(OR(B169="to_candidate",AW169="proposed_name")),F169=""),"missing branch_id; ","")&amp;IF(AND(NOT(OR(B169="to_candidate",AW169="proposed_name")),H169=""),"missing first_name; ","")&amp;IF(AND(NOT(OR(B169="to_candidate",AW169="proposed_name")),J169=""),"missing last_name; ","")&amp;IF(AND(NOT(OR(B169="to_candidate",AW169="proposed_name")),U169=""),"missing final_geo_unit_id; ","")&amp;IF(AW169="","missing final_destination; ","")&amp;IF(AND(NOT(OR(B169="to_candidate",AW169="proposed_name")),(COUNTIFS('أرقام التواصل'!$A$6:$A$505,"client",'أرقام التواصل'!$B$6:$B$505,A169,'أرقام التواصل'!$I$6:$I$505,"TRUE")+COUNTIFS('أرقام التواصل'!$A$6:$A$505,"client",'أرقام التواصل'!$B$6:$B$505,A169,'أرقام التواصل'!$C$6:$C$505,1))=0),"missing primary contact in أرقام التواصل; ","")&amp;IF(OR(B169="to_candidate",AW169="proposed_name"),IF(AX169="","missing proposed_move_reason; ","")&amp;IF(AY169="","missing proposed_name_key; ",""),"")))))</x:f>
      </x:c>
    </x:row>
    <x:row r="170">
      <x:c r="A170" s="219"/>
      <x:c r="B170" s="220"/>
      <x:c r="C170" s="221"/>
      <x:c r="D170" s="220"/>
      <x:c r="E170" s="222"/>
      <x:c r="F170" s="220"/>
      <x:c r="G170" s="220"/>
      <x:c r="H170" s="220"/>
      <x:c r="I170" s="220"/>
      <x:c r="J170" s="220"/>
      <x:c r="K170" s="220"/>
      <x:c r="L170" s="220" t="str">
        <x:f>IF(TRIM(H170&amp;" "&amp;I170&amp;" "&amp;J170&amp;IF(K170&lt;&gt;""," ("&amp;K170&amp;")",""))="","",TRIM(H170&amp;" "&amp;I170&amp;" "&amp;J170&amp;IF(K170&lt;&gt;""," ("&amp;K170&amp;")","")))</x:f>
      </x:c>
      <x:c r="M170" s="220"/>
      <x:c r="N170" s="220"/>
      <x:c r="O170" s="220"/>
      <x:c r="P170" s="220"/>
      <x:c r="Q170" s="220"/>
      <x:c r="R170" s="220"/>
      <x:c r="S170" s="220"/>
      <x:c r="T170" s="220"/>
      <x:c r="U170" s="220" t="str">
        <x:f>IF(AND(M170="",O170="",Q170="",S170=""),"",IF(S170&lt;&gt;"",S170,IF(Q170&lt;&gt;"",Q170,IF(O170&lt;&gt;"",O170,M170))))</x:f>
      </x:c>
      <x:c r="V170" s="220" t="str">
        <x:f>IF(AND(N170="",P170="",R170="",T170=""),"",IF(T170&lt;&gt;"",T170,IF(R170&lt;&gt;"",R170,IF(P170&lt;&gt;"",P170,N170))))</x:f>
      </x:c>
      <x:c r="W170" s="221"/>
      <x:c r="X170" s="220"/>
      <x:c r="Y170" s="220"/>
      <x:c r="Z170" s="223"/>
      <x:c r="AA170" s="223"/>
      <x:c r="AB170" s="221"/>
      <x:c r="AC170" s="220"/>
      <x:c r="AD170" s="220"/>
      <x:c r="AE170" s="222"/>
      <x:c r="AF170" s="220"/>
      <x:c r="AG170" s="221"/>
      <x:c r="AH170" s="220"/>
      <x:c r="AI170" s="220"/>
      <x:c r="AJ170" s="222"/>
      <x:c r="AK170" s="220"/>
      <x:c r="AL170" s="220"/>
      <x:c r="AM170" s="220"/>
      <x:c r="AN170" s="220"/>
      <x:c r="AO170" s="220"/>
      <x:c r="AP170" s="220"/>
      <x:c r="AQ170" s="220"/>
      <x:c r="AR170" s="222"/>
      <x:c r="AS170" s="220"/>
      <x:c r="AT170" s="220"/>
      <x:c r="AU170" s="220"/>
      <x:c r="AV170" s="220"/>
      <x:c r="AW170" s="220"/>
      <x:c r="AX170" s="220"/>
      <x:c r="AY170" s="221"/>
      <x:c r="AZ170" s="220"/>
      <x:c r="BA170" s="220" t="str">
        <x:f>IF(AND(A170="",B170="",F170="",H170="",J170="",AW170="",AY170=""),"",IF(OR(B170="skip",AW170="skip"),"SKIP",IF(OR(B170="to_candidate",AW170="proposed_name"),IF(OR(A170="",AX170="",AY170="",COUNTIF($A$6:$A$505,A170)&gt;1),"REVIEW","TO_PROPOSED"),IF(OR(B170="",A170="",F170="",H170="",J170="",U170="",AW170="",COUNTIF($A$6:$A$505,A170)&gt;1,(COUNTIFS('أرقام التواصل'!$A$6:$A$505,"client",'أرقام التواصل'!$B$6:$B$505,A170,'أرقام التواصل'!$I$6:$I$505,"TRUE")+COUNTIFS('أرقام التواصل'!$A$6:$A$505,"client",'أرقام التواصل'!$B$6:$B$505,A170,'أرقام التواصل'!$C$6:$C$505,1))=0),"REVIEW","READY"))))</x:f>
      </x:c>
      <x:c r="BB170" s="224" t="str">
        <x:f>IF(BA170="","",IF(OR(BA170="READY",BA170="TO_PROPOSED"),"",IF(BA170="SKIP","Skipped by decision",TRIM(IF(B170="","missing import_action; ","")&amp;IF(A170="","missing migration_customer_key; ","")&amp;IF(AND(A170&lt;&gt;"",COUNTIF($A$6:$A$505,A170)&gt;1),"duplicate migration_customer_key; ","")&amp;IF(AND(NOT(OR(B170="to_candidate",AW170="proposed_name")),F170=""),"missing branch_id; ","")&amp;IF(AND(NOT(OR(B170="to_candidate",AW170="proposed_name")),H170=""),"missing first_name; ","")&amp;IF(AND(NOT(OR(B170="to_candidate",AW170="proposed_name")),J170=""),"missing last_name; ","")&amp;IF(AND(NOT(OR(B170="to_candidate",AW170="proposed_name")),U170=""),"missing final_geo_unit_id; ","")&amp;IF(AW170="","missing final_destination; ","")&amp;IF(AND(NOT(OR(B170="to_candidate",AW170="proposed_name")),(COUNTIFS('أرقام التواصل'!$A$6:$A$505,"client",'أرقام التواصل'!$B$6:$B$505,A170,'أرقام التواصل'!$I$6:$I$505,"TRUE")+COUNTIFS('أرقام التواصل'!$A$6:$A$505,"client",'أرقام التواصل'!$B$6:$B$505,A170,'أرقام التواصل'!$C$6:$C$505,1))=0),"missing primary contact in أرقام التواصل; ","")&amp;IF(OR(B170="to_candidate",AW170="proposed_name"),IF(AX170="","missing proposed_move_reason; ","")&amp;IF(AY170="","missing proposed_name_key; ",""),"")))))</x:f>
      </x:c>
    </x:row>
    <x:row r="171">
      <x:c r="A171" s="219"/>
      <x:c r="B171" s="220"/>
      <x:c r="C171" s="221"/>
      <x:c r="D171" s="220"/>
      <x:c r="E171" s="222"/>
      <x:c r="F171" s="220"/>
      <x:c r="G171" s="220"/>
      <x:c r="H171" s="220"/>
      <x:c r="I171" s="220"/>
      <x:c r="J171" s="220"/>
      <x:c r="K171" s="220"/>
      <x:c r="L171" s="220" t="str">
        <x:f>IF(TRIM(H171&amp;" "&amp;I171&amp;" "&amp;J171&amp;IF(K171&lt;&gt;""," ("&amp;K171&amp;")",""))="","",TRIM(H171&amp;" "&amp;I171&amp;" "&amp;J171&amp;IF(K171&lt;&gt;""," ("&amp;K171&amp;")","")))</x:f>
      </x:c>
      <x:c r="M171" s="220"/>
      <x:c r="N171" s="220"/>
      <x:c r="O171" s="220"/>
      <x:c r="P171" s="220"/>
      <x:c r="Q171" s="220"/>
      <x:c r="R171" s="220"/>
      <x:c r="S171" s="220"/>
      <x:c r="T171" s="220"/>
      <x:c r="U171" s="220" t="str">
        <x:f>IF(AND(M171="",O171="",Q171="",S171=""),"",IF(S171&lt;&gt;"",S171,IF(Q171&lt;&gt;"",Q171,IF(O171&lt;&gt;"",O171,M171))))</x:f>
      </x:c>
      <x:c r="V171" s="220" t="str">
        <x:f>IF(AND(N171="",P171="",R171="",T171=""),"",IF(T171&lt;&gt;"",T171,IF(R171&lt;&gt;"",R171,IF(P171&lt;&gt;"",P171,N171))))</x:f>
      </x:c>
      <x:c r="W171" s="221"/>
      <x:c r="X171" s="220"/>
      <x:c r="Y171" s="220"/>
      <x:c r="Z171" s="223"/>
      <x:c r="AA171" s="223"/>
      <x:c r="AB171" s="221"/>
      <x:c r="AC171" s="220"/>
      <x:c r="AD171" s="220"/>
      <x:c r="AE171" s="222"/>
      <x:c r="AF171" s="220"/>
      <x:c r="AG171" s="221"/>
      <x:c r="AH171" s="220"/>
      <x:c r="AI171" s="220"/>
      <x:c r="AJ171" s="222"/>
      <x:c r="AK171" s="220"/>
      <x:c r="AL171" s="220"/>
      <x:c r="AM171" s="220"/>
      <x:c r="AN171" s="220"/>
      <x:c r="AO171" s="220"/>
      <x:c r="AP171" s="220"/>
      <x:c r="AQ171" s="220"/>
      <x:c r="AR171" s="222"/>
      <x:c r="AS171" s="220"/>
      <x:c r="AT171" s="220"/>
      <x:c r="AU171" s="220"/>
      <x:c r="AV171" s="220"/>
      <x:c r="AW171" s="220"/>
      <x:c r="AX171" s="220"/>
      <x:c r="AY171" s="221"/>
      <x:c r="AZ171" s="220"/>
      <x:c r="BA171" s="220" t="str">
        <x:f>IF(AND(A171="",B171="",F171="",H171="",J171="",AW171="",AY171=""),"",IF(OR(B171="skip",AW171="skip"),"SKIP",IF(OR(B171="to_candidate",AW171="proposed_name"),IF(OR(A171="",AX171="",AY171="",COUNTIF($A$6:$A$505,A171)&gt;1),"REVIEW","TO_PROPOSED"),IF(OR(B171="",A171="",F171="",H171="",J171="",U171="",AW171="",COUNTIF($A$6:$A$505,A171)&gt;1,(COUNTIFS('أرقام التواصل'!$A$6:$A$505,"client",'أرقام التواصل'!$B$6:$B$505,A171,'أرقام التواصل'!$I$6:$I$505,"TRUE")+COUNTIFS('أرقام التواصل'!$A$6:$A$505,"client",'أرقام التواصل'!$B$6:$B$505,A171,'أرقام التواصل'!$C$6:$C$505,1))=0),"REVIEW","READY"))))</x:f>
      </x:c>
      <x:c r="BB171" s="224" t="str">
        <x:f>IF(BA171="","",IF(OR(BA171="READY",BA171="TO_PROPOSED"),"",IF(BA171="SKIP","Skipped by decision",TRIM(IF(B171="","missing import_action; ","")&amp;IF(A171="","missing migration_customer_key; ","")&amp;IF(AND(A171&lt;&gt;"",COUNTIF($A$6:$A$505,A171)&gt;1),"duplicate migration_customer_key; ","")&amp;IF(AND(NOT(OR(B171="to_candidate",AW171="proposed_name")),F171=""),"missing branch_id; ","")&amp;IF(AND(NOT(OR(B171="to_candidate",AW171="proposed_name")),H171=""),"missing first_name; ","")&amp;IF(AND(NOT(OR(B171="to_candidate",AW171="proposed_name")),J171=""),"missing last_name; ","")&amp;IF(AND(NOT(OR(B171="to_candidate",AW171="proposed_name")),U171=""),"missing final_geo_unit_id; ","")&amp;IF(AW171="","missing final_destination; ","")&amp;IF(AND(NOT(OR(B171="to_candidate",AW171="proposed_name")),(COUNTIFS('أرقام التواصل'!$A$6:$A$505,"client",'أرقام التواصل'!$B$6:$B$505,A171,'أرقام التواصل'!$I$6:$I$505,"TRUE")+COUNTIFS('أرقام التواصل'!$A$6:$A$505,"client",'أرقام التواصل'!$B$6:$B$505,A171,'أرقام التواصل'!$C$6:$C$505,1))=0),"missing primary contact in أرقام التواصل; ","")&amp;IF(OR(B171="to_candidate",AW171="proposed_name"),IF(AX171="","missing proposed_move_reason; ","")&amp;IF(AY171="","missing proposed_name_key; ",""),"")))))</x:f>
      </x:c>
    </x:row>
    <x:row r="172">
      <x:c r="A172" s="219"/>
      <x:c r="B172" s="220"/>
      <x:c r="C172" s="221"/>
      <x:c r="D172" s="220"/>
      <x:c r="E172" s="222"/>
      <x:c r="F172" s="220"/>
      <x:c r="G172" s="220"/>
      <x:c r="H172" s="220"/>
      <x:c r="I172" s="220"/>
      <x:c r="J172" s="220"/>
      <x:c r="K172" s="220"/>
      <x:c r="L172" s="220" t="str">
        <x:f>IF(TRIM(H172&amp;" "&amp;I172&amp;" "&amp;J172&amp;IF(K172&lt;&gt;""," ("&amp;K172&amp;")",""))="","",TRIM(H172&amp;" "&amp;I172&amp;" "&amp;J172&amp;IF(K172&lt;&gt;""," ("&amp;K172&amp;")","")))</x:f>
      </x:c>
      <x:c r="M172" s="220"/>
      <x:c r="N172" s="220"/>
      <x:c r="O172" s="220"/>
      <x:c r="P172" s="220"/>
      <x:c r="Q172" s="220"/>
      <x:c r="R172" s="220"/>
      <x:c r="S172" s="220"/>
      <x:c r="T172" s="220"/>
      <x:c r="U172" s="220" t="str">
        <x:f>IF(AND(M172="",O172="",Q172="",S172=""),"",IF(S172&lt;&gt;"",S172,IF(Q172&lt;&gt;"",Q172,IF(O172&lt;&gt;"",O172,M172))))</x:f>
      </x:c>
      <x:c r="V172" s="220" t="str">
        <x:f>IF(AND(N172="",P172="",R172="",T172=""),"",IF(T172&lt;&gt;"",T172,IF(R172&lt;&gt;"",R172,IF(P172&lt;&gt;"",P172,N172))))</x:f>
      </x:c>
      <x:c r="W172" s="221"/>
      <x:c r="X172" s="220"/>
      <x:c r="Y172" s="220"/>
      <x:c r="Z172" s="223"/>
      <x:c r="AA172" s="223"/>
      <x:c r="AB172" s="221"/>
      <x:c r="AC172" s="220"/>
      <x:c r="AD172" s="220"/>
      <x:c r="AE172" s="222"/>
      <x:c r="AF172" s="220"/>
      <x:c r="AG172" s="221"/>
      <x:c r="AH172" s="220"/>
      <x:c r="AI172" s="220"/>
      <x:c r="AJ172" s="222"/>
      <x:c r="AK172" s="220"/>
      <x:c r="AL172" s="220"/>
      <x:c r="AM172" s="220"/>
      <x:c r="AN172" s="220"/>
      <x:c r="AO172" s="220"/>
      <x:c r="AP172" s="220"/>
      <x:c r="AQ172" s="220"/>
      <x:c r="AR172" s="222"/>
      <x:c r="AS172" s="220"/>
      <x:c r="AT172" s="220"/>
      <x:c r="AU172" s="220"/>
      <x:c r="AV172" s="220"/>
      <x:c r="AW172" s="220"/>
      <x:c r="AX172" s="220"/>
      <x:c r="AY172" s="221"/>
      <x:c r="AZ172" s="220"/>
      <x:c r="BA172" s="220" t="str">
        <x:f>IF(AND(A172="",B172="",F172="",H172="",J172="",AW172="",AY172=""),"",IF(OR(B172="skip",AW172="skip"),"SKIP",IF(OR(B172="to_candidate",AW172="proposed_name"),IF(OR(A172="",AX172="",AY172="",COUNTIF($A$6:$A$505,A172)&gt;1),"REVIEW","TO_PROPOSED"),IF(OR(B172="",A172="",F172="",H172="",J172="",U172="",AW172="",COUNTIF($A$6:$A$505,A172)&gt;1,(COUNTIFS('أرقام التواصل'!$A$6:$A$505,"client",'أرقام التواصل'!$B$6:$B$505,A172,'أرقام التواصل'!$I$6:$I$505,"TRUE")+COUNTIFS('أرقام التواصل'!$A$6:$A$505,"client",'أرقام التواصل'!$B$6:$B$505,A172,'أرقام التواصل'!$C$6:$C$505,1))=0),"REVIEW","READY"))))</x:f>
      </x:c>
      <x:c r="BB172" s="224" t="str">
        <x:f>IF(BA172="","",IF(OR(BA172="READY",BA172="TO_PROPOSED"),"",IF(BA172="SKIP","Skipped by decision",TRIM(IF(B172="","missing import_action; ","")&amp;IF(A172="","missing migration_customer_key; ","")&amp;IF(AND(A172&lt;&gt;"",COUNTIF($A$6:$A$505,A172)&gt;1),"duplicate migration_customer_key; ","")&amp;IF(AND(NOT(OR(B172="to_candidate",AW172="proposed_name")),F172=""),"missing branch_id; ","")&amp;IF(AND(NOT(OR(B172="to_candidate",AW172="proposed_name")),H172=""),"missing first_name; ","")&amp;IF(AND(NOT(OR(B172="to_candidate",AW172="proposed_name")),J172=""),"missing last_name; ","")&amp;IF(AND(NOT(OR(B172="to_candidate",AW172="proposed_name")),U172=""),"missing final_geo_unit_id; ","")&amp;IF(AW172="","missing final_destination; ","")&amp;IF(AND(NOT(OR(B172="to_candidate",AW172="proposed_name")),(COUNTIFS('أرقام التواصل'!$A$6:$A$505,"client",'أرقام التواصل'!$B$6:$B$505,A172,'أرقام التواصل'!$I$6:$I$505,"TRUE")+COUNTIFS('أرقام التواصل'!$A$6:$A$505,"client",'أرقام التواصل'!$B$6:$B$505,A172,'أرقام التواصل'!$C$6:$C$505,1))=0),"missing primary contact in أرقام التواصل; ","")&amp;IF(OR(B172="to_candidate",AW172="proposed_name"),IF(AX172="","missing proposed_move_reason; ","")&amp;IF(AY172="","missing proposed_name_key; ",""),"")))))</x:f>
      </x:c>
    </x:row>
    <x:row r="173">
      <x:c r="A173" s="219"/>
      <x:c r="B173" s="220"/>
      <x:c r="C173" s="221"/>
      <x:c r="D173" s="220"/>
      <x:c r="E173" s="222"/>
      <x:c r="F173" s="220"/>
      <x:c r="G173" s="220"/>
      <x:c r="H173" s="220"/>
      <x:c r="I173" s="220"/>
      <x:c r="J173" s="220"/>
      <x:c r="K173" s="220"/>
      <x:c r="L173" s="220" t="str">
        <x:f>IF(TRIM(H173&amp;" "&amp;I173&amp;" "&amp;J173&amp;IF(K173&lt;&gt;""," ("&amp;K173&amp;")",""))="","",TRIM(H173&amp;" "&amp;I173&amp;" "&amp;J173&amp;IF(K173&lt;&gt;""," ("&amp;K173&amp;")","")))</x:f>
      </x:c>
      <x:c r="M173" s="220"/>
      <x:c r="N173" s="220"/>
      <x:c r="O173" s="220"/>
      <x:c r="P173" s="220"/>
      <x:c r="Q173" s="220"/>
      <x:c r="R173" s="220"/>
      <x:c r="S173" s="220"/>
      <x:c r="T173" s="220"/>
      <x:c r="U173" s="220" t="str">
        <x:f>IF(AND(M173="",O173="",Q173="",S173=""),"",IF(S173&lt;&gt;"",S173,IF(Q173&lt;&gt;"",Q173,IF(O173&lt;&gt;"",O173,M173))))</x:f>
      </x:c>
      <x:c r="V173" s="220" t="str">
        <x:f>IF(AND(N173="",P173="",R173="",T173=""),"",IF(T173&lt;&gt;"",T173,IF(R173&lt;&gt;"",R173,IF(P173&lt;&gt;"",P173,N173))))</x:f>
      </x:c>
      <x:c r="W173" s="221"/>
      <x:c r="X173" s="220"/>
      <x:c r="Y173" s="220"/>
      <x:c r="Z173" s="223"/>
      <x:c r="AA173" s="223"/>
      <x:c r="AB173" s="221"/>
      <x:c r="AC173" s="220"/>
      <x:c r="AD173" s="220"/>
      <x:c r="AE173" s="222"/>
      <x:c r="AF173" s="220"/>
      <x:c r="AG173" s="221"/>
      <x:c r="AH173" s="220"/>
      <x:c r="AI173" s="220"/>
      <x:c r="AJ173" s="222"/>
      <x:c r="AK173" s="220"/>
      <x:c r="AL173" s="220"/>
      <x:c r="AM173" s="220"/>
      <x:c r="AN173" s="220"/>
      <x:c r="AO173" s="220"/>
      <x:c r="AP173" s="220"/>
      <x:c r="AQ173" s="220"/>
      <x:c r="AR173" s="222"/>
      <x:c r="AS173" s="220"/>
      <x:c r="AT173" s="220"/>
      <x:c r="AU173" s="220"/>
      <x:c r="AV173" s="220"/>
      <x:c r="AW173" s="220"/>
      <x:c r="AX173" s="220"/>
      <x:c r="AY173" s="221"/>
      <x:c r="AZ173" s="220"/>
      <x:c r="BA173" s="220" t="str">
        <x:f>IF(AND(A173="",B173="",F173="",H173="",J173="",AW173="",AY173=""),"",IF(OR(B173="skip",AW173="skip"),"SKIP",IF(OR(B173="to_candidate",AW173="proposed_name"),IF(OR(A173="",AX173="",AY173="",COUNTIF($A$6:$A$505,A173)&gt;1),"REVIEW","TO_PROPOSED"),IF(OR(B173="",A173="",F173="",H173="",J173="",U173="",AW173="",COUNTIF($A$6:$A$505,A173)&gt;1,(COUNTIFS('أرقام التواصل'!$A$6:$A$505,"client",'أرقام التواصل'!$B$6:$B$505,A173,'أرقام التواصل'!$I$6:$I$505,"TRUE")+COUNTIFS('أرقام التواصل'!$A$6:$A$505,"client",'أرقام التواصل'!$B$6:$B$505,A173,'أرقام التواصل'!$C$6:$C$505,1))=0),"REVIEW","READY"))))</x:f>
      </x:c>
      <x:c r="BB173" s="224" t="str">
        <x:f>IF(BA173="","",IF(OR(BA173="READY",BA173="TO_PROPOSED"),"",IF(BA173="SKIP","Skipped by decision",TRIM(IF(B173="","missing import_action; ","")&amp;IF(A173="","missing migration_customer_key; ","")&amp;IF(AND(A173&lt;&gt;"",COUNTIF($A$6:$A$505,A173)&gt;1),"duplicate migration_customer_key; ","")&amp;IF(AND(NOT(OR(B173="to_candidate",AW173="proposed_name")),F173=""),"missing branch_id; ","")&amp;IF(AND(NOT(OR(B173="to_candidate",AW173="proposed_name")),H173=""),"missing first_name; ","")&amp;IF(AND(NOT(OR(B173="to_candidate",AW173="proposed_name")),J173=""),"missing last_name; ","")&amp;IF(AND(NOT(OR(B173="to_candidate",AW173="proposed_name")),U173=""),"missing final_geo_unit_id; ","")&amp;IF(AW173="","missing final_destination; ","")&amp;IF(AND(NOT(OR(B173="to_candidate",AW173="proposed_name")),(COUNTIFS('أرقام التواصل'!$A$6:$A$505,"client",'أرقام التواصل'!$B$6:$B$505,A173,'أرقام التواصل'!$I$6:$I$505,"TRUE")+COUNTIFS('أرقام التواصل'!$A$6:$A$505,"client",'أرقام التواصل'!$B$6:$B$505,A173,'أرقام التواصل'!$C$6:$C$505,1))=0),"missing primary contact in أرقام التواصل; ","")&amp;IF(OR(B173="to_candidate",AW173="proposed_name"),IF(AX173="","missing proposed_move_reason; ","")&amp;IF(AY173="","missing proposed_name_key; ",""),"")))))</x:f>
      </x:c>
    </x:row>
    <x:row r="174">
      <x:c r="A174" s="219"/>
      <x:c r="B174" s="220"/>
      <x:c r="C174" s="221"/>
      <x:c r="D174" s="220"/>
      <x:c r="E174" s="222"/>
      <x:c r="F174" s="220"/>
      <x:c r="G174" s="220"/>
      <x:c r="H174" s="220"/>
      <x:c r="I174" s="220"/>
      <x:c r="J174" s="220"/>
      <x:c r="K174" s="220"/>
      <x:c r="L174" s="220" t="str">
        <x:f>IF(TRIM(H174&amp;" "&amp;I174&amp;" "&amp;J174&amp;IF(K174&lt;&gt;""," ("&amp;K174&amp;")",""))="","",TRIM(H174&amp;" "&amp;I174&amp;" "&amp;J174&amp;IF(K174&lt;&gt;""," ("&amp;K174&amp;")","")))</x:f>
      </x:c>
      <x:c r="M174" s="220"/>
      <x:c r="N174" s="220"/>
      <x:c r="O174" s="220"/>
      <x:c r="P174" s="220"/>
      <x:c r="Q174" s="220"/>
      <x:c r="R174" s="220"/>
      <x:c r="S174" s="220"/>
      <x:c r="T174" s="220"/>
      <x:c r="U174" s="220" t="str">
        <x:f>IF(AND(M174="",O174="",Q174="",S174=""),"",IF(S174&lt;&gt;"",S174,IF(Q174&lt;&gt;"",Q174,IF(O174&lt;&gt;"",O174,M174))))</x:f>
      </x:c>
      <x:c r="V174" s="220" t="str">
        <x:f>IF(AND(N174="",P174="",R174="",T174=""),"",IF(T174&lt;&gt;"",T174,IF(R174&lt;&gt;"",R174,IF(P174&lt;&gt;"",P174,N174))))</x:f>
      </x:c>
      <x:c r="W174" s="221"/>
      <x:c r="X174" s="220"/>
      <x:c r="Y174" s="220"/>
      <x:c r="Z174" s="223"/>
      <x:c r="AA174" s="223"/>
      <x:c r="AB174" s="221"/>
      <x:c r="AC174" s="220"/>
      <x:c r="AD174" s="220"/>
      <x:c r="AE174" s="222"/>
      <x:c r="AF174" s="220"/>
      <x:c r="AG174" s="221"/>
      <x:c r="AH174" s="220"/>
      <x:c r="AI174" s="220"/>
      <x:c r="AJ174" s="222"/>
      <x:c r="AK174" s="220"/>
      <x:c r="AL174" s="220"/>
      <x:c r="AM174" s="220"/>
      <x:c r="AN174" s="220"/>
      <x:c r="AO174" s="220"/>
      <x:c r="AP174" s="220"/>
      <x:c r="AQ174" s="220"/>
      <x:c r="AR174" s="222"/>
      <x:c r="AS174" s="220"/>
      <x:c r="AT174" s="220"/>
      <x:c r="AU174" s="220"/>
      <x:c r="AV174" s="220"/>
      <x:c r="AW174" s="220"/>
      <x:c r="AX174" s="220"/>
      <x:c r="AY174" s="221"/>
      <x:c r="AZ174" s="220"/>
      <x:c r="BA174" s="220" t="str">
        <x:f>IF(AND(A174="",B174="",F174="",H174="",J174="",AW174="",AY174=""),"",IF(OR(B174="skip",AW174="skip"),"SKIP",IF(OR(B174="to_candidate",AW174="proposed_name"),IF(OR(A174="",AX174="",AY174="",COUNTIF($A$6:$A$505,A174)&gt;1),"REVIEW","TO_PROPOSED"),IF(OR(B174="",A174="",F174="",H174="",J174="",U174="",AW174="",COUNTIF($A$6:$A$505,A174)&gt;1,(COUNTIFS('أرقام التواصل'!$A$6:$A$505,"client",'أرقام التواصل'!$B$6:$B$505,A174,'أرقام التواصل'!$I$6:$I$505,"TRUE")+COUNTIFS('أرقام التواصل'!$A$6:$A$505,"client",'أرقام التواصل'!$B$6:$B$505,A174,'أرقام التواصل'!$C$6:$C$505,1))=0),"REVIEW","READY"))))</x:f>
      </x:c>
      <x:c r="BB174" s="224" t="str">
        <x:f>IF(BA174="","",IF(OR(BA174="READY",BA174="TO_PROPOSED"),"",IF(BA174="SKIP","Skipped by decision",TRIM(IF(B174="","missing import_action; ","")&amp;IF(A174="","missing migration_customer_key; ","")&amp;IF(AND(A174&lt;&gt;"",COUNTIF($A$6:$A$505,A174)&gt;1),"duplicate migration_customer_key; ","")&amp;IF(AND(NOT(OR(B174="to_candidate",AW174="proposed_name")),F174=""),"missing branch_id; ","")&amp;IF(AND(NOT(OR(B174="to_candidate",AW174="proposed_name")),H174=""),"missing first_name; ","")&amp;IF(AND(NOT(OR(B174="to_candidate",AW174="proposed_name")),J174=""),"missing last_name; ","")&amp;IF(AND(NOT(OR(B174="to_candidate",AW174="proposed_name")),U174=""),"missing final_geo_unit_id; ","")&amp;IF(AW174="","missing final_destination; ","")&amp;IF(AND(NOT(OR(B174="to_candidate",AW174="proposed_name")),(COUNTIFS('أرقام التواصل'!$A$6:$A$505,"client",'أرقام التواصل'!$B$6:$B$505,A174,'أرقام التواصل'!$I$6:$I$505,"TRUE")+COUNTIFS('أرقام التواصل'!$A$6:$A$505,"client",'أرقام التواصل'!$B$6:$B$505,A174,'أرقام التواصل'!$C$6:$C$505,1))=0),"missing primary contact in أرقام التواصل; ","")&amp;IF(OR(B174="to_candidate",AW174="proposed_name"),IF(AX174="","missing proposed_move_reason; ","")&amp;IF(AY174="","missing proposed_name_key; ",""),"")))))</x:f>
      </x:c>
    </x:row>
    <x:row r="175">
      <x:c r="A175" s="219"/>
      <x:c r="B175" s="220"/>
      <x:c r="C175" s="221"/>
      <x:c r="D175" s="220"/>
      <x:c r="E175" s="222"/>
      <x:c r="F175" s="220"/>
      <x:c r="G175" s="220"/>
      <x:c r="H175" s="220"/>
      <x:c r="I175" s="220"/>
      <x:c r="J175" s="220"/>
      <x:c r="K175" s="220"/>
      <x:c r="L175" s="220" t="str">
        <x:f>IF(TRIM(H175&amp;" "&amp;I175&amp;" "&amp;J175&amp;IF(K175&lt;&gt;""," ("&amp;K175&amp;")",""))="","",TRIM(H175&amp;" "&amp;I175&amp;" "&amp;J175&amp;IF(K175&lt;&gt;""," ("&amp;K175&amp;")","")))</x:f>
      </x:c>
      <x:c r="M175" s="220"/>
      <x:c r="N175" s="220"/>
      <x:c r="O175" s="220"/>
      <x:c r="P175" s="220"/>
      <x:c r="Q175" s="220"/>
      <x:c r="R175" s="220"/>
      <x:c r="S175" s="220"/>
      <x:c r="T175" s="220"/>
      <x:c r="U175" s="220" t="str">
        <x:f>IF(AND(M175="",O175="",Q175="",S175=""),"",IF(S175&lt;&gt;"",S175,IF(Q175&lt;&gt;"",Q175,IF(O175&lt;&gt;"",O175,M175))))</x:f>
      </x:c>
      <x:c r="V175" s="220" t="str">
        <x:f>IF(AND(N175="",P175="",R175="",T175=""),"",IF(T175&lt;&gt;"",T175,IF(R175&lt;&gt;"",R175,IF(P175&lt;&gt;"",P175,N175))))</x:f>
      </x:c>
      <x:c r="W175" s="221"/>
      <x:c r="X175" s="220"/>
      <x:c r="Y175" s="220"/>
      <x:c r="Z175" s="223"/>
      <x:c r="AA175" s="223"/>
      <x:c r="AB175" s="221"/>
      <x:c r="AC175" s="220"/>
      <x:c r="AD175" s="220"/>
      <x:c r="AE175" s="222"/>
      <x:c r="AF175" s="220"/>
      <x:c r="AG175" s="221"/>
      <x:c r="AH175" s="220"/>
      <x:c r="AI175" s="220"/>
      <x:c r="AJ175" s="222"/>
      <x:c r="AK175" s="220"/>
      <x:c r="AL175" s="220"/>
      <x:c r="AM175" s="220"/>
      <x:c r="AN175" s="220"/>
      <x:c r="AO175" s="220"/>
      <x:c r="AP175" s="220"/>
      <x:c r="AQ175" s="220"/>
      <x:c r="AR175" s="222"/>
      <x:c r="AS175" s="220"/>
      <x:c r="AT175" s="220"/>
      <x:c r="AU175" s="220"/>
      <x:c r="AV175" s="220"/>
      <x:c r="AW175" s="220"/>
      <x:c r="AX175" s="220"/>
      <x:c r="AY175" s="221"/>
      <x:c r="AZ175" s="220"/>
      <x:c r="BA175" s="220" t="str">
        <x:f>IF(AND(A175="",B175="",F175="",H175="",J175="",AW175="",AY175=""),"",IF(OR(B175="skip",AW175="skip"),"SKIP",IF(OR(B175="to_candidate",AW175="proposed_name"),IF(OR(A175="",AX175="",AY175="",COUNTIF($A$6:$A$505,A175)&gt;1),"REVIEW","TO_PROPOSED"),IF(OR(B175="",A175="",F175="",H175="",J175="",U175="",AW175="",COUNTIF($A$6:$A$505,A175)&gt;1,(COUNTIFS('أرقام التواصل'!$A$6:$A$505,"client",'أرقام التواصل'!$B$6:$B$505,A175,'أرقام التواصل'!$I$6:$I$505,"TRUE")+COUNTIFS('أرقام التواصل'!$A$6:$A$505,"client",'أرقام التواصل'!$B$6:$B$505,A175,'أرقام التواصل'!$C$6:$C$505,1))=0),"REVIEW","READY"))))</x:f>
      </x:c>
      <x:c r="BB175" s="224" t="str">
        <x:f>IF(BA175="","",IF(OR(BA175="READY",BA175="TO_PROPOSED"),"",IF(BA175="SKIP","Skipped by decision",TRIM(IF(B175="","missing import_action; ","")&amp;IF(A175="","missing migration_customer_key; ","")&amp;IF(AND(A175&lt;&gt;"",COUNTIF($A$6:$A$505,A175)&gt;1),"duplicate migration_customer_key; ","")&amp;IF(AND(NOT(OR(B175="to_candidate",AW175="proposed_name")),F175=""),"missing branch_id; ","")&amp;IF(AND(NOT(OR(B175="to_candidate",AW175="proposed_name")),H175=""),"missing first_name; ","")&amp;IF(AND(NOT(OR(B175="to_candidate",AW175="proposed_name")),J175=""),"missing last_name; ","")&amp;IF(AND(NOT(OR(B175="to_candidate",AW175="proposed_name")),U175=""),"missing final_geo_unit_id; ","")&amp;IF(AW175="","missing final_destination; ","")&amp;IF(AND(NOT(OR(B175="to_candidate",AW175="proposed_name")),(COUNTIFS('أرقام التواصل'!$A$6:$A$505,"client",'أرقام التواصل'!$B$6:$B$505,A175,'أرقام التواصل'!$I$6:$I$505,"TRUE")+COUNTIFS('أرقام التواصل'!$A$6:$A$505,"client",'أرقام التواصل'!$B$6:$B$505,A175,'أرقام التواصل'!$C$6:$C$505,1))=0),"missing primary contact in أرقام التواصل; ","")&amp;IF(OR(B175="to_candidate",AW175="proposed_name"),IF(AX175="","missing proposed_move_reason; ","")&amp;IF(AY175="","missing proposed_name_key; ",""),"")))))</x:f>
      </x:c>
    </x:row>
    <x:row r="176">
      <x:c r="A176" s="219"/>
      <x:c r="B176" s="220"/>
      <x:c r="C176" s="221"/>
      <x:c r="D176" s="220"/>
      <x:c r="E176" s="222"/>
      <x:c r="F176" s="220"/>
      <x:c r="G176" s="220"/>
      <x:c r="H176" s="220"/>
      <x:c r="I176" s="220"/>
      <x:c r="J176" s="220"/>
      <x:c r="K176" s="220"/>
      <x:c r="L176" s="220" t="str">
        <x:f>IF(TRIM(H176&amp;" "&amp;I176&amp;" "&amp;J176&amp;IF(K176&lt;&gt;""," ("&amp;K176&amp;")",""))="","",TRIM(H176&amp;" "&amp;I176&amp;" "&amp;J176&amp;IF(K176&lt;&gt;""," ("&amp;K176&amp;")","")))</x:f>
      </x:c>
      <x:c r="M176" s="220"/>
      <x:c r="N176" s="220"/>
      <x:c r="O176" s="220"/>
      <x:c r="P176" s="220"/>
      <x:c r="Q176" s="220"/>
      <x:c r="R176" s="220"/>
      <x:c r="S176" s="220"/>
      <x:c r="T176" s="220"/>
      <x:c r="U176" s="220" t="str">
        <x:f>IF(AND(M176="",O176="",Q176="",S176=""),"",IF(S176&lt;&gt;"",S176,IF(Q176&lt;&gt;"",Q176,IF(O176&lt;&gt;"",O176,M176))))</x:f>
      </x:c>
      <x:c r="V176" s="220" t="str">
        <x:f>IF(AND(N176="",P176="",R176="",T176=""),"",IF(T176&lt;&gt;"",T176,IF(R176&lt;&gt;"",R176,IF(P176&lt;&gt;"",P176,N176))))</x:f>
      </x:c>
      <x:c r="W176" s="221"/>
      <x:c r="X176" s="220"/>
      <x:c r="Y176" s="220"/>
      <x:c r="Z176" s="223"/>
      <x:c r="AA176" s="223"/>
      <x:c r="AB176" s="221"/>
      <x:c r="AC176" s="220"/>
      <x:c r="AD176" s="220"/>
      <x:c r="AE176" s="222"/>
      <x:c r="AF176" s="220"/>
      <x:c r="AG176" s="221"/>
      <x:c r="AH176" s="220"/>
      <x:c r="AI176" s="220"/>
      <x:c r="AJ176" s="222"/>
      <x:c r="AK176" s="220"/>
      <x:c r="AL176" s="220"/>
      <x:c r="AM176" s="220"/>
      <x:c r="AN176" s="220"/>
      <x:c r="AO176" s="220"/>
      <x:c r="AP176" s="220"/>
      <x:c r="AQ176" s="220"/>
      <x:c r="AR176" s="222"/>
      <x:c r="AS176" s="220"/>
      <x:c r="AT176" s="220"/>
      <x:c r="AU176" s="220"/>
      <x:c r="AV176" s="220"/>
      <x:c r="AW176" s="220"/>
      <x:c r="AX176" s="220"/>
      <x:c r="AY176" s="221"/>
      <x:c r="AZ176" s="220"/>
      <x:c r="BA176" s="220" t="str">
        <x:f>IF(AND(A176="",B176="",F176="",H176="",J176="",AW176="",AY176=""),"",IF(OR(B176="skip",AW176="skip"),"SKIP",IF(OR(B176="to_candidate",AW176="proposed_name"),IF(OR(A176="",AX176="",AY176="",COUNTIF($A$6:$A$505,A176)&gt;1),"REVIEW","TO_PROPOSED"),IF(OR(B176="",A176="",F176="",H176="",J176="",U176="",AW176="",COUNTIF($A$6:$A$505,A176)&gt;1,(COUNTIFS('أرقام التواصل'!$A$6:$A$505,"client",'أرقام التواصل'!$B$6:$B$505,A176,'أرقام التواصل'!$I$6:$I$505,"TRUE")+COUNTIFS('أرقام التواصل'!$A$6:$A$505,"client",'أرقام التواصل'!$B$6:$B$505,A176,'أرقام التواصل'!$C$6:$C$505,1))=0),"REVIEW","READY"))))</x:f>
      </x:c>
      <x:c r="BB176" s="224" t="str">
        <x:f>IF(BA176="","",IF(OR(BA176="READY",BA176="TO_PROPOSED"),"",IF(BA176="SKIP","Skipped by decision",TRIM(IF(B176="","missing import_action; ","")&amp;IF(A176="","missing migration_customer_key; ","")&amp;IF(AND(A176&lt;&gt;"",COUNTIF($A$6:$A$505,A176)&gt;1),"duplicate migration_customer_key; ","")&amp;IF(AND(NOT(OR(B176="to_candidate",AW176="proposed_name")),F176=""),"missing branch_id; ","")&amp;IF(AND(NOT(OR(B176="to_candidate",AW176="proposed_name")),H176=""),"missing first_name; ","")&amp;IF(AND(NOT(OR(B176="to_candidate",AW176="proposed_name")),J176=""),"missing last_name; ","")&amp;IF(AND(NOT(OR(B176="to_candidate",AW176="proposed_name")),U176=""),"missing final_geo_unit_id; ","")&amp;IF(AW176="","missing final_destination; ","")&amp;IF(AND(NOT(OR(B176="to_candidate",AW176="proposed_name")),(COUNTIFS('أرقام التواصل'!$A$6:$A$505,"client",'أرقام التواصل'!$B$6:$B$505,A176,'أرقام التواصل'!$I$6:$I$505,"TRUE")+COUNTIFS('أرقام التواصل'!$A$6:$A$505,"client",'أرقام التواصل'!$B$6:$B$505,A176,'أرقام التواصل'!$C$6:$C$505,1))=0),"missing primary contact in أرقام التواصل; ","")&amp;IF(OR(B176="to_candidate",AW176="proposed_name"),IF(AX176="","missing proposed_move_reason; ","")&amp;IF(AY176="","missing proposed_name_key; ",""),"")))))</x:f>
      </x:c>
    </x:row>
    <x:row r="177">
      <x:c r="A177" s="219"/>
      <x:c r="B177" s="220"/>
      <x:c r="C177" s="221"/>
      <x:c r="D177" s="220"/>
      <x:c r="E177" s="222"/>
      <x:c r="F177" s="220"/>
      <x:c r="G177" s="220"/>
      <x:c r="H177" s="220"/>
      <x:c r="I177" s="220"/>
      <x:c r="J177" s="220"/>
      <x:c r="K177" s="220"/>
      <x:c r="L177" s="220" t="str">
        <x:f>IF(TRIM(H177&amp;" "&amp;I177&amp;" "&amp;J177&amp;IF(K177&lt;&gt;""," ("&amp;K177&amp;")",""))="","",TRIM(H177&amp;" "&amp;I177&amp;" "&amp;J177&amp;IF(K177&lt;&gt;""," ("&amp;K177&amp;")","")))</x:f>
      </x:c>
      <x:c r="M177" s="220"/>
      <x:c r="N177" s="220"/>
      <x:c r="O177" s="220"/>
      <x:c r="P177" s="220"/>
      <x:c r="Q177" s="220"/>
      <x:c r="R177" s="220"/>
      <x:c r="S177" s="220"/>
      <x:c r="T177" s="220"/>
      <x:c r="U177" s="220" t="str">
        <x:f>IF(AND(M177="",O177="",Q177="",S177=""),"",IF(S177&lt;&gt;"",S177,IF(Q177&lt;&gt;"",Q177,IF(O177&lt;&gt;"",O177,M177))))</x:f>
      </x:c>
      <x:c r="V177" s="220" t="str">
        <x:f>IF(AND(N177="",P177="",R177="",T177=""),"",IF(T177&lt;&gt;"",T177,IF(R177&lt;&gt;"",R177,IF(P177&lt;&gt;"",P177,N177))))</x:f>
      </x:c>
      <x:c r="W177" s="221"/>
      <x:c r="X177" s="220"/>
      <x:c r="Y177" s="220"/>
      <x:c r="Z177" s="223"/>
      <x:c r="AA177" s="223"/>
      <x:c r="AB177" s="221"/>
      <x:c r="AC177" s="220"/>
      <x:c r="AD177" s="220"/>
      <x:c r="AE177" s="222"/>
      <x:c r="AF177" s="220"/>
      <x:c r="AG177" s="221"/>
      <x:c r="AH177" s="220"/>
      <x:c r="AI177" s="220"/>
      <x:c r="AJ177" s="222"/>
      <x:c r="AK177" s="220"/>
      <x:c r="AL177" s="220"/>
      <x:c r="AM177" s="220"/>
      <x:c r="AN177" s="220"/>
      <x:c r="AO177" s="220"/>
      <x:c r="AP177" s="220"/>
      <x:c r="AQ177" s="220"/>
      <x:c r="AR177" s="222"/>
      <x:c r="AS177" s="220"/>
      <x:c r="AT177" s="220"/>
      <x:c r="AU177" s="220"/>
      <x:c r="AV177" s="220"/>
      <x:c r="AW177" s="220"/>
      <x:c r="AX177" s="220"/>
      <x:c r="AY177" s="221"/>
      <x:c r="AZ177" s="220"/>
      <x:c r="BA177" s="220" t="str">
        <x:f>IF(AND(A177="",B177="",F177="",H177="",J177="",AW177="",AY177=""),"",IF(OR(B177="skip",AW177="skip"),"SKIP",IF(OR(B177="to_candidate",AW177="proposed_name"),IF(OR(A177="",AX177="",AY177="",COUNTIF($A$6:$A$505,A177)&gt;1),"REVIEW","TO_PROPOSED"),IF(OR(B177="",A177="",F177="",H177="",J177="",U177="",AW177="",COUNTIF($A$6:$A$505,A177)&gt;1,(COUNTIFS('أرقام التواصل'!$A$6:$A$505,"client",'أرقام التواصل'!$B$6:$B$505,A177,'أرقام التواصل'!$I$6:$I$505,"TRUE")+COUNTIFS('أرقام التواصل'!$A$6:$A$505,"client",'أرقام التواصل'!$B$6:$B$505,A177,'أرقام التواصل'!$C$6:$C$505,1))=0),"REVIEW","READY"))))</x:f>
      </x:c>
      <x:c r="BB177" s="224" t="str">
        <x:f>IF(BA177="","",IF(OR(BA177="READY",BA177="TO_PROPOSED"),"",IF(BA177="SKIP","Skipped by decision",TRIM(IF(B177="","missing import_action; ","")&amp;IF(A177="","missing migration_customer_key; ","")&amp;IF(AND(A177&lt;&gt;"",COUNTIF($A$6:$A$505,A177)&gt;1),"duplicate migration_customer_key; ","")&amp;IF(AND(NOT(OR(B177="to_candidate",AW177="proposed_name")),F177=""),"missing branch_id; ","")&amp;IF(AND(NOT(OR(B177="to_candidate",AW177="proposed_name")),H177=""),"missing first_name; ","")&amp;IF(AND(NOT(OR(B177="to_candidate",AW177="proposed_name")),J177=""),"missing last_name; ","")&amp;IF(AND(NOT(OR(B177="to_candidate",AW177="proposed_name")),U177=""),"missing final_geo_unit_id; ","")&amp;IF(AW177="","missing final_destination; ","")&amp;IF(AND(NOT(OR(B177="to_candidate",AW177="proposed_name")),(COUNTIFS('أرقام التواصل'!$A$6:$A$505,"client",'أرقام التواصل'!$B$6:$B$505,A177,'أرقام التواصل'!$I$6:$I$505,"TRUE")+COUNTIFS('أرقام التواصل'!$A$6:$A$505,"client",'أرقام التواصل'!$B$6:$B$505,A177,'أرقام التواصل'!$C$6:$C$505,1))=0),"missing primary contact in أرقام التواصل; ","")&amp;IF(OR(B177="to_candidate",AW177="proposed_name"),IF(AX177="","missing proposed_move_reason; ","")&amp;IF(AY177="","missing proposed_name_key; ",""),"")))))</x:f>
      </x:c>
    </x:row>
    <x:row r="178">
      <x:c r="A178" s="219"/>
      <x:c r="B178" s="220"/>
      <x:c r="C178" s="221"/>
      <x:c r="D178" s="220"/>
      <x:c r="E178" s="222"/>
      <x:c r="F178" s="220"/>
      <x:c r="G178" s="220"/>
      <x:c r="H178" s="220"/>
      <x:c r="I178" s="220"/>
      <x:c r="J178" s="220"/>
      <x:c r="K178" s="220"/>
      <x:c r="L178" s="220" t="str">
        <x:f>IF(TRIM(H178&amp;" "&amp;I178&amp;" "&amp;J178&amp;IF(K178&lt;&gt;""," ("&amp;K178&amp;")",""))="","",TRIM(H178&amp;" "&amp;I178&amp;" "&amp;J178&amp;IF(K178&lt;&gt;""," ("&amp;K178&amp;")","")))</x:f>
      </x:c>
      <x:c r="M178" s="220"/>
      <x:c r="N178" s="220"/>
      <x:c r="O178" s="220"/>
      <x:c r="P178" s="220"/>
      <x:c r="Q178" s="220"/>
      <x:c r="R178" s="220"/>
      <x:c r="S178" s="220"/>
      <x:c r="T178" s="220"/>
      <x:c r="U178" s="220" t="str">
        <x:f>IF(AND(M178="",O178="",Q178="",S178=""),"",IF(S178&lt;&gt;"",S178,IF(Q178&lt;&gt;"",Q178,IF(O178&lt;&gt;"",O178,M178))))</x:f>
      </x:c>
      <x:c r="V178" s="220" t="str">
        <x:f>IF(AND(N178="",P178="",R178="",T178=""),"",IF(T178&lt;&gt;"",T178,IF(R178&lt;&gt;"",R178,IF(P178&lt;&gt;"",P178,N178))))</x:f>
      </x:c>
      <x:c r="W178" s="221"/>
      <x:c r="X178" s="220"/>
      <x:c r="Y178" s="220"/>
      <x:c r="Z178" s="223"/>
      <x:c r="AA178" s="223"/>
      <x:c r="AB178" s="221"/>
      <x:c r="AC178" s="220"/>
      <x:c r="AD178" s="220"/>
      <x:c r="AE178" s="222"/>
      <x:c r="AF178" s="220"/>
      <x:c r="AG178" s="221"/>
      <x:c r="AH178" s="220"/>
      <x:c r="AI178" s="220"/>
      <x:c r="AJ178" s="222"/>
      <x:c r="AK178" s="220"/>
      <x:c r="AL178" s="220"/>
      <x:c r="AM178" s="220"/>
      <x:c r="AN178" s="220"/>
      <x:c r="AO178" s="220"/>
      <x:c r="AP178" s="220"/>
      <x:c r="AQ178" s="220"/>
      <x:c r="AR178" s="222"/>
      <x:c r="AS178" s="220"/>
      <x:c r="AT178" s="220"/>
      <x:c r="AU178" s="220"/>
      <x:c r="AV178" s="220"/>
      <x:c r="AW178" s="220"/>
      <x:c r="AX178" s="220"/>
      <x:c r="AY178" s="221"/>
      <x:c r="AZ178" s="220"/>
      <x:c r="BA178" s="220" t="str">
        <x:f>IF(AND(A178="",B178="",F178="",H178="",J178="",AW178="",AY178=""),"",IF(OR(B178="skip",AW178="skip"),"SKIP",IF(OR(B178="to_candidate",AW178="proposed_name"),IF(OR(A178="",AX178="",AY178="",COUNTIF($A$6:$A$505,A178)&gt;1),"REVIEW","TO_PROPOSED"),IF(OR(B178="",A178="",F178="",H178="",J178="",U178="",AW178="",COUNTIF($A$6:$A$505,A178)&gt;1,(COUNTIFS('أرقام التواصل'!$A$6:$A$505,"client",'أرقام التواصل'!$B$6:$B$505,A178,'أرقام التواصل'!$I$6:$I$505,"TRUE")+COUNTIFS('أرقام التواصل'!$A$6:$A$505,"client",'أرقام التواصل'!$B$6:$B$505,A178,'أرقام التواصل'!$C$6:$C$505,1))=0),"REVIEW","READY"))))</x:f>
      </x:c>
      <x:c r="BB178" s="224" t="str">
        <x:f>IF(BA178="","",IF(OR(BA178="READY",BA178="TO_PROPOSED"),"",IF(BA178="SKIP","Skipped by decision",TRIM(IF(B178="","missing import_action; ","")&amp;IF(A178="","missing migration_customer_key; ","")&amp;IF(AND(A178&lt;&gt;"",COUNTIF($A$6:$A$505,A178)&gt;1),"duplicate migration_customer_key; ","")&amp;IF(AND(NOT(OR(B178="to_candidate",AW178="proposed_name")),F178=""),"missing branch_id; ","")&amp;IF(AND(NOT(OR(B178="to_candidate",AW178="proposed_name")),H178=""),"missing first_name; ","")&amp;IF(AND(NOT(OR(B178="to_candidate",AW178="proposed_name")),J178=""),"missing last_name; ","")&amp;IF(AND(NOT(OR(B178="to_candidate",AW178="proposed_name")),U178=""),"missing final_geo_unit_id; ","")&amp;IF(AW178="","missing final_destination; ","")&amp;IF(AND(NOT(OR(B178="to_candidate",AW178="proposed_name")),(COUNTIFS('أرقام التواصل'!$A$6:$A$505,"client",'أرقام التواصل'!$B$6:$B$505,A178,'أرقام التواصل'!$I$6:$I$505,"TRUE")+COUNTIFS('أرقام التواصل'!$A$6:$A$505,"client",'أرقام التواصل'!$B$6:$B$505,A178,'أرقام التواصل'!$C$6:$C$505,1))=0),"missing primary contact in أرقام التواصل; ","")&amp;IF(OR(B178="to_candidate",AW178="proposed_name"),IF(AX178="","missing proposed_move_reason; ","")&amp;IF(AY178="","missing proposed_name_key; ",""),"")))))</x:f>
      </x:c>
    </x:row>
    <x:row r="179">
      <x:c r="A179" s="219"/>
      <x:c r="B179" s="220"/>
      <x:c r="C179" s="221"/>
      <x:c r="D179" s="220"/>
      <x:c r="E179" s="222"/>
      <x:c r="F179" s="220"/>
      <x:c r="G179" s="220"/>
      <x:c r="H179" s="220"/>
      <x:c r="I179" s="220"/>
      <x:c r="J179" s="220"/>
      <x:c r="K179" s="220"/>
      <x:c r="L179" s="220" t="str">
        <x:f>IF(TRIM(H179&amp;" "&amp;I179&amp;" "&amp;J179&amp;IF(K179&lt;&gt;""," ("&amp;K179&amp;")",""))="","",TRIM(H179&amp;" "&amp;I179&amp;" "&amp;J179&amp;IF(K179&lt;&gt;""," ("&amp;K179&amp;")","")))</x:f>
      </x:c>
      <x:c r="M179" s="220"/>
      <x:c r="N179" s="220"/>
      <x:c r="O179" s="220"/>
      <x:c r="P179" s="220"/>
      <x:c r="Q179" s="220"/>
      <x:c r="R179" s="220"/>
      <x:c r="S179" s="220"/>
      <x:c r="T179" s="220"/>
      <x:c r="U179" s="220" t="str">
        <x:f>IF(AND(M179="",O179="",Q179="",S179=""),"",IF(S179&lt;&gt;"",S179,IF(Q179&lt;&gt;"",Q179,IF(O179&lt;&gt;"",O179,M179))))</x:f>
      </x:c>
      <x:c r="V179" s="220" t="str">
        <x:f>IF(AND(N179="",P179="",R179="",T179=""),"",IF(T179&lt;&gt;"",T179,IF(R179&lt;&gt;"",R179,IF(P179&lt;&gt;"",P179,N179))))</x:f>
      </x:c>
      <x:c r="W179" s="221"/>
      <x:c r="X179" s="220"/>
      <x:c r="Y179" s="220"/>
      <x:c r="Z179" s="223"/>
      <x:c r="AA179" s="223"/>
      <x:c r="AB179" s="221"/>
      <x:c r="AC179" s="220"/>
      <x:c r="AD179" s="220"/>
      <x:c r="AE179" s="222"/>
      <x:c r="AF179" s="220"/>
      <x:c r="AG179" s="221"/>
      <x:c r="AH179" s="220"/>
      <x:c r="AI179" s="220"/>
      <x:c r="AJ179" s="222"/>
      <x:c r="AK179" s="220"/>
      <x:c r="AL179" s="220"/>
      <x:c r="AM179" s="220"/>
      <x:c r="AN179" s="220"/>
      <x:c r="AO179" s="220"/>
      <x:c r="AP179" s="220"/>
      <x:c r="AQ179" s="220"/>
      <x:c r="AR179" s="222"/>
      <x:c r="AS179" s="220"/>
      <x:c r="AT179" s="220"/>
      <x:c r="AU179" s="220"/>
      <x:c r="AV179" s="220"/>
      <x:c r="AW179" s="220"/>
      <x:c r="AX179" s="220"/>
      <x:c r="AY179" s="221"/>
      <x:c r="AZ179" s="220"/>
      <x:c r="BA179" s="220" t="str">
        <x:f>IF(AND(A179="",B179="",F179="",H179="",J179="",AW179="",AY179=""),"",IF(OR(B179="skip",AW179="skip"),"SKIP",IF(OR(B179="to_candidate",AW179="proposed_name"),IF(OR(A179="",AX179="",AY179="",COUNTIF($A$6:$A$505,A179)&gt;1),"REVIEW","TO_PROPOSED"),IF(OR(B179="",A179="",F179="",H179="",J179="",U179="",AW179="",COUNTIF($A$6:$A$505,A179)&gt;1,(COUNTIFS('أرقام التواصل'!$A$6:$A$505,"client",'أرقام التواصل'!$B$6:$B$505,A179,'أرقام التواصل'!$I$6:$I$505,"TRUE")+COUNTIFS('أرقام التواصل'!$A$6:$A$505,"client",'أرقام التواصل'!$B$6:$B$505,A179,'أرقام التواصل'!$C$6:$C$505,1))=0),"REVIEW","READY"))))</x:f>
      </x:c>
      <x:c r="BB179" s="224" t="str">
        <x:f>IF(BA179="","",IF(OR(BA179="READY",BA179="TO_PROPOSED"),"",IF(BA179="SKIP","Skipped by decision",TRIM(IF(B179="","missing import_action; ","")&amp;IF(A179="","missing migration_customer_key; ","")&amp;IF(AND(A179&lt;&gt;"",COUNTIF($A$6:$A$505,A179)&gt;1),"duplicate migration_customer_key; ","")&amp;IF(AND(NOT(OR(B179="to_candidate",AW179="proposed_name")),F179=""),"missing branch_id; ","")&amp;IF(AND(NOT(OR(B179="to_candidate",AW179="proposed_name")),H179=""),"missing first_name; ","")&amp;IF(AND(NOT(OR(B179="to_candidate",AW179="proposed_name")),J179=""),"missing last_name; ","")&amp;IF(AND(NOT(OR(B179="to_candidate",AW179="proposed_name")),U179=""),"missing final_geo_unit_id; ","")&amp;IF(AW179="","missing final_destination; ","")&amp;IF(AND(NOT(OR(B179="to_candidate",AW179="proposed_name")),(COUNTIFS('أرقام التواصل'!$A$6:$A$505,"client",'أرقام التواصل'!$B$6:$B$505,A179,'أرقام التواصل'!$I$6:$I$505,"TRUE")+COUNTIFS('أرقام التواصل'!$A$6:$A$505,"client",'أرقام التواصل'!$B$6:$B$505,A179,'أرقام التواصل'!$C$6:$C$505,1))=0),"missing primary contact in أرقام التواصل; ","")&amp;IF(OR(B179="to_candidate",AW179="proposed_name"),IF(AX179="","missing proposed_move_reason; ","")&amp;IF(AY179="","missing proposed_name_key; ",""),"")))))</x:f>
      </x:c>
    </x:row>
    <x:row r="180">
      <x:c r="A180" s="219"/>
      <x:c r="B180" s="220"/>
      <x:c r="C180" s="221"/>
      <x:c r="D180" s="220"/>
      <x:c r="E180" s="222"/>
      <x:c r="F180" s="220"/>
      <x:c r="G180" s="220"/>
      <x:c r="H180" s="220"/>
      <x:c r="I180" s="220"/>
      <x:c r="J180" s="220"/>
      <x:c r="K180" s="220"/>
      <x:c r="L180" s="220" t="str">
        <x:f>IF(TRIM(H180&amp;" "&amp;I180&amp;" "&amp;J180&amp;IF(K180&lt;&gt;""," ("&amp;K180&amp;")",""))="","",TRIM(H180&amp;" "&amp;I180&amp;" "&amp;J180&amp;IF(K180&lt;&gt;""," ("&amp;K180&amp;")","")))</x:f>
      </x:c>
      <x:c r="M180" s="220"/>
      <x:c r="N180" s="220"/>
      <x:c r="O180" s="220"/>
      <x:c r="P180" s="220"/>
      <x:c r="Q180" s="220"/>
      <x:c r="R180" s="220"/>
      <x:c r="S180" s="220"/>
      <x:c r="T180" s="220"/>
      <x:c r="U180" s="220" t="str">
        <x:f>IF(AND(M180="",O180="",Q180="",S180=""),"",IF(S180&lt;&gt;"",S180,IF(Q180&lt;&gt;"",Q180,IF(O180&lt;&gt;"",O180,M180))))</x:f>
      </x:c>
      <x:c r="V180" s="220" t="str">
        <x:f>IF(AND(N180="",P180="",R180="",T180=""),"",IF(T180&lt;&gt;"",T180,IF(R180&lt;&gt;"",R180,IF(P180&lt;&gt;"",P180,N180))))</x:f>
      </x:c>
      <x:c r="W180" s="221"/>
      <x:c r="X180" s="220"/>
      <x:c r="Y180" s="220"/>
      <x:c r="Z180" s="223"/>
      <x:c r="AA180" s="223"/>
      <x:c r="AB180" s="221"/>
      <x:c r="AC180" s="220"/>
      <x:c r="AD180" s="220"/>
      <x:c r="AE180" s="222"/>
      <x:c r="AF180" s="220"/>
      <x:c r="AG180" s="221"/>
      <x:c r="AH180" s="220"/>
      <x:c r="AI180" s="220"/>
      <x:c r="AJ180" s="222"/>
      <x:c r="AK180" s="220"/>
      <x:c r="AL180" s="220"/>
      <x:c r="AM180" s="220"/>
      <x:c r="AN180" s="220"/>
      <x:c r="AO180" s="220"/>
      <x:c r="AP180" s="220"/>
      <x:c r="AQ180" s="220"/>
      <x:c r="AR180" s="222"/>
      <x:c r="AS180" s="220"/>
      <x:c r="AT180" s="220"/>
      <x:c r="AU180" s="220"/>
      <x:c r="AV180" s="220"/>
      <x:c r="AW180" s="220"/>
      <x:c r="AX180" s="220"/>
      <x:c r="AY180" s="221"/>
      <x:c r="AZ180" s="220"/>
      <x:c r="BA180" s="220" t="str">
        <x:f>IF(AND(A180="",B180="",F180="",H180="",J180="",AW180="",AY180=""),"",IF(OR(B180="skip",AW180="skip"),"SKIP",IF(OR(B180="to_candidate",AW180="proposed_name"),IF(OR(A180="",AX180="",AY180="",COUNTIF($A$6:$A$505,A180)&gt;1),"REVIEW","TO_PROPOSED"),IF(OR(B180="",A180="",F180="",H180="",J180="",U180="",AW180="",COUNTIF($A$6:$A$505,A180)&gt;1,(COUNTIFS('أرقام التواصل'!$A$6:$A$505,"client",'أرقام التواصل'!$B$6:$B$505,A180,'أرقام التواصل'!$I$6:$I$505,"TRUE")+COUNTIFS('أرقام التواصل'!$A$6:$A$505,"client",'أرقام التواصل'!$B$6:$B$505,A180,'أرقام التواصل'!$C$6:$C$505,1))=0),"REVIEW","READY"))))</x:f>
      </x:c>
      <x:c r="BB180" s="224" t="str">
        <x:f>IF(BA180="","",IF(OR(BA180="READY",BA180="TO_PROPOSED"),"",IF(BA180="SKIP","Skipped by decision",TRIM(IF(B180="","missing import_action; ","")&amp;IF(A180="","missing migration_customer_key; ","")&amp;IF(AND(A180&lt;&gt;"",COUNTIF($A$6:$A$505,A180)&gt;1),"duplicate migration_customer_key; ","")&amp;IF(AND(NOT(OR(B180="to_candidate",AW180="proposed_name")),F180=""),"missing branch_id; ","")&amp;IF(AND(NOT(OR(B180="to_candidate",AW180="proposed_name")),H180=""),"missing first_name; ","")&amp;IF(AND(NOT(OR(B180="to_candidate",AW180="proposed_name")),J180=""),"missing last_name; ","")&amp;IF(AND(NOT(OR(B180="to_candidate",AW180="proposed_name")),U180=""),"missing final_geo_unit_id; ","")&amp;IF(AW180="","missing final_destination; ","")&amp;IF(AND(NOT(OR(B180="to_candidate",AW180="proposed_name")),(COUNTIFS('أرقام التواصل'!$A$6:$A$505,"client",'أرقام التواصل'!$B$6:$B$505,A180,'أرقام التواصل'!$I$6:$I$505,"TRUE")+COUNTIFS('أرقام التواصل'!$A$6:$A$505,"client",'أرقام التواصل'!$B$6:$B$505,A180,'أرقام التواصل'!$C$6:$C$505,1))=0),"missing primary contact in أرقام التواصل; ","")&amp;IF(OR(B180="to_candidate",AW180="proposed_name"),IF(AX180="","missing proposed_move_reason; ","")&amp;IF(AY180="","missing proposed_name_key; ",""),"")))))</x:f>
      </x:c>
    </x:row>
    <x:row r="181">
      <x:c r="A181" s="219"/>
      <x:c r="B181" s="220"/>
      <x:c r="C181" s="221"/>
      <x:c r="D181" s="220"/>
      <x:c r="E181" s="222"/>
      <x:c r="F181" s="220"/>
      <x:c r="G181" s="220"/>
      <x:c r="H181" s="220"/>
      <x:c r="I181" s="220"/>
      <x:c r="J181" s="220"/>
      <x:c r="K181" s="220"/>
      <x:c r="L181" s="220" t="str">
        <x:f>IF(TRIM(H181&amp;" "&amp;I181&amp;" "&amp;J181&amp;IF(K181&lt;&gt;""," ("&amp;K181&amp;")",""))="","",TRIM(H181&amp;" "&amp;I181&amp;" "&amp;J181&amp;IF(K181&lt;&gt;""," ("&amp;K181&amp;")","")))</x:f>
      </x:c>
      <x:c r="M181" s="220"/>
      <x:c r="N181" s="220"/>
      <x:c r="O181" s="220"/>
      <x:c r="P181" s="220"/>
      <x:c r="Q181" s="220"/>
      <x:c r="R181" s="220"/>
      <x:c r="S181" s="220"/>
      <x:c r="T181" s="220"/>
      <x:c r="U181" s="220" t="str">
        <x:f>IF(AND(M181="",O181="",Q181="",S181=""),"",IF(S181&lt;&gt;"",S181,IF(Q181&lt;&gt;"",Q181,IF(O181&lt;&gt;"",O181,M181))))</x:f>
      </x:c>
      <x:c r="V181" s="220" t="str">
        <x:f>IF(AND(N181="",P181="",R181="",T181=""),"",IF(T181&lt;&gt;"",T181,IF(R181&lt;&gt;"",R181,IF(P181&lt;&gt;"",P181,N181))))</x:f>
      </x:c>
      <x:c r="W181" s="221"/>
      <x:c r="X181" s="220"/>
      <x:c r="Y181" s="220"/>
      <x:c r="Z181" s="223"/>
      <x:c r="AA181" s="223"/>
      <x:c r="AB181" s="221"/>
      <x:c r="AC181" s="220"/>
      <x:c r="AD181" s="220"/>
      <x:c r="AE181" s="222"/>
      <x:c r="AF181" s="220"/>
      <x:c r="AG181" s="221"/>
      <x:c r="AH181" s="220"/>
      <x:c r="AI181" s="220"/>
      <x:c r="AJ181" s="222"/>
      <x:c r="AK181" s="220"/>
      <x:c r="AL181" s="220"/>
      <x:c r="AM181" s="220"/>
      <x:c r="AN181" s="220"/>
      <x:c r="AO181" s="220"/>
      <x:c r="AP181" s="220"/>
      <x:c r="AQ181" s="220"/>
      <x:c r="AR181" s="222"/>
      <x:c r="AS181" s="220"/>
      <x:c r="AT181" s="220"/>
      <x:c r="AU181" s="220"/>
      <x:c r="AV181" s="220"/>
      <x:c r="AW181" s="220"/>
      <x:c r="AX181" s="220"/>
      <x:c r="AY181" s="221"/>
      <x:c r="AZ181" s="220"/>
      <x:c r="BA181" s="220" t="str">
        <x:f>IF(AND(A181="",B181="",F181="",H181="",J181="",AW181="",AY181=""),"",IF(OR(B181="skip",AW181="skip"),"SKIP",IF(OR(B181="to_candidate",AW181="proposed_name"),IF(OR(A181="",AX181="",AY181="",COUNTIF($A$6:$A$505,A181)&gt;1),"REVIEW","TO_PROPOSED"),IF(OR(B181="",A181="",F181="",H181="",J181="",U181="",AW181="",COUNTIF($A$6:$A$505,A181)&gt;1,(COUNTIFS('أرقام التواصل'!$A$6:$A$505,"client",'أرقام التواصل'!$B$6:$B$505,A181,'أرقام التواصل'!$I$6:$I$505,"TRUE")+COUNTIFS('أرقام التواصل'!$A$6:$A$505,"client",'أرقام التواصل'!$B$6:$B$505,A181,'أرقام التواصل'!$C$6:$C$505,1))=0),"REVIEW","READY"))))</x:f>
      </x:c>
      <x:c r="BB181" s="224" t="str">
        <x:f>IF(BA181="","",IF(OR(BA181="READY",BA181="TO_PROPOSED"),"",IF(BA181="SKIP","Skipped by decision",TRIM(IF(B181="","missing import_action; ","")&amp;IF(A181="","missing migration_customer_key; ","")&amp;IF(AND(A181&lt;&gt;"",COUNTIF($A$6:$A$505,A181)&gt;1),"duplicate migration_customer_key; ","")&amp;IF(AND(NOT(OR(B181="to_candidate",AW181="proposed_name")),F181=""),"missing branch_id; ","")&amp;IF(AND(NOT(OR(B181="to_candidate",AW181="proposed_name")),H181=""),"missing first_name; ","")&amp;IF(AND(NOT(OR(B181="to_candidate",AW181="proposed_name")),J181=""),"missing last_name; ","")&amp;IF(AND(NOT(OR(B181="to_candidate",AW181="proposed_name")),U181=""),"missing final_geo_unit_id; ","")&amp;IF(AW181="","missing final_destination; ","")&amp;IF(AND(NOT(OR(B181="to_candidate",AW181="proposed_name")),(COUNTIFS('أرقام التواصل'!$A$6:$A$505,"client",'أرقام التواصل'!$B$6:$B$505,A181,'أرقام التواصل'!$I$6:$I$505,"TRUE")+COUNTIFS('أرقام التواصل'!$A$6:$A$505,"client",'أرقام التواصل'!$B$6:$B$505,A181,'أرقام التواصل'!$C$6:$C$505,1))=0),"missing primary contact in أرقام التواصل; ","")&amp;IF(OR(B181="to_candidate",AW181="proposed_name"),IF(AX181="","missing proposed_move_reason; ","")&amp;IF(AY181="","missing proposed_name_key; ",""),"")))))</x:f>
      </x:c>
    </x:row>
    <x:row r="182">
      <x:c r="A182" s="219"/>
      <x:c r="B182" s="220"/>
      <x:c r="C182" s="221"/>
      <x:c r="D182" s="220"/>
      <x:c r="E182" s="222"/>
      <x:c r="F182" s="220"/>
      <x:c r="G182" s="220"/>
      <x:c r="H182" s="220"/>
      <x:c r="I182" s="220"/>
      <x:c r="J182" s="220"/>
      <x:c r="K182" s="220"/>
      <x:c r="L182" s="220" t="str">
        <x:f>IF(TRIM(H182&amp;" "&amp;I182&amp;" "&amp;J182&amp;IF(K182&lt;&gt;""," ("&amp;K182&amp;")",""))="","",TRIM(H182&amp;" "&amp;I182&amp;" "&amp;J182&amp;IF(K182&lt;&gt;""," ("&amp;K182&amp;")","")))</x:f>
      </x:c>
      <x:c r="M182" s="220"/>
      <x:c r="N182" s="220"/>
      <x:c r="O182" s="220"/>
      <x:c r="P182" s="220"/>
      <x:c r="Q182" s="220"/>
      <x:c r="R182" s="220"/>
      <x:c r="S182" s="220"/>
      <x:c r="T182" s="220"/>
      <x:c r="U182" s="220" t="str">
        <x:f>IF(AND(M182="",O182="",Q182="",S182=""),"",IF(S182&lt;&gt;"",S182,IF(Q182&lt;&gt;"",Q182,IF(O182&lt;&gt;"",O182,M182))))</x:f>
      </x:c>
      <x:c r="V182" s="220" t="str">
        <x:f>IF(AND(N182="",P182="",R182="",T182=""),"",IF(T182&lt;&gt;"",T182,IF(R182&lt;&gt;"",R182,IF(P182&lt;&gt;"",P182,N182))))</x:f>
      </x:c>
      <x:c r="W182" s="221"/>
      <x:c r="X182" s="220"/>
      <x:c r="Y182" s="220"/>
      <x:c r="Z182" s="223"/>
      <x:c r="AA182" s="223"/>
      <x:c r="AB182" s="221"/>
      <x:c r="AC182" s="220"/>
      <x:c r="AD182" s="220"/>
      <x:c r="AE182" s="222"/>
      <x:c r="AF182" s="220"/>
      <x:c r="AG182" s="221"/>
      <x:c r="AH182" s="220"/>
      <x:c r="AI182" s="220"/>
      <x:c r="AJ182" s="222"/>
      <x:c r="AK182" s="220"/>
      <x:c r="AL182" s="220"/>
      <x:c r="AM182" s="220"/>
      <x:c r="AN182" s="220"/>
      <x:c r="AO182" s="220"/>
      <x:c r="AP182" s="220"/>
      <x:c r="AQ182" s="220"/>
      <x:c r="AR182" s="222"/>
      <x:c r="AS182" s="220"/>
      <x:c r="AT182" s="220"/>
      <x:c r="AU182" s="220"/>
      <x:c r="AV182" s="220"/>
      <x:c r="AW182" s="220"/>
      <x:c r="AX182" s="220"/>
      <x:c r="AY182" s="221"/>
      <x:c r="AZ182" s="220"/>
      <x:c r="BA182" s="220" t="str">
        <x:f>IF(AND(A182="",B182="",F182="",H182="",J182="",AW182="",AY182=""),"",IF(OR(B182="skip",AW182="skip"),"SKIP",IF(OR(B182="to_candidate",AW182="proposed_name"),IF(OR(A182="",AX182="",AY182="",COUNTIF($A$6:$A$505,A182)&gt;1),"REVIEW","TO_PROPOSED"),IF(OR(B182="",A182="",F182="",H182="",J182="",U182="",AW182="",COUNTIF($A$6:$A$505,A182)&gt;1,(COUNTIFS('أرقام التواصل'!$A$6:$A$505,"client",'أرقام التواصل'!$B$6:$B$505,A182,'أرقام التواصل'!$I$6:$I$505,"TRUE")+COUNTIFS('أرقام التواصل'!$A$6:$A$505,"client",'أرقام التواصل'!$B$6:$B$505,A182,'أرقام التواصل'!$C$6:$C$505,1))=0),"REVIEW","READY"))))</x:f>
      </x:c>
      <x:c r="BB182" s="224" t="str">
        <x:f>IF(BA182="","",IF(OR(BA182="READY",BA182="TO_PROPOSED"),"",IF(BA182="SKIP","Skipped by decision",TRIM(IF(B182="","missing import_action; ","")&amp;IF(A182="","missing migration_customer_key; ","")&amp;IF(AND(A182&lt;&gt;"",COUNTIF($A$6:$A$505,A182)&gt;1),"duplicate migration_customer_key; ","")&amp;IF(AND(NOT(OR(B182="to_candidate",AW182="proposed_name")),F182=""),"missing branch_id; ","")&amp;IF(AND(NOT(OR(B182="to_candidate",AW182="proposed_name")),H182=""),"missing first_name; ","")&amp;IF(AND(NOT(OR(B182="to_candidate",AW182="proposed_name")),J182=""),"missing last_name; ","")&amp;IF(AND(NOT(OR(B182="to_candidate",AW182="proposed_name")),U182=""),"missing final_geo_unit_id; ","")&amp;IF(AW182="","missing final_destination; ","")&amp;IF(AND(NOT(OR(B182="to_candidate",AW182="proposed_name")),(COUNTIFS('أرقام التواصل'!$A$6:$A$505,"client",'أرقام التواصل'!$B$6:$B$505,A182,'أرقام التواصل'!$I$6:$I$505,"TRUE")+COUNTIFS('أرقام التواصل'!$A$6:$A$505,"client",'أرقام التواصل'!$B$6:$B$505,A182,'أرقام التواصل'!$C$6:$C$505,1))=0),"missing primary contact in أرقام التواصل; ","")&amp;IF(OR(B182="to_candidate",AW182="proposed_name"),IF(AX182="","missing proposed_move_reason; ","")&amp;IF(AY182="","missing proposed_name_key; ",""),"")))))</x:f>
      </x:c>
    </x:row>
    <x:row r="183">
      <x:c r="A183" s="219"/>
      <x:c r="B183" s="220"/>
      <x:c r="C183" s="221"/>
      <x:c r="D183" s="220"/>
      <x:c r="E183" s="222"/>
      <x:c r="F183" s="220"/>
      <x:c r="G183" s="220"/>
      <x:c r="H183" s="220"/>
      <x:c r="I183" s="220"/>
      <x:c r="J183" s="220"/>
      <x:c r="K183" s="220"/>
      <x:c r="L183" s="220" t="str">
        <x:f>IF(TRIM(H183&amp;" "&amp;I183&amp;" "&amp;J183&amp;IF(K183&lt;&gt;""," ("&amp;K183&amp;")",""))="","",TRIM(H183&amp;" "&amp;I183&amp;" "&amp;J183&amp;IF(K183&lt;&gt;""," ("&amp;K183&amp;")","")))</x:f>
      </x:c>
      <x:c r="M183" s="220"/>
      <x:c r="N183" s="220"/>
      <x:c r="O183" s="220"/>
      <x:c r="P183" s="220"/>
      <x:c r="Q183" s="220"/>
      <x:c r="R183" s="220"/>
      <x:c r="S183" s="220"/>
      <x:c r="T183" s="220"/>
      <x:c r="U183" s="220" t="str">
        <x:f>IF(AND(M183="",O183="",Q183="",S183=""),"",IF(S183&lt;&gt;"",S183,IF(Q183&lt;&gt;"",Q183,IF(O183&lt;&gt;"",O183,M183))))</x:f>
      </x:c>
      <x:c r="V183" s="220" t="str">
        <x:f>IF(AND(N183="",P183="",R183="",T183=""),"",IF(T183&lt;&gt;"",T183,IF(R183&lt;&gt;"",R183,IF(P183&lt;&gt;"",P183,N183))))</x:f>
      </x:c>
      <x:c r="W183" s="221"/>
      <x:c r="X183" s="220"/>
      <x:c r="Y183" s="220"/>
      <x:c r="Z183" s="223"/>
      <x:c r="AA183" s="223"/>
      <x:c r="AB183" s="221"/>
      <x:c r="AC183" s="220"/>
      <x:c r="AD183" s="220"/>
      <x:c r="AE183" s="222"/>
      <x:c r="AF183" s="220"/>
      <x:c r="AG183" s="221"/>
      <x:c r="AH183" s="220"/>
      <x:c r="AI183" s="220"/>
      <x:c r="AJ183" s="222"/>
      <x:c r="AK183" s="220"/>
      <x:c r="AL183" s="220"/>
      <x:c r="AM183" s="220"/>
      <x:c r="AN183" s="220"/>
      <x:c r="AO183" s="220"/>
      <x:c r="AP183" s="220"/>
      <x:c r="AQ183" s="220"/>
      <x:c r="AR183" s="222"/>
      <x:c r="AS183" s="220"/>
      <x:c r="AT183" s="220"/>
      <x:c r="AU183" s="220"/>
      <x:c r="AV183" s="220"/>
      <x:c r="AW183" s="220"/>
      <x:c r="AX183" s="220"/>
      <x:c r="AY183" s="221"/>
      <x:c r="AZ183" s="220"/>
      <x:c r="BA183" s="220" t="str">
        <x:f>IF(AND(A183="",B183="",F183="",H183="",J183="",AW183="",AY183=""),"",IF(OR(B183="skip",AW183="skip"),"SKIP",IF(OR(B183="to_candidate",AW183="proposed_name"),IF(OR(A183="",AX183="",AY183="",COUNTIF($A$6:$A$505,A183)&gt;1),"REVIEW","TO_PROPOSED"),IF(OR(B183="",A183="",F183="",H183="",J183="",U183="",AW183="",COUNTIF($A$6:$A$505,A183)&gt;1,(COUNTIFS('أرقام التواصل'!$A$6:$A$505,"client",'أرقام التواصل'!$B$6:$B$505,A183,'أرقام التواصل'!$I$6:$I$505,"TRUE")+COUNTIFS('أرقام التواصل'!$A$6:$A$505,"client",'أرقام التواصل'!$B$6:$B$505,A183,'أرقام التواصل'!$C$6:$C$505,1))=0),"REVIEW","READY"))))</x:f>
      </x:c>
      <x:c r="BB183" s="224" t="str">
        <x:f>IF(BA183="","",IF(OR(BA183="READY",BA183="TO_PROPOSED"),"",IF(BA183="SKIP","Skipped by decision",TRIM(IF(B183="","missing import_action; ","")&amp;IF(A183="","missing migration_customer_key; ","")&amp;IF(AND(A183&lt;&gt;"",COUNTIF($A$6:$A$505,A183)&gt;1),"duplicate migration_customer_key; ","")&amp;IF(AND(NOT(OR(B183="to_candidate",AW183="proposed_name")),F183=""),"missing branch_id; ","")&amp;IF(AND(NOT(OR(B183="to_candidate",AW183="proposed_name")),H183=""),"missing first_name; ","")&amp;IF(AND(NOT(OR(B183="to_candidate",AW183="proposed_name")),J183=""),"missing last_name; ","")&amp;IF(AND(NOT(OR(B183="to_candidate",AW183="proposed_name")),U183=""),"missing final_geo_unit_id; ","")&amp;IF(AW183="","missing final_destination; ","")&amp;IF(AND(NOT(OR(B183="to_candidate",AW183="proposed_name")),(COUNTIFS('أرقام التواصل'!$A$6:$A$505,"client",'أرقام التواصل'!$B$6:$B$505,A183,'أرقام التواصل'!$I$6:$I$505,"TRUE")+COUNTIFS('أرقام التواصل'!$A$6:$A$505,"client",'أرقام التواصل'!$B$6:$B$505,A183,'أرقام التواصل'!$C$6:$C$505,1))=0),"missing primary contact in أرقام التواصل; ","")&amp;IF(OR(B183="to_candidate",AW183="proposed_name"),IF(AX183="","missing proposed_move_reason; ","")&amp;IF(AY183="","missing proposed_name_key; ",""),"")))))</x:f>
      </x:c>
    </x:row>
    <x:row r="184">
      <x:c r="A184" s="219"/>
      <x:c r="B184" s="220"/>
      <x:c r="C184" s="221"/>
      <x:c r="D184" s="220"/>
      <x:c r="E184" s="222"/>
      <x:c r="F184" s="220"/>
      <x:c r="G184" s="220"/>
      <x:c r="H184" s="220"/>
      <x:c r="I184" s="220"/>
      <x:c r="J184" s="220"/>
      <x:c r="K184" s="220"/>
      <x:c r="L184" s="220" t="str">
        <x:f>IF(TRIM(H184&amp;" "&amp;I184&amp;" "&amp;J184&amp;IF(K184&lt;&gt;""," ("&amp;K184&amp;")",""))="","",TRIM(H184&amp;" "&amp;I184&amp;" "&amp;J184&amp;IF(K184&lt;&gt;""," ("&amp;K184&amp;")","")))</x:f>
      </x:c>
      <x:c r="M184" s="220"/>
      <x:c r="N184" s="220"/>
      <x:c r="O184" s="220"/>
      <x:c r="P184" s="220"/>
      <x:c r="Q184" s="220"/>
      <x:c r="R184" s="220"/>
      <x:c r="S184" s="220"/>
      <x:c r="T184" s="220"/>
      <x:c r="U184" s="220" t="str">
        <x:f>IF(AND(M184="",O184="",Q184="",S184=""),"",IF(S184&lt;&gt;"",S184,IF(Q184&lt;&gt;"",Q184,IF(O184&lt;&gt;"",O184,M184))))</x:f>
      </x:c>
      <x:c r="V184" s="220" t="str">
        <x:f>IF(AND(N184="",P184="",R184="",T184=""),"",IF(T184&lt;&gt;"",T184,IF(R184&lt;&gt;"",R184,IF(P184&lt;&gt;"",P184,N184))))</x:f>
      </x:c>
      <x:c r="W184" s="221"/>
      <x:c r="X184" s="220"/>
      <x:c r="Y184" s="220"/>
      <x:c r="Z184" s="223"/>
      <x:c r="AA184" s="223"/>
      <x:c r="AB184" s="221"/>
      <x:c r="AC184" s="220"/>
      <x:c r="AD184" s="220"/>
      <x:c r="AE184" s="222"/>
      <x:c r="AF184" s="220"/>
      <x:c r="AG184" s="221"/>
      <x:c r="AH184" s="220"/>
      <x:c r="AI184" s="220"/>
      <x:c r="AJ184" s="222"/>
      <x:c r="AK184" s="220"/>
      <x:c r="AL184" s="220"/>
      <x:c r="AM184" s="220"/>
      <x:c r="AN184" s="220"/>
      <x:c r="AO184" s="220"/>
      <x:c r="AP184" s="220"/>
      <x:c r="AQ184" s="220"/>
      <x:c r="AR184" s="222"/>
      <x:c r="AS184" s="220"/>
      <x:c r="AT184" s="220"/>
      <x:c r="AU184" s="220"/>
      <x:c r="AV184" s="220"/>
      <x:c r="AW184" s="220"/>
      <x:c r="AX184" s="220"/>
      <x:c r="AY184" s="221"/>
      <x:c r="AZ184" s="220"/>
      <x:c r="BA184" s="220" t="str">
        <x:f>IF(AND(A184="",B184="",F184="",H184="",J184="",AW184="",AY184=""),"",IF(OR(B184="skip",AW184="skip"),"SKIP",IF(OR(B184="to_candidate",AW184="proposed_name"),IF(OR(A184="",AX184="",AY184="",COUNTIF($A$6:$A$505,A184)&gt;1),"REVIEW","TO_PROPOSED"),IF(OR(B184="",A184="",F184="",H184="",J184="",U184="",AW184="",COUNTIF($A$6:$A$505,A184)&gt;1,(COUNTIFS('أرقام التواصل'!$A$6:$A$505,"client",'أرقام التواصل'!$B$6:$B$505,A184,'أرقام التواصل'!$I$6:$I$505,"TRUE")+COUNTIFS('أرقام التواصل'!$A$6:$A$505,"client",'أرقام التواصل'!$B$6:$B$505,A184,'أرقام التواصل'!$C$6:$C$505,1))=0),"REVIEW","READY"))))</x:f>
      </x:c>
      <x:c r="BB184" s="224" t="str">
        <x:f>IF(BA184="","",IF(OR(BA184="READY",BA184="TO_PROPOSED"),"",IF(BA184="SKIP","Skipped by decision",TRIM(IF(B184="","missing import_action; ","")&amp;IF(A184="","missing migration_customer_key; ","")&amp;IF(AND(A184&lt;&gt;"",COUNTIF($A$6:$A$505,A184)&gt;1),"duplicate migration_customer_key; ","")&amp;IF(AND(NOT(OR(B184="to_candidate",AW184="proposed_name")),F184=""),"missing branch_id; ","")&amp;IF(AND(NOT(OR(B184="to_candidate",AW184="proposed_name")),H184=""),"missing first_name; ","")&amp;IF(AND(NOT(OR(B184="to_candidate",AW184="proposed_name")),J184=""),"missing last_name; ","")&amp;IF(AND(NOT(OR(B184="to_candidate",AW184="proposed_name")),U184=""),"missing final_geo_unit_id; ","")&amp;IF(AW184="","missing final_destination; ","")&amp;IF(AND(NOT(OR(B184="to_candidate",AW184="proposed_name")),(COUNTIFS('أرقام التواصل'!$A$6:$A$505,"client",'أرقام التواصل'!$B$6:$B$505,A184,'أرقام التواصل'!$I$6:$I$505,"TRUE")+COUNTIFS('أرقام التواصل'!$A$6:$A$505,"client",'أرقام التواصل'!$B$6:$B$505,A184,'أرقام التواصل'!$C$6:$C$505,1))=0),"missing primary contact in أرقام التواصل; ","")&amp;IF(OR(B184="to_candidate",AW184="proposed_name"),IF(AX184="","missing proposed_move_reason; ","")&amp;IF(AY184="","missing proposed_name_key; ",""),"")))))</x:f>
      </x:c>
    </x:row>
    <x:row r="185">
      <x:c r="A185" s="219"/>
      <x:c r="B185" s="220"/>
      <x:c r="C185" s="221"/>
      <x:c r="D185" s="220"/>
      <x:c r="E185" s="222"/>
      <x:c r="F185" s="220"/>
      <x:c r="G185" s="220"/>
      <x:c r="H185" s="220"/>
      <x:c r="I185" s="220"/>
      <x:c r="J185" s="220"/>
      <x:c r="K185" s="220"/>
      <x:c r="L185" s="220" t="str">
        <x:f>IF(TRIM(H185&amp;" "&amp;I185&amp;" "&amp;J185&amp;IF(K185&lt;&gt;""," ("&amp;K185&amp;")",""))="","",TRIM(H185&amp;" "&amp;I185&amp;" "&amp;J185&amp;IF(K185&lt;&gt;""," ("&amp;K185&amp;")","")))</x:f>
      </x:c>
      <x:c r="M185" s="220"/>
      <x:c r="N185" s="220"/>
      <x:c r="O185" s="220"/>
      <x:c r="P185" s="220"/>
      <x:c r="Q185" s="220"/>
      <x:c r="R185" s="220"/>
      <x:c r="S185" s="220"/>
      <x:c r="T185" s="220"/>
      <x:c r="U185" s="220" t="str">
        <x:f>IF(AND(M185="",O185="",Q185="",S185=""),"",IF(S185&lt;&gt;"",S185,IF(Q185&lt;&gt;"",Q185,IF(O185&lt;&gt;"",O185,M185))))</x:f>
      </x:c>
      <x:c r="V185" s="220" t="str">
        <x:f>IF(AND(N185="",P185="",R185="",T185=""),"",IF(T185&lt;&gt;"",T185,IF(R185&lt;&gt;"",R185,IF(P185&lt;&gt;"",P185,N185))))</x:f>
      </x:c>
      <x:c r="W185" s="221"/>
      <x:c r="X185" s="220"/>
      <x:c r="Y185" s="220"/>
      <x:c r="Z185" s="223"/>
      <x:c r="AA185" s="223"/>
      <x:c r="AB185" s="221"/>
      <x:c r="AC185" s="220"/>
      <x:c r="AD185" s="220"/>
      <x:c r="AE185" s="222"/>
      <x:c r="AF185" s="220"/>
      <x:c r="AG185" s="221"/>
      <x:c r="AH185" s="220"/>
      <x:c r="AI185" s="220"/>
      <x:c r="AJ185" s="222"/>
      <x:c r="AK185" s="220"/>
      <x:c r="AL185" s="220"/>
      <x:c r="AM185" s="220"/>
      <x:c r="AN185" s="220"/>
      <x:c r="AO185" s="220"/>
      <x:c r="AP185" s="220"/>
      <x:c r="AQ185" s="220"/>
      <x:c r="AR185" s="222"/>
      <x:c r="AS185" s="220"/>
      <x:c r="AT185" s="220"/>
      <x:c r="AU185" s="220"/>
      <x:c r="AV185" s="220"/>
      <x:c r="AW185" s="220"/>
      <x:c r="AX185" s="220"/>
      <x:c r="AY185" s="221"/>
      <x:c r="AZ185" s="220"/>
      <x:c r="BA185" s="220" t="str">
        <x:f>IF(AND(A185="",B185="",F185="",H185="",J185="",AW185="",AY185=""),"",IF(OR(B185="skip",AW185="skip"),"SKIP",IF(OR(B185="to_candidate",AW185="proposed_name"),IF(OR(A185="",AX185="",AY185="",COUNTIF($A$6:$A$505,A185)&gt;1),"REVIEW","TO_PROPOSED"),IF(OR(B185="",A185="",F185="",H185="",J185="",U185="",AW185="",COUNTIF($A$6:$A$505,A185)&gt;1,(COUNTIFS('أرقام التواصل'!$A$6:$A$505,"client",'أرقام التواصل'!$B$6:$B$505,A185,'أرقام التواصل'!$I$6:$I$505,"TRUE")+COUNTIFS('أرقام التواصل'!$A$6:$A$505,"client",'أرقام التواصل'!$B$6:$B$505,A185,'أرقام التواصل'!$C$6:$C$505,1))=0),"REVIEW","READY"))))</x:f>
      </x:c>
      <x:c r="BB185" s="224" t="str">
        <x:f>IF(BA185="","",IF(OR(BA185="READY",BA185="TO_PROPOSED"),"",IF(BA185="SKIP","Skipped by decision",TRIM(IF(B185="","missing import_action; ","")&amp;IF(A185="","missing migration_customer_key; ","")&amp;IF(AND(A185&lt;&gt;"",COUNTIF($A$6:$A$505,A185)&gt;1),"duplicate migration_customer_key; ","")&amp;IF(AND(NOT(OR(B185="to_candidate",AW185="proposed_name")),F185=""),"missing branch_id; ","")&amp;IF(AND(NOT(OR(B185="to_candidate",AW185="proposed_name")),H185=""),"missing first_name; ","")&amp;IF(AND(NOT(OR(B185="to_candidate",AW185="proposed_name")),J185=""),"missing last_name; ","")&amp;IF(AND(NOT(OR(B185="to_candidate",AW185="proposed_name")),U185=""),"missing final_geo_unit_id; ","")&amp;IF(AW185="","missing final_destination; ","")&amp;IF(AND(NOT(OR(B185="to_candidate",AW185="proposed_name")),(COUNTIFS('أرقام التواصل'!$A$6:$A$505,"client",'أرقام التواصل'!$B$6:$B$505,A185,'أرقام التواصل'!$I$6:$I$505,"TRUE")+COUNTIFS('أرقام التواصل'!$A$6:$A$505,"client",'أرقام التواصل'!$B$6:$B$505,A185,'أرقام التواصل'!$C$6:$C$505,1))=0),"missing primary contact in أرقام التواصل; ","")&amp;IF(OR(B185="to_candidate",AW185="proposed_name"),IF(AX185="","missing proposed_move_reason; ","")&amp;IF(AY185="","missing proposed_name_key; ",""),"")))))</x:f>
      </x:c>
    </x:row>
    <x:row r="186">
      <x:c r="A186" s="219"/>
      <x:c r="B186" s="220"/>
      <x:c r="C186" s="221"/>
      <x:c r="D186" s="220"/>
      <x:c r="E186" s="222"/>
      <x:c r="F186" s="220"/>
      <x:c r="G186" s="220"/>
      <x:c r="H186" s="220"/>
      <x:c r="I186" s="220"/>
      <x:c r="J186" s="220"/>
      <x:c r="K186" s="220"/>
      <x:c r="L186" s="220" t="str">
        <x:f>IF(TRIM(H186&amp;" "&amp;I186&amp;" "&amp;J186&amp;IF(K186&lt;&gt;""," ("&amp;K186&amp;")",""))="","",TRIM(H186&amp;" "&amp;I186&amp;" "&amp;J186&amp;IF(K186&lt;&gt;""," ("&amp;K186&amp;")","")))</x:f>
      </x:c>
      <x:c r="M186" s="220"/>
      <x:c r="N186" s="220"/>
      <x:c r="O186" s="220"/>
      <x:c r="P186" s="220"/>
      <x:c r="Q186" s="220"/>
      <x:c r="R186" s="220"/>
      <x:c r="S186" s="220"/>
      <x:c r="T186" s="220"/>
      <x:c r="U186" s="220" t="str">
        <x:f>IF(AND(M186="",O186="",Q186="",S186=""),"",IF(S186&lt;&gt;"",S186,IF(Q186&lt;&gt;"",Q186,IF(O186&lt;&gt;"",O186,M186))))</x:f>
      </x:c>
      <x:c r="V186" s="220" t="str">
        <x:f>IF(AND(N186="",P186="",R186="",T186=""),"",IF(T186&lt;&gt;"",T186,IF(R186&lt;&gt;"",R186,IF(P186&lt;&gt;"",P186,N186))))</x:f>
      </x:c>
      <x:c r="W186" s="221"/>
      <x:c r="X186" s="220"/>
      <x:c r="Y186" s="220"/>
      <x:c r="Z186" s="223"/>
      <x:c r="AA186" s="223"/>
      <x:c r="AB186" s="221"/>
      <x:c r="AC186" s="220"/>
      <x:c r="AD186" s="220"/>
      <x:c r="AE186" s="222"/>
      <x:c r="AF186" s="220"/>
      <x:c r="AG186" s="221"/>
      <x:c r="AH186" s="220"/>
      <x:c r="AI186" s="220"/>
      <x:c r="AJ186" s="222"/>
      <x:c r="AK186" s="220"/>
      <x:c r="AL186" s="220"/>
      <x:c r="AM186" s="220"/>
      <x:c r="AN186" s="220"/>
      <x:c r="AO186" s="220"/>
      <x:c r="AP186" s="220"/>
      <x:c r="AQ186" s="220"/>
      <x:c r="AR186" s="222"/>
      <x:c r="AS186" s="220"/>
      <x:c r="AT186" s="220"/>
      <x:c r="AU186" s="220"/>
      <x:c r="AV186" s="220"/>
      <x:c r="AW186" s="220"/>
      <x:c r="AX186" s="220"/>
      <x:c r="AY186" s="221"/>
      <x:c r="AZ186" s="220"/>
      <x:c r="BA186" s="220" t="str">
        <x:f>IF(AND(A186="",B186="",F186="",H186="",J186="",AW186="",AY186=""),"",IF(OR(B186="skip",AW186="skip"),"SKIP",IF(OR(B186="to_candidate",AW186="proposed_name"),IF(OR(A186="",AX186="",AY186="",COUNTIF($A$6:$A$505,A186)&gt;1),"REVIEW","TO_PROPOSED"),IF(OR(B186="",A186="",F186="",H186="",J186="",U186="",AW186="",COUNTIF($A$6:$A$505,A186)&gt;1,(COUNTIFS('أرقام التواصل'!$A$6:$A$505,"client",'أرقام التواصل'!$B$6:$B$505,A186,'أرقام التواصل'!$I$6:$I$505,"TRUE")+COUNTIFS('أرقام التواصل'!$A$6:$A$505,"client",'أرقام التواصل'!$B$6:$B$505,A186,'أرقام التواصل'!$C$6:$C$505,1))=0),"REVIEW","READY"))))</x:f>
      </x:c>
      <x:c r="BB186" s="224" t="str">
        <x:f>IF(BA186="","",IF(OR(BA186="READY",BA186="TO_PROPOSED"),"",IF(BA186="SKIP","Skipped by decision",TRIM(IF(B186="","missing import_action; ","")&amp;IF(A186="","missing migration_customer_key; ","")&amp;IF(AND(A186&lt;&gt;"",COUNTIF($A$6:$A$505,A186)&gt;1),"duplicate migration_customer_key; ","")&amp;IF(AND(NOT(OR(B186="to_candidate",AW186="proposed_name")),F186=""),"missing branch_id; ","")&amp;IF(AND(NOT(OR(B186="to_candidate",AW186="proposed_name")),H186=""),"missing first_name; ","")&amp;IF(AND(NOT(OR(B186="to_candidate",AW186="proposed_name")),J186=""),"missing last_name; ","")&amp;IF(AND(NOT(OR(B186="to_candidate",AW186="proposed_name")),U186=""),"missing final_geo_unit_id; ","")&amp;IF(AW186="","missing final_destination; ","")&amp;IF(AND(NOT(OR(B186="to_candidate",AW186="proposed_name")),(COUNTIFS('أرقام التواصل'!$A$6:$A$505,"client",'أرقام التواصل'!$B$6:$B$505,A186,'أرقام التواصل'!$I$6:$I$505,"TRUE")+COUNTIFS('أرقام التواصل'!$A$6:$A$505,"client",'أرقام التواصل'!$B$6:$B$505,A186,'أرقام التواصل'!$C$6:$C$505,1))=0),"missing primary contact in أرقام التواصل; ","")&amp;IF(OR(B186="to_candidate",AW186="proposed_name"),IF(AX186="","missing proposed_move_reason; ","")&amp;IF(AY186="","missing proposed_name_key; ",""),"")))))</x:f>
      </x:c>
    </x:row>
    <x:row r="187">
      <x:c r="A187" s="219"/>
      <x:c r="B187" s="220"/>
      <x:c r="C187" s="221"/>
      <x:c r="D187" s="220"/>
      <x:c r="E187" s="222"/>
      <x:c r="F187" s="220"/>
      <x:c r="G187" s="220"/>
      <x:c r="H187" s="220"/>
      <x:c r="I187" s="220"/>
      <x:c r="J187" s="220"/>
      <x:c r="K187" s="220"/>
      <x:c r="L187" s="220" t="str">
        <x:f>IF(TRIM(H187&amp;" "&amp;I187&amp;" "&amp;J187&amp;IF(K187&lt;&gt;""," ("&amp;K187&amp;")",""))="","",TRIM(H187&amp;" "&amp;I187&amp;" "&amp;J187&amp;IF(K187&lt;&gt;""," ("&amp;K187&amp;")","")))</x:f>
      </x:c>
      <x:c r="M187" s="220"/>
      <x:c r="N187" s="220"/>
      <x:c r="O187" s="220"/>
      <x:c r="P187" s="220"/>
      <x:c r="Q187" s="220"/>
      <x:c r="R187" s="220"/>
      <x:c r="S187" s="220"/>
      <x:c r="T187" s="220"/>
      <x:c r="U187" s="220" t="str">
        <x:f>IF(AND(M187="",O187="",Q187="",S187=""),"",IF(S187&lt;&gt;"",S187,IF(Q187&lt;&gt;"",Q187,IF(O187&lt;&gt;"",O187,M187))))</x:f>
      </x:c>
      <x:c r="V187" s="220" t="str">
        <x:f>IF(AND(N187="",P187="",R187="",T187=""),"",IF(T187&lt;&gt;"",T187,IF(R187&lt;&gt;"",R187,IF(P187&lt;&gt;"",P187,N187))))</x:f>
      </x:c>
      <x:c r="W187" s="221"/>
      <x:c r="X187" s="220"/>
      <x:c r="Y187" s="220"/>
      <x:c r="Z187" s="223"/>
      <x:c r="AA187" s="223"/>
      <x:c r="AB187" s="221"/>
      <x:c r="AC187" s="220"/>
      <x:c r="AD187" s="220"/>
      <x:c r="AE187" s="222"/>
      <x:c r="AF187" s="220"/>
      <x:c r="AG187" s="221"/>
      <x:c r="AH187" s="220"/>
      <x:c r="AI187" s="220"/>
      <x:c r="AJ187" s="222"/>
      <x:c r="AK187" s="220"/>
      <x:c r="AL187" s="220"/>
      <x:c r="AM187" s="220"/>
      <x:c r="AN187" s="220"/>
      <x:c r="AO187" s="220"/>
      <x:c r="AP187" s="220"/>
      <x:c r="AQ187" s="220"/>
      <x:c r="AR187" s="222"/>
      <x:c r="AS187" s="220"/>
      <x:c r="AT187" s="220"/>
      <x:c r="AU187" s="220"/>
      <x:c r="AV187" s="220"/>
      <x:c r="AW187" s="220"/>
      <x:c r="AX187" s="220"/>
      <x:c r="AY187" s="221"/>
      <x:c r="AZ187" s="220"/>
      <x:c r="BA187" s="220" t="str">
        <x:f>IF(AND(A187="",B187="",F187="",H187="",J187="",AW187="",AY187=""),"",IF(OR(B187="skip",AW187="skip"),"SKIP",IF(OR(B187="to_candidate",AW187="proposed_name"),IF(OR(A187="",AX187="",AY187="",COUNTIF($A$6:$A$505,A187)&gt;1),"REVIEW","TO_PROPOSED"),IF(OR(B187="",A187="",F187="",H187="",J187="",U187="",AW187="",COUNTIF($A$6:$A$505,A187)&gt;1,(COUNTIFS('أرقام التواصل'!$A$6:$A$505,"client",'أرقام التواصل'!$B$6:$B$505,A187,'أرقام التواصل'!$I$6:$I$505,"TRUE")+COUNTIFS('أرقام التواصل'!$A$6:$A$505,"client",'أرقام التواصل'!$B$6:$B$505,A187,'أرقام التواصل'!$C$6:$C$505,1))=0),"REVIEW","READY"))))</x:f>
      </x:c>
      <x:c r="BB187" s="224" t="str">
        <x:f>IF(BA187="","",IF(OR(BA187="READY",BA187="TO_PROPOSED"),"",IF(BA187="SKIP","Skipped by decision",TRIM(IF(B187="","missing import_action; ","")&amp;IF(A187="","missing migration_customer_key; ","")&amp;IF(AND(A187&lt;&gt;"",COUNTIF($A$6:$A$505,A187)&gt;1),"duplicate migration_customer_key; ","")&amp;IF(AND(NOT(OR(B187="to_candidate",AW187="proposed_name")),F187=""),"missing branch_id; ","")&amp;IF(AND(NOT(OR(B187="to_candidate",AW187="proposed_name")),H187=""),"missing first_name; ","")&amp;IF(AND(NOT(OR(B187="to_candidate",AW187="proposed_name")),J187=""),"missing last_name; ","")&amp;IF(AND(NOT(OR(B187="to_candidate",AW187="proposed_name")),U187=""),"missing final_geo_unit_id; ","")&amp;IF(AW187="","missing final_destination; ","")&amp;IF(AND(NOT(OR(B187="to_candidate",AW187="proposed_name")),(COUNTIFS('أرقام التواصل'!$A$6:$A$505,"client",'أرقام التواصل'!$B$6:$B$505,A187,'أرقام التواصل'!$I$6:$I$505,"TRUE")+COUNTIFS('أرقام التواصل'!$A$6:$A$505,"client",'أرقام التواصل'!$B$6:$B$505,A187,'أرقام التواصل'!$C$6:$C$505,1))=0),"missing primary contact in أرقام التواصل; ","")&amp;IF(OR(B187="to_candidate",AW187="proposed_name"),IF(AX187="","missing proposed_move_reason; ","")&amp;IF(AY187="","missing proposed_name_key; ",""),"")))))</x:f>
      </x:c>
    </x:row>
    <x:row r="188">
      <x:c r="A188" s="219"/>
      <x:c r="B188" s="220"/>
      <x:c r="C188" s="221"/>
      <x:c r="D188" s="220"/>
      <x:c r="E188" s="222"/>
      <x:c r="F188" s="220"/>
      <x:c r="G188" s="220"/>
      <x:c r="H188" s="220"/>
      <x:c r="I188" s="220"/>
      <x:c r="J188" s="220"/>
      <x:c r="K188" s="220"/>
      <x:c r="L188" s="220" t="str">
        <x:f>IF(TRIM(H188&amp;" "&amp;I188&amp;" "&amp;J188&amp;IF(K188&lt;&gt;""," ("&amp;K188&amp;")",""))="","",TRIM(H188&amp;" "&amp;I188&amp;" "&amp;J188&amp;IF(K188&lt;&gt;""," ("&amp;K188&amp;")","")))</x:f>
      </x:c>
      <x:c r="M188" s="220"/>
      <x:c r="N188" s="220"/>
      <x:c r="O188" s="220"/>
      <x:c r="P188" s="220"/>
      <x:c r="Q188" s="220"/>
      <x:c r="R188" s="220"/>
      <x:c r="S188" s="220"/>
      <x:c r="T188" s="220"/>
      <x:c r="U188" s="220" t="str">
        <x:f>IF(AND(M188="",O188="",Q188="",S188=""),"",IF(S188&lt;&gt;"",S188,IF(Q188&lt;&gt;"",Q188,IF(O188&lt;&gt;"",O188,M188))))</x:f>
      </x:c>
      <x:c r="V188" s="220" t="str">
        <x:f>IF(AND(N188="",P188="",R188="",T188=""),"",IF(T188&lt;&gt;"",T188,IF(R188&lt;&gt;"",R188,IF(P188&lt;&gt;"",P188,N188))))</x:f>
      </x:c>
      <x:c r="W188" s="221"/>
      <x:c r="X188" s="220"/>
      <x:c r="Y188" s="220"/>
      <x:c r="Z188" s="223"/>
      <x:c r="AA188" s="223"/>
      <x:c r="AB188" s="221"/>
      <x:c r="AC188" s="220"/>
      <x:c r="AD188" s="220"/>
      <x:c r="AE188" s="222"/>
      <x:c r="AF188" s="220"/>
      <x:c r="AG188" s="221"/>
      <x:c r="AH188" s="220"/>
      <x:c r="AI188" s="220"/>
      <x:c r="AJ188" s="222"/>
      <x:c r="AK188" s="220"/>
      <x:c r="AL188" s="220"/>
      <x:c r="AM188" s="220"/>
      <x:c r="AN188" s="220"/>
      <x:c r="AO188" s="220"/>
      <x:c r="AP188" s="220"/>
      <x:c r="AQ188" s="220"/>
      <x:c r="AR188" s="222"/>
      <x:c r="AS188" s="220"/>
      <x:c r="AT188" s="220"/>
      <x:c r="AU188" s="220"/>
      <x:c r="AV188" s="220"/>
      <x:c r="AW188" s="220"/>
      <x:c r="AX188" s="220"/>
      <x:c r="AY188" s="221"/>
      <x:c r="AZ188" s="220"/>
      <x:c r="BA188" s="220" t="str">
        <x:f>IF(AND(A188="",B188="",F188="",H188="",J188="",AW188="",AY188=""),"",IF(OR(B188="skip",AW188="skip"),"SKIP",IF(OR(B188="to_candidate",AW188="proposed_name"),IF(OR(A188="",AX188="",AY188="",COUNTIF($A$6:$A$505,A188)&gt;1),"REVIEW","TO_PROPOSED"),IF(OR(B188="",A188="",F188="",H188="",J188="",U188="",AW188="",COUNTIF($A$6:$A$505,A188)&gt;1,(COUNTIFS('أرقام التواصل'!$A$6:$A$505,"client",'أرقام التواصل'!$B$6:$B$505,A188,'أرقام التواصل'!$I$6:$I$505,"TRUE")+COUNTIFS('أرقام التواصل'!$A$6:$A$505,"client",'أرقام التواصل'!$B$6:$B$505,A188,'أرقام التواصل'!$C$6:$C$505,1))=0),"REVIEW","READY"))))</x:f>
      </x:c>
      <x:c r="BB188" s="224" t="str">
        <x:f>IF(BA188="","",IF(OR(BA188="READY",BA188="TO_PROPOSED"),"",IF(BA188="SKIP","Skipped by decision",TRIM(IF(B188="","missing import_action; ","")&amp;IF(A188="","missing migration_customer_key; ","")&amp;IF(AND(A188&lt;&gt;"",COUNTIF($A$6:$A$505,A188)&gt;1),"duplicate migration_customer_key; ","")&amp;IF(AND(NOT(OR(B188="to_candidate",AW188="proposed_name")),F188=""),"missing branch_id; ","")&amp;IF(AND(NOT(OR(B188="to_candidate",AW188="proposed_name")),H188=""),"missing first_name; ","")&amp;IF(AND(NOT(OR(B188="to_candidate",AW188="proposed_name")),J188=""),"missing last_name; ","")&amp;IF(AND(NOT(OR(B188="to_candidate",AW188="proposed_name")),U188=""),"missing final_geo_unit_id; ","")&amp;IF(AW188="","missing final_destination; ","")&amp;IF(AND(NOT(OR(B188="to_candidate",AW188="proposed_name")),(COUNTIFS('أرقام التواصل'!$A$6:$A$505,"client",'أرقام التواصل'!$B$6:$B$505,A188,'أرقام التواصل'!$I$6:$I$505,"TRUE")+COUNTIFS('أرقام التواصل'!$A$6:$A$505,"client",'أرقام التواصل'!$B$6:$B$505,A188,'أرقام التواصل'!$C$6:$C$505,1))=0),"missing primary contact in أرقام التواصل; ","")&amp;IF(OR(B188="to_candidate",AW188="proposed_name"),IF(AX188="","missing proposed_move_reason; ","")&amp;IF(AY188="","missing proposed_name_key; ",""),"")))))</x:f>
      </x:c>
    </x:row>
    <x:row r="189">
      <x:c r="A189" s="219"/>
      <x:c r="B189" s="220"/>
      <x:c r="C189" s="221"/>
      <x:c r="D189" s="220"/>
      <x:c r="E189" s="222"/>
      <x:c r="F189" s="220"/>
      <x:c r="G189" s="220"/>
      <x:c r="H189" s="220"/>
      <x:c r="I189" s="220"/>
      <x:c r="J189" s="220"/>
      <x:c r="K189" s="220"/>
      <x:c r="L189" s="220" t="str">
        <x:f>IF(TRIM(H189&amp;" "&amp;I189&amp;" "&amp;J189&amp;IF(K189&lt;&gt;""," ("&amp;K189&amp;")",""))="","",TRIM(H189&amp;" "&amp;I189&amp;" "&amp;J189&amp;IF(K189&lt;&gt;""," ("&amp;K189&amp;")","")))</x:f>
      </x:c>
      <x:c r="M189" s="220"/>
      <x:c r="N189" s="220"/>
      <x:c r="O189" s="220"/>
      <x:c r="P189" s="220"/>
      <x:c r="Q189" s="220"/>
      <x:c r="R189" s="220"/>
      <x:c r="S189" s="220"/>
      <x:c r="T189" s="220"/>
      <x:c r="U189" s="220" t="str">
        <x:f>IF(AND(M189="",O189="",Q189="",S189=""),"",IF(S189&lt;&gt;"",S189,IF(Q189&lt;&gt;"",Q189,IF(O189&lt;&gt;"",O189,M189))))</x:f>
      </x:c>
      <x:c r="V189" s="220" t="str">
        <x:f>IF(AND(N189="",P189="",R189="",T189=""),"",IF(T189&lt;&gt;"",T189,IF(R189&lt;&gt;"",R189,IF(P189&lt;&gt;"",P189,N189))))</x:f>
      </x:c>
      <x:c r="W189" s="221"/>
      <x:c r="X189" s="220"/>
      <x:c r="Y189" s="220"/>
      <x:c r="Z189" s="223"/>
      <x:c r="AA189" s="223"/>
      <x:c r="AB189" s="221"/>
      <x:c r="AC189" s="220"/>
      <x:c r="AD189" s="220"/>
      <x:c r="AE189" s="222"/>
      <x:c r="AF189" s="220"/>
      <x:c r="AG189" s="221"/>
      <x:c r="AH189" s="220"/>
      <x:c r="AI189" s="220"/>
      <x:c r="AJ189" s="222"/>
      <x:c r="AK189" s="220"/>
      <x:c r="AL189" s="220"/>
      <x:c r="AM189" s="220"/>
      <x:c r="AN189" s="220"/>
      <x:c r="AO189" s="220"/>
      <x:c r="AP189" s="220"/>
      <x:c r="AQ189" s="220"/>
      <x:c r="AR189" s="222"/>
      <x:c r="AS189" s="220"/>
      <x:c r="AT189" s="220"/>
      <x:c r="AU189" s="220"/>
      <x:c r="AV189" s="220"/>
      <x:c r="AW189" s="220"/>
      <x:c r="AX189" s="220"/>
      <x:c r="AY189" s="221"/>
      <x:c r="AZ189" s="220"/>
      <x:c r="BA189" s="220" t="str">
        <x:f>IF(AND(A189="",B189="",F189="",H189="",J189="",AW189="",AY189=""),"",IF(OR(B189="skip",AW189="skip"),"SKIP",IF(OR(B189="to_candidate",AW189="proposed_name"),IF(OR(A189="",AX189="",AY189="",COUNTIF($A$6:$A$505,A189)&gt;1),"REVIEW","TO_PROPOSED"),IF(OR(B189="",A189="",F189="",H189="",J189="",U189="",AW189="",COUNTIF($A$6:$A$505,A189)&gt;1,(COUNTIFS('أرقام التواصل'!$A$6:$A$505,"client",'أرقام التواصل'!$B$6:$B$505,A189,'أرقام التواصل'!$I$6:$I$505,"TRUE")+COUNTIFS('أرقام التواصل'!$A$6:$A$505,"client",'أرقام التواصل'!$B$6:$B$505,A189,'أرقام التواصل'!$C$6:$C$505,1))=0),"REVIEW","READY"))))</x:f>
      </x:c>
      <x:c r="BB189" s="224" t="str">
        <x:f>IF(BA189="","",IF(OR(BA189="READY",BA189="TO_PROPOSED"),"",IF(BA189="SKIP","Skipped by decision",TRIM(IF(B189="","missing import_action; ","")&amp;IF(A189="","missing migration_customer_key; ","")&amp;IF(AND(A189&lt;&gt;"",COUNTIF($A$6:$A$505,A189)&gt;1),"duplicate migration_customer_key; ","")&amp;IF(AND(NOT(OR(B189="to_candidate",AW189="proposed_name")),F189=""),"missing branch_id; ","")&amp;IF(AND(NOT(OR(B189="to_candidate",AW189="proposed_name")),H189=""),"missing first_name; ","")&amp;IF(AND(NOT(OR(B189="to_candidate",AW189="proposed_name")),J189=""),"missing last_name; ","")&amp;IF(AND(NOT(OR(B189="to_candidate",AW189="proposed_name")),U189=""),"missing final_geo_unit_id; ","")&amp;IF(AW189="","missing final_destination; ","")&amp;IF(AND(NOT(OR(B189="to_candidate",AW189="proposed_name")),(COUNTIFS('أرقام التواصل'!$A$6:$A$505,"client",'أرقام التواصل'!$B$6:$B$505,A189,'أرقام التواصل'!$I$6:$I$505,"TRUE")+COUNTIFS('أرقام التواصل'!$A$6:$A$505,"client",'أرقام التواصل'!$B$6:$B$505,A189,'أرقام التواصل'!$C$6:$C$505,1))=0),"missing primary contact in أرقام التواصل; ","")&amp;IF(OR(B189="to_candidate",AW189="proposed_name"),IF(AX189="","missing proposed_move_reason; ","")&amp;IF(AY189="","missing proposed_name_key; ",""),"")))))</x:f>
      </x:c>
    </x:row>
    <x:row r="190">
      <x:c r="A190" s="219"/>
      <x:c r="B190" s="220"/>
      <x:c r="C190" s="221"/>
      <x:c r="D190" s="220"/>
      <x:c r="E190" s="222"/>
      <x:c r="F190" s="220"/>
      <x:c r="G190" s="220"/>
      <x:c r="H190" s="220"/>
      <x:c r="I190" s="220"/>
      <x:c r="J190" s="220"/>
      <x:c r="K190" s="220"/>
      <x:c r="L190" s="220" t="str">
        <x:f>IF(TRIM(H190&amp;" "&amp;I190&amp;" "&amp;J190&amp;IF(K190&lt;&gt;""," ("&amp;K190&amp;")",""))="","",TRIM(H190&amp;" "&amp;I190&amp;" "&amp;J190&amp;IF(K190&lt;&gt;""," ("&amp;K190&amp;")","")))</x:f>
      </x:c>
      <x:c r="M190" s="220"/>
      <x:c r="N190" s="220"/>
      <x:c r="O190" s="220"/>
      <x:c r="P190" s="220"/>
      <x:c r="Q190" s="220"/>
      <x:c r="R190" s="220"/>
      <x:c r="S190" s="220"/>
      <x:c r="T190" s="220"/>
      <x:c r="U190" s="220" t="str">
        <x:f>IF(AND(M190="",O190="",Q190="",S190=""),"",IF(S190&lt;&gt;"",S190,IF(Q190&lt;&gt;"",Q190,IF(O190&lt;&gt;"",O190,M190))))</x:f>
      </x:c>
      <x:c r="V190" s="220" t="str">
        <x:f>IF(AND(N190="",P190="",R190="",T190=""),"",IF(T190&lt;&gt;"",T190,IF(R190&lt;&gt;"",R190,IF(P190&lt;&gt;"",P190,N190))))</x:f>
      </x:c>
      <x:c r="W190" s="221"/>
      <x:c r="X190" s="220"/>
      <x:c r="Y190" s="220"/>
      <x:c r="Z190" s="223"/>
      <x:c r="AA190" s="223"/>
      <x:c r="AB190" s="221"/>
      <x:c r="AC190" s="220"/>
      <x:c r="AD190" s="220"/>
      <x:c r="AE190" s="222"/>
      <x:c r="AF190" s="220"/>
      <x:c r="AG190" s="221"/>
      <x:c r="AH190" s="220"/>
      <x:c r="AI190" s="220"/>
      <x:c r="AJ190" s="222"/>
      <x:c r="AK190" s="220"/>
      <x:c r="AL190" s="220"/>
      <x:c r="AM190" s="220"/>
      <x:c r="AN190" s="220"/>
      <x:c r="AO190" s="220"/>
      <x:c r="AP190" s="220"/>
      <x:c r="AQ190" s="220"/>
      <x:c r="AR190" s="222"/>
      <x:c r="AS190" s="220"/>
      <x:c r="AT190" s="220"/>
      <x:c r="AU190" s="220"/>
      <x:c r="AV190" s="220"/>
      <x:c r="AW190" s="220"/>
      <x:c r="AX190" s="220"/>
      <x:c r="AY190" s="221"/>
      <x:c r="AZ190" s="220"/>
      <x:c r="BA190" s="220" t="str">
        <x:f>IF(AND(A190="",B190="",F190="",H190="",J190="",AW190="",AY190=""),"",IF(OR(B190="skip",AW190="skip"),"SKIP",IF(OR(B190="to_candidate",AW190="proposed_name"),IF(OR(A190="",AX190="",AY190="",COUNTIF($A$6:$A$505,A190)&gt;1),"REVIEW","TO_PROPOSED"),IF(OR(B190="",A190="",F190="",H190="",J190="",U190="",AW190="",COUNTIF($A$6:$A$505,A190)&gt;1,(COUNTIFS('أرقام التواصل'!$A$6:$A$505,"client",'أرقام التواصل'!$B$6:$B$505,A190,'أرقام التواصل'!$I$6:$I$505,"TRUE")+COUNTIFS('أرقام التواصل'!$A$6:$A$505,"client",'أرقام التواصل'!$B$6:$B$505,A190,'أرقام التواصل'!$C$6:$C$505,1))=0),"REVIEW","READY"))))</x:f>
      </x:c>
      <x:c r="BB190" s="224" t="str">
        <x:f>IF(BA190="","",IF(OR(BA190="READY",BA190="TO_PROPOSED"),"",IF(BA190="SKIP","Skipped by decision",TRIM(IF(B190="","missing import_action; ","")&amp;IF(A190="","missing migration_customer_key; ","")&amp;IF(AND(A190&lt;&gt;"",COUNTIF($A$6:$A$505,A190)&gt;1),"duplicate migration_customer_key; ","")&amp;IF(AND(NOT(OR(B190="to_candidate",AW190="proposed_name")),F190=""),"missing branch_id; ","")&amp;IF(AND(NOT(OR(B190="to_candidate",AW190="proposed_name")),H190=""),"missing first_name; ","")&amp;IF(AND(NOT(OR(B190="to_candidate",AW190="proposed_name")),J190=""),"missing last_name; ","")&amp;IF(AND(NOT(OR(B190="to_candidate",AW190="proposed_name")),U190=""),"missing final_geo_unit_id; ","")&amp;IF(AW190="","missing final_destination; ","")&amp;IF(AND(NOT(OR(B190="to_candidate",AW190="proposed_name")),(COUNTIFS('أرقام التواصل'!$A$6:$A$505,"client",'أرقام التواصل'!$B$6:$B$505,A190,'أرقام التواصل'!$I$6:$I$505,"TRUE")+COUNTIFS('أرقام التواصل'!$A$6:$A$505,"client",'أرقام التواصل'!$B$6:$B$505,A190,'أرقام التواصل'!$C$6:$C$505,1))=0),"missing primary contact in أرقام التواصل; ","")&amp;IF(OR(B190="to_candidate",AW190="proposed_name"),IF(AX190="","missing proposed_move_reason; ","")&amp;IF(AY190="","missing proposed_name_key; ",""),"")))))</x:f>
      </x:c>
    </x:row>
    <x:row r="191">
      <x:c r="A191" s="219"/>
      <x:c r="B191" s="220"/>
      <x:c r="C191" s="221"/>
      <x:c r="D191" s="220"/>
      <x:c r="E191" s="222"/>
      <x:c r="F191" s="220"/>
      <x:c r="G191" s="220"/>
      <x:c r="H191" s="220"/>
      <x:c r="I191" s="220"/>
      <x:c r="J191" s="220"/>
      <x:c r="K191" s="220"/>
      <x:c r="L191" s="220" t="str">
        <x:f>IF(TRIM(H191&amp;" "&amp;I191&amp;" "&amp;J191&amp;IF(K191&lt;&gt;""," ("&amp;K191&amp;")",""))="","",TRIM(H191&amp;" "&amp;I191&amp;" "&amp;J191&amp;IF(K191&lt;&gt;""," ("&amp;K191&amp;")","")))</x:f>
      </x:c>
      <x:c r="M191" s="220"/>
      <x:c r="N191" s="220"/>
      <x:c r="O191" s="220"/>
      <x:c r="P191" s="220"/>
      <x:c r="Q191" s="220"/>
      <x:c r="R191" s="220"/>
      <x:c r="S191" s="220"/>
      <x:c r="T191" s="220"/>
      <x:c r="U191" s="220" t="str">
        <x:f>IF(AND(M191="",O191="",Q191="",S191=""),"",IF(S191&lt;&gt;"",S191,IF(Q191&lt;&gt;"",Q191,IF(O191&lt;&gt;"",O191,M191))))</x:f>
      </x:c>
      <x:c r="V191" s="220" t="str">
        <x:f>IF(AND(N191="",P191="",R191="",T191=""),"",IF(T191&lt;&gt;"",T191,IF(R191&lt;&gt;"",R191,IF(P191&lt;&gt;"",P191,N191))))</x:f>
      </x:c>
      <x:c r="W191" s="221"/>
      <x:c r="X191" s="220"/>
      <x:c r="Y191" s="220"/>
      <x:c r="Z191" s="223"/>
      <x:c r="AA191" s="223"/>
      <x:c r="AB191" s="221"/>
      <x:c r="AC191" s="220"/>
      <x:c r="AD191" s="220"/>
      <x:c r="AE191" s="222"/>
      <x:c r="AF191" s="220"/>
      <x:c r="AG191" s="221"/>
      <x:c r="AH191" s="220"/>
      <x:c r="AI191" s="220"/>
      <x:c r="AJ191" s="222"/>
      <x:c r="AK191" s="220"/>
      <x:c r="AL191" s="220"/>
      <x:c r="AM191" s="220"/>
      <x:c r="AN191" s="220"/>
      <x:c r="AO191" s="220"/>
      <x:c r="AP191" s="220"/>
      <x:c r="AQ191" s="220"/>
      <x:c r="AR191" s="222"/>
      <x:c r="AS191" s="220"/>
      <x:c r="AT191" s="220"/>
      <x:c r="AU191" s="220"/>
      <x:c r="AV191" s="220"/>
      <x:c r="AW191" s="220"/>
      <x:c r="AX191" s="220"/>
      <x:c r="AY191" s="221"/>
      <x:c r="AZ191" s="220"/>
      <x:c r="BA191" s="220" t="str">
        <x:f>IF(AND(A191="",B191="",F191="",H191="",J191="",AW191="",AY191=""),"",IF(OR(B191="skip",AW191="skip"),"SKIP",IF(OR(B191="to_candidate",AW191="proposed_name"),IF(OR(A191="",AX191="",AY191="",COUNTIF($A$6:$A$505,A191)&gt;1),"REVIEW","TO_PROPOSED"),IF(OR(B191="",A191="",F191="",H191="",J191="",U191="",AW191="",COUNTIF($A$6:$A$505,A191)&gt;1,(COUNTIFS('أرقام التواصل'!$A$6:$A$505,"client",'أرقام التواصل'!$B$6:$B$505,A191,'أرقام التواصل'!$I$6:$I$505,"TRUE")+COUNTIFS('أرقام التواصل'!$A$6:$A$505,"client",'أرقام التواصل'!$B$6:$B$505,A191,'أرقام التواصل'!$C$6:$C$505,1))=0),"REVIEW","READY"))))</x:f>
      </x:c>
      <x:c r="BB191" s="224" t="str">
        <x:f>IF(BA191="","",IF(OR(BA191="READY",BA191="TO_PROPOSED"),"",IF(BA191="SKIP","Skipped by decision",TRIM(IF(B191="","missing import_action; ","")&amp;IF(A191="","missing migration_customer_key; ","")&amp;IF(AND(A191&lt;&gt;"",COUNTIF($A$6:$A$505,A191)&gt;1),"duplicate migration_customer_key; ","")&amp;IF(AND(NOT(OR(B191="to_candidate",AW191="proposed_name")),F191=""),"missing branch_id; ","")&amp;IF(AND(NOT(OR(B191="to_candidate",AW191="proposed_name")),H191=""),"missing first_name; ","")&amp;IF(AND(NOT(OR(B191="to_candidate",AW191="proposed_name")),J191=""),"missing last_name; ","")&amp;IF(AND(NOT(OR(B191="to_candidate",AW191="proposed_name")),U191=""),"missing final_geo_unit_id; ","")&amp;IF(AW191="","missing final_destination; ","")&amp;IF(AND(NOT(OR(B191="to_candidate",AW191="proposed_name")),(COUNTIFS('أرقام التواصل'!$A$6:$A$505,"client",'أرقام التواصل'!$B$6:$B$505,A191,'أرقام التواصل'!$I$6:$I$505,"TRUE")+COUNTIFS('أرقام التواصل'!$A$6:$A$505,"client",'أرقام التواصل'!$B$6:$B$505,A191,'أرقام التواصل'!$C$6:$C$505,1))=0),"missing primary contact in أرقام التواصل; ","")&amp;IF(OR(B191="to_candidate",AW191="proposed_name"),IF(AX191="","missing proposed_move_reason; ","")&amp;IF(AY191="","missing proposed_name_key; ",""),"")))))</x:f>
      </x:c>
    </x:row>
    <x:row r="192">
      <x:c r="A192" s="219"/>
      <x:c r="B192" s="220"/>
      <x:c r="C192" s="221"/>
      <x:c r="D192" s="220"/>
      <x:c r="E192" s="222"/>
      <x:c r="F192" s="220"/>
      <x:c r="G192" s="220"/>
      <x:c r="H192" s="220"/>
      <x:c r="I192" s="220"/>
      <x:c r="J192" s="220"/>
      <x:c r="K192" s="220"/>
      <x:c r="L192" s="220" t="str">
        <x:f>IF(TRIM(H192&amp;" "&amp;I192&amp;" "&amp;J192&amp;IF(K192&lt;&gt;""," ("&amp;K192&amp;")",""))="","",TRIM(H192&amp;" "&amp;I192&amp;" "&amp;J192&amp;IF(K192&lt;&gt;""," ("&amp;K192&amp;")","")))</x:f>
      </x:c>
      <x:c r="M192" s="220"/>
      <x:c r="N192" s="220"/>
      <x:c r="O192" s="220"/>
      <x:c r="P192" s="220"/>
      <x:c r="Q192" s="220"/>
      <x:c r="R192" s="220"/>
      <x:c r="S192" s="220"/>
      <x:c r="T192" s="220"/>
      <x:c r="U192" s="220" t="str">
        <x:f>IF(AND(M192="",O192="",Q192="",S192=""),"",IF(S192&lt;&gt;"",S192,IF(Q192&lt;&gt;"",Q192,IF(O192&lt;&gt;"",O192,M192))))</x:f>
      </x:c>
      <x:c r="V192" s="220" t="str">
        <x:f>IF(AND(N192="",P192="",R192="",T192=""),"",IF(T192&lt;&gt;"",T192,IF(R192&lt;&gt;"",R192,IF(P192&lt;&gt;"",P192,N192))))</x:f>
      </x:c>
      <x:c r="W192" s="221"/>
      <x:c r="X192" s="220"/>
      <x:c r="Y192" s="220"/>
      <x:c r="Z192" s="223"/>
      <x:c r="AA192" s="223"/>
      <x:c r="AB192" s="221"/>
      <x:c r="AC192" s="220"/>
      <x:c r="AD192" s="220"/>
      <x:c r="AE192" s="222"/>
      <x:c r="AF192" s="220"/>
      <x:c r="AG192" s="221"/>
      <x:c r="AH192" s="220"/>
      <x:c r="AI192" s="220"/>
      <x:c r="AJ192" s="222"/>
      <x:c r="AK192" s="220"/>
      <x:c r="AL192" s="220"/>
      <x:c r="AM192" s="220"/>
      <x:c r="AN192" s="220"/>
      <x:c r="AO192" s="220"/>
      <x:c r="AP192" s="220"/>
      <x:c r="AQ192" s="220"/>
      <x:c r="AR192" s="222"/>
      <x:c r="AS192" s="220"/>
      <x:c r="AT192" s="220"/>
      <x:c r="AU192" s="220"/>
      <x:c r="AV192" s="220"/>
      <x:c r="AW192" s="220"/>
      <x:c r="AX192" s="220"/>
      <x:c r="AY192" s="221"/>
      <x:c r="AZ192" s="220"/>
      <x:c r="BA192" s="220" t="str">
        <x:f>IF(AND(A192="",B192="",F192="",H192="",J192="",AW192="",AY192=""),"",IF(OR(B192="skip",AW192="skip"),"SKIP",IF(OR(B192="to_candidate",AW192="proposed_name"),IF(OR(A192="",AX192="",AY192="",COUNTIF($A$6:$A$505,A192)&gt;1),"REVIEW","TO_PROPOSED"),IF(OR(B192="",A192="",F192="",H192="",J192="",U192="",AW192="",COUNTIF($A$6:$A$505,A192)&gt;1,(COUNTIFS('أرقام التواصل'!$A$6:$A$505,"client",'أرقام التواصل'!$B$6:$B$505,A192,'أرقام التواصل'!$I$6:$I$505,"TRUE")+COUNTIFS('أرقام التواصل'!$A$6:$A$505,"client",'أرقام التواصل'!$B$6:$B$505,A192,'أرقام التواصل'!$C$6:$C$505,1))=0),"REVIEW","READY"))))</x:f>
      </x:c>
      <x:c r="BB192" s="224" t="str">
        <x:f>IF(BA192="","",IF(OR(BA192="READY",BA192="TO_PROPOSED"),"",IF(BA192="SKIP","Skipped by decision",TRIM(IF(B192="","missing import_action; ","")&amp;IF(A192="","missing migration_customer_key; ","")&amp;IF(AND(A192&lt;&gt;"",COUNTIF($A$6:$A$505,A192)&gt;1),"duplicate migration_customer_key; ","")&amp;IF(AND(NOT(OR(B192="to_candidate",AW192="proposed_name")),F192=""),"missing branch_id; ","")&amp;IF(AND(NOT(OR(B192="to_candidate",AW192="proposed_name")),H192=""),"missing first_name; ","")&amp;IF(AND(NOT(OR(B192="to_candidate",AW192="proposed_name")),J192=""),"missing last_name; ","")&amp;IF(AND(NOT(OR(B192="to_candidate",AW192="proposed_name")),U192=""),"missing final_geo_unit_id; ","")&amp;IF(AW192="","missing final_destination; ","")&amp;IF(AND(NOT(OR(B192="to_candidate",AW192="proposed_name")),(COUNTIFS('أرقام التواصل'!$A$6:$A$505,"client",'أرقام التواصل'!$B$6:$B$505,A192,'أرقام التواصل'!$I$6:$I$505,"TRUE")+COUNTIFS('أرقام التواصل'!$A$6:$A$505,"client",'أرقام التواصل'!$B$6:$B$505,A192,'أرقام التواصل'!$C$6:$C$505,1))=0),"missing primary contact in أرقام التواصل; ","")&amp;IF(OR(B192="to_candidate",AW192="proposed_name"),IF(AX192="","missing proposed_move_reason; ","")&amp;IF(AY192="","missing proposed_name_key; ",""),"")))))</x:f>
      </x:c>
    </x:row>
    <x:row r="193">
      <x:c r="A193" s="219"/>
      <x:c r="B193" s="220"/>
      <x:c r="C193" s="221"/>
      <x:c r="D193" s="220"/>
      <x:c r="E193" s="222"/>
      <x:c r="F193" s="220"/>
      <x:c r="G193" s="220"/>
      <x:c r="H193" s="220"/>
      <x:c r="I193" s="220"/>
      <x:c r="J193" s="220"/>
      <x:c r="K193" s="220"/>
      <x:c r="L193" s="220" t="str">
        <x:f>IF(TRIM(H193&amp;" "&amp;I193&amp;" "&amp;J193&amp;IF(K193&lt;&gt;""," ("&amp;K193&amp;")",""))="","",TRIM(H193&amp;" "&amp;I193&amp;" "&amp;J193&amp;IF(K193&lt;&gt;""," ("&amp;K193&amp;")","")))</x:f>
      </x:c>
      <x:c r="M193" s="220"/>
      <x:c r="N193" s="220"/>
      <x:c r="O193" s="220"/>
      <x:c r="P193" s="220"/>
      <x:c r="Q193" s="220"/>
      <x:c r="R193" s="220"/>
      <x:c r="S193" s="220"/>
      <x:c r="T193" s="220"/>
      <x:c r="U193" s="220" t="str">
        <x:f>IF(AND(M193="",O193="",Q193="",S193=""),"",IF(S193&lt;&gt;"",S193,IF(Q193&lt;&gt;"",Q193,IF(O193&lt;&gt;"",O193,M193))))</x:f>
      </x:c>
      <x:c r="V193" s="220" t="str">
        <x:f>IF(AND(N193="",P193="",R193="",T193=""),"",IF(T193&lt;&gt;"",T193,IF(R193&lt;&gt;"",R193,IF(P193&lt;&gt;"",P193,N193))))</x:f>
      </x:c>
      <x:c r="W193" s="221"/>
      <x:c r="X193" s="220"/>
      <x:c r="Y193" s="220"/>
      <x:c r="Z193" s="223"/>
      <x:c r="AA193" s="223"/>
      <x:c r="AB193" s="221"/>
      <x:c r="AC193" s="220"/>
      <x:c r="AD193" s="220"/>
      <x:c r="AE193" s="222"/>
      <x:c r="AF193" s="220"/>
      <x:c r="AG193" s="221"/>
      <x:c r="AH193" s="220"/>
      <x:c r="AI193" s="220"/>
      <x:c r="AJ193" s="222"/>
      <x:c r="AK193" s="220"/>
      <x:c r="AL193" s="220"/>
      <x:c r="AM193" s="220"/>
      <x:c r="AN193" s="220"/>
      <x:c r="AO193" s="220"/>
      <x:c r="AP193" s="220"/>
      <x:c r="AQ193" s="220"/>
      <x:c r="AR193" s="222"/>
      <x:c r="AS193" s="220"/>
      <x:c r="AT193" s="220"/>
      <x:c r="AU193" s="220"/>
      <x:c r="AV193" s="220"/>
      <x:c r="AW193" s="220"/>
      <x:c r="AX193" s="220"/>
      <x:c r="AY193" s="221"/>
      <x:c r="AZ193" s="220"/>
      <x:c r="BA193" s="220" t="str">
        <x:f>IF(AND(A193="",B193="",F193="",H193="",J193="",AW193="",AY193=""),"",IF(OR(B193="skip",AW193="skip"),"SKIP",IF(OR(B193="to_candidate",AW193="proposed_name"),IF(OR(A193="",AX193="",AY193="",COUNTIF($A$6:$A$505,A193)&gt;1),"REVIEW","TO_PROPOSED"),IF(OR(B193="",A193="",F193="",H193="",J193="",U193="",AW193="",COUNTIF($A$6:$A$505,A193)&gt;1,(COUNTIFS('أرقام التواصل'!$A$6:$A$505,"client",'أرقام التواصل'!$B$6:$B$505,A193,'أرقام التواصل'!$I$6:$I$505,"TRUE")+COUNTIFS('أرقام التواصل'!$A$6:$A$505,"client",'أرقام التواصل'!$B$6:$B$505,A193,'أرقام التواصل'!$C$6:$C$505,1))=0),"REVIEW","READY"))))</x:f>
      </x:c>
      <x:c r="BB193" s="224" t="str">
        <x:f>IF(BA193="","",IF(OR(BA193="READY",BA193="TO_PROPOSED"),"",IF(BA193="SKIP","Skipped by decision",TRIM(IF(B193="","missing import_action; ","")&amp;IF(A193="","missing migration_customer_key; ","")&amp;IF(AND(A193&lt;&gt;"",COUNTIF($A$6:$A$505,A193)&gt;1),"duplicate migration_customer_key; ","")&amp;IF(AND(NOT(OR(B193="to_candidate",AW193="proposed_name")),F193=""),"missing branch_id; ","")&amp;IF(AND(NOT(OR(B193="to_candidate",AW193="proposed_name")),H193=""),"missing first_name; ","")&amp;IF(AND(NOT(OR(B193="to_candidate",AW193="proposed_name")),J193=""),"missing last_name; ","")&amp;IF(AND(NOT(OR(B193="to_candidate",AW193="proposed_name")),U193=""),"missing final_geo_unit_id; ","")&amp;IF(AW193="","missing final_destination; ","")&amp;IF(AND(NOT(OR(B193="to_candidate",AW193="proposed_name")),(COUNTIFS('أرقام التواصل'!$A$6:$A$505,"client",'أرقام التواصل'!$B$6:$B$505,A193,'أرقام التواصل'!$I$6:$I$505,"TRUE")+COUNTIFS('أرقام التواصل'!$A$6:$A$505,"client",'أرقام التواصل'!$B$6:$B$505,A193,'أرقام التواصل'!$C$6:$C$505,1))=0),"missing primary contact in أرقام التواصل; ","")&amp;IF(OR(B193="to_candidate",AW193="proposed_name"),IF(AX193="","missing proposed_move_reason; ","")&amp;IF(AY193="","missing proposed_name_key; ",""),"")))))</x:f>
      </x:c>
    </x:row>
    <x:row r="194">
      <x:c r="A194" s="219"/>
      <x:c r="B194" s="220"/>
      <x:c r="C194" s="221"/>
      <x:c r="D194" s="220"/>
      <x:c r="E194" s="222"/>
      <x:c r="F194" s="220"/>
      <x:c r="G194" s="220"/>
      <x:c r="H194" s="220"/>
      <x:c r="I194" s="220"/>
      <x:c r="J194" s="220"/>
      <x:c r="K194" s="220"/>
      <x:c r="L194" s="220" t="str">
        <x:f>IF(TRIM(H194&amp;" "&amp;I194&amp;" "&amp;J194&amp;IF(K194&lt;&gt;""," ("&amp;K194&amp;")",""))="","",TRIM(H194&amp;" "&amp;I194&amp;" "&amp;J194&amp;IF(K194&lt;&gt;""," ("&amp;K194&amp;")","")))</x:f>
      </x:c>
      <x:c r="M194" s="220"/>
      <x:c r="N194" s="220"/>
      <x:c r="O194" s="220"/>
      <x:c r="P194" s="220"/>
      <x:c r="Q194" s="220"/>
      <x:c r="R194" s="220"/>
      <x:c r="S194" s="220"/>
      <x:c r="T194" s="220"/>
      <x:c r="U194" s="220" t="str">
        <x:f>IF(AND(M194="",O194="",Q194="",S194=""),"",IF(S194&lt;&gt;"",S194,IF(Q194&lt;&gt;"",Q194,IF(O194&lt;&gt;"",O194,M194))))</x:f>
      </x:c>
      <x:c r="V194" s="220" t="str">
        <x:f>IF(AND(N194="",P194="",R194="",T194=""),"",IF(T194&lt;&gt;"",T194,IF(R194&lt;&gt;"",R194,IF(P194&lt;&gt;"",P194,N194))))</x:f>
      </x:c>
      <x:c r="W194" s="221"/>
      <x:c r="X194" s="220"/>
      <x:c r="Y194" s="220"/>
      <x:c r="Z194" s="223"/>
      <x:c r="AA194" s="223"/>
      <x:c r="AB194" s="221"/>
      <x:c r="AC194" s="220"/>
      <x:c r="AD194" s="220"/>
      <x:c r="AE194" s="222"/>
      <x:c r="AF194" s="220"/>
      <x:c r="AG194" s="221"/>
      <x:c r="AH194" s="220"/>
      <x:c r="AI194" s="220"/>
      <x:c r="AJ194" s="222"/>
      <x:c r="AK194" s="220"/>
      <x:c r="AL194" s="220"/>
      <x:c r="AM194" s="220"/>
      <x:c r="AN194" s="220"/>
      <x:c r="AO194" s="220"/>
      <x:c r="AP194" s="220"/>
      <x:c r="AQ194" s="220"/>
      <x:c r="AR194" s="222"/>
      <x:c r="AS194" s="220"/>
      <x:c r="AT194" s="220"/>
      <x:c r="AU194" s="220"/>
      <x:c r="AV194" s="220"/>
      <x:c r="AW194" s="220"/>
      <x:c r="AX194" s="220"/>
      <x:c r="AY194" s="221"/>
      <x:c r="AZ194" s="220"/>
      <x:c r="BA194" s="220" t="str">
        <x:f>IF(AND(A194="",B194="",F194="",H194="",J194="",AW194="",AY194=""),"",IF(OR(B194="skip",AW194="skip"),"SKIP",IF(OR(B194="to_candidate",AW194="proposed_name"),IF(OR(A194="",AX194="",AY194="",COUNTIF($A$6:$A$505,A194)&gt;1),"REVIEW","TO_PROPOSED"),IF(OR(B194="",A194="",F194="",H194="",J194="",U194="",AW194="",COUNTIF($A$6:$A$505,A194)&gt;1,(COUNTIFS('أرقام التواصل'!$A$6:$A$505,"client",'أرقام التواصل'!$B$6:$B$505,A194,'أرقام التواصل'!$I$6:$I$505,"TRUE")+COUNTIFS('أرقام التواصل'!$A$6:$A$505,"client",'أرقام التواصل'!$B$6:$B$505,A194,'أرقام التواصل'!$C$6:$C$505,1))=0),"REVIEW","READY"))))</x:f>
      </x:c>
      <x:c r="BB194" s="224" t="str">
        <x:f>IF(BA194="","",IF(OR(BA194="READY",BA194="TO_PROPOSED"),"",IF(BA194="SKIP","Skipped by decision",TRIM(IF(B194="","missing import_action; ","")&amp;IF(A194="","missing migration_customer_key; ","")&amp;IF(AND(A194&lt;&gt;"",COUNTIF($A$6:$A$505,A194)&gt;1),"duplicate migration_customer_key; ","")&amp;IF(AND(NOT(OR(B194="to_candidate",AW194="proposed_name")),F194=""),"missing branch_id; ","")&amp;IF(AND(NOT(OR(B194="to_candidate",AW194="proposed_name")),H194=""),"missing first_name; ","")&amp;IF(AND(NOT(OR(B194="to_candidate",AW194="proposed_name")),J194=""),"missing last_name; ","")&amp;IF(AND(NOT(OR(B194="to_candidate",AW194="proposed_name")),U194=""),"missing final_geo_unit_id; ","")&amp;IF(AW194="","missing final_destination; ","")&amp;IF(AND(NOT(OR(B194="to_candidate",AW194="proposed_name")),(COUNTIFS('أرقام التواصل'!$A$6:$A$505,"client",'أرقام التواصل'!$B$6:$B$505,A194,'أرقام التواصل'!$I$6:$I$505,"TRUE")+COUNTIFS('أرقام التواصل'!$A$6:$A$505,"client",'أرقام التواصل'!$B$6:$B$505,A194,'أرقام التواصل'!$C$6:$C$505,1))=0),"missing primary contact in أرقام التواصل; ","")&amp;IF(OR(B194="to_candidate",AW194="proposed_name"),IF(AX194="","missing proposed_move_reason; ","")&amp;IF(AY194="","missing proposed_name_key; ",""),"")))))</x:f>
      </x:c>
    </x:row>
    <x:row r="195">
      <x:c r="A195" s="219"/>
      <x:c r="B195" s="220"/>
      <x:c r="C195" s="221"/>
      <x:c r="D195" s="220"/>
      <x:c r="E195" s="222"/>
      <x:c r="F195" s="220"/>
      <x:c r="G195" s="220"/>
      <x:c r="H195" s="220"/>
      <x:c r="I195" s="220"/>
      <x:c r="J195" s="220"/>
      <x:c r="K195" s="220"/>
      <x:c r="L195" s="220" t="str">
        <x:f>IF(TRIM(H195&amp;" "&amp;I195&amp;" "&amp;J195&amp;IF(K195&lt;&gt;""," ("&amp;K195&amp;")",""))="","",TRIM(H195&amp;" "&amp;I195&amp;" "&amp;J195&amp;IF(K195&lt;&gt;""," ("&amp;K195&amp;")","")))</x:f>
      </x:c>
      <x:c r="M195" s="220"/>
      <x:c r="N195" s="220"/>
      <x:c r="O195" s="220"/>
      <x:c r="P195" s="220"/>
      <x:c r="Q195" s="220"/>
      <x:c r="R195" s="220"/>
      <x:c r="S195" s="220"/>
      <x:c r="T195" s="220"/>
      <x:c r="U195" s="220" t="str">
        <x:f>IF(AND(M195="",O195="",Q195="",S195=""),"",IF(S195&lt;&gt;"",S195,IF(Q195&lt;&gt;"",Q195,IF(O195&lt;&gt;"",O195,M195))))</x:f>
      </x:c>
      <x:c r="V195" s="220" t="str">
        <x:f>IF(AND(N195="",P195="",R195="",T195=""),"",IF(T195&lt;&gt;"",T195,IF(R195&lt;&gt;"",R195,IF(P195&lt;&gt;"",P195,N195))))</x:f>
      </x:c>
      <x:c r="W195" s="221"/>
      <x:c r="X195" s="220"/>
      <x:c r="Y195" s="220"/>
      <x:c r="Z195" s="223"/>
      <x:c r="AA195" s="223"/>
      <x:c r="AB195" s="221"/>
      <x:c r="AC195" s="220"/>
      <x:c r="AD195" s="220"/>
      <x:c r="AE195" s="222"/>
      <x:c r="AF195" s="220"/>
      <x:c r="AG195" s="221"/>
      <x:c r="AH195" s="220"/>
      <x:c r="AI195" s="220"/>
      <x:c r="AJ195" s="222"/>
      <x:c r="AK195" s="220"/>
      <x:c r="AL195" s="220"/>
      <x:c r="AM195" s="220"/>
      <x:c r="AN195" s="220"/>
      <x:c r="AO195" s="220"/>
      <x:c r="AP195" s="220"/>
      <x:c r="AQ195" s="220"/>
      <x:c r="AR195" s="222"/>
      <x:c r="AS195" s="220"/>
      <x:c r="AT195" s="220"/>
      <x:c r="AU195" s="220"/>
      <x:c r="AV195" s="220"/>
      <x:c r="AW195" s="220"/>
      <x:c r="AX195" s="220"/>
      <x:c r="AY195" s="221"/>
      <x:c r="AZ195" s="220"/>
      <x:c r="BA195" s="220" t="str">
        <x:f>IF(AND(A195="",B195="",F195="",H195="",J195="",AW195="",AY195=""),"",IF(OR(B195="skip",AW195="skip"),"SKIP",IF(OR(B195="to_candidate",AW195="proposed_name"),IF(OR(A195="",AX195="",AY195="",COUNTIF($A$6:$A$505,A195)&gt;1),"REVIEW","TO_PROPOSED"),IF(OR(B195="",A195="",F195="",H195="",J195="",U195="",AW195="",COUNTIF($A$6:$A$505,A195)&gt;1,(COUNTIFS('أرقام التواصل'!$A$6:$A$505,"client",'أرقام التواصل'!$B$6:$B$505,A195,'أرقام التواصل'!$I$6:$I$505,"TRUE")+COUNTIFS('أرقام التواصل'!$A$6:$A$505,"client",'أرقام التواصل'!$B$6:$B$505,A195,'أرقام التواصل'!$C$6:$C$505,1))=0),"REVIEW","READY"))))</x:f>
      </x:c>
      <x:c r="BB195" s="224" t="str">
        <x:f>IF(BA195="","",IF(OR(BA195="READY",BA195="TO_PROPOSED"),"",IF(BA195="SKIP","Skipped by decision",TRIM(IF(B195="","missing import_action; ","")&amp;IF(A195="","missing migration_customer_key; ","")&amp;IF(AND(A195&lt;&gt;"",COUNTIF($A$6:$A$505,A195)&gt;1),"duplicate migration_customer_key; ","")&amp;IF(AND(NOT(OR(B195="to_candidate",AW195="proposed_name")),F195=""),"missing branch_id; ","")&amp;IF(AND(NOT(OR(B195="to_candidate",AW195="proposed_name")),H195=""),"missing first_name; ","")&amp;IF(AND(NOT(OR(B195="to_candidate",AW195="proposed_name")),J195=""),"missing last_name; ","")&amp;IF(AND(NOT(OR(B195="to_candidate",AW195="proposed_name")),U195=""),"missing final_geo_unit_id; ","")&amp;IF(AW195="","missing final_destination; ","")&amp;IF(AND(NOT(OR(B195="to_candidate",AW195="proposed_name")),(COUNTIFS('أرقام التواصل'!$A$6:$A$505,"client",'أرقام التواصل'!$B$6:$B$505,A195,'أرقام التواصل'!$I$6:$I$505,"TRUE")+COUNTIFS('أرقام التواصل'!$A$6:$A$505,"client",'أرقام التواصل'!$B$6:$B$505,A195,'أرقام التواصل'!$C$6:$C$505,1))=0),"missing primary contact in أرقام التواصل; ","")&amp;IF(OR(B195="to_candidate",AW195="proposed_name"),IF(AX195="","missing proposed_move_reason; ","")&amp;IF(AY195="","missing proposed_name_key; ",""),"")))))</x:f>
      </x:c>
    </x:row>
    <x:row r="196">
      <x:c r="A196" s="219"/>
      <x:c r="B196" s="220"/>
      <x:c r="C196" s="221"/>
      <x:c r="D196" s="220"/>
      <x:c r="E196" s="222"/>
      <x:c r="F196" s="220"/>
      <x:c r="G196" s="220"/>
      <x:c r="H196" s="220"/>
      <x:c r="I196" s="220"/>
      <x:c r="J196" s="220"/>
      <x:c r="K196" s="220"/>
      <x:c r="L196" s="220" t="str">
        <x:f>IF(TRIM(H196&amp;" "&amp;I196&amp;" "&amp;J196&amp;IF(K196&lt;&gt;""," ("&amp;K196&amp;")",""))="","",TRIM(H196&amp;" "&amp;I196&amp;" "&amp;J196&amp;IF(K196&lt;&gt;""," ("&amp;K196&amp;")","")))</x:f>
      </x:c>
      <x:c r="M196" s="220"/>
      <x:c r="N196" s="220"/>
      <x:c r="O196" s="220"/>
      <x:c r="P196" s="220"/>
      <x:c r="Q196" s="220"/>
      <x:c r="R196" s="220"/>
      <x:c r="S196" s="220"/>
      <x:c r="T196" s="220"/>
      <x:c r="U196" s="220" t="str">
        <x:f>IF(AND(M196="",O196="",Q196="",S196=""),"",IF(S196&lt;&gt;"",S196,IF(Q196&lt;&gt;"",Q196,IF(O196&lt;&gt;"",O196,M196))))</x:f>
      </x:c>
      <x:c r="V196" s="220" t="str">
        <x:f>IF(AND(N196="",P196="",R196="",T196=""),"",IF(T196&lt;&gt;"",T196,IF(R196&lt;&gt;"",R196,IF(P196&lt;&gt;"",P196,N196))))</x:f>
      </x:c>
      <x:c r="W196" s="221"/>
      <x:c r="X196" s="220"/>
      <x:c r="Y196" s="220"/>
      <x:c r="Z196" s="223"/>
      <x:c r="AA196" s="223"/>
      <x:c r="AB196" s="221"/>
      <x:c r="AC196" s="220"/>
      <x:c r="AD196" s="220"/>
      <x:c r="AE196" s="222"/>
      <x:c r="AF196" s="220"/>
      <x:c r="AG196" s="221"/>
      <x:c r="AH196" s="220"/>
      <x:c r="AI196" s="220"/>
      <x:c r="AJ196" s="222"/>
      <x:c r="AK196" s="220"/>
      <x:c r="AL196" s="220"/>
      <x:c r="AM196" s="220"/>
      <x:c r="AN196" s="220"/>
      <x:c r="AO196" s="220"/>
      <x:c r="AP196" s="220"/>
      <x:c r="AQ196" s="220"/>
      <x:c r="AR196" s="222"/>
      <x:c r="AS196" s="220"/>
      <x:c r="AT196" s="220"/>
      <x:c r="AU196" s="220"/>
      <x:c r="AV196" s="220"/>
      <x:c r="AW196" s="220"/>
      <x:c r="AX196" s="220"/>
      <x:c r="AY196" s="221"/>
      <x:c r="AZ196" s="220"/>
      <x:c r="BA196" s="220" t="str">
        <x:f>IF(AND(A196="",B196="",F196="",H196="",J196="",AW196="",AY196=""),"",IF(OR(B196="skip",AW196="skip"),"SKIP",IF(OR(B196="to_candidate",AW196="proposed_name"),IF(OR(A196="",AX196="",AY196="",COUNTIF($A$6:$A$505,A196)&gt;1),"REVIEW","TO_PROPOSED"),IF(OR(B196="",A196="",F196="",H196="",J196="",U196="",AW196="",COUNTIF($A$6:$A$505,A196)&gt;1,(COUNTIFS('أرقام التواصل'!$A$6:$A$505,"client",'أرقام التواصل'!$B$6:$B$505,A196,'أرقام التواصل'!$I$6:$I$505,"TRUE")+COUNTIFS('أرقام التواصل'!$A$6:$A$505,"client",'أرقام التواصل'!$B$6:$B$505,A196,'أرقام التواصل'!$C$6:$C$505,1))=0),"REVIEW","READY"))))</x:f>
      </x:c>
      <x:c r="BB196" s="224" t="str">
        <x:f>IF(BA196="","",IF(OR(BA196="READY",BA196="TO_PROPOSED"),"",IF(BA196="SKIP","Skipped by decision",TRIM(IF(B196="","missing import_action; ","")&amp;IF(A196="","missing migration_customer_key; ","")&amp;IF(AND(A196&lt;&gt;"",COUNTIF($A$6:$A$505,A196)&gt;1),"duplicate migration_customer_key; ","")&amp;IF(AND(NOT(OR(B196="to_candidate",AW196="proposed_name")),F196=""),"missing branch_id; ","")&amp;IF(AND(NOT(OR(B196="to_candidate",AW196="proposed_name")),H196=""),"missing first_name; ","")&amp;IF(AND(NOT(OR(B196="to_candidate",AW196="proposed_name")),J196=""),"missing last_name; ","")&amp;IF(AND(NOT(OR(B196="to_candidate",AW196="proposed_name")),U196=""),"missing final_geo_unit_id; ","")&amp;IF(AW196="","missing final_destination; ","")&amp;IF(AND(NOT(OR(B196="to_candidate",AW196="proposed_name")),(COUNTIFS('أرقام التواصل'!$A$6:$A$505,"client",'أرقام التواصل'!$B$6:$B$505,A196,'أرقام التواصل'!$I$6:$I$505,"TRUE")+COUNTIFS('أرقام التواصل'!$A$6:$A$505,"client",'أرقام التواصل'!$B$6:$B$505,A196,'أرقام التواصل'!$C$6:$C$505,1))=0),"missing primary contact in أرقام التواصل; ","")&amp;IF(OR(B196="to_candidate",AW196="proposed_name"),IF(AX196="","missing proposed_move_reason; ","")&amp;IF(AY196="","missing proposed_name_key; ",""),"")))))</x:f>
      </x:c>
    </x:row>
    <x:row r="197">
      <x:c r="A197" s="219"/>
      <x:c r="B197" s="220"/>
      <x:c r="C197" s="221"/>
      <x:c r="D197" s="220"/>
      <x:c r="E197" s="222"/>
      <x:c r="F197" s="220"/>
      <x:c r="G197" s="220"/>
      <x:c r="H197" s="220"/>
      <x:c r="I197" s="220"/>
      <x:c r="J197" s="220"/>
      <x:c r="K197" s="220"/>
      <x:c r="L197" s="220" t="str">
        <x:f>IF(TRIM(H197&amp;" "&amp;I197&amp;" "&amp;J197&amp;IF(K197&lt;&gt;""," ("&amp;K197&amp;")",""))="","",TRIM(H197&amp;" "&amp;I197&amp;" "&amp;J197&amp;IF(K197&lt;&gt;""," ("&amp;K197&amp;")","")))</x:f>
      </x:c>
      <x:c r="M197" s="220"/>
      <x:c r="N197" s="220"/>
      <x:c r="O197" s="220"/>
      <x:c r="P197" s="220"/>
      <x:c r="Q197" s="220"/>
      <x:c r="R197" s="220"/>
      <x:c r="S197" s="220"/>
      <x:c r="T197" s="220"/>
      <x:c r="U197" s="220" t="str">
        <x:f>IF(AND(M197="",O197="",Q197="",S197=""),"",IF(S197&lt;&gt;"",S197,IF(Q197&lt;&gt;"",Q197,IF(O197&lt;&gt;"",O197,M197))))</x:f>
      </x:c>
      <x:c r="V197" s="220" t="str">
        <x:f>IF(AND(N197="",P197="",R197="",T197=""),"",IF(T197&lt;&gt;"",T197,IF(R197&lt;&gt;"",R197,IF(P197&lt;&gt;"",P197,N197))))</x:f>
      </x:c>
      <x:c r="W197" s="221"/>
      <x:c r="X197" s="220"/>
      <x:c r="Y197" s="220"/>
      <x:c r="Z197" s="223"/>
      <x:c r="AA197" s="223"/>
      <x:c r="AB197" s="221"/>
      <x:c r="AC197" s="220"/>
      <x:c r="AD197" s="220"/>
      <x:c r="AE197" s="222"/>
      <x:c r="AF197" s="220"/>
      <x:c r="AG197" s="221"/>
      <x:c r="AH197" s="220"/>
      <x:c r="AI197" s="220"/>
      <x:c r="AJ197" s="222"/>
      <x:c r="AK197" s="220"/>
      <x:c r="AL197" s="220"/>
      <x:c r="AM197" s="220"/>
      <x:c r="AN197" s="220"/>
      <x:c r="AO197" s="220"/>
      <x:c r="AP197" s="220"/>
      <x:c r="AQ197" s="220"/>
      <x:c r="AR197" s="222"/>
      <x:c r="AS197" s="220"/>
      <x:c r="AT197" s="220"/>
      <x:c r="AU197" s="220"/>
      <x:c r="AV197" s="220"/>
      <x:c r="AW197" s="220"/>
      <x:c r="AX197" s="220"/>
      <x:c r="AY197" s="221"/>
      <x:c r="AZ197" s="220"/>
      <x:c r="BA197" s="220" t="str">
        <x:f>IF(AND(A197="",B197="",F197="",H197="",J197="",AW197="",AY197=""),"",IF(OR(B197="skip",AW197="skip"),"SKIP",IF(OR(B197="to_candidate",AW197="proposed_name"),IF(OR(A197="",AX197="",AY197="",COUNTIF($A$6:$A$505,A197)&gt;1),"REVIEW","TO_PROPOSED"),IF(OR(B197="",A197="",F197="",H197="",J197="",U197="",AW197="",COUNTIF($A$6:$A$505,A197)&gt;1,(COUNTIFS('أرقام التواصل'!$A$6:$A$505,"client",'أرقام التواصل'!$B$6:$B$505,A197,'أرقام التواصل'!$I$6:$I$505,"TRUE")+COUNTIFS('أرقام التواصل'!$A$6:$A$505,"client",'أرقام التواصل'!$B$6:$B$505,A197,'أرقام التواصل'!$C$6:$C$505,1))=0),"REVIEW","READY"))))</x:f>
      </x:c>
      <x:c r="BB197" s="224" t="str">
        <x:f>IF(BA197="","",IF(OR(BA197="READY",BA197="TO_PROPOSED"),"",IF(BA197="SKIP","Skipped by decision",TRIM(IF(B197="","missing import_action; ","")&amp;IF(A197="","missing migration_customer_key; ","")&amp;IF(AND(A197&lt;&gt;"",COUNTIF($A$6:$A$505,A197)&gt;1),"duplicate migration_customer_key; ","")&amp;IF(AND(NOT(OR(B197="to_candidate",AW197="proposed_name")),F197=""),"missing branch_id; ","")&amp;IF(AND(NOT(OR(B197="to_candidate",AW197="proposed_name")),H197=""),"missing first_name; ","")&amp;IF(AND(NOT(OR(B197="to_candidate",AW197="proposed_name")),J197=""),"missing last_name; ","")&amp;IF(AND(NOT(OR(B197="to_candidate",AW197="proposed_name")),U197=""),"missing final_geo_unit_id; ","")&amp;IF(AW197="","missing final_destination; ","")&amp;IF(AND(NOT(OR(B197="to_candidate",AW197="proposed_name")),(COUNTIFS('أرقام التواصل'!$A$6:$A$505,"client",'أرقام التواصل'!$B$6:$B$505,A197,'أرقام التواصل'!$I$6:$I$505,"TRUE")+COUNTIFS('أرقام التواصل'!$A$6:$A$505,"client",'أرقام التواصل'!$B$6:$B$505,A197,'أرقام التواصل'!$C$6:$C$505,1))=0),"missing primary contact in أرقام التواصل; ","")&amp;IF(OR(B197="to_candidate",AW197="proposed_name"),IF(AX197="","missing proposed_move_reason; ","")&amp;IF(AY197="","missing proposed_name_key; ",""),"")))))</x:f>
      </x:c>
    </x:row>
    <x:row r="198">
      <x:c r="A198" s="219"/>
      <x:c r="B198" s="220"/>
      <x:c r="C198" s="221"/>
      <x:c r="D198" s="220"/>
      <x:c r="E198" s="222"/>
      <x:c r="F198" s="220"/>
      <x:c r="G198" s="220"/>
      <x:c r="H198" s="220"/>
      <x:c r="I198" s="220"/>
      <x:c r="J198" s="220"/>
      <x:c r="K198" s="220"/>
      <x:c r="L198" s="220" t="str">
        <x:f>IF(TRIM(H198&amp;" "&amp;I198&amp;" "&amp;J198&amp;IF(K198&lt;&gt;""," ("&amp;K198&amp;")",""))="","",TRIM(H198&amp;" "&amp;I198&amp;" "&amp;J198&amp;IF(K198&lt;&gt;""," ("&amp;K198&amp;")","")))</x:f>
      </x:c>
      <x:c r="M198" s="220"/>
      <x:c r="N198" s="220"/>
      <x:c r="O198" s="220"/>
      <x:c r="P198" s="220"/>
      <x:c r="Q198" s="220"/>
      <x:c r="R198" s="220"/>
      <x:c r="S198" s="220"/>
      <x:c r="T198" s="220"/>
      <x:c r="U198" s="220" t="str">
        <x:f>IF(AND(M198="",O198="",Q198="",S198=""),"",IF(S198&lt;&gt;"",S198,IF(Q198&lt;&gt;"",Q198,IF(O198&lt;&gt;"",O198,M198))))</x:f>
      </x:c>
      <x:c r="V198" s="220" t="str">
        <x:f>IF(AND(N198="",P198="",R198="",T198=""),"",IF(T198&lt;&gt;"",T198,IF(R198&lt;&gt;"",R198,IF(P198&lt;&gt;"",P198,N198))))</x:f>
      </x:c>
      <x:c r="W198" s="221"/>
      <x:c r="X198" s="220"/>
      <x:c r="Y198" s="220"/>
      <x:c r="Z198" s="223"/>
      <x:c r="AA198" s="223"/>
      <x:c r="AB198" s="221"/>
      <x:c r="AC198" s="220"/>
      <x:c r="AD198" s="220"/>
      <x:c r="AE198" s="222"/>
      <x:c r="AF198" s="220"/>
      <x:c r="AG198" s="221"/>
      <x:c r="AH198" s="220"/>
      <x:c r="AI198" s="220"/>
      <x:c r="AJ198" s="222"/>
      <x:c r="AK198" s="220"/>
      <x:c r="AL198" s="220"/>
      <x:c r="AM198" s="220"/>
      <x:c r="AN198" s="220"/>
      <x:c r="AO198" s="220"/>
      <x:c r="AP198" s="220"/>
      <x:c r="AQ198" s="220"/>
      <x:c r="AR198" s="222"/>
      <x:c r="AS198" s="220"/>
      <x:c r="AT198" s="220"/>
      <x:c r="AU198" s="220"/>
      <x:c r="AV198" s="220"/>
      <x:c r="AW198" s="220"/>
      <x:c r="AX198" s="220"/>
      <x:c r="AY198" s="221"/>
      <x:c r="AZ198" s="220"/>
      <x:c r="BA198" s="220" t="str">
        <x:f>IF(AND(A198="",B198="",F198="",H198="",J198="",AW198="",AY198=""),"",IF(OR(B198="skip",AW198="skip"),"SKIP",IF(OR(B198="to_candidate",AW198="proposed_name"),IF(OR(A198="",AX198="",AY198="",COUNTIF($A$6:$A$505,A198)&gt;1),"REVIEW","TO_PROPOSED"),IF(OR(B198="",A198="",F198="",H198="",J198="",U198="",AW198="",COUNTIF($A$6:$A$505,A198)&gt;1,(COUNTIFS('أرقام التواصل'!$A$6:$A$505,"client",'أرقام التواصل'!$B$6:$B$505,A198,'أرقام التواصل'!$I$6:$I$505,"TRUE")+COUNTIFS('أرقام التواصل'!$A$6:$A$505,"client",'أرقام التواصل'!$B$6:$B$505,A198,'أرقام التواصل'!$C$6:$C$505,1))=0),"REVIEW","READY"))))</x:f>
      </x:c>
      <x:c r="BB198" s="224" t="str">
        <x:f>IF(BA198="","",IF(OR(BA198="READY",BA198="TO_PROPOSED"),"",IF(BA198="SKIP","Skipped by decision",TRIM(IF(B198="","missing import_action; ","")&amp;IF(A198="","missing migration_customer_key; ","")&amp;IF(AND(A198&lt;&gt;"",COUNTIF($A$6:$A$505,A198)&gt;1),"duplicate migration_customer_key; ","")&amp;IF(AND(NOT(OR(B198="to_candidate",AW198="proposed_name")),F198=""),"missing branch_id; ","")&amp;IF(AND(NOT(OR(B198="to_candidate",AW198="proposed_name")),H198=""),"missing first_name; ","")&amp;IF(AND(NOT(OR(B198="to_candidate",AW198="proposed_name")),J198=""),"missing last_name; ","")&amp;IF(AND(NOT(OR(B198="to_candidate",AW198="proposed_name")),U198=""),"missing final_geo_unit_id; ","")&amp;IF(AW198="","missing final_destination; ","")&amp;IF(AND(NOT(OR(B198="to_candidate",AW198="proposed_name")),(COUNTIFS('أرقام التواصل'!$A$6:$A$505,"client",'أرقام التواصل'!$B$6:$B$505,A198,'أرقام التواصل'!$I$6:$I$505,"TRUE")+COUNTIFS('أرقام التواصل'!$A$6:$A$505,"client",'أرقام التواصل'!$B$6:$B$505,A198,'أرقام التواصل'!$C$6:$C$505,1))=0),"missing primary contact in أرقام التواصل; ","")&amp;IF(OR(B198="to_candidate",AW198="proposed_name"),IF(AX198="","missing proposed_move_reason; ","")&amp;IF(AY198="","missing proposed_name_key; ",""),"")))))</x:f>
      </x:c>
    </x:row>
    <x:row r="199">
      <x:c r="A199" s="219"/>
      <x:c r="B199" s="220"/>
      <x:c r="C199" s="221"/>
      <x:c r="D199" s="220"/>
      <x:c r="E199" s="222"/>
      <x:c r="F199" s="220"/>
      <x:c r="G199" s="220"/>
      <x:c r="H199" s="220"/>
      <x:c r="I199" s="220"/>
      <x:c r="J199" s="220"/>
      <x:c r="K199" s="220"/>
      <x:c r="L199" s="220" t="str">
        <x:f>IF(TRIM(H199&amp;" "&amp;I199&amp;" "&amp;J199&amp;IF(K199&lt;&gt;""," ("&amp;K199&amp;")",""))="","",TRIM(H199&amp;" "&amp;I199&amp;" "&amp;J199&amp;IF(K199&lt;&gt;""," ("&amp;K199&amp;")","")))</x:f>
      </x:c>
      <x:c r="M199" s="220"/>
      <x:c r="N199" s="220"/>
      <x:c r="O199" s="220"/>
      <x:c r="P199" s="220"/>
      <x:c r="Q199" s="220"/>
      <x:c r="R199" s="220"/>
      <x:c r="S199" s="220"/>
      <x:c r="T199" s="220"/>
      <x:c r="U199" s="220" t="str">
        <x:f>IF(AND(M199="",O199="",Q199="",S199=""),"",IF(S199&lt;&gt;"",S199,IF(Q199&lt;&gt;"",Q199,IF(O199&lt;&gt;"",O199,M199))))</x:f>
      </x:c>
      <x:c r="V199" s="220" t="str">
        <x:f>IF(AND(N199="",P199="",R199="",T199=""),"",IF(T199&lt;&gt;"",T199,IF(R199&lt;&gt;"",R199,IF(P199&lt;&gt;"",P199,N199))))</x:f>
      </x:c>
      <x:c r="W199" s="221"/>
      <x:c r="X199" s="220"/>
      <x:c r="Y199" s="220"/>
      <x:c r="Z199" s="223"/>
      <x:c r="AA199" s="223"/>
      <x:c r="AB199" s="221"/>
      <x:c r="AC199" s="220"/>
      <x:c r="AD199" s="220"/>
      <x:c r="AE199" s="222"/>
      <x:c r="AF199" s="220"/>
      <x:c r="AG199" s="221"/>
      <x:c r="AH199" s="220"/>
      <x:c r="AI199" s="220"/>
      <x:c r="AJ199" s="222"/>
      <x:c r="AK199" s="220"/>
      <x:c r="AL199" s="220"/>
      <x:c r="AM199" s="220"/>
      <x:c r="AN199" s="220"/>
      <x:c r="AO199" s="220"/>
      <x:c r="AP199" s="220"/>
      <x:c r="AQ199" s="220"/>
      <x:c r="AR199" s="222"/>
      <x:c r="AS199" s="220"/>
      <x:c r="AT199" s="220"/>
      <x:c r="AU199" s="220"/>
      <x:c r="AV199" s="220"/>
      <x:c r="AW199" s="220"/>
      <x:c r="AX199" s="220"/>
      <x:c r="AY199" s="221"/>
      <x:c r="AZ199" s="220"/>
      <x:c r="BA199" s="220" t="str">
        <x:f>IF(AND(A199="",B199="",F199="",H199="",J199="",AW199="",AY199=""),"",IF(OR(B199="skip",AW199="skip"),"SKIP",IF(OR(B199="to_candidate",AW199="proposed_name"),IF(OR(A199="",AX199="",AY199="",COUNTIF($A$6:$A$505,A199)&gt;1),"REVIEW","TO_PROPOSED"),IF(OR(B199="",A199="",F199="",H199="",J199="",U199="",AW199="",COUNTIF($A$6:$A$505,A199)&gt;1,(COUNTIFS('أرقام التواصل'!$A$6:$A$505,"client",'أرقام التواصل'!$B$6:$B$505,A199,'أرقام التواصل'!$I$6:$I$505,"TRUE")+COUNTIFS('أرقام التواصل'!$A$6:$A$505,"client",'أرقام التواصل'!$B$6:$B$505,A199,'أرقام التواصل'!$C$6:$C$505,1))=0),"REVIEW","READY"))))</x:f>
      </x:c>
      <x:c r="BB199" s="224" t="str">
        <x:f>IF(BA199="","",IF(OR(BA199="READY",BA199="TO_PROPOSED"),"",IF(BA199="SKIP","Skipped by decision",TRIM(IF(B199="","missing import_action; ","")&amp;IF(A199="","missing migration_customer_key; ","")&amp;IF(AND(A199&lt;&gt;"",COUNTIF($A$6:$A$505,A199)&gt;1),"duplicate migration_customer_key; ","")&amp;IF(AND(NOT(OR(B199="to_candidate",AW199="proposed_name")),F199=""),"missing branch_id; ","")&amp;IF(AND(NOT(OR(B199="to_candidate",AW199="proposed_name")),H199=""),"missing first_name; ","")&amp;IF(AND(NOT(OR(B199="to_candidate",AW199="proposed_name")),J199=""),"missing last_name; ","")&amp;IF(AND(NOT(OR(B199="to_candidate",AW199="proposed_name")),U199=""),"missing final_geo_unit_id; ","")&amp;IF(AW199="","missing final_destination; ","")&amp;IF(AND(NOT(OR(B199="to_candidate",AW199="proposed_name")),(COUNTIFS('أرقام التواصل'!$A$6:$A$505,"client",'أرقام التواصل'!$B$6:$B$505,A199,'أرقام التواصل'!$I$6:$I$505,"TRUE")+COUNTIFS('أرقام التواصل'!$A$6:$A$505,"client",'أرقام التواصل'!$B$6:$B$505,A199,'أرقام التواصل'!$C$6:$C$505,1))=0),"missing primary contact in أرقام التواصل; ","")&amp;IF(OR(B199="to_candidate",AW199="proposed_name"),IF(AX199="","missing proposed_move_reason; ","")&amp;IF(AY199="","missing proposed_name_key; ",""),"")))))</x:f>
      </x:c>
    </x:row>
    <x:row r="200">
      <x:c r="A200" s="219"/>
      <x:c r="B200" s="220"/>
      <x:c r="C200" s="221"/>
      <x:c r="D200" s="220"/>
      <x:c r="E200" s="222"/>
      <x:c r="F200" s="220"/>
      <x:c r="G200" s="220"/>
      <x:c r="H200" s="220"/>
      <x:c r="I200" s="220"/>
      <x:c r="J200" s="220"/>
      <x:c r="K200" s="220"/>
      <x:c r="L200" s="220" t="str">
        <x:f>IF(TRIM(H200&amp;" "&amp;I200&amp;" "&amp;J200&amp;IF(K200&lt;&gt;""," ("&amp;K200&amp;")",""))="","",TRIM(H200&amp;" "&amp;I200&amp;" "&amp;J200&amp;IF(K200&lt;&gt;""," ("&amp;K200&amp;")","")))</x:f>
      </x:c>
      <x:c r="M200" s="220"/>
      <x:c r="N200" s="220"/>
      <x:c r="O200" s="220"/>
      <x:c r="P200" s="220"/>
      <x:c r="Q200" s="220"/>
      <x:c r="R200" s="220"/>
      <x:c r="S200" s="220"/>
      <x:c r="T200" s="220"/>
      <x:c r="U200" s="220" t="str">
        <x:f>IF(AND(M200="",O200="",Q200="",S200=""),"",IF(S200&lt;&gt;"",S200,IF(Q200&lt;&gt;"",Q200,IF(O200&lt;&gt;"",O200,M200))))</x:f>
      </x:c>
      <x:c r="V200" s="220" t="str">
        <x:f>IF(AND(N200="",P200="",R200="",T200=""),"",IF(T200&lt;&gt;"",T200,IF(R200&lt;&gt;"",R200,IF(P200&lt;&gt;"",P200,N200))))</x:f>
      </x:c>
      <x:c r="W200" s="221"/>
      <x:c r="X200" s="220"/>
      <x:c r="Y200" s="220"/>
      <x:c r="Z200" s="223"/>
      <x:c r="AA200" s="223"/>
      <x:c r="AB200" s="221"/>
      <x:c r="AC200" s="220"/>
      <x:c r="AD200" s="220"/>
      <x:c r="AE200" s="222"/>
      <x:c r="AF200" s="220"/>
      <x:c r="AG200" s="221"/>
      <x:c r="AH200" s="220"/>
      <x:c r="AI200" s="220"/>
      <x:c r="AJ200" s="222"/>
      <x:c r="AK200" s="220"/>
      <x:c r="AL200" s="220"/>
      <x:c r="AM200" s="220"/>
      <x:c r="AN200" s="220"/>
      <x:c r="AO200" s="220"/>
      <x:c r="AP200" s="220"/>
      <x:c r="AQ200" s="220"/>
      <x:c r="AR200" s="222"/>
      <x:c r="AS200" s="220"/>
      <x:c r="AT200" s="220"/>
      <x:c r="AU200" s="220"/>
      <x:c r="AV200" s="220"/>
      <x:c r="AW200" s="220"/>
      <x:c r="AX200" s="220"/>
      <x:c r="AY200" s="221"/>
      <x:c r="AZ200" s="220"/>
      <x:c r="BA200" s="220" t="str">
        <x:f>IF(AND(A200="",B200="",F200="",H200="",J200="",AW200="",AY200=""),"",IF(OR(B200="skip",AW200="skip"),"SKIP",IF(OR(B200="to_candidate",AW200="proposed_name"),IF(OR(A200="",AX200="",AY200="",COUNTIF($A$6:$A$505,A200)&gt;1),"REVIEW","TO_PROPOSED"),IF(OR(B200="",A200="",F200="",H200="",J200="",U200="",AW200="",COUNTIF($A$6:$A$505,A200)&gt;1,(COUNTIFS('أرقام التواصل'!$A$6:$A$505,"client",'أرقام التواصل'!$B$6:$B$505,A200,'أرقام التواصل'!$I$6:$I$505,"TRUE")+COUNTIFS('أرقام التواصل'!$A$6:$A$505,"client",'أرقام التواصل'!$B$6:$B$505,A200,'أرقام التواصل'!$C$6:$C$505,1))=0),"REVIEW","READY"))))</x:f>
      </x:c>
      <x:c r="BB200" s="224" t="str">
        <x:f>IF(BA200="","",IF(OR(BA200="READY",BA200="TO_PROPOSED"),"",IF(BA200="SKIP","Skipped by decision",TRIM(IF(B200="","missing import_action; ","")&amp;IF(A200="","missing migration_customer_key; ","")&amp;IF(AND(A200&lt;&gt;"",COUNTIF($A$6:$A$505,A200)&gt;1),"duplicate migration_customer_key; ","")&amp;IF(AND(NOT(OR(B200="to_candidate",AW200="proposed_name")),F200=""),"missing branch_id; ","")&amp;IF(AND(NOT(OR(B200="to_candidate",AW200="proposed_name")),H200=""),"missing first_name; ","")&amp;IF(AND(NOT(OR(B200="to_candidate",AW200="proposed_name")),J200=""),"missing last_name; ","")&amp;IF(AND(NOT(OR(B200="to_candidate",AW200="proposed_name")),U200=""),"missing final_geo_unit_id; ","")&amp;IF(AW200="","missing final_destination; ","")&amp;IF(AND(NOT(OR(B200="to_candidate",AW200="proposed_name")),(COUNTIFS('أرقام التواصل'!$A$6:$A$505,"client",'أرقام التواصل'!$B$6:$B$505,A200,'أرقام التواصل'!$I$6:$I$505,"TRUE")+COUNTIFS('أرقام التواصل'!$A$6:$A$505,"client",'أرقام التواصل'!$B$6:$B$505,A200,'أرقام التواصل'!$C$6:$C$505,1))=0),"missing primary contact in أرقام التواصل; ","")&amp;IF(OR(B200="to_candidate",AW200="proposed_name"),IF(AX200="","missing proposed_move_reason; ","")&amp;IF(AY200="","missing proposed_name_key; ",""),"")))))</x:f>
      </x:c>
    </x:row>
    <x:row r="201">
      <x:c r="A201" s="219"/>
      <x:c r="B201" s="220"/>
      <x:c r="C201" s="221"/>
      <x:c r="D201" s="220"/>
      <x:c r="E201" s="222"/>
      <x:c r="F201" s="220"/>
      <x:c r="G201" s="220"/>
      <x:c r="H201" s="220"/>
      <x:c r="I201" s="220"/>
      <x:c r="J201" s="220"/>
      <x:c r="K201" s="220"/>
      <x:c r="L201" s="220" t="str">
        <x:f>IF(TRIM(H201&amp;" "&amp;I201&amp;" "&amp;J201&amp;IF(K201&lt;&gt;""," ("&amp;K201&amp;")",""))="","",TRIM(H201&amp;" "&amp;I201&amp;" "&amp;J201&amp;IF(K201&lt;&gt;""," ("&amp;K201&amp;")","")))</x:f>
      </x:c>
      <x:c r="M201" s="220"/>
      <x:c r="N201" s="220"/>
      <x:c r="O201" s="220"/>
      <x:c r="P201" s="220"/>
      <x:c r="Q201" s="220"/>
      <x:c r="R201" s="220"/>
      <x:c r="S201" s="220"/>
      <x:c r="T201" s="220"/>
      <x:c r="U201" s="220" t="str">
        <x:f>IF(AND(M201="",O201="",Q201="",S201=""),"",IF(S201&lt;&gt;"",S201,IF(Q201&lt;&gt;"",Q201,IF(O201&lt;&gt;"",O201,M201))))</x:f>
      </x:c>
      <x:c r="V201" s="220" t="str">
        <x:f>IF(AND(N201="",P201="",R201="",T201=""),"",IF(T201&lt;&gt;"",T201,IF(R201&lt;&gt;"",R201,IF(P201&lt;&gt;"",P201,N201))))</x:f>
      </x:c>
      <x:c r="W201" s="221"/>
      <x:c r="X201" s="220"/>
      <x:c r="Y201" s="220"/>
      <x:c r="Z201" s="223"/>
      <x:c r="AA201" s="223"/>
      <x:c r="AB201" s="221"/>
      <x:c r="AC201" s="220"/>
      <x:c r="AD201" s="220"/>
      <x:c r="AE201" s="222"/>
      <x:c r="AF201" s="220"/>
      <x:c r="AG201" s="221"/>
      <x:c r="AH201" s="220"/>
      <x:c r="AI201" s="220"/>
      <x:c r="AJ201" s="222"/>
      <x:c r="AK201" s="220"/>
      <x:c r="AL201" s="220"/>
      <x:c r="AM201" s="220"/>
      <x:c r="AN201" s="220"/>
      <x:c r="AO201" s="220"/>
      <x:c r="AP201" s="220"/>
      <x:c r="AQ201" s="220"/>
      <x:c r="AR201" s="222"/>
      <x:c r="AS201" s="220"/>
      <x:c r="AT201" s="220"/>
      <x:c r="AU201" s="220"/>
      <x:c r="AV201" s="220"/>
      <x:c r="AW201" s="220"/>
      <x:c r="AX201" s="220"/>
      <x:c r="AY201" s="221"/>
      <x:c r="AZ201" s="220"/>
      <x:c r="BA201" s="220" t="str">
        <x:f>IF(AND(A201="",B201="",F201="",H201="",J201="",AW201="",AY201=""),"",IF(OR(B201="skip",AW201="skip"),"SKIP",IF(OR(B201="to_candidate",AW201="proposed_name"),IF(OR(A201="",AX201="",AY201="",COUNTIF($A$6:$A$505,A201)&gt;1),"REVIEW","TO_PROPOSED"),IF(OR(B201="",A201="",F201="",H201="",J201="",U201="",AW201="",COUNTIF($A$6:$A$505,A201)&gt;1,(COUNTIFS('أرقام التواصل'!$A$6:$A$505,"client",'أرقام التواصل'!$B$6:$B$505,A201,'أرقام التواصل'!$I$6:$I$505,"TRUE")+COUNTIFS('أرقام التواصل'!$A$6:$A$505,"client",'أرقام التواصل'!$B$6:$B$505,A201,'أرقام التواصل'!$C$6:$C$505,1))=0),"REVIEW","READY"))))</x:f>
      </x:c>
      <x:c r="BB201" s="224" t="str">
        <x:f>IF(BA201="","",IF(OR(BA201="READY",BA201="TO_PROPOSED"),"",IF(BA201="SKIP","Skipped by decision",TRIM(IF(B201="","missing import_action; ","")&amp;IF(A201="","missing migration_customer_key; ","")&amp;IF(AND(A201&lt;&gt;"",COUNTIF($A$6:$A$505,A201)&gt;1),"duplicate migration_customer_key; ","")&amp;IF(AND(NOT(OR(B201="to_candidate",AW201="proposed_name")),F201=""),"missing branch_id; ","")&amp;IF(AND(NOT(OR(B201="to_candidate",AW201="proposed_name")),H201=""),"missing first_name; ","")&amp;IF(AND(NOT(OR(B201="to_candidate",AW201="proposed_name")),J201=""),"missing last_name; ","")&amp;IF(AND(NOT(OR(B201="to_candidate",AW201="proposed_name")),U201=""),"missing final_geo_unit_id; ","")&amp;IF(AW201="","missing final_destination; ","")&amp;IF(AND(NOT(OR(B201="to_candidate",AW201="proposed_name")),(COUNTIFS('أرقام التواصل'!$A$6:$A$505,"client",'أرقام التواصل'!$B$6:$B$505,A201,'أرقام التواصل'!$I$6:$I$505,"TRUE")+COUNTIFS('أرقام التواصل'!$A$6:$A$505,"client",'أرقام التواصل'!$B$6:$B$505,A201,'أرقام التواصل'!$C$6:$C$505,1))=0),"missing primary contact in أرقام التواصل; ","")&amp;IF(OR(B201="to_candidate",AW201="proposed_name"),IF(AX201="","missing proposed_move_reason; ","")&amp;IF(AY201="","missing proposed_name_key; ",""),"")))))</x:f>
      </x:c>
    </x:row>
    <x:row r="202">
      <x:c r="A202" s="219"/>
      <x:c r="B202" s="220"/>
      <x:c r="C202" s="221"/>
      <x:c r="D202" s="220"/>
      <x:c r="E202" s="222"/>
      <x:c r="F202" s="220"/>
      <x:c r="G202" s="220"/>
      <x:c r="H202" s="220"/>
      <x:c r="I202" s="220"/>
      <x:c r="J202" s="220"/>
      <x:c r="K202" s="220"/>
      <x:c r="L202" s="220" t="str">
        <x:f>IF(TRIM(H202&amp;" "&amp;I202&amp;" "&amp;J202&amp;IF(K202&lt;&gt;""," ("&amp;K202&amp;")",""))="","",TRIM(H202&amp;" "&amp;I202&amp;" "&amp;J202&amp;IF(K202&lt;&gt;""," ("&amp;K202&amp;")","")))</x:f>
      </x:c>
      <x:c r="M202" s="220"/>
      <x:c r="N202" s="220"/>
      <x:c r="O202" s="220"/>
      <x:c r="P202" s="220"/>
      <x:c r="Q202" s="220"/>
      <x:c r="R202" s="220"/>
      <x:c r="S202" s="220"/>
      <x:c r="T202" s="220"/>
      <x:c r="U202" s="220" t="str">
        <x:f>IF(AND(M202="",O202="",Q202="",S202=""),"",IF(S202&lt;&gt;"",S202,IF(Q202&lt;&gt;"",Q202,IF(O202&lt;&gt;"",O202,M202))))</x:f>
      </x:c>
      <x:c r="V202" s="220" t="str">
        <x:f>IF(AND(N202="",P202="",R202="",T202=""),"",IF(T202&lt;&gt;"",T202,IF(R202&lt;&gt;"",R202,IF(P202&lt;&gt;"",P202,N202))))</x:f>
      </x:c>
      <x:c r="W202" s="221"/>
      <x:c r="X202" s="220"/>
      <x:c r="Y202" s="220"/>
      <x:c r="Z202" s="223"/>
      <x:c r="AA202" s="223"/>
      <x:c r="AB202" s="221"/>
      <x:c r="AC202" s="220"/>
      <x:c r="AD202" s="220"/>
      <x:c r="AE202" s="222"/>
      <x:c r="AF202" s="220"/>
      <x:c r="AG202" s="221"/>
      <x:c r="AH202" s="220"/>
      <x:c r="AI202" s="220"/>
      <x:c r="AJ202" s="222"/>
      <x:c r="AK202" s="220"/>
      <x:c r="AL202" s="220"/>
      <x:c r="AM202" s="220"/>
      <x:c r="AN202" s="220"/>
      <x:c r="AO202" s="220"/>
      <x:c r="AP202" s="220"/>
      <x:c r="AQ202" s="220"/>
      <x:c r="AR202" s="222"/>
      <x:c r="AS202" s="220"/>
      <x:c r="AT202" s="220"/>
      <x:c r="AU202" s="220"/>
      <x:c r="AV202" s="220"/>
      <x:c r="AW202" s="220"/>
      <x:c r="AX202" s="220"/>
      <x:c r="AY202" s="221"/>
      <x:c r="AZ202" s="220"/>
      <x:c r="BA202" s="220" t="str">
        <x:f>IF(AND(A202="",B202="",F202="",H202="",J202="",AW202="",AY202=""),"",IF(OR(B202="skip",AW202="skip"),"SKIP",IF(OR(B202="to_candidate",AW202="proposed_name"),IF(OR(A202="",AX202="",AY202="",COUNTIF($A$6:$A$505,A202)&gt;1),"REVIEW","TO_PROPOSED"),IF(OR(B202="",A202="",F202="",H202="",J202="",U202="",AW202="",COUNTIF($A$6:$A$505,A202)&gt;1,(COUNTIFS('أرقام التواصل'!$A$6:$A$505,"client",'أرقام التواصل'!$B$6:$B$505,A202,'أرقام التواصل'!$I$6:$I$505,"TRUE")+COUNTIFS('أرقام التواصل'!$A$6:$A$505,"client",'أرقام التواصل'!$B$6:$B$505,A202,'أرقام التواصل'!$C$6:$C$505,1))=0),"REVIEW","READY"))))</x:f>
      </x:c>
      <x:c r="BB202" s="224" t="str">
        <x:f>IF(BA202="","",IF(OR(BA202="READY",BA202="TO_PROPOSED"),"",IF(BA202="SKIP","Skipped by decision",TRIM(IF(B202="","missing import_action; ","")&amp;IF(A202="","missing migration_customer_key; ","")&amp;IF(AND(A202&lt;&gt;"",COUNTIF($A$6:$A$505,A202)&gt;1),"duplicate migration_customer_key; ","")&amp;IF(AND(NOT(OR(B202="to_candidate",AW202="proposed_name")),F202=""),"missing branch_id; ","")&amp;IF(AND(NOT(OR(B202="to_candidate",AW202="proposed_name")),H202=""),"missing first_name; ","")&amp;IF(AND(NOT(OR(B202="to_candidate",AW202="proposed_name")),J202=""),"missing last_name; ","")&amp;IF(AND(NOT(OR(B202="to_candidate",AW202="proposed_name")),U202=""),"missing final_geo_unit_id; ","")&amp;IF(AW202="","missing final_destination; ","")&amp;IF(AND(NOT(OR(B202="to_candidate",AW202="proposed_name")),(COUNTIFS('أرقام التواصل'!$A$6:$A$505,"client",'أرقام التواصل'!$B$6:$B$505,A202,'أرقام التواصل'!$I$6:$I$505,"TRUE")+COUNTIFS('أرقام التواصل'!$A$6:$A$505,"client",'أرقام التواصل'!$B$6:$B$505,A202,'أرقام التواصل'!$C$6:$C$505,1))=0),"missing primary contact in أرقام التواصل; ","")&amp;IF(OR(B202="to_candidate",AW202="proposed_name"),IF(AX202="","missing proposed_move_reason; ","")&amp;IF(AY202="","missing proposed_name_key; ",""),"")))))</x:f>
      </x:c>
    </x:row>
    <x:row r="203">
      <x:c r="A203" s="219"/>
      <x:c r="B203" s="220"/>
      <x:c r="C203" s="221"/>
      <x:c r="D203" s="220"/>
      <x:c r="E203" s="222"/>
      <x:c r="F203" s="220"/>
      <x:c r="G203" s="220"/>
      <x:c r="H203" s="220"/>
      <x:c r="I203" s="220"/>
      <x:c r="J203" s="220"/>
      <x:c r="K203" s="220"/>
      <x:c r="L203" s="220" t="str">
        <x:f>IF(TRIM(H203&amp;" "&amp;I203&amp;" "&amp;J203&amp;IF(K203&lt;&gt;""," ("&amp;K203&amp;")",""))="","",TRIM(H203&amp;" "&amp;I203&amp;" "&amp;J203&amp;IF(K203&lt;&gt;""," ("&amp;K203&amp;")","")))</x:f>
      </x:c>
      <x:c r="M203" s="220"/>
      <x:c r="N203" s="220"/>
      <x:c r="O203" s="220"/>
      <x:c r="P203" s="220"/>
      <x:c r="Q203" s="220"/>
      <x:c r="R203" s="220"/>
      <x:c r="S203" s="220"/>
      <x:c r="T203" s="220"/>
      <x:c r="U203" s="220" t="str">
        <x:f>IF(AND(M203="",O203="",Q203="",S203=""),"",IF(S203&lt;&gt;"",S203,IF(Q203&lt;&gt;"",Q203,IF(O203&lt;&gt;"",O203,M203))))</x:f>
      </x:c>
      <x:c r="V203" s="220" t="str">
        <x:f>IF(AND(N203="",P203="",R203="",T203=""),"",IF(T203&lt;&gt;"",T203,IF(R203&lt;&gt;"",R203,IF(P203&lt;&gt;"",P203,N203))))</x:f>
      </x:c>
      <x:c r="W203" s="221"/>
      <x:c r="X203" s="220"/>
      <x:c r="Y203" s="220"/>
      <x:c r="Z203" s="223"/>
      <x:c r="AA203" s="223"/>
      <x:c r="AB203" s="221"/>
      <x:c r="AC203" s="220"/>
      <x:c r="AD203" s="220"/>
      <x:c r="AE203" s="222"/>
      <x:c r="AF203" s="220"/>
      <x:c r="AG203" s="221"/>
      <x:c r="AH203" s="220"/>
      <x:c r="AI203" s="220"/>
      <x:c r="AJ203" s="222"/>
      <x:c r="AK203" s="220"/>
      <x:c r="AL203" s="220"/>
      <x:c r="AM203" s="220"/>
      <x:c r="AN203" s="220"/>
      <x:c r="AO203" s="220"/>
      <x:c r="AP203" s="220"/>
      <x:c r="AQ203" s="220"/>
      <x:c r="AR203" s="222"/>
      <x:c r="AS203" s="220"/>
      <x:c r="AT203" s="220"/>
      <x:c r="AU203" s="220"/>
      <x:c r="AV203" s="220"/>
      <x:c r="AW203" s="220"/>
      <x:c r="AX203" s="220"/>
      <x:c r="AY203" s="221"/>
      <x:c r="AZ203" s="220"/>
      <x:c r="BA203" s="220" t="str">
        <x:f>IF(AND(A203="",B203="",F203="",H203="",J203="",AW203="",AY203=""),"",IF(OR(B203="skip",AW203="skip"),"SKIP",IF(OR(B203="to_candidate",AW203="proposed_name"),IF(OR(A203="",AX203="",AY203="",COUNTIF($A$6:$A$505,A203)&gt;1),"REVIEW","TO_PROPOSED"),IF(OR(B203="",A203="",F203="",H203="",J203="",U203="",AW203="",COUNTIF($A$6:$A$505,A203)&gt;1,(COUNTIFS('أرقام التواصل'!$A$6:$A$505,"client",'أرقام التواصل'!$B$6:$B$505,A203,'أرقام التواصل'!$I$6:$I$505,"TRUE")+COUNTIFS('أرقام التواصل'!$A$6:$A$505,"client",'أرقام التواصل'!$B$6:$B$505,A203,'أرقام التواصل'!$C$6:$C$505,1))=0),"REVIEW","READY"))))</x:f>
      </x:c>
      <x:c r="BB203" s="224" t="str">
        <x:f>IF(BA203="","",IF(OR(BA203="READY",BA203="TO_PROPOSED"),"",IF(BA203="SKIP","Skipped by decision",TRIM(IF(B203="","missing import_action; ","")&amp;IF(A203="","missing migration_customer_key; ","")&amp;IF(AND(A203&lt;&gt;"",COUNTIF($A$6:$A$505,A203)&gt;1),"duplicate migration_customer_key; ","")&amp;IF(AND(NOT(OR(B203="to_candidate",AW203="proposed_name")),F203=""),"missing branch_id; ","")&amp;IF(AND(NOT(OR(B203="to_candidate",AW203="proposed_name")),H203=""),"missing first_name; ","")&amp;IF(AND(NOT(OR(B203="to_candidate",AW203="proposed_name")),J203=""),"missing last_name; ","")&amp;IF(AND(NOT(OR(B203="to_candidate",AW203="proposed_name")),U203=""),"missing final_geo_unit_id; ","")&amp;IF(AW203="","missing final_destination; ","")&amp;IF(AND(NOT(OR(B203="to_candidate",AW203="proposed_name")),(COUNTIFS('أرقام التواصل'!$A$6:$A$505,"client",'أرقام التواصل'!$B$6:$B$505,A203,'أرقام التواصل'!$I$6:$I$505,"TRUE")+COUNTIFS('أرقام التواصل'!$A$6:$A$505,"client",'أرقام التواصل'!$B$6:$B$505,A203,'أرقام التواصل'!$C$6:$C$505,1))=0),"missing primary contact in أرقام التواصل; ","")&amp;IF(OR(B203="to_candidate",AW203="proposed_name"),IF(AX203="","missing proposed_move_reason; ","")&amp;IF(AY203="","missing proposed_name_key; ",""),"")))))</x:f>
      </x:c>
    </x:row>
    <x:row r="204">
      <x:c r="A204" s="219"/>
      <x:c r="B204" s="220"/>
      <x:c r="C204" s="221"/>
      <x:c r="D204" s="220"/>
      <x:c r="E204" s="222"/>
      <x:c r="F204" s="220"/>
      <x:c r="G204" s="220"/>
      <x:c r="H204" s="220"/>
      <x:c r="I204" s="220"/>
      <x:c r="J204" s="220"/>
      <x:c r="K204" s="220"/>
      <x:c r="L204" s="220" t="str">
        <x:f>IF(TRIM(H204&amp;" "&amp;I204&amp;" "&amp;J204&amp;IF(K204&lt;&gt;""," ("&amp;K204&amp;")",""))="","",TRIM(H204&amp;" "&amp;I204&amp;" "&amp;J204&amp;IF(K204&lt;&gt;""," ("&amp;K204&amp;")","")))</x:f>
      </x:c>
      <x:c r="M204" s="220"/>
      <x:c r="N204" s="220"/>
      <x:c r="O204" s="220"/>
      <x:c r="P204" s="220"/>
      <x:c r="Q204" s="220"/>
      <x:c r="R204" s="220"/>
      <x:c r="S204" s="220"/>
      <x:c r="T204" s="220"/>
      <x:c r="U204" s="220" t="str">
        <x:f>IF(AND(M204="",O204="",Q204="",S204=""),"",IF(S204&lt;&gt;"",S204,IF(Q204&lt;&gt;"",Q204,IF(O204&lt;&gt;"",O204,M204))))</x:f>
      </x:c>
      <x:c r="V204" s="220" t="str">
        <x:f>IF(AND(N204="",P204="",R204="",T204=""),"",IF(T204&lt;&gt;"",T204,IF(R204&lt;&gt;"",R204,IF(P204&lt;&gt;"",P204,N204))))</x:f>
      </x:c>
      <x:c r="W204" s="221"/>
      <x:c r="X204" s="220"/>
      <x:c r="Y204" s="220"/>
      <x:c r="Z204" s="223"/>
      <x:c r="AA204" s="223"/>
      <x:c r="AB204" s="221"/>
      <x:c r="AC204" s="220"/>
      <x:c r="AD204" s="220"/>
      <x:c r="AE204" s="222"/>
      <x:c r="AF204" s="220"/>
      <x:c r="AG204" s="221"/>
      <x:c r="AH204" s="220"/>
      <x:c r="AI204" s="220"/>
      <x:c r="AJ204" s="222"/>
      <x:c r="AK204" s="220"/>
      <x:c r="AL204" s="220"/>
      <x:c r="AM204" s="220"/>
      <x:c r="AN204" s="220"/>
      <x:c r="AO204" s="220"/>
      <x:c r="AP204" s="220"/>
      <x:c r="AQ204" s="220"/>
      <x:c r="AR204" s="222"/>
      <x:c r="AS204" s="220"/>
      <x:c r="AT204" s="220"/>
      <x:c r="AU204" s="220"/>
      <x:c r="AV204" s="220"/>
      <x:c r="AW204" s="220"/>
      <x:c r="AX204" s="220"/>
      <x:c r="AY204" s="221"/>
      <x:c r="AZ204" s="220"/>
      <x:c r="BA204" s="220" t="str">
        <x:f>IF(AND(A204="",B204="",F204="",H204="",J204="",AW204="",AY204=""),"",IF(OR(B204="skip",AW204="skip"),"SKIP",IF(OR(B204="to_candidate",AW204="proposed_name"),IF(OR(A204="",AX204="",AY204="",COUNTIF($A$6:$A$505,A204)&gt;1),"REVIEW","TO_PROPOSED"),IF(OR(B204="",A204="",F204="",H204="",J204="",U204="",AW204="",COUNTIF($A$6:$A$505,A204)&gt;1,(COUNTIFS('أرقام التواصل'!$A$6:$A$505,"client",'أرقام التواصل'!$B$6:$B$505,A204,'أرقام التواصل'!$I$6:$I$505,"TRUE")+COUNTIFS('أرقام التواصل'!$A$6:$A$505,"client",'أرقام التواصل'!$B$6:$B$505,A204,'أرقام التواصل'!$C$6:$C$505,1))=0),"REVIEW","READY"))))</x:f>
      </x:c>
      <x:c r="BB204" s="224" t="str">
        <x:f>IF(BA204="","",IF(OR(BA204="READY",BA204="TO_PROPOSED"),"",IF(BA204="SKIP","Skipped by decision",TRIM(IF(B204="","missing import_action; ","")&amp;IF(A204="","missing migration_customer_key; ","")&amp;IF(AND(A204&lt;&gt;"",COUNTIF($A$6:$A$505,A204)&gt;1),"duplicate migration_customer_key; ","")&amp;IF(AND(NOT(OR(B204="to_candidate",AW204="proposed_name")),F204=""),"missing branch_id; ","")&amp;IF(AND(NOT(OR(B204="to_candidate",AW204="proposed_name")),H204=""),"missing first_name; ","")&amp;IF(AND(NOT(OR(B204="to_candidate",AW204="proposed_name")),J204=""),"missing last_name; ","")&amp;IF(AND(NOT(OR(B204="to_candidate",AW204="proposed_name")),U204=""),"missing final_geo_unit_id; ","")&amp;IF(AW204="","missing final_destination; ","")&amp;IF(AND(NOT(OR(B204="to_candidate",AW204="proposed_name")),(COUNTIFS('أرقام التواصل'!$A$6:$A$505,"client",'أرقام التواصل'!$B$6:$B$505,A204,'أرقام التواصل'!$I$6:$I$505,"TRUE")+COUNTIFS('أرقام التواصل'!$A$6:$A$505,"client",'أرقام التواصل'!$B$6:$B$505,A204,'أرقام التواصل'!$C$6:$C$505,1))=0),"missing primary contact in أرقام التواصل; ","")&amp;IF(OR(B204="to_candidate",AW204="proposed_name"),IF(AX204="","missing proposed_move_reason; ","")&amp;IF(AY204="","missing proposed_name_key; ",""),"")))))</x:f>
      </x:c>
    </x:row>
    <x:row r="205">
      <x:c r="A205" s="219"/>
      <x:c r="B205" s="220"/>
      <x:c r="C205" s="221"/>
      <x:c r="D205" s="220"/>
      <x:c r="E205" s="222"/>
      <x:c r="F205" s="220"/>
      <x:c r="G205" s="220"/>
      <x:c r="H205" s="220"/>
      <x:c r="I205" s="220"/>
      <x:c r="J205" s="220"/>
      <x:c r="K205" s="220"/>
      <x:c r="L205" s="220" t="str">
        <x:f>IF(TRIM(H205&amp;" "&amp;I205&amp;" "&amp;J205&amp;IF(K205&lt;&gt;""," ("&amp;K205&amp;")",""))="","",TRIM(H205&amp;" "&amp;I205&amp;" "&amp;J205&amp;IF(K205&lt;&gt;""," ("&amp;K205&amp;")","")))</x:f>
      </x:c>
      <x:c r="M205" s="220"/>
      <x:c r="N205" s="220"/>
      <x:c r="O205" s="220"/>
      <x:c r="P205" s="220"/>
      <x:c r="Q205" s="220"/>
      <x:c r="R205" s="220"/>
      <x:c r="S205" s="220"/>
      <x:c r="T205" s="220"/>
      <x:c r="U205" s="220" t="str">
        <x:f>IF(AND(M205="",O205="",Q205="",S205=""),"",IF(S205&lt;&gt;"",S205,IF(Q205&lt;&gt;"",Q205,IF(O205&lt;&gt;"",O205,M205))))</x:f>
      </x:c>
      <x:c r="V205" s="220" t="str">
        <x:f>IF(AND(N205="",P205="",R205="",T205=""),"",IF(T205&lt;&gt;"",T205,IF(R205&lt;&gt;"",R205,IF(P205&lt;&gt;"",P205,N205))))</x:f>
      </x:c>
      <x:c r="W205" s="221"/>
      <x:c r="X205" s="220"/>
      <x:c r="Y205" s="220"/>
      <x:c r="Z205" s="223"/>
      <x:c r="AA205" s="223"/>
      <x:c r="AB205" s="221"/>
      <x:c r="AC205" s="220"/>
      <x:c r="AD205" s="220"/>
      <x:c r="AE205" s="222"/>
      <x:c r="AF205" s="220"/>
      <x:c r="AG205" s="221"/>
      <x:c r="AH205" s="220"/>
      <x:c r="AI205" s="220"/>
      <x:c r="AJ205" s="222"/>
      <x:c r="AK205" s="220"/>
      <x:c r="AL205" s="220"/>
      <x:c r="AM205" s="220"/>
      <x:c r="AN205" s="220"/>
      <x:c r="AO205" s="220"/>
      <x:c r="AP205" s="220"/>
      <x:c r="AQ205" s="220"/>
      <x:c r="AR205" s="222"/>
      <x:c r="AS205" s="220"/>
      <x:c r="AT205" s="220"/>
      <x:c r="AU205" s="220"/>
      <x:c r="AV205" s="220"/>
      <x:c r="AW205" s="220"/>
      <x:c r="AX205" s="220"/>
      <x:c r="AY205" s="221"/>
      <x:c r="AZ205" s="220"/>
      <x:c r="BA205" s="220" t="str">
        <x:f>IF(AND(A205="",B205="",F205="",H205="",J205="",AW205="",AY205=""),"",IF(OR(B205="skip",AW205="skip"),"SKIP",IF(OR(B205="to_candidate",AW205="proposed_name"),IF(OR(A205="",AX205="",AY205="",COUNTIF($A$6:$A$505,A205)&gt;1),"REVIEW","TO_PROPOSED"),IF(OR(B205="",A205="",F205="",H205="",J205="",U205="",AW205="",COUNTIF($A$6:$A$505,A205)&gt;1,(COUNTIFS('أرقام التواصل'!$A$6:$A$505,"client",'أرقام التواصل'!$B$6:$B$505,A205,'أرقام التواصل'!$I$6:$I$505,"TRUE")+COUNTIFS('أرقام التواصل'!$A$6:$A$505,"client",'أرقام التواصل'!$B$6:$B$505,A205,'أرقام التواصل'!$C$6:$C$505,1))=0),"REVIEW","READY"))))</x:f>
      </x:c>
      <x:c r="BB205" s="224" t="str">
        <x:f>IF(BA205="","",IF(OR(BA205="READY",BA205="TO_PROPOSED"),"",IF(BA205="SKIP","Skipped by decision",TRIM(IF(B205="","missing import_action; ","")&amp;IF(A205="","missing migration_customer_key; ","")&amp;IF(AND(A205&lt;&gt;"",COUNTIF($A$6:$A$505,A205)&gt;1),"duplicate migration_customer_key; ","")&amp;IF(AND(NOT(OR(B205="to_candidate",AW205="proposed_name")),F205=""),"missing branch_id; ","")&amp;IF(AND(NOT(OR(B205="to_candidate",AW205="proposed_name")),H205=""),"missing first_name; ","")&amp;IF(AND(NOT(OR(B205="to_candidate",AW205="proposed_name")),J205=""),"missing last_name; ","")&amp;IF(AND(NOT(OR(B205="to_candidate",AW205="proposed_name")),U205=""),"missing final_geo_unit_id; ","")&amp;IF(AW205="","missing final_destination; ","")&amp;IF(AND(NOT(OR(B205="to_candidate",AW205="proposed_name")),(COUNTIFS('أرقام التواصل'!$A$6:$A$505,"client",'أرقام التواصل'!$B$6:$B$505,A205,'أرقام التواصل'!$I$6:$I$505,"TRUE")+COUNTIFS('أرقام التواصل'!$A$6:$A$505,"client",'أرقام التواصل'!$B$6:$B$505,A205,'أرقام التواصل'!$C$6:$C$505,1))=0),"missing primary contact in أرقام التواصل; ","")&amp;IF(OR(B205="to_candidate",AW205="proposed_name"),IF(AX205="","missing proposed_move_reason; ","")&amp;IF(AY205="","missing proposed_name_key; ",""),"")))))</x:f>
      </x:c>
    </x:row>
    <x:row r="206">
      <x:c r="A206" s="219"/>
      <x:c r="B206" s="220"/>
      <x:c r="C206" s="221"/>
      <x:c r="D206" s="220"/>
      <x:c r="E206" s="222"/>
      <x:c r="F206" s="220"/>
      <x:c r="G206" s="220"/>
      <x:c r="H206" s="220"/>
      <x:c r="I206" s="220"/>
      <x:c r="J206" s="220"/>
      <x:c r="K206" s="220"/>
      <x:c r="L206" s="220" t="str">
        <x:f>IF(TRIM(H206&amp;" "&amp;I206&amp;" "&amp;J206&amp;IF(K206&lt;&gt;""," ("&amp;K206&amp;")",""))="","",TRIM(H206&amp;" "&amp;I206&amp;" "&amp;J206&amp;IF(K206&lt;&gt;""," ("&amp;K206&amp;")","")))</x:f>
      </x:c>
      <x:c r="M206" s="220"/>
      <x:c r="N206" s="220"/>
      <x:c r="O206" s="220"/>
      <x:c r="P206" s="220"/>
      <x:c r="Q206" s="220"/>
      <x:c r="R206" s="220"/>
      <x:c r="S206" s="220"/>
      <x:c r="T206" s="220"/>
      <x:c r="U206" s="220" t="str">
        <x:f>IF(AND(M206="",O206="",Q206="",S206=""),"",IF(S206&lt;&gt;"",S206,IF(Q206&lt;&gt;"",Q206,IF(O206&lt;&gt;"",O206,M206))))</x:f>
      </x:c>
      <x:c r="V206" s="220" t="str">
        <x:f>IF(AND(N206="",P206="",R206="",T206=""),"",IF(T206&lt;&gt;"",T206,IF(R206&lt;&gt;"",R206,IF(P206&lt;&gt;"",P206,N206))))</x:f>
      </x:c>
      <x:c r="W206" s="221"/>
      <x:c r="X206" s="220"/>
      <x:c r="Y206" s="220"/>
      <x:c r="Z206" s="223"/>
      <x:c r="AA206" s="223"/>
      <x:c r="AB206" s="221"/>
      <x:c r="AC206" s="220"/>
      <x:c r="AD206" s="220"/>
      <x:c r="AE206" s="222"/>
      <x:c r="AF206" s="220"/>
      <x:c r="AG206" s="221"/>
      <x:c r="AH206" s="220"/>
      <x:c r="AI206" s="220"/>
      <x:c r="AJ206" s="222"/>
      <x:c r="AK206" s="220"/>
      <x:c r="AL206" s="220"/>
      <x:c r="AM206" s="220"/>
      <x:c r="AN206" s="220"/>
      <x:c r="AO206" s="220"/>
      <x:c r="AP206" s="220"/>
      <x:c r="AQ206" s="220"/>
      <x:c r="AR206" s="222"/>
      <x:c r="AS206" s="220"/>
      <x:c r="AT206" s="220"/>
      <x:c r="AU206" s="220"/>
      <x:c r="AV206" s="220"/>
      <x:c r="AW206" s="220"/>
      <x:c r="AX206" s="220"/>
      <x:c r="AY206" s="221"/>
      <x:c r="AZ206" s="220"/>
      <x:c r="BA206" s="220" t="str">
        <x:f>IF(AND(A206="",B206="",F206="",H206="",J206="",AW206="",AY206=""),"",IF(OR(B206="skip",AW206="skip"),"SKIP",IF(OR(B206="to_candidate",AW206="proposed_name"),IF(OR(A206="",AX206="",AY206="",COUNTIF($A$6:$A$505,A206)&gt;1),"REVIEW","TO_PROPOSED"),IF(OR(B206="",A206="",F206="",H206="",J206="",U206="",AW206="",COUNTIF($A$6:$A$505,A206)&gt;1,(COUNTIFS('أرقام التواصل'!$A$6:$A$505,"client",'أرقام التواصل'!$B$6:$B$505,A206,'أرقام التواصل'!$I$6:$I$505,"TRUE")+COUNTIFS('أرقام التواصل'!$A$6:$A$505,"client",'أرقام التواصل'!$B$6:$B$505,A206,'أرقام التواصل'!$C$6:$C$505,1))=0),"REVIEW","READY"))))</x:f>
      </x:c>
      <x:c r="BB206" s="224" t="str">
        <x:f>IF(BA206="","",IF(OR(BA206="READY",BA206="TO_PROPOSED"),"",IF(BA206="SKIP","Skipped by decision",TRIM(IF(B206="","missing import_action; ","")&amp;IF(A206="","missing migration_customer_key; ","")&amp;IF(AND(A206&lt;&gt;"",COUNTIF($A$6:$A$505,A206)&gt;1),"duplicate migration_customer_key; ","")&amp;IF(AND(NOT(OR(B206="to_candidate",AW206="proposed_name")),F206=""),"missing branch_id; ","")&amp;IF(AND(NOT(OR(B206="to_candidate",AW206="proposed_name")),H206=""),"missing first_name; ","")&amp;IF(AND(NOT(OR(B206="to_candidate",AW206="proposed_name")),J206=""),"missing last_name; ","")&amp;IF(AND(NOT(OR(B206="to_candidate",AW206="proposed_name")),U206=""),"missing final_geo_unit_id; ","")&amp;IF(AW206="","missing final_destination; ","")&amp;IF(AND(NOT(OR(B206="to_candidate",AW206="proposed_name")),(COUNTIFS('أرقام التواصل'!$A$6:$A$505,"client",'أرقام التواصل'!$B$6:$B$505,A206,'أرقام التواصل'!$I$6:$I$505,"TRUE")+COUNTIFS('أرقام التواصل'!$A$6:$A$505,"client",'أرقام التواصل'!$B$6:$B$505,A206,'أرقام التواصل'!$C$6:$C$505,1))=0),"missing primary contact in أرقام التواصل; ","")&amp;IF(OR(B206="to_candidate",AW206="proposed_name"),IF(AX206="","missing proposed_move_reason; ","")&amp;IF(AY206="","missing proposed_name_key; ",""),"")))))</x:f>
      </x:c>
    </x:row>
    <x:row r="207">
      <x:c r="A207" s="219"/>
      <x:c r="B207" s="220"/>
      <x:c r="C207" s="221"/>
      <x:c r="D207" s="220"/>
      <x:c r="E207" s="222"/>
      <x:c r="F207" s="220"/>
      <x:c r="G207" s="220"/>
      <x:c r="H207" s="220"/>
      <x:c r="I207" s="220"/>
      <x:c r="J207" s="220"/>
      <x:c r="K207" s="220"/>
      <x:c r="L207" s="220" t="str">
        <x:f>IF(TRIM(H207&amp;" "&amp;I207&amp;" "&amp;J207&amp;IF(K207&lt;&gt;""," ("&amp;K207&amp;")",""))="","",TRIM(H207&amp;" "&amp;I207&amp;" "&amp;J207&amp;IF(K207&lt;&gt;""," ("&amp;K207&amp;")","")))</x:f>
      </x:c>
      <x:c r="M207" s="220"/>
      <x:c r="N207" s="220"/>
      <x:c r="O207" s="220"/>
      <x:c r="P207" s="220"/>
      <x:c r="Q207" s="220"/>
      <x:c r="R207" s="220"/>
      <x:c r="S207" s="220"/>
      <x:c r="T207" s="220"/>
      <x:c r="U207" s="220" t="str">
        <x:f>IF(AND(M207="",O207="",Q207="",S207=""),"",IF(S207&lt;&gt;"",S207,IF(Q207&lt;&gt;"",Q207,IF(O207&lt;&gt;"",O207,M207))))</x:f>
      </x:c>
      <x:c r="V207" s="220" t="str">
        <x:f>IF(AND(N207="",P207="",R207="",T207=""),"",IF(T207&lt;&gt;"",T207,IF(R207&lt;&gt;"",R207,IF(P207&lt;&gt;"",P207,N207))))</x:f>
      </x:c>
      <x:c r="W207" s="221"/>
      <x:c r="X207" s="220"/>
      <x:c r="Y207" s="220"/>
      <x:c r="Z207" s="223"/>
      <x:c r="AA207" s="223"/>
      <x:c r="AB207" s="221"/>
      <x:c r="AC207" s="220"/>
      <x:c r="AD207" s="220"/>
      <x:c r="AE207" s="222"/>
      <x:c r="AF207" s="220"/>
      <x:c r="AG207" s="221"/>
      <x:c r="AH207" s="220"/>
      <x:c r="AI207" s="220"/>
      <x:c r="AJ207" s="222"/>
      <x:c r="AK207" s="220"/>
      <x:c r="AL207" s="220"/>
      <x:c r="AM207" s="220"/>
      <x:c r="AN207" s="220"/>
      <x:c r="AO207" s="220"/>
      <x:c r="AP207" s="220"/>
      <x:c r="AQ207" s="220"/>
      <x:c r="AR207" s="222"/>
      <x:c r="AS207" s="220"/>
      <x:c r="AT207" s="220"/>
      <x:c r="AU207" s="220"/>
      <x:c r="AV207" s="220"/>
      <x:c r="AW207" s="220"/>
      <x:c r="AX207" s="220"/>
      <x:c r="AY207" s="221"/>
      <x:c r="AZ207" s="220"/>
      <x:c r="BA207" s="220" t="str">
        <x:f>IF(AND(A207="",B207="",F207="",H207="",J207="",AW207="",AY207=""),"",IF(OR(B207="skip",AW207="skip"),"SKIP",IF(OR(B207="to_candidate",AW207="proposed_name"),IF(OR(A207="",AX207="",AY207="",COUNTIF($A$6:$A$505,A207)&gt;1),"REVIEW","TO_PROPOSED"),IF(OR(B207="",A207="",F207="",H207="",J207="",U207="",AW207="",COUNTIF($A$6:$A$505,A207)&gt;1,(COUNTIFS('أرقام التواصل'!$A$6:$A$505,"client",'أرقام التواصل'!$B$6:$B$505,A207,'أرقام التواصل'!$I$6:$I$505,"TRUE")+COUNTIFS('أرقام التواصل'!$A$6:$A$505,"client",'أرقام التواصل'!$B$6:$B$505,A207,'أرقام التواصل'!$C$6:$C$505,1))=0),"REVIEW","READY"))))</x:f>
      </x:c>
      <x:c r="BB207" s="224" t="str">
        <x:f>IF(BA207="","",IF(OR(BA207="READY",BA207="TO_PROPOSED"),"",IF(BA207="SKIP","Skipped by decision",TRIM(IF(B207="","missing import_action; ","")&amp;IF(A207="","missing migration_customer_key; ","")&amp;IF(AND(A207&lt;&gt;"",COUNTIF($A$6:$A$505,A207)&gt;1),"duplicate migration_customer_key; ","")&amp;IF(AND(NOT(OR(B207="to_candidate",AW207="proposed_name")),F207=""),"missing branch_id; ","")&amp;IF(AND(NOT(OR(B207="to_candidate",AW207="proposed_name")),H207=""),"missing first_name; ","")&amp;IF(AND(NOT(OR(B207="to_candidate",AW207="proposed_name")),J207=""),"missing last_name; ","")&amp;IF(AND(NOT(OR(B207="to_candidate",AW207="proposed_name")),U207=""),"missing final_geo_unit_id; ","")&amp;IF(AW207="","missing final_destination; ","")&amp;IF(AND(NOT(OR(B207="to_candidate",AW207="proposed_name")),(COUNTIFS('أرقام التواصل'!$A$6:$A$505,"client",'أرقام التواصل'!$B$6:$B$505,A207,'أرقام التواصل'!$I$6:$I$505,"TRUE")+COUNTIFS('أرقام التواصل'!$A$6:$A$505,"client",'أرقام التواصل'!$B$6:$B$505,A207,'أرقام التواصل'!$C$6:$C$505,1))=0),"missing primary contact in أرقام التواصل; ","")&amp;IF(OR(B207="to_candidate",AW207="proposed_name"),IF(AX207="","missing proposed_move_reason; ","")&amp;IF(AY207="","missing proposed_name_key; ",""),"")))))</x:f>
      </x:c>
    </x:row>
    <x:row r="208">
      <x:c r="A208" s="219"/>
      <x:c r="B208" s="220"/>
      <x:c r="C208" s="221"/>
      <x:c r="D208" s="220"/>
      <x:c r="E208" s="222"/>
      <x:c r="F208" s="220"/>
      <x:c r="G208" s="220"/>
      <x:c r="H208" s="220"/>
      <x:c r="I208" s="220"/>
      <x:c r="J208" s="220"/>
      <x:c r="K208" s="220"/>
      <x:c r="L208" s="220" t="str">
        <x:f>IF(TRIM(H208&amp;" "&amp;I208&amp;" "&amp;J208&amp;IF(K208&lt;&gt;""," ("&amp;K208&amp;")",""))="","",TRIM(H208&amp;" "&amp;I208&amp;" "&amp;J208&amp;IF(K208&lt;&gt;""," ("&amp;K208&amp;")","")))</x:f>
      </x:c>
      <x:c r="M208" s="220"/>
      <x:c r="N208" s="220"/>
      <x:c r="O208" s="220"/>
      <x:c r="P208" s="220"/>
      <x:c r="Q208" s="220"/>
      <x:c r="R208" s="220"/>
      <x:c r="S208" s="220"/>
      <x:c r="T208" s="220"/>
      <x:c r="U208" s="220" t="str">
        <x:f>IF(AND(M208="",O208="",Q208="",S208=""),"",IF(S208&lt;&gt;"",S208,IF(Q208&lt;&gt;"",Q208,IF(O208&lt;&gt;"",O208,M208))))</x:f>
      </x:c>
      <x:c r="V208" s="220" t="str">
        <x:f>IF(AND(N208="",P208="",R208="",T208=""),"",IF(T208&lt;&gt;"",T208,IF(R208&lt;&gt;"",R208,IF(P208&lt;&gt;"",P208,N208))))</x:f>
      </x:c>
      <x:c r="W208" s="221"/>
      <x:c r="X208" s="220"/>
      <x:c r="Y208" s="220"/>
      <x:c r="Z208" s="223"/>
      <x:c r="AA208" s="223"/>
      <x:c r="AB208" s="221"/>
      <x:c r="AC208" s="220"/>
      <x:c r="AD208" s="220"/>
      <x:c r="AE208" s="222"/>
      <x:c r="AF208" s="220"/>
      <x:c r="AG208" s="221"/>
      <x:c r="AH208" s="220"/>
      <x:c r="AI208" s="220"/>
      <x:c r="AJ208" s="222"/>
      <x:c r="AK208" s="220"/>
      <x:c r="AL208" s="220"/>
      <x:c r="AM208" s="220"/>
      <x:c r="AN208" s="220"/>
      <x:c r="AO208" s="220"/>
      <x:c r="AP208" s="220"/>
      <x:c r="AQ208" s="220"/>
      <x:c r="AR208" s="222"/>
      <x:c r="AS208" s="220"/>
      <x:c r="AT208" s="220"/>
      <x:c r="AU208" s="220"/>
      <x:c r="AV208" s="220"/>
      <x:c r="AW208" s="220"/>
      <x:c r="AX208" s="220"/>
      <x:c r="AY208" s="221"/>
      <x:c r="AZ208" s="220"/>
      <x:c r="BA208" s="220" t="str">
        <x:f>IF(AND(A208="",B208="",F208="",H208="",J208="",AW208="",AY208=""),"",IF(OR(B208="skip",AW208="skip"),"SKIP",IF(OR(B208="to_candidate",AW208="proposed_name"),IF(OR(A208="",AX208="",AY208="",COUNTIF($A$6:$A$505,A208)&gt;1),"REVIEW","TO_PROPOSED"),IF(OR(B208="",A208="",F208="",H208="",J208="",U208="",AW208="",COUNTIF($A$6:$A$505,A208)&gt;1,(COUNTIFS('أرقام التواصل'!$A$6:$A$505,"client",'أرقام التواصل'!$B$6:$B$505,A208,'أرقام التواصل'!$I$6:$I$505,"TRUE")+COUNTIFS('أرقام التواصل'!$A$6:$A$505,"client",'أرقام التواصل'!$B$6:$B$505,A208,'أرقام التواصل'!$C$6:$C$505,1))=0),"REVIEW","READY"))))</x:f>
      </x:c>
      <x:c r="BB208" s="224" t="str">
        <x:f>IF(BA208="","",IF(OR(BA208="READY",BA208="TO_PROPOSED"),"",IF(BA208="SKIP","Skipped by decision",TRIM(IF(B208="","missing import_action; ","")&amp;IF(A208="","missing migration_customer_key; ","")&amp;IF(AND(A208&lt;&gt;"",COUNTIF($A$6:$A$505,A208)&gt;1),"duplicate migration_customer_key; ","")&amp;IF(AND(NOT(OR(B208="to_candidate",AW208="proposed_name")),F208=""),"missing branch_id; ","")&amp;IF(AND(NOT(OR(B208="to_candidate",AW208="proposed_name")),H208=""),"missing first_name; ","")&amp;IF(AND(NOT(OR(B208="to_candidate",AW208="proposed_name")),J208=""),"missing last_name; ","")&amp;IF(AND(NOT(OR(B208="to_candidate",AW208="proposed_name")),U208=""),"missing final_geo_unit_id; ","")&amp;IF(AW208="","missing final_destination; ","")&amp;IF(AND(NOT(OR(B208="to_candidate",AW208="proposed_name")),(COUNTIFS('أرقام التواصل'!$A$6:$A$505,"client",'أرقام التواصل'!$B$6:$B$505,A208,'أرقام التواصل'!$I$6:$I$505,"TRUE")+COUNTIFS('أرقام التواصل'!$A$6:$A$505,"client",'أرقام التواصل'!$B$6:$B$505,A208,'أرقام التواصل'!$C$6:$C$505,1))=0),"missing primary contact in أرقام التواصل; ","")&amp;IF(OR(B208="to_candidate",AW208="proposed_name"),IF(AX208="","missing proposed_move_reason; ","")&amp;IF(AY208="","missing proposed_name_key; ",""),"")))))</x:f>
      </x:c>
    </x:row>
    <x:row r="209">
      <x:c r="A209" s="219"/>
      <x:c r="B209" s="220"/>
      <x:c r="C209" s="221"/>
      <x:c r="D209" s="220"/>
      <x:c r="E209" s="222"/>
      <x:c r="F209" s="220"/>
      <x:c r="G209" s="220"/>
      <x:c r="H209" s="220"/>
      <x:c r="I209" s="220"/>
      <x:c r="J209" s="220"/>
      <x:c r="K209" s="220"/>
      <x:c r="L209" s="220" t="str">
        <x:f>IF(TRIM(H209&amp;" "&amp;I209&amp;" "&amp;J209&amp;IF(K209&lt;&gt;""," ("&amp;K209&amp;")",""))="","",TRIM(H209&amp;" "&amp;I209&amp;" "&amp;J209&amp;IF(K209&lt;&gt;""," ("&amp;K209&amp;")","")))</x:f>
      </x:c>
      <x:c r="M209" s="220"/>
      <x:c r="N209" s="220"/>
      <x:c r="O209" s="220"/>
      <x:c r="P209" s="220"/>
      <x:c r="Q209" s="220"/>
      <x:c r="R209" s="220"/>
      <x:c r="S209" s="220"/>
      <x:c r="T209" s="220"/>
      <x:c r="U209" s="220" t="str">
        <x:f>IF(AND(M209="",O209="",Q209="",S209=""),"",IF(S209&lt;&gt;"",S209,IF(Q209&lt;&gt;"",Q209,IF(O209&lt;&gt;"",O209,M209))))</x:f>
      </x:c>
      <x:c r="V209" s="220" t="str">
        <x:f>IF(AND(N209="",P209="",R209="",T209=""),"",IF(T209&lt;&gt;"",T209,IF(R209&lt;&gt;"",R209,IF(P209&lt;&gt;"",P209,N209))))</x:f>
      </x:c>
      <x:c r="W209" s="221"/>
      <x:c r="X209" s="220"/>
      <x:c r="Y209" s="220"/>
      <x:c r="Z209" s="223"/>
      <x:c r="AA209" s="223"/>
      <x:c r="AB209" s="221"/>
      <x:c r="AC209" s="220"/>
      <x:c r="AD209" s="220"/>
      <x:c r="AE209" s="222"/>
      <x:c r="AF209" s="220"/>
      <x:c r="AG209" s="221"/>
      <x:c r="AH209" s="220"/>
      <x:c r="AI209" s="220"/>
      <x:c r="AJ209" s="222"/>
      <x:c r="AK209" s="220"/>
      <x:c r="AL209" s="220"/>
      <x:c r="AM209" s="220"/>
      <x:c r="AN209" s="220"/>
      <x:c r="AO209" s="220"/>
      <x:c r="AP209" s="220"/>
      <x:c r="AQ209" s="220"/>
      <x:c r="AR209" s="222"/>
      <x:c r="AS209" s="220"/>
      <x:c r="AT209" s="220"/>
      <x:c r="AU209" s="220"/>
      <x:c r="AV209" s="220"/>
      <x:c r="AW209" s="220"/>
      <x:c r="AX209" s="220"/>
      <x:c r="AY209" s="221"/>
      <x:c r="AZ209" s="220"/>
      <x:c r="BA209" s="220" t="str">
        <x:f>IF(AND(A209="",B209="",F209="",H209="",J209="",AW209="",AY209=""),"",IF(OR(B209="skip",AW209="skip"),"SKIP",IF(OR(B209="to_candidate",AW209="proposed_name"),IF(OR(A209="",AX209="",AY209="",COUNTIF($A$6:$A$505,A209)&gt;1),"REVIEW","TO_PROPOSED"),IF(OR(B209="",A209="",F209="",H209="",J209="",U209="",AW209="",COUNTIF($A$6:$A$505,A209)&gt;1,(COUNTIFS('أرقام التواصل'!$A$6:$A$505,"client",'أرقام التواصل'!$B$6:$B$505,A209,'أرقام التواصل'!$I$6:$I$505,"TRUE")+COUNTIFS('أرقام التواصل'!$A$6:$A$505,"client",'أرقام التواصل'!$B$6:$B$505,A209,'أرقام التواصل'!$C$6:$C$505,1))=0),"REVIEW","READY"))))</x:f>
      </x:c>
      <x:c r="BB209" s="224" t="str">
        <x:f>IF(BA209="","",IF(OR(BA209="READY",BA209="TO_PROPOSED"),"",IF(BA209="SKIP","Skipped by decision",TRIM(IF(B209="","missing import_action; ","")&amp;IF(A209="","missing migration_customer_key; ","")&amp;IF(AND(A209&lt;&gt;"",COUNTIF($A$6:$A$505,A209)&gt;1),"duplicate migration_customer_key; ","")&amp;IF(AND(NOT(OR(B209="to_candidate",AW209="proposed_name")),F209=""),"missing branch_id; ","")&amp;IF(AND(NOT(OR(B209="to_candidate",AW209="proposed_name")),H209=""),"missing first_name; ","")&amp;IF(AND(NOT(OR(B209="to_candidate",AW209="proposed_name")),J209=""),"missing last_name; ","")&amp;IF(AND(NOT(OR(B209="to_candidate",AW209="proposed_name")),U209=""),"missing final_geo_unit_id; ","")&amp;IF(AW209="","missing final_destination; ","")&amp;IF(AND(NOT(OR(B209="to_candidate",AW209="proposed_name")),(COUNTIFS('أرقام التواصل'!$A$6:$A$505,"client",'أرقام التواصل'!$B$6:$B$505,A209,'أرقام التواصل'!$I$6:$I$505,"TRUE")+COUNTIFS('أرقام التواصل'!$A$6:$A$505,"client",'أرقام التواصل'!$B$6:$B$505,A209,'أرقام التواصل'!$C$6:$C$505,1))=0),"missing primary contact in أرقام التواصل; ","")&amp;IF(OR(B209="to_candidate",AW209="proposed_name"),IF(AX209="","missing proposed_move_reason; ","")&amp;IF(AY209="","missing proposed_name_key; ",""),"")))))</x:f>
      </x:c>
    </x:row>
    <x:row r="210">
      <x:c r="A210" s="219"/>
      <x:c r="B210" s="220"/>
      <x:c r="C210" s="221"/>
      <x:c r="D210" s="220"/>
      <x:c r="E210" s="222"/>
      <x:c r="F210" s="220"/>
      <x:c r="G210" s="220"/>
      <x:c r="H210" s="220"/>
      <x:c r="I210" s="220"/>
      <x:c r="J210" s="220"/>
      <x:c r="K210" s="220"/>
      <x:c r="L210" s="220" t="str">
        <x:f>IF(TRIM(H210&amp;" "&amp;I210&amp;" "&amp;J210&amp;IF(K210&lt;&gt;""," ("&amp;K210&amp;")",""))="","",TRIM(H210&amp;" "&amp;I210&amp;" "&amp;J210&amp;IF(K210&lt;&gt;""," ("&amp;K210&amp;")","")))</x:f>
      </x:c>
      <x:c r="M210" s="220"/>
      <x:c r="N210" s="220"/>
      <x:c r="O210" s="220"/>
      <x:c r="P210" s="220"/>
      <x:c r="Q210" s="220"/>
      <x:c r="R210" s="220"/>
      <x:c r="S210" s="220"/>
      <x:c r="T210" s="220"/>
      <x:c r="U210" s="220" t="str">
        <x:f>IF(AND(M210="",O210="",Q210="",S210=""),"",IF(S210&lt;&gt;"",S210,IF(Q210&lt;&gt;"",Q210,IF(O210&lt;&gt;"",O210,M210))))</x:f>
      </x:c>
      <x:c r="V210" s="220" t="str">
        <x:f>IF(AND(N210="",P210="",R210="",T210=""),"",IF(T210&lt;&gt;"",T210,IF(R210&lt;&gt;"",R210,IF(P210&lt;&gt;"",P210,N210))))</x:f>
      </x:c>
      <x:c r="W210" s="221"/>
      <x:c r="X210" s="220"/>
      <x:c r="Y210" s="220"/>
      <x:c r="Z210" s="223"/>
      <x:c r="AA210" s="223"/>
      <x:c r="AB210" s="221"/>
      <x:c r="AC210" s="220"/>
      <x:c r="AD210" s="220"/>
      <x:c r="AE210" s="222"/>
      <x:c r="AF210" s="220"/>
      <x:c r="AG210" s="221"/>
      <x:c r="AH210" s="220"/>
      <x:c r="AI210" s="220"/>
      <x:c r="AJ210" s="222"/>
      <x:c r="AK210" s="220"/>
      <x:c r="AL210" s="220"/>
      <x:c r="AM210" s="220"/>
      <x:c r="AN210" s="220"/>
      <x:c r="AO210" s="220"/>
      <x:c r="AP210" s="220"/>
      <x:c r="AQ210" s="220"/>
      <x:c r="AR210" s="222"/>
      <x:c r="AS210" s="220"/>
      <x:c r="AT210" s="220"/>
      <x:c r="AU210" s="220"/>
      <x:c r="AV210" s="220"/>
      <x:c r="AW210" s="220"/>
      <x:c r="AX210" s="220"/>
      <x:c r="AY210" s="221"/>
      <x:c r="AZ210" s="220"/>
      <x:c r="BA210" s="220" t="str">
        <x:f>IF(AND(A210="",B210="",F210="",H210="",J210="",AW210="",AY210=""),"",IF(OR(B210="skip",AW210="skip"),"SKIP",IF(OR(B210="to_candidate",AW210="proposed_name"),IF(OR(A210="",AX210="",AY210="",COUNTIF($A$6:$A$505,A210)&gt;1),"REVIEW","TO_PROPOSED"),IF(OR(B210="",A210="",F210="",H210="",J210="",U210="",AW210="",COUNTIF($A$6:$A$505,A210)&gt;1,(COUNTIFS('أرقام التواصل'!$A$6:$A$505,"client",'أرقام التواصل'!$B$6:$B$505,A210,'أرقام التواصل'!$I$6:$I$505,"TRUE")+COUNTIFS('أرقام التواصل'!$A$6:$A$505,"client",'أرقام التواصل'!$B$6:$B$505,A210,'أرقام التواصل'!$C$6:$C$505,1))=0),"REVIEW","READY"))))</x:f>
      </x:c>
      <x:c r="BB210" s="224" t="str">
        <x:f>IF(BA210="","",IF(OR(BA210="READY",BA210="TO_PROPOSED"),"",IF(BA210="SKIP","Skipped by decision",TRIM(IF(B210="","missing import_action; ","")&amp;IF(A210="","missing migration_customer_key; ","")&amp;IF(AND(A210&lt;&gt;"",COUNTIF($A$6:$A$505,A210)&gt;1),"duplicate migration_customer_key; ","")&amp;IF(AND(NOT(OR(B210="to_candidate",AW210="proposed_name")),F210=""),"missing branch_id; ","")&amp;IF(AND(NOT(OR(B210="to_candidate",AW210="proposed_name")),H210=""),"missing first_name; ","")&amp;IF(AND(NOT(OR(B210="to_candidate",AW210="proposed_name")),J210=""),"missing last_name; ","")&amp;IF(AND(NOT(OR(B210="to_candidate",AW210="proposed_name")),U210=""),"missing final_geo_unit_id; ","")&amp;IF(AW210="","missing final_destination; ","")&amp;IF(AND(NOT(OR(B210="to_candidate",AW210="proposed_name")),(COUNTIFS('أرقام التواصل'!$A$6:$A$505,"client",'أرقام التواصل'!$B$6:$B$505,A210,'أرقام التواصل'!$I$6:$I$505,"TRUE")+COUNTIFS('أرقام التواصل'!$A$6:$A$505,"client",'أرقام التواصل'!$B$6:$B$505,A210,'أرقام التواصل'!$C$6:$C$505,1))=0),"missing primary contact in أرقام التواصل; ","")&amp;IF(OR(B210="to_candidate",AW210="proposed_name"),IF(AX210="","missing proposed_move_reason; ","")&amp;IF(AY210="","missing proposed_name_key; ",""),"")))))</x:f>
      </x:c>
    </x:row>
    <x:row r="211">
      <x:c r="A211" s="219"/>
      <x:c r="B211" s="220"/>
      <x:c r="C211" s="221"/>
      <x:c r="D211" s="220"/>
      <x:c r="E211" s="222"/>
      <x:c r="F211" s="220"/>
      <x:c r="G211" s="220"/>
      <x:c r="H211" s="220"/>
      <x:c r="I211" s="220"/>
      <x:c r="J211" s="220"/>
      <x:c r="K211" s="220"/>
      <x:c r="L211" s="220" t="str">
        <x:f>IF(TRIM(H211&amp;" "&amp;I211&amp;" "&amp;J211&amp;IF(K211&lt;&gt;""," ("&amp;K211&amp;")",""))="","",TRIM(H211&amp;" "&amp;I211&amp;" "&amp;J211&amp;IF(K211&lt;&gt;""," ("&amp;K211&amp;")","")))</x:f>
      </x:c>
      <x:c r="M211" s="220"/>
      <x:c r="N211" s="220"/>
      <x:c r="O211" s="220"/>
      <x:c r="P211" s="220"/>
      <x:c r="Q211" s="220"/>
      <x:c r="R211" s="220"/>
      <x:c r="S211" s="220"/>
      <x:c r="T211" s="220"/>
      <x:c r="U211" s="220" t="str">
        <x:f>IF(AND(M211="",O211="",Q211="",S211=""),"",IF(S211&lt;&gt;"",S211,IF(Q211&lt;&gt;"",Q211,IF(O211&lt;&gt;"",O211,M211))))</x:f>
      </x:c>
      <x:c r="V211" s="220" t="str">
        <x:f>IF(AND(N211="",P211="",R211="",T211=""),"",IF(T211&lt;&gt;"",T211,IF(R211&lt;&gt;"",R211,IF(P211&lt;&gt;"",P211,N211))))</x:f>
      </x:c>
      <x:c r="W211" s="221"/>
      <x:c r="X211" s="220"/>
      <x:c r="Y211" s="220"/>
      <x:c r="Z211" s="223"/>
      <x:c r="AA211" s="223"/>
      <x:c r="AB211" s="221"/>
      <x:c r="AC211" s="220"/>
      <x:c r="AD211" s="220"/>
      <x:c r="AE211" s="222"/>
      <x:c r="AF211" s="220"/>
      <x:c r="AG211" s="221"/>
      <x:c r="AH211" s="220"/>
      <x:c r="AI211" s="220"/>
      <x:c r="AJ211" s="222"/>
      <x:c r="AK211" s="220"/>
      <x:c r="AL211" s="220"/>
      <x:c r="AM211" s="220"/>
      <x:c r="AN211" s="220"/>
      <x:c r="AO211" s="220"/>
      <x:c r="AP211" s="220"/>
      <x:c r="AQ211" s="220"/>
      <x:c r="AR211" s="222"/>
      <x:c r="AS211" s="220"/>
      <x:c r="AT211" s="220"/>
      <x:c r="AU211" s="220"/>
      <x:c r="AV211" s="220"/>
      <x:c r="AW211" s="220"/>
      <x:c r="AX211" s="220"/>
      <x:c r="AY211" s="221"/>
      <x:c r="AZ211" s="220"/>
      <x:c r="BA211" s="220" t="str">
        <x:f>IF(AND(A211="",B211="",F211="",H211="",J211="",AW211="",AY211=""),"",IF(OR(B211="skip",AW211="skip"),"SKIP",IF(OR(B211="to_candidate",AW211="proposed_name"),IF(OR(A211="",AX211="",AY211="",COUNTIF($A$6:$A$505,A211)&gt;1),"REVIEW","TO_PROPOSED"),IF(OR(B211="",A211="",F211="",H211="",J211="",U211="",AW211="",COUNTIF($A$6:$A$505,A211)&gt;1,(COUNTIFS('أرقام التواصل'!$A$6:$A$505,"client",'أرقام التواصل'!$B$6:$B$505,A211,'أرقام التواصل'!$I$6:$I$505,"TRUE")+COUNTIFS('أرقام التواصل'!$A$6:$A$505,"client",'أرقام التواصل'!$B$6:$B$505,A211,'أرقام التواصل'!$C$6:$C$505,1))=0),"REVIEW","READY"))))</x:f>
      </x:c>
      <x:c r="BB211" s="224" t="str">
        <x:f>IF(BA211="","",IF(OR(BA211="READY",BA211="TO_PROPOSED"),"",IF(BA211="SKIP","Skipped by decision",TRIM(IF(B211="","missing import_action; ","")&amp;IF(A211="","missing migration_customer_key; ","")&amp;IF(AND(A211&lt;&gt;"",COUNTIF($A$6:$A$505,A211)&gt;1),"duplicate migration_customer_key; ","")&amp;IF(AND(NOT(OR(B211="to_candidate",AW211="proposed_name")),F211=""),"missing branch_id; ","")&amp;IF(AND(NOT(OR(B211="to_candidate",AW211="proposed_name")),H211=""),"missing first_name; ","")&amp;IF(AND(NOT(OR(B211="to_candidate",AW211="proposed_name")),J211=""),"missing last_name; ","")&amp;IF(AND(NOT(OR(B211="to_candidate",AW211="proposed_name")),U211=""),"missing final_geo_unit_id; ","")&amp;IF(AW211="","missing final_destination; ","")&amp;IF(AND(NOT(OR(B211="to_candidate",AW211="proposed_name")),(COUNTIFS('أرقام التواصل'!$A$6:$A$505,"client",'أرقام التواصل'!$B$6:$B$505,A211,'أرقام التواصل'!$I$6:$I$505,"TRUE")+COUNTIFS('أرقام التواصل'!$A$6:$A$505,"client",'أرقام التواصل'!$B$6:$B$505,A211,'أرقام التواصل'!$C$6:$C$505,1))=0),"missing primary contact in أرقام التواصل; ","")&amp;IF(OR(B211="to_candidate",AW211="proposed_name"),IF(AX211="","missing proposed_move_reason; ","")&amp;IF(AY211="","missing proposed_name_key; ",""),"")))))</x:f>
      </x:c>
    </x:row>
    <x:row r="212">
      <x:c r="A212" s="219"/>
      <x:c r="B212" s="220"/>
      <x:c r="C212" s="221"/>
      <x:c r="D212" s="220"/>
      <x:c r="E212" s="222"/>
      <x:c r="F212" s="220"/>
      <x:c r="G212" s="220"/>
      <x:c r="H212" s="220"/>
      <x:c r="I212" s="220"/>
      <x:c r="J212" s="220"/>
      <x:c r="K212" s="220"/>
      <x:c r="L212" s="220" t="str">
        <x:f>IF(TRIM(H212&amp;" "&amp;I212&amp;" "&amp;J212&amp;IF(K212&lt;&gt;""," ("&amp;K212&amp;")",""))="","",TRIM(H212&amp;" "&amp;I212&amp;" "&amp;J212&amp;IF(K212&lt;&gt;""," ("&amp;K212&amp;")","")))</x:f>
      </x:c>
      <x:c r="M212" s="220"/>
      <x:c r="N212" s="220"/>
      <x:c r="O212" s="220"/>
      <x:c r="P212" s="220"/>
      <x:c r="Q212" s="220"/>
      <x:c r="R212" s="220"/>
      <x:c r="S212" s="220"/>
      <x:c r="T212" s="220"/>
      <x:c r="U212" s="220" t="str">
        <x:f>IF(AND(M212="",O212="",Q212="",S212=""),"",IF(S212&lt;&gt;"",S212,IF(Q212&lt;&gt;"",Q212,IF(O212&lt;&gt;"",O212,M212))))</x:f>
      </x:c>
      <x:c r="V212" s="220" t="str">
        <x:f>IF(AND(N212="",P212="",R212="",T212=""),"",IF(T212&lt;&gt;"",T212,IF(R212&lt;&gt;"",R212,IF(P212&lt;&gt;"",P212,N212))))</x:f>
      </x:c>
      <x:c r="W212" s="221"/>
      <x:c r="X212" s="220"/>
      <x:c r="Y212" s="220"/>
      <x:c r="Z212" s="223"/>
      <x:c r="AA212" s="223"/>
      <x:c r="AB212" s="221"/>
      <x:c r="AC212" s="220"/>
      <x:c r="AD212" s="220"/>
      <x:c r="AE212" s="222"/>
      <x:c r="AF212" s="220"/>
      <x:c r="AG212" s="221"/>
      <x:c r="AH212" s="220"/>
      <x:c r="AI212" s="220"/>
      <x:c r="AJ212" s="222"/>
      <x:c r="AK212" s="220"/>
      <x:c r="AL212" s="220"/>
      <x:c r="AM212" s="220"/>
      <x:c r="AN212" s="220"/>
      <x:c r="AO212" s="220"/>
      <x:c r="AP212" s="220"/>
      <x:c r="AQ212" s="220"/>
      <x:c r="AR212" s="222"/>
      <x:c r="AS212" s="220"/>
      <x:c r="AT212" s="220"/>
      <x:c r="AU212" s="220"/>
      <x:c r="AV212" s="220"/>
      <x:c r="AW212" s="220"/>
      <x:c r="AX212" s="220"/>
      <x:c r="AY212" s="221"/>
      <x:c r="AZ212" s="220"/>
      <x:c r="BA212" s="220" t="str">
        <x:f>IF(AND(A212="",B212="",F212="",H212="",J212="",AW212="",AY212=""),"",IF(OR(B212="skip",AW212="skip"),"SKIP",IF(OR(B212="to_candidate",AW212="proposed_name"),IF(OR(A212="",AX212="",AY212="",COUNTIF($A$6:$A$505,A212)&gt;1),"REVIEW","TO_PROPOSED"),IF(OR(B212="",A212="",F212="",H212="",J212="",U212="",AW212="",COUNTIF($A$6:$A$505,A212)&gt;1,(COUNTIFS('أرقام التواصل'!$A$6:$A$505,"client",'أرقام التواصل'!$B$6:$B$505,A212,'أرقام التواصل'!$I$6:$I$505,"TRUE")+COUNTIFS('أرقام التواصل'!$A$6:$A$505,"client",'أرقام التواصل'!$B$6:$B$505,A212,'أرقام التواصل'!$C$6:$C$505,1))=0),"REVIEW","READY"))))</x:f>
      </x:c>
      <x:c r="BB212" s="224" t="str">
        <x:f>IF(BA212="","",IF(OR(BA212="READY",BA212="TO_PROPOSED"),"",IF(BA212="SKIP","Skipped by decision",TRIM(IF(B212="","missing import_action; ","")&amp;IF(A212="","missing migration_customer_key; ","")&amp;IF(AND(A212&lt;&gt;"",COUNTIF($A$6:$A$505,A212)&gt;1),"duplicate migration_customer_key; ","")&amp;IF(AND(NOT(OR(B212="to_candidate",AW212="proposed_name")),F212=""),"missing branch_id; ","")&amp;IF(AND(NOT(OR(B212="to_candidate",AW212="proposed_name")),H212=""),"missing first_name; ","")&amp;IF(AND(NOT(OR(B212="to_candidate",AW212="proposed_name")),J212=""),"missing last_name; ","")&amp;IF(AND(NOT(OR(B212="to_candidate",AW212="proposed_name")),U212=""),"missing final_geo_unit_id; ","")&amp;IF(AW212="","missing final_destination; ","")&amp;IF(AND(NOT(OR(B212="to_candidate",AW212="proposed_name")),(COUNTIFS('أرقام التواصل'!$A$6:$A$505,"client",'أرقام التواصل'!$B$6:$B$505,A212,'أرقام التواصل'!$I$6:$I$505,"TRUE")+COUNTIFS('أرقام التواصل'!$A$6:$A$505,"client",'أرقام التواصل'!$B$6:$B$505,A212,'أرقام التواصل'!$C$6:$C$505,1))=0),"missing primary contact in أرقام التواصل; ","")&amp;IF(OR(B212="to_candidate",AW212="proposed_name"),IF(AX212="","missing proposed_move_reason; ","")&amp;IF(AY212="","missing proposed_name_key; ",""),"")))))</x:f>
      </x:c>
    </x:row>
    <x:row r="213">
      <x:c r="A213" s="219"/>
      <x:c r="B213" s="220"/>
      <x:c r="C213" s="221"/>
      <x:c r="D213" s="220"/>
      <x:c r="E213" s="222"/>
      <x:c r="F213" s="220"/>
      <x:c r="G213" s="220"/>
      <x:c r="H213" s="220"/>
      <x:c r="I213" s="220"/>
      <x:c r="J213" s="220"/>
      <x:c r="K213" s="220"/>
      <x:c r="L213" s="220" t="str">
        <x:f>IF(TRIM(H213&amp;" "&amp;I213&amp;" "&amp;J213&amp;IF(K213&lt;&gt;""," ("&amp;K213&amp;")",""))="","",TRIM(H213&amp;" "&amp;I213&amp;" "&amp;J213&amp;IF(K213&lt;&gt;""," ("&amp;K213&amp;")","")))</x:f>
      </x:c>
      <x:c r="M213" s="220"/>
      <x:c r="N213" s="220"/>
      <x:c r="O213" s="220"/>
      <x:c r="P213" s="220"/>
      <x:c r="Q213" s="220"/>
      <x:c r="R213" s="220"/>
      <x:c r="S213" s="220"/>
      <x:c r="T213" s="220"/>
      <x:c r="U213" s="220" t="str">
        <x:f>IF(AND(M213="",O213="",Q213="",S213=""),"",IF(S213&lt;&gt;"",S213,IF(Q213&lt;&gt;"",Q213,IF(O213&lt;&gt;"",O213,M213))))</x:f>
      </x:c>
      <x:c r="V213" s="220" t="str">
        <x:f>IF(AND(N213="",P213="",R213="",T213=""),"",IF(T213&lt;&gt;"",T213,IF(R213&lt;&gt;"",R213,IF(P213&lt;&gt;"",P213,N213))))</x:f>
      </x:c>
      <x:c r="W213" s="221"/>
      <x:c r="X213" s="220"/>
      <x:c r="Y213" s="220"/>
      <x:c r="Z213" s="223"/>
      <x:c r="AA213" s="223"/>
      <x:c r="AB213" s="221"/>
      <x:c r="AC213" s="220"/>
      <x:c r="AD213" s="220"/>
      <x:c r="AE213" s="222"/>
      <x:c r="AF213" s="220"/>
      <x:c r="AG213" s="221"/>
      <x:c r="AH213" s="220"/>
      <x:c r="AI213" s="220"/>
      <x:c r="AJ213" s="222"/>
      <x:c r="AK213" s="220"/>
      <x:c r="AL213" s="220"/>
      <x:c r="AM213" s="220"/>
      <x:c r="AN213" s="220"/>
      <x:c r="AO213" s="220"/>
      <x:c r="AP213" s="220"/>
      <x:c r="AQ213" s="220"/>
      <x:c r="AR213" s="222"/>
      <x:c r="AS213" s="220"/>
      <x:c r="AT213" s="220"/>
      <x:c r="AU213" s="220"/>
      <x:c r="AV213" s="220"/>
      <x:c r="AW213" s="220"/>
      <x:c r="AX213" s="220"/>
      <x:c r="AY213" s="221"/>
      <x:c r="AZ213" s="220"/>
      <x:c r="BA213" s="220" t="str">
        <x:f>IF(AND(A213="",B213="",F213="",H213="",J213="",AW213="",AY213=""),"",IF(OR(B213="skip",AW213="skip"),"SKIP",IF(OR(B213="to_candidate",AW213="proposed_name"),IF(OR(A213="",AX213="",AY213="",COUNTIF($A$6:$A$505,A213)&gt;1),"REVIEW","TO_PROPOSED"),IF(OR(B213="",A213="",F213="",H213="",J213="",U213="",AW213="",COUNTIF($A$6:$A$505,A213)&gt;1,(COUNTIFS('أرقام التواصل'!$A$6:$A$505,"client",'أرقام التواصل'!$B$6:$B$505,A213,'أرقام التواصل'!$I$6:$I$505,"TRUE")+COUNTIFS('أرقام التواصل'!$A$6:$A$505,"client",'أرقام التواصل'!$B$6:$B$505,A213,'أرقام التواصل'!$C$6:$C$505,1))=0),"REVIEW","READY"))))</x:f>
      </x:c>
      <x:c r="BB213" s="224" t="str">
        <x:f>IF(BA213="","",IF(OR(BA213="READY",BA213="TO_PROPOSED"),"",IF(BA213="SKIP","Skipped by decision",TRIM(IF(B213="","missing import_action; ","")&amp;IF(A213="","missing migration_customer_key; ","")&amp;IF(AND(A213&lt;&gt;"",COUNTIF($A$6:$A$505,A213)&gt;1),"duplicate migration_customer_key; ","")&amp;IF(AND(NOT(OR(B213="to_candidate",AW213="proposed_name")),F213=""),"missing branch_id; ","")&amp;IF(AND(NOT(OR(B213="to_candidate",AW213="proposed_name")),H213=""),"missing first_name; ","")&amp;IF(AND(NOT(OR(B213="to_candidate",AW213="proposed_name")),J213=""),"missing last_name; ","")&amp;IF(AND(NOT(OR(B213="to_candidate",AW213="proposed_name")),U213=""),"missing final_geo_unit_id; ","")&amp;IF(AW213="","missing final_destination; ","")&amp;IF(AND(NOT(OR(B213="to_candidate",AW213="proposed_name")),(COUNTIFS('أرقام التواصل'!$A$6:$A$505,"client",'أرقام التواصل'!$B$6:$B$505,A213,'أرقام التواصل'!$I$6:$I$505,"TRUE")+COUNTIFS('أرقام التواصل'!$A$6:$A$505,"client",'أرقام التواصل'!$B$6:$B$505,A213,'أرقام التواصل'!$C$6:$C$505,1))=0),"missing primary contact in أرقام التواصل; ","")&amp;IF(OR(B213="to_candidate",AW213="proposed_name"),IF(AX213="","missing proposed_move_reason; ","")&amp;IF(AY213="","missing proposed_name_key; ",""),"")))))</x:f>
      </x:c>
    </x:row>
    <x:row r="214">
      <x:c r="A214" s="219"/>
      <x:c r="B214" s="220"/>
      <x:c r="C214" s="221"/>
      <x:c r="D214" s="220"/>
      <x:c r="E214" s="222"/>
      <x:c r="F214" s="220"/>
      <x:c r="G214" s="220"/>
      <x:c r="H214" s="220"/>
      <x:c r="I214" s="220"/>
      <x:c r="J214" s="220"/>
      <x:c r="K214" s="220"/>
      <x:c r="L214" s="220" t="str">
        <x:f>IF(TRIM(H214&amp;" "&amp;I214&amp;" "&amp;J214&amp;IF(K214&lt;&gt;""," ("&amp;K214&amp;")",""))="","",TRIM(H214&amp;" "&amp;I214&amp;" "&amp;J214&amp;IF(K214&lt;&gt;""," ("&amp;K214&amp;")","")))</x:f>
      </x:c>
      <x:c r="M214" s="220"/>
      <x:c r="N214" s="220"/>
      <x:c r="O214" s="220"/>
      <x:c r="P214" s="220"/>
      <x:c r="Q214" s="220"/>
      <x:c r="R214" s="220"/>
      <x:c r="S214" s="220"/>
      <x:c r="T214" s="220"/>
      <x:c r="U214" s="220" t="str">
        <x:f>IF(AND(M214="",O214="",Q214="",S214=""),"",IF(S214&lt;&gt;"",S214,IF(Q214&lt;&gt;"",Q214,IF(O214&lt;&gt;"",O214,M214))))</x:f>
      </x:c>
      <x:c r="V214" s="220" t="str">
        <x:f>IF(AND(N214="",P214="",R214="",T214=""),"",IF(T214&lt;&gt;"",T214,IF(R214&lt;&gt;"",R214,IF(P214&lt;&gt;"",P214,N214))))</x:f>
      </x:c>
      <x:c r="W214" s="221"/>
      <x:c r="X214" s="220"/>
      <x:c r="Y214" s="220"/>
      <x:c r="Z214" s="223"/>
      <x:c r="AA214" s="223"/>
      <x:c r="AB214" s="221"/>
      <x:c r="AC214" s="220"/>
      <x:c r="AD214" s="220"/>
      <x:c r="AE214" s="222"/>
      <x:c r="AF214" s="220"/>
      <x:c r="AG214" s="221"/>
      <x:c r="AH214" s="220"/>
      <x:c r="AI214" s="220"/>
      <x:c r="AJ214" s="222"/>
      <x:c r="AK214" s="220"/>
      <x:c r="AL214" s="220"/>
      <x:c r="AM214" s="220"/>
      <x:c r="AN214" s="220"/>
      <x:c r="AO214" s="220"/>
      <x:c r="AP214" s="220"/>
      <x:c r="AQ214" s="220"/>
      <x:c r="AR214" s="222"/>
      <x:c r="AS214" s="220"/>
      <x:c r="AT214" s="220"/>
      <x:c r="AU214" s="220"/>
      <x:c r="AV214" s="220"/>
      <x:c r="AW214" s="220"/>
      <x:c r="AX214" s="220"/>
      <x:c r="AY214" s="221"/>
      <x:c r="AZ214" s="220"/>
      <x:c r="BA214" s="220" t="str">
        <x:f>IF(AND(A214="",B214="",F214="",H214="",J214="",AW214="",AY214=""),"",IF(OR(B214="skip",AW214="skip"),"SKIP",IF(OR(B214="to_candidate",AW214="proposed_name"),IF(OR(A214="",AX214="",AY214="",COUNTIF($A$6:$A$505,A214)&gt;1),"REVIEW","TO_PROPOSED"),IF(OR(B214="",A214="",F214="",H214="",J214="",U214="",AW214="",COUNTIF($A$6:$A$505,A214)&gt;1,(COUNTIFS('أرقام التواصل'!$A$6:$A$505,"client",'أرقام التواصل'!$B$6:$B$505,A214,'أرقام التواصل'!$I$6:$I$505,"TRUE")+COUNTIFS('أرقام التواصل'!$A$6:$A$505,"client",'أرقام التواصل'!$B$6:$B$505,A214,'أرقام التواصل'!$C$6:$C$505,1))=0),"REVIEW","READY"))))</x:f>
      </x:c>
      <x:c r="BB214" s="224" t="str">
        <x:f>IF(BA214="","",IF(OR(BA214="READY",BA214="TO_PROPOSED"),"",IF(BA214="SKIP","Skipped by decision",TRIM(IF(B214="","missing import_action; ","")&amp;IF(A214="","missing migration_customer_key; ","")&amp;IF(AND(A214&lt;&gt;"",COUNTIF($A$6:$A$505,A214)&gt;1),"duplicate migration_customer_key; ","")&amp;IF(AND(NOT(OR(B214="to_candidate",AW214="proposed_name")),F214=""),"missing branch_id; ","")&amp;IF(AND(NOT(OR(B214="to_candidate",AW214="proposed_name")),H214=""),"missing first_name; ","")&amp;IF(AND(NOT(OR(B214="to_candidate",AW214="proposed_name")),J214=""),"missing last_name; ","")&amp;IF(AND(NOT(OR(B214="to_candidate",AW214="proposed_name")),U214=""),"missing final_geo_unit_id; ","")&amp;IF(AW214="","missing final_destination; ","")&amp;IF(AND(NOT(OR(B214="to_candidate",AW214="proposed_name")),(COUNTIFS('أرقام التواصل'!$A$6:$A$505,"client",'أرقام التواصل'!$B$6:$B$505,A214,'أرقام التواصل'!$I$6:$I$505,"TRUE")+COUNTIFS('أرقام التواصل'!$A$6:$A$505,"client",'أرقام التواصل'!$B$6:$B$505,A214,'أرقام التواصل'!$C$6:$C$505,1))=0),"missing primary contact in أرقام التواصل; ","")&amp;IF(OR(B214="to_candidate",AW214="proposed_name"),IF(AX214="","missing proposed_move_reason; ","")&amp;IF(AY214="","missing proposed_name_key; ",""),"")))))</x:f>
      </x:c>
    </x:row>
    <x:row r="215">
      <x:c r="A215" s="219"/>
      <x:c r="B215" s="220"/>
      <x:c r="C215" s="221"/>
      <x:c r="D215" s="220"/>
      <x:c r="E215" s="222"/>
      <x:c r="F215" s="220"/>
      <x:c r="G215" s="220"/>
      <x:c r="H215" s="220"/>
      <x:c r="I215" s="220"/>
      <x:c r="J215" s="220"/>
      <x:c r="K215" s="220"/>
      <x:c r="L215" s="220" t="str">
        <x:f>IF(TRIM(H215&amp;" "&amp;I215&amp;" "&amp;J215&amp;IF(K215&lt;&gt;""," ("&amp;K215&amp;")",""))="","",TRIM(H215&amp;" "&amp;I215&amp;" "&amp;J215&amp;IF(K215&lt;&gt;""," ("&amp;K215&amp;")","")))</x:f>
      </x:c>
      <x:c r="M215" s="220"/>
      <x:c r="N215" s="220"/>
      <x:c r="O215" s="220"/>
      <x:c r="P215" s="220"/>
      <x:c r="Q215" s="220"/>
      <x:c r="R215" s="220"/>
      <x:c r="S215" s="220"/>
      <x:c r="T215" s="220"/>
      <x:c r="U215" s="220" t="str">
        <x:f>IF(AND(M215="",O215="",Q215="",S215=""),"",IF(S215&lt;&gt;"",S215,IF(Q215&lt;&gt;"",Q215,IF(O215&lt;&gt;"",O215,M215))))</x:f>
      </x:c>
      <x:c r="V215" s="220" t="str">
        <x:f>IF(AND(N215="",P215="",R215="",T215=""),"",IF(T215&lt;&gt;"",T215,IF(R215&lt;&gt;"",R215,IF(P215&lt;&gt;"",P215,N215))))</x:f>
      </x:c>
      <x:c r="W215" s="221"/>
      <x:c r="X215" s="220"/>
      <x:c r="Y215" s="220"/>
      <x:c r="Z215" s="223"/>
      <x:c r="AA215" s="223"/>
      <x:c r="AB215" s="221"/>
      <x:c r="AC215" s="220"/>
      <x:c r="AD215" s="220"/>
      <x:c r="AE215" s="222"/>
      <x:c r="AF215" s="220"/>
      <x:c r="AG215" s="221"/>
      <x:c r="AH215" s="220"/>
      <x:c r="AI215" s="220"/>
      <x:c r="AJ215" s="222"/>
      <x:c r="AK215" s="220"/>
      <x:c r="AL215" s="220"/>
      <x:c r="AM215" s="220"/>
      <x:c r="AN215" s="220"/>
      <x:c r="AO215" s="220"/>
      <x:c r="AP215" s="220"/>
      <x:c r="AQ215" s="220"/>
      <x:c r="AR215" s="222"/>
      <x:c r="AS215" s="220"/>
      <x:c r="AT215" s="220"/>
      <x:c r="AU215" s="220"/>
      <x:c r="AV215" s="220"/>
      <x:c r="AW215" s="220"/>
      <x:c r="AX215" s="220"/>
      <x:c r="AY215" s="221"/>
      <x:c r="AZ215" s="220"/>
      <x:c r="BA215" s="220" t="str">
        <x:f>IF(AND(A215="",B215="",F215="",H215="",J215="",AW215="",AY215=""),"",IF(OR(B215="skip",AW215="skip"),"SKIP",IF(OR(B215="to_candidate",AW215="proposed_name"),IF(OR(A215="",AX215="",AY215="",COUNTIF($A$6:$A$505,A215)&gt;1),"REVIEW","TO_PROPOSED"),IF(OR(B215="",A215="",F215="",H215="",J215="",U215="",AW215="",COUNTIF($A$6:$A$505,A215)&gt;1,(COUNTIFS('أرقام التواصل'!$A$6:$A$505,"client",'أرقام التواصل'!$B$6:$B$505,A215,'أرقام التواصل'!$I$6:$I$505,"TRUE")+COUNTIFS('أرقام التواصل'!$A$6:$A$505,"client",'أرقام التواصل'!$B$6:$B$505,A215,'أرقام التواصل'!$C$6:$C$505,1))=0),"REVIEW","READY"))))</x:f>
      </x:c>
      <x:c r="BB215" s="224" t="str">
        <x:f>IF(BA215="","",IF(OR(BA215="READY",BA215="TO_PROPOSED"),"",IF(BA215="SKIP","Skipped by decision",TRIM(IF(B215="","missing import_action; ","")&amp;IF(A215="","missing migration_customer_key; ","")&amp;IF(AND(A215&lt;&gt;"",COUNTIF($A$6:$A$505,A215)&gt;1),"duplicate migration_customer_key; ","")&amp;IF(AND(NOT(OR(B215="to_candidate",AW215="proposed_name")),F215=""),"missing branch_id; ","")&amp;IF(AND(NOT(OR(B215="to_candidate",AW215="proposed_name")),H215=""),"missing first_name; ","")&amp;IF(AND(NOT(OR(B215="to_candidate",AW215="proposed_name")),J215=""),"missing last_name; ","")&amp;IF(AND(NOT(OR(B215="to_candidate",AW215="proposed_name")),U215=""),"missing final_geo_unit_id; ","")&amp;IF(AW215="","missing final_destination; ","")&amp;IF(AND(NOT(OR(B215="to_candidate",AW215="proposed_name")),(COUNTIFS('أرقام التواصل'!$A$6:$A$505,"client",'أرقام التواصل'!$B$6:$B$505,A215,'أرقام التواصل'!$I$6:$I$505,"TRUE")+COUNTIFS('أرقام التواصل'!$A$6:$A$505,"client",'أرقام التواصل'!$B$6:$B$505,A215,'أرقام التواصل'!$C$6:$C$505,1))=0),"missing primary contact in أرقام التواصل; ","")&amp;IF(OR(B215="to_candidate",AW215="proposed_name"),IF(AX215="","missing proposed_move_reason; ","")&amp;IF(AY215="","missing proposed_name_key; ",""),"")))))</x:f>
      </x:c>
    </x:row>
    <x:row r="216">
      <x:c r="A216" s="219"/>
      <x:c r="B216" s="220"/>
      <x:c r="C216" s="221"/>
      <x:c r="D216" s="220"/>
      <x:c r="E216" s="222"/>
      <x:c r="F216" s="220"/>
      <x:c r="G216" s="220"/>
      <x:c r="H216" s="220"/>
      <x:c r="I216" s="220"/>
      <x:c r="J216" s="220"/>
      <x:c r="K216" s="220"/>
      <x:c r="L216" s="220" t="str">
        <x:f>IF(TRIM(H216&amp;" "&amp;I216&amp;" "&amp;J216&amp;IF(K216&lt;&gt;""," ("&amp;K216&amp;")",""))="","",TRIM(H216&amp;" "&amp;I216&amp;" "&amp;J216&amp;IF(K216&lt;&gt;""," ("&amp;K216&amp;")","")))</x:f>
      </x:c>
      <x:c r="M216" s="220"/>
      <x:c r="N216" s="220"/>
      <x:c r="O216" s="220"/>
      <x:c r="P216" s="220"/>
      <x:c r="Q216" s="220"/>
      <x:c r="R216" s="220"/>
      <x:c r="S216" s="220"/>
      <x:c r="T216" s="220"/>
      <x:c r="U216" s="220" t="str">
        <x:f>IF(AND(M216="",O216="",Q216="",S216=""),"",IF(S216&lt;&gt;"",S216,IF(Q216&lt;&gt;"",Q216,IF(O216&lt;&gt;"",O216,M216))))</x:f>
      </x:c>
      <x:c r="V216" s="220" t="str">
        <x:f>IF(AND(N216="",P216="",R216="",T216=""),"",IF(T216&lt;&gt;"",T216,IF(R216&lt;&gt;"",R216,IF(P216&lt;&gt;"",P216,N216))))</x:f>
      </x:c>
      <x:c r="W216" s="221"/>
      <x:c r="X216" s="220"/>
      <x:c r="Y216" s="220"/>
      <x:c r="Z216" s="223"/>
      <x:c r="AA216" s="223"/>
      <x:c r="AB216" s="221"/>
      <x:c r="AC216" s="220"/>
      <x:c r="AD216" s="220"/>
      <x:c r="AE216" s="222"/>
      <x:c r="AF216" s="220"/>
      <x:c r="AG216" s="221"/>
      <x:c r="AH216" s="220"/>
      <x:c r="AI216" s="220"/>
      <x:c r="AJ216" s="222"/>
      <x:c r="AK216" s="220"/>
      <x:c r="AL216" s="220"/>
      <x:c r="AM216" s="220"/>
      <x:c r="AN216" s="220"/>
      <x:c r="AO216" s="220"/>
      <x:c r="AP216" s="220"/>
      <x:c r="AQ216" s="220"/>
      <x:c r="AR216" s="222"/>
      <x:c r="AS216" s="220"/>
      <x:c r="AT216" s="220"/>
      <x:c r="AU216" s="220"/>
      <x:c r="AV216" s="220"/>
      <x:c r="AW216" s="220"/>
      <x:c r="AX216" s="220"/>
      <x:c r="AY216" s="221"/>
      <x:c r="AZ216" s="220"/>
      <x:c r="BA216" s="220" t="str">
        <x:f>IF(AND(A216="",B216="",F216="",H216="",J216="",AW216="",AY216=""),"",IF(OR(B216="skip",AW216="skip"),"SKIP",IF(OR(B216="to_candidate",AW216="proposed_name"),IF(OR(A216="",AX216="",AY216="",COUNTIF($A$6:$A$505,A216)&gt;1),"REVIEW","TO_PROPOSED"),IF(OR(B216="",A216="",F216="",H216="",J216="",U216="",AW216="",COUNTIF($A$6:$A$505,A216)&gt;1,(COUNTIFS('أرقام التواصل'!$A$6:$A$505,"client",'أرقام التواصل'!$B$6:$B$505,A216,'أرقام التواصل'!$I$6:$I$505,"TRUE")+COUNTIFS('أرقام التواصل'!$A$6:$A$505,"client",'أرقام التواصل'!$B$6:$B$505,A216,'أرقام التواصل'!$C$6:$C$505,1))=0),"REVIEW","READY"))))</x:f>
      </x:c>
      <x:c r="BB216" s="224" t="str">
        <x:f>IF(BA216="","",IF(OR(BA216="READY",BA216="TO_PROPOSED"),"",IF(BA216="SKIP","Skipped by decision",TRIM(IF(B216="","missing import_action; ","")&amp;IF(A216="","missing migration_customer_key; ","")&amp;IF(AND(A216&lt;&gt;"",COUNTIF($A$6:$A$505,A216)&gt;1),"duplicate migration_customer_key; ","")&amp;IF(AND(NOT(OR(B216="to_candidate",AW216="proposed_name")),F216=""),"missing branch_id; ","")&amp;IF(AND(NOT(OR(B216="to_candidate",AW216="proposed_name")),H216=""),"missing first_name; ","")&amp;IF(AND(NOT(OR(B216="to_candidate",AW216="proposed_name")),J216=""),"missing last_name; ","")&amp;IF(AND(NOT(OR(B216="to_candidate",AW216="proposed_name")),U216=""),"missing final_geo_unit_id; ","")&amp;IF(AW216="","missing final_destination; ","")&amp;IF(AND(NOT(OR(B216="to_candidate",AW216="proposed_name")),(COUNTIFS('أرقام التواصل'!$A$6:$A$505,"client",'أرقام التواصل'!$B$6:$B$505,A216,'أرقام التواصل'!$I$6:$I$505,"TRUE")+COUNTIFS('أرقام التواصل'!$A$6:$A$505,"client",'أرقام التواصل'!$B$6:$B$505,A216,'أرقام التواصل'!$C$6:$C$505,1))=0),"missing primary contact in أرقام التواصل; ","")&amp;IF(OR(B216="to_candidate",AW216="proposed_name"),IF(AX216="","missing proposed_move_reason; ","")&amp;IF(AY216="","missing proposed_name_key; ",""),"")))))</x:f>
      </x:c>
    </x:row>
    <x:row r="217">
      <x:c r="A217" s="219"/>
      <x:c r="B217" s="220"/>
      <x:c r="C217" s="221"/>
      <x:c r="D217" s="220"/>
      <x:c r="E217" s="222"/>
      <x:c r="F217" s="220"/>
      <x:c r="G217" s="220"/>
      <x:c r="H217" s="220"/>
      <x:c r="I217" s="220"/>
      <x:c r="J217" s="220"/>
      <x:c r="K217" s="220"/>
      <x:c r="L217" s="220" t="str">
        <x:f>IF(TRIM(H217&amp;" "&amp;I217&amp;" "&amp;J217&amp;IF(K217&lt;&gt;""," ("&amp;K217&amp;")",""))="","",TRIM(H217&amp;" "&amp;I217&amp;" "&amp;J217&amp;IF(K217&lt;&gt;""," ("&amp;K217&amp;")","")))</x:f>
      </x:c>
      <x:c r="M217" s="220"/>
      <x:c r="N217" s="220"/>
      <x:c r="O217" s="220"/>
      <x:c r="P217" s="220"/>
      <x:c r="Q217" s="220"/>
      <x:c r="R217" s="220"/>
      <x:c r="S217" s="220"/>
      <x:c r="T217" s="220"/>
      <x:c r="U217" s="220" t="str">
        <x:f>IF(AND(M217="",O217="",Q217="",S217=""),"",IF(S217&lt;&gt;"",S217,IF(Q217&lt;&gt;"",Q217,IF(O217&lt;&gt;"",O217,M217))))</x:f>
      </x:c>
      <x:c r="V217" s="220" t="str">
        <x:f>IF(AND(N217="",P217="",R217="",T217=""),"",IF(T217&lt;&gt;"",T217,IF(R217&lt;&gt;"",R217,IF(P217&lt;&gt;"",P217,N217))))</x:f>
      </x:c>
      <x:c r="W217" s="221"/>
      <x:c r="X217" s="220"/>
      <x:c r="Y217" s="220"/>
      <x:c r="Z217" s="223"/>
      <x:c r="AA217" s="223"/>
      <x:c r="AB217" s="221"/>
      <x:c r="AC217" s="220"/>
      <x:c r="AD217" s="220"/>
      <x:c r="AE217" s="222"/>
      <x:c r="AF217" s="220"/>
      <x:c r="AG217" s="221"/>
      <x:c r="AH217" s="220"/>
      <x:c r="AI217" s="220"/>
      <x:c r="AJ217" s="222"/>
      <x:c r="AK217" s="220"/>
      <x:c r="AL217" s="220"/>
      <x:c r="AM217" s="220"/>
      <x:c r="AN217" s="220"/>
      <x:c r="AO217" s="220"/>
      <x:c r="AP217" s="220"/>
      <x:c r="AQ217" s="220"/>
      <x:c r="AR217" s="222"/>
      <x:c r="AS217" s="220"/>
      <x:c r="AT217" s="220"/>
      <x:c r="AU217" s="220"/>
      <x:c r="AV217" s="220"/>
      <x:c r="AW217" s="220"/>
      <x:c r="AX217" s="220"/>
      <x:c r="AY217" s="221"/>
      <x:c r="AZ217" s="220"/>
      <x:c r="BA217" s="220" t="str">
        <x:f>IF(AND(A217="",B217="",F217="",H217="",J217="",AW217="",AY217=""),"",IF(OR(B217="skip",AW217="skip"),"SKIP",IF(OR(B217="to_candidate",AW217="proposed_name"),IF(OR(A217="",AX217="",AY217="",COUNTIF($A$6:$A$505,A217)&gt;1),"REVIEW","TO_PROPOSED"),IF(OR(B217="",A217="",F217="",H217="",J217="",U217="",AW217="",COUNTIF($A$6:$A$505,A217)&gt;1,(COUNTIFS('أرقام التواصل'!$A$6:$A$505,"client",'أرقام التواصل'!$B$6:$B$505,A217,'أرقام التواصل'!$I$6:$I$505,"TRUE")+COUNTIFS('أرقام التواصل'!$A$6:$A$505,"client",'أرقام التواصل'!$B$6:$B$505,A217,'أرقام التواصل'!$C$6:$C$505,1))=0),"REVIEW","READY"))))</x:f>
      </x:c>
      <x:c r="BB217" s="224" t="str">
        <x:f>IF(BA217="","",IF(OR(BA217="READY",BA217="TO_PROPOSED"),"",IF(BA217="SKIP","Skipped by decision",TRIM(IF(B217="","missing import_action; ","")&amp;IF(A217="","missing migration_customer_key; ","")&amp;IF(AND(A217&lt;&gt;"",COUNTIF($A$6:$A$505,A217)&gt;1),"duplicate migration_customer_key; ","")&amp;IF(AND(NOT(OR(B217="to_candidate",AW217="proposed_name")),F217=""),"missing branch_id; ","")&amp;IF(AND(NOT(OR(B217="to_candidate",AW217="proposed_name")),H217=""),"missing first_name; ","")&amp;IF(AND(NOT(OR(B217="to_candidate",AW217="proposed_name")),J217=""),"missing last_name; ","")&amp;IF(AND(NOT(OR(B217="to_candidate",AW217="proposed_name")),U217=""),"missing final_geo_unit_id; ","")&amp;IF(AW217="","missing final_destination; ","")&amp;IF(AND(NOT(OR(B217="to_candidate",AW217="proposed_name")),(COUNTIFS('أرقام التواصل'!$A$6:$A$505,"client",'أرقام التواصل'!$B$6:$B$505,A217,'أرقام التواصل'!$I$6:$I$505,"TRUE")+COUNTIFS('أرقام التواصل'!$A$6:$A$505,"client",'أرقام التواصل'!$B$6:$B$505,A217,'أرقام التواصل'!$C$6:$C$505,1))=0),"missing primary contact in أرقام التواصل; ","")&amp;IF(OR(B217="to_candidate",AW217="proposed_name"),IF(AX217="","missing proposed_move_reason; ","")&amp;IF(AY217="","missing proposed_name_key; ",""),"")))))</x:f>
      </x:c>
    </x:row>
    <x:row r="218">
      <x:c r="A218" s="219"/>
      <x:c r="B218" s="220"/>
      <x:c r="C218" s="221"/>
      <x:c r="D218" s="220"/>
      <x:c r="E218" s="222"/>
      <x:c r="F218" s="220"/>
      <x:c r="G218" s="220"/>
      <x:c r="H218" s="220"/>
      <x:c r="I218" s="220"/>
      <x:c r="J218" s="220"/>
      <x:c r="K218" s="220"/>
      <x:c r="L218" s="220" t="str">
        <x:f>IF(TRIM(H218&amp;" "&amp;I218&amp;" "&amp;J218&amp;IF(K218&lt;&gt;""," ("&amp;K218&amp;")",""))="","",TRIM(H218&amp;" "&amp;I218&amp;" "&amp;J218&amp;IF(K218&lt;&gt;""," ("&amp;K218&amp;")","")))</x:f>
      </x:c>
      <x:c r="M218" s="220"/>
      <x:c r="N218" s="220"/>
      <x:c r="O218" s="220"/>
      <x:c r="P218" s="220"/>
      <x:c r="Q218" s="220"/>
      <x:c r="R218" s="220"/>
      <x:c r="S218" s="220"/>
      <x:c r="T218" s="220"/>
      <x:c r="U218" s="220" t="str">
        <x:f>IF(AND(M218="",O218="",Q218="",S218=""),"",IF(S218&lt;&gt;"",S218,IF(Q218&lt;&gt;"",Q218,IF(O218&lt;&gt;"",O218,M218))))</x:f>
      </x:c>
      <x:c r="V218" s="220" t="str">
        <x:f>IF(AND(N218="",P218="",R218="",T218=""),"",IF(T218&lt;&gt;"",T218,IF(R218&lt;&gt;"",R218,IF(P218&lt;&gt;"",P218,N218))))</x:f>
      </x:c>
      <x:c r="W218" s="221"/>
      <x:c r="X218" s="220"/>
      <x:c r="Y218" s="220"/>
      <x:c r="Z218" s="223"/>
      <x:c r="AA218" s="223"/>
      <x:c r="AB218" s="221"/>
      <x:c r="AC218" s="220"/>
      <x:c r="AD218" s="220"/>
      <x:c r="AE218" s="222"/>
      <x:c r="AF218" s="220"/>
      <x:c r="AG218" s="221"/>
      <x:c r="AH218" s="220"/>
      <x:c r="AI218" s="220"/>
      <x:c r="AJ218" s="222"/>
      <x:c r="AK218" s="220"/>
      <x:c r="AL218" s="220"/>
      <x:c r="AM218" s="220"/>
      <x:c r="AN218" s="220"/>
      <x:c r="AO218" s="220"/>
      <x:c r="AP218" s="220"/>
      <x:c r="AQ218" s="220"/>
      <x:c r="AR218" s="222"/>
      <x:c r="AS218" s="220"/>
      <x:c r="AT218" s="220"/>
      <x:c r="AU218" s="220"/>
      <x:c r="AV218" s="220"/>
      <x:c r="AW218" s="220"/>
      <x:c r="AX218" s="220"/>
      <x:c r="AY218" s="221"/>
      <x:c r="AZ218" s="220"/>
      <x:c r="BA218" s="220" t="str">
        <x:f>IF(AND(A218="",B218="",F218="",H218="",J218="",AW218="",AY218=""),"",IF(OR(B218="skip",AW218="skip"),"SKIP",IF(OR(B218="to_candidate",AW218="proposed_name"),IF(OR(A218="",AX218="",AY218="",COUNTIF($A$6:$A$505,A218)&gt;1),"REVIEW","TO_PROPOSED"),IF(OR(B218="",A218="",F218="",H218="",J218="",U218="",AW218="",COUNTIF($A$6:$A$505,A218)&gt;1,(COUNTIFS('أرقام التواصل'!$A$6:$A$505,"client",'أرقام التواصل'!$B$6:$B$505,A218,'أرقام التواصل'!$I$6:$I$505,"TRUE")+COUNTIFS('أرقام التواصل'!$A$6:$A$505,"client",'أرقام التواصل'!$B$6:$B$505,A218,'أرقام التواصل'!$C$6:$C$505,1))=0),"REVIEW","READY"))))</x:f>
      </x:c>
      <x:c r="BB218" s="224" t="str">
        <x:f>IF(BA218="","",IF(OR(BA218="READY",BA218="TO_PROPOSED"),"",IF(BA218="SKIP","Skipped by decision",TRIM(IF(B218="","missing import_action; ","")&amp;IF(A218="","missing migration_customer_key; ","")&amp;IF(AND(A218&lt;&gt;"",COUNTIF($A$6:$A$505,A218)&gt;1),"duplicate migration_customer_key; ","")&amp;IF(AND(NOT(OR(B218="to_candidate",AW218="proposed_name")),F218=""),"missing branch_id; ","")&amp;IF(AND(NOT(OR(B218="to_candidate",AW218="proposed_name")),H218=""),"missing first_name; ","")&amp;IF(AND(NOT(OR(B218="to_candidate",AW218="proposed_name")),J218=""),"missing last_name; ","")&amp;IF(AND(NOT(OR(B218="to_candidate",AW218="proposed_name")),U218=""),"missing final_geo_unit_id; ","")&amp;IF(AW218="","missing final_destination; ","")&amp;IF(AND(NOT(OR(B218="to_candidate",AW218="proposed_name")),(COUNTIFS('أرقام التواصل'!$A$6:$A$505,"client",'أرقام التواصل'!$B$6:$B$505,A218,'أرقام التواصل'!$I$6:$I$505,"TRUE")+COUNTIFS('أرقام التواصل'!$A$6:$A$505,"client",'أرقام التواصل'!$B$6:$B$505,A218,'أرقام التواصل'!$C$6:$C$505,1))=0),"missing primary contact in أرقام التواصل; ","")&amp;IF(OR(B218="to_candidate",AW218="proposed_name"),IF(AX218="","missing proposed_move_reason; ","")&amp;IF(AY218="","missing proposed_name_key; ",""),"")))))</x:f>
      </x:c>
    </x:row>
    <x:row r="219">
      <x:c r="A219" s="219"/>
      <x:c r="B219" s="220"/>
      <x:c r="C219" s="221"/>
      <x:c r="D219" s="220"/>
      <x:c r="E219" s="222"/>
      <x:c r="F219" s="220"/>
      <x:c r="G219" s="220"/>
      <x:c r="H219" s="220"/>
      <x:c r="I219" s="220"/>
      <x:c r="J219" s="220"/>
      <x:c r="K219" s="220"/>
      <x:c r="L219" s="220" t="str">
        <x:f>IF(TRIM(H219&amp;" "&amp;I219&amp;" "&amp;J219&amp;IF(K219&lt;&gt;""," ("&amp;K219&amp;")",""))="","",TRIM(H219&amp;" "&amp;I219&amp;" "&amp;J219&amp;IF(K219&lt;&gt;""," ("&amp;K219&amp;")","")))</x:f>
      </x:c>
      <x:c r="M219" s="220"/>
      <x:c r="N219" s="220"/>
      <x:c r="O219" s="220"/>
      <x:c r="P219" s="220"/>
      <x:c r="Q219" s="220"/>
      <x:c r="R219" s="220"/>
      <x:c r="S219" s="220"/>
      <x:c r="T219" s="220"/>
      <x:c r="U219" s="220" t="str">
        <x:f>IF(AND(M219="",O219="",Q219="",S219=""),"",IF(S219&lt;&gt;"",S219,IF(Q219&lt;&gt;"",Q219,IF(O219&lt;&gt;"",O219,M219))))</x:f>
      </x:c>
      <x:c r="V219" s="220" t="str">
        <x:f>IF(AND(N219="",P219="",R219="",T219=""),"",IF(T219&lt;&gt;"",T219,IF(R219&lt;&gt;"",R219,IF(P219&lt;&gt;"",P219,N219))))</x:f>
      </x:c>
      <x:c r="W219" s="221"/>
      <x:c r="X219" s="220"/>
      <x:c r="Y219" s="220"/>
      <x:c r="Z219" s="223"/>
      <x:c r="AA219" s="223"/>
      <x:c r="AB219" s="221"/>
      <x:c r="AC219" s="220"/>
      <x:c r="AD219" s="220"/>
      <x:c r="AE219" s="222"/>
      <x:c r="AF219" s="220"/>
      <x:c r="AG219" s="221"/>
      <x:c r="AH219" s="220"/>
      <x:c r="AI219" s="220"/>
      <x:c r="AJ219" s="222"/>
      <x:c r="AK219" s="220"/>
      <x:c r="AL219" s="220"/>
      <x:c r="AM219" s="220"/>
      <x:c r="AN219" s="220"/>
      <x:c r="AO219" s="220"/>
      <x:c r="AP219" s="220"/>
      <x:c r="AQ219" s="220"/>
      <x:c r="AR219" s="222"/>
      <x:c r="AS219" s="220"/>
      <x:c r="AT219" s="220"/>
      <x:c r="AU219" s="220"/>
      <x:c r="AV219" s="220"/>
      <x:c r="AW219" s="220"/>
      <x:c r="AX219" s="220"/>
      <x:c r="AY219" s="221"/>
      <x:c r="AZ219" s="220"/>
      <x:c r="BA219" s="220" t="str">
        <x:f>IF(AND(A219="",B219="",F219="",H219="",J219="",AW219="",AY219=""),"",IF(OR(B219="skip",AW219="skip"),"SKIP",IF(OR(B219="to_candidate",AW219="proposed_name"),IF(OR(A219="",AX219="",AY219="",COUNTIF($A$6:$A$505,A219)&gt;1),"REVIEW","TO_PROPOSED"),IF(OR(B219="",A219="",F219="",H219="",J219="",U219="",AW219="",COUNTIF($A$6:$A$505,A219)&gt;1,(COUNTIFS('أرقام التواصل'!$A$6:$A$505,"client",'أرقام التواصل'!$B$6:$B$505,A219,'أرقام التواصل'!$I$6:$I$505,"TRUE")+COUNTIFS('أرقام التواصل'!$A$6:$A$505,"client",'أرقام التواصل'!$B$6:$B$505,A219,'أرقام التواصل'!$C$6:$C$505,1))=0),"REVIEW","READY"))))</x:f>
      </x:c>
      <x:c r="BB219" s="224" t="str">
        <x:f>IF(BA219="","",IF(OR(BA219="READY",BA219="TO_PROPOSED"),"",IF(BA219="SKIP","Skipped by decision",TRIM(IF(B219="","missing import_action; ","")&amp;IF(A219="","missing migration_customer_key; ","")&amp;IF(AND(A219&lt;&gt;"",COUNTIF($A$6:$A$505,A219)&gt;1),"duplicate migration_customer_key; ","")&amp;IF(AND(NOT(OR(B219="to_candidate",AW219="proposed_name")),F219=""),"missing branch_id; ","")&amp;IF(AND(NOT(OR(B219="to_candidate",AW219="proposed_name")),H219=""),"missing first_name; ","")&amp;IF(AND(NOT(OR(B219="to_candidate",AW219="proposed_name")),J219=""),"missing last_name; ","")&amp;IF(AND(NOT(OR(B219="to_candidate",AW219="proposed_name")),U219=""),"missing final_geo_unit_id; ","")&amp;IF(AW219="","missing final_destination; ","")&amp;IF(AND(NOT(OR(B219="to_candidate",AW219="proposed_name")),(COUNTIFS('أرقام التواصل'!$A$6:$A$505,"client",'أرقام التواصل'!$B$6:$B$505,A219,'أرقام التواصل'!$I$6:$I$505,"TRUE")+COUNTIFS('أرقام التواصل'!$A$6:$A$505,"client",'أرقام التواصل'!$B$6:$B$505,A219,'أرقام التواصل'!$C$6:$C$505,1))=0),"missing primary contact in أرقام التواصل; ","")&amp;IF(OR(B219="to_candidate",AW219="proposed_name"),IF(AX219="","missing proposed_move_reason; ","")&amp;IF(AY219="","missing proposed_name_key; ",""),"")))))</x:f>
      </x:c>
    </x:row>
    <x:row r="220">
      <x:c r="A220" s="219"/>
      <x:c r="B220" s="220"/>
      <x:c r="C220" s="221"/>
      <x:c r="D220" s="220"/>
      <x:c r="E220" s="222"/>
      <x:c r="F220" s="220"/>
      <x:c r="G220" s="220"/>
      <x:c r="H220" s="220"/>
      <x:c r="I220" s="220"/>
      <x:c r="J220" s="220"/>
      <x:c r="K220" s="220"/>
      <x:c r="L220" s="220" t="str">
        <x:f>IF(TRIM(H220&amp;" "&amp;I220&amp;" "&amp;J220&amp;IF(K220&lt;&gt;""," ("&amp;K220&amp;")",""))="","",TRIM(H220&amp;" "&amp;I220&amp;" "&amp;J220&amp;IF(K220&lt;&gt;""," ("&amp;K220&amp;")","")))</x:f>
      </x:c>
      <x:c r="M220" s="220"/>
      <x:c r="N220" s="220"/>
      <x:c r="O220" s="220"/>
      <x:c r="P220" s="220"/>
      <x:c r="Q220" s="220"/>
      <x:c r="R220" s="220"/>
      <x:c r="S220" s="220"/>
      <x:c r="T220" s="220"/>
      <x:c r="U220" s="220" t="str">
        <x:f>IF(AND(M220="",O220="",Q220="",S220=""),"",IF(S220&lt;&gt;"",S220,IF(Q220&lt;&gt;"",Q220,IF(O220&lt;&gt;"",O220,M220))))</x:f>
      </x:c>
      <x:c r="V220" s="220" t="str">
        <x:f>IF(AND(N220="",P220="",R220="",T220=""),"",IF(T220&lt;&gt;"",T220,IF(R220&lt;&gt;"",R220,IF(P220&lt;&gt;"",P220,N220))))</x:f>
      </x:c>
      <x:c r="W220" s="221"/>
      <x:c r="X220" s="220"/>
      <x:c r="Y220" s="220"/>
      <x:c r="Z220" s="223"/>
      <x:c r="AA220" s="223"/>
      <x:c r="AB220" s="221"/>
      <x:c r="AC220" s="220"/>
      <x:c r="AD220" s="220"/>
      <x:c r="AE220" s="222"/>
      <x:c r="AF220" s="220"/>
      <x:c r="AG220" s="221"/>
      <x:c r="AH220" s="220"/>
      <x:c r="AI220" s="220"/>
      <x:c r="AJ220" s="222"/>
      <x:c r="AK220" s="220"/>
      <x:c r="AL220" s="220"/>
      <x:c r="AM220" s="220"/>
      <x:c r="AN220" s="220"/>
      <x:c r="AO220" s="220"/>
      <x:c r="AP220" s="220"/>
      <x:c r="AQ220" s="220"/>
      <x:c r="AR220" s="222"/>
      <x:c r="AS220" s="220"/>
      <x:c r="AT220" s="220"/>
      <x:c r="AU220" s="220"/>
      <x:c r="AV220" s="220"/>
      <x:c r="AW220" s="220"/>
      <x:c r="AX220" s="220"/>
      <x:c r="AY220" s="221"/>
      <x:c r="AZ220" s="220"/>
      <x:c r="BA220" s="220" t="str">
        <x:f>IF(AND(A220="",B220="",F220="",H220="",J220="",AW220="",AY220=""),"",IF(OR(B220="skip",AW220="skip"),"SKIP",IF(OR(B220="to_candidate",AW220="proposed_name"),IF(OR(A220="",AX220="",AY220="",COUNTIF($A$6:$A$505,A220)&gt;1),"REVIEW","TO_PROPOSED"),IF(OR(B220="",A220="",F220="",H220="",J220="",U220="",AW220="",COUNTIF($A$6:$A$505,A220)&gt;1,(COUNTIFS('أرقام التواصل'!$A$6:$A$505,"client",'أرقام التواصل'!$B$6:$B$505,A220,'أرقام التواصل'!$I$6:$I$505,"TRUE")+COUNTIFS('أرقام التواصل'!$A$6:$A$505,"client",'أرقام التواصل'!$B$6:$B$505,A220,'أرقام التواصل'!$C$6:$C$505,1))=0),"REVIEW","READY"))))</x:f>
      </x:c>
      <x:c r="BB220" s="224" t="str">
        <x:f>IF(BA220="","",IF(OR(BA220="READY",BA220="TO_PROPOSED"),"",IF(BA220="SKIP","Skipped by decision",TRIM(IF(B220="","missing import_action; ","")&amp;IF(A220="","missing migration_customer_key; ","")&amp;IF(AND(A220&lt;&gt;"",COUNTIF($A$6:$A$505,A220)&gt;1),"duplicate migration_customer_key; ","")&amp;IF(AND(NOT(OR(B220="to_candidate",AW220="proposed_name")),F220=""),"missing branch_id; ","")&amp;IF(AND(NOT(OR(B220="to_candidate",AW220="proposed_name")),H220=""),"missing first_name; ","")&amp;IF(AND(NOT(OR(B220="to_candidate",AW220="proposed_name")),J220=""),"missing last_name; ","")&amp;IF(AND(NOT(OR(B220="to_candidate",AW220="proposed_name")),U220=""),"missing final_geo_unit_id; ","")&amp;IF(AW220="","missing final_destination; ","")&amp;IF(AND(NOT(OR(B220="to_candidate",AW220="proposed_name")),(COUNTIFS('أرقام التواصل'!$A$6:$A$505,"client",'أرقام التواصل'!$B$6:$B$505,A220,'أرقام التواصل'!$I$6:$I$505,"TRUE")+COUNTIFS('أرقام التواصل'!$A$6:$A$505,"client",'أرقام التواصل'!$B$6:$B$505,A220,'أرقام التواصل'!$C$6:$C$505,1))=0),"missing primary contact in أرقام التواصل; ","")&amp;IF(OR(B220="to_candidate",AW220="proposed_name"),IF(AX220="","missing proposed_move_reason; ","")&amp;IF(AY220="","missing proposed_name_key; ",""),"")))))</x:f>
      </x:c>
    </x:row>
    <x:row r="221">
      <x:c r="A221" s="219"/>
      <x:c r="B221" s="220"/>
      <x:c r="C221" s="221"/>
      <x:c r="D221" s="220"/>
      <x:c r="E221" s="222"/>
      <x:c r="F221" s="220"/>
      <x:c r="G221" s="220"/>
      <x:c r="H221" s="220"/>
      <x:c r="I221" s="220"/>
      <x:c r="J221" s="220"/>
      <x:c r="K221" s="220"/>
      <x:c r="L221" s="220" t="str">
        <x:f>IF(TRIM(H221&amp;" "&amp;I221&amp;" "&amp;J221&amp;IF(K221&lt;&gt;""," ("&amp;K221&amp;")",""))="","",TRIM(H221&amp;" "&amp;I221&amp;" "&amp;J221&amp;IF(K221&lt;&gt;""," ("&amp;K221&amp;")","")))</x:f>
      </x:c>
      <x:c r="M221" s="220"/>
      <x:c r="N221" s="220"/>
      <x:c r="O221" s="220"/>
      <x:c r="P221" s="220"/>
      <x:c r="Q221" s="220"/>
      <x:c r="R221" s="220"/>
      <x:c r="S221" s="220"/>
      <x:c r="T221" s="220"/>
      <x:c r="U221" s="220" t="str">
        <x:f>IF(AND(M221="",O221="",Q221="",S221=""),"",IF(S221&lt;&gt;"",S221,IF(Q221&lt;&gt;"",Q221,IF(O221&lt;&gt;"",O221,M221))))</x:f>
      </x:c>
      <x:c r="V221" s="220" t="str">
        <x:f>IF(AND(N221="",P221="",R221="",T221=""),"",IF(T221&lt;&gt;"",T221,IF(R221&lt;&gt;"",R221,IF(P221&lt;&gt;"",P221,N221))))</x:f>
      </x:c>
      <x:c r="W221" s="221"/>
      <x:c r="X221" s="220"/>
      <x:c r="Y221" s="220"/>
      <x:c r="Z221" s="223"/>
      <x:c r="AA221" s="223"/>
      <x:c r="AB221" s="221"/>
      <x:c r="AC221" s="220"/>
      <x:c r="AD221" s="220"/>
      <x:c r="AE221" s="222"/>
      <x:c r="AF221" s="220"/>
      <x:c r="AG221" s="221"/>
      <x:c r="AH221" s="220"/>
      <x:c r="AI221" s="220"/>
      <x:c r="AJ221" s="222"/>
      <x:c r="AK221" s="220"/>
      <x:c r="AL221" s="220"/>
      <x:c r="AM221" s="220"/>
      <x:c r="AN221" s="220"/>
      <x:c r="AO221" s="220"/>
      <x:c r="AP221" s="220"/>
      <x:c r="AQ221" s="220"/>
      <x:c r="AR221" s="222"/>
      <x:c r="AS221" s="220"/>
      <x:c r="AT221" s="220"/>
      <x:c r="AU221" s="220"/>
      <x:c r="AV221" s="220"/>
      <x:c r="AW221" s="220"/>
      <x:c r="AX221" s="220"/>
      <x:c r="AY221" s="221"/>
      <x:c r="AZ221" s="220"/>
      <x:c r="BA221" s="220" t="str">
        <x:f>IF(AND(A221="",B221="",F221="",H221="",J221="",AW221="",AY221=""),"",IF(OR(B221="skip",AW221="skip"),"SKIP",IF(OR(B221="to_candidate",AW221="proposed_name"),IF(OR(A221="",AX221="",AY221="",COUNTIF($A$6:$A$505,A221)&gt;1),"REVIEW","TO_PROPOSED"),IF(OR(B221="",A221="",F221="",H221="",J221="",U221="",AW221="",COUNTIF($A$6:$A$505,A221)&gt;1,(COUNTIFS('أرقام التواصل'!$A$6:$A$505,"client",'أرقام التواصل'!$B$6:$B$505,A221,'أرقام التواصل'!$I$6:$I$505,"TRUE")+COUNTIFS('أرقام التواصل'!$A$6:$A$505,"client",'أرقام التواصل'!$B$6:$B$505,A221,'أرقام التواصل'!$C$6:$C$505,1))=0),"REVIEW","READY"))))</x:f>
      </x:c>
      <x:c r="BB221" s="224" t="str">
        <x:f>IF(BA221="","",IF(OR(BA221="READY",BA221="TO_PROPOSED"),"",IF(BA221="SKIP","Skipped by decision",TRIM(IF(B221="","missing import_action; ","")&amp;IF(A221="","missing migration_customer_key; ","")&amp;IF(AND(A221&lt;&gt;"",COUNTIF($A$6:$A$505,A221)&gt;1),"duplicate migration_customer_key; ","")&amp;IF(AND(NOT(OR(B221="to_candidate",AW221="proposed_name")),F221=""),"missing branch_id; ","")&amp;IF(AND(NOT(OR(B221="to_candidate",AW221="proposed_name")),H221=""),"missing first_name; ","")&amp;IF(AND(NOT(OR(B221="to_candidate",AW221="proposed_name")),J221=""),"missing last_name; ","")&amp;IF(AND(NOT(OR(B221="to_candidate",AW221="proposed_name")),U221=""),"missing final_geo_unit_id; ","")&amp;IF(AW221="","missing final_destination; ","")&amp;IF(AND(NOT(OR(B221="to_candidate",AW221="proposed_name")),(COUNTIFS('أرقام التواصل'!$A$6:$A$505,"client",'أرقام التواصل'!$B$6:$B$505,A221,'أرقام التواصل'!$I$6:$I$505,"TRUE")+COUNTIFS('أرقام التواصل'!$A$6:$A$505,"client",'أرقام التواصل'!$B$6:$B$505,A221,'أرقام التواصل'!$C$6:$C$505,1))=0),"missing primary contact in أرقام التواصل; ","")&amp;IF(OR(B221="to_candidate",AW221="proposed_name"),IF(AX221="","missing proposed_move_reason; ","")&amp;IF(AY221="","missing proposed_name_key; ",""),"")))))</x:f>
      </x:c>
    </x:row>
    <x:row r="222">
      <x:c r="A222" s="219"/>
      <x:c r="B222" s="220"/>
      <x:c r="C222" s="221"/>
      <x:c r="D222" s="220"/>
      <x:c r="E222" s="222"/>
      <x:c r="F222" s="220"/>
      <x:c r="G222" s="220"/>
      <x:c r="H222" s="220"/>
      <x:c r="I222" s="220"/>
      <x:c r="J222" s="220"/>
      <x:c r="K222" s="220"/>
      <x:c r="L222" s="220" t="str">
        <x:f>IF(TRIM(H222&amp;" "&amp;I222&amp;" "&amp;J222&amp;IF(K222&lt;&gt;""," ("&amp;K222&amp;")",""))="","",TRIM(H222&amp;" "&amp;I222&amp;" "&amp;J222&amp;IF(K222&lt;&gt;""," ("&amp;K222&amp;")","")))</x:f>
      </x:c>
      <x:c r="M222" s="220"/>
      <x:c r="N222" s="220"/>
      <x:c r="O222" s="220"/>
      <x:c r="P222" s="220"/>
      <x:c r="Q222" s="220"/>
      <x:c r="R222" s="220"/>
      <x:c r="S222" s="220"/>
      <x:c r="T222" s="220"/>
      <x:c r="U222" s="220" t="str">
        <x:f>IF(AND(M222="",O222="",Q222="",S222=""),"",IF(S222&lt;&gt;"",S222,IF(Q222&lt;&gt;"",Q222,IF(O222&lt;&gt;"",O222,M222))))</x:f>
      </x:c>
      <x:c r="V222" s="220" t="str">
        <x:f>IF(AND(N222="",P222="",R222="",T222=""),"",IF(T222&lt;&gt;"",T222,IF(R222&lt;&gt;"",R222,IF(P222&lt;&gt;"",P222,N222))))</x:f>
      </x:c>
      <x:c r="W222" s="221"/>
      <x:c r="X222" s="220"/>
      <x:c r="Y222" s="220"/>
      <x:c r="Z222" s="223"/>
      <x:c r="AA222" s="223"/>
      <x:c r="AB222" s="221"/>
      <x:c r="AC222" s="220"/>
      <x:c r="AD222" s="220"/>
      <x:c r="AE222" s="222"/>
      <x:c r="AF222" s="220"/>
      <x:c r="AG222" s="221"/>
      <x:c r="AH222" s="220"/>
      <x:c r="AI222" s="220"/>
      <x:c r="AJ222" s="222"/>
      <x:c r="AK222" s="220"/>
      <x:c r="AL222" s="220"/>
      <x:c r="AM222" s="220"/>
      <x:c r="AN222" s="220"/>
      <x:c r="AO222" s="220"/>
      <x:c r="AP222" s="220"/>
      <x:c r="AQ222" s="220"/>
      <x:c r="AR222" s="222"/>
      <x:c r="AS222" s="220"/>
      <x:c r="AT222" s="220"/>
      <x:c r="AU222" s="220"/>
      <x:c r="AV222" s="220"/>
      <x:c r="AW222" s="220"/>
      <x:c r="AX222" s="220"/>
      <x:c r="AY222" s="221"/>
      <x:c r="AZ222" s="220"/>
      <x:c r="BA222" s="220" t="str">
        <x:f>IF(AND(A222="",B222="",F222="",H222="",J222="",AW222="",AY222=""),"",IF(OR(B222="skip",AW222="skip"),"SKIP",IF(OR(B222="to_candidate",AW222="proposed_name"),IF(OR(A222="",AX222="",AY222="",COUNTIF($A$6:$A$505,A222)&gt;1),"REVIEW","TO_PROPOSED"),IF(OR(B222="",A222="",F222="",H222="",J222="",U222="",AW222="",COUNTIF($A$6:$A$505,A222)&gt;1,(COUNTIFS('أرقام التواصل'!$A$6:$A$505,"client",'أرقام التواصل'!$B$6:$B$505,A222,'أرقام التواصل'!$I$6:$I$505,"TRUE")+COUNTIFS('أرقام التواصل'!$A$6:$A$505,"client",'أرقام التواصل'!$B$6:$B$505,A222,'أرقام التواصل'!$C$6:$C$505,1))=0),"REVIEW","READY"))))</x:f>
      </x:c>
      <x:c r="BB222" s="224" t="str">
        <x:f>IF(BA222="","",IF(OR(BA222="READY",BA222="TO_PROPOSED"),"",IF(BA222="SKIP","Skipped by decision",TRIM(IF(B222="","missing import_action; ","")&amp;IF(A222="","missing migration_customer_key; ","")&amp;IF(AND(A222&lt;&gt;"",COUNTIF($A$6:$A$505,A222)&gt;1),"duplicate migration_customer_key; ","")&amp;IF(AND(NOT(OR(B222="to_candidate",AW222="proposed_name")),F222=""),"missing branch_id; ","")&amp;IF(AND(NOT(OR(B222="to_candidate",AW222="proposed_name")),H222=""),"missing first_name; ","")&amp;IF(AND(NOT(OR(B222="to_candidate",AW222="proposed_name")),J222=""),"missing last_name; ","")&amp;IF(AND(NOT(OR(B222="to_candidate",AW222="proposed_name")),U222=""),"missing final_geo_unit_id; ","")&amp;IF(AW222="","missing final_destination; ","")&amp;IF(AND(NOT(OR(B222="to_candidate",AW222="proposed_name")),(COUNTIFS('أرقام التواصل'!$A$6:$A$505,"client",'أرقام التواصل'!$B$6:$B$505,A222,'أرقام التواصل'!$I$6:$I$505,"TRUE")+COUNTIFS('أرقام التواصل'!$A$6:$A$505,"client",'أرقام التواصل'!$B$6:$B$505,A222,'أرقام التواصل'!$C$6:$C$505,1))=0),"missing primary contact in أرقام التواصل; ","")&amp;IF(OR(B222="to_candidate",AW222="proposed_name"),IF(AX222="","missing proposed_move_reason; ","")&amp;IF(AY222="","missing proposed_name_key; ",""),"")))))</x:f>
      </x:c>
    </x:row>
    <x:row r="223">
      <x:c r="A223" s="219"/>
      <x:c r="B223" s="220"/>
      <x:c r="C223" s="221"/>
      <x:c r="D223" s="220"/>
      <x:c r="E223" s="222"/>
      <x:c r="F223" s="220"/>
      <x:c r="G223" s="220"/>
      <x:c r="H223" s="220"/>
      <x:c r="I223" s="220"/>
      <x:c r="J223" s="220"/>
      <x:c r="K223" s="220"/>
      <x:c r="L223" s="220" t="str">
        <x:f>IF(TRIM(H223&amp;" "&amp;I223&amp;" "&amp;J223&amp;IF(K223&lt;&gt;""," ("&amp;K223&amp;")",""))="","",TRIM(H223&amp;" "&amp;I223&amp;" "&amp;J223&amp;IF(K223&lt;&gt;""," ("&amp;K223&amp;")","")))</x:f>
      </x:c>
      <x:c r="M223" s="220"/>
      <x:c r="N223" s="220"/>
      <x:c r="O223" s="220"/>
      <x:c r="P223" s="220"/>
      <x:c r="Q223" s="220"/>
      <x:c r="R223" s="220"/>
      <x:c r="S223" s="220"/>
      <x:c r="T223" s="220"/>
      <x:c r="U223" s="220" t="str">
        <x:f>IF(AND(M223="",O223="",Q223="",S223=""),"",IF(S223&lt;&gt;"",S223,IF(Q223&lt;&gt;"",Q223,IF(O223&lt;&gt;"",O223,M223))))</x:f>
      </x:c>
      <x:c r="V223" s="220" t="str">
        <x:f>IF(AND(N223="",P223="",R223="",T223=""),"",IF(T223&lt;&gt;"",T223,IF(R223&lt;&gt;"",R223,IF(P223&lt;&gt;"",P223,N223))))</x:f>
      </x:c>
      <x:c r="W223" s="221"/>
      <x:c r="X223" s="220"/>
      <x:c r="Y223" s="220"/>
      <x:c r="Z223" s="223"/>
      <x:c r="AA223" s="223"/>
      <x:c r="AB223" s="221"/>
      <x:c r="AC223" s="220"/>
      <x:c r="AD223" s="220"/>
      <x:c r="AE223" s="222"/>
      <x:c r="AF223" s="220"/>
      <x:c r="AG223" s="221"/>
      <x:c r="AH223" s="220"/>
      <x:c r="AI223" s="220"/>
      <x:c r="AJ223" s="222"/>
      <x:c r="AK223" s="220"/>
      <x:c r="AL223" s="220"/>
      <x:c r="AM223" s="220"/>
      <x:c r="AN223" s="220"/>
      <x:c r="AO223" s="220"/>
      <x:c r="AP223" s="220"/>
      <x:c r="AQ223" s="220"/>
      <x:c r="AR223" s="222"/>
      <x:c r="AS223" s="220"/>
      <x:c r="AT223" s="220"/>
      <x:c r="AU223" s="220"/>
      <x:c r="AV223" s="220"/>
      <x:c r="AW223" s="220"/>
      <x:c r="AX223" s="220"/>
      <x:c r="AY223" s="221"/>
      <x:c r="AZ223" s="220"/>
      <x:c r="BA223" s="220" t="str">
        <x:f>IF(AND(A223="",B223="",F223="",H223="",J223="",AW223="",AY223=""),"",IF(OR(B223="skip",AW223="skip"),"SKIP",IF(OR(B223="to_candidate",AW223="proposed_name"),IF(OR(A223="",AX223="",AY223="",COUNTIF($A$6:$A$505,A223)&gt;1),"REVIEW","TO_PROPOSED"),IF(OR(B223="",A223="",F223="",H223="",J223="",U223="",AW223="",COUNTIF($A$6:$A$505,A223)&gt;1,(COUNTIFS('أرقام التواصل'!$A$6:$A$505,"client",'أرقام التواصل'!$B$6:$B$505,A223,'أرقام التواصل'!$I$6:$I$505,"TRUE")+COUNTIFS('أرقام التواصل'!$A$6:$A$505,"client",'أرقام التواصل'!$B$6:$B$505,A223,'أرقام التواصل'!$C$6:$C$505,1))=0),"REVIEW","READY"))))</x:f>
      </x:c>
      <x:c r="BB223" s="224" t="str">
        <x:f>IF(BA223="","",IF(OR(BA223="READY",BA223="TO_PROPOSED"),"",IF(BA223="SKIP","Skipped by decision",TRIM(IF(B223="","missing import_action; ","")&amp;IF(A223="","missing migration_customer_key; ","")&amp;IF(AND(A223&lt;&gt;"",COUNTIF($A$6:$A$505,A223)&gt;1),"duplicate migration_customer_key; ","")&amp;IF(AND(NOT(OR(B223="to_candidate",AW223="proposed_name")),F223=""),"missing branch_id; ","")&amp;IF(AND(NOT(OR(B223="to_candidate",AW223="proposed_name")),H223=""),"missing first_name; ","")&amp;IF(AND(NOT(OR(B223="to_candidate",AW223="proposed_name")),J223=""),"missing last_name; ","")&amp;IF(AND(NOT(OR(B223="to_candidate",AW223="proposed_name")),U223=""),"missing final_geo_unit_id; ","")&amp;IF(AW223="","missing final_destination; ","")&amp;IF(AND(NOT(OR(B223="to_candidate",AW223="proposed_name")),(COUNTIFS('أرقام التواصل'!$A$6:$A$505,"client",'أرقام التواصل'!$B$6:$B$505,A223,'أرقام التواصل'!$I$6:$I$505,"TRUE")+COUNTIFS('أرقام التواصل'!$A$6:$A$505,"client",'أرقام التواصل'!$B$6:$B$505,A223,'أرقام التواصل'!$C$6:$C$505,1))=0),"missing primary contact in أرقام التواصل; ","")&amp;IF(OR(B223="to_candidate",AW223="proposed_name"),IF(AX223="","missing proposed_move_reason; ","")&amp;IF(AY223="","missing proposed_name_key; ",""),"")))))</x:f>
      </x:c>
    </x:row>
    <x:row r="224">
      <x:c r="A224" s="219"/>
      <x:c r="B224" s="220"/>
      <x:c r="C224" s="221"/>
      <x:c r="D224" s="220"/>
      <x:c r="E224" s="222"/>
      <x:c r="F224" s="220"/>
      <x:c r="G224" s="220"/>
      <x:c r="H224" s="220"/>
      <x:c r="I224" s="220"/>
      <x:c r="J224" s="220"/>
      <x:c r="K224" s="220"/>
      <x:c r="L224" s="220" t="str">
        <x:f>IF(TRIM(H224&amp;" "&amp;I224&amp;" "&amp;J224&amp;IF(K224&lt;&gt;""," ("&amp;K224&amp;")",""))="","",TRIM(H224&amp;" "&amp;I224&amp;" "&amp;J224&amp;IF(K224&lt;&gt;""," ("&amp;K224&amp;")","")))</x:f>
      </x:c>
      <x:c r="M224" s="220"/>
      <x:c r="N224" s="220"/>
      <x:c r="O224" s="220"/>
      <x:c r="P224" s="220"/>
      <x:c r="Q224" s="220"/>
      <x:c r="R224" s="220"/>
      <x:c r="S224" s="220"/>
      <x:c r="T224" s="220"/>
      <x:c r="U224" s="220" t="str">
        <x:f>IF(AND(M224="",O224="",Q224="",S224=""),"",IF(S224&lt;&gt;"",S224,IF(Q224&lt;&gt;"",Q224,IF(O224&lt;&gt;"",O224,M224))))</x:f>
      </x:c>
      <x:c r="V224" s="220" t="str">
        <x:f>IF(AND(N224="",P224="",R224="",T224=""),"",IF(T224&lt;&gt;"",T224,IF(R224&lt;&gt;"",R224,IF(P224&lt;&gt;"",P224,N224))))</x:f>
      </x:c>
      <x:c r="W224" s="221"/>
      <x:c r="X224" s="220"/>
      <x:c r="Y224" s="220"/>
      <x:c r="Z224" s="223"/>
      <x:c r="AA224" s="223"/>
      <x:c r="AB224" s="221"/>
      <x:c r="AC224" s="220"/>
      <x:c r="AD224" s="220"/>
      <x:c r="AE224" s="222"/>
      <x:c r="AF224" s="220"/>
      <x:c r="AG224" s="221"/>
      <x:c r="AH224" s="220"/>
      <x:c r="AI224" s="220"/>
      <x:c r="AJ224" s="222"/>
      <x:c r="AK224" s="220"/>
      <x:c r="AL224" s="220"/>
      <x:c r="AM224" s="220"/>
      <x:c r="AN224" s="220"/>
      <x:c r="AO224" s="220"/>
      <x:c r="AP224" s="220"/>
      <x:c r="AQ224" s="220"/>
      <x:c r="AR224" s="222"/>
      <x:c r="AS224" s="220"/>
      <x:c r="AT224" s="220"/>
      <x:c r="AU224" s="220"/>
      <x:c r="AV224" s="220"/>
      <x:c r="AW224" s="220"/>
      <x:c r="AX224" s="220"/>
      <x:c r="AY224" s="221"/>
      <x:c r="AZ224" s="220"/>
      <x:c r="BA224" s="220" t="str">
        <x:f>IF(AND(A224="",B224="",F224="",H224="",J224="",AW224="",AY224=""),"",IF(OR(B224="skip",AW224="skip"),"SKIP",IF(OR(B224="to_candidate",AW224="proposed_name"),IF(OR(A224="",AX224="",AY224="",COUNTIF($A$6:$A$505,A224)&gt;1),"REVIEW","TO_PROPOSED"),IF(OR(B224="",A224="",F224="",H224="",J224="",U224="",AW224="",COUNTIF($A$6:$A$505,A224)&gt;1,(COUNTIFS('أرقام التواصل'!$A$6:$A$505,"client",'أرقام التواصل'!$B$6:$B$505,A224,'أرقام التواصل'!$I$6:$I$505,"TRUE")+COUNTIFS('أرقام التواصل'!$A$6:$A$505,"client",'أرقام التواصل'!$B$6:$B$505,A224,'أرقام التواصل'!$C$6:$C$505,1))=0),"REVIEW","READY"))))</x:f>
      </x:c>
      <x:c r="BB224" s="224" t="str">
        <x:f>IF(BA224="","",IF(OR(BA224="READY",BA224="TO_PROPOSED"),"",IF(BA224="SKIP","Skipped by decision",TRIM(IF(B224="","missing import_action; ","")&amp;IF(A224="","missing migration_customer_key; ","")&amp;IF(AND(A224&lt;&gt;"",COUNTIF($A$6:$A$505,A224)&gt;1),"duplicate migration_customer_key; ","")&amp;IF(AND(NOT(OR(B224="to_candidate",AW224="proposed_name")),F224=""),"missing branch_id; ","")&amp;IF(AND(NOT(OR(B224="to_candidate",AW224="proposed_name")),H224=""),"missing first_name; ","")&amp;IF(AND(NOT(OR(B224="to_candidate",AW224="proposed_name")),J224=""),"missing last_name; ","")&amp;IF(AND(NOT(OR(B224="to_candidate",AW224="proposed_name")),U224=""),"missing final_geo_unit_id; ","")&amp;IF(AW224="","missing final_destination; ","")&amp;IF(AND(NOT(OR(B224="to_candidate",AW224="proposed_name")),(COUNTIFS('أرقام التواصل'!$A$6:$A$505,"client",'أرقام التواصل'!$B$6:$B$505,A224,'أرقام التواصل'!$I$6:$I$505,"TRUE")+COUNTIFS('أرقام التواصل'!$A$6:$A$505,"client",'أرقام التواصل'!$B$6:$B$505,A224,'أرقام التواصل'!$C$6:$C$505,1))=0),"missing primary contact in أرقام التواصل; ","")&amp;IF(OR(B224="to_candidate",AW224="proposed_name"),IF(AX224="","missing proposed_move_reason; ","")&amp;IF(AY224="","missing proposed_name_key; ",""),"")))))</x:f>
      </x:c>
    </x:row>
    <x:row r="225">
      <x:c r="A225" s="219"/>
      <x:c r="B225" s="220"/>
      <x:c r="C225" s="221"/>
      <x:c r="D225" s="220"/>
      <x:c r="E225" s="222"/>
      <x:c r="F225" s="220"/>
      <x:c r="G225" s="220"/>
      <x:c r="H225" s="220"/>
      <x:c r="I225" s="220"/>
      <x:c r="J225" s="220"/>
      <x:c r="K225" s="220"/>
      <x:c r="L225" s="220" t="str">
        <x:f>IF(TRIM(H225&amp;" "&amp;I225&amp;" "&amp;J225&amp;IF(K225&lt;&gt;""," ("&amp;K225&amp;")",""))="","",TRIM(H225&amp;" "&amp;I225&amp;" "&amp;J225&amp;IF(K225&lt;&gt;""," ("&amp;K225&amp;")","")))</x:f>
      </x:c>
      <x:c r="M225" s="220"/>
      <x:c r="N225" s="220"/>
      <x:c r="O225" s="220"/>
      <x:c r="P225" s="220"/>
      <x:c r="Q225" s="220"/>
      <x:c r="R225" s="220"/>
      <x:c r="S225" s="220"/>
      <x:c r="T225" s="220"/>
      <x:c r="U225" s="220" t="str">
        <x:f>IF(AND(M225="",O225="",Q225="",S225=""),"",IF(S225&lt;&gt;"",S225,IF(Q225&lt;&gt;"",Q225,IF(O225&lt;&gt;"",O225,M225))))</x:f>
      </x:c>
      <x:c r="V225" s="220" t="str">
        <x:f>IF(AND(N225="",P225="",R225="",T225=""),"",IF(T225&lt;&gt;"",T225,IF(R225&lt;&gt;"",R225,IF(P225&lt;&gt;"",P225,N225))))</x:f>
      </x:c>
      <x:c r="W225" s="221"/>
      <x:c r="X225" s="220"/>
      <x:c r="Y225" s="220"/>
      <x:c r="Z225" s="223"/>
      <x:c r="AA225" s="223"/>
      <x:c r="AB225" s="221"/>
      <x:c r="AC225" s="220"/>
      <x:c r="AD225" s="220"/>
      <x:c r="AE225" s="222"/>
      <x:c r="AF225" s="220"/>
      <x:c r="AG225" s="221"/>
      <x:c r="AH225" s="220"/>
      <x:c r="AI225" s="220"/>
      <x:c r="AJ225" s="222"/>
      <x:c r="AK225" s="220"/>
      <x:c r="AL225" s="220"/>
      <x:c r="AM225" s="220"/>
      <x:c r="AN225" s="220"/>
      <x:c r="AO225" s="220"/>
      <x:c r="AP225" s="220"/>
      <x:c r="AQ225" s="220"/>
      <x:c r="AR225" s="222"/>
      <x:c r="AS225" s="220"/>
      <x:c r="AT225" s="220"/>
      <x:c r="AU225" s="220"/>
      <x:c r="AV225" s="220"/>
      <x:c r="AW225" s="220"/>
      <x:c r="AX225" s="220"/>
      <x:c r="AY225" s="221"/>
      <x:c r="AZ225" s="220"/>
      <x:c r="BA225" s="220" t="str">
        <x:f>IF(AND(A225="",B225="",F225="",H225="",J225="",AW225="",AY225=""),"",IF(OR(B225="skip",AW225="skip"),"SKIP",IF(OR(B225="to_candidate",AW225="proposed_name"),IF(OR(A225="",AX225="",AY225="",COUNTIF($A$6:$A$505,A225)&gt;1),"REVIEW","TO_PROPOSED"),IF(OR(B225="",A225="",F225="",H225="",J225="",U225="",AW225="",COUNTIF($A$6:$A$505,A225)&gt;1,(COUNTIFS('أرقام التواصل'!$A$6:$A$505,"client",'أرقام التواصل'!$B$6:$B$505,A225,'أرقام التواصل'!$I$6:$I$505,"TRUE")+COUNTIFS('أرقام التواصل'!$A$6:$A$505,"client",'أرقام التواصل'!$B$6:$B$505,A225,'أرقام التواصل'!$C$6:$C$505,1))=0),"REVIEW","READY"))))</x:f>
      </x:c>
      <x:c r="BB225" s="224" t="str">
        <x:f>IF(BA225="","",IF(OR(BA225="READY",BA225="TO_PROPOSED"),"",IF(BA225="SKIP","Skipped by decision",TRIM(IF(B225="","missing import_action; ","")&amp;IF(A225="","missing migration_customer_key; ","")&amp;IF(AND(A225&lt;&gt;"",COUNTIF($A$6:$A$505,A225)&gt;1),"duplicate migration_customer_key; ","")&amp;IF(AND(NOT(OR(B225="to_candidate",AW225="proposed_name")),F225=""),"missing branch_id; ","")&amp;IF(AND(NOT(OR(B225="to_candidate",AW225="proposed_name")),H225=""),"missing first_name; ","")&amp;IF(AND(NOT(OR(B225="to_candidate",AW225="proposed_name")),J225=""),"missing last_name; ","")&amp;IF(AND(NOT(OR(B225="to_candidate",AW225="proposed_name")),U225=""),"missing final_geo_unit_id; ","")&amp;IF(AW225="","missing final_destination; ","")&amp;IF(AND(NOT(OR(B225="to_candidate",AW225="proposed_name")),(COUNTIFS('أرقام التواصل'!$A$6:$A$505,"client",'أرقام التواصل'!$B$6:$B$505,A225,'أرقام التواصل'!$I$6:$I$505,"TRUE")+COUNTIFS('أرقام التواصل'!$A$6:$A$505,"client",'أرقام التواصل'!$B$6:$B$505,A225,'أرقام التواصل'!$C$6:$C$505,1))=0),"missing primary contact in أرقام التواصل; ","")&amp;IF(OR(B225="to_candidate",AW225="proposed_name"),IF(AX225="","missing proposed_move_reason; ","")&amp;IF(AY225="","missing proposed_name_key; ",""),"")))))</x:f>
      </x:c>
    </x:row>
    <x:row r="226">
      <x:c r="A226" s="219"/>
      <x:c r="B226" s="220"/>
      <x:c r="C226" s="221"/>
      <x:c r="D226" s="220"/>
      <x:c r="E226" s="222"/>
      <x:c r="F226" s="220"/>
      <x:c r="G226" s="220"/>
      <x:c r="H226" s="220"/>
      <x:c r="I226" s="220"/>
      <x:c r="J226" s="220"/>
      <x:c r="K226" s="220"/>
      <x:c r="L226" s="220" t="str">
        <x:f>IF(TRIM(H226&amp;" "&amp;I226&amp;" "&amp;J226&amp;IF(K226&lt;&gt;""," ("&amp;K226&amp;")",""))="","",TRIM(H226&amp;" "&amp;I226&amp;" "&amp;J226&amp;IF(K226&lt;&gt;""," ("&amp;K226&amp;")","")))</x:f>
      </x:c>
      <x:c r="M226" s="220"/>
      <x:c r="N226" s="220"/>
      <x:c r="O226" s="220"/>
      <x:c r="P226" s="220"/>
      <x:c r="Q226" s="220"/>
      <x:c r="R226" s="220"/>
      <x:c r="S226" s="220"/>
      <x:c r="T226" s="220"/>
      <x:c r="U226" s="220" t="str">
        <x:f>IF(AND(M226="",O226="",Q226="",S226=""),"",IF(S226&lt;&gt;"",S226,IF(Q226&lt;&gt;"",Q226,IF(O226&lt;&gt;"",O226,M226))))</x:f>
      </x:c>
      <x:c r="V226" s="220" t="str">
        <x:f>IF(AND(N226="",P226="",R226="",T226=""),"",IF(T226&lt;&gt;"",T226,IF(R226&lt;&gt;"",R226,IF(P226&lt;&gt;"",P226,N226))))</x:f>
      </x:c>
      <x:c r="W226" s="221"/>
      <x:c r="X226" s="220"/>
      <x:c r="Y226" s="220"/>
      <x:c r="Z226" s="223"/>
      <x:c r="AA226" s="223"/>
      <x:c r="AB226" s="221"/>
      <x:c r="AC226" s="220"/>
      <x:c r="AD226" s="220"/>
      <x:c r="AE226" s="222"/>
      <x:c r="AF226" s="220"/>
      <x:c r="AG226" s="221"/>
      <x:c r="AH226" s="220"/>
      <x:c r="AI226" s="220"/>
      <x:c r="AJ226" s="222"/>
      <x:c r="AK226" s="220"/>
      <x:c r="AL226" s="220"/>
      <x:c r="AM226" s="220"/>
      <x:c r="AN226" s="220"/>
      <x:c r="AO226" s="220"/>
      <x:c r="AP226" s="220"/>
      <x:c r="AQ226" s="220"/>
      <x:c r="AR226" s="222"/>
      <x:c r="AS226" s="220"/>
      <x:c r="AT226" s="220"/>
      <x:c r="AU226" s="220"/>
      <x:c r="AV226" s="220"/>
      <x:c r="AW226" s="220"/>
      <x:c r="AX226" s="220"/>
      <x:c r="AY226" s="221"/>
      <x:c r="AZ226" s="220"/>
      <x:c r="BA226" s="220" t="str">
        <x:f>IF(AND(A226="",B226="",F226="",H226="",J226="",AW226="",AY226=""),"",IF(OR(B226="skip",AW226="skip"),"SKIP",IF(OR(B226="to_candidate",AW226="proposed_name"),IF(OR(A226="",AX226="",AY226="",COUNTIF($A$6:$A$505,A226)&gt;1),"REVIEW","TO_PROPOSED"),IF(OR(B226="",A226="",F226="",H226="",J226="",U226="",AW226="",COUNTIF($A$6:$A$505,A226)&gt;1,(COUNTIFS('أرقام التواصل'!$A$6:$A$505,"client",'أرقام التواصل'!$B$6:$B$505,A226,'أرقام التواصل'!$I$6:$I$505,"TRUE")+COUNTIFS('أرقام التواصل'!$A$6:$A$505,"client",'أرقام التواصل'!$B$6:$B$505,A226,'أرقام التواصل'!$C$6:$C$505,1))=0),"REVIEW","READY"))))</x:f>
      </x:c>
      <x:c r="BB226" s="224" t="str">
        <x:f>IF(BA226="","",IF(OR(BA226="READY",BA226="TO_PROPOSED"),"",IF(BA226="SKIP","Skipped by decision",TRIM(IF(B226="","missing import_action; ","")&amp;IF(A226="","missing migration_customer_key; ","")&amp;IF(AND(A226&lt;&gt;"",COUNTIF($A$6:$A$505,A226)&gt;1),"duplicate migration_customer_key; ","")&amp;IF(AND(NOT(OR(B226="to_candidate",AW226="proposed_name")),F226=""),"missing branch_id; ","")&amp;IF(AND(NOT(OR(B226="to_candidate",AW226="proposed_name")),H226=""),"missing first_name; ","")&amp;IF(AND(NOT(OR(B226="to_candidate",AW226="proposed_name")),J226=""),"missing last_name; ","")&amp;IF(AND(NOT(OR(B226="to_candidate",AW226="proposed_name")),U226=""),"missing final_geo_unit_id; ","")&amp;IF(AW226="","missing final_destination; ","")&amp;IF(AND(NOT(OR(B226="to_candidate",AW226="proposed_name")),(COUNTIFS('أرقام التواصل'!$A$6:$A$505,"client",'أرقام التواصل'!$B$6:$B$505,A226,'أرقام التواصل'!$I$6:$I$505,"TRUE")+COUNTIFS('أرقام التواصل'!$A$6:$A$505,"client",'أرقام التواصل'!$B$6:$B$505,A226,'أرقام التواصل'!$C$6:$C$505,1))=0),"missing primary contact in أرقام التواصل; ","")&amp;IF(OR(B226="to_candidate",AW226="proposed_name"),IF(AX226="","missing proposed_move_reason; ","")&amp;IF(AY226="","missing proposed_name_key; ",""),"")))))</x:f>
      </x:c>
    </x:row>
    <x:row r="227">
      <x:c r="A227" s="219"/>
      <x:c r="B227" s="220"/>
      <x:c r="C227" s="221"/>
      <x:c r="D227" s="220"/>
      <x:c r="E227" s="222"/>
      <x:c r="F227" s="220"/>
      <x:c r="G227" s="220"/>
      <x:c r="H227" s="220"/>
      <x:c r="I227" s="220"/>
      <x:c r="J227" s="220"/>
      <x:c r="K227" s="220"/>
      <x:c r="L227" s="220" t="str">
        <x:f>IF(TRIM(H227&amp;" "&amp;I227&amp;" "&amp;J227&amp;IF(K227&lt;&gt;""," ("&amp;K227&amp;")",""))="","",TRIM(H227&amp;" "&amp;I227&amp;" "&amp;J227&amp;IF(K227&lt;&gt;""," ("&amp;K227&amp;")","")))</x:f>
      </x:c>
      <x:c r="M227" s="220"/>
      <x:c r="N227" s="220"/>
      <x:c r="O227" s="220"/>
      <x:c r="P227" s="220"/>
      <x:c r="Q227" s="220"/>
      <x:c r="R227" s="220"/>
      <x:c r="S227" s="220"/>
      <x:c r="T227" s="220"/>
      <x:c r="U227" s="220" t="str">
        <x:f>IF(AND(M227="",O227="",Q227="",S227=""),"",IF(S227&lt;&gt;"",S227,IF(Q227&lt;&gt;"",Q227,IF(O227&lt;&gt;"",O227,M227))))</x:f>
      </x:c>
      <x:c r="V227" s="220" t="str">
        <x:f>IF(AND(N227="",P227="",R227="",T227=""),"",IF(T227&lt;&gt;"",T227,IF(R227&lt;&gt;"",R227,IF(P227&lt;&gt;"",P227,N227))))</x:f>
      </x:c>
      <x:c r="W227" s="221"/>
      <x:c r="X227" s="220"/>
      <x:c r="Y227" s="220"/>
      <x:c r="Z227" s="223"/>
      <x:c r="AA227" s="223"/>
      <x:c r="AB227" s="221"/>
      <x:c r="AC227" s="220"/>
      <x:c r="AD227" s="220"/>
      <x:c r="AE227" s="222"/>
      <x:c r="AF227" s="220"/>
      <x:c r="AG227" s="221"/>
      <x:c r="AH227" s="220"/>
      <x:c r="AI227" s="220"/>
      <x:c r="AJ227" s="222"/>
      <x:c r="AK227" s="220"/>
      <x:c r="AL227" s="220"/>
      <x:c r="AM227" s="220"/>
      <x:c r="AN227" s="220"/>
      <x:c r="AO227" s="220"/>
      <x:c r="AP227" s="220"/>
      <x:c r="AQ227" s="220"/>
      <x:c r="AR227" s="222"/>
      <x:c r="AS227" s="220"/>
      <x:c r="AT227" s="220"/>
      <x:c r="AU227" s="220"/>
      <x:c r="AV227" s="220"/>
      <x:c r="AW227" s="220"/>
      <x:c r="AX227" s="220"/>
      <x:c r="AY227" s="221"/>
      <x:c r="AZ227" s="220"/>
      <x:c r="BA227" s="220" t="str">
        <x:f>IF(AND(A227="",B227="",F227="",H227="",J227="",AW227="",AY227=""),"",IF(OR(B227="skip",AW227="skip"),"SKIP",IF(OR(B227="to_candidate",AW227="proposed_name"),IF(OR(A227="",AX227="",AY227="",COUNTIF($A$6:$A$505,A227)&gt;1),"REVIEW","TO_PROPOSED"),IF(OR(B227="",A227="",F227="",H227="",J227="",U227="",AW227="",COUNTIF($A$6:$A$505,A227)&gt;1,(COUNTIFS('أرقام التواصل'!$A$6:$A$505,"client",'أرقام التواصل'!$B$6:$B$505,A227,'أرقام التواصل'!$I$6:$I$505,"TRUE")+COUNTIFS('أرقام التواصل'!$A$6:$A$505,"client",'أرقام التواصل'!$B$6:$B$505,A227,'أرقام التواصل'!$C$6:$C$505,1))=0),"REVIEW","READY"))))</x:f>
      </x:c>
      <x:c r="BB227" s="224" t="str">
        <x:f>IF(BA227="","",IF(OR(BA227="READY",BA227="TO_PROPOSED"),"",IF(BA227="SKIP","Skipped by decision",TRIM(IF(B227="","missing import_action; ","")&amp;IF(A227="","missing migration_customer_key; ","")&amp;IF(AND(A227&lt;&gt;"",COUNTIF($A$6:$A$505,A227)&gt;1),"duplicate migration_customer_key; ","")&amp;IF(AND(NOT(OR(B227="to_candidate",AW227="proposed_name")),F227=""),"missing branch_id; ","")&amp;IF(AND(NOT(OR(B227="to_candidate",AW227="proposed_name")),H227=""),"missing first_name; ","")&amp;IF(AND(NOT(OR(B227="to_candidate",AW227="proposed_name")),J227=""),"missing last_name; ","")&amp;IF(AND(NOT(OR(B227="to_candidate",AW227="proposed_name")),U227=""),"missing final_geo_unit_id; ","")&amp;IF(AW227="","missing final_destination; ","")&amp;IF(AND(NOT(OR(B227="to_candidate",AW227="proposed_name")),(COUNTIFS('أرقام التواصل'!$A$6:$A$505,"client",'أرقام التواصل'!$B$6:$B$505,A227,'أرقام التواصل'!$I$6:$I$505,"TRUE")+COUNTIFS('أرقام التواصل'!$A$6:$A$505,"client",'أرقام التواصل'!$B$6:$B$505,A227,'أرقام التواصل'!$C$6:$C$505,1))=0),"missing primary contact in أرقام التواصل; ","")&amp;IF(OR(B227="to_candidate",AW227="proposed_name"),IF(AX227="","missing proposed_move_reason; ","")&amp;IF(AY227="","missing proposed_name_key; ",""),"")))))</x:f>
      </x:c>
    </x:row>
    <x:row r="228">
      <x:c r="A228" s="219"/>
      <x:c r="B228" s="220"/>
      <x:c r="C228" s="221"/>
      <x:c r="D228" s="220"/>
      <x:c r="E228" s="222"/>
      <x:c r="F228" s="220"/>
      <x:c r="G228" s="220"/>
      <x:c r="H228" s="220"/>
      <x:c r="I228" s="220"/>
      <x:c r="J228" s="220"/>
      <x:c r="K228" s="220"/>
      <x:c r="L228" s="220" t="str">
        <x:f>IF(TRIM(H228&amp;" "&amp;I228&amp;" "&amp;J228&amp;IF(K228&lt;&gt;""," ("&amp;K228&amp;")",""))="","",TRIM(H228&amp;" "&amp;I228&amp;" "&amp;J228&amp;IF(K228&lt;&gt;""," ("&amp;K228&amp;")","")))</x:f>
      </x:c>
      <x:c r="M228" s="220"/>
      <x:c r="N228" s="220"/>
      <x:c r="O228" s="220"/>
      <x:c r="P228" s="220"/>
      <x:c r="Q228" s="220"/>
      <x:c r="R228" s="220"/>
      <x:c r="S228" s="220"/>
      <x:c r="T228" s="220"/>
      <x:c r="U228" s="220" t="str">
        <x:f>IF(AND(M228="",O228="",Q228="",S228=""),"",IF(S228&lt;&gt;"",S228,IF(Q228&lt;&gt;"",Q228,IF(O228&lt;&gt;"",O228,M228))))</x:f>
      </x:c>
      <x:c r="V228" s="220" t="str">
        <x:f>IF(AND(N228="",P228="",R228="",T228=""),"",IF(T228&lt;&gt;"",T228,IF(R228&lt;&gt;"",R228,IF(P228&lt;&gt;"",P228,N228))))</x:f>
      </x:c>
      <x:c r="W228" s="221"/>
      <x:c r="X228" s="220"/>
      <x:c r="Y228" s="220"/>
      <x:c r="Z228" s="223"/>
      <x:c r="AA228" s="223"/>
      <x:c r="AB228" s="221"/>
      <x:c r="AC228" s="220"/>
      <x:c r="AD228" s="220"/>
      <x:c r="AE228" s="222"/>
      <x:c r="AF228" s="220"/>
      <x:c r="AG228" s="221"/>
      <x:c r="AH228" s="220"/>
      <x:c r="AI228" s="220"/>
      <x:c r="AJ228" s="222"/>
      <x:c r="AK228" s="220"/>
      <x:c r="AL228" s="220"/>
      <x:c r="AM228" s="220"/>
      <x:c r="AN228" s="220"/>
      <x:c r="AO228" s="220"/>
      <x:c r="AP228" s="220"/>
      <x:c r="AQ228" s="220"/>
      <x:c r="AR228" s="222"/>
      <x:c r="AS228" s="220"/>
      <x:c r="AT228" s="220"/>
      <x:c r="AU228" s="220"/>
      <x:c r="AV228" s="220"/>
      <x:c r="AW228" s="220"/>
      <x:c r="AX228" s="220"/>
      <x:c r="AY228" s="221"/>
      <x:c r="AZ228" s="220"/>
      <x:c r="BA228" s="220" t="str">
        <x:f>IF(AND(A228="",B228="",F228="",H228="",J228="",AW228="",AY228=""),"",IF(OR(B228="skip",AW228="skip"),"SKIP",IF(OR(B228="to_candidate",AW228="proposed_name"),IF(OR(A228="",AX228="",AY228="",COUNTIF($A$6:$A$505,A228)&gt;1),"REVIEW","TO_PROPOSED"),IF(OR(B228="",A228="",F228="",H228="",J228="",U228="",AW228="",COUNTIF($A$6:$A$505,A228)&gt;1,(COUNTIFS('أرقام التواصل'!$A$6:$A$505,"client",'أرقام التواصل'!$B$6:$B$505,A228,'أرقام التواصل'!$I$6:$I$505,"TRUE")+COUNTIFS('أرقام التواصل'!$A$6:$A$505,"client",'أرقام التواصل'!$B$6:$B$505,A228,'أرقام التواصل'!$C$6:$C$505,1))=0),"REVIEW","READY"))))</x:f>
      </x:c>
      <x:c r="BB228" s="224" t="str">
        <x:f>IF(BA228="","",IF(OR(BA228="READY",BA228="TO_PROPOSED"),"",IF(BA228="SKIP","Skipped by decision",TRIM(IF(B228="","missing import_action; ","")&amp;IF(A228="","missing migration_customer_key; ","")&amp;IF(AND(A228&lt;&gt;"",COUNTIF($A$6:$A$505,A228)&gt;1),"duplicate migration_customer_key; ","")&amp;IF(AND(NOT(OR(B228="to_candidate",AW228="proposed_name")),F228=""),"missing branch_id; ","")&amp;IF(AND(NOT(OR(B228="to_candidate",AW228="proposed_name")),H228=""),"missing first_name; ","")&amp;IF(AND(NOT(OR(B228="to_candidate",AW228="proposed_name")),J228=""),"missing last_name; ","")&amp;IF(AND(NOT(OR(B228="to_candidate",AW228="proposed_name")),U228=""),"missing final_geo_unit_id; ","")&amp;IF(AW228="","missing final_destination; ","")&amp;IF(AND(NOT(OR(B228="to_candidate",AW228="proposed_name")),(COUNTIFS('أرقام التواصل'!$A$6:$A$505,"client",'أرقام التواصل'!$B$6:$B$505,A228,'أرقام التواصل'!$I$6:$I$505,"TRUE")+COUNTIFS('أرقام التواصل'!$A$6:$A$505,"client",'أرقام التواصل'!$B$6:$B$505,A228,'أرقام التواصل'!$C$6:$C$505,1))=0),"missing primary contact in أرقام التواصل; ","")&amp;IF(OR(B228="to_candidate",AW228="proposed_name"),IF(AX228="","missing proposed_move_reason; ","")&amp;IF(AY228="","missing proposed_name_key; ",""),"")))))</x:f>
      </x:c>
    </x:row>
    <x:row r="229">
      <x:c r="A229" s="219"/>
      <x:c r="B229" s="220"/>
      <x:c r="C229" s="221"/>
      <x:c r="D229" s="220"/>
      <x:c r="E229" s="222"/>
      <x:c r="F229" s="220"/>
      <x:c r="G229" s="220"/>
      <x:c r="H229" s="220"/>
      <x:c r="I229" s="220"/>
      <x:c r="J229" s="220"/>
      <x:c r="K229" s="220"/>
      <x:c r="L229" s="220" t="str">
        <x:f>IF(TRIM(H229&amp;" "&amp;I229&amp;" "&amp;J229&amp;IF(K229&lt;&gt;""," ("&amp;K229&amp;")",""))="","",TRIM(H229&amp;" "&amp;I229&amp;" "&amp;J229&amp;IF(K229&lt;&gt;""," ("&amp;K229&amp;")","")))</x:f>
      </x:c>
      <x:c r="M229" s="220"/>
      <x:c r="N229" s="220"/>
      <x:c r="O229" s="220"/>
      <x:c r="P229" s="220"/>
      <x:c r="Q229" s="220"/>
      <x:c r="R229" s="220"/>
      <x:c r="S229" s="220"/>
      <x:c r="T229" s="220"/>
      <x:c r="U229" s="220" t="str">
        <x:f>IF(AND(M229="",O229="",Q229="",S229=""),"",IF(S229&lt;&gt;"",S229,IF(Q229&lt;&gt;"",Q229,IF(O229&lt;&gt;"",O229,M229))))</x:f>
      </x:c>
      <x:c r="V229" s="220" t="str">
        <x:f>IF(AND(N229="",P229="",R229="",T229=""),"",IF(T229&lt;&gt;"",T229,IF(R229&lt;&gt;"",R229,IF(P229&lt;&gt;"",P229,N229))))</x:f>
      </x:c>
      <x:c r="W229" s="221"/>
      <x:c r="X229" s="220"/>
      <x:c r="Y229" s="220"/>
      <x:c r="Z229" s="223"/>
      <x:c r="AA229" s="223"/>
      <x:c r="AB229" s="221"/>
      <x:c r="AC229" s="220"/>
      <x:c r="AD229" s="220"/>
      <x:c r="AE229" s="222"/>
      <x:c r="AF229" s="220"/>
      <x:c r="AG229" s="221"/>
      <x:c r="AH229" s="220"/>
      <x:c r="AI229" s="220"/>
      <x:c r="AJ229" s="222"/>
      <x:c r="AK229" s="220"/>
      <x:c r="AL229" s="220"/>
      <x:c r="AM229" s="220"/>
      <x:c r="AN229" s="220"/>
      <x:c r="AO229" s="220"/>
      <x:c r="AP229" s="220"/>
      <x:c r="AQ229" s="220"/>
      <x:c r="AR229" s="222"/>
      <x:c r="AS229" s="220"/>
      <x:c r="AT229" s="220"/>
      <x:c r="AU229" s="220"/>
      <x:c r="AV229" s="220"/>
      <x:c r="AW229" s="220"/>
      <x:c r="AX229" s="220"/>
      <x:c r="AY229" s="221"/>
      <x:c r="AZ229" s="220"/>
      <x:c r="BA229" s="220" t="str">
        <x:f>IF(AND(A229="",B229="",F229="",H229="",J229="",AW229="",AY229=""),"",IF(OR(B229="skip",AW229="skip"),"SKIP",IF(OR(B229="to_candidate",AW229="proposed_name"),IF(OR(A229="",AX229="",AY229="",COUNTIF($A$6:$A$505,A229)&gt;1),"REVIEW","TO_PROPOSED"),IF(OR(B229="",A229="",F229="",H229="",J229="",U229="",AW229="",COUNTIF($A$6:$A$505,A229)&gt;1,(COUNTIFS('أرقام التواصل'!$A$6:$A$505,"client",'أرقام التواصل'!$B$6:$B$505,A229,'أرقام التواصل'!$I$6:$I$505,"TRUE")+COUNTIFS('أرقام التواصل'!$A$6:$A$505,"client",'أرقام التواصل'!$B$6:$B$505,A229,'أرقام التواصل'!$C$6:$C$505,1))=0),"REVIEW","READY"))))</x:f>
      </x:c>
      <x:c r="BB229" s="224" t="str">
        <x:f>IF(BA229="","",IF(OR(BA229="READY",BA229="TO_PROPOSED"),"",IF(BA229="SKIP","Skipped by decision",TRIM(IF(B229="","missing import_action; ","")&amp;IF(A229="","missing migration_customer_key; ","")&amp;IF(AND(A229&lt;&gt;"",COUNTIF($A$6:$A$505,A229)&gt;1),"duplicate migration_customer_key; ","")&amp;IF(AND(NOT(OR(B229="to_candidate",AW229="proposed_name")),F229=""),"missing branch_id; ","")&amp;IF(AND(NOT(OR(B229="to_candidate",AW229="proposed_name")),H229=""),"missing first_name; ","")&amp;IF(AND(NOT(OR(B229="to_candidate",AW229="proposed_name")),J229=""),"missing last_name; ","")&amp;IF(AND(NOT(OR(B229="to_candidate",AW229="proposed_name")),U229=""),"missing final_geo_unit_id; ","")&amp;IF(AW229="","missing final_destination; ","")&amp;IF(AND(NOT(OR(B229="to_candidate",AW229="proposed_name")),(COUNTIFS('أرقام التواصل'!$A$6:$A$505,"client",'أرقام التواصل'!$B$6:$B$505,A229,'أرقام التواصل'!$I$6:$I$505,"TRUE")+COUNTIFS('أرقام التواصل'!$A$6:$A$505,"client",'أرقام التواصل'!$B$6:$B$505,A229,'أرقام التواصل'!$C$6:$C$505,1))=0),"missing primary contact in أرقام التواصل; ","")&amp;IF(OR(B229="to_candidate",AW229="proposed_name"),IF(AX229="","missing proposed_move_reason; ","")&amp;IF(AY229="","missing proposed_name_key; ",""),"")))))</x:f>
      </x:c>
    </x:row>
    <x:row r="230">
      <x:c r="A230" s="219"/>
      <x:c r="B230" s="220"/>
      <x:c r="C230" s="221"/>
      <x:c r="D230" s="220"/>
      <x:c r="E230" s="222"/>
      <x:c r="F230" s="220"/>
      <x:c r="G230" s="220"/>
      <x:c r="H230" s="220"/>
      <x:c r="I230" s="220"/>
      <x:c r="J230" s="220"/>
      <x:c r="K230" s="220"/>
      <x:c r="L230" s="220" t="str">
        <x:f>IF(TRIM(H230&amp;" "&amp;I230&amp;" "&amp;J230&amp;IF(K230&lt;&gt;""," ("&amp;K230&amp;")",""))="","",TRIM(H230&amp;" "&amp;I230&amp;" "&amp;J230&amp;IF(K230&lt;&gt;""," ("&amp;K230&amp;")","")))</x:f>
      </x:c>
      <x:c r="M230" s="220"/>
      <x:c r="N230" s="220"/>
      <x:c r="O230" s="220"/>
      <x:c r="P230" s="220"/>
      <x:c r="Q230" s="220"/>
      <x:c r="R230" s="220"/>
      <x:c r="S230" s="220"/>
      <x:c r="T230" s="220"/>
      <x:c r="U230" s="220" t="str">
        <x:f>IF(AND(M230="",O230="",Q230="",S230=""),"",IF(S230&lt;&gt;"",S230,IF(Q230&lt;&gt;"",Q230,IF(O230&lt;&gt;"",O230,M230))))</x:f>
      </x:c>
      <x:c r="V230" s="220" t="str">
        <x:f>IF(AND(N230="",P230="",R230="",T230=""),"",IF(T230&lt;&gt;"",T230,IF(R230&lt;&gt;"",R230,IF(P230&lt;&gt;"",P230,N230))))</x:f>
      </x:c>
      <x:c r="W230" s="221"/>
      <x:c r="X230" s="220"/>
      <x:c r="Y230" s="220"/>
      <x:c r="Z230" s="223"/>
      <x:c r="AA230" s="223"/>
      <x:c r="AB230" s="221"/>
      <x:c r="AC230" s="220"/>
      <x:c r="AD230" s="220"/>
      <x:c r="AE230" s="222"/>
      <x:c r="AF230" s="220"/>
      <x:c r="AG230" s="221"/>
      <x:c r="AH230" s="220"/>
      <x:c r="AI230" s="220"/>
      <x:c r="AJ230" s="222"/>
      <x:c r="AK230" s="220"/>
      <x:c r="AL230" s="220"/>
      <x:c r="AM230" s="220"/>
      <x:c r="AN230" s="220"/>
      <x:c r="AO230" s="220"/>
      <x:c r="AP230" s="220"/>
      <x:c r="AQ230" s="220"/>
      <x:c r="AR230" s="222"/>
      <x:c r="AS230" s="220"/>
      <x:c r="AT230" s="220"/>
      <x:c r="AU230" s="220"/>
      <x:c r="AV230" s="220"/>
      <x:c r="AW230" s="220"/>
      <x:c r="AX230" s="220"/>
      <x:c r="AY230" s="221"/>
      <x:c r="AZ230" s="220"/>
      <x:c r="BA230" s="220" t="str">
        <x:f>IF(AND(A230="",B230="",F230="",H230="",J230="",AW230="",AY230=""),"",IF(OR(B230="skip",AW230="skip"),"SKIP",IF(OR(B230="to_candidate",AW230="proposed_name"),IF(OR(A230="",AX230="",AY230="",COUNTIF($A$6:$A$505,A230)&gt;1),"REVIEW","TO_PROPOSED"),IF(OR(B230="",A230="",F230="",H230="",J230="",U230="",AW230="",COUNTIF($A$6:$A$505,A230)&gt;1,(COUNTIFS('أرقام التواصل'!$A$6:$A$505,"client",'أرقام التواصل'!$B$6:$B$505,A230,'أرقام التواصل'!$I$6:$I$505,"TRUE")+COUNTIFS('أرقام التواصل'!$A$6:$A$505,"client",'أرقام التواصل'!$B$6:$B$505,A230,'أرقام التواصل'!$C$6:$C$505,1))=0),"REVIEW","READY"))))</x:f>
      </x:c>
      <x:c r="BB230" s="224" t="str">
        <x:f>IF(BA230="","",IF(OR(BA230="READY",BA230="TO_PROPOSED"),"",IF(BA230="SKIP","Skipped by decision",TRIM(IF(B230="","missing import_action; ","")&amp;IF(A230="","missing migration_customer_key; ","")&amp;IF(AND(A230&lt;&gt;"",COUNTIF($A$6:$A$505,A230)&gt;1),"duplicate migration_customer_key; ","")&amp;IF(AND(NOT(OR(B230="to_candidate",AW230="proposed_name")),F230=""),"missing branch_id; ","")&amp;IF(AND(NOT(OR(B230="to_candidate",AW230="proposed_name")),H230=""),"missing first_name; ","")&amp;IF(AND(NOT(OR(B230="to_candidate",AW230="proposed_name")),J230=""),"missing last_name; ","")&amp;IF(AND(NOT(OR(B230="to_candidate",AW230="proposed_name")),U230=""),"missing final_geo_unit_id; ","")&amp;IF(AW230="","missing final_destination; ","")&amp;IF(AND(NOT(OR(B230="to_candidate",AW230="proposed_name")),(COUNTIFS('أرقام التواصل'!$A$6:$A$505,"client",'أرقام التواصل'!$B$6:$B$505,A230,'أرقام التواصل'!$I$6:$I$505,"TRUE")+COUNTIFS('أرقام التواصل'!$A$6:$A$505,"client",'أرقام التواصل'!$B$6:$B$505,A230,'أرقام التواصل'!$C$6:$C$505,1))=0),"missing primary contact in أرقام التواصل; ","")&amp;IF(OR(B230="to_candidate",AW230="proposed_name"),IF(AX230="","missing proposed_move_reason; ","")&amp;IF(AY230="","missing proposed_name_key; ",""),"")))))</x:f>
      </x:c>
    </x:row>
    <x:row r="231">
      <x:c r="A231" s="219"/>
      <x:c r="B231" s="220"/>
      <x:c r="C231" s="221"/>
      <x:c r="D231" s="220"/>
      <x:c r="E231" s="222"/>
      <x:c r="F231" s="220"/>
      <x:c r="G231" s="220"/>
      <x:c r="H231" s="220"/>
      <x:c r="I231" s="220"/>
      <x:c r="J231" s="220"/>
      <x:c r="K231" s="220"/>
      <x:c r="L231" s="220" t="str">
        <x:f>IF(TRIM(H231&amp;" "&amp;I231&amp;" "&amp;J231&amp;IF(K231&lt;&gt;""," ("&amp;K231&amp;")",""))="","",TRIM(H231&amp;" "&amp;I231&amp;" "&amp;J231&amp;IF(K231&lt;&gt;""," ("&amp;K231&amp;")","")))</x:f>
      </x:c>
      <x:c r="M231" s="220"/>
      <x:c r="N231" s="220"/>
      <x:c r="O231" s="220"/>
      <x:c r="P231" s="220"/>
      <x:c r="Q231" s="220"/>
      <x:c r="R231" s="220"/>
      <x:c r="S231" s="220"/>
      <x:c r="T231" s="220"/>
      <x:c r="U231" s="220" t="str">
        <x:f>IF(AND(M231="",O231="",Q231="",S231=""),"",IF(S231&lt;&gt;"",S231,IF(Q231&lt;&gt;"",Q231,IF(O231&lt;&gt;"",O231,M231))))</x:f>
      </x:c>
      <x:c r="V231" s="220" t="str">
        <x:f>IF(AND(N231="",P231="",R231="",T231=""),"",IF(T231&lt;&gt;"",T231,IF(R231&lt;&gt;"",R231,IF(P231&lt;&gt;"",P231,N231))))</x:f>
      </x:c>
      <x:c r="W231" s="221"/>
      <x:c r="X231" s="220"/>
      <x:c r="Y231" s="220"/>
      <x:c r="Z231" s="223"/>
      <x:c r="AA231" s="223"/>
      <x:c r="AB231" s="221"/>
      <x:c r="AC231" s="220"/>
      <x:c r="AD231" s="220"/>
      <x:c r="AE231" s="222"/>
      <x:c r="AF231" s="220"/>
      <x:c r="AG231" s="221"/>
      <x:c r="AH231" s="220"/>
      <x:c r="AI231" s="220"/>
      <x:c r="AJ231" s="222"/>
      <x:c r="AK231" s="220"/>
      <x:c r="AL231" s="220"/>
      <x:c r="AM231" s="220"/>
      <x:c r="AN231" s="220"/>
      <x:c r="AO231" s="220"/>
      <x:c r="AP231" s="220"/>
      <x:c r="AQ231" s="220"/>
      <x:c r="AR231" s="222"/>
      <x:c r="AS231" s="220"/>
      <x:c r="AT231" s="220"/>
      <x:c r="AU231" s="220"/>
      <x:c r="AV231" s="220"/>
      <x:c r="AW231" s="220"/>
      <x:c r="AX231" s="220"/>
      <x:c r="AY231" s="221"/>
      <x:c r="AZ231" s="220"/>
      <x:c r="BA231" s="220" t="str">
        <x:f>IF(AND(A231="",B231="",F231="",H231="",J231="",AW231="",AY231=""),"",IF(OR(B231="skip",AW231="skip"),"SKIP",IF(OR(B231="to_candidate",AW231="proposed_name"),IF(OR(A231="",AX231="",AY231="",COUNTIF($A$6:$A$505,A231)&gt;1),"REVIEW","TO_PROPOSED"),IF(OR(B231="",A231="",F231="",H231="",J231="",U231="",AW231="",COUNTIF($A$6:$A$505,A231)&gt;1,(COUNTIFS('أرقام التواصل'!$A$6:$A$505,"client",'أرقام التواصل'!$B$6:$B$505,A231,'أرقام التواصل'!$I$6:$I$505,"TRUE")+COUNTIFS('أرقام التواصل'!$A$6:$A$505,"client",'أرقام التواصل'!$B$6:$B$505,A231,'أرقام التواصل'!$C$6:$C$505,1))=0),"REVIEW","READY"))))</x:f>
      </x:c>
      <x:c r="BB231" s="224" t="str">
        <x:f>IF(BA231="","",IF(OR(BA231="READY",BA231="TO_PROPOSED"),"",IF(BA231="SKIP","Skipped by decision",TRIM(IF(B231="","missing import_action; ","")&amp;IF(A231="","missing migration_customer_key; ","")&amp;IF(AND(A231&lt;&gt;"",COUNTIF($A$6:$A$505,A231)&gt;1),"duplicate migration_customer_key; ","")&amp;IF(AND(NOT(OR(B231="to_candidate",AW231="proposed_name")),F231=""),"missing branch_id; ","")&amp;IF(AND(NOT(OR(B231="to_candidate",AW231="proposed_name")),H231=""),"missing first_name; ","")&amp;IF(AND(NOT(OR(B231="to_candidate",AW231="proposed_name")),J231=""),"missing last_name; ","")&amp;IF(AND(NOT(OR(B231="to_candidate",AW231="proposed_name")),U231=""),"missing final_geo_unit_id; ","")&amp;IF(AW231="","missing final_destination; ","")&amp;IF(AND(NOT(OR(B231="to_candidate",AW231="proposed_name")),(COUNTIFS('أرقام التواصل'!$A$6:$A$505,"client",'أرقام التواصل'!$B$6:$B$505,A231,'أرقام التواصل'!$I$6:$I$505,"TRUE")+COUNTIFS('أرقام التواصل'!$A$6:$A$505,"client",'أرقام التواصل'!$B$6:$B$505,A231,'أرقام التواصل'!$C$6:$C$505,1))=0),"missing primary contact in أرقام التواصل; ","")&amp;IF(OR(B231="to_candidate",AW231="proposed_name"),IF(AX231="","missing proposed_move_reason; ","")&amp;IF(AY231="","missing proposed_name_key; ",""),"")))))</x:f>
      </x:c>
    </x:row>
    <x:row r="232">
      <x:c r="A232" s="219"/>
      <x:c r="B232" s="220"/>
      <x:c r="C232" s="221"/>
      <x:c r="D232" s="220"/>
      <x:c r="E232" s="222"/>
      <x:c r="F232" s="220"/>
      <x:c r="G232" s="220"/>
      <x:c r="H232" s="220"/>
      <x:c r="I232" s="220"/>
      <x:c r="J232" s="220"/>
      <x:c r="K232" s="220"/>
      <x:c r="L232" s="220" t="str">
        <x:f>IF(TRIM(H232&amp;" "&amp;I232&amp;" "&amp;J232&amp;IF(K232&lt;&gt;""," ("&amp;K232&amp;")",""))="","",TRIM(H232&amp;" "&amp;I232&amp;" "&amp;J232&amp;IF(K232&lt;&gt;""," ("&amp;K232&amp;")","")))</x:f>
      </x:c>
      <x:c r="M232" s="220"/>
      <x:c r="N232" s="220"/>
      <x:c r="O232" s="220"/>
      <x:c r="P232" s="220"/>
      <x:c r="Q232" s="220"/>
      <x:c r="R232" s="220"/>
      <x:c r="S232" s="220"/>
      <x:c r="T232" s="220"/>
      <x:c r="U232" s="220" t="str">
        <x:f>IF(AND(M232="",O232="",Q232="",S232=""),"",IF(S232&lt;&gt;"",S232,IF(Q232&lt;&gt;"",Q232,IF(O232&lt;&gt;"",O232,M232))))</x:f>
      </x:c>
      <x:c r="V232" s="220" t="str">
        <x:f>IF(AND(N232="",P232="",R232="",T232=""),"",IF(T232&lt;&gt;"",T232,IF(R232&lt;&gt;"",R232,IF(P232&lt;&gt;"",P232,N232))))</x:f>
      </x:c>
      <x:c r="W232" s="221"/>
      <x:c r="X232" s="220"/>
      <x:c r="Y232" s="220"/>
      <x:c r="Z232" s="223"/>
      <x:c r="AA232" s="223"/>
      <x:c r="AB232" s="221"/>
      <x:c r="AC232" s="220"/>
      <x:c r="AD232" s="220"/>
      <x:c r="AE232" s="222"/>
      <x:c r="AF232" s="220"/>
      <x:c r="AG232" s="221"/>
      <x:c r="AH232" s="220"/>
      <x:c r="AI232" s="220"/>
      <x:c r="AJ232" s="222"/>
      <x:c r="AK232" s="220"/>
      <x:c r="AL232" s="220"/>
      <x:c r="AM232" s="220"/>
      <x:c r="AN232" s="220"/>
      <x:c r="AO232" s="220"/>
      <x:c r="AP232" s="220"/>
      <x:c r="AQ232" s="220"/>
      <x:c r="AR232" s="222"/>
      <x:c r="AS232" s="220"/>
      <x:c r="AT232" s="220"/>
      <x:c r="AU232" s="220"/>
      <x:c r="AV232" s="220"/>
      <x:c r="AW232" s="220"/>
      <x:c r="AX232" s="220"/>
      <x:c r="AY232" s="221"/>
      <x:c r="AZ232" s="220"/>
      <x:c r="BA232" s="220" t="str">
        <x:f>IF(AND(A232="",B232="",F232="",H232="",J232="",AW232="",AY232=""),"",IF(OR(B232="skip",AW232="skip"),"SKIP",IF(OR(B232="to_candidate",AW232="proposed_name"),IF(OR(A232="",AX232="",AY232="",COUNTIF($A$6:$A$505,A232)&gt;1),"REVIEW","TO_PROPOSED"),IF(OR(B232="",A232="",F232="",H232="",J232="",U232="",AW232="",COUNTIF($A$6:$A$505,A232)&gt;1,(COUNTIFS('أرقام التواصل'!$A$6:$A$505,"client",'أرقام التواصل'!$B$6:$B$505,A232,'أرقام التواصل'!$I$6:$I$505,"TRUE")+COUNTIFS('أرقام التواصل'!$A$6:$A$505,"client",'أرقام التواصل'!$B$6:$B$505,A232,'أرقام التواصل'!$C$6:$C$505,1))=0),"REVIEW","READY"))))</x:f>
      </x:c>
      <x:c r="BB232" s="224" t="str">
        <x:f>IF(BA232="","",IF(OR(BA232="READY",BA232="TO_PROPOSED"),"",IF(BA232="SKIP","Skipped by decision",TRIM(IF(B232="","missing import_action; ","")&amp;IF(A232="","missing migration_customer_key; ","")&amp;IF(AND(A232&lt;&gt;"",COUNTIF($A$6:$A$505,A232)&gt;1),"duplicate migration_customer_key; ","")&amp;IF(AND(NOT(OR(B232="to_candidate",AW232="proposed_name")),F232=""),"missing branch_id; ","")&amp;IF(AND(NOT(OR(B232="to_candidate",AW232="proposed_name")),H232=""),"missing first_name; ","")&amp;IF(AND(NOT(OR(B232="to_candidate",AW232="proposed_name")),J232=""),"missing last_name; ","")&amp;IF(AND(NOT(OR(B232="to_candidate",AW232="proposed_name")),U232=""),"missing final_geo_unit_id; ","")&amp;IF(AW232="","missing final_destination; ","")&amp;IF(AND(NOT(OR(B232="to_candidate",AW232="proposed_name")),(COUNTIFS('أرقام التواصل'!$A$6:$A$505,"client",'أرقام التواصل'!$B$6:$B$505,A232,'أرقام التواصل'!$I$6:$I$505,"TRUE")+COUNTIFS('أرقام التواصل'!$A$6:$A$505,"client",'أرقام التواصل'!$B$6:$B$505,A232,'أرقام التواصل'!$C$6:$C$505,1))=0),"missing primary contact in أرقام التواصل; ","")&amp;IF(OR(B232="to_candidate",AW232="proposed_name"),IF(AX232="","missing proposed_move_reason; ","")&amp;IF(AY232="","missing proposed_name_key; ",""),"")))))</x:f>
      </x:c>
    </x:row>
    <x:row r="233">
      <x:c r="A233" s="219"/>
      <x:c r="B233" s="220"/>
      <x:c r="C233" s="221"/>
      <x:c r="D233" s="220"/>
      <x:c r="E233" s="222"/>
      <x:c r="F233" s="220"/>
      <x:c r="G233" s="220"/>
      <x:c r="H233" s="220"/>
      <x:c r="I233" s="220"/>
      <x:c r="J233" s="220"/>
      <x:c r="K233" s="220"/>
      <x:c r="L233" s="220" t="str">
        <x:f>IF(TRIM(H233&amp;" "&amp;I233&amp;" "&amp;J233&amp;IF(K233&lt;&gt;""," ("&amp;K233&amp;")",""))="","",TRIM(H233&amp;" "&amp;I233&amp;" "&amp;J233&amp;IF(K233&lt;&gt;""," ("&amp;K233&amp;")","")))</x:f>
      </x:c>
      <x:c r="M233" s="220"/>
      <x:c r="N233" s="220"/>
      <x:c r="O233" s="220"/>
      <x:c r="P233" s="220"/>
      <x:c r="Q233" s="220"/>
      <x:c r="R233" s="220"/>
      <x:c r="S233" s="220"/>
      <x:c r="T233" s="220"/>
      <x:c r="U233" s="220" t="str">
        <x:f>IF(AND(M233="",O233="",Q233="",S233=""),"",IF(S233&lt;&gt;"",S233,IF(Q233&lt;&gt;"",Q233,IF(O233&lt;&gt;"",O233,M233))))</x:f>
      </x:c>
      <x:c r="V233" s="220" t="str">
        <x:f>IF(AND(N233="",P233="",R233="",T233=""),"",IF(T233&lt;&gt;"",T233,IF(R233&lt;&gt;"",R233,IF(P233&lt;&gt;"",P233,N233))))</x:f>
      </x:c>
      <x:c r="W233" s="221"/>
      <x:c r="X233" s="220"/>
      <x:c r="Y233" s="220"/>
      <x:c r="Z233" s="223"/>
      <x:c r="AA233" s="223"/>
      <x:c r="AB233" s="221"/>
      <x:c r="AC233" s="220"/>
      <x:c r="AD233" s="220"/>
      <x:c r="AE233" s="222"/>
      <x:c r="AF233" s="220"/>
      <x:c r="AG233" s="221"/>
      <x:c r="AH233" s="220"/>
      <x:c r="AI233" s="220"/>
      <x:c r="AJ233" s="222"/>
      <x:c r="AK233" s="220"/>
      <x:c r="AL233" s="220"/>
      <x:c r="AM233" s="220"/>
      <x:c r="AN233" s="220"/>
      <x:c r="AO233" s="220"/>
      <x:c r="AP233" s="220"/>
      <x:c r="AQ233" s="220"/>
      <x:c r="AR233" s="222"/>
      <x:c r="AS233" s="220"/>
      <x:c r="AT233" s="220"/>
      <x:c r="AU233" s="220"/>
      <x:c r="AV233" s="220"/>
      <x:c r="AW233" s="220"/>
      <x:c r="AX233" s="220"/>
      <x:c r="AY233" s="221"/>
      <x:c r="AZ233" s="220"/>
      <x:c r="BA233" s="220" t="str">
        <x:f>IF(AND(A233="",B233="",F233="",H233="",J233="",AW233="",AY233=""),"",IF(OR(B233="skip",AW233="skip"),"SKIP",IF(OR(B233="to_candidate",AW233="proposed_name"),IF(OR(A233="",AX233="",AY233="",COUNTIF($A$6:$A$505,A233)&gt;1),"REVIEW","TO_PROPOSED"),IF(OR(B233="",A233="",F233="",H233="",J233="",U233="",AW233="",COUNTIF($A$6:$A$505,A233)&gt;1,(COUNTIFS('أرقام التواصل'!$A$6:$A$505,"client",'أرقام التواصل'!$B$6:$B$505,A233,'أرقام التواصل'!$I$6:$I$505,"TRUE")+COUNTIFS('أرقام التواصل'!$A$6:$A$505,"client",'أرقام التواصل'!$B$6:$B$505,A233,'أرقام التواصل'!$C$6:$C$505,1))=0),"REVIEW","READY"))))</x:f>
      </x:c>
      <x:c r="BB233" s="224" t="str">
        <x:f>IF(BA233="","",IF(OR(BA233="READY",BA233="TO_PROPOSED"),"",IF(BA233="SKIP","Skipped by decision",TRIM(IF(B233="","missing import_action; ","")&amp;IF(A233="","missing migration_customer_key; ","")&amp;IF(AND(A233&lt;&gt;"",COUNTIF($A$6:$A$505,A233)&gt;1),"duplicate migration_customer_key; ","")&amp;IF(AND(NOT(OR(B233="to_candidate",AW233="proposed_name")),F233=""),"missing branch_id; ","")&amp;IF(AND(NOT(OR(B233="to_candidate",AW233="proposed_name")),H233=""),"missing first_name; ","")&amp;IF(AND(NOT(OR(B233="to_candidate",AW233="proposed_name")),J233=""),"missing last_name; ","")&amp;IF(AND(NOT(OR(B233="to_candidate",AW233="proposed_name")),U233=""),"missing final_geo_unit_id; ","")&amp;IF(AW233="","missing final_destination; ","")&amp;IF(AND(NOT(OR(B233="to_candidate",AW233="proposed_name")),(COUNTIFS('أرقام التواصل'!$A$6:$A$505,"client",'أرقام التواصل'!$B$6:$B$505,A233,'أرقام التواصل'!$I$6:$I$505,"TRUE")+COUNTIFS('أرقام التواصل'!$A$6:$A$505,"client",'أرقام التواصل'!$B$6:$B$505,A233,'أرقام التواصل'!$C$6:$C$505,1))=0),"missing primary contact in أرقام التواصل; ","")&amp;IF(OR(B233="to_candidate",AW233="proposed_name"),IF(AX233="","missing proposed_move_reason; ","")&amp;IF(AY233="","missing proposed_name_key; ",""),"")))))</x:f>
      </x:c>
    </x:row>
    <x:row r="234">
      <x:c r="A234" s="219"/>
      <x:c r="B234" s="220"/>
      <x:c r="C234" s="221"/>
      <x:c r="D234" s="220"/>
      <x:c r="E234" s="222"/>
      <x:c r="F234" s="220"/>
      <x:c r="G234" s="220"/>
      <x:c r="H234" s="220"/>
      <x:c r="I234" s="220"/>
      <x:c r="J234" s="220"/>
      <x:c r="K234" s="220"/>
      <x:c r="L234" s="220" t="str">
        <x:f>IF(TRIM(H234&amp;" "&amp;I234&amp;" "&amp;J234&amp;IF(K234&lt;&gt;""," ("&amp;K234&amp;")",""))="","",TRIM(H234&amp;" "&amp;I234&amp;" "&amp;J234&amp;IF(K234&lt;&gt;""," ("&amp;K234&amp;")","")))</x:f>
      </x:c>
      <x:c r="M234" s="220"/>
      <x:c r="N234" s="220"/>
      <x:c r="O234" s="220"/>
      <x:c r="P234" s="220"/>
      <x:c r="Q234" s="220"/>
      <x:c r="R234" s="220"/>
      <x:c r="S234" s="220"/>
      <x:c r="T234" s="220"/>
      <x:c r="U234" s="220" t="str">
        <x:f>IF(AND(M234="",O234="",Q234="",S234=""),"",IF(S234&lt;&gt;"",S234,IF(Q234&lt;&gt;"",Q234,IF(O234&lt;&gt;"",O234,M234))))</x:f>
      </x:c>
      <x:c r="V234" s="220" t="str">
        <x:f>IF(AND(N234="",P234="",R234="",T234=""),"",IF(T234&lt;&gt;"",T234,IF(R234&lt;&gt;"",R234,IF(P234&lt;&gt;"",P234,N234))))</x:f>
      </x:c>
      <x:c r="W234" s="221"/>
      <x:c r="X234" s="220"/>
      <x:c r="Y234" s="220"/>
      <x:c r="Z234" s="223"/>
      <x:c r="AA234" s="223"/>
      <x:c r="AB234" s="221"/>
      <x:c r="AC234" s="220"/>
      <x:c r="AD234" s="220"/>
      <x:c r="AE234" s="222"/>
      <x:c r="AF234" s="220"/>
      <x:c r="AG234" s="221"/>
      <x:c r="AH234" s="220"/>
      <x:c r="AI234" s="220"/>
      <x:c r="AJ234" s="222"/>
      <x:c r="AK234" s="220"/>
      <x:c r="AL234" s="220"/>
      <x:c r="AM234" s="220"/>
      <x:c r="AN234" s="220"/>
      <x:c r="AO234" s="220"/>
      <x:c r="AP234" s="220"/>
      <x:c r="AQ234" s="220"/>
      <x:c r="AR234" s="222"/>
      <x:c r="AS234" s="220"/>
      <x:c r="AT234" s="220"/>
      <x:c r="AU234" s="220"/>
      <x:c r="AV234" s="220"/>
      <x:c r="AW234" s="220"/>
      <x:c r="AX234" s="220"/>
      <x:c r="AY234" s="221"/>
      <x:c r="AZ234" s="220"/>
      <x:c r="BA234" s="220" t="str">
        <x:f>IF(AND(A234="",B234="",F234="",H234="",J234="",AW234="",AY234=""),"",IF(OR(B234="skip",AW234="skip"),"SKIP",IF(OR(B234="to_candidate",AW234="proposed_name"),IF(OR(A234="",AX234="",AY234="",COUNTIF($A$6:$A$505,A234)&gt;1),"REVIEW","TO_PROPOSED"),IF(OR(B234="",A234="",F234="",H234="",J234="",U234="",AW234="",COUNTIF($A$6:$A$505,A234)&gt;1,(COUNTIFS('أرقام التواصل'!$A$6:$A$505,"client",'أرقام التواصل'!$B$6:$B$505,A234,'أرقام التواصل'!$I$6:$I$505,"TRUE")+COUNTIFS('أرقام التواصل'!$A$6:$A$505,"client",'أرقام التواصل'!$B$6:$B$505,A234,'أرقام التواصل'!$C$6:$C$505,1))=0),"REVIEW","READY"))))</x:f>
      </x:c>
      <x:c r="BB234" s="224" t="str">
        <x:f>IF(BA234="","",IF(OR(BA234="READY",BA234="TO_PROPOSED"),"",IF(BA234="SKIP","Skipped by decision",TRIM(IF(B234="","missing import_action; ","")&amp;IF(A234="","missing migration_customer_key; ","")&amp;IF(AND(A234&lt;&gt;"",COUNTIF($A$6:$A$505,A234)&gt;1),"duplicate migration_customer_key; ","")&amp;IF(AND(NOT(OR(B234="to_candidate",AW234="proposed_name")),F234=""),"missing branch_id; ","")&amp;IF(AND(NOT(OR(B234="to_candidate",AW234="proposed_name")),H234=""),"missing first_name; ","")&amp;IF(AND(NOT(OR(B234="to_candidate",AW234="proposed_name")),J234=""),"missing last_name; ","")&amp;IF(AND(NOT(OR(B234="to_candidate",AW234="proposed_name")),U234=""),"missing final_geo_unit_id; ","")&amp;IF(AW234="","missing final_destination; ","")&amp;IF(AND(NOT(OR(B234="to_candidate",AW234="proposed_name")),(COUNTIFS('أرقام التواصل'!$A$6:$A$505,"client",'أرقام التواصل'!$B$6:$B$505,A234,'أرقام التواصل'!$I$6:$I$505,"TRUE")+COUNTIFS('أرقام التواصل'!$A$6:$A$505,"client",'أرقام التواصل'!$B$6:$B$505,A234,'أرقام التواصل'!$C$6:$C$505,1))=0),"missing primary contact in أرقام التواصل; ","")&amp;IF(OR(B234="to_candidate",AW234="proposed_name"),IF(AX234="","missing proposed_move_reason; ","")&amp;IF(AY234="","missing proposed_name_key; ",""),"")))))</x:f>
      </x:c>
    </x:row>
    <x:row r="235">
      <x:c r="A235" s="219"/>
      <x:c r="B235" s="220"/>
      <x:c r="C235" s="221"/>
      <x:c r="D235" s="220"/>
      <x:c r="E235" s="222"/>
      <x:c r="F235" s="220"/>
      <x:c r="G235" s="220"/>
      <x:c r="H235" s="220"/>
      <x:c r="I235" s="220"/>
      <x:c r="J235" s="220"/>
      <x:c r="K235" s="220"/>
      <x:c r="L235" s="220" t="str">
        <x:f>IF(TRIM(H235&amp;" "&amp;I235&amp;" "&amp;J235&amp;IF(K235&lt;&gt;""," ("&amp;K235&amp;")",""))="","",TRIM(H235&amp;" "&amp;I235&amp;" "&amp;J235&amp;IF(K235&lt;&gt;""," ("&amp;K235&amp;")","")))</x:f>
      </x:c>
      <x:c r="M235" s="220"/>
      <x:c r="N235" s="220"/>
      <x:c r="O235" s="220"/>
      <x:c r="P235" s="220"/>
      <x:c r="Q235" s="220"/>
      <x:c r="R235" s="220"/>
      <x:c r="S235" s="220"/>
      <x:c r="T235" s="220"/>
      <x:c r="U235" s="220" t="str">
        <x:f>IF(AND(M235="",O235="",Q235="",S235=""),"",IF(S235&lt;&gt;"",S235,IF(Q235&lt;&gt;"",Q235,IF(O235&lt;&gt;"",O235,M235))))</x:f>
      </x:c>
      <x:c r="V235" s="220" t="str">
        <x:f>IF(AND(N235="",P235="",R235="",T235=""),"",IF(T235&lt;&gt;"",T235,IF(R235&lt;&gt;"",R235,IF(P235&lt;&gt;"",P235,N235))))</x:f>
      </x:c>
      <x:c r="W235" s="221"/>
      <x:c r="X235" s="220"/>
      <x:c r="Y235" s="220"/>
      <x:c r="Z235" s="223"/>
      <x:c r="AA235" s="223"/>
      <x:c r="AB235" s="221"/>
      <x:c r="AC235" s="220"/>
      <x:c r="AD235" s="220"/>
      <x:c r="AE235" s="222"/>
      <x:c r="AF235" s="220"/>
      <x:c r="AG235" s="221"/>
      <x:c r="AH235" s="220"/>
      <x:c r="AI235" s="220"/>
      <x:c r="AJ235" s="222"/>
      <x:c r="AK235" s="220"/>
      <x:c r="AL235" s="220"/>
      <x:c r="AM235" s="220"/>
      <x:c r="AN235" s="220"/>
      <x:c r="AO235" s="220"/>
      <x:c r="AP235" s="220"/>
      <x:c r="AQ235" s="220"/>
      <x:c r="AR235" s="222"/>
      <x:c r="AS235" s="220"/>
      <x:c r="AT235" s="220"/>
      <x:c r="AU235" s="220"/>
      <x:c r="AV235" s="220"/>
      <x:c r="AW235" s="220"/>
      <x:c r="AX235" s="220"/>
      <x:c r="AY235" s="221"/>
      <x:c r="AZ235" s="220"/>
      <x:c r="BA235" s="220" t="str">
        <x:f>IF(AND(A235="",B235="",F235="",H235="",J235="",AW235="",AY235=""),"",IF(OR(B235="skip",AW235="skip"),"SKIP",IF(OR(B235="to_candidate",AW235="proposed_name"),IF(OR(A235="",AX235="",AY235="",COUNTIF($A$6:$A$505,A235)&gt;1),"REVIEW","TO_PROPOSED"),IF(OR(B235="",A235="",F235="",H235="",J235="",U235="",AW235="",COUNTIF($A$6:$A$505,A235)&gt;1,(COUNTIFS('أرقام التواصل'!$A$6:$A$505,"client",'أرقام التواصل'!$B$6:$B$505,A235,'أرقام التواصل'!$I$6:$I$505,"TRUE")+COUNTIFS('أرقام التواصل'!$A$6:$A$505,"client",'أرقام التواصل'!$B$6:$B$505,A235,'أرقام التواصل'!$C$6:$C$505,1))=0),"REVIEW","READY"))))</x:f>
      </x:c>
      <x:c r="BB235" s="224" t="str">
        <x:f>IF(BA235="","",IF(OR(BA235="READY",BA235="TO_PROPOSED"),"",IF(BA235="SKIP","Skipped by decision",TRIM(IF(B235="","missing import_action; ","")&amp;IF(A235="","missing migration_customer_key; ","")&amp;IF(AND(A235&lt;&gt;"",COUNTIF($A$6:$A$505,A235)&gt;1),"duplicate migration_customer_key; ","")&amp;IF(AND(NOT(OR(B235="to_candidate",AW235="proposed_name")),F235=""),"missing branch_id; ","")&amp;IF(AND(NOT(OR(B235="to_candidate",AW235="proposed_name")),H235=""),"missing first_name; ","")&amp;IF(AND(NOT(OR(B235="to_candidate",AW235="proposed_name")),J235=""),"missing last_name; ","")&amp;IF(AND(NOT(OR(B235="to_candidate",AW235="proposed_name")),U235=""),"missing final_geo_unit_id; ","")&amp;IF(AW235="","missing final_destination; ","")&amp;IF(AND(NOT(OR(B235="to_candidate",AW235="proposed_name")),(COUNTIFS('أرقام التواصل'!$A$6:$A$505,"client",'أرقام التواصل'!$B$6:$B$505,A235,'أرقام التواصل'!$I$6:$I$505,"TRUE")+COUNTIFS('أرقام التواصل'!$A$6:$A$505,"client",'أرقام التواصل'!$B$6:$B$505,A235,'أرقام التواصل'!$C$6:$C$505,1))=0),"missing primary contact in أرقام التواصل; ","")&amp;IF(OR(B235="to_candidate",AW235="proposed_name"),IF(AX235="","missing proposed_move_reason; ","")&amp;IF(AY235="","missing proposed_name_key; ",""),"")))))</x:f>
      </x:c>
    </x:row>
    <x:row r="236">
      <x:c r="A236" s="219"/>
      <x:c r="B236" s="220"/>
      <x:c r="C236" s="221"/>
      <x:c r="D236" s="220"/>
      <x:c r="E236" s="222"/>
      <x:c r="F236" s="220"/>
      <x:c r="G236" s="220"/>
      <x:c r="H236" s="220"/>
      <x:c r="I236" s="220"/>
      <x:c r="J236" s="220"/>
      <x:c r="K236" s="220"/>
      <x:c r="L236" s="220" t="str">
        <x:f>IF(TRIM(H236&amp;" "&amp;I236&amp;" "&amp;J236&amp;IF(K236&lt;&gt;""," ("&amp;K236&amp;")",""))="","",TRIM(H236&amp;" "&amp;I236&amp;" "&amp;J236&amp;IF(K236&lt;&gt;""," ("&amp;K236&amp;")","")))</x:f>
      </x:c>
      <x:c r="M236" s="220"/>
      <x:c r="N236" s="220"/>
      <x:c r="O236" s="220"/>
      <x:c r="P236" s="220"/>
      <x:c r="Q236" s="220"/>
      <x:c r="R236" s="220"/>
      <x:c r="S236" s="220"/>
      <x:c r="T236" s="220"/>
      <x:c r="U236" s="220" t="str">
        <x:f>IF(AND(M236="",O236="",Q236="",S236=""),"",IF(S236&lt;&gt;"",S236,IF(Q236&lt;&gt;"",Q236,IF(O236&lt;&gt;"",O236,M236))))</x:f>
      </x:c>
      <x:c r="V236" s="220" t="str">
        <x:f>IF(AND(N236="",P236="",R236="",T236=""),"",IF(T236&lt;&gt;"",T236,IF(R236&lt;&gt;"",R236,IF(P236&lt;&gt;"",P236,N236))))</x:f>
      </x:c>
      <x:c r="W236" s="221"/>
      <x:c r="X236" s="220"/>
      <x:c r="Y236" s="220"/>
      <x:c r="Z236" s="223"/>
      <x:c r="AA236" s="223"/>
      <x:c r="AB236" s="221"/>
      <x:c r="AC236" s="220"/>
      <x:c r="AD236" s="220"/>
      <x:c r="AE236" s="222"/>
      <x:c r="AF236" s="220"/>
      <x:c r="AG236" s="221"/>
      <x:c r="AH236" s="220"/>
      <x:c r="AI236" s="220"/>
      <x:c r="AJ236" s="222"/>
      <x:c r="AK236" s="220"/>
      <x:c r="AL236" s="220"/>
      <x:c r="AM236" s="220"/>
      <x:c r="AN236" s="220"/>
      <x:c r="AO236" s="220"/>
      <x:c r="AP236" s="220"/>
      <x:c r="AQ236" s="220"/>
      <x:c r="AR236" s="222"/>
      <x:c r="AS236" s="220"/>
      <x:c r="AT236" s="220"/>
      <x:c r="AU236" s="220"/>
      <x:c r="AV236" s="220"/>
      <x:c r="AW236" s="220"/>
      <x:c r="AX236" s="220"/>
      <x:c r="AY236" s="221"/>
      <x:c r="AZ236" s="220"/>
      <x:c r="BA236" s="220" t="str">
        <x:f>IF(AND(A236="",B236="",F236="",H236="",J236="",AW236="",AY236=""),"",IF(OR(B236="skip",AW236="skip"),"SKIP",IF(OR(B236="to_candidate",AW236="proposed_name"),IF(OR(A236="",AX236="",AY236="",COUNTIF($A$6:$A$505,A236)&gt;1),"REVIEW","TO_PROPOSED"),IF(OR(B236="",A236="",F236="",H236="",J236="",U236="",AW236="",COUNTIF($A$6:$A$505,A236)&gt;1,(COUNTIFS('أرقام التواصل'!$A$6:$A$505,"client",'أرقام التواصل'!$B$6:$B$505,A236,'أرقام التواصل'!$I$6:$I$505,"TRUE")+COUNTIFS('أرقام التواصل'!$A$6:$A$505,"client",'أرقام التواصل'!$B$6:$B$505,A236,'أرقام التواصل'!$C$6:$C$505,1))=0),"REVIEW","READY"))))</x:f>
      </x:c>
      <x:c r="BB236" s="224" t="str">
        <x:f>IF(BA236="","",IF(OR(BA236="READY",BA236="TO_PROPOSED"),"",IF(BA236="SKIP","Skipped by decision",TRIM(IF(B236="","missing import_action; ","")&amp;IF(A236="","missing migration_customer_key; ","")&amp;IF(AND(A236&lt;&gt;"",COUNTIF($A$6:$A$505,A236)&gt;1),"duplicate migration_customer_key; ","")&amp;IF(AND(NOT(OR(B236="to_candidate",AW236="proposed_name")),F236=""),"missing branch_id; ","")&amp;IF(AND(NOT(OR(B236="to_candidate",AW236="proposed_name")),H236=""),"missing first_name; ","")&amp;IF(AND(NOT(OR(B236="to_candidate",AW236="proposed_name")),J236=""),"missing last_name; ","")&amp;IF(AND(NOT(OR(B236="to_candidate",AW236="proposed_name")),U236=""),"missing final_geo_unit_id; ","")&amp;IF(AW236="","missing final_destination; ","")&amp;IF(AND(NOT(OR(B236="to_candidate",AW236="proposed_name")),(COUNTIFS('أرقام التواصل'!$A$6:$A$505,"client",'أرقام التواصل'!$B$6:$B$505,A236,'أرقام التواصل'!$I$6:$I$505,"TRUE")+COUNTIFS('أرقام التواصل'!$A$6:$A$505,"client",'أرقام التواصل'!$B$6:$B$505,A236,'أرقام التواصل'!$C$6:$C$505,1))=0),"missing primary contact in أرقام التواصل; ","")&amp;IF(OR(B236="to_candidate",AW236="proposed_name"),IF(AX236="","missing proposed_move_reason; ","")&amp;IF(AY236="","missing proposed_name_key; ",""),"")))))</x:f>
      </x:c>
    </x:row>
    <x:row r="237">
      <x:c r="A237" s="219"/>
      <x:c r="B237" s="220"/>
      <x:c r="C237" s="221"/>
      <x:c r="D237" s="220"/>
      <x:c r="E237" s="222"/>
      <x:c r="F237" s="220"/>
      <x:c r="G237" s="220"/>
      <x:c r="H237" s="220"/>
      <x:c r="I237" s="220"/>
      <x:c r="J237" s="220"/>
      <x:c r="K237" s="220"/>
      <x:c r="L237" s="220" t="str">
        <x:f>IF(TRIM(H237&amp;" "&amp;I237&amp;" "&amp;J237&amp;IF(K237&lt;&gt;""," ("&amp;K237&amp;")",""))="","",TRIM(H237&amp;" "&amp;I237&amp;" "&amp;J237&amp;IF(K237&lt;&gt;""," ("&amp;K237&amp;")","")))</x:f>
      </x:c>
      <x:c r="M237" s="220"/>
      <x:c r="N237" s="220"/>
      <x:c r="O237" s="220"/>
      <x:c r="P237" s="220"/>
      <x:c r="Q237" s="220"/>
      <x:c r="R237" s="220"/>
      <x:c r="S237" s="220"/>
      <x:c r="T237" s="220"/>
      <x:c r="U237" s="220" t="str">
        <x:f>IF(AND(M237="",O237="",Q237="",S237=""),"",IF(S237&lt;&gt;"",S237,IF(Q237&lt;&gt;"",Q237,IF(O237&lt;&gt;"",O237,M237))))</x:f>
      </x:c>
      <x:c r="V237" s="220" t="str">
        <x:f>IF(AND(N237="",P237="",R237="",T237=""),"",IF(T237&lt;&gt;"",T237,IF(R237&lt;&gt;"",R237,IF(P237&lt;&gt;"",P237,N237))))</x:f>
      </x:c>
      <x:c r="W237" s="221"/>
      <x:c r="X237" s="220"/>
      <x:c r="Y237" s="220"/>
      <x:c r="Z237" s="223"/>
      <x:c r="AA237" s="223"/>
      <x:c r="AB237" s="221"/>
      <x:c r="AC237" s="220"/>
      <x:c r="AD237" s="220"/>
      <x:c r="AE237" s="222"/>
      <x:c r="AF237" s="220"/>
      <x:c r="AG237" s="221"/>
      <x:c r="AH237" s="220"/>
      <x:c r="AI237" s="220"/>
      <x:c r="AJ237" s="222"/>
      <x:c r="AK237" s="220"/>
      <x:c r="AL237" s="220"/>
      <x:c r="AM237" s="220"/>
      <x:c r="AN237" s="220"/>
      <x:c r="AO237" s="220"/>
      <x:c r="AP237" s="220"/>
      <x:c r="AQ237" s="220"/>
      <x:c r="AR237" s="222"/>
      <x:c r="AS237" s="220"/>
      <x:c r="AT237" s="220"/>
      <x:c r="AU237" s="220"/>
      <x:c r="AV237" s="220"/>
      <x:c r="AW237" s="220"/>
      <x:c r="AX237" s="220"/>
      <x:c r="AY237" s="221"/>
      <x:c r="AZ237" s="220"/>
      <x:c r="BA237" s="220" t="str">
        <x:f>IF(AND(A237="",B237="",F237="",H237="",J237="",AW237="",AY237=""),"",IF(OR(B237="skip",AW237="skip"),"SKIP",IF(OR(B237="to_candidate",AW237="proposed_name"),IF(OR(A237="",AX237="",AY237="",COUNTIF($A$6:$A$505,A237)&gt;1),"REVIEW","TO_PROPOSED"),IF(OR(B237="",A237="",F237="",H237="",J237="",U237="",AW237="",COUNTIF($A$6:$A$505,A237)&gt;1,(COUNTIFS('أرقام التواصل'!$A$6:$A$505,"client",'أرقام التواصل'!$B$6:$B$505,A237,'أرقام التواصل'!$I$6:$I$505,"TRUE")+COUNTIFS('أرقام التواصل'!$A$6:$A$505,"client",'أرقام التواصل'!$B$6:$B$505,A237,'أرقام التواصل'!$C$6:$C$505,1))=0),"REVIEW","READY"))))</x:f>
      </x:c>
      <x:c r="BB237" s="224" t="str">
        <x:f>IF(BA237="","",IF(OR(BA237="READY",BA237="TO_PROPOSED"),"",IF(BA237="SKIP","Skipped by decision",TRIM(IF(B237="","missing import_action; ","")&amp;IF(A237="","missing migration_customer_key; ","")&amp;IF(AND(A237&lt;&gt;"",COUNTIF($A$6:$A$505,A237)&gt;1),"duplicate migration_customer_key; ","")&amp;IF(AND(NOT(OR(B237="to_candidate",AW237="proposed_name")),F237=""),"missing branch_id; ","")&amp;IF(AND(NOT(OR(B237="to_candidate",AW237="proposed_name")),H237=""),"missing first_name; ","")&amp;IF(AND(NOT(OR(B237="to_candidate",AW237="proposed_name")),J237=""),"missing last_name; ","")&amp;IF(AND(NOT(OR(B237="to_candidate",AW237="proposed_name")),U237=""),"missing final_geo_unit_id; ","")&amp;IF(AW237="","missing final_destination; ","")&amp;IF(AND(NOT(OR(B237="to_candidate",AW237="proposed_name")),(COUNTIFS('أرقام التواصل'!$A$6:$A$505,"client",'أرقام التواصل'!$B$6:$B$505,A237,'أرقام التواصل'!$I$6:$I$505,"TRUE")+COUNTIFS('أرقام التواصل'!$A$6:$A$505,"client",'أرقام التواصل'!$B$6:$B$505,A237,'أرقام التواصل'!$C$6:$C$505,1))=0),"missing primary contact in أرقام التواصل; ","")&amp;IF(OR(B237="to_candidate",AW237="proposed_name"),IF(AX237="","missing proposed_move_reason; ","")&amp;IF(AY237="","missing proposed_name_key; ",""),"")))))</x:f>
      </x:c>
    </x:row>
    <x:row r="238">
      <x:c r="A238" s="219"/>
      <x:c r="B238" s="220"/>
      <x:c r="C238" s="221"/>
      <x:c r="D238" s="220"/>
      <x:c r="E238" s="222"/>
      <x:c r="F238" s="220"/>
      <x:c r="G238" s="220"/>
      <x:c r="H238" s="220"/>
      <x:c r="I238" s="220"/>
      <x:c r="J238" s="220"/>
      <x:c r="K238" s="220"/>
      <x:c r="L238" s="220" t="str">
        <x:f>IF(TRIM(H238&amp;" "&amp;I238&amp;" "&amp;J238&amp;IF(K238&lt;&gt;""," ("&amp;K238&amp;")",""))="","",TRIM(H238&amp;" "&amp;I238&amp;" "&amp;J238&amp;IF(K238&lt;&gt;""," ("&amp;K238&amp;")","")))</x:f>
      </x:c>
      <x:c r="M238" s="220"/>
      <x:c r="N238" s="220"/>
      <x:c r="O238" s="220"/>
      <x:c r="P238" s="220"/>
      <x:c r="Q238" s="220"/>
      <x:c r="R238" s="220"/>
      <x:c r="S238" s="220"/>
      <x:c r="T238" s="220"/>
      <x:c r="U238" s="220" t="str">
        <x:f>IF(AND(M238="",O238="",Q238="",S238=""),"",IF(S238&lt;&gt;"",S238,IF(Q238&lt;&gt;"",Q238,IF(O238&lt;&gt;"",O238,M238))))</x:f>
      </x:c>
      <x:c r="V238" s="220" t="str">
        <x:f>IF(AND(N238="",P238="",R238="",T238=""),"",IF(T238&lt;&gt;"",T238,IF(R238&lt;&gt;"",R238,IF(P238&lt;&gt;"",P238,N238))))</x:f>
      </x:c>
      <x:c r="W238" s="221"/>
      <x:c r="X238" s="220"/>
      <x:c r="Y238" s="220"/>
      <x:c r="Z238" s="223"/>
      <x:c r="AA238" s="223"/>
      <x:c r="AB238" s="221"/>
      <x:c r="AC238" s="220"/>
      <x:c r="AD238" s="220"/>
      <x:c r="AE238" s="222"/>
      <x:c r="AF238" s="220"/>
      <x:c r="AG238" s="221"/>
      <x:c r="AH238" s="220"/>
      <x:c r="AI238" s="220"/>
      <x:c r="AJ238" s="222"/>
      <x:c r="AK238" s="220"/>
      <x:c r="AL238" s="220"/>
      <x:c r="AM238" s="220"/>
      <x:c r="AN238" s="220"/>
      <x:c r="AO238" s="220"/>
      <x:c r="AP238" s="220"/>
      <x:c r="AQ238" s="220"/>
      <x:c r="AR238" s="222"/>
      <x:c r="AS238" s="220"/>
      <x:c r="AT238" s="220"/>
      <x:c r="AU238" s="220"/>
      <x:c r="AV238" s="220"/>
      <x:c r="AW238" s="220"/>
      <x:c r="AX238" s="220"/>
      <x:c r="AY238" s="221"/>
      <x:c r="AZ238" s="220"/>
      <x:c r="BA238" s="220" t="str">
        <x:f>IF(AND(A238="",B238="",F238="",H238="",J238="",AW238="",AY238=""),"",IF(OR(B238="skip",AW238="skip"),"SKIP",IF(OR(B238="to_candidate",AW238="proposed_name"),IF(OR(A238="",AX238="",AY238="",COUNTIF($A$6:$A$505,A238)&gt;1),"REVIEW","TO_PROPOSED"),IF(OR(B238="",A238="",F238="",H238="",J238="",U238="",AW238="",COUNTIF($A$6:$A$505,A238)&gt;1,(COUNTIFS('أرقام التواصل'!$A$6:$A$505,"client",'أرقام التواصل'!$B$6:$B$505,A238,'أرقام التواصل'!$I$6:$I$505,"TRUE")+COUNTIFS('أرقام التواصل'!$A$6:$A$505,"client",'أرقام التواصل'!$B$6:$B$505,A238,'أرقام التواصل'!$C$6:$C$505,1))=0),"REVIEW","READY"))))</x:f>
      </x:c>
      <x:c r="BB238" s="224" t="str">
        <x:f>IF(BA238="","",IF(OR(BA238="READY",BA238="TO_PROPOSED"),"",IF(BA238="SKIP","Skipped by decision",TRIM(IF(B238="","missing import_action; ","")&amp;IF(A238="","missing migration_customer_key; ","")&amp;IF(AND(A238&lt;&gt;"",COUNTIF($A$6:$A$505,A238)&gt;1),"duplicate migration_customer_key; ","")&amp;IF(AND(NOT(OR(B238="to_candidate",AW238="proposed_name")),F238=""),"missing branch_id; ","")&amp;IF(AND(NOT(OR(B238="to_candidate",AW238="proposed_name")),H238=""),"missing first_name; ","")&amp;IF(AND(NOT(OR(B238="to_candidate",AW238="proposed_name")),J238=""),"missing last_name; ","")&amp;IF(AND(NOT(OR(B238="to_candidate",AW238="proposed_name")),U238=""),"missing final_geo_unit_id; ","")&amp;IF(AW238="","missing final_destination; ","")&amp;IF(AND(NOT(OR(B238="to_candidate",AW238="proposed_name")),(COUNTIFS('أرقام التواصل'!$A$6:$A$505,"client",'أرقام التواصل'!$B$6:$B$505,A238,'أرقام التواصل'!$I$6:$I$505,"TRUE")+COUNTIFS('أرقام التواصل'!$A$6:$A$505,"client",'أرقام التواصل'!$B$6:$B$505,A238,'أرقام التواصل'!$C$6:$C$505,1))=0),"missing primary contact in أرقام التواصل; ","")&amp;IF(OR(B238="to_candidate",AW238="proposed_name"),IF(AX238="","missing proposed_move_reason; ","")&amp;IF(AY238="","missing proposed_name_key; ",""),"")))))</x:f>
      </x:c>
    </x:row>
    <x:row r="239">
      <x:c r="A239" s="219"/>
      <x:c r="B239" s="220"/>
      <x:c r="C239" s="221"/>
      <x:c r="D239" s="220"/>
      <x:c r="E239" s="222"/>
      <x:c r="F239" s="220"/>
      <x:c r="G239" s="220"/>
      <x:c r="H239" s="220"/>
      <x:c r="I239" s="220"/>
      <x:c r="J239" s="220"/>
      <x:c r="K239" s="220"/>
      <x:c r="L239" s="220" t="str">
        <x:f>IF(TRIM(H239&amp;" "&amp;I239&amp;" "&amp;J239&amp;IF(K239&lt;&gt;""," ("&amp;K239&amp;")",""))="","",TRIM(H239&amp;" "&amp;I239&amp;" "&amp;J239&amp;IF(K239&lt;&gt;""," ("&amp;K239&amp;")","")))</x:f>
      </x:c>
      <x:c r="M239" s="220"/>
      <x:c r="N239" s="220"/>
      <x:c r="O239" s="220"/>
      <x:c r="P239" s="220"/>
      <x:c r="Q239" s="220"/>
      <x:c r="R239" s="220"/>
      <x:c r="S239" s="220"/>
      <x:c r="T239" s="220"/>
      <x:c r="U239" s="220" t="str">
        <x:f>IF(AND(M239="",O239="",Q239="",S239=""),"",IF(S239&lt;&gt;"",S239,IF(Q239&lt;&gt;"",Q239,IF(O239&lt;&gt;"",O239,M239))))</x:f>
      </x:c>
      <x:c r="V239" s="220" t="str">
        <x:f>IF(AND(N239="",P239="",R239="",T239=""),"",IF(T239&lt;&gt;"",T239,IF(R239&lt;&gt;"",R239,IF(P239&lt;&gt;"",P239,N239))))</x:f>
      </x:c>
      <x:c r="W239" s="221"/>
      <x:c r="X239" s="220"/>
      <x:c r="Y239" s="220"/>
      <x:c r="Z239" s="223"/>
      <x:c r="AA239" s="223"/>
      <x:c r="AB239" s="221"/>
      <x:c r="AC239" s="220"/>
      <x:c r="AD239" s="220"/>
      <x:c r="AE239" s="222"/>
      <x:c r="AF239" s="220"/>
      <x:c r="AG239" s="221"/>
      <x:c r="AH239" s="220"/>
      <x:c r="AI239" s="220"/>
      <x:c r="AJ239" s="222"/>
      <x:c r="AK239" s="220"/>
      <x:c r="AL239" s="220"/>
      <x:c r="AM239" s="220"/>
      <x:c r="AN239" s="220"/>
      <x:c r="AO239" s="220"/>
      <x:c r="AP239" s="220"/>
      <x:c r="AQ239" s="220"/>
      <x:c r="AR239" s="222"/>
      <x:c r="AS239" s="220"/>
      <x:c r="AT239" s="220"/>
      <x:c r="AU239" s="220"/>
      <x:c r="AV239" s="220"/>
      <x:c r="AW239" s="220"/>
      <x:c r="AX239" s="220"/>
      <x:c r="AY239" s="221"/>
      <x:c r="AZ239" s="220"/>
      <x:c r="BA239" s="220" t="str">
        <x:f>IF(AND(A239="",B239="",F239="",H239="",J239="",AW239="",AY239=""),"",IF(OR(B239="skip",AW239="skip"),"SKIP",IF(OR(B239="to_candidate",AW239="proposed_name"),IF(OR(A239="",AX239="",AY239="",COUNTIF($A$6:$A$505,A239)&gt;1),"REVIEW","TO_PROPOSED"),IF(OR(B239="",A239="",F239="",H239="",J239="",U239="",AW239="",COUNTIF($A$6:$A$505,A239)&gt;1,(COUNTIFS('أرقام التواصل'!$A$6:$A$505,"client",'أرقام التواصل'!$B$6:$B$505,A239,'أرقام التواصل'!$I$6:$I$505,"TRUE")+COUNTIFS('أرقام التواصل'!$A$6:$A$505,"client",'أرقام التواصل'!$B$6:$B$505,A239,'أرقام التواصل'!$C$6:$C$505,1))=0),"REVIEW","READY"))))</x:f>
      </x:c>
      <x:c r="BB239" s="224" t="str">
        <x:f>IF(BA239="","",IF(OR(BA239="READY",BA239="TO_PROPOSED"),"",IF(BA239="SKIP","Skipped by decision",TRIM(IF(B239="","missing import_action; ","")&amp;IF(A239="","missing migration_customer_key; ","")&amp;IF(AND(A239&lt;&gt;"",COUNTIF($A$6:$A$505,A239)&gt;1),"duplicate migration_customer_key; ","")&amp;IF(AND(NOT(OR(B239="to_candidate",AW239="proposed_name")),F239=""),"missing branch_id; ","")&amp;IF(AND(NOT(OR(B239="to_candidate",AW239="proposed_name")),H239=""),"missing first_name; ","")&amp;IF(AND(NOT(OR(B239="to_candidate",AW239="proposed_name")),J239=""),"missing last_name; ","")&amp;IF(AND(NOT(OR(B239="to_candidate",AW239="proposed_name")),U239=""),"missing final_geo_unit_id; ","")&amp;IF(AW239="","missing final_destination; ","")&amp;IF(AND(NOT(OR(B239="to_candidate",AW239="proposed_name")),(COUNTIFS('أرقام التواصل'!$A$6:$A$505,"client",'أرقام التواصل'!$B$6:$B$505,A239,'أرقام التواصل'!$I$6:$I$505,"TRUE")+COUNTIFS('أرقام التواصل'!$A$6:$A$505,"client",'أرقام التواصل'!$B$6:$B$505,A239,'أرقام التواصل'!$C$6:$C$505,1))=0),"missing primary contact in أرقام التواصل; ","")&amp;IF(OR(B239="to_candidate",AW239="proposed_name"),IF(AX239="","missing proposed_move_reason; ","")&amp;IF(AY239="","missing proposed_name_key; ",""),"")))))</x:f>
      </x:c>
    </x:row>
    <x:row r="240">
      <x:c r="A240" s="219"/>
      <x:c r="B240" s="220"/>
      <x:c r="C240" s="221"/>
      <x:c r="D240" s="220"/>
      <x:c r="E240" s="222"/>
      <x:c r="F240" s="220"/>
      <x:c r="G240" s="220"/>
      <x:c r="H240" s="220"/>
      <x:c r="I240" s="220"/>
      <x:c r="J240" s="220"/>
      <x:c r="K240" s="220"/>
      <x:c r="L240" s="220" t="str">
        <x:f>IF(TRIM(H240&amp;" "&amp;I240&amp;" "&amp;J240&amp;IF(K240&lt;&gt;""," ("&amp;K240&amp;")",""))="","",TRIM(H240&amp;" "&amp;I240&amp;" "&amp;J240&amp;IF(K240&lt;&gt;""," ("&amp;K240&amp;")","")))</x:f>
      </x:c>
      <x:c r="M240" s="220"/>
      <x:c r="N240" s="220"/>
      <x:c r="O240" s="220"/>
      <x:c r="P240" s="220"/>
      <x:c r="Q240" s="220"/>
      <x:c r="R240" s="220"/>
      <x:c r="S240" s="220"/>
      <x:c r="T240" s="220"/>
      <x:c r="U240" s="220" t="str">
        <x:f>IF(AND(M240="",O240="",Q240="",S240=""),"",IF(S240&lt;&gt;"",S240,IF(Q240&lt;&gt;"",Q240,IF(O240&lt;&gt;"",O240,M240))))</x:f>
      </x:c>
      <x:c r="V240" s="220" t="str">
        <x:f>IF(AND(N240="",P240="",R240="",T240=""),"",IF(T240&lt;&gt;"",T240,IF(R240&lt;&gt;"",R240,IF(P240&lt;&gt;"",P240,N240))))</x:f>
      </x:c>
      <x:c r="W240" s="221"/>
      <x:c r="X240" s="220"/>
      <x:c r="Y240" s="220"/>
      <x:c r="Z240" s="223"/>
      <x:c r="AA240" s="223"/>
      <x:c r="AB240" s="221"/>
      <x:c r="AC240" s="220"/>
      <x:c r="AD240" s="220"/>
      <x:c r="AE240" s="222"/>
      <x:c r="AF240" s="220"/>
      <x:c r="AG240" s="221"/>
      <x:c r="AH240" s="220"/>
      <x:c r="AI240" s="220"/>
      <x:c r="AJ240" s="222"/>
      <x:c r="AK240" s="220"/>
      <x:c r="AL240" s="220"/>
      <x:c r="AM240" s="220"/>
      <x:c r="AN240" s="220"/>
      <x:c r="AO240" s="220"/>
      <x:c r="AP240" s="220"/>
      <x:c r="AQ240" s="220"/>
      <x:c r="AR240" s="222"/>
      <x:c r="AS240" s="220"/>
      <x:c r="AT240" s="220"/>
      <x:c r="AU240" s="220"/>
      <x:c r="AV240" s="220"/>
      <x:c r="AW240" s="220"/>
      <x:c r="AX240" s="220"/>
      <x:c r="AY240" s="221"/>
      <x:c r="AZ240" s="220"/>
      <x:c r="BA240" s="220" t="str">
        <x:f>IF(AND(A240="",B240="",F240="",H240="",J240="",AW240="",AY240=""),"",IF(OR(B240="skip",AW240="skip"),"SKIP",IF(OR(B240="to_candidate",AW240="proposed_name"),IF(OR(A240="",AX240="",AY240="",COUNTIF($A$6:$A$505,A240)&gt;1),"REVIEW","TO_PROPOSED"),IF(OR(B240="",A240="",F240="",H240="",J240="",U240="",AW240="",COUNTIF($A$6:$A$505,A240)&gt;1,(COUNTIFS('أرقام التواصل'!$A$6:$A$505,"client",'أرقام التواصل'!$B$6:$B$505,A240,'أرقام التواصل'!$I$6:$I$505,"TRUE")+COUNTIFS('أرقام التواصل'!$A$6:$A$505,"client",'أرقام التواصل'!$B$6:$B$505,A240,'أرقام التواصل'!$C$6:$C$505,1))=0),"REVIEW","READY"))))</x:f>
      </x:c>
      <x:c r="BB240" s="224" t="str">
        <x:f>IF(BA240="","",IF(OR(BA240="READY",BA240="TO_PROPOSED"),"",IF(BA240="SKIP","Skipped by decision",TRIM(IF(B240="","missing import_action; ","")&amp;IF(A240="","missing migration_customer_key; ","")&amp;IF(AND(A240&lt;&gt;"",COUNTIF($A$6:$A$505,A240)&gt;1),"duplicate migration_customer_key; ","")&amp;IF(AND(NOT(OR(B240="to_candidate",AW240="proposed_name")),F240=""),"missing branch_id; ","")&amp;IF(AND(NOT(OR(B240="to_candidate",AW240="proposed_name")),H240=""),"missing first_name; ","")&amp;IF(AND(NOT(OR(B240="to_candidate",AW240="proposed_name")),J240=""),"missing last_name; ","")&amp;IF(AND(NOT(OR(B240="to_candidate",AW240="proposed_name")),U240=""),"missing final_geo_unit_id; ","")&amp;IF(AW240="","missing final_destination; ","")&amp;IF(AND(NOT(OR(B240="to_candidate",AW240="proposed_name")),(COUNTIFS('أرقام التواصل'!$A$6:$A$505,"client",'أرقام التواصل'!$B$6:$B$505,A240,'أرقام التواصل'!$I$6:$I$505,"TRUE")+COUNTIFS('أرقام التواصل'!$A$6:$A$505,"client",'أرقام التواصل'!$B$6:$B$505,A240,'أرقام التواصل'!$C$6:$C$505,1))=0),"missing primary contact in أرقام التواصل; ","")&amp;IF(OR(B240="to_candidate",AW240="proposed_name"),IF(AX240="","missing proposed_move_reason; ","")&amp;IF(AY240="","missing proposed_name_key; ",""),"")))))</x:f>
      </x:c>
    </x:row>
    <x:row r="241">
      <x:c r="A241" s="219"/>
      <x:c r="B241" s="220"/>
      <x:c r="C241" s="221"/>
      <x:c r="D241" s="220"/>
      <x:c r="E241" s="222"/>
      <x:c r="F241" s="220"/>
      <x:c r="G241" s="220"/>
      <x:c r="H241" s="220"/>
      <x:c r="I241" s="220"/>
      <x:c r="J241" s="220"/>
      <x:c r="K241" s="220"/>
      <x:c r="L241" s="220" t="str">
        <x:f>IF(TRIM(H241&amp;" "&amp;I241&amp;" "&amp;J241&amp;IF(K241&lt;&gt;""," ("&amp;K241&amp;")",""))="","",TRIM(H241&amp;" "&amp;I241&amp;" "&amp;J241&amp;IF(K241&lt;&gt;""," ("&amp;K241&amp;")","")))</x:f>
      </x:c>
      <x:c r="M241" s="220"/>
      <x:c r="N241" s="220"/>
      <x:c r="O241" s="220"/>
      <x:c r="P241" s="220"/>
      <x:c r="Q241" s="220"/>
      <x:c r="R241" s="220"/>
      <x:c r="S241" s="220"/>
      <x:c r="T241" s="220"/>
      <x:c r="U241" s="220" t="str">
        <x:f>IF(AND(M241="",O241="",Q241="",S241=""),"",IF(S241&lt;&gt;"",S241,IF(Q241&lt;&gt;"",Q241,IF(O241&lt;&gt;"",O241,M241))))</x:f>
      </x:c>
      <x:c r="V241" s="220" t="str">
        <x:f>IF(AND(N241="",P241="",R241="",T241=""),"",IF(T241&lt;&gt;"",T241,IF(R241&lt;&gt;"",R241,IF(P241&lt;&gt;"",P241,N241))))</x:f>
      </x:c>
      <x:c r="W241" s="221"/>
      <x:c r="X241" s="220"/>
      <x:c r="Y241" s="220"/>
      <x:c r="Z241" s="223"/>
      <x:c r="AA241" s="223"/>
      <x:c r="AB241" s="221"/>
      <x:c r="AC241" s="220"/>
      <x:c r="AD241" s="220"/>
      <x:c r="AE241" s="222"/>
      <x:c r="AF241" s="220"/>
      <x:c r="AG241" s="221"/>
      <x:c r="AH241" s="220"/>
      <x:c r="AI241" s="220"/>
      <x:c r="AJ241" s="222"/>
      <x:c r="AK241" s="220"/>
      <x:c r="AL241" s="220"/>
      <x:c r="AM241" s="220"/>
      <x:c r="AN241" s="220"/>
      <x:c r="AO241" s="220"/>
      <x:c r="AP241" s="220"/>
      <x:c r="AQ241" s="220"/>
      <x:c r="AR241" s="222"/>
      <x:c r="AS241" s="220"/>
      <x:c r="AT241" s="220"/>
      <x:c r="AU241" s="220"/>
      <x:c r="AV241" s="220"/>
      <x:c r="AW241" s="220"/>
      <x:c r="AX241" s="220"/>
      <x:c r="AY241" s="221"/>
      <x:c r="AZ241" s="220"/>
      <x:c r="BA241" s="220" t="str">
        <x:f>IF(AND(A241="",B241="",F241="",H241="",J241="",AW241="",AY241=""),"",IF(OR(B241="skip",AW241="skip"),"SKIP",IF(OR(B241="to_candidate",AW241="proposed_name"),IF(OR(A241="",AX241="",AY241="",COUNTIF($A$6:$A$505,A241)&gt;1),"REVIEW","TO_PROPOSED"),IF(OR(B241="",A241="",F241="",H241="",J241="",U241="",AW241="",COUNTIF($A$6:$A$505,A241)&gt;1,(COUNTIFS('أرقام التواصل'!$A$6:$A$505,"client",'أرقام التواصل'!$B$6:$B$505,A241,'أرقام التواصل'!$I$6:$I$505,"TRUE")+COUNTIFS('أرقام التواصل'!$A$6:$A$505,"client",'أرقام التواصل'!$B$6:$B$505,A241,'أرقام التواصل'!$C$6:$C$505,1))=0),"REVIEW","READY"))))</x:f>
      </x:c>
      <x:c r="BB241" s="224" t="str">
        <x:f>IF(BA241="","",IF(OR(BA241="READY",BA241="TO_PROPOSED"),"",IF(BA241="SKIP","Skipped by decision",TRIM(IF(B241="","missing import_action; ","")&amp;IF(A241="","missing migration_customer_key; ","")&amp;IF(AND(A241&lt;&gt;"",COUNTIF($A$6:$A$505,A241)&gt;1),"duplicate migration_customer_key; ","")&amp;IF(AND(NOT(OR(B241="to_candidate",AW241="proposed_name")),F241=""),"missing branch_id; ","")&amp;IF(AND(NOT(OR(B241="to_candidate",AW241="proposed_name")),H241=""),"missing first_name; ","")&amp;IF(AND(NOT(OR(B241="to_candidate",AW241="proposed_name")),J241=""),"missing last_name; ","")&amp;IF(AND(NOT(OR(B241="to_candidate",AW241="proposed_name")),U241=""),"missing final_geo_unit_id; ","")&amp;IF(AW241="","missing final_destination; ","")&amp;IF(AND(NOT(OR(B241="to_candidate",AW241="proposed_name")),(COUNTIFS('أرقام التواصل'!$A$6:$A$505,"client",'أرقام التواصل'!$B$6:$B$505,A241,'أرقام التواصل'!$I$6:$I$505,"TRUE")+COUNTIFS('أرقام التواصل'!$A$6:$A$505,"client",'أرقام التواصل'!$B$6:$B$505,A241,'أرقام التواصل'!$C$6:$C$505,1))=0),"missing primary contact in أرقام التواصل; ","")&amp;IF(OR(B241="to_candidate",AW241="proposed_name"),IF(AX241="","missing proposed_move_reason; ","")&amp;IF(AY241="","missing proposed_name_key; ",""),"")))))</x:f>
      </x:c>
    </x:row>
    <x:row r="242">
      <x:c r="A242" s="219"/>
      <x:c r="B242" s="220"/>
      <x:c r="C242" s="221"/>
      <x:c r="D242" s="220"/>
      <x:c r="E242" s="222"/>
      <x:c r="F242" s="220"/>
      <x:c r="G242" s="220"/>
      <x:c r="H242" s="220"/>
      <x:c r="I242" s="220"/>
      <x:c r="J242" s="220"/>
      <x:c r="K242" s="220"/>
      <x:c r="L242" s="220" t="str">
        <x:f>IF(TRIM(H242&amp;" "&amp;I242&amp;" "&amp;J242&amp;IF(K242&lt;&gt;""," ("&amp;K242&amp;")",""))="","",TRIM(H242&amp;" "&amp;I242&amp;" "&amp;J242&amp;IF(K242&lt;&gt;""," ("&amp;K242&amp;")","")))</x:f>
      </x:c>
      <x:c r="M242" s="220"/>
      <x:c r="N242" s="220"/>
      <x:c r="O242" s="220"/>
      <x:c r="P242" s="220"/>
      <x:c r="Q242" s="220"/>
      <x:c r="R242" s="220"/>
      <x:c r="S242" s="220"/>
      <x:c r="T242" s="220"/>
      <x:c r="U242" s="220" t="str">
        <x:f>IF(AND(M242="",O242="",Q242="",S242=""),"",IF(S242&lt;&gt;"",S242,IF(Q242&lt;&gt;"",Q242,IF(O242&lt;&gt;"",O242,M242))))</x:f>
      </x:c>
      <x:c r="V242" s="220" t="str">
        <x:f>IF(AND(N242="",P242="",R242="",T242=""),"",IF(T242&lt;&gt;"",T242,IF(R242&lt;&gt;"",R242,IF(P242&lt;&gt;"",P242,N242))))</x:f>
      </x:c>
      <x:c r="W242" s="221"/>
      <x:c r="X242" s="220"/>
      <x:c r="Y242" s="220"/>
      <x:c r="Z242" s="223"/>
      <x:c r="AA242" s="223"/>
      <x:c r="AB242" s="221"/>
      <x:c r="AC242" s="220"/>
      <x:c r="AD242" s="220"/>
      <x:c r="AE242" s="222"/>
      <x:c r="AF242" s="220"/>
      <x:c r="AG242" s="221"/>
      <x:c r="AH242" s="220"/>
      <x:c r="AI242" s="220"/>
      <x:c r="AJ242" s="222"/>
      <x:c r="AK242" s="220"/>
      <x:c r="AL242" s="220"/>
      <x:c r="AM242" s="220"/>
      <x:c r="AN242" s="220"/>
      <x:c r="AO242" s="220"/>
      <x:c r="AP242" s="220"/>
      <x:c r="AQ242" s="220"/>
      <x:c r="AR242" s="222"/>
      <x:c r="AS242" s="220"/>
      <x:c r="AT242" s="220"/>
      <x:c r="AU242" s="220"/>
      <x:c r="AV242" s="220"/>
      <x:c r="AW242" s="220"/>
      <x:c r="AX242" s="220"/>
      <x:c r="AY242" s="221"/>
      <x:c r="AZ242" s="220"/>
      <x:c r="BA242" s="220" t="str">
        <x:f>IF(AND(A242="",B242="",F242="",H242="",J242="",AW242="",AY242=""),"",IF(OR(B242="skip",AW242="skip"),"SKIP",IF(OR(B242="to_candidate",AW242="proposed_name"),IF(OR(A242="",AX242="",AY242="",COUNTIF($A$6:$A$505,A242)&gt;1),"REVIEW","TO_PROPOSED"),IF(OR(B242="",A242="",F242="",H242="",J242="",U242="",AW242="",COUNTIF($A$6:$A$505,A242)&gt;1,(COUNTIFS('أرقام التواصل'!$A$6:$A$505,"client",'أرقام التواصل'!$B$6:$B$505,A242,'أرقام التواصل'!$I$6:$I$505,"TRUE")+COUNTIFS('أرقام التواصل'!$A$6:$A$505,"client",'أرقام التواصل'!$B$6:$B$505,A242,'أرقام التواصل'!$C$6:$C$505,1))=0),"REVIEW","READY"))))</x:f>
      </x:c>
      <x:c r="BB242" s="224" t="str">
        <x:f>IF(BA242="","",IF(OR(BA242="READY",BA242="TO_PROPOSED"),"",IF(BA242="SKIP","Skipped by decision",TRIM(IF(B242="","missing import_action; ","")&amp;IF(A242="","missing migration_customer_key; ","")&amp;IF(AND(A242&lt;&gt;"",COUNTIF($A$6:$A$505,A242)&gt;1),"duplicate migration_customer_key; ","")&amp;IF(AND(NOT(OR(B242="to_candidate",AW242="proposed_name")),F242=""),"missing branch_id; ","")&amp;IF(AND(NOT(OR(B242="to_candidate",AW242="proposed_name")),H242=""),"missing first_name; ","")&amp;IF(AND(NOT(OR(B242="to_candidate",AW242="proposed_name")),J242=""),"missing last_name; ","")&amp;IF(AND(NOT(OR(B242="to_candidate",AW242="proposed_name")),U242=""),"missing final_geo_unit_id; ","")&amp;IF(AW242="","missing final_destination; ","")&amp;IF(AND(NOT(OR(B242="to_candidate",AW242="proposed_name")),(COUNTIFS('أرقام التواصل'!$A$6:$A$505,"client",'أرقام التواصل'!$B$6:$B$505,A242,'أرقام التواصل'!$I$6:$I$505,"TRUE")+COUNTIFS('أرقام التواصل'!$A$6:$A$505,"client",'أرقام التواصل'!$B$6:$B$505,A242,'أرقام التواصل'!$C$6:$C$505,1))=0),"missing primary contact in أرقام التواصل; ","")&amp;IF(OR(B242="to_candidate",AW242="proposed_name"),IF(AX242="","missing proposed_move_reason; ","")&amp;IF(AY242="","missing proposed_name_key; ",""),"")))))</x:f>
      </x:c>
    </x:row>
    <x:row r="243">
      <x:c r="A243" s="219"/>
      <x:c r="B243" s="220"/>
      <x:c r="C243" s="221"/>
      <x:c r="D243" s="220"/>
      <x:c r="E243" s="222"/>
      <x:c r="F243" s="220"/>
      <x:c r="G243" s="220"/>
      <x:c r="H243" s="220"/>
      <x:c r="I243" s="220"/>
      <x:c r="J243" s="220"/>
      <x:c r="K243" s="220"/>
      <x:c r="L243" s="220" t="str">
        <x:f>IF(TRIM(H243&amp;" "&amp;I243&amp;" "&amp;J243&amp;IF(K243&lt;&gt;""," ("&amp;K243&amp;")",""))="","",TRIM(H243&amp;" "&amp;I243&amp;" "&amp;J243&amp;IF(K243&lt;&gt;""," ("&amp;K243&amp;")","")))</x:f>
      </x:c>
      <x:c r="M243" s="220"/>
      <x:c r="N243" s="220"/>
      <x:c r="O243" s="220"/>
      <x:c r="P243" s="220"/>
      <x:c r="Q243" s="220"/>
      <x:c r="R243" s="220"/>
      <x:c r="S243" s="220"/>
      <x:c r="T243" s="220"/>
      <x:c r="U243" s="220" t="str">
        <x:f>IF(AND(M243="",O243="",Q243="",S243=""),"",IF(S243&lt;&gt;"",S243,IF(Q243&lt;&gt;"",Q243,IF(O243&lt;&gt;"",O243,M243))))</x:f>
      </x:c>
      <x:c r="V243" s="220" t="str">
        <x:f>IF(AND(N243="",P243="",R243="",T243=""),"",IF(T243&lt;&gt;"",T243,IF(R243&lt;&gt;"",R243,IF(P243&lt;&gt;"",P243,N243))))</x:f>
      </x:c>
      <x:c r="W243" s="221"/>
      <x:c r="X243" s="220"/>
      <x:c r="Y243" s="220"/>
      <x:c r="Z243" s="223"/>
      <x:c r="AA243" s="223"/>
      <x:c r="AB243" s="221"/>
      <x:c r="AC243" s="220"/>
      <x:c r="AD243" s="220"/>
      <x:c r="AE243" s="222"/>
      <x:c r="AF243" s="220"/>
      <x:c r="AG243" s="221"/>
      <x:c r="AH243" s="220"/>
      <x:c r="AI243" s="220"/>
      <x:c r="AJ243" s="222"/>
      <x:c r="AK243" s="220"/>
      <x:c r="AL243" s="220"/>
      <x:c r="AM243" s="220"/>
      <x:c r="AN243" s="220"/>
      <x:c r="AO243" s="220"/>
      <x:c r="AP243" s="220"/>
      <x:c r="AQ243" s="220"/>
      <x:c r="AR243" s="222"/>
      <x:c r="AS243" s="220"/>
      <x:c r="AT243" s="220"/>
      <x:c r="AU243" s="220"/>
      <x:c r="AV243" s="220"/>
      <x:c r="AW243" s="220"/>
      <x:c r="AX243" s="220"/>
      <x:c r="AY243" s="221"/>
      <x:c r="AZ243" s="220"/>
      <x:c r="BA243" s="220" t="str">
        <x:f>IF(AND(A243="",B243="",F243="",H243="",J243="",AW243="",AY243=""),"",IF(OR(B243="skip",AW243="skip"),"SKIP",IF(OR(B243="to_candidate",AW243="proposed_name"),IF(OR(A243="",AX243="",AY243="",COUNTIF($A$6:$A$505,A243)&gt;1),"REVIEW","TO_PROPOSED"),IF(OR(B243="",A243="",F243="",H243="",J243="",U243="",AW243="",COUNTIF($A$6:$A$505,A243)&gt;1,(COUNTIFS('أرقام التواصل'!$A$6:$A$505,"client",'أرقام التواصل'!$B$6:$B$505,A243,'أرقام التواصل'!$I$6:$I$505,"TRUE")+COUNTIFS('أرقام التواصل'!$A$6:$A$505,"client",'أرقام التواصل'!$B$6:$B$505,A243,'أرقام التواصل'!$C$6:$C$505,1))=0),"REVIEW","READY"))))</x:f>
      </x:c>
      <x:c r="BB243" s="224" t="str">
        <x:f>IF(BA243="","",IF(OR(BA243="READY",BA243="TO_PROPOSED"),"",IF(BA243="SKIP","Skipped by decision",TRIM(IF(B243="","missing import_action; ","")&amp;IF(A243="","missing migration_customer_key; ","")&amp;IF(AND(A243&lt;&gt;"",COUNTIF($A$6:$A$505,A243)&gt;1),"duplicate migration_customer_key; ","")&amp;IF(AND(NOT(OR(B243="to_candidate",AW243="proposed_name")),F243=""),"missing branch_id; ","")&amp;IF(AND(NOT(OR(B243="to_candidate",AW243="proposed_name")),H243=""),"missing first_name; ","")&amp;IF(AND(NOT(OR(B243="to_candidate",AW243="proposed_name")),J243=""),"missing last_name; ","")&amp;IF(AND(NOT(OR(B243="to_candidate",AW243="proposed_name")),U243=""),"missing final_geo_unit_id; ","")&amp;IF(AW243="","missing final_destination; ","")&amp;IF(AND(NOT(OR(B243="to_candidate",AW243="proposed_name")),(COUNTIFS('أرقام التواصل'!$A$6:$A$505,"client",'أرقام التواصل'!$B$6:$B$505,A243,'أرقام التواصل'!$I$6:$I$505,"TRUE")+COUNTIFS('أرقام التواصل'!$A$6:$A$505,"client",'أرقام التواصل'!$B$6:$B$505,A243,'أرقام التواصل'!$C$6:$C$505,1))=0),"missing primary contact in أرقام التواصل; ","")&amp;IF(OR(B243="to_candidate",AW243="proposed_name"),IF(AX243="","missing proposed_move_reason; ","")&amp;IF(AY243="","missing proposed_name_key; ",""),"")))))</x:f>
      </x:c>
    </x:row>
    <x:row r="244">
      <x:c r="A244" s="219"/>
      <x:c r="B244" s="220"/>
      <x:c r="C244" s="221"/>
      <x:c r="D244" s="220"/>
      <x:c r="E244" s="222"/>
      <x:c r="F244" s="220"/>
      <x:c r="G244" s="220"/>
      <x:c r="H244" s="220"/>
      <x:c r="I244" s="220"/>
      <x:c r="J244" s="220"/>
      <x:c r="K244" s="220"/>
      <x:c r="L244" s="220" t="str">
        <x:f>IF(TRIM(H244&amp;" "&amp;I244&amp;" "&amp;J244&amp;IF(K244&lt;&gt;""," ("&amp;K244&amp;")",""))="","",TRIM(H244&amp;" "&amp;I244&amp;" "&amp;J244&amp;IF(K244&lt;&gt;""," ("&amp;K244&amp;")","")))</x:f>
      </x:c>
      <x:c r="M244" s="220"/>
      <x:c r="N244" s="220"/>
      <x:c r="O244" s="220"/>
      <x:c r="P244" s="220"/>
      <x:c r="Q244" s="220"/>
      <x:c r="R244" s="220"/>
      <x:c r="S244" s="220"/>
      <x:c r="T244" s="220"/>
      <x:c r="U244" s="220" t="str">
        <x:f>IF(AND(M244="",O244="",Q244="",S244=""),"",IF(S244&lt;&gt;"",S244,IF(Q244&lt;&gt;"",Q244,IF(O244&lt;&gt;"",O244,M244))))</x:f>
      </x:c>
      <x:c r="V244" s="220" t="str">
        <x:f>IF(AND(N244="",P244="",R244="",T244=""),"",IF(T244&lt;&gt;"",T244,IF(R244&lt;&gt;"",R244,IF(P244&lt;&gt;"",P244,N244))))</x:f>
      </x:c>
      <x:c r="W244" s="221"/>
      <x:c r="X244" s="220"/>
      <x:c r="Y244" s="220"/>
      <x:c r="Z244" s="223"/>
      <x:c r="AA244" s="223"/>
      <x:c r="AB244" s="221"/>
      <x:c r="AC244" s="220"/>
      <x:c r="AD244" s="220"/>
      <x:c r="AE244" s="222"/>
      <x:c r="AF244" s="220"/>
      <x:c r="AG244" s="221"/>
      <x:c r="AH244" s="220"/>
      <x:c r="AI244" s="220"/>
      <x:c r="AJ244" s="222"/>
      <x:c r="AK244" s="220"/>
      <x:c r="AL244" s="220"/>
      <x:c r="AM244" s="220"/>
      <x:c r="AN244" s="220"/>
      <x:c r="AO244" s="220"/>
      <x:c r="AP244" s="220"/>
      <x:c r="AQ244" s="220"/>
      <x:c r="AR244" s="222"/>
      <x:c r="AS244" s="220"/>
      <x:c r="AT244" s="220"/>
      <x:c r="AU244" s="220"/>
      <x:c r="AV244" s="220"/>
      <x:c r="AW244" s="220"/>
      <x:c r="AX244" s="220"/>
      <x:c r="AY244" s="221"/>
      <x:c r="AZ244" s="220"/>
      <x:c r="BA244" s="220" t="str">
        <x:f>IF(AND(A244="",B244="",F244="",H244="",J244="",AW244="",AY244=""),"",IF(OR(B244="skip",AW244="skip"),"SKIP",IF(OR(B244="to_candidate",AW244="proposed_name"),IF(OR(A244="",AX244="",AY244="",COUNTIF($A$6:$A$505,A244)&gt;1),"REVIEW","TO_PROPOSED"),IF(OR(B244="",A244="",F244="",H244="",J244="",U244="",AW244="",COUNTIF($A$6:$A$505,A244)&gt;1,(COUNTIFS('أرقام التواصل'!$A$6:$A$505,"client",'أرقام التواصل'!$B$6:$B$505,A244,'أرقام التواصل'!$I$6:$I$505,"TRUE")+COUNTIFS('أرقام التواصل'!$A$6:$A$505,"client",'أرقام التواصل'!$B$6:$B$505,A244,'أرقام التواصل'!$C$6:$C$505,1))=0),"REVIEW","READY"))))</x:f>
      </x:c>
      <x:c r="BB244" s="224" t="str">
        <x:f>IF(BA244="","",IF(OR(BA244="READY",BA244="TO_PROPOSED"),"",IF(BA244="SKIP","Skipped by decision",TRIM(IF(B244="","missing import_action; ","")&amp;IF(A244="","missing migration_customer_key; ","")&amp;IF(AND(A244&lt;&gt;"",COUNTIF($A$6:$A$505,A244)&gt;1),"duplicate migration_customer_key; ","")&amp;IF(AND(NOT(OR(B244="to_candidate",AW244="proposed_name")),F244=""),"missing branch_id; ","")&amp;IF(AND(NOT(OR(B244="to_candidate",AW244="proposed_name")),H244=""),"missing first_name; ","")&amp;IF(AND(NOT(OR(B244="to_candidate",AW244="proposed_name")),J244=""),"missing last_name; ","")&amp;IF(AND(NOT(OR(B244="to_candidate",AW244="proposed_name")),U244=""),"missing final_geo_unit_id; ","")&amp;IF(AW244="","missing final_destination; ","")&amp;IF(AND(NOT(OR(B244="to_candidate",AW244="proposed_name")),(COUNTIFS('أرقام التواصل'!$A$6:$A$505,"client",'أرقام التواصل'!$B$6:$B$505,A244,'أرقام التواصل'!$I$6:$I$505,"TRUE")+COUNTIFS('أرقام التواصل'!$A$6:$A$505,"client",'أرقام التواصل'!$B$6:$B$505,A244,'أرقام التواصل'!$C$6:$C$505,1))=0),"missing primary contact in أرقام التواصل; ","")&amp;IF(OR(B244="to_candidate",AW244="proposed_name"),IF(AX244="","missing proposed_move_reason; ","")&amp;IF(AY244="","missing proposed_name_key; ",""),"")))))</x:f>
      </x:c>
    </x:row>
    <x:row r="245">
      <x:c r="A245" s="219"/>
      <x:c r="B245" s="220"/>
      <x:c r="C245" s="221"/>
      <x:c r="D245" s="220"/>
      <x:c r="E245" s="222"/>
      <x:c r="F245" s="220"/>
      <x:c r="G245" s="220"/>
      <x:c r="H245" s="220"/>
      <x:c r="I245" s="220"/>
      <x:c r="J245" s="220"/>
      <x:c r="K245" s="220"/>
      <x:c r="L245" s="220" t="str">
        <x:f>IF(TRIM(H245&amp;" "&amp;I245&amp;" "&amp;J245&amp;IF(K245&lt;&gt;""," ("&amp;K245&amp;")",""))="","",TRIM(H245&amp;" "&amp;I245&amp;" "&amp;J245&amp;IF(K245&lt;&gt;""," ("&amp;K245&amp;")","")))</x:f>
      </x:c>
      <x:c r="M245" s="220"/>
      <x:c r="N245" s="220"/>
      <x:c r="O245" s="220"/>
      <x:c r="P245" s="220"/>
      <x:c r="Q245" s="220"/>
      <x:c r="R245" s="220"/>
      <x:c r="S245" s="220"/>
      <x:c r="T245" s="220"/>
      <x:c r="U245" s="220" t="str">
        <x:f>IF(AND(M245="",O245="",Q245="",S245=""),"",IF(S245&lt;&gt;"",S245,IF(Q245&lt;&gt;"",Q245,IF(O245&lt;&gt;"",O245,M245))))</x:f>
      </x:c>
      <x:c r="V245" s="220" t="str">
        <x:f>IF(AND(N245="",P245="",R245="",T245=""),"",IF(T245&lt;&gt;"",T245,IF(R245&lt;&gt;"",R245,IF(P245&lt;&gt;"",P245,N245))))</x:f>
      </x:c>
      <x:c r="W245" s="221"/>
      <x:c r="X245" s="220"/>
      <x:c r="Y245" s="220"/>
      <x:c r="Z245" s="223"/>
      <x:c r="AA245" s="223"/>
      <x:c r="AB245" s="221"/>
      <x:c r="AC245" s="220"/>
      <x:c r="AD245" s="220"/>
      <x:c r="AE245" s="222"/>
      <x:c r="AF245" s="220"/>
      <x:c r="AG245" s="221"/>
      <x:c r="AH245" s="220"/>
      <x:c r="AI245" s="220"/>
      <x:c r="AJ245" s="222"/>
      <x:c r="AK245" s="220"/>
      <x:c r="AL245" s="220"/>
      <x:c r="AM245" s="220"/>
      <x:c r="AN245" s="220"/>
      <x:c r="AO245" s="220"/>
      <x:c r="AP245" s="220"/>
      <x:c r="AQ245" s="220"/>
      <x:c r="AR245" s="222"/>
      <x:c r="AS245" s="220"/>
      <x:c r="AT245" s="220"/>
      <x:c r="AU245" s="220"/>
      <x:c r="AV245" s="220"/>
      <x:c r="AW245" s="220"/>
      <x:c r="AX245" s="220"/>
      <x:c r="AY245" s="221"/>
      <x:c r="AZ245" s="220"/>
      <x:c r="BA245" s="220" t="str">
        <x:f>IF(AND(A245="",B245="",F245="",H245="",J245="",AW245="",AY245=""),"",IF(OR(B245="skip",AW245="skip"),"SKIP",IF(OR(B245="to_candidate",AW245="proposed_name"),IF(OR(A245="",AX245="",AY245="",COUNTIF($A$6:$A$505,A245)&gt;1),"REVIEW","TO_PROPOSED"),IF(OR(B245="",A245="",F245="",H245="",J245="",U245="",AW245="",COUNTIF($A$6:$A$505,A245)&gt;1,(COUNTIFS('أرقام التواصل'!$A$6:$A$505,"client",'أرقام التواصل'!$B$6:$B$505,A245,'أرقام التواصل'!$I$6:$I$505,"TRUE")+COUNTIFS('أرقام التواصل'!$A$6:$A$505,"client",'أرقام التواصل'!$B$6:$B$505,A245,'أرقام التواصل'!$C$6:$C$505,1))=0),"REVIEW","READY"))))</x:f>
      </x:c>
      <x:c r="BB245" s="224" t="str">
        <x:f>IF(BA245="","",IF(OR(BA245="READY",BA245="TO_PROPOSED"),"",IF(BA245="SKIP","Skipped by decision",TRIM(IF(B245="","missing import_action; ","")&amp;IF(A245="","missing migration_customer_key; ","")&amp;IF(AND(A245&lt;&gt;"",COUNTIF($A$6:$A$505,A245)&gt;1),"duplicate migration_customer_key; ","")&amp;IF(AND(NOT(OR(B245="to_candidate",AW245="proposed_name")),F245=""),"missing branch_id; ","")&amp;IF(AND(NOT(OR(B245="to_candidate",AW245="proposed_name")),H245=""),"missing first_name; ","")&amp;IF(AND(NOT(OR(B245="to_candidate",AW245="proposed_name")),J245=""),"missing last_name; ","")&amp;IF(AND(NOT(OR(B245="to_candidate",AW245="proposed_name")),U245=""),"missing final_geo_unit_id; ","")&amp;IF(AW245="","missing final_destination; ","")&amp;IF(AND(NOT(OR(B245="to_candidate",AW245="proposed_name")),(COUNTIFS('أرقام التواصل'!$A$6:$A$505,"client",'أرقام التواصل'!$B$6:$B$505,A245,'أرقام التواصل'!$I$6:$I$505,"TRUE")+COUNTIFS('أرقام التواصل'!$A$6:$A$505,"client",'أرقام التواصل'!$B$6:$B$505,A245,'أرقام التواصل'!$C$6:$C$505,1))=0),"missing primary contact in أرقام التواصل; ","")&amp;IF(OR(B245="to_candidate",AW245="proposed_name"),IF(AX245="","missing proposed_move_reason; ","")&amp;IF(AY245="","missing proposed_name_key; ",""),"")))))</x:f>
      </x:c>
    </x:row>
    <x:row r="246">
      <x:c r="A246" s="219"/>
      <x:c r="B246" s="220"/>
      <x:c r="C246" s="221"/>
      <x:c r="D246" s="220"/>
      <x:c r="E246" s="222"/>
      <x:c r="F246" s="220"/>
      <x:c r="G246" s="220"/>
      <x:c r="H246" s="220"/>
      <x:c r="I246" s="220"/>
      <x:c r="J246" s="220"/>
      <x:c r="K246" s="220"/>
      <x:c r="L246" s="220" t="str">
        <x:f>IF(TRIM(H246&amp;" "&amp;I246&amp;" "&amp;J246&amp;IF(K246&lt;&gt;""," ("&amp;K246&amp;")",""))="","",TRIM(H246&amp;" "&amp;I246&amp;" "&amp;J246&amp;IF(K246&lt;&gt;""," ("&amp;K246&amp;")","")))</x:f>
      </x:c>
      <x:c r="M246" s="220"/>
      <x:c r="N246" s="220"/>
      <x:c r="O246" s="220"/>
      <x:c r="P246" s="220"/>
      <x:c r="Q246" s="220"/>
      <x:c r="R246" s="220"/>
      <x:c r="S246" s="220"/>
      <x:c r="T246" s="220"/>
      <x:c r="U246" s="220" t="str">
        <x:f>IF(AND(M246="",O246="",Q246="",S246=""),"",IF(S246&lt;&gt;"",S246,IF(Q246&lt;&gt;"",Q246,IF(O246&lt;&gt;"",O246,M246))))</x:f>
      </x:c>
      <x:c r="V246" s="220" t="str">
        <x:f>IF(AND(N246="",P246="",R246="",T246=""),"",IF(T246&lt;&gt;"",T246,IF(R246&lt;&gt;"",R246,IF(P246&lt;&gt;"",P246,N246))))</x:f>
      </x:c>
      <x:c r="W246" s="221"/>
      <x:c r="X246" s="220"/>
      <x:c r="Y246" s="220"/>
      <x:c r="Z246" s="223"/>
      <x:c r="AA246" s="223"/>
      <x:c r="AB246" s="221"/>
      <x:c r="AC246" s="220"/>
      <x:c r="AD246" s="220"/>
      <x:c r="AE246" s="222"/>
      <x:c r="AF246" s="220"/>
      <x:c r="AG246" s="221"/>
      <x:c r="AH246" s="220"/>
      <x:c r="AI246" s="220"/>
      <x:c r="AJ246" s="222"/>
      <x:c r="AK246" s="220"/>
      <x:c r="AL246" s="220"/>
      <x:c r="AM246" s="220"/>
      <x:c r="AN246" s="220"/>
      <x:c r="AO246" s="220"/>
      <x:c r="AP246" s="220"/>
      <x:c r="AQ246" s="220"/>
      <x:c r="AR246" s="222"/>
      <x:c r="AS246" s="220"/>
      <x:c r="AT246" s="220"/>
      <x:c r="AU246" s="220"/>
      <x:c r="AV246" s="220"/>
      <x:c r="AW246" s="220"/>
      <x:c r="AX246" s="220"/>
      <x:c r="AY246" s="221"/>
      <x:c r="AZ246" s="220"/>
      <x:c r="BA246" s="220" t="str">
        <x:f>IF(AND(A246="",B246="",F246="",H246="",J246="",AW246="",AY246=""),"",IF(OR(B246="skip",AW246="skip"),"SKIP",IF(OR(B246="to_candidate",AW246="proposed_name"),IF(OR(A246="",AX246="",AY246="",COUNTIF($A$6:$A$505,A246)&gt;1),"REVIEW","TO_PROPOSED"),IF(OR(B246="",A246="",F246="",H246="",J246="",U246="",AW246="",COUNTIF($A$6:$A$505,A246)&gt;1,(COUNTIFS('أرقام التواصل'!$A$6:$A$505,"client",'أرقام التواصل'!$B$6:$B$505,A246,'أرقام التواصل'!$I$6:$I$505,"TRUE")+COUNTIFS('أرقام التواصل'!$A$6:$A$505,"client",'أرقام التواصل'!$B$6:$B$505,A246,'أرقام التواصل'!$C$6:$C$505,1))=0),"REVIEW","READY"))))</x:f>
      </x:c>
      <x:c r="BB246" s="224" t="str">
        <x:f>IF(BA246="","",IF(OR(BA246="READY",BA246="TO_PROPOSED"),"",IF(BA246="SKIP","Skipped by decision",TRIM(IF(B246="","missing import_action; ","")&amp;IF(A246="","missing migration_customer_key; ","")&amp;IF(AND(A246&lt;&gt;"",COUNTIF($A$6:$A$505,A246)&gt;1),"duplicate migration_customer_key; ","")&amp;IF(AND(NOT(OR(B246="to_candidate",AW246="proposed_name")),F246=""),"missing branch_id; ","")&amp;IF(AND(NOT(OR(B246="to_candidate",AW246="proposed_name")),H246=""),"missing first_name; ","")&amp;IF(AND(NOT(OR(B246="to_candidate",AW246="proposed_name")),J246=""),"missing last_name; ","")&amp;IF(AND(NOT(OR(B246="to_candidate",AW246="proposed_name")),U246=""),"missing final_geo_unit_id; ","")&amp;IF(AW246="","missing final_destination; ","")&amp;IF(AND(NOT(OR(B246="to_candidate",AW246="proposed_name")),(COUNTIFS('أرقام التواصل'!$A$6:$A$505,"client",'أرقام التواصل'!$B$6:$B$505,A246,'أرقام التواصل'!$I$6:$I$505,"TRUE")+COUNTIFS('أرقام التواصل'!$A$6:$A$505,"client",'أرقام التواصل'!$B$6:$B$505,A246,'أرقام التواصل'!$C$6:$C$505,1))=0),"missing primary contact in أرقام التواصل; ","")&amp;IF(OR(B246="to_candidate",AW246="proposed_name"),IF(AX246="","missing proposed_move_reason; ","")&amp;IF(AY246="","missing proposed_name_key; ",""),"")))))</x:f>
      </x:c>
    </x:row>
    <x:row r="247">
      <x:c r="A247" s="219"/>
      <x:c r="B247" s="220"/>
      <x:c r="C247" s="221"/>
      <x:c r="D247" s="220"/>
      <x:c r="E247" s="222"/>
      <x:c r="F247" s="220"/>
      <x:c r="G247" s="220"/>
      <x:c r="H247" s="220"/>
      <x:c r="I247" s="220"/>
      <x:c r="J247" s="220"/>
      <x:c r="K247" s="220"/>
      <x:c r="L247" s="220" t="str">
        <x:f>IF(TRIM(H247&amp;" "&amp;I247&amp;" "&amp;J247&amp;IF(K247&lt;&gt;""," ("&amp;K247&amp;")",""))="","",TRIM(H247&amp;" "&amp;I247&amp;" "&amp;J247&amp;IF(K247&lt;&gt;""," ("&amp;K247&amp;")","")))</x:f>
      </x:c>
      <x:c r="M247" s="220"/>
      <x:c r="N247" s="220"/>
      <x:c r="O247" s="220"/>
      <x:c r="P247" s="220"/>
      <x:c r="Q247" s="220"/>
      <x:c r="R247" s="220"/>
      <x:c r="S247" s="220"/>
      <x:c r="T247" s="220"/>
      <x:c r="U247" s="220" t="str">
        <x:f>IF(AND(M247="",O247="",Q247="",S247=""),"",IF(S247&lt;&gt;"",S247,IF(Q247&lt;&gt;"",Q247,IF(O247&lt;&gt;"",O247,M247))))</x:f>
      </x:c>
      <x:c r="V247" s="220" t="str">
        <x:f>IF(AND(N247="",P247="",R247="",T247=""),"",IF(T247&lt;&gt;"",T247,IF(R247&lt;&gt;"",R247,IF(P247&lt;&gt;"",P247,N247))))</x:f>
      </x:c>
      <x:c r="W247" s="221"/>
      <x:c r="X247" s="220"/>
      <x:c r="Y247" s="220"/>
      <x:c r="Z247" s="223"/>
      <x:c r="AA247" s="223"/>
      <x:c r="AB247" s="221"/>
      <x:c r="AC247" s="220"/>
      <x:c r="AD247" s="220"/>
      <x:c r="AE247" s="222"/>
      <x:c r="AF247" s="220"/>
      <x:c r="AG247" s="221"/>
      <x:c r="AH247" s="220"/>
      <x:c r="AI247" s="220"/>
      <x:c r="AJ247" s="222"/>
      <x:c r="AK247" s="220"/>
      <x:c r="AL247" s="220"/>
      <x:c r="AM247" s="220"/>
      <x:c r="AN247" s="220"/>
      <x:c r="AO247" s="220"/>
      <x:c r="AP247" s="220"/>
      <x:c r="AQ247" s="220"/>
      <x:c r="AR247" s="222"/>
      <x:c r="AS247" s="220"/>
      <x:c r="AT247" s="220"/>
      <x:c r="AU247" s="220"/>
      <x:c r="AV247" s="220"/>
      <x:c r="AW247" s="220"/>
      <x:c r="AX247" s="220"/>
      <x:c r="AY247" s="221"/>
      <x:c r="AZ247" s="220"/>
      <x:c r="BA247" s="220" t="str">
        <x:f>IF(AND(A247="",B247="",F247="",H247="",J247="",AW247="",AY247=""),"",IF(OR(B247="skip",AW247="skip"),"SKIP",IF(OR(B247="to_candidate",AW247="proposed_name"),IF(OR(A247="",AX247="",AY247="",COUNTIF($A$6:$A$505,A247)&gt;1),"REVIEW","TO_PROPOSED"),IF(OR(B247="",A247="",F247="",H247="",J247="",U247="",AW247="",COUNTIF($A$6:$A$505,A247)&gt;1,(COUNTIFS('أرقام التواصل'!$A$6:$A$505,"client",'أرقام التواصل'!$B$6:$B$505,A247,'أرقام التواصل'!$I$6:$I$505,"TRUE")+COUNTIFS('أرقام التواصل'!$A$6:$A$505,"client",'أرقام التواصل'!$B$6:$B$505,A247,'أرقام التواصل'!$C$6:$C$505,1))=0),"REVIEW","READY"))))</x:f>
      </x:c>
      <x:c r="BB247" s="224" t="str">
        <x:f>IF(BA247="","",IF(OR(BA247="READY",BA247="TO_PROPOSED"),"",IF(BA247="SKIP","Skipped by decision",TRIM(IF(B247="","missing import_action; ","")&amp;IF(A247="","missing migration_customer_key; ","")&amp;IF(AND(A247&lt;&gt;"",COUNTIF($A$6:$A$505,A247)&gt;1),"duplicate migration_customer_key; ","")&amp;IF(AND(NOT(OR(B247="to_candidate",AW247="proposed_name")),F247=""),"missing branch_id; ","")&amp;IF(AND(NOT(OR(B247="to_candidate",AW247="proposed_name")),H247=""),"missing first_name; ","")&amp;IF(AND(NOT(OR(B247="to_candidate",AW247="proposed_name")),J247=""),"missing last_name; ","")&amp;IF(AND(NOT(OR(B247="to_candidate",AW247="proposed_name")),U247=""),"missing final_geo_unit_id; ","")&amp;IF(AW247="","missing final_destination; ","")&amp;IF(AND(NOT(OR(B247="to_candidate",AW247="proposed_name")),(COUNTIFS('أرقام التواصل'!$A$6:$A$505,"client",'أرقام التواصل'!$B$6:$B$505,A247,'أرقام التواصل'!$I$6:$I$505,"TRUE")+COUNTIFS('أرقام التواصل'!$A$6:$A$505,"client",'أرقام التواصل'!$B$6:$B$505,A247,'أرقام التواصل'!$C$6:$C$505,1))=0),"missing primary contact in أرقام التواصل; ","")&amp;IF(OR(B247="to_candidate",AW247="proposed_name"),IF(AX247="","missing proposed_move_reason; ","")&amp;IF(AY247="","missing proposed_name_key; ",""),"")))))</x:f>
      </x:c>
    </x:row>
    <x:row r="248">
      <x:c r="A248" s="219"/>
      <x:c r="B248" s="220"/>
      <x:c r="C248" s="221"/>
      <x:c r="D248" s="220"/>
      <x:c r="E248" s="222"/>
      <x:c r="F248" s="220"/>
      <x:c r="G248" s="220"/>
      <x:c r="H248" s="220"/>
      <x:c r="I248" s="220"/>
      <x:c r="J248" s="220"/>
      <x:c r="K248" s="220"/>
      <x:c r="L248" s="220" t="str">
        <x:f>IF(TRIM(H248&amp;" "&amp;I248&amp;" "&amp;J248&amp;IF(K248&lt;&gt;""," ("&amp;K248&amp;")",""))="","",TRIM(H248&amp;" "&amp;I248&amp;" "&amp;J248&amp;IF(K248&lt;&gt;""," ("&amp;K248&amp;")","")))</x:f>
      </x:c>
      <x:c r="M248" s="220"/>
      <x:c r="N248" s="220"/>
      <x:c r="O248" s="220"/>
      <x:c r="P248" s="220"/>
      <x:c r="Q248" s="220"/>
      <x:c r="R248" s="220"/>
      <x:c r="S248" s="220"/>
      <x:c r="T248" s="220"/>
      <x:c r="U248" s="220" t="str">
        <x:f>IF(AND(M248="",O248="",Q248="",S248=""),"",IF(S248&lt;&gt;"",S248,IF(Q248&lt;&gt;"",Q248,IF(O248&lt;&gt;"",O248,M248))))</x:f>
      </x:c>
      <x:c r="V248" s="220" t="str">
        <x:f>IF(AND(N248="",P248="",R248="",T248=""),"",IF(T248&lt;&gt;"",T248,IF(R248&lt;&gt;"",R248,IF(P248&lt;&gt;"",P248,N248))))</x:f>
      </x:c>
      <x:c r="W248" s="221"/>
      <x:c r="X248" s="220"/>
      <x:c r="Y248" s="220"/>
      <x:c r="Z248" s="223"/>
      <x:c r="AA248" s="223"/>
      <x:c r="AB248" s="221"/>
      <x:c r="AC248" s="220"/>
      <x:c r="AD248" s="220"/>
      <x:c r="AE248" s="222"/>
      <x:c r="AF248" s="220"/>
      <x:c r="AG248" s="221"/>
      <x:c r="AH248" s="220"/>
      <x:c r="AI248" s="220"/>
      <x:c r="AJ248" s="222"/>
      <x:c r="AK248" s="220"/>
      <x:c r="AL248" s="220"/>
      <x:c r="AM248" s="220"/>
      <x:c r="AN248" s="220"/>
      <x:c r="AO248" s="220"/>
      <x:c r="AP248" s="220"/>
      <x:c r="AQ248" s="220"/>
      <x:c r="AR248" s="222"/>
      <x:c r="AS248" s="220"/>
      <x:c r="AT248" s="220"/>
      <x:c r="AU248" s="220"/>
      <x:c r="AV248" s="220"/>
      <x:c r="AW248" s="220"/>
      <x:c r="AX248" s="220"/>
      <x:c r="AY248" s="221"/>
      <x:c r="AZ248" s="220"/>
      <x:c r="BA248" s="220" t="str">
        <x:f>IF(AND(A248="",B248="",F248="",H248="",J248="",AW248="",AY248=""),"",IF(OR(B248="skip",AW248="skip"),"SKIP",IF(OR(B248="to_candidate",AW248="proposed_name"),IF(OR(A248="",AX248="",AY248="",COUNTIF($A$6:$A$505,A248)&gt;1),"REVIEW","TO_PROPOSED"),IF(OR(B248="",A248="",F248="",H248="",J248="",U248="",AW248="",COUNTIF($A$6:$A$505,A248)&gt;1,(COUNTIFS('أرقام التواصل'!$A$6:$A$505,"client",'أرقام التواصل'!$B$6:$B$505,A248,'أرقام التواصل'!$I$6:$I$505,"TRUE")+COUNTIFS('أرقام التواصل'!$A$6:$A$505,"client",'أرقام التواصل'!$B$6:$B$505,A248,'أرقام التواصل'!$C$6:$C$505,1))=0),"REVIEW","READY"))))</x:f>
      </x:c>
      <x:c r="BB248" s="224" t="str">
        <x:f>IF(BA248="","",IF(OR(BA248="READY",BA248="TO_PROPOSED"),"",IF(BA248="SKIP","Skipped by decision",TRIM(IF(B248="","missing import_action; ","")&amp;IF(A248="","missing migration_customer_key; ","")&amp;IF(AND(A248&lt;&gt;"",COUNTIF($A$6:$A$505,A248)&gt;1),"duplicate migration_customer_key; ","")&amp;IF(AND(NOT(OR(B248="to_candidate",AW248="proposed_name")),F248=""),"missing branch_id; ","")&amp;IF(AND(NOT(OR(B248="to_candidate",AW248="proposed_name")),H248=""),"missing first_name; ","")&amp;IF(AND(NOT(OR(B248="to_candidate",AW248="proposed_name")),J248=""),"missing last_name; ","")&amp;IF(AND(NOT(OR(B248="to_candidate",AW248="proposed_name")),U248=""),"missing final_geo_unit_id; ","")&amp;IF(AW248="","missing final_destination; ","")&amp;IF(AND(NOT(OR(B248="to_candidate",AW248="proposed_name")),(COUNTIFS('أرقام التواصل'!$A$6:$A$505,"client",'أرقام التواصل'!$B$6:$B$505,A248,'أرقام التواصل'!$I$6:$I$505,"TRUE")+COUNTIFS('أرقام التواصل'!$A$6:$A$505,"client",'أرقام التواصل'!$B$6:$B$505,A248,'أرقام التواصل'!$C$6:$C$505,1))=0),"missing primary contact in أرقام التواصل; ","")&amp;IF(OR(B248="to_candidate",AW248="proposed_name"),IF(AX248="","missing proposed_move_reason; ","")&amp;IF(AY248="","missing proposed_name_key; ",""),"")))))</x:f>
      </x:c>
    </x:row>
    <x:row r="249">
      <x:c r="A249" s="219"/>
      <x:c r="B249" s="220"/>
      <x:c r="C249" s="221"/>
      <x:c r="D249" s="220"/>
      <x:c r="E249" s="222"/>
      <x:c r="F249" s="220"/>
      <x:c r="G249" s="220"/>
      <x:c r="H249" s="220"/>
      <x:c r="I249" s="220"/>
      <x:c r="J249" s="220"/>
      <x:c r="K249" s="220"/>
      <x:c r="L249" s="220" t="str">
        <x:f>IF(TRIM(H249&amp;" "&amp;I249&amp;" "&amp;J249&amp;IF(K249&lt;&gt;""," ("&amp;K249&amp;")",""))="","",TRIM(H249&amp;" "&amp;I249&amp;" "&amp;J249&amp;IF(K249&lt;&gt;""," ("&amp;K249&amp;")","")))</x:f>
      </x:c>
      <x:c r="M249" s="220"/>
      <x:c r="N249" s="220"/>
      <x:c r="O249" s="220"/>
      <x:c r="P249" s="220"/>
      <x:c r="Q249" s="220"/>
      <x:c r="R249" s="220"/>
      <x:c r="S249" s="220"/>
      <x:c r="T249" s="220"/>
      <x:c r="U249" s="220" t="str">
        <x:f>IF(AND(M249="",O249="",Q249="",S249=""),"",IF(S249&lt;&gt;"",S249,IF(Q249&lt;&gt;"",Q249,IF(O249&lt;&gt;"",O249,M249))))</x:f>
      </x:c>
      <x:c r="V249" s="220" t="str">
        <x:f>IF(AND(N249="",P249="",R249="",T249=""),"",IF(T249&lt;&gt;"",T249,IF(R249&lt;&gt;"",R249,IF(P249&lt;&gt;"",P249,N249))))</x:f>
      </x:c>
      <x:c r="W249" s="221"/>
      <x:c r="X249" s="220"/>
      <x:c r="Y249" s="220"/>
      <x:c r="Z249" s="223"/>
      <x:c r="AA249" s="223"/>
      <x:c r="AB249" s="221"/>
      <x:c r="AC249" s="220"/>
      <x:c r="AD249" s="220"/>
      <x:c r="AE249" s="222"/>
      <x:c r="AF249" s="220"/>
      <x:c r="AG249" s="221"/>
      <x:c r="AH249" s="220"/>
      <x:c r="AI249" s="220"/>
      <x:c r="AJ249" s="222"/>
      <x:c r="AK249" s="220"/>
      <x:c r="AL249" s="220"/>
      <x:c r="AM249" s="220"/>
      <x:c r="AN249" s="220"/>
      <x:c r="AO249" s="220"/>
      <x:c r="AP249" s="220"/>
      <x:c r="AQ249" s="220"/>
      <x:c r="AR249" s="222"/>
      <x:c r="AS249" s="220"/>
      <x:c r="AT249" s="220"/>
      <x:c r="AU249" s="220"/>
      <x:c r="AV249" s="220"/>
      <x:c r="AW249" s="220"/>
      <x:c r="AX249" s="220"/>
      <x:c r="AY249" s="221"/>
      <x:c r="AZ249" s="220"/>
      <x:c r="BA249" s="220" t="str">
        <x:f>IF(AND(A249="",B249="",F249="",H249="",J249="",AW249="",AY249=""),"",IF(OR(B249="skip",AW249="skip"),"SKIP",IF(OR(B249="to_candidate",AW249="proposed_name"),IF(OR(A249="",AX249="",AY249="",COUNTIF($A$6:$A$505,A249)&gt;1),"REVIEW","TO_PROPOSED"),IF(OR(B249="",A249="",F249="",H249="",J249="",U249="",AW249="",COUNTIF($A$6:$A$505,A249)&gt;1,(COUNTIFS('أرقام التواصل'!$A$6:$A$505,"client",'أرقام التواصل'!$B$6:$B$505,A249,'أرقام التواصل'!$I$6:$I$505,"TRUE")+COUNTIFS('أرقام التواصل'!$A$6:$A$505,"client",'أرقام التواصل'!$B$6:$B$505,A249,'أرقام التواصل'!$C$6:$C$505,1))=0),"REVIEW","READY"))))</x:f>
      </x:c>
      <x:c r="BB249" s="224" t="str">
        <x:f>IF(BA249="","",IF(OR(BA249="READY",BA249="TO_PROPOSED"),"",IF(BA249="SKIP","Skipped by decision",TRIM(IF(B249="","missing import_action; ","")&amp;IF(A249="","missing migration_customer_key; ","")&amp;IF(AND(A249&lt;&gt;"",COUNTIF($A$6:$A$505,A249)&gt;1),"duplicate migration_customer_key; ","")&amp;IF(AND(NOT(OR(B249="to_candidate",AW249="proposed_name")),F249=""),"missing branch_id; ","")&amp;IF(AND(NOT(OR(B249="to_candidate",AW249="proposed_name")),H249=""),"missing first_name; ","")&amp;IF(AND(NOT(OR(B249="to_candidate",AW249="proposed_name")),J249=""),"missing last_name; ","")&amp;IF(AND(NOT(OR(B249="to_candidate",AW249="proposed_name")),U249=""),"missing final_geo_unit_id; ","")&amp;IF(AW249="","missing final_destination; ","")&amp;IF(AND(NOT(OR(B249="to_candidate",AW249="proposed_name")),(COUNTIFS('أرقام التواصل'!$A$6:$A$505,"client",'أرقام التواصل'!$B$6:$B$505,A249,'أرقام التواصل'!$I$6:$I$505,"TRUE")+COUNTIFS('أرقام التواصل'!$A$6:$A$505,"client",'أرقام التواصل'!$B$6:$B$505,A249,'أرقام التواصل'!$C$6:$C$505,1))=0),"missing primary contact in أرقام التواصل; ","")&amp;IF(OR(B249="to_candidate",AW249="proposed_name"),IF(AX249="","missing proposed_move_reason; ","")&amp;IF(AY249="","missing proposed_name_key; ",""),"")))))</x:f>
      </x:c>
    </x:row>
    <x:row r="250">
      <x:c r="A250" s="219"/>
      <x:c r="B250" s="220"/>
      <x:c r="C250" s="221"/>
      <x:c r="D250" s="220"/>
      <x:c r="E250" s="222"/>
      <x:c r="F250" s="220"/>
      <x:c r="G250" s="220"/>
      <x:c r="H250" s="220"/>
      <x:c r="I250" s="220"/>
      <x:c r="J250" s="220"/>
      <x:c r="K250" s="220"/>
      <x:c r="L250" s="220" t="str">
        <x:f>IF(TRIM(H250&amp;" "&amp;I250&amp;" "&amp;J250&amp;IF(K250&lt;&gt;""," ("&amp;K250&amp;")",""))="","",TRIM(H250&amp;" "&amp;I250&amp;" "&amp;J250&amp;IF(K250&lt;&gt;""," ("&amp;K250&amp;")","")))</x:f>
      </x:c>
      <x:c r="M250" s="220"/>
      <x:c r="N250" s="220"/>
      <x:c r="O250" s="220"/>
      <x:c r="P250" s="220"/>
      <x:c r="Q250" s="220"/>
      <x:c r="R250" s="220"/>
      <x:c r="S250" s="220"/>
      <x:c r="T250" s="220"/>
      <x:c r="U250" s="220" t="str">
        <x:f>IF(AND(M250="",O250="",Q250="",S250=""),"",IF(S250&lt;&gt;"",S250,IF(Q250&lt;&gt;"",Q250,IF(O250&lt;&gt;"",O250,M250))))</x:f>
      </x:c>
      <x:c r="V250" s="220" t="str">
        <x:f>IF(AND(N250="",P250="",R250="",T250=""),"",IF(T250&lt;&gt;"",T250,IF(R250&lt;&gt;"",R250,IF(P250&lt;&gt;"",P250,N250))))</x:f>
      </x:c>
      <x:c r="W250" s="221"/>
      <x:c r="X250" s="220"/>
      <x:c r="Y250" s="220"/>
      <x:c r="Z250" s="223"/>
      <x:c r="AA250" s="223"/>
      <x:c r="AB250" s="221"/>
      <x:c r="AC250" s="220"/>
      <x:c r="AD250" s="220"/>
      <x:c r="AE250" s="222"/>
      <x:c r="AF250" s="220"/>
      <x:c r="AG250" s="221"/>
      <x:c r="AH250" s="220"/>
      <x:c r="AI250" s="220"/>
      <x:c r="AJ250" s="222"/>
      <x:c r="AK250" s="220"/>
      <x:c r="AL250" s="220"/>
      <x:c r="AM250" s="220"/>
      <x:c r="AN250" s="220"/>
      <x:c r="AO250" s="220"/>
      <x:c r="AP250" s="220"/>
      <x:c r="AQ250" s="220"/>
      <x:c r="AR250" s="222"/>
      <x:c r="AS250" s="220"/>
      <x:c r="AT250" s="220"/>
      <x:c r="AU250" s="220"/>
      <x:c r="AV250" s="220"/>
      <x:c r="AW250" s="220"/>
      <x:c r="AX250" s="220"/>
      <x:c r="AY250" s="221"/>
      <x:c r="AZ250" s="220"/>
      <x:c r="BA250" s="220" t="str">
        <x:f>IF(AND(A250="",B250="",F250="",H250="",J250="",AW250="",AY250=""),"",IF(OR(B250="skip",AW250="skip"),"SKIP",IF(OR(B250="to_candidate",AW250="proposed_name"),IF(OR(A250="",AX250="",AY250="",COUNTIF($A$6:$A$505,A250)&gt;1),"REVIEW","TO_PROPOSED"),IF(OR(B250="",A250="",F250="",H250="",J250="",U250="",AW250="",COUNTIF($A$6:$A$505,A250)&gt;1,(COUNTIFS('أرقام التواصل'!$A$6:$A$505,"client",'أرقام التواصل'!$B$6:$B$505,A250,'أرقام التواصل'!$I$6:$I$505,"TRUE")+COUNTIFS('أرقام التواصل'!$A$6:$A$505,"client",'أرقام التواصل'!$B$6:$B$505,A250,'أرقام التواصل'!$C$6:$C$505,1))=0),"REVIEW","READY"))))</x:f>
      </x:c>
      <x:c r="BB250" s="224" t="str">
        <x:f>IF(BA250="","",IF(OR(BA250="READY",BA250="TO_PROPOSED"),"",IF(BA250="SKIP","Skipped by decision",TRIM(IF(B250="","missing import_action; ","")&amp;IF(A250="","missing migration_customer_key; ","")&amp;IF(AND(A250&lt;&gt;"",COUNTIF($A$6:$A$505,A250)&gt;1),"duplicate migration_customer_key; ","")&amp;IF(AND(NOT(OR(B250="to_candidate",AW250="proposed_name")),F250=""),"missing branch_id; ","")&amp;IF(AND(NOT(OR(B250="to_candidate",AW250="proposed_name")),H250=""),"missing first_name; ","")&amp;IF(AND(NOT(OR(B250="to_candidate",AW250="proposed_name")),J250=""),"missing last_name; ","")&amp;IF(AND(NOT(OR(B250="to_candidate",AW250="proposed_name")),U250=""),"missing final_geo_unit_id; ","")&amp;IF(AW250="","missing final_destination; ","")&amp;IF(AND(NOT(OR(B250="to_candidate",AW250="proposed_name")),(COUNTIFS('أرقام التواصل'!$A$6:$A$505,"client",'أرقام التواصل'!$B$6:$B$505,A250,'أرقام التواصل'!$I$6:$I$505,"TRUE")+COUNTIFS('أرقام التواصل'!$A$6:$A$505,"client",'أرقام التواصل'!$B$6:$B$505,A250,'أرقام التواصل'!$C$6:$C$505,1))=0),"missing primary contact in أرقام التواصل; ","")&amp;IF(OR(B250="to_candidate",AW250="proposed_name"),IF(AX250="","missing proposed_move_reason; ","")&amp;IF(AY250="","missing proposed_name_key; ",""),"")))))</x:f>
      </x:c>
    </x:row>
    <x:row r="251">
      <x:c r="A251" s="219"/>
      <x:c r="B251" s="220"/>
      <x:c r="C251" s="221"/>
      <x:c r="D251" s="220"/>
      <x:c r="E251" s="222"/>
      <x:c r="F251" s="220"/>
      <x:c r="G251" s="220"/>
      <x:c r="H251" s="220"/>
      <x:c r="I251" s="220"/>
      <x:c r="J251" s="220"/>
      <x:c r="K251" s="220"/>
      <x:c r="L251" s="220" t="str">
        <x:f>IF(TRIM(H251&amp;" "&amp;I251&amp;" "&amp;J251&amp;IF(K251&lt;&gt;""," ("&amp;K251&amp;")",""))="","",TRIM(H251&amp;" "&amp;I251&amp;" "&amp;J251&amp;IF(K251&lt;&gt;""," ("&amp;K251&amp;")","")))</x:f>
      </x:c>
      <x:c r="M251" s="220"/>
      <x:c r="N251" s="220"/>
      <x:c r="O251" s="220"/>
      <x:c r="P251" s="220"/>
      <x:c r="Q251" s="220"/>
      <x:c r="R251" s="220"/>
      <x:c r="S251" s="220"/>
      <x:c r="T251" s="220"/>
      <x:c r="U251" s="220" t="str">
        <x:f>IF(AND(M251="",O251="",Q251="",S251=""),"",IF(S251&lt;&gt;"",S251,IF(Q251&lt;&gt;"",Q251,IF(O251&lt;&gt;"",O251,M251))))</x:f>
      </x:c>
      <x:c r="V251" s="220" t="str">
        <x:f>IF(AND(N251="",P251="",R251="",T251=""),"",IF(T251&lt;&gt;"",T251,IF(R251&lt;&gt;"",R251,IF(P251&lt;&gt;"",P251,N251))))</x:f>
      </x:c>
      <x:c r="W251" s="221"/>
      <x:c r="X251" s="220"/>
      <x:c r="Y251" s="220"/>
      <x:c r="Z251" s="223"/>
      <x:c r="AA251" s="223"/>
      <x:c r="AB251" s="221"/>
      <x:c r="AC251" s="220"/>
      <x:c r="AD251" s="220"/>
      <x:c r="AE251" s="222"/>
      <x:c r="AF251" s="220"/>
      <x:c r="AG251" s="221"/>
      <x:c r="AH251" s="220"/>
      <x:c r="AI251" s="220"/>
      <x:c r="AJ251" s="222"/>
      <x:c r="AK251" s="220"/>
      <x:c r="AL251" s="220"/>
      <x:c r="AM251" s="220"/>
      <x:c r="AN251" s="220"/>
      <x:c r="AO251" s="220"/>
      <x:c r="AP251" s="220"/>
      <x:c r="AQ251" s="220"/>
      <x:c r="AR251" s="222"/>
      <x:c r="AS251" s="220"/>
      <x:c r="AT251" s="220"/>
      <x:c r="AU251" s="220"/>
      <x:c r="AV251" s="220"/>
      <x:c r="AW251" s="220"/>
      <x:c r="AX251" s="220"/>
      <x:c r="AY251" s="221"/>
      <x:c r="AZ251" s="220"/>
      <x:c r="BA251" s="220" t="str">
        <x:f>IF(AND(A251="",B251="",F251="",H251="",J251="",AW251="",AY251=""),"",IF(OR(B251="skip",AW251="skip"),"SKIP",IF(OR(B251="to_candidate",AW251="proposed_name"),IF(OR(A251="",AX251="",AY251="",COUNTIF($A$6:$A$505,A251)&gt;1),"REVIEW","TO_PROPOSED"),IF(OR(B251="",A251="",F251="",H251="",J251="",U251="",AW251="",COUNTIF($A$6:$A$505,A251)&gt;1,(COUNTIFS('أرقام التواصل'!$A$6:$A$505,"client",'أرقام التواصل'!$B$6:$B$505,A251,'أرقام التواصل'!$I$6:$I$505,"TRUE")+COUNTIFS('أرقام التواصل'!$A$6:$A$505,"client",'أرقام التواصل'!$B$6:$B$505,A251,'أرقام التواصل'!$C$6:$C$505,1))=0),"REVIEW","READY"))))</x:f>
      </x:c>
      <x:c r="BB251" s="224" t="str">
        <x:f>IF(BA251="","",IF(OR(BA251="READY",BA251="TO_PROPOSED"),"",IF(BA251="SKIP","Skipped by decision",TRIM(IF(B251="","missing import_action; ","")&amp;IF(A251="","missing migration_customer_key; ","")&amp;IF(AND(A251&lt;&gt;"",COUNTIF($A$6:$A$505,A251)&gt;1),"duplicate migration_customer_key; ","")&amp;IF(AND(NOT(OR(B251="to_candidate",AW251="proposed_name")),F251=""),"missing branch_id; ","")&amp;IF(AND(NOT(OR(B251="to_candidate",AW251="proposed_name")),H251=""),"missing first_name; ","")&amp;IF(AND(NOT(OR(B251="to_candidate",AW251="proposed_name")),J251=""),"missing last_name; ","")&amp;IF(AND(NOT(OR(B251="to_candidate",AW251="proposed_name")),U251=""),"missing final_geo_unit_id; ","")&amp;IF(AW251="","missing final_destination; ","")&amp;IF(AND(NOT(OR(B251="to_candidate",AW251="proposed_name")),(COUNTIFS('أرقام التواصل'!$A$6:$A$505,"client",'أرقام التواصل'!$B$6:$B$505,A251,'أرقام التواصل'!$I$6:$I$505,"TRUE")+COUNTIFS('أرقام التواصل'!$A$6:$A$505,"client",'أرقام التواصل'!$B$6:$B$505,A251,'أرقام التواصل'!$C$6:$C$505,1))=0),"missing primary contact in أرقام التواصل; ","")&amp;IF(OR(B251="to_candidate",AW251="proposed_name"),IF(AX251="","missing proposed_move_reason; ","")&amp;IF(AY251="","missing proposed_name_key; ",""),"")))))</x:f>
      </x:c>
    </x:row>
    <x:row r="252">
      <x:c r="A252" s="219"/>
      <x:c r="B252" s="220"/>
      <x:c r="C252" s="221"/>
      <x:c r="D252" s="220"/>
      <x:c r="E252" s="222"/>
      <x:c r="F252" s="220"/>
      <x:c r="G252" s="220"/>
      <x:c r="H252" s="220"/>
      <x:c r="I252" s="220"/>
      <x:c r="J252" s="220"/>
      <x:c r="K252" s="220"/>
      <x:c r="L252" s="220" t="str">
        <x:f>IF(TRIM(H252&amp;" "&amp;I252&amp;" "&amp;J252&amp;IF(K252&lt;&gt;""," ("&amp;K252&amp;")",""))="","",TRIM(H252&amp;" "&amp;I252&amp;" "&amp;J252&amp;IF(K252&lt;&gt;""," ("&amp;K252&amp;")","")))</x:f>
      </x:c>
      <x:c r="M252" s="220"/>
      <x:c r="N252" s="220"/>
      <x:c r="O252" s="220"/>
      <x:c r="P252" s="220"/>
      <x:c r="Q252" s="220"/>
      <x:c r="R252" s="220"/>
      <x:c r="S252" s="220"/>
      <x:c r="T252" s="220"/>
      <x:c r="U252" s="220" t="str">
        <x:f>IF(AND(M252="",O252="",Q252="",S252=""),"",IF(S252&lt;&gt;"",S252,IF(Q252&lt;&gt;"",Q252,IF(O252&lt;&gt;"",O252,M252))))</x:f>
      </x:c>
      <x:c r="V252" s="220" t="str">
        <x:f>IF(AND(N252="",P252="",R252="",T252=""),"",IF(T252&lt;&gt;"",T252,IF(R252&lt;&gt;"",R252,IF(P252&lt;&gt;"",P252,N252))))</x:f>
      </x:c>
      <x:c r="W252" s="221"/>
      <x:c r="X252" s="220"/>
      <x:c r="Y252" s="220"/>
      <x:c r="Z252" s="223"/>
      <x:c r="AA252" s="223"/>
      <x:c r="AB252" s="221"/>
      <x:c r="AC252" s="220"/>
      <x:c r="AD252" s="220"/>
      <x:c r="AE252" s="222"/>
      <x:c r="AF252" s="220"/>
      <x:c r="AG252" s="221"/>
      <x:c r="AH252" s="220"/>
      <x:c r="AI252" s="220"/>
      <x:c r="AJ252" s="222"/>
      <x:c r="AK252" s="220"/>
      <x:c r="AL252" s="220"/>
      <x:c r="AM252" s="220"/>
      <x:c r="AN252" s="220"/>
      <x:c r="AO252" s="220"/>
      <x:c r="AP252" s="220"/>
      <x:c r="AQ252" s="220"/>
      <x:c r="AR252" s="222"/>
      <x:c r="AS252" s="220"/>
      <x:c r="AT252" s="220"/>
      <x:c r="AU252" s="220"/>
      <x:c r="AV252" s="220"/>
      <x:c r="AW252" s="220"/>
      <x:c r="AX252" s="220"/>
      <x:c r="AY252" s="221"/>
      <x:c r="AZ252" s="220"/>
      <x:c r="BA252" s="220" t="str">
        <x:f>IF(AND(A252="",B252="",F252="",H252="",J252="",AW252="",AY252=""),"",IF(OR(B252="skip",AW252="skip"),"SKIP",IF(OR(B252="to_candidate",AW252="proposed_name"),IF(OR(A252="",AX252="",AY252="",COUNTIF($A$6:$A$505,A252)&gt;1),"REVIEW","TO_PROPOSED"),IF(OR(B252="",A252="",F252="",H252="",J252="",U252="",AW252="",COUNTIF($A$6:$A$505,A252)&gt;1,(COUNTIFS('أرقام التواصل'!$A$6:$A$505,"client",'أرقام التواصل'!$B$6:$B$505,A252,'أرقام التواصل'!$I$6:$I$505,"TRUE")+COUNTIFS('أرقام التواصل'!$A$6:$A$505,"client",'أرقام التواصل'!$B$6:$B$505,A252,'أرقام التواصل'!$C$6:$C$505,1))=0),"REVIEW","READY"))))</x:f>
      </x:c>
      <x:c r="BB252" s="224" t="str">
        <x:f>IF(BA252="","",IF(OR(BA252="READY",BA252="TO_PROPOSED"),"",IF(BA252="SKIP","Skipped by decision",TRIM(IF(B252="","missing import_action; ","")&amp;IF(A252="","missing migration_customer_key; ","")&amp;IF(AND(A252&lt;&gt;"",COUNTIF($A$6:$A$505,A252)&gt;1),"duplicate migration_customer_key; ","")&amp;IF(AND(NOT(OR(B252="to_candidate",AW252="proposed_name")),F252=""),"missing branch_id; ","")&amp;IF(AND(NOT(OR(B252="to_candidate",AW252="proposed_name")),H252=""),"missing first_name; ","")&amp;IF(AND(NOT(OR(B252="to_candidate",AW252="proposed_name")),J252=""),"missing last_name; ","")&amp;IF(AND(NOT(OR(B252="to_candidate",AW252="proposed_name")),U252=""),"missing final_geo_unit_id; ","")&amp;IF(AW252="","missing final_destination; ","")&amp;IF(AND(NOT(OR(B252="to_candidate",AW252="proposed_name")),(COUNTIFS('أرقام التواصل'!$A$6:$A$505,"client",'أرقام التواصل'!$B$6:$B$505,A252,'أرقام التواصل'!$I$6:$I$505,"TRUE")+COUNTIFS('أرقام التواصل'!$A$6:$A$505,"client",'أرقام التواصل'!$B$6:$B$505,A252,'أرقام التواصل'!$C$6:$C$505,1))=0),"missing primary contact in أرقام التواصل; ","")&amp;IF(OR(B252="to_candidate",AW252="proposed_name"),IF(AX252="","missing proposed_move_reason; ","")&amp;IF(AY252="","missing proposed_name_key; ",""),"")))))</x:f>
      </x:c>
    </x:row>
    <x:row r="253">
      <x:c r="A253" s="219"/>
      <x:c r="B253" s="220"/>
      <x:c r="C253" s="221"/>
      <x:c r="D253" s="220"/>
      <x:c r="E253" s="222"/>
      <x:c r="F253" s="220"/>
      <x:c r="G253" s="220"/>
      <x:c r="H253" s="220"/>
      <x:c r="I253" s="220"/>
      <x:c r="J253" s="220"/>
      <x:c r="K253" s="220"/>
      <x:c r="L253" s="220" t="str">
        <x:f>IF(TRIM(H253&amp;" "&amp;I253&amp;" "&amp;J253&amp;IF(K253&lt;&gt;""," ("&amp;K253&amp;")",""))="","",TRIM(H253&amp;" "&amp;I253&amp;" "&amp;J253&amp;IF(K253&lt;&gt;""," ("&amp;K253&amp;")","")))</x:f>
      </x:c>
      <x:c r="M253" s="220"/>
      <x:c r="N253" s="220"/>
      <x:c r="O253" s="220"/>
      <x:c r="P253" s="220"/>
      <x:c r="Q253" s="220"/>
      <x:c r="R253" s="220"/>
      <x:c r="S253" s="220"/>
      <x:c r="T253" s="220"/>
      <x:c r="U253" s="220" t="str">
        <x:f>IF(AND(M253="",O253="",Q253="",S253=""),"",IF(S253&lt;&gt;"",S253,IF(Q253&lt;&gt;"",Q253,IF(O253&lt;&gt;"",O253,M253))))</x:f>
      </x:c>
      <x:c r="V253" s="220" t="str">
        <x:f>IF(AND(N253="",P253="",R253="",T253=""),"",IF(T253&lt;&gt;"",T253,IF(R253&lt;&gt;"",R253,IF(P253&lt;&gt;"",P253,N253))))</x:f>
      </x:c>
      <x:c r="W253" s="221"/>
      <x:c r="X253" s="220"/>
      <x:c r="Y253" s="220"/>
      <x:c r="Z253" s="223"/>
      <x:c r="AA253" s="223"/>
      <x:c r="AB253" s="221"/>
      <x:c r="AC253" s="220"/>
      <x:c r="AD253" s="220"/>
      <x:c r="AE253" s="222"/>
      <x:c r="AF253" s="220"/>
      <x:c r="AG253" s="221"/>
      <x:c r="AH253" s="220"/>
      <x:c r="AI253" s="220"/>
      <x:c r="AJ253" s="222"/>
      <x:c r="AK253" s="220"/>
      <x:c r="AL253" s="220"/>
      <x:c r="AM253" s="220"/>
      <x:c r="AN253" s="220"/>
      <x:c r="AO253" s="220"/>
      <x:c r="AP253" s="220"/>
      <x:c r="AQ253" s="220"/>
      <x:c r="AR253" s="222"/>
      <x:c r="AS253" s="220"/>
      <x:c r="AT253" s="220"/>
      <x:c r="AU253" s="220"/>
      <x:c r="AV253" s="220"/>
      <x:c r="AW253" s="220"/>
      <x:c r="AX253" s="220"/>
      <x:c r="AY253" s="221"/>
      <x:c r="AZ253" s="220"/>
      <x:c r="BA253" s="220" t="str">
        <x:f>IF(AND(A253="",B253="",F253="",H253="",J253="",AW253="",AY253=""),"",IF(OR(B253="skip",AW253="skip"),"SKIP",IF(OR(B253="to_candidate",AW253="proposed_name"),IF(OR(A253="",AX253="",AY253="",COUNTIF($A$6:$A$505,A253)&gt;1),"REVIEW","TO_PROPOSED"),IF(OR(B253="",A253="",F253="",H253="",J253="",U253="",AW253="",COUNTIF($A$6:$A$505,A253)&gt;1,(COUNTIFS('أرقام التواصل'!$A$6:$A$505,"client",'أرقام التواصل'!$B$6:$B$505,A253,'أرقام التواصل'!$I$6:$I$505,"TRUE")+COUNTIFS('أرقام التواصل'!$A$6:$A$505,"client",'أرقام التواصل'!$B$6:$B$505,A253,'أرقام التواصل'!$C$6:$C$505,1))=0),"REVIEW","READY"))))</x:f>
      </x:c>
      <x:c r="BB253" s="224" t="str">
        <x:f>IF(BA253="","",IF(OR(BA253="READY",BA253="TO_PROPOSED"),"",IF(BA253="SKIP","Skipped by decision",TRIM(IF(B253="","missing import_action; ","")&amp;IF(A253="","missing migration_customer_key; ","")&amp;IF(AND(A253&lt;&gt;"",COUNTIF($A$6:$A$505,A253)&gt;1),"duplicate migration_customer_key; ","")&amp;IF(AND(NOT(OR(B253="to_candidate",AW253="proposed_name")),F253=""),"missing branch_id; ","")&amp;IF(AND(NOT(OR(B253="to_candidate",AW253="proposed_name")),H253=""),"missing first_name; ","")&amp;IF(AND(NOT(OR(B253="to_candidate",AW253="proposed_name")),J253=""),"missing last_name; ","")&amp;IF(AND(NOT(OR(B253="to_candidate",AW253="proposed_name")),U253=""),"missing final_geo_unit_id; ","")&amp;IF(AW253="","missing final_destination; ","")&amp;IF(AND(NOT(OR(B253="to_candidate",AW253="proposed_name")),(COUNTIFS('أرقام التواصل'!$A$6:$A$505,"client",'أرقام التواصل'!$B$6:$B$505,A253,'أرقام التواصل'!$I$6:$I$505,"TRUE")+COUNTIFS('أرقام التواصل'!$A$6:$A$505,"client",'أرقام التواصل'!$B$6:$B$505,A253,'أرقام التواصل'!$C$6:$C$505,1))=0),"missing primary contact in أرقام التواصل; ","")&amp;IF(OR(B253="to_candidate",AW253="proposed_name"),IF(AX253="","missing proposed_move_reason; ","")&amp;IF(AY253="","missing proposed_name_key; ",""),"")))))</x:f>
      </x:c>
    </x:row>
    <x:row r="254">
      <x:c r="A254" s="219"/>
      <x:c r="B254" s="220"/>
      <x:c r="C254" s="221"/>
      <x:c r="D254" s="220"/>
      <x:c r="E254" s="222"/>
      <x:c r="F254" s="220"/>
      <x:c r="G254" s="220"/>
      <x:c r="H254" s="220"/>
      <x:c r="I254" s="220"/>
      <x:c r="J254" s="220"/>
      <x:c r="K254" s="220"/>
      <x:c r="L254" s="220" t="str">
        <x:f>IF(TRIM(H254&amp;" "&amp;I254&amp;" "&amp;J254&amp;IF(K254&lt;&gt;""," ("&amp;K254&amp;")",""))="","",TRIM(H254&amp;" "&amp;I254&amp;" "&amp;J254&amp;IF(K254&lt;&gt;""," ("&amp;K254&amp;")","")))</x:f>
      </x:c>
      <x:c r="M254" s="220"/>
      <x:c r="N254" s="220"/>
      <x:c r="O254" s="220"/>
      <x:c r="P254" s="220"/>
      <x:c r="Q254" s="220"/>
      <x:c r="R254" s="220"/>
      <x:c r="S254" s="220"/>
      <x:c r="T254" s="220"/>
      <x:c r="U254" s="220" t="str">
        <x:f>IF(AND(M254="",O254="",Q254="",S254=""),"",IF(S254&lt;&gt;"",S254,IF(Q254&lt;&gt;"",Q254,IF(O254&lt;&gt;"",O254,M254))))</x:f>
      </x:c>
      <x:c r="V254" s="220" t="str">
        <x:f>IF(AND(N254="",P254="",R254="",T254=""),"",IF(T254&lt;&gt;"",T254,IF(R254&lt;&gt;"",R254,IF(P254&lt;&gt;"",P254,N254))))</x:f>
      </x:c>
      <x:c r="W254" s="221"/>
      <x:c r="X254" s="220"/>
      <x:c r="Y254" s="220"/>
      <x:c r="Z254" s="223"/>
      <x:c r="AA254" s="223"/>
      <x:c r="AB254" s="221"/>
      <x:c r="AC254" s="220"/>
      <x:c r="AD254" s="220"/>
      <x:c r="AE254" s="222"/>
      <x:c r="AF254" s="220"/>
      <x:c r="AG254" s="221"/>
      <x:c r="AH254" s="220"/>
      <x:c r="AI254" s="220"/>
      <x:c r="AJ254" s="222"/>
      <x:c r="AK254" s="220"/>
      <x:c r="AL254" s="220"/>
      <x:c r="AM254" s="220"/>
      <x:c r="AN254" s="220"/>
      <x:c r="AO254" s="220"/>
      <x:c r="AP254" s="220"/>
      <x:c r="AQ254" s="220"/>
      <x:c r="AR254" s="222"/>
      <x:c r="AS254" s="220"/>
      <x:c r="AT254" s="220"/>
      <x:c r="AU254" s="220"/>
      <x:c r="AV254" s="220"/>
      <x:c r="AW254" s="220"/>
      <x:c r="AX254" s="220"/>
      <x:c r="AY254" s="221"/>
      <x:c r="AZ254" s="220"/>
      <x:c r="BA254" s="220" t="str">
        <x:f>IF(AND(A254="",B254="",F254="",H254="",J254="",AW254="",AY254=""),"",IF(OR(B254="skip",AW254="skip"),"SKIP",IF(OR(B254="to_candidate",AW254="proposed_name"),IF(OR(A254="",AX254="",AY254="",COUNTIF($A$6:$A$505,A254)&gt;1),"REVIEW","TO_PROPOSED"),IF(OR(B254="",A254="",F254="",H254="",J254="",U254="",AW254="",COUNTIF($A$6:$A$505,A254)&gt;1,(COUNTIFS('أرقام التواصل'!$A$6:$A$505,"client",'أرقام التواصل'!$B$6:$B$505,A254,'أرقام التواصل'!$I$6:$I$505,"TRUE")+COUNTIFS('أرقام التواصل'!$A$6:$A$505,"client",'أرقام التواصل'!$B$6:$B$505,A254,'أرقام التواصل'!$C$6:$C$505,1))=0),"REVIEW","READY"))))</x:f>
      </x:c>
      <x:c r="BB254" s="224" t="str">
        <x:f>IF(BA254="","",IF(OR(BA254="READY",BA254="TO_PROPOSED"),"",IF(BA254="SKIP","Skipped by decision",TRIM(IF(B254="","missing import_action; ","")&amp;IF(A254="","missing migration_customer_key; ","")&amp;IF(AND(A254&lt;&gt;"",COUNTIF($A$6:$A$505,A254)&gt;1),"duplicate migration_customer_key; ","")&amp;IF(AND(NOT(OR(B254="to_candidate",AW254="proposed_name")),F254=""),"missing branch_id; ","")&amp;IF(AND(NOT(OR(B254="to_candidate",AW254="proposed_name")),H254=""),"missing first_name; ","")&amp;IF(AND(NOT(OR(B254="to_candidate",AW254="proposed_name")),J254=""),"missing last_name; ","")&amp;IF(AND(NOT(OR(B254="to_candidate",AW254="proposed_name")),U254=""),"missing final_geo_unit_id; ","")&amp;IF(AW254="","missing final_destination; ","")&amp;IF(AND(NOT(OR(B254="to_candidate",AW254="proposed_name")),(COUNTIFS('أرقام التواصل'!$A$6:$A$505,"client",'أرقام التواصل'!$B$6:$B$505,A254,'أرقام التواصل'!$I$6:$I$505,"TRUE")+COUNTIFS('أرقام التواصل'!$A$6:$A$505,"client",'أرقام التواصل'!$B$6:$B$505,A254,'أرقام التواصل'!$C$6:$C$505,1))=0),"missing primary contact in أرقام التواصل; ","")&amp;IF(OR(B254="to_candidate",AW254="proposed_name"),IF(AX254="","missing proposed_move_reason; ","")&amp;IF(AY254="","missing proposed_name_key; ",""),"")))))</x:f>
      </x:c>
    </x:row>
    <x:row r="255">
      <x:c r="A255" s="219"/>
      <x:c r="B255" s="220"/>
      <x:c r="C255" s="221"/>
      <x:c r="D255" s="220"/>
      <x:c r="E255" s="222"/>
      <x:c r="F255" s="220"/>
      <x:c r="G255" s="220"/>
      <x:c r="H255" s="220"/>
      <x:c r="I255" s="220"/>
      <x:c r="J255" s="220"/>
      <x:c r="K255" s="220"/>
      <x:c r="L255" s="220" t="str">
        <x:f>IF(TRIM(H255&amp;" "&amp;I255&amp;" "&amp;J255&amp;IF(K255&lt;&gt;""," ("&amp;K255&amp;")",""))="","",TRIM(H255&amp;" "&amp;I255&amp;" "&amp;J255&amp;IF(K255&lt;&gt;""," ("&amp;K255&amp;")","")))</x:f>
      </x:c>
      <x:c r="M255" s="220"/>
      <x:c r="N255" s="220"/>
      <x:c r="O255" s="220"/>
      <x:c r="P255" s="220"/>
      <x:c r="Q255" s="220"/>
      <x:c r="R255" s="220"/>
      <x:c r="S255" s="220"/>
      <x:c r="T255" s="220"/>
      <x:c r="U255" s="220" t="str">
        <x:f>IF(AND(M255="",O255="",Q255="",S255=""),"",IF(S255&lt;&gt;"",S255,IF(Q255&lt;&gt;"",Q255,IF(O255&lt;&gt;"",O255,M255))))</x:f>
      </x:c>
      <x:c r="V255" s="220" t="str">
        <x:f>IF(AND(N255="",P255="",R255="",T255=""),"",IF(T255&lt;&gt;"",T255,IF(R255&lt;&gt;"",R255,IF(P255&lt;&gt;"",P255,N255))))</x:f>
      </x:c>
      <x:c r="W255" s="221"/>
      <x:c r="X255" s="220"/>
      <x:c r="Y255" s="220"/>
      <x:c r="Z255" s="223"/>
      <x:c r="AA255" s="223"/>
      <x:c r="AB255" s="221"/>
      <x:c r="AC255" s="220"/>
      <x:c r="AD255" s="220"/>
      <x:c r="AE255" s="222"/>
      <x:c r="AF255" s="220"/>
      <x:c r="AG255" s="221"/>
      <x:c r="AH255" s="220"/>
      <x:c r="AI255" s="220"/>
      <x:c r="AJ255" s="222"/>
      <x:c r="AK255" s="220"/>
      <x:c r="AL255" s="220"/>
      <x:c r="AM255" s="220"/>
      <x:c r="AN255" s="220"/>
      <x:c r="AO255" s="220"/>
      <x:c r="AP255" s="220"/>
      <x:c r="AQ255" s="220"/>
      <x:c r="AR255" s="222"/>
      <x:c r="AS255" s="220"/>
      <x:c r="AT255" s="220"/>
      <x:c r="AU255" s="220"/>
      <x:c r="AV255" s="220"/>
      <x:c r="AW255" s="220"/>
      <x:c r="AX255" s="220"/>
      <x:c r="AY255" s="221"/>
      <x:c r="AZ255" s="220"/>
      <x:c r="BA255" s="220" t="str">
        <x:f>IF(AND(A255="",B255="",F255="",H255="",J255="",AW255="",AY255=""),"",IF(OR(B255="skip",AW255="skip"),"SKIP",IF(OR(B255="to_candidate",AW255="proposed_name"),IF(OR(A255="",AX255="",AY255="",COUNTIF($A$6:$A$505,A255)&gt;1),"REVIEW","TO_PROPOSED"),IF(OR(B255="",A255="",F255="",H255="",J255="",U255="",AW255="",COUNTIF($A$6:$A$505,A255)&gt;1,(COUNTIFS('أرقام التواصل'!$A$6:$A$505,"client",'أرقام التواصل'!$B$6:$B$505,A255,'أرقام التواصل'!$I$6:$I$505,"TRUE")+COUNTIFS('أرقام التواصل'!$A$6:$A$505,"client",'أرقام التواصل'!$B$6:$B$505,A255,'أرقام التواصل'!$C$6:$C$505,1))=0),"REVIEW","READY"))))</x:f>
      </x:c>
      <x:c r="BB255" s="224" t="str">
        <x:f>IF(BA255="","",IF(OR(BA255="READY",BA255="TO_PROPOSED"),"",IF(BA255="SKIP","Skipped by decision",TRIM(IF(B255="","missing import_action; ","")&amp;IF(A255="","missing migration_customer_key; ","")&amp;IF(AND(A255&lt;&gt;"",COUNTIF($A$6:$A$505,A255)&gt;1),"duplicate migration_customer_key; ","")&amp;IF(AND(NOT(OR(B255="to_candidate",AW255="proposed_name")),F255=""),"missing branch_id; ","")&amp;IF(AND(NOT(OR(B255="to_candidate",AW255="proposed_name")),H255=""),"missing first_name; ","")&amp;IF(AND(NOT(OR(B255="to_candidate",AW255="proposed_name")),J255=""),"missing last_name; ","")&amp;IF(AND(NOT(OR(B255="to_candidate",AW255="proposed_name")),U255=""),"missing final_geo_unit_id; ","")&amp;IF(AW255="","missing final_destination; ","")&amp;IF(AND(NOT(OR(B255="to_candidate",AW255="proposed_name")),(COUNTIFS('أرقام التواصل'!$A$6:$A$505,"client",'أرقام التواصل'!$B$6:$B$505,A255,'أرقام التواصل'!$I$6:$I$505,"TRUE")+COUNTIFS('أرقام التواصل'!$A$6:$A$505,"client",'أرقام التواصل'!$B$6:$B$505,A255,'أرقام التواصل'!$C$6:$C$505,1))=0),"missing primary contact in أرقام التواصل; ","")&amp;IF(OR(B255="to_candidate",AW255="proposed_name"),IF(AX255="","missing proposed_move_reason; ","")&amp;IF(AY255="","missing proposed_name_key; ",""),"")))))</x:f>
      </x:c>
    </x:row>
    <x:row r="256">
      <x:c r="A256" s="219"/>
      <x:c r="B256" s="220"/>
      <x:c r="C256" s="221"/>
      <x:c r="D256" s="220"/>
      <x:c r="E256" s="222"/>
      <x:c r="F256" s="220"/>
      <x:c r="G256" s="220"/>
      <x:c r="H256" s="220"/>
      <x:c r="I256" s="220"/>
      <x:c r="J256" s="220"/>
      <x:c r="K256" s="220"/>
      <x:c r="L256" s="220" t="str">
        <x:f>IF(TRIM(H256&amp;" "&amp;I256&amp;" "&amp;J256&amp;IF(K256&lt;&gt;""," ("&amp;K256&amp;")",""))="","",TRIM(H256&amp;" "&amp;I256&amp;" "&amp;J256&amp;IF(K256&lt;&gt;""," ("&amp;K256&amp;")","")))</x:f>
      </x:c>
      <x:c r="M256" s="220"/>
      <x:c r="N256" s="220"/>
      <x:c r="O256" s="220"/>
      <x:c r="P256" s="220"/>
      <x:c r="Q256" s="220"/>
      <x:c r="R256" s="220"/>
      <x:c r="S256" s="220"/>
      <x:c r="T256" s="220"/>
      <x:c r="U256" s="220" t="str">
        <x:f>IF(AND(M256="",O256="",Q256="",S256=""),"",IF(S256&lt;&gt;"",S256,IF(Q256&lt;&gt;"",Q256,IF(O256&lt;&gt;"",O256,M256))))</x:f>
      </x:c>
      <x:c r="V256" s="220" t="str">
        <x:f>IF(AND(N256="",P256="",R256="",T256=""),"",IF(T256&lt;&gt;"",T256,IF(R256&lt;&gt;"",R256,IF(P256&lt;&gt;"",P256,N256))))</x:f>
      </x:c>
      <x:c r="W256" s="221"/>
      <x:c r="X256" s="220"/>
      <x:c r="Y256" s="220"/>
      <x:c r="Z256" s="223"/>
      <x:c r="AA256" s="223"/>
      <x:c r="AB256" s="221"/>
      <x:c r="AC256" s="220"/>
      <x:c r="AD256" s="220"/>
      <x:c r="AE256" s="222"/>
      <x:c r="AF256" s="220"/>
      <x:c r="AG256" s="221"/>
      <x:c r="AH256" s="220"/>
      <x:c r="AI256" s="220"/>
      <x:c r="AJ256" s="222"/>
      <x:c r="AK256" s="220"/>
      <x:c r="AL256" s="220"/>
      <x:c r="AM256" s="220"/>
      <x:c r="AN256" s="220"/>
      <x:c r="AO256" s="220"/>
      <x:c r="AP256" s="220"/>
      <x:c r="AQ256" s="220"/>
      <x:c r="AR256" s="222"/>
      <x:c r="AS256" s="220"/>
      <x:c r="AT256" s="220"/>
      <x:c r="AU256" s="220"/>
      <x:c r="AV256" s="220"/>
      <x:c r="AW256" s="220"/>
      <x:c r="AX256" s="220"/>
      <x:c r="AY256" s="221"/>
      <x:c r="AZ256" s="220"/>
      <x:c r="BA256" s="220" t="str">
        <x:f>IF(AND(A256="",B256="",F256="",H256="",J256="",AW256="",AY256=""),"",IF(OR(B256="skip",AW256="skip"),"SKIP",IF(OR(B256="to_candidate",AW256="proposed_name"),IF(OR(A256="",AX256="",AY256="",COUNTIF($A$6:$A$505,A256)&gt;1),"REVIEW","TO_PROPOSED"),IF(OR(B256="",A256="",F256="",H256="",J256="",U256="",AW256="",COUNTIF($A$6:$A$505,A256)&gt;1,(COUNTIFS('أرقام التواصل'!$A$6:$A$505,"client",'أرقام التواصل'!$B$6:$B$505,A256,'أرقام التواصل'!$I$6:$I$505,"TRUE")+COUNTIFS('أرقام التواصل'!$A$6:$A$505,"client",'أرقام التواصل'!$B$6:$B$505,A256,'أرقام التواصل'!$C$6:$C$505,1))=0),"REVIEW","READY"))))</x:f>
      </x:c>
      <x:c r="BB256" s="224" t="str">
        <x:f>IF(BA256="","",IF(OR(BA256="READY",BA256="TO_PROPOSED"),"",IF(BA256="SKIP","Skipped by decision",TRIM(IF(B256="","missing import_action; ","")&amp;IF(A256="","missing migration_customer_key; ","")&amp;IF(AND(A256&lt;&gt;"",COUNTIF($A$6:$A$505,A256)&gt;1),"duplicate migration_customer_key; ","")&amp;IF(AND(NOT(OR(B256="to_candidate",AW256="proposed_name")),F256=""),"missing branch_id; ","")&amp;IF(AND(NOT(OR(B256="to_candidate",AW256="proposed_name")),H256=""),"missing first_name; ","")&amp;IF(AND(NOT(OR(B256="to_candidate",AW256="proposed_name")),J256=""),"missing last_name; ","")&amp;IF(AND(NOT(OR(B256="to_candidate",AW256="proposed_name")),U256=""),"missing final_geo_unit_id; ","")&amp;IF(AW256="","missing final_destination; ","")&amp;IF(AND(NOT(OR(B256="to_candidate",AW256="proposed_name")),(COUNTIFS('أرقام التواصل'!$A$6:$A$505,"client",'أرقام التواصل'!$B$6:$B$505,A256,'أرقام التواصل'!$I$6:$I$505,"TRUE")+COUNTIFS('أرقام التواصل'!$A$6:$A$505,"client",'أرقام التواصل'!$B$6:$B$505,A256,'أرقام التواصل'!$C$6:$C$505,1))=0),"missing primary contact in أرقام التواصل; ","")&amp;IF(OR(B256="to_candidate",AW256="proposed_name"),IF(AX256="","missing proposed_move_reason; ","")&amp;IF(AY256="","missing proposed_name_key; ",""),"")))))</x:f>
      </x:c>
    </x:row>
    <x:row r="257">
      <x:c r="A257" s="219"/>
      <x:c r="B257" s="220"/>
      <x:c r="C257" s="221"/>
      <x:c r="D257" s="220"/>
      <x:c r="E257" s="222"/>
      <x:c r="F257" s="220"/>
      <x:c r="G257" s="220"/>
      <x:c r="H257" s="220"/>
      <x:c r="I257" s="220"/>
      <x:c r="J257" s="220"/>
      <x:c r="K257" s="220"/>
      <x:c r="L257" s="220" t="str">
        <x:f>IF(TRIM(H257&amp;" "&amp;I257&amp;" "&amp;J257&amp;IF(K257&lt;&gt;""," ("&amp;K257&amp;")",""))="","",TRIM(H257&amp;" "&amp;I257&amp;" "&amp;J257&amp;IF(K257&lt;&gt;""," ("&amp;K257&amp;")","")))</x:f>
      </x:c>
      <x:c r="M257" s="220"/>
      <x:c r="N257" s="220"/>
      <x:c r="O257" s="220"/>
      <x:c r="P257" s="220"/>
      <x:c r="Q257" s="220"/>
      <x:c r="R257" s="220"/>
      <x:c r="S257" s="220"/>
      <x:c r="T257" s="220"/>
      <x:c r="U257" s="220" t="str">
        <x:f>IF(AND(M257="",O257="",Q257="",S257=""),"",IF(S257&lt;&gt;"",S257,IF(Q257&lt;&gt;"",Q257,IF(O257&lt;&gt;"",O257,M257))))</x:f>
      </x:c>
      <x:c r="V257" s="220" t="str">
        <x:f>IF(AND(N257="",P257="",R257="",T257=""),"",IF(T257&lt;&gt;"",T257,IF(R257&lt;&gt;"",R257,IF(P257&lt;&gt;"",P257,N257))))</x:f>
      </x:c>
      <x:c r="W257" s="221"/>
      <x:c r="X257" s="220"/>
      <x:c r="Y257" s="220"/>
      <x:c r="Z257" s="223"/>
      <x:c r="AA257" s="223"/>
      <x:c r="AB257" s="221"/>
      <x:c r="AC257" s="220"/>
      <x:c r="AD257" s="220"/>
      <x:c r="AE257" s="222"/>
      <x:c r="AF257" s="220"/>
      <x:c r="AG257" s="221"/>
      <x:c r="AH257" s="220"/>
      <x:c r="AI257" s="220"/>
      <x:c r="AJ257" s="222"/>
      <x:c r="AK257" s="220"/>
      <x:c r="AL257" s="220"/>
      <x:c r="AM257" s="220"/>
      <x:c r="AN257" s="220"/>
      <x:c r="AO257" s="220"/>
      <x:c r="AP257" s="220"/>
      <x:c r="AQ257" s="220"/>
      <x:c r="AR257" s="222"/>
      <x:c r="AS257" s="220"/>
      <x:c r="AT257" s="220"/>
      <x:c r="AU257" s="220"/>
      <x:c r="AV257" s="220"/>
      <x:c r="AW257" s="220"/>
      <x:c r="AX257" s="220"/>
      <x:c r="AY257" s="221"/>
      <x:c r="AZ257" s="220"/>
      <x:c r="BA257" s="220" t="str">
        <x:f>IF(AND(A257="",B257="",F257="",H257="",J257="",AW257="",AY257=""),"",IF(OR(B257="skip",AW257="skip"),"SKIP",IF(OR(B257="to_candidate",AW257="proposed_name"),IF(OR(A257="",AX257="",AY257="",COUNTIF($A$6:$A$505,A257)&gt;1),"REVIEW","TO_PROPOSED"),IF(OR(B257="",A257="",F257="",H257="",J257="",U257="",AW257="",COUNTIF($A$6:$A$505,A257)&gt;1,(COUNTIFS('أرقام التواصل'!$A$6:$A$505,"client",'أرقام التواصل'!$B$6:$B$505,A257,'أرقام التواصل'!$I$6:$I$505,"TRUE")+COUNTIFS('أرقام التواصل'!$A$6:$A$505,"client",'أرقام التواصل'!$B$6:$B$505,A257,'أرقام التواصل'!$C$6:$C$505,1))=0),"REVIEW","READY"))))</x:f>
      </x:c>
      <x:c r="BB257" s="224" t="str">
        <x:f>IF(BA257="","",IF(OR(BA257="READY",BA257="TO_PROPOSED"),"",IF(BA257="SKIP","Skipped by decision",TRIM(IF(B257="","missing import_action; ","")&amp;IF(A257="","missing migration_customer_key; ","")&amp;IF(AND(A257&lt;&gt;"",COUNTIF($A$6:$A$505,A257)&gt;1),"duplicate migration_customer_key; ","")&amp;IF(AND(NOT(OR(B257="to_candidate",AW257="proposed_name")),F257=""),"missing branch_id; ","")&amp;IF(AND(NOT(OR(B257="to_candidate",AW257="proposed_name")),H257=""),"missing first_name; ","")&amp;IF(AND(NOT(OR(B257="to_candidate",AW257="proposed_name")),J257=""),"missing last_name; ","")&amp;IF(AND(NOT(OR(B257="to_candidate",AW257="proposed_name")),U257=""),"missing final_geo_unit_id; ","")&amp;IF(AW257="","missing final_destination; ","")&amp;IF(AND(NOT(OR(B257="to_candidate",AW257="proposed_name")),(COUNTIFS('أرقام التواصل'!$A$6:$A$505,"client",'أرقام التواصل'!$B$6:$B$505,A257,'أرقام التواصل'!$I$6:$I$505,"TRUE")+COUNTIFS('أرقام التواصل'!$A$6:$A$505,"client",'أرقام التواصل'!$B$6:$B$505,A257,'أرقام التواصل'!$C$6:$C$505,1))=0),"missing primary contact in أرقام التواصل; ","")&amp;IF(OR(B257="to_candidate",AW257="proposed_name"),IF(AX257="","missing proposed_move_reason; ","")&amp;IF(AY257="","missing proposed_name_key; ",""),"")))))</x:f>
      </x:c>
    </x:row>
    <x:row r="258">
      <x:c r="A258" s="219"/>
      <x:c r="B258" s="220"/>
      <x:c r="C258" s="221"/>
      <x:c r="D258" s="220"/>
      <x:c r="E258" s="222"/>
      <x:c r="F258" s="220"/>
      <x:c r="G258" s="220"/>
      <x:c r="H258" s="220"/>
      <x:c r="I258" s="220"/>
      <x:c r="J258" s="220"/>
      <x:c r="K258" s="220"/>
      <x:c r="L258" s="220" t="str">
        <x:f>IF(TRIM(H258&amp;" "&amp;I258&amp;" "&amp;J258&amp;IF(K258&lt;&gt;""," ("&amp;K258&amp;")",""))="","",TRIM(H258&amp;" "&amp;I258&amp;" "&amp;J258&amp;IF(K258&lt;&gt;""," ("&amp;K258&amp;")","")))</x:f>
      </x:c>
      <x:c r="M258" s="220"/>
      <x:c r="N258" s="220"/>
      <x:c r="O258" s="220"/>
      <x:c r="P258" s="220"/>
      <x:c r="Q258" s="220"/>
      <x:c r="R258" s="220"/>
      <x:c r="S258" s="220"/>
      <x:c r="T258" s="220"/>
      <x:c r="U258" s="220" t="str">
        <x:f>IF(AND(M258="",O258="",Q258="",S258=""),"",IF(S258&lt;&gt;"",S258,IF(Q258&lt;&gt;"",Q258,IF(O258&lt;&gt;"",O258,M258))))</x:f>
      </x:c>
      <x:c r="V258" s="220" t="str">
        <x:f>IF(AND(N258="",P258="",R258="",T258=""),"",IF(T258&lt;&gt;"",T258,IF(R258&lt;&gt;"",R258,IF(P258&lt;&gt;"",P258,N258))))</x:f>
      </x:c>
      <x:c r="W258" s="221"/>
      <x:c r="X258" s="220"/>
      <x:c r="Y258" s="220"/>
      <x:c r="Z258" s="223"/>
      <x:c r="AA258" s="223"/>
      <x:c r="AB258" s="221"/>
      <x:c r="AC258" s="220"/>
      <x:c r="AD258" s="220"/>
      <x:c r="AE258" s="222"/>
      <x:c r="AF258" s="220"/>
      <x:c r="AG258" s="221"/>
      <x:c r="AH258" s="220"/>
      <x:c r="AI258" s="220"/>
      <x:c r="AJ258" s="222"/>
      <x:c r="AK258" s="220"/>
      <x:c r="AL258" s="220"/>
      <x:c r="AM258" s="220"/>
      <x:c r="AN258" s="220"/>
      <x:c r="AO258" s="220"/>
      <x:c r="AP258" s="220"/>
      <x:c r="AQ258" s="220"/>
      <x:c r="AR258" s="222"/>
      <x:c r="AS258" s="220"/>
      <x:c r="AT258" s="220"/>
      <x:c r="AU258" s="220"/>
      <x:c r="AV258" s="220"/>
      <x:c r="AW258" s="220"/>
      <x:c r="AX258" s="220"/>
      <x:c r="AY258" s="221"/>
      <x:c r="AZ258" s="220"/>
      <x:c r="BA258" s="220" t="str">
        <x:f>IF(AND(A258="",B258="",F258="",H258="",J258="",AW258="",AY258=""),"",IF(OR(B258="skip",AW258="skip"),"SKIP",IF(OR(B258="to_candidate",AW258="proposed_name"),IF(OR(A258="",AX258="",AY258="",COUNTIF($A$6:$A$505,A258)&gt;1),"REVIEW","TO_PROPOSED"),IF(OR(B258="",A258="",F258="",H258="",J258="",U258="",AW258="",COUNTIF($A$6:$A$505,A258)&gt;1,(COUNTIFS('أرقام التواصل'!$A$6:$A$505,"client",'أرقام التواصل'!$B$6:$B$505,A258,'أرقام التواصل'!$I$6:$I$505,"TRUE")+COUNTIFS('أرقام التواصل'!$A$6:$A$505,"client",'أرقام التواصل'!$B$6:$B$505,A258,'أرقام التواصل'!$C$6:$C$505,1))=0),"REVIEW","READY"))))</x:f>
      </x:c>
      <x:c r="BB258" s="224" t="str">
        <x:f>IF(BA258="","",IF(OR(BA258="READY",BA258="TO_PROPOSED"),"",IF(BA258="SKIP","Skipped by decision",TRIM(IF(B258="","missing import_action; ","")&amp;IF(A258="","missing migration_customer_key; ","")&amp;IF(AND(A258&lt;&gt;"",COUNTIF($A$6:$A$505,A258)&gt;1),"duplicate migration_customer_key; ","")&amp;IF(AND(NOT(OR(B258="to_candidate",AW258="proposed_name")),F258=""),"missing branch_id; ","")&amp;IF(AND(NOT(OR(B258="to_candidate",AW258="proposed_name")),H258=""),"missing first_name; ","")&amp;IF(AND(NOT(OR(B258="to_candidate",AW258="proposed_name")),J258=""),"missing last_name; ","")&amp;IF(AND(NOT(OR(B258="to_candidate",AW258="proposed_name")),U258=""),"missing final_geo_unit_id; ","")&amp;IF(AW258="","missing final_destination; ","")&amp;IF(AND(NOT(OR(B258="to_candidate",AW258="proposed_name")),(COUNTIFS('أرقام التواصل'!$A$6:$A$505,"client",'أرقام التواصل'!$B$6:$B$505,A258,'أرقام التواصل'!$I$6:$I$505,"TRUE")+COUNTIFS('أرقام التواصل'!$A$6:$A$505,"client",'أرقام التواصل'!$B$6:$B$505,A258,'أرقام التواصل'!$C$6:$C$505,1))=0),"missing primary contact in أرقام التواصل; ","")&amp;IF(OR(B258="to_candidate",AW258="proposed_name"),IF(AX258="","missing proposed_move_reason; ","")&amp;IF(AY258="","missing proposed_name_key; ",""),"")))))</x:f>
      </x:c>
    </x:row>
    <x:row r="259">
      <x:c r="A259" s="219"/>
      <x:c r="B259" s="220"/>
      <x:c r="C259" s="221"/>
      <x:c r="D259" s="220"/>
      <x:c r="E259" s="222"/>
      <x:c r="F259" s="220"/>
      <x:c r="G259" s="220"/>
      <x:c r="H259" s="220"/>
      <x:c r="I259" s="220"/>
      <x:c r="J259" s="220"/>
      <x:c r="K259" s="220"/>
      <x:c r="L259" s="220" t="str">
        <x:f>IF(TRIM(H259&amp;" "&amp;I259&amp;" "&amp;J259&amp;IF(K259&lt;&gt;""," ("&amp;K259&amp;")",""))="","",TRIM(H259&amp;" "&amp;I259&amp;" "&amp;J259&amp;IF(K259&lt;&gt;""," ("&amp;K259&amp;")","")))</x:f>
      </x:c>
      <x:c r="M259" s="220"/>
      <x:c r="N259" s="220"/>
      <x:c r="O259" s="220"/>
      <x:c r="P259" s="220"/>
      <x:c r="Q259" s="220"/>
      <x:c r="R259" s="220"/>
      <x:c r="S259" s="220"/>
      <x:c r="T259" s="220"/>
      <x:c r="U259" s="220" t="str">
        <x:f>IF(AND(M259="",O259="",Q259="",S259=""),"",IF(S259&lt;&gt;"",S259,IF(Q259&lt;&gt;"",Q259,IF(O259&lt;&gt;"",O259,M259))))</x:f>
      </x:c>
      <x:c r="V259" s="220" t="str">
        <x:f>IF(AND(N259="",P259="",R259="",T259=""),"",IF(T259&lt;&gt;"",T259,IF(R259&lt;&gt;"",R259,IF(P259&lt;&gt;"",P259,N259))))</x:f>
      </x:c>
      <x:c r="W259" s="221"/>
      <x:c r="X259" s="220"/>
      <x:c r="Y259" s="220"/>
      <x:c r="Z259" s="223"/>
      <x:c r="AA259" s="223"/>
      <x:c r="AB259" s="221"/>
      <x:c r="AC259" s="220"/>
      <x:c r="AD259" s="220"/>
      <x:c r="AE259" s="222"/>
      <x:c r="AF259" s="220"/>
      <x:c r="AG259" s="221"/>
      <x:c r="AH259" s="220"/>
      <x:c r="AI259" s="220"/>
      <x:c r="AJ259" s="222"/>
      <x:c r="AK259" s="220"/>
      <x:c r="AL259" s="220"/>
      <x:c r="AM259" s="220"/>
      <x:c r="AN259" s="220"/>
      <x:c r="AO259" s="220"/>
      <x:c r="AP259" s="220"/>
      <x:c r="AQ259" s="220"/>
      <x:c r="AR259" s="222"/>
      <x:c r="AS259" s="220"/>
      <x:c r="AT259" s="220"/>
      <x:c r="AU259" s="220"/>
      <x:c r="AV259" s="220"/>
      <x:c r="AW259" s="220"/>
      <x:c r="AX259" s="220"/>
      <x:c r="AY259" s="221"/>
      <x:c r="AZ259" s="220"/>
      <x:c r="BA259" s="220" t="str">
        <x:f>IF(AND(A259="",B259="",F259="",H259="",J259="",AW259="",AY259=""),"",IF(OR(B259="skip",AW259="skip"),"SKIP",IF(OR(B259="to_candidate",AW259="proposed_name"),IF(OR(A259="",AX259="",AY259="",COUNTIF($A$6:$A$505,A259)&gt;1),"REVIEW","TO_PROPOSED"),IF(OR(B259="",A259="",F259="",H259="",J259="",U259="",AW259="",COUNTIF($A$6:$A$505,A259)&gt;1,(COUNTIFS('أرقام التواصل'!$A$6:$A$505,"client",'أرقام التواصل'!$B$6:$B$505,A259,'أرقام التواصل'!$I$6:$I$505,"TRUE")+COUNTIFS('أرقام التواصل'!$A$6:$A$505,"client",'أرقام التواصل'!$B$6:$B$505,A259,'أرقام التواصل'!$C$6:$C$505,1))=0),"REVIEW","READY"))))</x:f>
      </x:c>
      <x:c r="BB259" s="224" t="str">
        <x:f>IF(BA259="","",IF(OR(BA259="READY",BA259="TO_PROPOSED"),"",IF(BA259="SKIP","Skipped by decision",TRIM(IF(B259="","missing import_action; ","")&amp;IF(A259="","missing migration_customer_key; ","")&amp;IF(AND(A259&lt;&gt;"",COUNTIF($A$6:$A$505,A259)&gt;1),"duplicate migration_customer_key; ","")&amp;IF(AND(NOT(OR(B259="to_candidate",AW259="proposed_name")),F259=""),"missing branch_id; ","")&amp;IF(AND(NOT(OR(B259="to_candidate",AW259="proposed_name")),H259=""),"missing first_name; ","")&amp;IF(AND(NOT(OR(B259="to_candidate",AW259="proposed_name")),J259=""),"missing last_name; ","")&amp;IF(AND(NOT(OR(B259="to_candidate",AW259="proposed_name")),U259=""),"missing final_geo_unit_id; ","")&amp;IF(AW259="","missing final_destination; ","")&amp;IF(AND(NOT(OR(B259="to_candidate",AW259="proposed_name")),(COUNTIFS('أرقام التواصل'!$A$6:$A$505,"client",'أرقام التواصل'!$B$6:$B$505,A259,'أرقام التواصل'!$I$6:$I$505,"TRUE")+COUNTIFS('أرقام التواصل'!$A$6:$A$505,"client",'أرقام التواصل'!$B$6:$B$505,A259,'أرقام التواصل'!$C$6:$C$505,1))=0),"missing primary contact in أرقام التواصل; ","")&amp;IF(OR(B259="to_candidate",AW259="proposed_name"),IF(AX259="","missing proposed_move_reason; ","")&amp;IF(AY259="","missing proposed_name_key; ",""),"")))))</x:f>
      </x:c>
    </x:row>
    <x:row r="260">
      <x:c r="A260" s="219"/>
      <x:c r="B260" s="220"/>
      <x:c r="C260" s="221"/>
      <x:c r="D260" s="220"/>
      <x:c r="E260" s="222"/>
      <x:c r="F260" s="220"/>
      <x:c r="G260" s="220"/>
      <x:c r="H260" s="220"/>
      <x:c r="I260" s="220"/>
      <x:c r="J260" s="220"/>
      <x:c r="K260" s="220"/>
      <x:c r="L260" s="220" t="str">
        <x:f>IF(TRIM(H260&amp;" "&amp;I260&amp;" "&amp;J260&amp;IF(K260&lt;&gt;""," ("&amp;K260&amp;")",""))="","",TRIM(H260&amp;" "&amp;I260&amp;" "&amp;J260&amp;IF(K260&lt;&gt;""," ("&amp;K260&amp;")","")))</x:f>
      </x:c>
      <x:c r="M260" s="220"/>
      <x:c r="N260" s="220"/>
      <x:c r="O260" s="220"/>
      <x:c r="P260" s="220"/>
      <x:c r="Q260" s="220"/>
      <x:c r="R260" s="220"/>
      <x:c r="S260" s="220"/>
      <x:c r="T260" s="220"/>
      <x:c r="U260" s="220" t="str">
        <x:f>IF(AND(M260="",O260="",Q260="",S260=""),"",IF(S260&lt;&gt;"",S260,IF(Q260&lt;&gt;"",Q260,IF(O260&lt;&gt;"",O260,M260))))</x:f>
      </x:c>
      <x:c r="V260" s="220" t="str">
        <x:f>IF(AND(N260="",P260="",R260="",T260=""),"",IF(T260&lt;&gt;"",T260,IF(R260&lt;&gt;"",R260,IF(P260&lt;&gt;"",P260,N260))))</x:f>
      </x:c>
      <x:c r="W260" s="221"/>
      <x:c r="X260" s="220"/>
      <x:c r="Y260" s="220"/>
      <x:c r="Z260" s="223"/>
      <x:c r="AA260" s="223"/>
      <x:c r="AB260" s="221"/>
      <x:c r="AC260" s="220"/>
      <x:c r="AD260" s="220"/>
      <x:c r="AE260" s="222"/>
      <x:c r="AF260" s="220"/>
      <x:c r="AG260" s="221"/>
      <x:c r="AH260" s="220"/>
      <x:c r="AI260" s="220"/>
      <x:c r="AJ260" s="222"/>
      <x:c r="AK260" s="220"/>
      <x:c r="AL260" s="220"/>
      <x:c r="AM260" s="220"/>
      <x:c r="AN260" s="220"/>
      <x:c r="AO260" s="220"/>
      <x:c r="AP260" s="220"/>
      <x:c r="AQ260" s="220"/>
      <x:c r="AR260" s="222"/>
      <x:c r="AS260" s="220"/>
      <x:c r="AT260" s="220"/>
      <x:c r="AU260" s="220"/>
      <x:c r="AV260" s="220"/>
      <x:c r="AW260" s="220"/>
      <x:c r="AX260" s="220"/>
      <x:c r="AY260" s="221"/>
      <x:c r="AZ260" s="220"/>
      <x:c r="BA260" s="220" t="str">
        <x:f>IF(AND(A260="",B260="",F260="",H260="",J260="",AW260="",AY260=""),"",IF(OR(B260="skip",AW260="skip"),"SKIP",IF(OR(B260="to_candidate",AW260="proposed_name"),IF(OR(A260="",AX260="",AY260="",COUNTIF($A$6:$A$505,A260)&gt;1),"REVIEW","TO_PROPOSED"),IF(OR(B260="",A260="",F260="",H260="",J260="",U260="",AW260="",COUNTIF($A$6:$A$505,A260)&gt;1,(COUNTIFS('أرقام التواصل'!$A$6:$A$505,"client",'أرقام التواصل'!$B$6:$B$505,A260,'أرقام التواصل'!$I$6:$I$505,"TRUE")+COUNTIFS('أرقام التواصل'!$A$6:$A$505,"client",'أرقام التواصل'!$B$6:$B$505,A260,'أرقام التواصل'!$C$6:$C$505,1))=0),"REVIEW","READY"))))</x:f>
      </x:c>
      <x:c r="BB260" s="224" t="str">
        <x:f>IF(BA260="","",IF(OR(BA260="READY",BA260="TO_PROPOSED"),"",IF(BA260="SKIP","Skipped by decision",TRIM(IF(B260="","missing import_action; ","")&amp;IF(A260="","missing migration_customer_key; ","")&amp;IF(AND(A260&lt;&gt;"",COUNTIF($A$6:$A$505,A260)&gt;1),"duplicate migration_customer_key; ","")&amp;IF(AND(NOT(OR(B260="to_candidate",AW260="proposed_name")),F260=""),"missing branch_id; ","")&amp;IF(AND(NOT(OR(B260="to_candidate",AW260="proposed_name")),H260=""),"missing first_name; ","")&amp;IF(AND(NOT(OR(B260="to_candidate",AW260="proposed_name")),J260=""),"missing last_name; ","")&amp;IF(AND(NOT(OR(B260="to_candidate",AW260="proposed_name")),U260=""),"missing final_geo_unit_id; ","")&amp;IF(AW260="","missing final_destination; ","")&amp;IF(AND(NOT(OR(B260="to_candidate",AW260="proposed_name")),(COUNTIFS('أرقام التواصل'!$A$6:$A$505,"client",'أرقام التواصل'!$B$6:$B$505,A260,'أرقام التواصل'!$I$6:$I$505,"TRUE")+COUNTIFS('أرقام التواصل'!$A$6:$A$505,"client",'أرقام التواصل'!$B$6:$B$505,A260,'أرقام التواصل'!$C$6:$C$505,1))=0),"missing primary contact in أرقام التواصل; ","")&amp;IF(OR(B260="to_candidate",AW260="proposed_name"),IF(AX260="","missing proposed_move_reason; ","")&amp;IF(AY260="","missing proposed_name_key; ",""),"")))))</x:f>
      </x:c>
    </x:row>
    <x:row r="261">
      <x:c r="A261" s="219"/>
      <x:c r="B261" s="220"/>
      <x:c r="C261" s="221"/>
      <x:c r="D261" s="220"/>
      <x:c r="E261" s="222"/>
      <x:c r="F261" s="220"/>
      <x:c r="G261" s="220"/>
      <x:c r="H261" s="220"/>
      <x:c r="I261" s="220"/>
      <x:c r="J261" s="220"/>
      <x:c r="K261" s="220"/>
      <x:c r="L261" s="220" t="str">
        <x:f>IF(TRIM(H261&amp;" "&amp;I261&amp;" "&amp;J261&amp;IF(K261&lt;&gt;""," ("&amp;K261&amp;")",""))="","",TRIM(H261&amp;" "&amp;I261&amp;" "&amp;J261&amp;IF(K261&lt;&gt;""," ("&amp;K261&amp;")","")))</x:f>
      </x:c>
      <x:c r="M261" s="220"/>
      <x:c r="N261" s="220"/>
      <x:c r="O261" s="220"/>
      <x:c r="P261" s="220"/>
      <x:c r="Q261" s="220"/>
      <x:c r="R261" s="220"/>
      <x:c r="S261" s="220"/>
      <x:c r="T261" s="220"/>
      <x:c r="U261" s="220" t="str">
        <x:f>IF(AND(M261="",O261="",Q261="",S261=""),"",IF(S261&lt;&gt;"",S261,IF(Q261&lt;&gt;"",Q261,IF(O261&lt;&gt;"",O261,M261))))</x:f>
      </x:c>
      <x:c r="V261" s="220" t="str">
        <x:f>IF(AND(N261="",P261="",R261="",T261=""),"",IF(T261&lt;&gt;"",T261,IF(R261&lt;&gt;"",R261,IF(P261&lt;&gt;"",P261,N261))))</x:f>
      </x:c>
      <x:c r="W261" s="221"/>
      <x:c r="X261" s="220"/>
      <x:c r="Y261" s="220"/>
      <x:c r="Z261" s="223"/>
      <x:c r="AA261" s="223"/>
      <x:c r="AB261" s="221"/>
      <x:c r="AC261" s="220"/>
      <x:c r="AD261" s="220"/>
      <x:c r="AE261" s="222"/>
      <x:c r="AF261" s="220"/>
      <x:c r="AG261" s="221"/>
      <x:c r="AH261" s="220"/>
      <x:c r="AI261" s="220"/>
      <x:c r="AJ261" s="222"/>
      <x:c r="AK261" s="220"/>
      <x:c r="AL261" s="220"/>
      <x:c r="AM261" s="220"/>
      <x:c r="AN261" s="220"/>
      <x:c r="AO261" s="220"/>
      <x:c r="AP261" s="220"/>
      <x:c r="AQ261" s="220"/>
      <x:c r="AR261" s="222"/>
      <x:c r="AS261" s="220"/>
      <x:c r="AT261" s="220"/>
      <x:c r="AU261" s="220"/>
      <x:c r="AV261" s="220"/>
      <x:c r="AW261" s="220"/>
      <x:c r="AX261" s="220"/>
      <x:c r="AY261" s="221"/>
      <x:c r="AZ261" s="220"/>
      <x:c r="BA261" s="220" t="str">
        <x:f>IF(AND(A261="",B261="",F261="",H261="",J261="",AW261="",AY261=""),"",IF(OR(B261="skip",AW261="skip"),"SKIP",IF(OR(B261="to_candidate",AW261="proposed_name"),IF(OR(A261="",AX261="",AY261="",COUNTIF($A$6:$A$505,A261)&gt;1),"REVIEW","TO_PROPOSED"),IF(OR(B261="",A261="",F261="",H261="",J261="",U261="",AW261="",COUNTIF($A$6:$A$505,A261)&gt;1,(COUNTIFS('أرقام التواصل'!$A$6:$A$505,"client",'أرقام التواصل'!$B$6:$B$505,A261,'أرقام التواصل'!$I$6:$I$505,"TRUE")+COUNTIFS('أرقام التواصل'!$A$6:$A$505,"client",'أرقام التواصل'!$B$6:$B$505,A261,'أرقام التواصل'!$C$6:$C$505,1))=0),"REVIEW","READY"))))</x:f>
      </x:c>
      <x:c r="BB261" s="224" t="str">
        <x:f>IF(BA261="","",IF(OR(BA261="READY",BA261="TO_PROPOSED"),"",IF(BA261="SKIP","Skipped by decision",TRIM(IF(B261="","missing import_action; ","")&amp;IF(A261="","missing migration_customer_key; ","")&amp;IF(AND(A261&lt;&gt;"",COUNTIF($A$6:$A$505,A261)&gt;1),"duplicate migration_customer_key; ","")&amp;IF(AND(NOT(OR(B261="to_candidate",AW261="proposed_name")),F261=""),"missing branch_id; ","")&amp;IF(AND(NOT(OR(B261="to_candidate",AW261="proposed_name")),H261=""),"missing first_name; ","")&amp;IF(AND(NOT(OR(B261="to_candidate",AW261="proposed_name")),J261=""),"missing last_name; ","")&amp;IF(AND(NOT(OR(B261="to_candidate",AW261="proposed_name")),U261=""),"missing final_geo_unit_id; ","")&amp;IF(AW261="","missing final_destination; ","")&amp;IF(AND(NOT(OR(B261="to_candidate",AW261="proposed_name")),(COUNTIFS('أرقام التواصل'!$A$6:$A$505,"client",'أرقام التواصل'!$B$6:$B$505,A261,'أرقام التواصل'!$I$6:$I$505,"TRUE")+COUNTIFS('أرقام التواصل'!$A$6:$A$505,"client",'أرقام التواصل'!$B$6:$B$505,A261,'أرقام التواصل'!$C$6:$C$505,1))=0),"missing primary contact in أرقام التواصل; ","")&amp;IF(OR(B261="to_candidate",AW261="proposed_name"),IF(AX261="","missing proposed_move_reason; ","")&amp;IF(AY261="","missing proposed_name_key; ",""),"")))))</x:f>
      </x:c>
    </x:row>
    <x:row r="262">
      <x:c r="A262" s="219"/>
      <x:c r="B262" s="220"/>
      <x:c r="C262" s="221"/>
      <x:c r="D262" s="220"/>
      <x:c r="E262" s="222"/>
      <x:c r="F262" s="220"/>
      <x:c r="G262" s="220"/>
      <x:c r="H262" s="220"/>
      <x:c r="I262" s="220"/>
      <x:c r="J262" s="220"/>
      <x:c r="K262" s="220"/>
      <x:c r="L262" s="220" t="str">
        <x:f>IF(TRIM(H262&amp;" "&amp;I262&amp;" "&amp;J262&amp;IF(K262&lt;&gt;""," ("&amp;K262&amp;")",""))="","",TRIM(H262&amp;" "&amp;I262&amp;" "&amp;J262&amp;IF(K262&lt;&gt;""," ("&amp;K262&amp;")","")))</x:f>
      </x:c>
      <x:c r="M262" s="220"/>
      <x:c r="N262" s="220"/>
      <x:c r="O262" s="220"/>
      <x:c r="P262" s="220"/>
      <x:c r="Q262" s="220"/>
      <x:c r="R262" s="220"/>
      <x:c r="S262" s="220"/>
      <x:c r="T262" s="220"/>
      <x:c r="U262" s="220" t="str">
        <x:f>IF(AND(M262="",O262="",Q262="",S262=""),"",IF(S262&lt;&gt;"",S262,IF(Q262&lt;&gt;"",Q262,IF(O262&lt;&gt;"",O262,M262))))</x:f>
      </x:c>
      <x:c r="V262" s="220" t="str">
        <x:f>IF(AND(N262="",P262="",R262="",T262=""),"",IF(T262&lt;&gt;"",T262,IF(R262&lt;&gt;"",R262,IF(P262&lt;&gt;"",P262,N262))))</x:f>
      </x:c>
      <x:c r="W262" s="221"/>
      <x:c r="X262" s="220"/>
      <x:c r="Y262" s="220"/>
      <x:c r="Z262" s="223"/>
      <x:c r="AA262" s="223"/>
      <x:c r="AB262" s="221"/>
      <x:c r="AC262" s="220"/>
      <x:c r="AD262" s="220"/>
      <x:c r="AE262" s="222"/>
      <x:c r="AF262" s="220"/>
      <x:c r="AG262" s="221"/>
      <x:c r="AH262" s="220"/>
      <x:c r="AI262" s="220"/>
      <x:c r="AJ262" s="222"/>
      <x:c r="AK262" s="220"/>
      <x:c r="AL262" s="220"/>
      <x:c r="AM262" s="220"/>
      <x:c r="AN262" s="220"/>
      <x:c r="AO262" s="220"/>
      <x:c r="AP262" s="220"/>
      <x:c r="AQ262" s="220"/>
      <x:c r="AR262" s="222"/>
      <x:c r="AS262" s="220"/>
      <x:c r="AT262" s="220"/>
      <x:c r="AU262" s="220"/>
      <x:c r="AV262" s="220"/>
      <x:c r="AW262" s="220"/>
      <x:c r="AX262" s="220"/>
      <x:c r="AY262" s="221"/>
      <x:c r="AZ262" s="220"/>
      <x:c r="BA262" s="220" t="str">
        <x:f>IF(AND(A262="",B262="",F262="",H262="",J262="",AW262="",AY262=""),"",IF(OR(B262="skip",AW262="skip"),"SKIP",IF(OR(B262="to_candidate",AW262="proposed_name"),IF(OR(A262="",AX262="",AY262="",COUNTIF($A$6:$A$505,A262)&gt;1),"REVIEW","TO_PROPOSED"),IF(OR(B262="",A262="",F262="",H262="",J262="",U262="",AW262="",COUNTIF($A$6:$A$505,A262)&gt;1,(COUNTIFS('أرقام التواصل'!$A$6:$A$505,"client",'أرقام التواصل'!$B$6:$B$505,A262,'أرقام التواصل'!$I$6:$I$505,"TRUE")+COUNTIFS('أرقام التواصل'!$A$6:$A$505,"client",'أرقام التواصل'!$B$6:$B$505,A262,'أرقام التواصل'!$C$6:$C$505,1))=0),"REVIEW","READY"))))</x:f>
      </x:c>
      <x:c r="BB262" s="224" t="str">
        <x:f>IF(BA262="","",IF(OR(BA262="READY",BA262="TO_PROPOSED"),"",IF(BA262="SKIP","Skipped by decision",TRIM(IF(B262="","missing import_action; ","")&amp;IF(A262="","missing migration_customer_key; ","")&amp;IF(AND(A262&lt;&gt;"",COUNTIF($A$6:$A$505,A262)&gt;1),"duplicate migration_customer_key; ","")&amp;IF(AND(NOT(OR(B262="to_candidate",AW262="proposed_name")),F262=""),"missing branch_id; ","")&amp;IF(AND(NOT(OR(B262="to_candidate",AW262="proposed_name")),H262=""),"missing first_name; ","")&amp;IF(AND(NOT(OR(B262="to_candidate",AW262="proposed_name")),J262=""),"missing last_name; ","")&amp;IF(AND(NOT(OR(B262="to_candidate",AW262="proposed_name")),U262=""),"missing final_geo_unit_id; ","")&amp;IF(AW262="","missing final_destination; ","")&amp;IF(AND(NOT(OR(B262="to_candidate",AW262="proposed_name")),(COUNTIFS('أرقام التواصل'!$A$6:$A$505,"client",'أرقام التواصل'!$B$6:$B$505,A262,'أرقام التواصل'!$I$6:$I$505,"TRUE")+COUNTIFS('أرقام التواصل'!$A$6:$A$505,"client",'أرقام التواصل'!$B$6:$B$505,A262,'أرقام التواصل'!$C$6:$C$505,1))=0),"missing primary contact in أرقام التواصل; ","")&amp;IF(OR(B262="to_candidate",AW262="proposed_name"),IF(AX262="","missing proposed_move_reason; ","")&amp;IF(AY262="","missing proposed_name_key; ",""),"")))))</x:f>
      </x:c>
    </x:row>
    <x:row r="263">
      <x:c r="A263" s="219"/>
      <x:c r="B263" s="220"/>
      <x:c r="C263" s="221"/>
      <x:c r="D263" s="220"/>
      <x:c r="E263" s="222"/>
      <x:c r="F263" s="220"/>
      <x:c r="G263" s="220"/>
      <x:c r="H263" s="220"/>
      <x:c r="I263" s="220"/>
      <x:c r="J263" s="220"/>
      <x:c r="K263" s="220"/>
      <x:c r="L263" s="220" t="str">
        <x:f>IF(TRIM(H263&amp;" "&amp;I263&amp;" "&amp;J263&amp;IF(K263&lt;&gt;""," ("&amp;K263&amp;")",""))="","",TRIM(H263&amp;" "&amp;I263&amp;" "&amp;J263&amp;IF(K263&lt;&gt;""," ("&amp;K263&amp;")","")))</x:f>
      </x:c>
      <x:c r="M263" s="220"/>
      <x:c r="N263" s="220"/>
      <x:c r="O263" s="220"/>
      <x:c r="P263" s="220"/>
      <x:c r="Q263" s="220"/>
      <x:c r="R263" s="220"/>
      <x:c r="S263" s="220"/>
      <x:c r="T263" s="220"/>
      <x:c r="U263" s="220" t="str">
        <x:f>IF(AND(M263="",O263="",Q263="",S263=""),"",IF(S263&lt;&gt;"",S263,IF(Q263&lt;&gt;"",Q263,IF(O263&lt;&gt;"",O263,M263))))</x:f>
      </x:c>
      <x:c r="V263" s="220" t="str">
        <x:f>IF(AND(N263="",P263="",R263="",T263=""),"",IF(T263&lt;&gt;"",T263,IF(R263&lt;&gt;"",R263,IF(P263&lt;&gt;"",P263,N263))))</x:f>
      </x:c>
      <x:c r="W263" s="221"/>
      <x:c r="X263" s="220"/>
      <x:c r="Y263" s="220"/>
      <x:c r="Z263" s="223"/>
      <x:c r="AA263" s="223"/>
      <x:c r="AB263" s="221"/>
      <x:c r="AC263" s="220"/>
      <x:c r="AD263" s="220"/>
      <x:c r="AE263" s="222"/>
      <x:c r="AF263" s="220"/>
      <x:c r="AG263" s="221"/>
      <x:c r="AH263" s="220"/>
      <x:c r="AI263" s="220"/>
      <x:c r="AJ263" s="222"/>
      <x:c r="AK263" s="220"/>
      <x:c r="AL263" s="220"/>
      <x:c r="AM263" s="220"/>
      <x:c r="AN263" s="220"/>
      <x:c r="AO263" s="220"/>
      <x:c r="AP263" s="220"/>
      <x:c r="AQ263" s="220"/>
      <x:c r="AR263" s="222"/>
      <x:c r="AS263" s="220"/>
      <x:c r="AT263" s="220"/>
      <x:c r="AU263" s="220"/>
      <x:c r="AV263" s="220"/>
      <x:c r="AW263" s="220"/>
      <x:c r="AX263" s="220"/>
      <x:c r="AY263" s="221"/>
      <x:c r="AZ263" s="220"/>
      <x:c r="BA263" s="220" t="str">
        <x:f>IF(AND(A263="",B263="",F263="",H263="",J263="",AW263="",AY263=""),"",IF(OR(B263="skip",AW263="skip"),"SKIP",IF(OR(B263="to_candidate",AW263="proposed_name"),IF(OR(A263="",AX263="",AY263="",COUNTIF($A$6:$A$505,A263)&gt;1),"REVIEW","TO_PROPOSED"),IF(OR(B263="",A263="",F263="",H263="",J263="",U263="",AW263="",COUNTIF($A$6:$A$505,A263)&gt;1,(COUNTIFS('أرقام التواصل'!$A$6:$A$505,"client",'أرقام التواصل'!$B$6:$B$505,A263,'أرقام التواصل'!$I$6:$I$505,"TRUE")+COUNTIFS('أرقام التواصل'!$A$6:$A$505,"client",'أرقام التواصل'!$B$6:$B$505,A263,'أرقام التواصل'!$C$6:$C$505,1))=0),"REVIEW","READY"))))</x:f>
      </x:c>
      <x:c r="BB263" s="224" t="str">
        <x:f>IF(BA263="","",IF(OR(BA263="READY",BA263="TO_PROPOSED"),"",IF(BA263="SKIP","Skipped by decision",TRIM(IF(B263="","missing import_action; ","")&amp;IF(A263="","missing migration_customer_key; ","")&amp;IF(AND(A263&lt;&gt;"",COUNTIF($A$6:$A$505,A263)&gt;1),"duplicate migration_customer_key; ","")&amp;IF(AND(NOT(OR(B263="to_candidate",AW263="proposed_name")),F263=""),"missing branch_id; ","")&amp;IF(AND(NOT(OR(B263="to_candidate",AW263="proposed_name")),H263=""),"missing first_name; ","")&amp;IF(AND(NOT(OR(B263="to_candidate",AW263="proposed_name")),J263=""),"missing last_name; ","")&amp;IF(AND(NOT(OR(B263="to_candidate",AW263="proposed_name")),U263=""),"missing final_geo_unit_id; ","")&amp;IF(AW263="","missing final_destination; ","")&amp;IF(AND(NOT(OR(B263="to_candidate",AW263="proposed_name")),(COUNTIFS('أرقام التواصل'!$A$6:$A$505,"client",'أرقام التواصل'!$B$6:$B$505,A263,'أرقام التواصل'!$I$6:$I$505,"TRUE")+COUNTIFS('أرقام التواصل'!$A$6:$A$505,"client",'أرقام التواصل'!$B$6:$B$505,A263,'أرقام التواصل'!$C$6:$C$505,1))=0),"missing primary contact in أرقام التواصل; ","")&amp;IF(OR(B263="to_candidate",AW263="proposed_name"),IF(AX263="","missing proposed_move_reason; ","")&amp;IF(AY263="","missing proposed_name_key; ",""),"")))))</x:f>
      </x:c>
    </x:row>
    <x:row r="264">
      <x:c r="A264" s="219"/>
      <x:c r="B264" s="220"/>
      <x:c r="C264" s="221"/>
      <x:c r="D264" s="220"/>
      <x:c r="E264" s="222"/>
      <x:c r="F264" s="220"/>
      <x:c r="G264" s="220"/>
      <x:c r="H264" s="220"/>
      <x:c r="I264" s="220"/>
      <x:c r="J264" s="220"/>
      <x:c r="K264" s="220"/>
      <x:c r="L264" s="220" t="str">
        <x:f>IF(TRIM(H264&amp;" "&amp;I264&amp;" "&amp;J264&amp;IF(K264&lt;&gt;""," ("&amp;K264&amp;")",""))="","",TRIM(H264&amp;" "&amp;I264&amp;" "&amp;J264&amp;IF(K264&lt;&gt;""," ("&amp;K264&amp;")","")))</x:f>
      </x:c>
      <x:c r="M264" s="220"/>
      <x:c r="N264" s="220"/>
      <x:c r="O264" s="220"/>
      <x:c r="P264" s="220"/>
      <x:c r="Q264" s="220"/>
      <x:c r="R264" s="220"/>
      <x:c r="S264" s="220"/>
      <x:c r="T264" s="220"/>
      <x:c r="U264" s="220" t="str">
        <x:f>IF(AND(M264="",O264="",Q264="",S264=""),"",IF(S264&lt;&gt;"",S264,IF(Q264&lt;&gt;"",Q264,IF(O264&lt;&gt;"",O264,M264))))</x:f>
      </x:c>
      <x:c r="V264" s="220" t="str">
        <x:f>IF(AND(N264="",P264="",R264="",T264=""),"",IF(T264&lt;&gt;"",T264,IF(R264&lt;&gt;"",R264,IF(P264&lt;&gt;"",P264,N264))))</x:f>
      </x:c>
      <x:c r="W264" s="221"/>
      <x:c r="X264" s="220"/>
      <x:c r="Y264" s="220"/>
      <x:c r="Z264" s="223"/>
      <x:c r="AA264" s="223"/>
      <x:c r="AB264" s="221"/>
      <x:c r="AC264" s="220"/>
      <x:c r="AD264" s="220"/>
      <x:c r="AE264" s="222"/>
      <x:c r="AF264" s="220"/>
      <x:c r="AG264" s="221"/>
      <x:c r="AH264" s="220"/>
      <x:c r="AI264" s="220"/>
      <x:c r="AJ264" s="222"/>
      <x:c r="AK264" s="220"/>
      <x:c r="AL264" s="220"/>
      <x:c r="AM264" s="220"/>
      <x:c r="AN264" s="220"/>
      <x:c r="AO264" s="220"/>
      <x:c r="AP264" s="220"/>
      <x:c r="AQ264" s="220"/>
      <x:c r="AR264" s="222"/>
      <x:c r="AS264" s="220"/>
      <x:c r="AT264" s="220"/>
      <x:c r="AU264" s="220"/>
      <x:c r="AV264" s="220"/>
      <x:c r="AW264" s="220"/>
      <x:c r="AX264" s="220"/>
      <x:c r="AY264" s="221"/>
      <x:c r="AZ264" s="220"/>
      <x:c r="BA264" s="220" t="str">
        <x:f>IF(AND(A264="",B264="",F264="",H264="",J264="",AW264="",AY264=""),"",IF(OR(B264="skip",AW264="skip"),"SKIP",IF(OR(B264="to_candidate",AW264="proposed_name"),IF(OR(A264="",AX264="",AY264="",COUNTIF($A$6:$A$505,A264)&gt;1),"REVIEW","TO_PROPOSED"),IF(OR(B264="",A264="",F264="",H264="",J264="",U264="",AW264="",COUNTIF($A$6:$A$505,A264)&gt;1,(COUNTIFS('أرقام التواصل'!$A$6:$A$505,"client",'أرقام التواصل'!$B$6:$B$505,A264,'أرقام التواصل'!$I$6:$I$505,"TRUE")+COUNTIFS('أرقام التواصل'!$A$6:$A$505,"client",'أرقام التواصل'!$B$6:$B$505,A264,'أرقام التواصل'!$C$6:$C$505,1))=0),"REVIEW","READY"))))</x:f>
      </x:c>
      <x:c r="BB264" s="224" t="str">
        <x:f>IF(BA264="","",IF(OR(BA264="READY",BA264="TO_PROPOSED"),"",IF(BA264="SKIP","Skipped by decision",TRIM(IF(B264="","missing import_action; ","")&amp;IF(A264="","missing migration_customer_key; ","")&amp;IF(AND(A264&lt;&gt;"",COUNTIF($A$6:$A$505,A264)&gt;1),"duplicate migration_customer_key; ","")&amp;IF(AND(NOT(OR(B264="to_candidate",AW264="proposed_name")),F264=""),"missing branch_id; ","")&amp;IF(AND(NOT(OR(B264="to_candidate",AW264="proposed_name")),H264=""),"missing first_name; ","")&amp;IF(AND(NOT(OR(B264="to_candidate",AW264="proposed_name")),J264=""),"missing last_name; ","")&amp;IF(AND(NOT(OR(B264="to_candidate",AW264="proposed_name")),U264=""),"missing final_geo_unit_id; ","")&amp;IF(AW264="","missing final_destination; ","")&amp;IF(AND(NOT(OR(B264="to_candidate",AW264="proposed_name")),(COUNTIFS('أرقام التواصل'!$A$6:$A$505,"client",'أرقام التواصل'!$B$6:$B$505,A264,'أرقام التواصل'!$I$6:$I$505,"TRUE")+COUNTIFS('أرقام التواصل'!$A$6:$A$505,"client",'أرقام التواصل'!$B$6:$B$505,A264,'أرقام التواصل'!$C$6:$C$505,1))=0),"missing primary contact in أرقام التواصل; ","")&amp;IF(OR(B264="to_candidate",AW264="proposed_name"),IF(AX264="","missing proposed_move_reason; ","")&amp;IF(AY264="","missing proposed_name_key; ",""),"")))))</x:f>
      </x:c>
    </x:row>
    <x:row r="265">
      <x:c r="A265" s="219"/>
      <x:c r="B265" s="220"/>
      <x:c r="C265" s="221"/>
      <x:c r="D265" s="220"/>
      <x:c r="E265" s="222"/>
      <x:c r="F265" s="220"/>
      <x:c r="G265" s="220"/>
      <x:c r="H265" s="220"/>
      <x:c r="I265" s="220"/>
      <x:c r="J265" s="220"/>
      <x:c r="K265" s="220"/>
      <x:c r="L265" s="220" t="str">
        <x:f>IF(TRIM(H265&amp;" "&amp;I265&amp;" "&amp;J265&amp;IF(K265&lt;&gt;""," ("&amp;K265&amp;")",""))="","",TRIM(H265&amp;" "&amp;I265&amp;" "&amp;J265&amp;IF(K265&lt;&gt;""," ("&amp;K265&amp;")","")))</x:f>
      </x:c>
      <x:c r="M265" s="220"/>
      <x:c r="N265" s="220"/>
      <x:c r="O265" s="220"/>
      <x:c r="P265" s="220"/>
      <x:c r="Q265" s="220"/>
      <x:c r="R265" s="220"/>
      <x:c r="S265" s="220"/>
      <x:c r="T265" s="220"/>
      <x:c r="U265" s="220" t="str">
        <x:f>IF(AND(M265="",O265="",Q265="",S265=""),"",IF(S265&lt;&gt;"",S265,IF(Q265&lt;&gt;"",Q265,IF(O265&lt;&gt;"",O265,M265))))</x:f>
      </x:c>
      <x:c r="V265" s="220" t="str">
        <x:f>IF(AND(N265="",P265="",R265="",T265=""),"",IF(T265&lt;&gt;"",T265,IF(R265&lt;&gt;"",R265,IF(P265&lt;&gt;"",P265,N265))))</x:f>
      </x:c>
      <x:c r="W265" s="221"/>
      <x:c r="X265" s="220"/>
      <x:c r="Y265" s="220"/>
      <x:c r="Z265" s="223"/>
      <x:c r="AA265" s="223"/>
      <x:c r="AB265" s="221"/>
      <x:c r="AC265" s="220"/>
      <x:c r="AD265" s="220"/>
      <x:c r="AE265" s="222"/>
      <x:c r="AF265" s="220"/>
      <x:c r="AG265" s="221"/>
      <x:c r="AH265" s="220"/>
      <x:c r="AI265" s="220"/>
      <x:c r="AJ265" s="222"/>
      <x:c r="AK265" s="220"/>
      <x:c r="AL265" s="220"/>
      <x:c r="AM265" s="220"/>
      <x:c r="AN265" s="220"/>
      <x:c r="AO265" s="220"/>
      <x:c r="AP265" s="220"/>
      <x:c r="AQ265" s="220"/>
      <x:c r="AR265" s="222"/>
      <x:c r="AS265" s="220"/>
      <x:c r="AT265" s="220"/>
      <x:c r="AU265" s="220"/>
      <x:c r="AV265" s="220"/>
      <x:c r="AW265" s="220"/>
      <x:c r="AX265" s="220"/>
      <x:c r="AY265" s="221"/>
      <x:c r="AZ265" s="220"/>
      <x:c r="BA265" s="220" t="str">
        <x:f>IF(AND(A265="",B265="",F265="",H265="",J265="",AW265="",AY265=""),"",IF(OR(B265="skip",AW265="skip"),"SKIP",IF(OR(B265="to_candidate",AW265="proposed_name"),IF(OR(A265="",AX265="",AY265="",COUNTIF($A$6:$A$505,A265)&gt;1),"REVIEW","TO_PROPOSED"),IF(OR(B265="",A265="",F265="",H265="",J265="",U265="",AW265="",COUNTIF($A$6:$A$505,A265)&gt;1,(COUNTIFS('أرقام التواصل'!$A$6:$A$505,"client",'أرقام التواصل'!$B$6:$B$505,A265,'أرقام التواصل'!$I$6:$I$505,"TRUE")+COUNTIFS('أرقام التواصل'!$A$6:$A$505,"client",'أرقام التواصل'!$B$6:$B$505,A265,'أرقام التواصل'!$C$6:$C$505,1))=0),"REVIEW","READY"))))</x:f>
      </x:c>
      <x:c r="BB265" s="224" t="str">
        <x:f>IF(BA265="","",IF(OR(BA265="READY",BA265="TO_PROPOSED"),"",IF(BA265="SKIP","Skipped by decision",TRIM(IF(B265="","missing import_action; ","")&amp;IF(A265="","missing migration_customer_key; ","")&amp;IF(AND(A265&lt;&gt;"",COUNTIF($A$6:$A$505,A265)&gt;1),"duplicate migration_customer_key; ","")&amp;IF(AND(NOT(OR(B265="to_candidate",AW265="proposed_name")),F265=""),"missing branch_id; ","")&amp;IF(AND(NOT(OR(B265="to_candidate",AW265="proposed_name")),H265=""),"missing first_name; ","")&amp;IF(AND(NOT(OR(B265="to_candidate",AW265="proposed_name")),J265=""),"missing last_name; ","")&amp;IF(AND(NOT(OR(B265="to_candidate",AW265="proposed_name")),U265=""),"missing final_geo_unit_id; ","")&amp;IF(AW265="","missing final_destination; ","")&amp;IF(AND(NOT(OR(B265="to_candidate",AW265="proposed_name")),(COUNTIFS('أرقام التواصل'!$A$6:$A$505,"client",'أرقام التواصل'!$B$6:$B$505,A265,'أرقام التواصل'!$I$6:$I$505,"TRUE")+COUNTIFS('أرقام التواصل'!$A$6:$A$505,"client",'أرقام التواصل'!$B$6:$B$505,A265,'أرقام التواصل'!$C$6:$C$505,1))=0),"missing primary contact in أرقام التواصل; ","")&amp;IF(OR(B265="to_candidate",AW265="proposed_name"),IF(AX265="","missing proposed_move_reason; ","")&amp;IF(AY265="","missing proposed_name_key; ",""),"")))))</x:f>
      </x:c>
    </x:row>
    <x:row r="266">
      <x:c r="A266" s="219"/>
      <x:c r="B266" s="220"/>
      <x:c r="C266" s="221"/>
      <x:c r="D266" s="220"/>
      <x:c r="E266" s="222"/>
      <x:c r="F266" s="220"/>
      <x:c r="G266" s="220"/>
      <x:c r="H266" s="220"/>
      <x:c r="I266" s="220"/>
      <x:c r="J266" s="220"/>
      <x:c r="K266" s="220"/>
      <x:c r="L266" s="220" t="str">
        <x:f>IF(TRIM(H266&amp;" "&amp;I266&amp;" "&amp;J266&amp;IF(K266&lt;&gt;""," ("&amp;K266&amp;")",""))="","",TRIM(H266&amp;" "&amp;I266&amp;" "&amp;J266&amp;IF(K266&lt;&gt;""," ("&amp;K266&amp;")","")))</x:f>
      </x:c>
      <x:c r="M266" s="220"/>
      <x:c r="N266" s="220"/>
      <x:c r="O266" s="220"/>
      <x:c r="P266" s="220"/>
      <x:c r="Q266" s="220"/>
      <x:c r="R266" s="220"/>
      <x:c r="S266" s="220"/>
      <x:c r="T266" s="220"/>
      <x:c r="U266" s="220" t="str">
        <x:f>IF(AND(M266="",O266="",Q266="",S266=""),"",IF(S266&lt;&gt;"",S266,IF(Q266&lt;&gt;"",Q266,IF(O266&lt;&gt;"",O266,M266))))</x:f>
      </x:c>
      <x:c r="V266" s="220" t="str">
        <x:f>IF(AND(N266="",P266="",R266="",T266=""),"",IF(T266&lt;&gt;"",T266,IF(R266&lt;&gt;"",R266,IF(P266&lt;&gt;"",P266,N266))))</x:f>
      </x:c>
      <x:c r="W266" s="221"/>
      <x:c r="X266" s="220"/>
      <x:c r="Y266" s="220"/>
      <x:c r="Z266" s="223"/>
      <x:c r="AA266" s="223"/>
      <x:c r="AB266" s="221"/>
      <x:c r="AC266" s="220"/>
      <x:c r="AD266" s="220"/>
      <x:c r="AE266" s="222"/>
      <x:c r="AF266" s="220"/>
      <x:c r="AG266" s="221"/>
      <x:c r="AH266" s="220"/>
      <x:c r="AI266" s="220"/>
      <x:c r="AJ266" s="222"/>
      <x:c r="AK266" s="220"/>
      <x:c r="AL266" s="220"/>
      <x:c r="AM266" s="220"/>
      <x:c r="AN266" s="220"/>
      <x:c r="AO266" s="220"/>
      <x:c r="AP266" s="220"/>
      <x:c r="AQ266" s="220"/>
      <x:c r="AR266" s="222"/>
      <x:c r="AS266" s="220"/>
      <x:c r="AT266" s="220"/>
      <x:c r="AU266" s="220"/>
      <x:c r="AV266" s="220"/>
      <x:c r="AW266" s="220"/>
      <x:c r="AX266" s="220"/>
      <x:c r="AY266" s="221"/>
      <x:c r="AZ266" s="220"/>
      <x:c r="BA266" s="220" t="str">
        <x:f>IF(AND(A266="",B266="",F266="",H266="",J266="",AW266="",AY266=""),"",IF(OR(B266="skip",AW266="skip"),"SKIP",IF(OR(B266="to_candidate",AW266="proposed_name"),IF(OR(A266="",AX266="",AY266="",COUNTIF($A$6:$A$505,A266)&gt;1),"REVIEW","TO_PROPOSED"),IF(OR(B266="",A266="",F266="",H266="",J266="",U266="",AW266="",COUNTIF($A$6:$A$505,A266)&gt;1,(COUNTIFS('أرقام التواصل'!$A$6:$A$505,"client",'أرقام التواصل'!$B$6:$B$505,A266,'أرقام التواصل'!$I$6:$I$505,"TRUE")+COUNTIFS('أرقام التواصل'!$A$6:$A$505,"client",'أرقام التواصل'!$B$6:$B$505,A266,'أرقام التواصل'!$C$6:$C$505,1))=0),"REVIEW","READY"))))</x:f>
      </x:c>
      <x:c r="BB266" s="224" t="str">
        <x:f>IF(BA266="","",IF(OR(BA266="READY",BA266="TO_PROPOSED"),"",IF(BA266="SKIP","Skipped by decision",TRIM(IF(B266="","missing import_action; ","")&amp;IF(A266="","missing migration_customer_key; ","")&amp;IF(AND(A266&lt;&gt;"",COUNTIF($A$6:$A$505,A266)&gt;1),"duplicate migration_customer_key; ","")&amp;IF(AND(NOT(OR(B266="to_candidate",AW266="proposed_name")),F266=""),"missing branch_id; ","")&amp;IF(AND(NOT(OR(B266="to_candidate",AW266="proposed_name")),H266=""),"missing first_name; ","")&amp;IF(AND(NOT(OR(B266="to_candidate",AW266="proposed_name")),J266=""),"missing last_name; ","")&amp;IF(AND(NOT(OR(B266="to_candidate",AW266="proposed_name")),U266=""),"missing final_geo_unit_id; ","")&amp;IF(AW266="","missing final_destination; ","")&amp;IF(AND(NOT(OR(B266="to_candidate",AW266="proposed_name")),(COUNTIFS('أرقام التواصل'!$A$6:$A$505,"client",'أرقام التواصل'!$B$6:$B$505,A266,'أرقام التواصل'!$I$6:$I$505,"TRUE")+COUNTIFS('أرقام التواصل'!$A$6:$A$505,"client",'أرقام التواصل'!$B$6:$B$505,A266,'أرقام التواصل'!$C$6:$C$505,1))=0),"missing primary contact in أرقام التواصل; ","")&amp;IF(OR(B266="to_candidate",AW266="proposed_name"),IF(AX266="","missing proposed_move_reason; ","")&amp;IF(AY266="","missing proposed_name_key; ",""),"")))))</x:f>
      </x:c>
    </x:row>
    <x:row r="267">
      <x:c r="A267" s="219"/>
      <x:c r="B267" s="220"/>
      <x:c r="C267" s="221"/>
      <x:c r="D267" s="220"/>
      <x:c r="E267" s="222"/>
      <x:c r="F267" s="220"/>
      <x:c r="G267" s="220"/>
      <x:c r="H267" s="220"/>
      <x:c r="I267" s="220"/>
      <x:c r="J267" s="220"/>
      <x:c r="K267" s="220"/>
      <x:c r="L267" s="220" t="str">
        <x:f>IF(TRIM(H267&amp;" "&amp;I267&amp;" "&amp;J267&amp;IF(K267&lt;&gt;""," ("&amp;K267&amp;")",""))="","",TRIM(H267&amp;" "&amp;I267&amp;" "&amp;J267&amp;IF(K267&lt;&gt;""," ("&amp;K267&amp;")","")))</x:f>
      </x:c>
      <x:c r="M267" s="220"/>
      <x:c r="N267" s="220"/>
      <x:c r="O267" s="220"/>
      <x:c r="P267" s="220"/>
      <x:c r="Q267" s="220"/>
      <x:c r="R267" s="220"/>
      <x:c r="S267" s="220"/>
      <x:c r="T267" s="220"/>
      <x:c r="U267" s="220" t="str">
        <x:f>IF(AND(M267="",O267="",Q267="",S267=""),"",IF(S267&lt;&gt;"",S267,IF(Q267&lt;&gt;"",Q267,IF(O267&lt;&gt;"",O267,M267))))</x:f>
      </x:c>
      <x:c r="V267" s="220" t="str">
        <x:f>IF(AND(N267="",P267="",R267="",T267=""),"",IF(T267&lt;&gt;"",T267,IF(R267&lt;&gt;"",R267,IF(P267&lt;&gt;"",P267,N267))))</x:f>
      </x:c>
      <x:c r="W267" s="221"/>
      <x:c r="X267" s="220"/>
      <x:c r="Y267" s="220"/>
      <x:c r="Z267" s="223"/>
      <x:c r="AA267" s="223"/>
      <x:c r="AB267" s="221"/>
      <x:c r="AC267" s="220"/>
      <x:c r="AD267" s="220"/>
      <x:c r="AE267" s="222"/>
      <x:c r="AF267" s="220"/>
      <x:c r="AG267" s="221"/>
      <x:c r="AH267" s="220"/>
      <x:c r="AI267" s="220"/>
      <x:c r="AJ267" s="222"/>
      <x:c r="AK267" s="220"/>
      <x:c r="AL267" s="220"/>
      <x:c r="AM267" s="220"/>
      <x:c r="AN267" s="220"/>
      <x:c r="AO267" s="220"/>
      <x:c r="AP267" s="220"/>
      <x:c r="AQ267" s="220"/>
      <x:c r="AR267" s="222"/>
      <x:c r="AS267" s="220"/>
      <x:c r="AT267" s="220"/>
      <x:c r="AU267" s="220"/>
      <x:c r="AV267" s="220"/>
      <x:c r="AW267" s="220"/>
      <x:c r="AX267" s="220"/>
      <x:c r="AY267" s="221"/>
      <x:c r="AZ267" s="220"/>
      <x:c r="BA267" s="220" t="str">
        <x:f>IF(AND(A267="",B267="",F267="",H267="",J267="",AW267="",AY267=""),"",IF(OR(B267="skip",AW267="skip"),"SKIP",IF(OR(B267="to_candidate",AW267="proposed_name"),IF(OR(A267="",AX267="",AY267="",COUNTIF($A$6:$A$505,A267)&gt;1),"REVIEW","TO_PROPOSED"),IF(OR(B267="",A267="",F267="",H267="",J267="",U267="",AW267="",COUNTIF($A$6:$A$505,A267)&gt;1,(COUNTIFS('أرقام التواصل'!$A$6:$A$505,"client",'أرقام التواصل'!$B$6:$B$505,A267,'أرقام التواصل'!$I$6:$I$505,"TRUE")+COUNTIFS('أرقام التواصل'!$A$6:$A$505,"client",'أرقام التواصل'!$B$6:$B$505,A267,'أرقام التواصل'!$C$6:$C$505,1))=0),"REVIEW","READY"))))</x:f>
      </x:c>
      <x:c r="BB267" s="224" t="str">
        <x:f>IF(BA267="","",IF(OR(BA267="READY",BA267="TO_PROPOSED"),"",IF(BA267="SKIP","Skipped by decision",TRIM(IF(B267="","missing import_action; ","")&amp;IF(A267="","missing migration_customer_key; ","")&amp;IF(AND(A267&lt;&gt;"",COUNTIF($A$6:$A$505,A267)&gt;1),"duplicate migration_customer_key; ","")&amp;IF(AND(NOT(OR(B267="to_candidate",AW267="proposed_name")),F267=""),"missing branch_id; ","")&amp;IF(AND(NOT(OR(B267="to_candidate",AW267="proposed_name")),H267=""),"missing first_name; ","")&amp;IF(AND(NOT(OR(B267="to_candidate",AW267="proposed_name")),J267=""),"missing last_name; ","")&amp;IF(AND(NOT(OR(B267="to_candidate",AW267="proposed_name")),U267=""),"missing final_geo_unit_id; ","")&amp;IF(AW267="","missing final_destination; ","")&amp;IF(AND(NOT(OR(B267="to_candidate",AW267="proposed_name")),(COUNTIFS('أرقام التواصل'!$A$6:$A$505,"client",'أرقام التواصل'!$B$6:$B$505,A267,'أرقام التواصل'!$I$6:$I$505,"TRUE")+COUNTIFS('أرقام التواصل'!$A$6:$A$505,"client",'أرقام التواصل'!$B$6:$B$505,A267,'أرقام التواصل'!$C$6:$C$505,1))=0),"missing primary contact in أرقام التواصل; ","")&amp;IF(OR(B267="to_candidate",AW267="proposed_name"),IF(AX267="","missing proposed_move_reason; ","")&amp;IF(AY267="","missing proposed_name_key; ",""),"")))))</x:f>
      </x:c>
    </x:row>
    <x:row r="268">
      <x:c r="A268" s="219"/>
      <x:c r="B268" s="220"/>
      <x:c r="C268" s="221"/>
      <x:c r="D268" s="220"/>
      <x:c r="E268" s="222"/>
      <x:c r="F268" s="220"/>
      <x:c r="G268" s="220"/>
      <x:c r="H268" s="220"/>
      <x:c r="I268" s="220"/>
      <x:c r="J268" s="220"/>
      <x:c r="K268" s="220"/>
      <x:c r="L268" s="220" t="str">
        <x:f>IF(TRIM(H268&amp;" "&amp;I268&amp;" "&amp;J268&amp;IF(K268&lt;&gt;""," ("&amp;K268&amp;")",""))="","",TRIM(H268&amp;" "&amp;I268&amp;" "&amp;J268&amp;IF(K268&lt;&gt;""," ("&amp;K268&amp;")","")))</x:f>
      </x:c>
      <x:c r="M268" s="220"/>
      <x:c r="N268" s="220"/>
      <x:c r="O268" s="220"/>
      <x:c r="P268" s="220"/>
      <x:c r="Q268" s="220"/>
      <x:c r="R268" s="220"/>
      <x:c r="S268" s="220"/>
      <x:c r="T268" s="220"/>
      <x:c r="U268" s="220" t="str">
        <x:f>IF(AND(M268="",O268="",Q268="",S268=""),"",IF(S268&lt;&gt;"",S268,IF(Q268&lt;&gt;"",Q268,IF(O268&lt;&gt;"",O268,M268))))</x:f>
      </x:c>
      <x:c r="V268" s="220" t="str">
        <x:f>IF(AND(N268="",P268="",R268="",T268=""),"",IF(T268&lt;&gt;"",T268,IF(R268&lt;&gt;"",R268,IF(P268&lt;&gt;"",P268,N268))))</x:f>
      </x:c>
      <x:c r="W268" s="221"/>
      <x:c r="X268" s="220"/>
      <x:c r="Y268" s="220"/>
      <x:c r="Z268" s="223"/>
      <x:c r="AA268" s="223"/>
      <x:c r="AB268" s="221"/>
      <x:c r="AC268" s="220"/>
      <x:c r="AD268" s="220"/>
      <x:c r="AE268" s="222"/>
      <x:c r="AF268" s="220"/>
      <x:c r="AG268" s="221"/>
      <x:c r="AH268" s="220"/>
      <x:c r="AI268" s="220"/>
      <x:c r="AJ268" s="222"/>
      <x:c r="AK268" s="220"/>
      <x:c r="AL268" s="220"/>
      <x:c r="AM268" s="220"/>
      <x:c r="AN268" s="220"/>
      <x:c r="AO268" s="220"/>
      <x:c r="AP268" s="220"/>
      <x:c r="AQ268" s="220"/>
      <x:c r="AR268" s="222"/>
      <x:c r="AS268" s="220"/>
      <x:c r="AT268" s="220"/>
      <x:c r="AU268" s="220"/>
      <x:c r="AV268" s="220"/>
      <x:c r="AW268" s="220"/>
      <x:c r="AX268" s="220"/>
      <x:c r="AY268" s="221"/>
      <x:c r="AZ268" s="220"/>
      <x:c r="BA268" s="220" t="str">
        <x:f>IF(AND(A268="",B268="",F268="",H268="",J268="",AW268="",AY268=""),"",IF(OR(B268="skip",AW268="skip"),"SKIP",IF(OR(B268="to_candidate",AW268="proposed_name"),IF(OR(A268="",AX268="",AY268="",COUNTIF($A$6:$A$505,A268)&gt;1),"REVIEW","TO_PROPOSED"),IF(OR(B268="",A268="",F268="",H268="",J268="",U268="",AW268="",COUNTIF($A$6:$A$505,A268)&gt;1,(COUNTIFS('أرقام التواصل'!$A$6:$A$505,"client",'أرقام التواصل'!$B$6:$B$505,A268,'أرقام التواصل'!$I$6:$I$505,"TRUE")+COUNTIFS('أرقام التواصل'!$A$6:$A$505,"client",'أرقام التواصل'!$B$6:$B$505,A268,'أرقام التواصل'!$C$6:$C$505,1))=0),"REVIEW","READY"))))</x:f>
      </x:c>
      <x:c r="BB268" s="224" t="str">
        <x:f>IF(BA268="","",IF(OR(BA268="READY",BA268="TO_PROPOSED"),"",IF(BA268="SKIP","Skipped by decision",TRIM(IF(B268="","missing import_action; ","")&amp;IF(A268="","missing migration_customer_key; ","")&amp;IF(AND(A268&lt;&gt;"",COUNTIF($A$6:$A$505,A268)&gt;1),"duplicate migration_customer_key; ","")&amp;IF(AND(NOT(OR(B268="to_candidate",AW268="proposed_name")),F268=""),"missing branch_id; ","")&amp;IF(AND(NOT(OR(B268="to_candidate",AW268="proposed_name")),H268=""),"missing first_name; ","")&amp;IF(AND(NOT(OR(B268="to_candidate",AW268="proposed_name")),J268=""),"missing last_name; ","")&amp;IF(AND(NOT(OR(B268="to_candidate",AW268="proposed_name")),U268=""),"missing final_geo_unit_id; ","")&amp;IF(AW268="","missing final_destination; ","")&amp;IF(AND(NOT(OR(B268="to_candidate",AW268="proposed_name")),(COUNTIFS('أرقام التواصل'!$A$6:$A$505,"client",'أرقام التواصل'!$B$6:$B$505,A268,'أرقام التواصل'!$I$6:$I$505,"TRUE")+COUNTIFS('أرقام التواصل'!$A$6:$A$505,"client",'أرقام التواصل'!$B$6:$B$505,A268,'أرقام التواصل'!$C$6:$C$505,1))=0),"missing primary contact in أرقام التواصل; ","")&amp;IF(OR(B268="to_candidate",AW268="proposed_name"),IF(AX268="","missing proposed_move_reason; ","")&amp;IF(AY268="","missing proposed_name_key; ",""),"")))))</x:f>
      </x:c>
    </x:row>
    <x:row r="269">
      <x:c r="A269" s="219"/>
      <x:c r="B269" s="220"/>
      <x:c r="C269" s="221"/>
      <x:c r="D269" s="220"/>
      <x:c r="E269" s="222"/>
      <x:c r="F269" s="220"/>
      <x:c r="G269" s="220"/>
      <x:c r="H269" s="220"/>
      <x:c r="I269" s="220"/>
      <x:c r="J269" s="220"/>
      <x:c r="K269" s="220"/>
      <x:c r="L269" s="220" t="str">
        <x:f>IF(TRIM(H269&amp;" "&amp;I269&amp;" "&amp;J269&amp;IF(K269&lt;&gt;""," ("&amp;K269&amp;")",""))="","",TRIM(H269&amp;" "&amp;I269&amp;" "&amp;J269&amp;IF(K269&lt;&gt;""," ("&amp;K269&amp;")","")))</x:f>
      </x:c>
      <x:c r="M269" s="220"/>
      <x:c r="N269" s="220"/>
      <x:c r="O269" s="220"/>
      <x:c r="P269" s="220"/>
      <x:c r="Q269" s="220"/>
      <x:c r="R269" s="220"/>
      <x:c r="S269" s="220"/>
      <x:c r="T269" s="220"/>
      <x:c r="U269" s="220" t="str">
        <x:f>IF(AND(M269="",O269="",Q269="",S269=""),"",IF(S269&lt;&gt;"",S269,IF(Q269&lt;&gt;"",Q269,IF(O269&lt;&gt;"",O269,M269))))</x:f>
      </x:c>
      <x:c r="V269" s="220" t="str">
        <x:f>IF(AND(N269="",P269="",R269="",T269=""),"",IF(T269&lt;&gt;"",T269,IF(R269&lt;&gt;"",R269,IF(P269&lt;&gt;"",P269,N269))))</x:f>
      </x:c>
      <x:c r="W269" s="221"/>
      <x:c r="X269" s="220"/>
      <x:c r="Y269" s="220"/>
      <x:c r="Z269" s="223"/>
      <x:c r="AA269" s="223"/>
      <x:c r="AB269" s="221"/>
      <x:c r="AC269" s="220"/>
      <x:c r="AD269" s="220"/>
      <x:c r="AE269" s="222"/>
      <x:c r="AF269" s="220"/>
      <x:c r="AG269" s="221"/>
      <x:c r="AH269" s="220"/>
      <x:c r="AI269" s="220"/>
      <x:c r="AJ269" s="222"/>
      <x:c r="AK269" s="220"/>
      <x:c r="AL269" s="220"/>
      <x:c r="AM269" s="220"/>
      <x:c r="AN269" s="220"/>
      <x:c r="AO269" s="220"/>
      <x:c r="AP269" s="220"/>
      <x:c r="AQ269" s="220"/>
      <x:c r="AR269" s="222"/>
      <x:c r="AS269" s="220"/>
      <x:c r="AT269" s="220"/>
      <x:c r="AU269" s="220"/>
      <x:c r="AV269" s="220"/>
      <x:c r="AW269" s="220"/>
      <x:c r="AX269" s="220"/>
      <x:c r="AY269" s="221"/>
      <x:c r="AZ269" s="220"/>
      <x:c r="BA269" s="220" t="str">
        <x:f>IF(AND(A269="",B269="",F269="",H269="",J269="",AW269="",AY269=""),"",IF(OR(B269="skip",AW269="skip"),"SKIP",IF(OR(B269="to_candidate",AW269="proposed_name"),IF(OR(A269="",AX269="",AY269="",COUNTIF($A$6:$A$505,A269)&gt;1),"REVIEW","TO_PROPOSED"),IF(OR(B269="",A269="",F269="",H269="",J269="",U269="",AW269="",COUNTIF($A$6:$A$505,A269)&gt;1,(COUNTIFS('أرقام التواصل'!$A$6:$A$505,"client",'أرقام التواصل'!$B$6:$B$505,A269,'أرقام التواصل'!$I$6:$I$505,"TRUE")+COUNTIFS('أرقام التواصل'!$A$6:$A$505,"client",'أرقام التواصل'!$B$6:$B$505,A269,'أرقام التواصل'!$C$6:$C$505,1))=0),"REVIEW","READY"))))</x:f>
      </x:c>
      <x:c r="BB269" s="224" t="str">
        <x:f>IF(BA269="","",IF(OR(BA269="READY",BA269="TO_PROPOSED"),"",IF(BA269="SKIP","Skipped by decision",TRIM(IF(B269="","missing import_action; ","")&amp;IF(A269="","missing migration_customer_key; ","")&amp;IF(AND(A269&lt;&gt;"",COUNTIF($A$6:$A$505,A269)&gt;1),"duplicate migration_customer_key; ","")&amp;IF(AND(NOT(OR(B269="to_candidate",AW269="proposed_name")),F269=""),"missing branch_id; ","")&amp;IF(AND(NOT(OR(B269="to_candidate",AW269="proposed_name")),H269=""),"missing first_name; ","")&amp;IF(AND(NOT(OR(B269="to_candidate",AW269="proposed_name")),J269=""),"missing last_name; ","")&amp;IF(AND(NOT(OR(B269="to_candidate",AW269="proposed_name")),U269=""),"missing final_geo_unit_id; ","")&amp;IF(AW269="","missing final_destination; ","")&amp;IF(AND(NOT(OR(B269="to_candidate",AW269="proposed_name")),(COUNTIFS('أرقام التواصل'!$A$6:$A$505,"client",'أرقام التواصل'!$B$6:$B$505,A269,'أرقام التواصل'!$I$6:$I$505,"TRUE")+COUNTIFS('أرقام التواصل'!$A$6:$A$505,"client",'أرقام التواصل'!$B$6:$B$505,A269,'أرقام التواصل'!$C$6:$C$505,1))=0),"missing primary contact in أرقام التواصل; ","")&amp;IF(OR(B269="to_candidate",AW269="proposed_name"),IF(AX269="","missing proposed_move_reason; ","")&amp;IF(AY269="","missing proposed_name_key; ",""),"")))))</x:f>
      </x:c>
    </x:row>
    <x:row r="270">
      <x:c r="A270" s="219"/>
      <x:c r="B270" s="220"/>
      <x:c r="C270" s="221"/>
      <x:c r="D270" s="220"/>
      <x:c r="E270" s="222"/>
      <x:c r="F270" s="220"/>
      <x:c r="G270" s="220"/>
      <x:c r="H270" s="220"/>
      <x:c r="I270" s="220"/>
      <x:c r="J270" s="220"/>
      <x:c r="K270" s="220"/>
      <x:c r="L270" s="220" t="str">
        <x:f>IF(TRIM(H270&amp;" "&amp;I270&amp;" "&amp;J270&amp;IF(K270&lt;&gt;""," ("&amp;K270&amp;")",""))="","",TRIM(H270&amp;" "&amp;I270&amp;" "&amp;J270&amp;IF(K270&lt;&gt;""," ("&amp;K270&amp;")","")))</x:f>
      </x:c>
      <x:c r="M270" s="220"/>
      <x:c r="N270" s="220"/>
      <x:c r="O270" s="220"/>
      <x:c r="P270" s="220"/>
      <x:c r="Q270" s="220"/>
      <x:c r="R270" s="220"/>
      <x:c r="S270" s="220"/>
      <x:c r="T270" s="220"/>
      <x:c r="U270" s="220" t="str">
        <x:f>IF(AND(M270="",O270="",Q270="",S270=""),"",IF(S270&lt;&gt;"",S270,IF(Q270&lt;&gt;"",Q270,IF(O270&lt;&gt;"",O270,M270))))</x:f>
      </x:c>
      <x:c r="V270" s="220" t="str">
        <x:f>IF(AND(N270="",P270="",R270="",T270=""),"",IF(T270&lt;&gt;"",T270,IF(R270&lt;&gt;"",R270,IF(P270&lt;&gt;"",P270,N270))))</x:f>
      </x:c>
      <x:c r="W270" s="221"/>
      <x:c r="X270" s="220"/>
      <x:c r="Y270" s="220"/>
      <x:c r="Z270" s="223"/>
      <x:c r="AA270" s="223"/>
      <x:c r="AB270" s="221"/>
      <x:c r="AC270" s="220"/>
      <x:c r="AD270" s="220"/>
      <x:c r="AE270" s="222"/>
      <x:c r="AF270" s="220"/>
      <x:c r="AG270" s="221"/>
      <x:c r="AH270" s="220"/>
      <x:c r="AI270" s="220"/>
      <x:c r="AJ270" s="222"/>
      <x:c r="AK270" s="220"/>
      <x:c r="AL270" s="220"/>
      <x:c r="AM270" s="220"/>
      <x:c r="AN270" s="220"/>
      <x:c r="AO270" s="220"/>
      <x:c r="AP270" s="220"/>
      <x:c r="AQ270" s="220"/>
      <x:c r="AR270" s="222"/>
      <x:c r="AS270" s="220"/>
      <x:c r="AT270" s="220"/>
      <x:c r="AU270" s="220"/>
      <x:c r="AV270" s="220"/>
      <x:c r="AW270" s="220"/>
      <x:c r="AX270" s="220"/>
      <x:c r="AY270" s="221"/>
      <x:c r="AZ270" s="220"/>
      <x:c r="BA270" s="220" t="str">
        <x:f>IF(AND(A270="",B270="",F270="",H270="",J270="",AW270="",AY270=""),"",IF(OR(B270="skip",AW270="skip"),"SKIP",IF(OR(B270="to_candidate",AW270="proposed_name"),IF(OR(A270="",AX270="",AY270="",COUNTIF($A$6:$A$505,A270)&gt;1),"REVIEW","TO_PROPOSED"),IF(OR(B270="",A270="",F270="",H270="",J270="",U270="",AW270="",COUNTIF($A$6:$A$505,A270)&gt;1,(COUNTIFS('أرقام التواصل'!$A$6:$A$505,"client",'أرقام التواصل'!$B$6:$B$505,A270,'أرقام التواصل'!$I$6:$I$505,"TRUE")+COUNTIFS('أرقام التواصل'!$A$6:$A$505,"client",'أرقام التواصل'!$B$6:$B$505,A270,'أرقام التواصل'!$C$6:$C$505,1))=0),"REVIEW","READY"))))</x:f>
      </x:c>
      <x:c r="BB270" s="224" t="str">
        <x:f>IF(BA270="","",IF(OR(BA270="READY",BA270="TO_PROPOSED"),"",IF(BA270="SKIP","Skipped by decision",TRIM(IF(B270="","missing import_action; ","")&amp;IF(A270="","missing migration_customer_key; ","")&amp;IF(AND(A270&lt;&gt;"",COUNTIF($A$6:$A$505,A270)&gt;1),"duplicate migration_customer_key; ","")&amp;IF(AND(NOT(OR(B270="to_candidate",AW270="proposed_name")),F270=""),"missing branch_id; ","")&amp;IF(AND(NOT(OR(B270="to_candidate",AW270="proposed_name")),H270=""),"missing first_name; ","")&amp;IF(AND(NOT(OR(B270="to_candidate",AW270="proposed_name")),J270=""),"missing last_name; ","")&amp;IF(AND(NOT(OR(B270="to_candidate",AW270="proposed_name")),U270=""),"missing final_geo_unit_id; ","")&amp;IF(AW270="","missing final_destination; ","")&amp;IF(AND(NOT(OR(B270="to_candidate",AW270="proposed_name")),(COUNTIFS('أرقام التواصل'!$A$6:$A$505,"client",'أرقام التواصل'!$B$6:$B$505,A270,'أرقام التواصل'!$I$6:$I$505,"TRUE")+COUNTIFS('أرقام التواصل'!$A$6:$A$505,"client",'أرقام التواصل'!$B$6:$B$505,A270,'أرقام التواصل'!$C$6:$C$505,1))=0),"missing primary contact in أرقام التواصل; ","")&amp;IF(OR(B270="to_candidate",AW270="proposed_name"),IF(AX270="","missing proposed_move_reason; ","")&amp;IF(AY270="","missing proposed_name_key; ",""),"")))))</x:f>
      </x:c>
    </x:row>
    <x:row r="271">
      <x:c r="A271" s="219"/>
      <x:c r="B271" s="220"/>
      <x:c r="C271" s="221"/>
      <x:c r="D271" s="220"/>
      <x:c r="E271" s="222"/>
      <x:c r="F271" s="220"/>
      <x:c r="G271" s="220"/>
      <x:c r="H271" s="220"/>
      <x:c r="I271" s="220"/>
      <x:c r="J271" s="220"/>
      <x:c r="K271" s="220"/>
      <x:c r="L271" s="220" t="str">
        <x:f>IF(TRIM(H271&amp;" "&amp;I271&amp;" "&amp;J271&amp;IF(K271&lt;&gt;""," ("&amp;K271&amp;")",""))="","",TRIM(H271&amp;" "&amp;I271&amp;" "&amp;J271&amp;IF(K271&lt;&gt;""," ("&amp;K271&amp;")","")))</x:f>
      </x:c>
      <x:c r="M271" s="220"/>
      <x:c r="N271" s="220"/>
      <x:c r="O271" s="220"/>
      <x:c r="P271" s="220"/>
      <x:c r="Q271" s="220"/>
      <x:c r="R271" s="220"/>
      <x:c r="S271" s="220"/>
      <x:c r="T271" s="220"/>
      <x:c r="U271" s="220" t="str">
        <x:f>IF(AND(M271="",O271="",Q271="",S271=""),"",IF(S271&lt;&gt;"",S271,IF(Q271&lt;&gt;"",Q271,IF(O271&lt;&gt;"",O271,M271))))</x:f>
      </x:c>
      <x:c r="V271" s="220" t="str">
        <x:f>IF(AND(N271="",P271="",R271="",T271=""),"",IF(T271&lt;&gt;"",T271,IF(R271&lt;&gt;"",R271,IF(P271&lt;&gt;"",P271,N271))))</x:f>
      </x:c>
      <x:c r="W271" s="221"/>
      <x:c r="X271" s="220"/>
      <x:c r="Y271" s="220"/>
      <x:c r="Z271" s="223"/>
      <x:c r="AA271" s="223"/>
      <x:c r="AB271" s="221"/>
      <x:c r="AC271" s="220"/>
      <x:c r="AD271" s="220"/>
      <x:c r="AE271" s="222"/>
      <x:c r="AF271" s="220"/>
      <x:c r="AG271" s="221"/>
      <x:c r="AH271" s="220"/>
      <x:c r="AI271" s="220"/>
      <x:c r="AJ271" s="222"/>
      <x:c r="AK271" s="220"/>
      <x:c r="AL271" s="220"/>
      <x:c r="AM271" s="220"/>
      <x:c r="AN271" s="220"/>
      <x:c r="AO271" s="220"/>
      <x:c r="AP271" s="220"/>
      <x:c r="AQ271" s="220"/>
      <x:c r="AR271" s="222"/>
      <x:c r="AS271" s="220"/>
      <x:c r="AT271" s="220"/>
      <x:c r="AU271" s="220"/>
      <x:c r="AV271" s="220"/>
      <x:c r="AW271" s="220"/>
      <x:c r="AX271" s="220"/>
      <x:c r="AY271" s="221"/>
      <x:c r="AZ271" s="220"/>
      <x:c r="BA271" s="220" t="str">
        <x:f>IF(AND(A271="",B271="",F271="",H271="",J271="",AW271="",AY271=""),"",IF(OR(B271="skip",AW271="skip"),"SKIP",IF(OR(B271="to_candidate",AW271="proposed_name"),IF(OR(A271="",AX271="",AY271="",COUNTIF($A$6:$A$505,A271)&gt;1),"REVIEW","TO_PROPOSED"),IF(OR(B271="",A271="",F271="",H271="",J271="",U271="",AW271="",COUNTIF($A$6:$A$505,A271)&gt;1,(COUNTIFS('أرقام التواصل'!$A$6:$A$505,"client",'أرقام التواصل'!$B$6:$B$505,A271,'أرقام التواصل'!$I$6:$I$505,"TRUE")+COUNTIFS('أرقام التواصل'!$A$6:$A$505,"client",'أرقام التواصل'!$B$6:$B$505,A271,'أرقام التواصل'!$C$6:$C$505,1))=0),"REVIEW","READY"))))</x:f>
      </x:c>
      <x:c r="BB271" s="224" t="str">
        <x:f>IF(BA271="","",IF(OR(BA271="READY",BA271="TO_PROPOSED"),"",IF(BA271="SKIP","Skipped by decision",TRIM(IF(B271="","missing import_action; ","")&amp;IF(A271="","missing migration_customer_key; ","")&amp;IF(AND(A271&lt;&gt;"",COUNTIF($A$6:$A$505,A271)&gt;1),"duplicate migration_customer_key; ","")&amp;IF(AND(NOT(OR(B271="to_candidate",AW271="proposed_name")),F271=""),"missing branch_id; ","")&amp;IF(AND(NOT(OR(B271="to_candidate",AW271="proposed_name")),H271=""),"missing first_name; ","")&amp;IF(AND(NOT(OR(B271="to_candidate",AW271="proposed_name")),J271=""),"missing last_name; ","")&amp;IF(AND(NOT(OR(B271="to_candidate",AW271="proposed_name")),U271=""),"missing final_geo_unit_id; ","")&amp;IF(AW271="","missing final_destination; ","")&amp;IF(AND(NOT(OR(B271="to_candidate",AW271="proposed_name")),(COUNTIFS('أرقام التواصل'!$A$6:$A$505,"client",'أرقام التواصل'!$B$6:$B$505,A271,'أرقام التواصل'!$I$6:$I$505,"TRUE")+COUNTIFS('أرقام التواصل'!$A$6:$A$505,"client",'أرقام التواصل'!$B$6:$B$505,A271,'أرقام التواصل'!$C$6:$C$505,1))=0),"missing primary contact in أرقام التواصل; ","")&amp;IF(OR(B271="to_candidate",AW271="proposed_name"),IF(AX271="","missing proposed_move_reason; ","")&amp;IF(AY271="","missing proposed_name_key; ",""),"")))))</x:f>
      </x:c>
    </x:row>
    <x:row r="272">
      <x:c r="A272" s="219"/>
      <x:c r="B272" s="220"/>
      <x:c r="C272" s="221"/>
      <x:c r="D272" s="220"/>
      <x:c r="E272" s="222"/>
      <x:c r="F272" s="220"/>
      <x:c r="G272" s="220"/>
      <x:c r="H272" s="220"/>
      <x:c r="I272" s="220"/>
      <x:c r="J272" s="220"/>
      <x:c r="K272" s="220"/>
      <x:c r="L272" s="220" t="str">
        <x:f>IF(TRIM(H272&amp;" "&amp;I272&amp;" "&amp;J272&amp;IF(K272&lt;&gt;""," ("&amp;K272&amp;")",""))="","",TRIM(H272&amp;" "&amp;I272&amp;" "&amp;J272&amp;IF(K272&lt;&gt;""," ("&amp;K272&amp;")","")))</x:f>
      </x:c>
      <x:c r="M272" s="220"/>
      <x:c r="N272" s="220"/>
      <x:c r="O272" s="220"/>
      <x:c r="P272" s="220"/>
      <x:c r="Q272" s="220"/>
      <x:c r="R272" s="220"/>
      <x:c r="S272" s="220"/>
      <x:c r="T272" s="220"/>
      <x:c r="U272" s="220" t="str">
        <x:f>IF(AND(M272="",O272="",Q272="",S272=""),"",IF(S272&lt;&gt;"",S272,IF(Q272&lt;&gt;"",Q272,IF(O272&lt;&gt;"",O272,M272))))</x:f>
      </x:c>
      <x:c r="V272" s="220" t="str">
        <x:f>IF(AND(N272="",P272="",R272="",T272=""),"",IF(T272&lt;&gt;"",T272,IF(R272&lt;&gt;"",R272,IF(P272&lt;&gt;"",P272,N272))))</x:f>
      </x:c>
      <x:c r="W272" s="221"/>
      <x:c r="X272" s="220"/>
      <x:c r="Y272" s="220"/>
      <x:c r="Z272" s="223"/>
      <x:c r="AA272" s="223"/>
      <x:c r="AB272" s="221"/>
      <x:c r="AC272" s="220"/>
      <x:c r="AD272" s="220"/>
      <x:c r="AE272" s="222"/>
      <x:c r="AF272" s="220"/>
      <x:c r="AG272" s="221"/>
      <x:c r="AH272" s="220"/>
      <x:c r="AI272" s="220"/>
      <x:c r="AJ272" s="222"/>
      <x:c r="AK272" s="220"/>
      <x:c r="AL272" s="220"/>
      <x:c r="AM272" s="220"/>
      <x:c r="AN272" s="220"/>
      <x:c r="AO272" s="220"/>
      <x:c r="AP272" s="220"/>
      <x:c r="AQ272" s="220"/>
      <x:c r="AR272" s="222"/>
      <x:c r="AS272" s="220"/>
      <x:c r="AT272" s="220"/>
      <x:c r="AU272" s="220"/>
      <x:c r="AV272" s="220"/>
      <x:c r="AW272" s="220"/>
      <x:c r="AX272" s="220"/>
      <x:c r="AY272" s="221"/>
      <x:c r="AZ272" s="220"/>
      <x:c r="BA272" s="220" t="str">
        <x:f>IF(AND(A272="",B272="",F272="",H272="",J272="",AW272="",AY272=""),"",IF(OR(B272="skip",AW272="skip"),"SKIP",IF(OR(B272="to_candidate",AW272="proposed_name"),IF(OR(A272="",AX272="",AY272="",COUNTIF($A$6:$A$505,A272)&gt;1),"REVIEW","TO_PROPOSED"),IF(OR(B272="",A272="",F272="",H272="",J272="",U272="",AW272="",COUNTIF($A$6:$A$505,A272)&gt;1,(COUNTIFS('أرقام التواصل'!$A$6:$A$505,"client",'أرقام التواصل'!$B$6:$B$505,A272,'أرقام التواصل'!$I$6:$I$505,"TRUE")+COUNTIFS('أرقام التواصل'!$A$6:$A$505,"client",'أرقام التواصل'!$B$6:$B$505,A272,'أرقام التواصل'!$C$6:$C$505,1))=0),"REVIEW","READY"))))</x:f>
      </x:c>
      <x:c r="BB272" s="224" t="str">
        <x:f>IF(BA272="","",IF(OR(BA272="READY",BA272="TO_PROPOSED"),"",IF(BA272="SKIP","Skipped by decision",TRIM(IF(B272="","missing import_action; ","")&amp;IF(A272="","missing migration_customer_key; ","")&amp;IF(AND(A272&lt;&gt;"",COUNTIF($A$6:$A$505,A272)&gt;1),"duplicate migration_customer_key; ","")&amp;IF(AND(NOT(OR(B272="to_candidate",AW272="proposed_name")),F272=""),"missing branch_id; ","")&amp;IF(AND(NOT(OR(B272="to_candidate",AW272="proposed_name")),H272=""),"missing first_name; ","")&amp;IF(AND(NOT(OR(B272="to_candidate",AW272="proposed_name")),J272=""),"missing last_name; ","")&amp;IF(AND(NOT(OR(B272="to_candidate",AW272="proposed_name")),U272=""),"missing final_geo_unit_id; ","")&amp;IF(AW272="","missing final_destination; ","")&amp;IF(AND(NOT(OR(B272="to_candidate",AW272="proposed_name")),(COUNTIFS('أرقام التواصل'!$A$6:$A$505,"client",'أرقام التواصل'!$B$6:$B$505,A272,'أرقام التواصل'!$I$6:$I$505,"TRUE")+COUNTIFS('أرقام التواصل'!$A$6:$A$505,"client",'أرقام التواصل'!$B$6:$B$505,A272,'أرقام التواصل'!$C$6:$C$505,1))=0),"missing primary contact in أرقام التواصل; ","")&amp;IF(OR(B272="to_candidate",AW272="proposed_name"),IF(AX272="","missing proposed_move_reason; ","")&amp;IF(AY272="","missing proposed_name_key; ",""),"")))))</x:f>
      </x:c>
    </x:row>
    <x:row r="273">
      <x:c r="A273" s="219"/>
      <x:c r="B273" s="220"/>
      <x:c r="C273" s="221"/>
      <x:c r="D273" s="220"/>
      <x:c r="E273" s="222"/>
      <x:c r="F273" s="220"/>
      <x:c r="G273" s="220"/>
      <x:c r="H273" s="220"/>
      <x:c r="I273" s="220"/>
      <x:c r="J273" s="220"/>
      <x:c r="K273" s="220"/>
      <x:c r="L273" s="220" t="str">
        <x:f>IF(TRIM(H273&amp;" "&amp;I273&amp;" "&amp;J273&amp;IF(K273&lt;&gt;""," ("&amp;K273&amp;")",""))="","",TRIM(H273&amp;" "&amp;I273&amp;" "&amp;J273&amp;IF(K273&lt;&gt;""," ("&amp;K273&amp;")","")))</x:f>
      </x:c>
      <x:c r="M273" s="220"/>
      <x:c r="N273" s="220"/>
      <x:c r="O273" s="220"/>
      <x:c r="P273" s="220"/>
      <x:c r="Q273" s="220"/>
      <x:c r="R273" s="220"/>
      <x:c r="S273" s="220"/>
      <x:c r="T273" s="220"/>
      <x:c r="U273" s="220" t="str">
        <x:f>IF(AND(M273="",O273="",Q273="",S273=""),"",IF(S273&lt;&gt;"",S273,IF(Q273&lt;&gt;"",Q273,IF(O273&lt;&gt;"",O273,M273))))</x:f>
      </x:c>
      <x:c r="V273" s="220" t="str">
        <x:f>IF(AND(N273="",P273="",R273="",T273=""),"",IF(T273&lt;&gt;"",T273,IF(R273&lt;&gt;"",R273,IF(P273&lt;&gt;"",P273,N273))))</x:f>
      </x:c>
      <x:c r="W273" s="221"/>
      <x:c r="X273" s="220"/>
      <x:c r="Y273" s="220"/>
      <x:c r="Z273" s="223"/>
      <x:c r="AA273" s="223"/>
      <x:c r="AB273" s="221"/>
      <x:c r="AC273" s="220"/>
      <x:c r="AD273" s="220"/>
      <x:c r="AE273" s="222"/>
      <x:c r="AF273" s="220"/>
      <x:c r="AG273" s="221"/>
      <x:c r="AH273" s="220"/>
      <x:c r="AI273" s="220"/>
      <x:c r="AJ273" s="222"/>
      <x:c r="AK273" s="220"/>
      <x:c r="AL273" s="220"/>
      <x:c r="AM273" s="220"/>
      <x:c r="AN273" s="220"/>
      <x:c r="AO273" s="220"/>
      <x:c r="AP273" s="220"/>
      <x:c r="AQ273" s="220"/>
      <x:c r="AR273" s="222"/>
      <x:c r="AS273" s="220"/>
      <x:c r="AT273" s="220"/>
      <x:c r="AU273" s="220"/>
      <x:c r="AV273" s="220"/>
      <x:c r="AW273" s="220"/>
      <x:c r="AX273" s="220"/>
      <x:c r="AY273" s="221"/>
      <x:c r="AZ273" s="220"/>
      <x:c r="BA273" s="220" t="str">
        <x:f>IF(AND(A273="",B273="",F273="",H273="",J273="",AW273="",AY273=""),"",IF(OR(B273="skip",AW273="skip"),"SKIP",IF(OR(B273="to_candidate",AW273="proposed_name"),IF(OR(A273="",AX273="",AY273="",COUNTIF($A$6:$A$505,A273)&gt;1),"REVIEW","TO_PROPOSED"),IF(OR(B273="",A273="",F273="",H273="",J273="",U273="",AW273="",COUNTIF($A$6:$A$505,A273)&gt;1,(COUNTIFS('أرقام التواصل'!$A$6:$A$505,"client",'أرقام التواصل'!$B$6:$B$505,A273,'أرقام التواصل'!$I$6:$I$505,"TRUE")+COUNTIFS('أرقام التواصل'!$A$6:$A$505,"client",'أرقام التواصل'!$B$6:$B$505,A273,'أرقام التواصل'!$C$6:$C$505,1))=0),"REVIEW","READY"))))</x:f>
      </x:c>
      <x:c r="BB273" s="224" t="str">
        <x:f>IF(BA273="","",IF(OR(BA273="READY",BA273="TO_PROPOSED"),"",IF(BA273="SKIP","Skipped by decision",TRIM(IF(B273="","missing import_action; ","")&amp;IF(A273="","missing migration_customer_key; ","")&amp;IF(AND(A273&lt;&gt;"",COUNTIF($A$6:$A$505,A273)&gt;1),"duplicate migration_customer_key; ","")&amp;IF(AND(NOT(OR(B273="to_candidate",AW273="proposed_name")),F273=""),"missing branch_id; ","")&amp;IF(AND(NOT(OR(B273="to_candidate",AW273="proposed_name")),H273=""),"missing first_name; ","")&amp;IF(AND(NOT(OR(B273="to_candidate",AW273="proposed_name")),J273=""),"missing last_name; ","")&amp;IF(AND(NOT(OR(B273="to_candidate",AW273="proposed_name")),U273=""),"missing final_geo_unit_id; ","")&amp;IF(AW273="","missing final_destination; ","")&amp;IF(AND(NOT(OR(B273="to_candidate",AW273="proposed_name")),(COUNTIFS('أرقام التواصل'!$A$6:$A$505,"client",'أرقام التواصل'!$B$6:$B$505,A273,'أرقام التواصل'!$I$6:$I$505,"TRUE")+COUNTIFS('أرقام التواصل'!$A$6:$A$505,"client",'أرقام التواصل'!$B$6:$B$505,A273,'أرقام التواصل'!$C$6:$C$505,1))=0),"missing primary contact in أرقام التواصل; ","")&amp;IF(OR(B273="to_candidate",AW273="proposed_name"),IF(AX273="","missing proposed_move_reason; ","")&amp;IF(AY273="","missing proposed_name_key; ",""),"")))))</x:f>
      </x:c>
    </x:row>
    <x:row r="274">
      <x:c r="A274" s="219"/>
      <x:c r="B274" s="220"/>
      <x:c r="C274" s="221"/>
      <x:c r="D274" s="220"/>
      <x:c r="E274" s="222"/>
      <x:c r="F274" s="220"/>
      <x:c r="G274" s="220"/>
      <x:c r="H274" s="220"/>
      <x:c r="I274" s="220"/>
      <x:c r="J274" s="220"/>
      <x:c r="K274" s="220"/>
      <x:c r="L274" s="220" t="str">
        <x:f>IF(TRIM(H274&amp;" "&amp;I274&amp;" "&amp;J274&amp;IF(K274&lt;&gt;""," ("&amp;K274&amp;")",""))="","",TRIM(H274&amp;" "&amp;I274&amp;" "&amp;J274&amp;IF(K274&lt;&gt;""," ("&amp;K274&amp;")","")))</x:f>
      </x:c>
      <x:c r="M274" s="220"/>
      <x:c r="N274" s="220"/>
      <x:c r="O274" s="220"/>
      <x:c r="P274" s="220"/>
      <x:c r="Q274" s="220"/>
      <x:c r="R274" s="220"/>
      <x:c r="S274" s="220"/>
      <x:c r="T274" s="220"/>
      <x:c r="U274" s="220" t="str">
        <x:f>IF(AND(M274="",O274="",Q274="",S274=""),"",IF(S274&lt;&gt;"",S274,IF(Q274&lt;&gt;"",Q274,IF(O274&lt;&gt;"",O274,M274))))</x:f>
      </x:c>
      <x:c r="V274" s="220" t="str">
        <x:f>IF(AND(N274="",P274="",R274="",T274=""),"",IF(T274&lt;&gt;"",T274,IF(R274&lt;&gt;"",R274,IF(P274&lt;&gt;"",P274,N274))))</x:f>
      </x:c>
      <x:c r="W274" s="221"/>
      <x:c r="X274" s="220"/>
      <x:c r="Y274" s="220"/>
      <x:c r="Z274" s="223"/>
      <x:c r="AA274" s="223"/>
      <x:c r="AB274" s="221"/>
      <x:c r="AC274" s="220"/>
      <x:c r="AD274" s="220"/>
      <x:c r="AE274" s="222"/>
      <x:c r="AF274" s="220"/>
      <x:c r="AG274" s="221"/>
      <x:c r="AH274" s="220"/>
      <x:c r="AI274" s="220"/>
      <x:c r="AJ274" s="222"/>
      <x:c r="AK274" s="220"/>
      <x:c r="AL274" s="220"/>
      <x:c r="AM274" s="220"/>
      <x:c r="AN274" s="220"/>
      <x:c r="AO274" s="220"/>
      <x:c r="AP274" s="220"/>
      <x:c r="AQ274" s="220"/>
      <x:c r="AR274" s="222"/>
      <x:c r="AS274" s="220"/>
      <x:c r="AT274" s="220"/>
      <x:c r="AU274" s="220"/>
      <x:c r="AV274" s="220"/>
      <x:c r="AW274" s="220"/>
      <x:c r="AX274" s="220"/>
      <x:c r="AY274" s="221"/>
      <x:c r="AZ274" s="220"/>
      <x:c r="BA274" s="220" t="str">
        <x:f>IF(AND(A274="",B274="",F274="",H274="",J274="",AW274="",AY274=""),"",IF(OR(B274="skip",AW274="skip"),"SKIP",IF(OR(B274="to_candidate",AW274="proposed_name"),IF(OR(A274="",AX274="",AY274="",COUNTIF($A$6:$A$505,A274)&gt;1),"REVIEW","TO_PROPOSED"),IF(OR(B274="",A274="",F274="",H274="",J274="",U274="",AW274="",COUNTIF($A$6:$A$505,A274)&gt;1,(COUNTIFS('أرقام التواصل'!$A$6:$A$505,"client",'أرقام التواصل'!$B$6:$B$505,A274,'أرقام التواصل'!$I$6:$I$505,"TRUE")+COUNTIFS('أرقام التواصل'!$A$6:$A$505,"client",'أرقام التواصل'!$B$6:$B$505,A274,'أرقام التواصل'!$C$6:$C$505,1))=0),"REVIEW","READY"))))</x:f>
      </x:c>
      <x:c r="BB274" s="224" t="str">
        <x:f>IF(BA274="","",IF(OR(BA274="READY",BA274="TO_PROPOSED"),"",IF(BA274="SKIP","Skipped by decision",TRIM(IF(B274="","missing import_action; ","")&amp;IF(A274="","missing migration_customer_key; ","")&amp;IF(AND(A274&lt;&gt;"",COUNTIF($A$6:$A$505,A274)&gt;1),"duplicate migration_customer_key; ","")&amp;IF(AND(NOT(OR(B274="to_candidate",AW274="proposed_name")),F274=""),"missing branch_id; ","")&amp;IF(AND(NOT(OR(B274="to_candidate",AW274="proposed_name")),H274=""),"missing first_name; ","")&amp;IF(AND(NOT(OR(B274="to_candidate",AW274="proposed_name")),J274=""),"missing last_name; ","")&amp;IF(AND(NOT(OR(B274="to_candidate",AW274="proposed_name")),U274=""),"missing final_geo_unit_id; ","")&amp;IF(AW274="","missing final_destination; ","")&amp;IF(AND(NOT(OR(B274="to_candidate",AW274="proposed_name")),(COUNTIFS('أرقام التواصل'!$A$6:$A$505,"client",'أرقام التواصل'!$B$6:$B$505,A274,'أرقام التواصل'!$I$6:$I$505,"TRUE")+COUNTIFS('أرقام التواصل'!$A$6:$A$505,"client",'أرقام التواصل'!$B$6:$B$505,A274,'أرقام التواصل'!$C$6:$C$505,1))=0),"missing primary contact in أرقام التواصل; ","")&amp;IF(OR(B274="to_candidate",AW274="proposed_name"),IF(AX274="","missing proposed_move_reason; ","")&amp;IF(AY274="","missing proposed_name_key; ",""),"")))))</x:f>
      </x:c>
    </x:row>
    <x:row r="275">
      <x:c r="A275" s="219"/>
      <x:c r="B275" s="220"/>
      <x:c r="C275" s="221"/>
      <x:c r="D275" s="220"/>
      <x:c r="E275" s="222"/>
      <x:c r="F275" s="220"/>
      <x:c r="G275" s="220"/>
      <x:c r="H275" s="220"/>
      <x:c r="I275" s="220"/>
      <x:c r="J275" s="220"/>
      <x:c r="K275" s="220"/>
      <x:c r="L275" s="220" t="str">
        <x:f>IF(TRIM(H275&amp;" "&amp;I275&amp;" "&amp;J275&amp;IF(K275&lt;&gt;""," ("&amp;K275&amp;")",""))="","",TRIM(H275&amp;" "&amp;I275&amp;" "&amp;J275&amp;IF(K275&lt;&gt;""," ("&amp;K275&amp;")","")))</x:f>
      </x:c>
      <x:c r="M275" s="220"/>
      <x:c r="N275" s="220"/>
      <x:c r="O275" s="220"/>
      <x:c r="P275" s="220"/>
      <x:c r="Q275" s="220"/>
      <x:c r="R275" s="220"/>
      <x:c r="S275" s="220"/>
      <x:c r="T275" s="220"/>
      <x:c r="U275" s="220" t="str">
        <x:f>IF(AND(M275="",O275="",Q275="",S275=""),"",IF(S275&lt;&gt;"",S275,IF(Q275&lt;&gt;"",Q275,IF(O275&lt;&gt;"",O275,M275))))</x:f>
      </x:c>
      <x:c r="V275" s="220" t="str">
        <x:f>IF(AND(N275="",P275="",R275="",T275=""),"",IF(T275&lt;&gt;"",T275,IF(R275&lt;&gt;"",R275,IF(P275&lt;&gt;"",P275,N275))))</x:f>
      </x:c>
      <x:c r="W275" s="221"/>
      <x:c r="X275" s="220"/>
      <x:c r="Y275" s="220"/>
      <x:c r="Z275" s="223"/>
      <x:c r="AA275" s="223"/>
      <x:c r="AB275" s="221"/>
      <x:c r="AC275" s="220"/>
      <x:c r="AD275" s="220"/>
      <x:c r="AE275" s="222"/>
      <x:c r="AF275" s="220"/>
      <x:c r="AG275" s="221"/>
      <x:c r="AH275" s="220"/>
      <x:c r="AI275" s="220"/>
      <x:c r="AJ275" s="222"/>
      <x:c r="AK275" s="220"/>
      <x:c r="AL275" s="220"/>
      <x:c r="AM275" s="220"/>
      <x:c r="AN275" s="220"/>
      <x:c r="AO275" s="220"/>
      <x:c r="AP275" s="220"/>
      <x:c r="AQ275" s="220"/>
      <x:c r="AR275" s="222"/>
      <x:c r="AS275" s="220"/>
      <x:c r="AT275" s="220"/>
      <x:c r="AU275" s="220"/>
      <x:c r="AV275" s="220"/>
      <x:c r="AW275" s="220"/>
      <x:c r="AX275" s="220"/>
      <x:c r="AY275" s="221"/>
      <x:c r="AZ275" s="220"/>
      <x:c r="BA275" s="220" t="str">
        <x:f>IF(AND(A275="",B275="",F275="",H275="",J275="",AW275="",AY275=""),"",IF(OR(B275="skip",AW275="skip"),"SKIP",IF(OR(B275="to_candidate",AW275="proposed_name"),IF(OR(A275="",AX275="",AY275="",COUNTIF($A$6:$A$505,A275)&gt;1),"REVIEW","TO_PROPOSED"),IF(OR(B275="",A275="",F275="",H275="",J275="",U275="",AW275="",COUNTIF($A$6:$A$505,A275)&gt;1,(COUNTIFS('أرقام التواصل'!$A$6:$A$505,"client",'أرقام التواصل'!$B$6:$B$505,A275,'أرقام التواصل'!$I$6:$I$505,"TRUE")+COUNTIFS('أرقام التواصل'!$A$6:$A$505,"client",'أرقام التواصل'!$B$6:$B$505,A275,'أرقام التواصل'!$C$6:$C$505,1))=0),"REVIEW","READY"))))</x:f>
      </x:c>
      <x:c r="BB275" s="224" t="str">
        <x:f>IF(BA275="","",IF(OR(BA275="READY",BA275="TO_PROPOSED"),"",IF(BA275="SKIP","Skipped by decision",TRIM(IF(B275="","missing import_action; ","")&amp;IF(A275="","missing migration_customer_key; ","")&amp;IF(AND(A275&lt;&gt;"",COUNTIF($A$6:$A$505,A275)&gt;1),"duplicate migration_customer_key; ","")&amp;IF(AND(NOT(OR(B275="to_candidate",AW275="proposed_name")),F275=""),"missing branch_id; ","")&amp;IF(AND(NOT(OR(B275="to_candidate",AW275="proposed_name")),H275=""),"missing first_name; ","")&amp;IF(AND(NOT(OR(B275="to_candidate",AW275="proposed_name")),J275=""),"missing last_name; ","")&amp;IF(AND(NOT(OR(B275="to_candidate",AW275="proposed_name")),U275=""),"missing final_geo_unit_id; ","")&amp;IF(AW275="","missing final_destination; ","")&amp;IF(AND(NOT(OR(B275="to_candidate",AW275="proposed_name")),(COUNTIFS('أرقام التواصل'!$A$6:$A$505,"client",'أرقام التواصل'!$B$6:$B$505,A275,'أرقام التواصل'!$I$6:$I$505,"TRUE")+COUNTIFS('أرقام التواصل'!$A$6:$A$505,"client",'أرقام التواصل'!$B$6:$B$505,A275,'أرقام التواصل'!$C$6:$C$505,1))=0),"missing primary contact in أرقام التواصل; ","")&amp;IF(OR(B275="to_candidate",AW275="proposed_name"),IF(AX275="","missing proposed_move_reason; ","")&amp;IF(AY275="","missing proposed_name_key; ",""),"")))))</x:f>
      </x:c>
    </x:row>
    <x:row r="276">
      <x:c r="A276" s="219"/>
      <x:c r="B276" s="220"/>
      <x:c r="C276" s="221"/>
      <x:c r="D276" s="220"/>
      <x:c r="E276" s="222"/>
      <x:c r="F276" s="220"/>
      <x:c r="G276" s="220"/>
      <x:c r="H276" s="220"/>
      <x:c r="I276" s="220"/>
      <x:c r="J276" s="220"/>
      <x:c r="K276" s="220"/>
      <x:c r="L276" s="220" t="str">
        <x:f>IF(TRIM(H276&amp;" "&amp;I276&amp;" "&amp;J276&amp;IF(K276&lt;&gt;""," ("&amp;K276&amp;")",""))="","",TRIM(H276&amp;" "&amp;I276&amp;" "&amp;J276&amp;IF(K276&lt;&gt;""," ("&amp;K276&amp;")","")))</x:f>
      </x:c>
      <x:c r="M276" s="220"/>
      <x:c r="N276" s="220"/>
      <x:c r="O276" s="220"/>
      <x:c r="P276" s="220"/>
      <x:c r="Q276" s="220"/>
      <x:c r="R276" s="220"/>
      <x:c r="S276" s="220"/>
      <x:c r="T276" s="220"/>
      <x:c r="U276" s="220" t="str">
        <x:f>IF(AND(M276="",O276="",Q276="",S276=""),"",IF(S276&lt;&gt;"",S276,IF(Q276&lt;&gt;"",Q276,IF(O276&lt;&gt;"",O276,M276))))</x:f>
      </x:c>
      <x:c r="V276" s="220" t="str">
        <x:f>IF(AND(N276="",P276="",R276="",T276=""),"",IF(T276&lt;&gt;"",T276,IF(R276&lt;&gt;"",R276,IF(P276&lt;&gt;"",P276,N276))))</x:f>
      </x:c>
      <x:c r="W276" s="221"/>
      <x:c r="X276" s="220"/>
      <x:c r="Y276" s="220"/>
      <x:c r="Z276" s="223"/>
      <x:c r="AA276" s="223"/>
      <x:c r="AB276" s="221"/>
      <x:c r="AC276" s="220"/>
      <x:c r="AD276" s="220"/>
      <x:c r="AE276" s="222"/>
      <x:c r="AF276" s="220"/>
      <x:c r="AG276" s="221"/>
      <x:c r="AH276" s="220"/>
      <x:c r="AI276" s="220"/>
      <x:c r="AJ276" s="222"/>
      <x:c r="AK276" s="220"/>
      <x:c r="AL276" s="220"/>
      <x:c r="AM276" s="220"/>
      <x:c r="AN276" s="220"/>
      <x:c r="AO276" s="220"/>
      <x:c r="AP276" s="220"/>
      <x:c r="AQ276" s="220"/>
      <x:c r="AR276" s="222"/>
      <x:c r="AS276" s="220"/>
      <x:c r="AT276" s="220"/>
      <x:c r="AU276" s="220"/>
      <x:c r="AV276" s="220"/>
      <x:c r="AW276" s="220"/>
      <x:c r="AX276" s="220"/>
      <x:c r="AY276" s="221"/>
      <x:c r="AZ276" s="220"/>
      <x:c r="BA276" s="220" t="str">
        <x:f>IF(AND(A276="",B276="",F276="",H276="",J276="",AW276="",AY276=""),"",IF(OR(B276="skip",AW276="skip"),"SKIP",IF(OR(B276="to_candidate",AW276="proposed_name"),IF(OR(A276="",AX276="",AY276="",COUNTIF($A$6:$A$505,A276)&gt;1),"REVIEW","TO_PROPOSED"),IF(OR(B276="",A276="",F276="",H276="",J276="",U276="",AW276="",COUNTIF($A$6:$A$505,A276)&gt;1,(COUNTIFS('أرقام التواصل'!$A$6:$A$505,"client",'أرقام التواصل'!$B$6:$B$505,A276,'أرقام التواصل'!$I$6:$I$505,"TRUE")+COUNTIFS('أرقام التواصل'!$A$6:$A$505,"client",'أرقام التواصل'!$B$6:$B$505,A276,'أرقام التواصل'!$C$6:$C$505,1))=0),"REVIEW","READY"))))</x:f>
      </x:c>
      <x:c r="BB276" s="224" t="str">
        <x:f>IF(BA276="","",IF(OR(BA276="READY",BA276="TO_PROPOSED"),"",IF(BA276="SKIP","Skipped by decision",TRIM(IF(B276="","missing import_action; ","")&amp;IF(A276="","missing migration_customer_key; ","")&amp;IF(AND(A276&lt;&gt;"",COUNTIF($A$6:$A$505,A276)&gt;1),"duplicate migration_customer_key; ","")&amp;IF(AND(NOT(OR(B276="to_candidate",AW276="proposed_name")),F276=""),"missing branch_id; ","")&amp;IF(AND(NOT(OR(B276="to_candidate",AW276="proposed_name")),H276=""),"missing first_name; ","")&amp;IF(AND(NOT(OR(B276="to_candidate",AW276="proposed_name")),J276=""),"missing last_name; ","")&amp;IF(AND(NOT(OR(B276="to_candidate",AW276="proposed_name")),U276=""),"missing final_geo_unit_id; ","")&amp;IF(AW276="","missing final_destination; ","")&amp;IF(AND(NOT(OR(B276="to_candidate",AW276="proposed_name")),(COUNTIFS('أرقام التواصل'!$A$6:$A$505,"client",'أرقام التواصل'!$B$6:$B$505,A276,'أرقام التواصل'!$I$6:$I$505,"TRUE")+COUNTIFS('أرقام التواصل'!$A$6:$A$505,"client",'أرقام التواصل'!$B$6:$B$505,A276,'أرقام التواصل'!$C$6:$C$505,1))=0),"missing primary contact in أرقام التواصل; ","")&amp;IF(OR(B276="to_candidate",AW276="proposed_name"),IF(AX276="","missing proposed_move_reason; ","")&amp;IF(AY276="","missing proposed_name_key; ",""),"")))))</x:f>
      </x:c>
    </x:row>
    <x:row r="277">
      <x:c r="A277" s="219"/>
      <x:c r="B277" s="220"/>
      <x:c r="C277" s="221"/>
      <x:c r="D277" s="220"/>
      <x:c r="E277" s="222"/>
      <x:c r="F277" s="220"/>
      <x:c r="G277" s="220"/>
      <x:c r="H277" s="220"/>
      <x:c r="I277" s="220"/>
      <x:c r="J277" s="220"/>
      <x:c r="K277" s="220"/>
      <x:c r="L277" s="220" t="str">
        <x:f>IF(TRIM(H277&amp;" "&amp;I277&amp;" "&amp;J277&amp;IF(K277&lt;&gt;""," ("&amp;K277&amp;")",""))="","",TRIM(H277&amp;" "&amp;I277&amp;" "&amp;J277&amp;IF(K277&lt;&gt;""," ("&amp;K277&amp;")","")))</x:f>
      </x:c>
      <x:c r="M277" s="220"/>
      <x:c r="N277" s="220"/>
      <x:c r="O277" s="220"/>
      <x:c r="P277" s="220"/>
      <x:c r="Q277" s="220"/>
      <x:c r="R277" s="220"/>
      <x:c r="S277" s="220"/>
      <x:c r="T277" s="220"/>
      <x:c r="U277" s="220" t="str">
        <x:f>IF(AND(M277="",O277="",Q277="",S277=""),"",IF(S277&lt;&gt;"",S277,IF(Q277&lt;&gt;"",Q277,IF(O277&lt;&gt;"",O277,M277))))</x:f>
      </x:c>
      <x:c r="V277" s="220" t="str">
        <x:f>IF(AND(N277="",P277="",R277="",T277=""),"",IF(T277&lt;&gt;"",T277,IF(R277&lt;&gt;"",R277,IF(P277&lt;&gt;"",P277,N277))))</x:f>
      </x:c>
      <x:c r="W277" s="221"/>
      <x:c r="X277" s="220"/>
      <x:c r="Y277" s="220"/>
      <x:c r="Z277" s="223"/>
      <x:c r="AA277" s="223"/>
      <x:c r="AB277" s="221"/>
      <x:c r="AC277" s="220"/>
      <x:c r="AD277" s="220"/>
      <x:c r="AE277" s="222"/>
      <x:c r="AF277" s="220"/>
      <x:c r="AG277" s="221"/>
      <x:c r="AH277" s="220"/>
      <x:c r="AI277" s="220"/>
      <x:c r="AJ277" s="222"/>
      <x:c r="AK277" s="220"/>
      <x:c r="AL277" s="220"/>
      <x:c r="AM277" s="220"/>
      <x:c r="AN277" s="220"/>
      <x:c r="AO277" s="220"/>
      <x:c r="AP277" s="220"/>
      <x:c r="AQ277" s="220"/>
      <x:c r="AR277" s="222"/>
      <x:c r="AS277" s="220"/>
      <x:c r="AT277" s="220"/>
      <x:c r="AU277" s="220"/>
      <x:c r="AV277" s="220"/>
      <x:c r="AW277" s="220"/>
      <x:c r="AX277" s="220"/>
      <x:c r="AY277" s="221"/>
      <x:c r="AZ277" s="220"/>
      <x:c r="BA277" s="220" t="str">
        <x:f>IF(AND(A277="",B277="",F277="",H277="",J277="",AW277="",AY277=""),"",IF(OR(B277="skip",AW277="skip"),"SKIP",IF(OR(B277="to_candidate",AW277="proposed_name"),IF(OR(A277="",AX277="",AY277="",COUNTIF($A$6:$A$505,A277)&gt;1),"REVIEW","TO_PROPOSED"),IF(OR(B277="",A277="",F277="",H277="",J277="",U277="",AW277="",COUNTIF($A$6:$A$505,A277)&gt;1,(COUNTIFS('أرقام التواصل'!$A$6:$A$505,"client",'أرقام التواصل'!$B$6:$B$505,A277,'أرقام التواصل'!$I$6:$I$505,"TRUE")+COUNTIFS('أرقام التواصل'!$A$6:$A$505,"client",'أرقام التواصل'!$B$6:$B$505,A277,'أرقام التواصل'!$C$6:$C$505,1))=0),"REVIEW","READY"))))</x:f>
      </x:c>
      <x:c r="BB277" s="224" t="str">
        <x:f>IF(BA277="","",IF(OR(BA277="READY",BA277="TO_PROPOSED"),"",IF(BA277="SKIP","Skipped by decision",TRIM(IF(B277="","missing import_action; ","")&amp;IF(A277="","missing migration_customer_key; ","")&amp;IF(AND(A277&lt;&gt;"",COUNTIF($A$6:$A$505,A277)&gt;1),"duplicate migration_customer_key; ","")&amp;IF(AND(NOT(OR(B277="to_candidate",AW277="proposed_name")),F277=""),"missing branch_id; ","")&amp;IF(AND(NOT(OR(B277="to_candidate",AW277="proposed_name")),H277=""),"missing first_name; ","")&amp;IF(AND(NOT(OR(B277="to_candidate",AW277="proposed_name")),J277=""),"missing last_name; ","")&amp;IF(AND(NOT(OR(B277="to_candidate",AW277="proposed_name")),U277=""),"missing final_geo_unit_id; ","")&amp;IF(AW277="","missing final_destination; ","")&amp;IF(AND(NOT(OR(B277="to_candidate",AW277="proposed_name")),(COUNTIFS('أرقام التواصل'!$A$6:$A$505,"client",'أرقام التواصل'!$B$6:$B$505,A277,'أرقام التواصل'!$I$6:$I$505,"TRUE")+COUNTIFS('أرقام التواصل'!$A$6:$A$505,"client",'أرقام التواصل'!$B$6:$B$505,A277,'أرقام التواصل'!$C$6:$C$505,1))=0),"missing primary contact in أرقام التواصل; ","")&amp;IF(OR(B277="to_candidate",AW277="proposed_name"),IF(AX277="","missing proposed_move_reason; ","")&amp;IF(AY277="","missing proposed_name_key; ",""),"")))))</x:f>
      </x:c>
    </x:row>
    <x:row r="278">
      <x:c r="A278" s="219"/>
      <x:c r="B278" s="220"/>
      <x:c r="C278" s="221"/>
      <x:c r="D278" s="220"/>
      <x:c r="E278" s="222"/>
      <x:c r="F278" s="220"/>
      <x:c r="G278" s="220"/>
      <x:c r="H278" s="220"/>
      <x:c r="I278" s="220"/>
      <x:c r="J278" s="220"/>
      <x:c r="K278" s="220"/>
      <x:c r="L278" s="220" t="str">
        <x:f>IF(TRIM(H278&amp;" "&amp;I278&amp;" "&amp;J278&amp;IF(K278&lt;&gt;""," ("&amp;K278&amp;")",""))="","",TRIM(H278&amp;" "&amp;I278&amp;" "&amp;J278&amp;IF(K278&lt;&gt;""," ("&amp;K278&amp;")","")))</x:f>
      </x:c>
      <x:c r="M278" s="220"/>
      <x:c r="N278" s="220"/>
      <x:c r="O278" s="220"/>
      <x:c r="P278" s="220"/>
      <x:c r="Q278" s="220"/>
      <x:c r="R278" s="220"/>
      <x:c r="S278" s="220"/>
      <x:c r="T278" s="220"/>
      <x:c r="U278" s="220" t="str">
        <x:f>IF(AND(M278="",O278="",Q278="",S278=""),"",IF(S278&lt;&gt;"",S278,IF(Q278&lt;&gt;"",Q278,IF(O278&lt;&gt;"",O278,M278))))</x:f>
      </x:c>
      <x:c r="V278" s="220" t="str">
        <x:f>IF(AND(N278="",P278="",R278="",T278=""),"",IF(T278&lt;&gt;"",T278,IF(R278&lt;&gt;"",R278,IF(P278&lt;&gt;"",P278,N278))))</x:f>
      </x:c>
      <x:c r="W278" s="221"/>
      <x:c r="X278" s="220"/>
      <x:c r="Y278" s="220"/>
      <x:c r="Z278" s="223"/>
      <x:c r="AA278" s="223"/>
      <x:c r="AB278" s="221"/>
      <x:c r="AC278" s="220"/>
      <x:c r="AD278" s="220"/>
      <x:c r="AE278" s="222"/>
      <x:c r="AF278" s="220"/>
      <x:c r="AG278" s="221"/>
      <x:c r="AH278" s="220"/>
      <x:c r="AI278" s="220"/>
      <x:c r="AJ278" s="222"/>
      <x:c r="AK278" s="220"/>
      <x:c r="AL278" s="220"/>
      <x:c r="AM278" s="220"/>
      <x:c r="AN278" s="220"/>
      <x:c r="AO278" s="220"/>
      <x:c r="AP278" s="220"/>
      <x:c r="AQ278" s="220"/>
      <x:c r="AR278" s="222"/>
      <x:c r="AS278" s="220"/>
      <x:c r="AT278" s="220"/>
      <x:c r="AU278" s="220"/>
      <x:c r="AV278" s="220"/>
      <x:c r="AW278" s="220"/>
      <x:c r="AX278" s="220"/>
      <x:c r="AY278" s="221"/>
      <x:c r="AZ278" s="220"/>
      <x:c r="BA278" s="220" t="str">
        <x:f>IF(AND(A278="",B278="",F278="",H278="",J278="",AW278="",AY278=""),"",IF(OR(B278="skip",AW278="skip"),"SKIP",IF(OR(B278="to_candidate",AW278="proposed_name"),IF(OR(A278="",AX278="",AY278="",COUNTIF($A$6:$A$505,A278)&gt;1),"REVIEW","TO_PROPOSED"),IF(OR(B278="",A278="",F278="",H278="",J278="",U278="",AW278="",COUNTIF($A$6:$A$505,A278)&gt;1,(COUNTIFS('أرقام التواصل'!$A$6:$A$505,"client",'أرقام التواصل'!$B$6:$B$505,A278,'أرقام التواصل'!$I$6:$I$505,"TRUE")+COUNTIFS('أرقام التواصل'!$A$6:$A$505,"client",'أرقام التواصل'!$B$6:$B$505,A278,'أرقام التواصل'!$C$6:$C$505,1))=0),"REVIEW","READY"))))</x:f>
      </x:c>
      <x:c r="BB278" s="224" t="str">
        <x:f>IF(BA278="","",IF(OR(BA278="READY",BA278="TO_PROPOSED"),"",IF(BA278="SKIP","Skipped by decision",TRIM(IF(B278="","missing import_action; ","")&amp;IF(A278="","missing migration_customer_key; ","")&amp;IF(AND(A278&lt;&gt;"",COUNTIF($A$6:$A$505,A278)&gt;1),"duplicate migration_customer_key; ","")&amp;IF(AND(NOT(OR(B278="to_candidate",AW278="proposed_name")),F278=""),"missing branch_id; ","")&amp;IF(AND(NOT(OR(B278="to_candidate",AW278="proposed_name")),H278=""),"missing first_name; ","")&amp;IF(AND(NOT(OR(B278="to_candidate",AW278="proposed_name")),J278=""),"missing last_name; ","")&amp;IF(AND(NOT(OR(B278="to_candidate",AW278="proposed_name")),U278=""),"missing final_geo_unit_id; ","")&amp;IF(AW278="","missing final_destination; ","")&amp;IF(AND(NOT(OR(B278="to_candidate",AW278="proposed_name")),(COUNTIFS('أرقام التواصل'!$A$6:$A$505,"client",'أرقام التواصل'!$B$6:$B$505,A278,'أرقام التواصل'!$I$6:$I$505,"TRUE")+COUNTIFS('أرقام التواصل'!$A$6:$A$505,"client",'أرقام التواصل'!$B$6:$B$505,A278,'أرقام التواصل'!$C$6:$C$505,1))=0),"missing primary contact in أرقام التواصل; ","")&amp;IF(OR(B278="to_candidate",AW278="proposed_name"),IF(AX278="","missing proposed_move_reason; ","")&amp;IF(AY278="","missing proposed_name_key; ",""),"")))))</x:f>
      </x:c>
    </x:row>
    <x:row r="279">
      <x:c r="A279" s="219"/>
      <x:c r="B279" s="220"/>
      <x:c r="C279" s="221"/>
      <x:c r="D279" s="220"/>
      <x:c r="E279" s="222"/>
      <x:c r="F279" s="220"/>
      <x:c r="G279" s="220"/>
      <x:c r="H279" s="220"/>
      <x:c r="I279" s="220"/>
      <x:c r="J279" s="220"/>
      <x:c r="K279" s="220"/>
      <x:c r="L279" s="220" t="str">
        <x:f>IF(TRIM(H279&amp;" "&amp;I279&amp;" "&amp;J279&amp;IF(K279&lt;&gt;""," ("&amp;K279&amp;")",""))="","",TRIM(H279&amp;" "&amp;I279&amp;" "&amp;J279&amp;IF(K279&lt;&gt;""," ("&amp;K279&amp;")","")))</x:f>
      </x:c>
      <x:c r="M279" s="220"/>
      <x:c r="N279" s="220"/>
      <x:c r="O279" s="220"/>
      <x:c r="P279" s="220"/>
      <x:c r="Q279" s="220"/>
      <x:c r="R279" s="220"/>
      <x:c r="S279" s="220"/>
      <x:c r="T279" s="220"/>
      <x:c r="U279" s="220" t="str">
        <x:f>IF(AND(M279="",O279="",Q279="",S279=""),"",IF(S279&lt;&gt;"",S279,IF(Q279&lt;&gt;"",Q279,IF(O279&lt;&gt;"",O279,M279))))</x:f>
      </x:c>
      <x:c r="V279" s="220" t="str">
        <x:f>IF(AND(N279="",P279="",R279="",T279=""),"",IF(T279&lt;&gt;"",T279,IF(R279&lt;&gt;"",R279,IF(P279&lt;&gt;"",P279,N279))))</x:f>
      </x:c>
      <x:c r="W279" s="221"/>
      <x:c r="X279" s="220"/>
      <x:c r="Y279" s="220"/>
      <x:c r="Z279" s="223"/>
      <x:c r="AA279" s="223"/>
      <x:c r="AB279" s="221"/>
      <x:c r="AC279" s="220"/>
      <x:c r="AD279" s="220"/>
      <x:c r="AE279" s="222"/>
      <x:c r="AF279" s="220"/>
      <x:c r="AG279" s="221"/>
      <x:c r="AH279" s="220"/>
      <x:c r="AI279" s="220"/>
      <x:c r="AJ279" s="222"/>
      <x:c r="AK279" s="220"/>
      <x:c r="AL279" s="220"/>
      <x:c r="AM279" s="220"/>
      <x:c r="AN279" s="220"/>
      <x:c r="AO279" s="220"/>
      <x:c r="AP279" s="220"/>
      <x:c r="AQ279" s="220"/>
      <x:c r="AR279" s="222"/>
      <x:c r="AS279" s="220"/>
      <x:c r="AT279" s="220"/>
      <x:c r="AU279" s="220"/>
      <x:c r="AV279" s="220"/>
      <x:c r="AW279" s="220"/>
      <x:c r="AX279" s="220"/>
      <x:c r="AY279" s="221"/>
      <x:c r="AZ279" s="220"/>
      <x:c r="BA279" s="220" t="str">
        <x:f>IF(AND(A279="",B279="",F279="",H279="",J279="",AW279="",AY279=""),"",IF(OR(B279="skip",AW279="skip"),"SKIP",IF(OR(B279="to_candidate",AW279="proposed_name"),IF(OR(A279="",AX279="",AY279="",COUNTIF($A$6:$A$505,A279)&gt;1),"REVIEW","TO_PROPOSED"),IF(OR(B279="",A279="",F279="",H279="",J279="",U279="",AW279="",COUNTIF($A$6:$A$505,A279)&gt;1,(COUNTIFS('أرقام التواصل'!$A$6:$A$505,"client",'أرقام التواصل'!$B$6:$B$505,A279,'أرقام التواصل'!$I$6:$I$505,"TRUE")+COUNTIFS('أرقام التواصل'!$A$6:$A$505,"client",'أرقام التواصل'!$B$6:$B$505,A279,'أرقام التواصل'!$C$6:$C$505,1))=0),"REVIEW","READY"))))</x:f>
      </x:c>
      <x:c r="BB279" s="224" t="str">
        <x:f>IF(BA279="","",IF(OR(BA279="READY",BA279="TO_PROPOSED"),"",IF(BA279="SKIP","Skipped by decision",TRIM(IF(B279="","missing import_action; ","")&amp;IF(A279="","missing migration_customer_key; ","")&amp;IF(AND(A279&lt;&gt;"",COUNTIF($A$6:$A$505,A279)&gt;1),"duplicate migration_customer_key; ","")&amp;IF(AND(NOT(OR(B279="to_candidate",AW279="proposed_name")),F279=""),"missing branch_id; ","")&amp;IF(AND(NOT(OR(B279="to_candidate",AW279="proposed_name")),H279=""),"missing first_name; ","")&amp;IF(AND(NOT(OR(B279="to_candidate",AW279="proposed_name")),J279=""),"missing last_name; ","")&amp;IF(AND(NOT(OR(B279="to_candidate",AW279="proposed_name")),U279=""),"missing final_geo_unit_id; ","")&amp;IF(AW279="","missing final_destination; ","")&amp;IF(AND(NOT(OR(B279="to_candidate",AW279="proposed_name")),(COUNTIFS('أرقام التواصل'!$A$6:$A$505,"client",'أرقام التواصل'!$B$6:$B$505,A279,'أرقام التواصل'!$I$6:$I$505,"TRUE")+COUNTIFS('أرقام التواصل'!$A$6:$A$505,"client",'أرقام التواصل'!$B$6:$B$505,A279,'أرقام التواصل'!$C$6:$C$505,1))=0),"missing primary contact in أرقام التواصل; ","")&amp;IF(OR(B279="to_candidate",AW279="proposed_name"),IF(AX279="","missing proposed_move_reason; ","")&amp;IF(AY279="","missing proposed_name_key; ",""),"")))))</x:f>
      </x:c>
    </x:row>
    <x:row r="280">
      <x:c r="A280" s="219"/>
      <x:c r="B280" s="220"/>
      <x:c r="C280" s="221"/>
      <x:c r="D280" s="220"/>
      <x:c r="E280" s="222"/>
      <x:c r="F280" s="220"/>
      <x:c r="G280" s="220"/>
      <x:c r="H280" s="220"/>
      <x:c r="I280" s="220"/>
      <x:c r="J280" s="220"/>
      <x:c r="K280" s="220"/>
      <x:c r="L280" s="220" t="str">
        <x:f>IF(TRIM(H280&amp;" "&amp;I280&amp;" "&amp;J280&amp;IF(K280&lt;&gt;""," ("&amp;K280&amp;")",""))="","",TRIM(H280&amp;" "&amp;I280&amp;" "&amp;J280&amp;IF(K280&lt;&gt;""," ("&amp;K280&amp;")","")))</x:f>
      </x:c>
      <x:c r="M280" s="220"/>
      <x:c r="N280" s="220"/>
      <x:c r="O280" s="220"/>
      <x:c r="P280" s="220"/>
      <x:c r="Q280" s="220"/>
      <x:c r="R280" s="220"/>
      <x:c r="S280" s="220"/>
      <x:c r="T280" s="220"/>
      <x:c r="U280" s="220" t="str">
        <x:f>IF(AND(M280="",O280="",Q280="",S280=""),"",IF(S280&lt;&gt;"",S280,IF(Q280&lt;&gt;"",Q280,IF(O280&lt;&gt;"",O280,M280))))</x:f>
      </x:c>
      <x:c r="V280" s="220" t="str">
        <x:f>IF(AND(N280="",P280="",R280="",T280=""),"",IF(T280&lt;&gt;"",T280,IF(R280&lt;&gt;"",R280,IF(P280&lt;&gt;"",P280,N280))))</x:f>
      </x:c>
      <x:c r="W280" s="221"/>
      <x:c r="X280" s="220"/>
      <x:c r="Y280" s="220"/>
      <x:c r="Z280" s="223"/>
      <x:c r="AA280" s="223"/>
      <x:c r="AB280" s="221"/>
      <x:c r="AC280" s="220"/>
      <x:c r="AD280" s="220"/>
      <x:c r="AE280" s="222"/>
      <x:c r="AF280" s="220"/>
      <x:c r="AG280" s="221"/>
      <x:c r="AH280" s="220"/>
      <x:c r="AI280" s="220"/>
      <x:c r="AJ280" s="222"/>
      <x:c r="AK280" s="220"/>
      <x:c r="AL280" s="220"/>
      <x:c r="AM280" s="220"/>
      <x:c r="AN280" s="220"/>
      <x:c r="AO280" s="220"/>
      <x:c r="AP280" s="220"/>
      <x:c r="AQ280" s="220"/>
      <x:c r="AR280" s="222"/>
      <x:c r="AS280" s="220"/>
      <x:c r="AT280" s="220"/>
      <x:c r="AU280" s="220"/>
      <x:c r="AV280" s="220"/>
      <x:c r="AW280" s="220"/>
      <x:c r="AX280" s="220"/>
      <x:c r="AY280" s="221"/>
      <x:c r="AZ280" s="220"/>
      <x:c r="BA280" s="220" t="str">
        <x:f>IF(AND(A280="",B280="",F280="",H280="",J280="",AW280="",AY280=""),"",IF(OR(B280="skip",AW280="skip"),"SKIP",IF(OR(B280="to_candidate",AW280="proposed_name"),IF(OR(A280="",AX280="",AY280="",COUNTIF($A$6:$A$505,A280)&gt;1),"REVIEW","TO_PROPOSED"),IF(OR(B280="",A280="",F280="",H280="",J280="",U280="",AW280="",COUNTIF($A$6:$A$505,A280)&gt;1,(COUNTIFS('أرقام التواصل'!$A$6:$A$505,"client",'أرقام التواصل'!$B$6:$B$505,A280,'أرقام التواصل'!$I$6:$I$505,"TRUE")+COUNTIFS('أرقام التواصل'!$A$6:$A$505,"client",'أرقام التواصل'!$B$6:$B$505,A280,'أرقام التواصل'!$C$6:$C$505,1))=0),"REVIEW","READY"))))</x:f>
      </x:c>
      <x:c r="BB280" s="224" t="str">
        <x:f>IF(BA280="","",IF(OR(BA280="READY",BA280="TO_PROPOSED"),"",IF(BA280="SKIP","Skipped by decision",TRIM(IF(B280="","missing import_action; ","")&amp;IF(A280="","missing migration_customer_key; ","")&amp;IF(AND(A280&lt;&gt;"",COUNTIF($A$6:$A$505,A280)&gt;1),"duplicate migration_customer_key; ","")&amp;IF(AND(NOT(OR(B280="to_candidate",AW280="proposed_name")),F280=""),"missing branch_id; ","")&amp;IF(AND(NOT(OR(B280="to_candidate",AW280="proposed_name")),H280=""),"missing first_name; ","")&amp;IF(AND(NOT(OR(B280="to_candidate",AW280="proposed_name")),J280=""),"missing last_name; ","")&amp;IF(AND(NOT(OR(B280="to_candidate",AW280="proposed_name")),U280=""),"missing final_geo_unit_id; ","")&amp;IF(AW280="","missing final_destination; ","")&amp;IF(AND(NOT(OR(B280="to_candidate",AW280="proposed_name")),(COUNTIFS('أرقام التواصل'!$A$6:$A$505,"client",'أرقام التواصل'!$B$6:$B$505,A280,'أرقام التواصل'!$I$6:$I$505,"TRUE")+COUNTIFS('أرقام التواصل'!$A$6:$A$505,"client",'أرقام التواصل'!$B$6:$B$505,A280,'أرقام التواصل'!$C$6:$C$505,1))=0),"missing primary contact in أرقام التواصل; ","")&amp;IF(OR(B280="to_candidate",AW280="proposed_name"),IF(AX280="","missing proposed_move_reason; ","")&amp;IF(AY280="","missing proposed_name_key; ",""),"")))))</x:f>
      </x:c>
    </x:row>
    <x:row r="281">
      <x:c r="A281" s="219"/>
      <x:c r="B281" s="220"/>
      <x:c r="C281" s="221"/>
      <x:c r="D281" s="220"/>
      <x:c r="E281" s="222"/>
      <x:c r="F281" s="220"/>
      <x:c r="G281" s="220"/>
      <x:c r="H281" s="220"/>
      <x:c r="I281" s="220"/>
      <x:c r="J281" s="220"/>
      <x:c r="K281" s="220"/>
      <x:c r="L281" s="220" t="str">
        <x:f>IF(TRIM(H281&amp;" "&amp;I281&amp;" "&amp;J281&amp;IF(K281&lt;&gt;""," ("&amp;K281&amp;")",""))="","",TRIM(H281&amp;" "&amp;I281&amp;" "&amp;J281&amp;IF(K281&lt;&gt;""," ("&amp;K281&amp;")","")))</x:f>
      </x:c>
      <x:c r="M281" s="220"/>
      <x:c r="N281" s="220"/>
      <x:c r="O281" s="220"/>
      <x:c r="P281" s="220"/>
      <x:c r="Q281" s="220"/>
      <x:c r="R281" s="220"/>
      <x:c r="S281" s="220"/>
      <x:c r="T281" s="220"/>
      <x:c r="U281" s="220" t="str">
        <x:f>IF(AND(M281="",O281="",Q281="",S281=""),"",IF(S281&lt;&gt;"",S281,IF(Q281&lt;&gt;"",Q281,IF(O281&lt;&gt;"",O281,M281))))</x:f>
      </x:c>
      <x:c r="V281" s="220" t="str">
        <x:f>IF(AND(N281="",P281="",R281="",T281=""),"",IF(T281&lt;&gt;"",T281,IF(R281&lt;&gt;"",R281,IF(P281&lt;&gt;"",P281,N281))))</x:f>
      </x:c>
      <x:c r="W281" s="221"/>
      <x:c r="X281" s="220"/>
      <x:c r="Y281" s="220"/>
      <x:c r="Z281" s="223"/>
      <x:c r="AA281" s="223"/>
      <x:c r="AB281" s="221"/>
      <x:c r="AC281" s="220"/>
      <x:c r="AD281" s="220"/>
      <x:c r="AE281" s="222"/>
      <x:c r="AF281" s="220"/>
      <x:c r="AG281" s="221"/>
      <x:c r="AH281" s="220"/>
      <x:c r="AI281" s="220"/>
      <x:c r="AJ281" s="222"/>
      <x:c r="AK281" s="220"/>
      <x:c r="AL281" s="220"/>
      <x:c r="AM281" s="220"/>
      <x:c r="AN281" s="220"/>
      <x:c r="AO281" s="220"/>
      <x:c r="AP281" s="220"/>
      <x:c r="AQ281" s="220"/>
      <x:c r="AR281" s="222"/>
      <x:c r="AS281" s="220"/>
      <x:c r="AT281" s="220"/>
      <x:c r="AU281" s="220"/>
      <x:c r="AV281" s="220"/>
      <x:c r="AW281" s="220"/>
      <x:c r="AX281" s="220"/>
      <x:c r="AY281" s="221"/>
      <x:c r="AZ281" s="220"/>
      <x:c r="BA281" s="220" t="str">
        <x:f>IF(AND(A281="",B281="",F281="",H281="",J281="",AW281="",AY281=""),"",IF(OR(B281="skip",AW281="skip"),"SKIP",IF(OR(B281="to_candidate",AW281="proposed_name"),IF(OR(A281="",AX281="",AY281="",COUNTIF($A$6:$A$505,A281)&gt;1),"REVIEW","TO_PROPOSED"),IF(OR(B281="",A281="",F281="",H281="",J281="",U281="",AW281="",COUNTIF($A$6:$A$505,A281)&gt;1,(COUNTIFS('أرقام التواصل'!$A$6:$A$505,"client",'أرقام التواصل'!$B$6:$B$505,A281,'أرقام التواصل'!$I$6:$I$505,"TRUE")+COUNTIFS('أرقام التواصل'!$A$6:$A$505,"client",'أرقام التواصل'!$B$6:$B$505,A281,'أرقام التواصل'!$C$6:$C$505,1))=0),"REVIEW","READY"))))</x:f>
      </x:c>
      <x:c r="BB281" s="224" t="str">
        <x:f>IF(BA281="","",IF(OR(BA281="READY",BA281="TO_PROPOSED"),"",IF(BA281="SKIP","Skipped by decision",TRIM(IF(B281="","missing import_action; ","")&amp;IF(A281="","missing migration_customer_key; ","")&amp;IF(AND(A281&lt;&gt;"",COUNTIF($A$6:$A$505,A281)&gt;1),"duplicate migration_customer_key; ","")&amp;IF(AND(NOT(OR(B281="to_candidate",AW281="proposed_name")),F281=""),"missing branch_id; ","")&amp;IF(AND(NOT(OR(B281="to_candidate",AW281="proposed_name")),H281=""),"missing first_name; ","")&amp;IF(AND(NOT(OR(B281="to_candidate",AW281="proposed_name")),J281=""),"missing last_name; ","")&amp;IF(AND(NOT(OR(B281="to_candidate",AW281="proposed_name")),U281=""),"missing final_geo_unit_id; ","")&amp;IF(AW281="","missing final_destination; ","")&amp;IF(AND(NOT(OR(B281="to_candidate",AW281="proposed_name")),(COUNTIFS('أرقام التواصل'!$A$6:$A$505,"client",'أرقام التواصل'!$B$6:$B$505,A281,'أرقام التواصل'!$I$6:$I$505,"TRUE")+COUNTIFS('أرقام التواصل'!$A$6:$A$505,"client",'أرقام التواصل'!$B$6:$B$505,A281,'أرقام التواصل'!$C$6:$C$505,1))=0),"missing primary contact in أرقام التواصل; ","")&amp;IF(OR(B281="to_candidate",AW281="proposed_name"),IF(AX281="","missing proposed_move_reason; ","")&amp;IF(AY281="","missing proposed_name_key; ",""),"")))))</x:f>
      </x:c>
    </x:row>
    <x:row r="282">
      <x:c r="A282" s="219"/>
      <x:c r="B282" s="220"/>
      <x:c r="C282" s="221"/>
      <x:c r="D282" s="220"/>
      <x:c r="E282" s="222"/>
      <x:c r="F282" s="220"/>
      <x:c r="G282" s="220"/>
      <x:c r="H282" s="220"/>
      <x:c r="I282" s="220"/>
      <x:c r="J282" s="220"/>
      <x:c r="K282" s="220"/>
      <x:c r="L282" s="220" t="str">
        <x:f>IF(TRIM(H282&amp;" "&amp;I282&amp;" "&amp;J282&amp;IF(K282&lt;&gt;""," ("&amp;K282&amp;")",""))="","",TRIM(H282&amp;" "&amp;I282&amp;" "&amp;J282&amp;IF(K282&lt;&gt;""," ("&amp;K282&amp;")","")))</x:f>
      </x:c>
      <x:c r="M282" s="220"/>
      <x:c r="N282" s="220"/>
      <x:c r="O282" s="220"/>
      <x:c r="P282" s="220"/>
      <x:c r="Q282" s="220"/>
      <x:c r="R282" s="220"/>
      <x:c r="S282" s="220"/>
      <x:c r="T282" s="220"/>
      <x:c r="U282" s="220" t="str">
        <x:f>IF(AND(M282="",O282="",Q282="",S282=""),"",IF(S282&lt;&gt;"",S282,IF(Q282&lt;&gt;"",Q282,IF(O282&lt;&gt;"",O282,M282))))</x:f>
      </x:c>
      <x:c r="V282" s="220" t="str">
        <x:f>IF(AND(N282="",P282="",R282="",T282=""),"",IF(T282&lt;&gt;"",T282,IF(R282&lt;&gt;"",R282,IF(P282&lt;&gt;"",P282,N282))))</x:f>
      </x:c>
      <x:c r="W282" s="221"/>
      <x:c r="X282" s="220"/>
      <x:c r="Y282" s="220"/>
      <x:c r="Z282" s="223"/>
      <x:c r="AA282" s="223"/>
      <x:c r="AB282" s="221"/>
      <x:c r="AC282" s="220"/>
      <x:c r="AD282" s="220"/>
      <x:c r="AE282" s="222"/>
      <x:c r="AF282" s="220"/>
      <x:c r="AG282" s="221"/>
      <x:c r="AH282" s="220"/>
      <x:c r="AI282" s="220"/>
      <x:c r="AJ282" s="222"/>
      <x:c r="AK282" s="220"/>
      <x:c r="AL282" s="220"/>
      <x:c r="AM282" s="220"/>
      <x:c r="AN282" s="220"/>
      <x:c r="AO282" s="220"/>
      <x:c r="AP282" s="220"/>
      <x:c r="AQ282" s="220"/>
      <x:c r="AR282" s="222"/>
      <x:c r="AS282" s="220"/>
      <x:c r="AT282" s="220"/>
      <x:c r="AU282" s="220"/>
      <x:c r="AV282" s="220"/>
      <x:c r="AW282" s="220"/>
      <x:c r="AX282" s="220"/>
      <x:c r="AY282" s="221"/>
      <x:c r="AZ282" s="220"/>
      <x:c r="BA282" s="220" t="str">
        <x:f>IF(AND(A282="",B282="",F282="",H282="",J282="",AW282="",AY282=""),"",IF(OR(B282="skip",AW282="skip"),"SKIP",IF(OR(B282="to_candidate",AW282="proposed_name"),IF(OR(A282="",AX282="",AY282="",COUNTIF($A$6:$A$505,A282)&gt;1),"REVIEW","TO_PROPOSED"),IF(OR(B282="",A282="",F282="",H282="",J282="",U282="",AW282="",COUNTIF($A$6:$A$505,A282)&gt;1,(COUNTIFS('أرقام التواصل'!$A$6:$A$505,"client",'أرقام التواصل'!$B$6:$B$505,A282,'أرقام التواصل'!$I$6:$I$505,"TRUE")+COUNTIFS('أرقام التواصل'!$A$6:$A$505,"client",'أرقام التواصل'!$B$6:$B$505,A282,'أرقام التواصل'!$C$6:$C$505,1))=0),"REVIEW","READY"))))</x:f>
      </x:c>
      <x:c r="BB282" s="224" t="str">
        <x:f>IF(BA282="","",IF(OR(BA282="READY",BA282="TO_PROPOSED"),"",IF(BA282="SKIP","Skipped by decision",TRIM(IF(B282="","missing import_action; ","")&amp;IF(A282="","missing migration_customer_key; ","")&amp;IF(AND(A282&lt;&gt;"",COUNTIF($A$6:$A$505,A282)&gt;1),"duplicate migration_customer_key; ","")&amp;IF(AND(NOT(OR(B282="to_candidate",AW282="proposed_name")),F282=""),"missing branch_id; ","")&amp;IF(AND(NOT(OR(B282="to_candidate",AW282="proposed_name")),H282=""),"missing first_name; ","")&amp;IF(AND(NOT(OR(B282="to_candidate",AW282="proposed_name")),J282=""),"missing last_name; ","")&amp;IF(AND(NOT(OR(B282="to_candidate",AW282="proposed_name")),U282=""),"missing final_geo_unit_id; ","")&amp;IF(AW282="","missing final_destination; ","")&amp;IF(AND(NOT(OR(B282="to_candidate",AW282="proposed_name")),(COUNTIFS('أرقام التواصل'!$A$6:$A$505,"client",'أرقام التواصل'!$B$6:$B$505,A282,'أرقام التواصل'!$I$6:$I$505,"TRUE")+COUNTIFS('أرقام التواصل'!$A$6:$A$505,"client",'أرقام التواصل'!$B$6:$B$505,A282,'أرقام التواصل'!$C$6:$C$505,1))=0),"missing primary contact in أرقام التواصل; ","")&amp;IF(OR(B282="to_candidate",AW282="proposed_name"),IF(AX282="","missing proposed_move_reason; ","")&amp;IF(AY282="","missing proposed_name_key; ",""),"")))))</x:f>
      </x:c>
    </x:row>
    <x:row r="283">
      <x:c r="A283" s="219"/>
      <x:c r="B283" s="220"/>
      <x:c r="C283" s="221"/>
      <x:c r="D283" s="220"/>
      <x:c r="E283" s="222"/>
      <x:c r="F283" s="220"/>
      <x:c r="G283" s="220"/>
      <x:c r="H283" s="220"/>
      <x:c r="I283" s="220"/>
      <x:c r="J283" s="220"/>
      <x:c r="K283" s="220"/>
      <x:c r="L283" s="220" t="str">
        <x:f>IF(TRIM(H283&amp;" "&amp;I283&amp;" "&amp;J283&amp;IF(K283&lt;&gt;""," ("&amp;K283&amp;")",""))="","",TRIM(H283&amp;" "&amp;I283&amp;" "&amp;J283&amp;IF(K283&lt;&gt;""," ("&amp;K283&amp;")","")))</x:f>
      </x:c>
      <x:c r="M283" s="220"/>
      <x:c r="N283" s="220"/>
      <x:c r="O283" s="220"/>
      <x:c r="P283" s="220"/>
      <x:c r="Q283" s="220"/>
      <x:c r="R283" s="220"/>
      <x:c r="S283" s="220"/>
      <x:c r="T283" s="220"/>
      <x:c r="U283" s="220" t="str">
        <x:f>IF(AND(M283="",O283="",Q283="",S283=""),"",IF(S283&lt;&gt;"",S283,IF(Q283&lt;&gt;"",Q283,IF(O283&lt;&gt;"",O283,M283))))</x:f>
      </x:c>
      <x:c r="V283" s="220" t="str">
        <x:f>IF(AND(N283="",P283="",R283="",T283=""),"",IF(T283&lt;&gt;"",T283,IF(R283&lt;&gt;"",R283,IF(P283&lt;&gt;"",P283,N283))))</x:f>
      </x:c>
      <x:c r="W283" s="221"/>
      <x:c r="X283" s="220"/>
      <x:c r="Y283" s="220"/>
      <x:c r="Z283" s="223"/>
      <x:c r="AA283" s="223"/>
      <x:c r="AB283" s="221"/>
      <x:c r="AC283" s="220"/>
      <x:c r="AD283" s="220"/>
      <x:c r="AE283" s="222"/>
      <x:c r="AF283" s="220"/>
      <x:c r="AG283" s="221"/>
      <x:c r="AH283" s="220"/>
      <x:c r="AI283" s="220"/>
      <x:c r="AJ283" s="222"/>
      <x:c r="AK283" s="220"/>
      <x:c r="AL283" s="220"/>
      <x:c r="AM283" s="220"/>
      <x:c r="AN283" s="220"/>
      <x:c r="AO283" s="220"/>
      <x:c r="AP283" s="220"/>
      <x:c r="AQ283" s="220"/>
      <x:c r="AR283" s="222"/>
      <x:c r="AS283" s="220"/>
      <x:c r="AT283" s="220"/>
      <x:c r="AU283" s="220"/>
      <x:c r="AV283" s="220"/>
      <x:c r="AW283" s="220"/>
      <x:c r="AX283" s="220"/>
      <x:c r="AY283" s="221"/>
      <x:c r="AZ283" s="220"/>
      <x:c r="BA283" s="220" t="str">
        <x:f>IF(AND(A283="",B283="",F283="",H283="",J283="",AW283="",AY283=""),"",IF(OR(B283="skip",AW283="skip"),"SKIP",IF(OR(B283="to_candidate",AW283="proposed_name"),IF(OR(A283="",AX283="",AY283="",COUNTIF($A$6:$A$505,A283)&gt;1),"REVIEW","TO_PROPOSED"),IF(OR(B283="",A283="",F283="",H283="",J283="",U283="",AW283="",COUNTIF($A$6:$A$505,A283)&gt;1,(COUNTIFS('أرقام التواصل'!$A$6:$A$505,"client",'أرقام التواصل'!$B$6:$B$505,A283,'أرقام التواصل'!$I$6:$I$505,"TRUE")+COUNTIFS('أرقام التواصل'!$A$6:$A$505,"client",'أرقام التواصل'!$B$6:$B$505,A283,'أرقام التواصل'!$C$6:$C$505,1))=0),"REVIEW","READY"))))</x:f>
      </x:c>
      <x:c r="BB283" s="224" t="str">
        <x:f>IF(BA283="","",IF(OR(BA283="READY",BA283="TO_PROPOSED"),"",IF(BA283="SKIP","Skipped by decision",TRIM(IF(B283="","missing import_action; ","")&amp;IF(A283="","missing migration_customer_key; ","")&amp;IF(AND(A283&lt;&gt;"",COUNTIF($A$6:$A$505,A283)&gt;1),"duplicate migration_customer_key; ","")&amp;IF(AND(NOT(OR(B283="to_candidate",AW283="proposed_name")),F283=""),"missing branch_id; ","")&amp;IF(AND(NOT(OR(B283="to_candidate",AW283="proposed_name")),H283=""),"missing first_name; ","")&amp;IF(AND(NOT(OR(B283="to_candidate",AW283="proposed_name")),J283=""),"missing last_name; ","")&amp;IF(AND(NOT(OR(B283="to_candidate",AW283="proposed_name")),U283=""),"missing final_geo_unit_id; ","")&amp;IF(AW283="","missing final_destination; ","")&amp;IF(AND(NOT(OR(B283="to_candidate",AW283="proposed_name")),(COUNTIFS('أرقام التواصل'!$A$6:$A$505,"client",'أرقام التواصل'!$B$6:$B$505,A283,'أرقام التواصل'!$I$6:$I$505,"TRUE")+COUNTIFS('أرقام التواصل'!$A$6:$A$505,"client",'أرقام التواصل'!$B$6:$B$505,A283,'أرقام التواصل'!$C$6:$C$505,1))=0),"missing primary contact in أرقام التواصل; ","")&amp;IF(OR(B283="to_candidate",AW283="proposed_name"),IF(AX283="","missing proposed_move_reason; ","")&amp;IF(AY283="","missing proposed_name_key; ",""),"")))))</x:f>
      </x:c>
    </x:row>
    <x:row r="284">
      <x:c r="A284" s="219"/>
      <x:c r="B284" s="220"/>
      <x:c r="C284" s="221"/>
      <x:c r="D284" s="220"/>
      <x:c r="E284" s="222"/>
      <x:c r="F284" s="220"/>
      <x:c r="G284" s="220"/>
      <x:c r="H284" s="220"/>
      <x:c r="I284" s="220"/>
      <x:c r="J284" s="220"/>
      <x:c r="K284" s="220"/>
      <x:c r="L284" s="220" t="str">
        <x:f>IF(TRIM(H284&amp;" "&amp;I284&amp;" "&amp;J284&amp;IF(K284&lt;&gt;""," ("&amp;K284&amp;")",""))="","",TRIM(H284&amp;" "&amp;I284&amp;" "&amp;J284&amp;IF(K284&lt;&gt;""," ("&amp;K284&amp;")","")))</x:f>
      </x:c>
      <x:c r="M284" s="220"/>
      <x:c r="N284" s="220"/>
      <x:c r="O284" s="220"/>
      <x:c r="P284" s="220"/>
      <x:c r="Q284" s="220"/>
      <x:c r="R284" s="220"/>
      <x:c r="S284" s="220"/>
      <x:c r="T284" s="220"/>
      <x:c r="U284" s="220" t="str">
        <x:f>IF(AND(M284="",O284="",Q284="",S284=""),"",IF(S284&lt;&gt;"",S284,IF(Q284&lt;&gt;"",Q284,IF(O284&lt;&gt;"",O284,M284))))</x:f>
      </x:c>
      <x:c r="V284" s="220" t="str">
        <x:f>IF(AND(N284="",P284="",R284="",T284=""),"",IF(T284&lt;&gt;"",T284,IF(R284&lt;&gt;"",R284,IF(P284&lt;&gt;"",P284,N284))))</x:f>
      </x:c>
      <x:c r="W284" s="221"/>
      <x:c r="X284" s="220"/>
      <x:c r="Y284" s="220"/>
      <x:c r="Z284" s="223"/>
      <x:c r="AA284" s="223"/>
      <x:c r="AB284" s="221"/>
      <x:c r="AC284" s="220"/>
      <x:c r="AD284" s="220"/>
      <x:c r="AE284" s="222"/>
      <x:c r="AF284" s="220"/>
      <x:c r="AG284" s="221"/>
      <x:c r="AH284" s="220"/>
      <x:c r="AI284" s="220"/>
      <x:c r="AJ284" s="222"/>
      <x:c r="AK284" s="220"/>
      <x:c r="AL284" s="220"/>
      <x:c r="AM284" s="220"/>
      <x:c r="AN284" s="220"/>
      <x:c r="AO284" s="220"/>
      <x:c r="AP284" s="220"/>
      <x:c r="AQ284" s="220"/>
      <x:c r="AR284" s="222"/>
      <x:c r="AS284" s="220"/>
      <x:c r="AT284" s="220"/>
      <x:c r="AU284" s="220"/>
      <x:c r="AV284" s="220"/>
      <x:c r="AW284" s="220"/>
      <x:c r="AX284" s="220"/>
      <x:c r="AY284" s="221"/>
      <x:c r="AZ284" s="220"/>
      <x:c r="BA284" s="220" t="str">
        <x:f>IF(AND(A284="",B284="",F284="",H284="",J284="",AW284="",AY284=""),"",IF(OR(B284="skip",AW284="skip"),"SKIP",IF(OR(B284="to_candidate",AW284="proposed_name"),IF(OR(A284="",AX284="",AY284="",COUNTIF($A$6:$A$505,A284)&gt;1),"REVIEW","TO_PROPOSED"),IF(OR(B284="",A284="",F284="",H284="",J284="",U284="",AW284="",COUNTIF($A$6:$A$505,A284)&gt;1,(COUNTIFS('أرقام التواصل'!$A$6:$A$505,"client",'أرقام التواصل'!$B$6:$B$505,A284,'أرقام التواصل'!$I$6:$I$505,"TRUE")+COUNTIFS('أرقام التواصل'!$A$6:$A$505,"client",'أرقام التواصل'!$B$6:$B$505,A284,'أرقام التواصل'!$C$6:$C$505,1))=0),"REVIEW","READY"))))</x:f>
      </x:c>
      <x:c r="BB284" s="224" t="str">
        <x:f>IF(BA284="","",IF(OR(BA284="READY",BA284="TO_PROPOSED"),"",IF(BA284="SKIP","Skipped by decision",TRIM(IF(B284="","missing import_action; ","")&amp;IF(A284="","missing migration_customer_key; ","")&amp;IF(AND(A284&lt;&gt;"",COUNTIF($A$6:$A$505,A284)&gt;1),"duplicate migration_customer_key; ","")&amp;IF(AND(NOT(OR(B284="to_candidate",AW284="proposed_name")),F284=""),"missing branch_id; ","")&amp;IF(AND(NOT(OR(B284="to_candidate",AW284="proposed_name")),H284=""),"missing first_name; ","")&amp;IF(AND(NOT(OR(B284="to_candidate",AW284="proposed_name")),J284=""),"missing last_name; ","")&amp;IF(AND(NOT(OR(B284="to_candidate",AW284="proposed_name")),U284=""),"missing final_geo_unit_id; ","")&amp;IF(AW284="","missing final_destination; ","")&amp;IF(AND(NOT(OR(B284="to_candidate",AW284="proposed_name")),(COUNTIFS('أرقام التواصل'!$A$6:$A$505,"client",'أرقام التواصل'!$B$6:$B$505,A284,'أرقام التواصل'!$I$6:$I$505,"TRUE")+COUNTIFS('أرقام التواصل'!$A$6:$A$505,"client",'أرقام التواصل'!$B$6:$B$505,A284,'أرقام التواصل'!$C$6:$C$505,1))=0),"missing primary contact in أرقام التواصل; ","")&amp;IF(OR(B284="to_candidate",AW284="proposed_name"),IF(AX284="","missing proposed_move_reason; ","")&amp;IF(AY284="","missing proposed_name_key; ",""),"")))))</x:f>
      </x:c>
    </x:row>
    <x:row r="285">
      <x:c r="A285" s="219"/>
      <x:c r="B285" s="220"/>
      <x:c r="C285" s="221"/>
      <x:c r="D285" s="220"/>
      <x:c r="E285" s="222"/>
      <x:c r="F285" s="220"/>
      <x:c r="G285" s="220"/>
      <x:c r="H285" s="220"/>
      <x:c r="I285" s="220"/>
      <x:c r="J285" s="220"/>
      <x:c r="K285" s="220"/>
      <x:c r="L285" s="220" t="str">
        <x:f>IF(TRIM(H285&amp;" "&amp;I285&amp;" "&amp;J285&amp;IF(K285&lt;&gt;""," ("&amp;K285&amp;")",""))="","",TRIM(H285&amp;" "&amp;I285&amp;" "&amp;J285&amp;IF(K285&lt;&gt;""," ("&amp;K285&amp;")","")))</x:f>
      </x:c>
      <x:c r="M285" s="220"/>
      <x:c r="N285" s="220"/>
      <x:c r="O285" s="220"/>
      <x:c r="P285" s="220"/>
      <x:c r="Q285" s="220"/>
      <x:c r="R285" s="220"/>
      <x:c r="S285" s="220"/>
      <x:c r="T285" s="220"/>
      <x:c r="U285" s="220" t="str">
        <x:f>IF(AND(M285="",O285="",Q285="",S285=""),"",IF(S285&lt;&gt;"",S285,IF(Q285&lt;&gt;"",Q285,IF(O285&lt;&gt;"",O285,M285))))</x:f>
      </x:c>
      <x:c r="V285" s="220" t="str">
        <x:f>IF(AND(N285="",P285="",R285="",T285=""),"",IF(T285&lt;&gt;"",T285,IF(R285&lt;&gt;"",R285,IF(P285&lt;&gt;"",P285,N285))))</x:f>
      </x:c>
      <x:c r="W285" s="221"/>
      <x:c r="X285" s="220"/>
      <x:c r="Y285" s="220"/>
      <x:c r="Z285" s="223"/>
      <x:c r="AA285" s="223"/>
      <x:c r="AB285" s="221"/>
      <x:c r="AC285" s="220"/>
      <x:c r="AD285" s="220"/>
      <x:c r="AE285" s="222"/>
      <x:c r="AF285" s="220"/>
      <x:c r="AG285" s="221"/>
      <x:c r="AH285" s="220"/>
      <x:c r="AI285" s="220"/>
      <x:c r="AJ285" s="222"/>
      <x:c r="AK285" s="220"/>
      <x:c r="AL285" s="220"/>
      <x:c r="AM285" s="220"/>
      <x:c r="AN285" s="220"/>
      <x:c r="AO285" s="220"/>
      <x:c r="AP285" s="220"/>
      <x:c r="AQ285" s="220"/>
      <x:c r="AR285" s="222"/>
      <x:c r="AS285" s="220"/>
      <x:c r="AT285" s="220"/>
      <x:c r="AU285" s="220"/>
      <x:c r="AV285" s="220"/>
      <x:c r="AW285" s="220"/>
      <x:c r="AX285" s="220"/>
      <x:c r="AY285" s="221"/>
      <x:c r="AZ285" s="220"/>
      <x:c r="BA285" s="220" t="str">
        <x:f>IF(AND(A285="",B285="",F285="",H285="",J285="",AW285="",AY285=""),"",IF(OR(B285="skip",AW285="skip"),"SKIP",IF(OR(B285="to_candidate",AW285="proposed_name"),IF(OR(A285="",AX285="",AY285="",COUNTIF($A$6:$A$505,A285)&gt;1),"REVIEW","TO_PROPOSED"),IF(OR(B285="",A285="",F285="",H285="",J285="",U285="",AW285="",COUNTIF($A$6:$A$505,A285)&gt;1,(COUNTIFS('أرقام التواصل'!$A$6:$A$505,"client",'أرقام التواصل'!$B$6:$B$505,A285,'أرقام التواصل'!$I$6:$I$505,"TRUE")+COUNTIFS('أرقام التواصل'!$A$6:$A$505,"client",'أرقام التواصل'!$B$6:$B$505,A285,'أرقام التواصل'!$C$6:$C$505,1))=0),"REVIEW","READY"))))</x:f>
      </x:c>
      <x:c r="BB285" s="224" t="str">
        <x:f>IF(BA285="","",IF(OR(BA285="READY",BA285="TO_PROPOSED"),"",IF(BA285="SKIP","Skipped by decision",TRIM(IF(B285="","missing import_action; ","")&amp;IF(A285="","missing migration_customer_key; ","")&amp;IF(AND(A285&lt;&gt;"",COUNTIF($A$6:$A$505,A285)&gt;1),"duplicate migration_customer_key; ","")&amp;IF(AND(NOT(OR(B285="to_candidate",AW285="proposed_name")),F285=""),"missing branch_id; ","")&amp;IF(AND(NOT(OR(B285="to_candidate",AW285="proposed_name")),H285=""),"missing first_name; ","")&amp;IF(AND(NOT(OR(B285="to_candidate",AW285="proposed_name")),J285=""),"missing last_name; ","")&amp;IF(AND(NOT(OR(B285="to_candidate",AW285="proposed_name")),U285=""),"missing final_geo_unit_id; ","")&amp;IF(AW285="","missing final_destination; ","")&amp;IF(AND(NOT(OR(B285="to_candidate",AW285="proposed_name")),(COUNTIFS('أرقام التواصل'!$A$6:$A$505,"client",'أرقام التواصل'!$B$6:$B$505,A285,'أرقام التواصل'!$I$6:$I$505,"TRUE")+COUNTIFS('أرقام التواصل'!$A$6:$A$505,"client",'أرقام التواصل'!$B$6:$B$505,A285,'أرقام التواصل'!$C$6:$C$505,1))=0),"missing primary contact in أرقام التواصل; ","")&amp;IF(OR(B285="to_candidate",AW285="proposed_name"),IF(AX285="","missing proposed_move_reason; ","")&amp;IF(AY285="","missing proposed_name_key; ",""),"")))))</x:f>
      </x:c>
    </x:row>
    <x:row r="286">
      <x:c r="A286" s="219"/>
      <x:c r="B286" s="220"/>
      <x:c r="C286" s="221"/>
      <x:c r="D286" s="220"/>
      <x:c r="E286" s="222"/>
      <x:c r="F286" s="220"/>
      <x:c r="G286" s="220"/>
      <x:c r="H286" s="220"/>
      <x:c r="I286" s="220"/>
      <x:c r="J286" s="220"/>
      <x:c r="K286" s="220"/>
      <x:c r="L286" s="220" t="str">
        <x:f>IF(TRIM(H286&amp;" "&amp;I286&amp;" "&amp;J286&amp;IF(K286&lt;&gt;""," ("&amp;K286&amp;")",""))="","",TRIM(H286&amp;" "&amp;I286&amp;" "&amp;J286&amp;IF(K286&lt;&gt;""," ("&amp;K286&amp;")","")))</x:f>
      </x:c>
      <x:c r="M286" s="220"/>
      <x:c r="N286" s="220"/>
      <x:c r="O286" s="220"/>
      <x:c r="P286" s="220"/>
      <x:c r="Q286" s="220"/>
      <x:c r="R286" s="220"/>
      <x:c r="S286" s="220"/>
      <x:c r="T286" s="220"/>
      <x:c r="U286" s="220" t="str">
        <x:f>IF(AND(M286="",O286="",Q286="",S286=""),"",IF(S286&lt;&gt;"",S286,IF(Q286&lt;&gt;"",Q286,IF(O286&lt;&gt;"",O286,M286))))</x:f>
      </x:c>
      <x:c r="V286" s="220" t="str">
        <x:f>IF(AND(N286="",P286="",R286="",T286=""),"",IF(T286&lt;&gt;"",T286,IF(R286&lt;&gt;"",R286,IF(P286&lt;&gt;"",P286,N286))))</x:f>
      </x:c>
      <x:c r="W286" s="221"/>
      <x:c r="X286" s="220"/>
      <x:c r="Y286" s="220"/>
      <x:c r="Z286" s="223"/>
      <x:c r="AA286" s="223"/>
      <x:c r="AB286" s="221"/>
      <x:c r="AC286" s="220"/>
      <x:c r="AD286" s="220"/>
      <x:c r="AE286" s="222"/>
      <x:c r="AF286" s="220"/>
      <x:c r="AG286" s="221"/>
      <x:c r="AH286" s="220"/>
      <x:c r="AI286" s="220"/>
      <x:c r="AJ286" s="222"/>
      <x:c r="AK286" s="220"/>
      <x:c r="AL286" s="220"/>
      <x:c r="AM286" s="220"/>
      <x:c r="AN286" s="220"/>
      <x:c r="AO286" s="220"/>
      <x:c r="AP286" s="220"/>
      <x:c r="AQ286" s="220"/>
      <x:c r="AR286" s="222"/>
      <x:c r="AS286" s="220"/>
      <x:c r="AT286" s="220"/>
      <x:c r="AU286" s="220"/>
      <x:c r="AV286" s="220"/>
      <x:c r="AW286" s="220"/>
      <x:c r="AX286" s="220"/>
      <x:c r="AY286" s="221"/>
      <x:c r="AZ286" s="220"/>
      <x:c r="BA286" s="220" t="str">
        <x:f>IF(AND(A286="",B286="",F286="",H286="",J286="",AW286="",AY286=""),"",IF(OR(B286="skip",AW286="skip"),"SKIP",IF(OR(B286="to_candidate",AW286="proposed_name"),IF(OR(A286="",AX286="",AY286="",COUNTIF($A$6:$A$505,A286)&gt;1),"REVIEW","TO_PROPOSED"),IF(OR(B286="",A286="",F286="",H286="",J286="",U286="",AW286="",COUNTIF($A$6:$A$505,A286)&gt;1,(COUNTIFS('أرقام التواصل'!$A$6:$A$505,"client",'أرقام التواصل'!$B$6:$B$505,A286,'أرقام التواصل'!$I$6:$I$505,"TRUE")+COUNTIFS('أرقام التواصل'!$A$6:$A$505,"client",'أرقام التواصل'!$B$6:$B$505,A286,'أرقام التواصل'!$C$6:$C$505,1))=0),"REVIEW","READY"))))</x:f>
      </x:c>
      <x:c r="BB286" s="224" t="str">
        <x:f>IF(BA286="","",IF(OR(BA286="READY",BA286="TO_PROPOSED"),"",IF(BA286="SKIP","Skipped by decision",TRIM(IF(B286="","missing import_action; ","")&amp;IF(A286="","missing migration_customer_key; ","")&amp;IF(AND(A286&lt;&gt;"",COUNTIF($A$6:$A$505,A286)&gt;1),"duplicate migration_customer_key; ","")&amp;IF(AND(NOT(OR(B286="to_candidate",AW286="proposed_name")),F286=""),"missing branch_id; ","")&amp;IF(AND(NOT(OR(B286="to_candidate",AW286="proposed_name")),H286=""),"missing first_name; ","")&amp;IF(AND(NOT(OR(B286="to_candidate",AW286="proposed_name")),J286=""),"missing last_name; ","")&amp;IF(AND(NOT(OR(B286="to_candidate",AW286="proposed_name")),U286=""),"missing final_geo_unit_id; ","")&amp;IF(AW286="","missing final_destination; ","")&amp;IF(AND(NOT(OR(B286="to_candidate",AW286="proposed_name")),(COUNTIFS('أرقام التواصل'!$A$6:$A$505,"client",'أرقام التواصل'!$B$6:$B$505,A286,'أرقام التواصل'!$I$6:$I$505,"TRUE")+COUNTIFS('أرقام التواصل'!$A$6:$A$505,"client",'أرقام التواصل'!$B$6:$B$505,A286,'أرقام التواصل'!$C$6:$C$505,1))=0),"missing primary contact in أرقام التواصل; ","")&amp;IF(OR(B286="to_candidate",AW286="proposed_name"),IF(AX286="","missing proposed_move_reason; ","")&amp;IF(AY286="","missing proposed_name_key; ",""),"")))))</x:f>
      </x:c>
    </x:row>
    <x:row r="287">
      <x:c r="A287" s="219"/>
      <x:c r="B287" s="220"/>
      <x:c r="C287" s="221"/>
      <x:c r="D287" s="220"/>
      <x:c r="E287" s="222"/>
      <x:c r="F287" s="220"/>
      <x:c r="G287" s="220"/>
      <x:c r="H287" s="220"/>
      <x:c r="I287" s="220"/>
      <x:c r="J287" s="220"/>
      <x:c r="K287" s="220"/>
      <x:c r="L287" s="220" t="str">
        <x:f>IF(TRIM(H287&amp;" "&amp;I287&amp;" "&amp;J287&amp;IF(K287&lt;&gt;""," ("&amp;K287&amp;")",""))="","",TRIM(H287&amp;" "&amp;I287&amp;" "&amp;J287&amp;IF(K287&lt;&gt;""," ("&amp;K287&amp;")","")))</x:f>
      </x:c>
      <x:c r="M287" s="220"/>
      <x:c r="N287" s="220"/>
      <x:c r="O287" s="220"/>
      <x:c r="P287" s="220"/>
      <x:c r="Q287" s="220"/>
      <x:c r="R287" s="220"/>
      <x:c r="S287" s="220"/>
      <x:c r="T287" s="220"/>
      <x:c r="U287" s="220" t="str">
        <x:f>IF(AND(M287="",O287="",Q287="",S287=""),"",IF(S287&lt;&gt;"",S287,IF(Q287&lt;&gt;"",Q287,IF(O287&lt;&gt;"",O287,M287))))</x:f>
      </x:c>
      <x:c r="V287" s="220" t="str">
        <x:f>IF(AND(N287="",P287="",R287="",T287=""),"",IF(T287&lt;&gt;"",T287,IF(R287&lt;&gt;"",R287,IF(P287&lt;&gt;"",P287,N287))))</x:f>
      </x:c>
      <x:c r="W287" s="221"/>
      <x:c r="X287" s="220"/>
      <x:c r="Y287" s="220"/>
      <x:c r="Z287" s="223"/>
      <x:c r="AA287" s="223"/>
      <x:c r="AB287" s="221"/>
      <x:c r="AC287" s="220"/>
      <x:c r="AD287" s="220"/>
      <x:c r="AE287" s="222"/>
      <x:c r="AF287" s="220"/>
      <x:c r="AG287" s="221"/>
      <x:c r="AH287" s="220"/>
      <x:c r="AI287" s="220"/>
      <x:c r="AJ287" s="222"/>
      <x:c r="AK287" s="220"/>
      <x:c r="AL287" s="220"/>
      <x:c r="AM287" s="220"/>
      <x:c r="AN287" s="220"/>
      <x:c r="AO287" s="220"/>
      <x:c r="AP287" s="220"/>
      <x:c r="AQ287" s="220"/>
      <x:c r="AR287" s="222"/>
      <x:c r="AS287" s="220"/>
      <x:c r="AT287" s="220"/>
      <x:c r="AU287" s="220"/>
      <x:c r="AV287" s="220"/>
      <x:c r="AW287" s="220"/>
      <x:c r="AX287" s="220"/>
      <x:c r="AY287" s="221"/>
      <x:c r="AZ287" s="220"/>
      <x:c r="BA287" s="220" t="str">
        <x:f>IF(AND(A287="",B287="",F287="",H287="",J287="",AW287="",AY287=""),"",IF(OR(B287="skip",AW287="skip"),"SKIP",IF(OR(B287="to_candidate",AW287="proposed_name"),IF(OR(A287="",AX287="",AY287="",COUNTIF($A$6:$A$505,A287)&gt;1),"REVIEW","TO_PROPOSED"),IF(OR(B287="",A287="",F287="",H287="",J287="",U287="",AW287="",COUNTIF($A$6:$A$505,A287)&gt;1,(COUNTIFS('أرقام التواصل'!$A$6:$A$505,"client",'أرقام التواصل'!$B$6:$B$505,A287,'أرقام التواصل'!$I$6:$I$505,"TRUE")+COUNTIFS('أرقام التواصل'!$A$6:$A$505,"client",'أرقام التواصل'!$B$6:$B$505,A287,'أرقام التواصل'!$C$6:$C$505,1))=0),"REVIEW","READY"))))</x:f>
      </x:c>
      <x:c r="BB287" s="224" t="str">
        <x:f>IF(BA287="","",IF(OR(BA287="READY",BA287="TO_PROPOSED"),"",IF(BA287="SKIP","Skipped by decision",TRIM(IF(B287="","missing import_action; ","")&amp;IF(A287="","missing migration_customer_key; ","")&amp;IF(AND(A287&lt;&gt;"",COUNTIF($A$6:$A$505,A287)&gt;1),"duplicate migration_customer_key; ","")&amp;IF(AND(NOT(OR(B287="to_candidate",AW287="proposed_name")),F287=""),"missing branch_id; ","")&amp;IF(AND(NOT(OR(B287="to_candidate",AW287="proposed_name")),H287=""),"missing first_name; ","")&amp;IF(AND(NOT(OR(B287="to_candidate",AW287="proposed_name")),J287=""),"missing last_name; ","")&amp;IF(AND(NOT(OR(B287="to_candidate",AW287="proposed_name")),U287=""),"missing final_geo_unit_id; ","")&amp;IF(AW287="","missing final_destination; ","")&amp;IF(AND(NOT(OR(B287="to_candidate",AW287="proposed_name")),(COUNTIFS('أرقام التواصل'!$A$6:$A$505,"client",'أرقام التواصل'!$B$6:$B$505,A287,'أرقام التواصل'!$I$6:$I$505,"TRUE")+COUNTIFS('أرقام التواصل'!$A$6:$A$505,"client",'أرقام التواصل'!$B$6:$B$505,A287,'أرقام التواصل'!$C$6:$C$505,1))=0),"missing primary contact in أرقام التواصل; ","")&amp;IF(OR(B287="to_candidate",AW287="proposed_name"),IF(AX287="","missing proposed_move_reason; ","")&amp;IF(AY287="","missing proposed_name_key; ",""),"")))))</x:f>
      </x:c>
    </x:row>
    <x:row r="288">
      <x:c r="A288" s="219"/>
      <x:c r="B288" s="220"/>
      <x:c r="C288" s="221"/>
      <x:c r="D288" s="220"/>
      <x:c r="E288" s="222"/>
      <x:c r="F288" s="220"/>
      <x:c r="G288" s="220"/>
      <x:c r="H288" s="220"/>
      <x:c r="I288" s="220"/>
      <x:c r="J288" s="220"/>
      <x:c r="K288" s="220"/>
      <x:c r="L288" s="220" t="str">
        <x:f>IF(TRIM(H288&amp;" "&amp;I288&amp;" "&amp;J288&amp;IF(K288&lt;&gt;""," ("&amp;K288&amp;")",""))="","",TRIM(H288&amp;" "&amp;I288&amp;" "&amp;J288&amp;IF(K288&lt;&gt;""," ("&amp;K288&amp;")","")))</x:f>
      </x:c>
      <x:c r="M288" s="220"/>
      <x:c r="N288" s="220"/>
      <x:c r="O288" s="220"/>
      <x:c r="P288" s="220"/>
      <x:c r="Q288" s="220"/>
      <x:c r="R288" s="220"/>
      <x:c r="S288" s="220"/>
      <x:c r="T288" s="220"/>
      <x:c r="U288" s="220" t="str">
        <x:f>IF(AND(M288="",O288="",Q288="",S288=""),"",IF(S288&lt;&gt;"",S288,IF(Q288&lt;&gt;"",Q288,IF(O288&lt;&gt;"",O288,M288))))</x:f>
      </x:c>
      <x:c r="V288" s="220" t="str">
        <x:f>IF(AND(N288="",P288="",R288="",T288=""),"",IF(T288&lt;&gt;"",T288,IF(R288&lt;&gt;"",R288,IF(P288&lt;&gt;"",P288,N288))))</x:f>
      </x:c>
      <x:c r="W288" s="221"/>
      <x:c r="X288" s="220"/>
      <x:c r="Y288" s="220"/>
      <x:c r="Z288" s="223"/>
      <x:c r="AA288" s="223"/>
      <x:c r="AB288" s="221"/>
      <x:c r="AC288" s="220"/>
      <x:c r="AD288" s="220"/>
      <x:c r="AE288" s="222"/>
      <x:c r="AF288" s="220"/>
      <x:c r="AG288" s="221"/>
      <x:c r="AH288" s="220"/>
      <x:c r="AI288" s="220"/>
      <x:c r="AJ288" s="222"/>
      <x:c r="AK288" s="220"/>
      <x:c r="AL288" s="220"/>
      <x:c r="AM288" s="220"/>
      <x:c r="AN288" s="220"/>
      <x:c r="AO288" s="220"/>
      <x:c r="AP288" s="220"/>
      <x:c r="AQ288" s="220"/>
      <x:c r="AR288" s="222"/>
      <x:c r="AS288" s="220"/>
      <x:c r="AT288" s="220"/>
      <x:c r="AU288" s="220"/>
      <x:c r="AV288" s="220"/>
      <x:c r="AW288" s="220"/>
      <x:c r="AX288" s="220"/>
      <x:c r="AY288" s="221"/>
      <x:c r="AZ288" s="220"/>
      <x:c r="BA288" s="220" t="str">
        <x:f>IF(AND(A288="",B288="",F288="",H288="",J288="",AW288="",AY288=""),"",IF(OR(B288="skip",AW288="skip"),"SKIP",IF(OR(B288="to_candidate",AW288="proposed_name"),IF(OR(A288="",AX288="",AY288="",COUNTIF($A$6:$A$505,A288)&gt;1),"REVIEW","TO_PROPOSED"),IF(OR(B288="",A288="",F288="",H288="",J288="",U288="",AW288="",COUNTIF($A$6:$A$505,A288)&gt;1,(COUNTIFS('أرقام التواصل'!$A$6:$A$505,"client",'أرقام التواصل'!$B$6:$B$505,A288,'أرقام التواصل'!$I$6:$I$505,"TRUE")+COUNTIFS('أرقام التواصل'!$A$6:$A$505,"client",'أرقام التواصل'!$B$6:$B$505,A288,'أرقام التواصل'!$C$6:$C$505,1))=0),"REVIEW","READY"))))</x:f>
      </x:c>
      <x:c r="BB288" s="224" t="str">
        <x:f>IF(BA288="","",IF(OR(BA288="READY",BA288="TO_PROPOSED"),"",IF(BA288="SKIP","Skipped by decision",TRIM(IF(B288="","missing import_action; ","")&amp;IF(A288="","missing migration_customer_key; ","")&amp;IF(AND(A288&lt;&gt;"",COUNTIF($A$6:$A$505,A288)&gt;1),"duplicate migration_customer_key; ","")&amp;IF(AND(NOT(OR(B288="to_candidate",AW288="proposed_name")),F288=""),"missing branch_id; ","")&amp;IF(AND(NOT(OR(B288="to_candidate",AW288="proposed_name")),H288=""),"missing first_name; ","")&amp;IF(AND(NOT(OR(B288="to_candidate",AW288="proposed_name")),J288=""),"missing last_name; ","")&amp;IF(AND(NOT(OR(B288="to_candidate",AW288="proposed_name")),U288=""),"missing final_geo_unit_id; ","")&amp;IF(AW288="","missing final_destination; ","")&amp;IF(AND(NOT(OR(B288="to_candidate",AW288="proposed_name")),(COUNTIFS('أرقام التواصل'!$A$6:$A$505,"client",'أرقام التواصل'!$B$6:$B$505,A288,'أرقام التواصل'!$I$6:$I$505,"TRUE")+COUNTIFS('أرقام التواصل'!$A$6:$A$505,"client",'أرقام التواصل'!$B$6:$B$505,A288,'أرقام التواصل'!$C$6:$C$505,1))=0),"missing primary contact in أرقام التواصل; ","")&amp;IF(OR(B288="to_candidate",AW288="proposed_name"),IF(AX288="","missing proposed_move_reason; ","")&amp;IF(AY288="","missing proposed_name_key; ",""),"")))))</x:f>
      </x:c>
    </x:row>
    <x:row r="289">
      <x:c r="A289" s="219"/>
      <x:c r="B289" s="220"/>
      <x:c r="C289" s="221"/>
      <x:c r="D289" s="220"/>
      <x:c r="E289" s="222"/>
      <x:c r="F289" s="220"/>
      <x:c r="G289" s="220"/>
      <x:c r="H289" s="220"/>
      <x:c r="I289" s="220"/>
      <x:c r="J289" s="220"/>
      <x:c r="K289" s="220"/>
      <x:c r="L289" s="220" t="str">
        <x:f>IF(TRIM(H289&amp;" "&amp;I289&amp;" "&amp;J289&amp;IF(K289&lt;&gt;""," ("&amp;K289&amp;")",""))="","",TRIM(H289&amp;" "&amp;I289&amp;" "&amp;J289&amp;IF(K289&lt;&gt;""," ("&amp;K289&amp;")","")))</x:f>
      </x:c>
      <x:c r="M289" s="220"/>
      <x:c r="N289" s="220"/>
      <x:c r="O289" s="220"/>
      <x:c r="P289" s="220"/>
      <x:c r="Q289" s="220"/>
      <x:c r="R289" s="220"/>
      <x:c r="S289" s="220"/>
      <x:c r="T289" s="220"/>
      <x:c r="U289" s="220" t="str">
        <x:f>IF(AND(M289="",O289="",Q289="",S289=""),"",IF(S289&lt;&gt;"",S289,IF(Q289&lt;&gt;"",Q289,IF(O289&lt;&gt;"",O289,M289))))</x:f>
      </x:c>
      <x:c r="V289" s="220" t="str">
        <x:f>IF(AND(N289="",P289="",R289="",T289=""),"",IF(T289&lt;&gt;"",T289,IF(R289&lt;&gt;"",R289,IF(P289&lt;&gt;"",P289,N289))))</x:f>
      </x:c>
      <x:c r="W289" s="221"/>
      <x:c r="X289" s="220"/>
      <x:c r="Y289" s="220"/>
      <x:c r="Z289" s="223"/>
      <x:c r="AA289" s="223"/>
      <x:c r="AB289" s="221"/>
      <x:c r="AC289" s="220"/>
      <x:c r="AD289" s="220"/>
      <x:c r="AE289" s="222"/>
      <x:c r="AF289" s="220"/>
      <x:c r="AG289" s="221"/>
      <x:c r="AH289" s="220"/>
      <x:c r="AI289" s="220"/>
      <x:c r="AJ289" s="222"/>
      <x:c r="AK289" s="220"/>
      <x:c r="AL289" s="220"/>
      <x:c r="AM289" s="220"/>
      <x:c r="AN289" s="220"/>
      <x:c r="AO289" s="220"/>
      <x:c r="AP289" s="220"/>
      <x:c r="AQ289" s="220"/>
      <x:c r="AR289" s="222"/>
      <x:c r="AS289" s="220"/>
      <x:c r="AT289" s="220"/>
      <x:c r="AU289" s="220"/>
      <x:c r="AV289" s="220"/>
      <x:c r="AW289" s="220"/>
      <x:c r="AX289" s="220"/>
      <x:c r="AY289" s="221"/>
      <x:c r="AZ289" s="220"/>
      <x:c r="BA289" s="220" t="str">
        <x:f>IF(AND(A289="",B289="",F289="",H289="",J289="",AW289="",AY289=""),"",IF(OR(B289="skip",AW289="skip"),"SKIP",IF(OR(B289="to_candidate",AW289="proposed_name"),IF(OR(A289="",AX289="",AY289="",COUNTIF($A$6:$A$505,A289)&gt;1),"REVIEW","TO_PROPOSED"),IF(OR(B289="",A289="",F289="",H289="",J289="",U289="",AW289="",COUNTIF($A$6:$A$505,A289)&gt;1,(COUNTIFS('أرقام التواصل'!$A$6:$A$505,"client",'أرقام التواصل'!$B$6:$B$505,A289,'أرقام التواصل'!$I$6:$I$505,"TRUE")+COUNTIFS('أرقام التواصل'!$A$6:$A$505,"client",'أرقام التواصل'!$B$6:$B$505,A289,'أرقام التواصل'!$C$6:$C$505,1))=0),"REVIEW","READY"))))</x:f>
      </x:c>
      <x:c r="BB289" s="224" t="str">
        <x:f>IF(BA289="","",IF(OR(BA289="READY",BA289="TO_PROPOSED"),"",IF(BA289="SKIP","Skipped by decision",TRIM(IF(B289="","missing import_action; ","")&amp;IF(A289="","missing migration_customer_key; ","")&amp;IF(AND(A289&lt;&gt;"",COUNTIF($A$6:$A$505,A289)&gt;1),"duplicate migration_customer_key; ","")&amp;IF(AND(NOT(OR(B289="to_candidate",AW289="proposed_name")),F289=""),"missing branch_id; ","")&amp;IF(AND(NOT(OR(B289="to_candidate",AW289="proposed_name")),H289=""),"missing first_name; ","")&amp;IF(AND(NOT(OR(B289="to_candidate",AW289="proposed_name")),J289=""),"missing last_name; ","")&amp;IF(AND(NOT(OR(B289="to_candidate",AW289="proposed_name")),U289=""),"missing final_geo_unit_id; ","")&amp;IF(AW289="","missing final_destination; ","")&amp;IF(AND(NOT(OR(B289="to_candidate",AW289="proposed_name")),(COUNTIFS('أرقام التواصل'!$A$6:$A$505,"client",'أرقام التواصل'!$B$6:$B$505,A289,'أرقام التواصل'!$I$6:$I$505,"TRUE")+COUNTIFS('أرقام التواصل'!$A$6:$A$505,"client",'أرقام التواصل'!$B$6:$B$505,A289,'أرقام التواصل'!$C$6:$C$505,1))=0),"missing primary contact in أرقام التواصل; ","")&amp;IF(OR(B289="to_candidate",AW289="proposed_name"),IF(AX289="","missing proposed_move_reason; ","")&amp;IF(AY289="","missing proposed_name_key; ",""),"")))))</x:f>
      </x:c>
    </x:row>
    <x:row r="290">
      <x:c r="A290" s="219"/>
      <x:c r="B290" s="220"/>
      <x:c r="C290" s="221"/>
      <x:c r="D290" s="220"/>
      <x:c r="E290" s="222"/>
      <x:c r="F290" s="220"/>
      <x:c r="G290" s="220"/>
      <x:c r="H290" s="220"/>
      <x:c r="I290" s="220"/>
      <x:c r="J290" s="220"/>
      <x:c r="K290" s="220"/>
      <x:c r="L290" s="220" t="str">
        <x:f>IF(TRIM(H290&amp;" "&amp;I290&amp;" "&amp;J290&amp;IF(K290&lt;&gt;""," ("&amp;K290&amp;")",""))="","",TRIM(H290&amp;" "&amp;I290&amp;" "&amp;J290&amp;IF(K290&lt;&gt;""," ("&amp;K290&amp;")","")))</x:f>
      </x:c>
      <x:c r="M290" s="220"/>
      <x:c r="N290" s="220"/>
      <x:c r="O290" s="220"/>
      <x:c r="P290" s="220"/>
      <x:c r="Q290" s="220"/>
      <x:c r="R290" s="220"/>
      <x:c r="S290" s="220"/>
      <x:c r="T290" s="220"/>
      <x:c r="U290" s="220" t="str">
        <x:f>IF(AND(M290="",O290="",Q290="",S290=""),"",IF(S290&lt;&gt;"",S290,IF(Q290&lt;&gt;"",Q290,IF(O290&lt;&gt;"",O290,M290))))</x:f>
      </x:c>
      <x:c r="V290" s="220" t="str">
        <x:f>IF(AND(N290="",P290="",R290="",T290=""),"",IF(T290&lt;&gt;"",T290,IF(R290&lt;&gt;"",R290,IF(P290&lt;&gt;"",P290,N290))))</x:f>
      </x:c>
      <x:c r="W290" s="221"/>
      <x:c r="X290" s="220"/>
      <x:c r="Y290" s="220"/>
      <x:c r="Z290" s="223"/>
      <x:c r="AA290" s="223"/>
      <x:c r="AB290" s="221"/>
      <x:c r="AC290" s="220"/>
      <x:c r="AD290" s="220"/>
      <x:c r="AE290" s="222"/>
      <x:c r="AF290" s="220"/>
      <x:c r="AG290" s="221"/>
      <x:c r="AH290" s="220"/>
      <x:c r="AI290" s="220"/>
      <x:c r="AJ290" s="222"/>
      <x:c r="AK290" s="220"/>
      <x:c r="AL290" s="220"/>
      <x:c r="AM290" s="220"/>
      <x:c r="AN290" s="220"/>
      <x:c r="AO290" s="220"/>
      <x:c r="AP290" s="220"/>
      <x:c r="AQ290" s="220"/>
      <x:c r="AR290" s="222"/>
      <x:c r="AS290" s="220"/>
      <x:c r="AT290" s="220"/>
      <x:c r="AU290" s="220"/>
      <x:c r="AV290" s="220"/>
      <x:c r="AW290" s="220"/>
      <x:c r="AX290" s="220"/>
      <x:c r="AY290" s="221"/>
      <x:c r="AZ290" s="220"/>
      <x:c r="BA290" s="220" t="str">
        <x:f>IF(AND(A290="",B290="",F290="",H290="",J290="",AW290="",AY290=""),"",IF(OR(B290="skip",AW290="skip"),"SKIP",IF(OR(B290="to_candidate",AW290="proposed_name"),IF(OR(A290="",AX290="",AY290="",COUNTIF($A$6:$A$505,A290)&gt;1),"REVIEW","TO_PROPOSED"),IF(OR(B290="",A290="",F290="",H290="",J290="",U290="",AW290="",COUNTIF($A$6:$A$505,A290)&gt;1,(COUNTIFS('أرقام التواصل'!$A$6:$A$505,"client",'أرقام التواصل'!$B$6:$B$505,A290,'أرقام التواصل'!$I$6:$I$505,"TRUE")+COUNTIFS('أرقام التواصل'!$A$6:$A$505,"client",'أرقام التواصل'!$B$6:$B$505,A290,'أرقام التواصل'!$C$6:$C$505,1))=0),"REVIEW","READY"))))</x:f>
      </x:c>
      <x:c r="BB290" s="224" t="str">
        <x:f>IF(BA290="","",IF(OR(BA290="READY",BA290="TO_PROPOSED"),"",IF(BA290="SKIP","Skipped by decision",TRIM(IF(B290="","missing import_action; ","")&amp;IF(A290="","missing migration_customer_key; ","")&amp;IF(AND(A290&lt;&gt;"",COUNTIF($A$6:$A$505,A290)&gt;1),"duplicate migration_customer_key; ","")&amp;IF(AND(NOT(OR(B290="to_candidate",AW290="proposed_name")),F290=""),"missing branch_id; ","")&amp;IF(AND(NOT(OR(B290="to_candidate",AW290="proposed_name")),H290=""),"missing first_name; ","")&amp;IF(AND(NOT(OR(B290="to_candidate",AW290="proposed_name")),J290=""),"missing last_name; ","")&amp;IF(AND(NOT(OR(B290="to_candidate",AW290="proposed_name")),U290=""),"missing final_geo_unit_id; ","")&amp;IF(AW290="","missing final_destination; ","")&amp;IF(AND(NOT(OR(B290="to_candidate",AW290="proposed_name")),(COUNTIFS('أرقام التواصل'!$A$6:$A$505,"client",'أرقام التواصل'!$B$6:$B$505,A290,'أرقام التواصل'!$I$6:$I$505,"TRUE")+COUNTIFS('أرقام التواصل'!$A$6:$A$505,"client",'أرقام التواصل'!$B$6:$B$505,A290,'أرقام التواصل'!$C$6:$C$505,1))=0),"missing primary contact in أرقام التواصل; ","")&amp;IF(OR(B290="to_candidate",AW290="proposed_name"),IF(AX290="","missing proposed_move_reason; ","")&amp;IF(AY290="","missing proposed_name_key; ",""),"")))))</x:f>
      </x:c>
    </x:row>
    <x:row r="291">
      <x:c r="A291" s="219"/>
      <x:c r="B291" s="220"/>
      <x:c r="C291" s="221"/>
      <x:c r="D291" s="220"/>
      <x:c r="E291" s="222"/>
      <x:c r="F291" s="220"/>
      <x:c r="G291" s="220"/>
      <x:c r="H291" s="220"/>
      <x:c r="I291" s="220"/>
      <x:c r="J291" s="220"/>
      <x:c r="K291" s="220"/>
      <x:c r="L291" s="220" t="str">
        <x:f>IF(TRIM(H291&amp;" "&amp;I291&amp;" "&amp;J291&amp;IF(K291&lt;&gt;""," ("&amp;K291&amp;")",""))="","",TRIM(H291&amp;" "&amp;I291&amp;" "&amp;J291&amp;IF(K291&lt;&gt;""," ("&amp;K291&amp;")","")))</x:f>
      </x:c>
      <x:c r="M291" s="220"/>
      <x:c r="N291" s="220"/>
      <x:c r="O291" s="220"/>
      <x:c r="P291" s="220"/>
      <x:c r="Q291" s="220"/>
      <x:c r="R291" s="220"/>
      <x:c r="S291" s="220"/>
      <x:c r="T291" s="220"/>
      <x:c r="U291" s="220" t="str">
        <x:f>IF(AND(M291="",O291="",Q291="",S291=""),"",IF(S291&lt;&gt;"",S291,IF(Q291&lt;&gt;"",Q291,IF(O291&lt;&gt;"",O291,M291))))</x:f>
      </x:c>
      <x:c r="V291" s="220" t="str">
        <x:f>IF(AND(N291="",P291="",R291="",T291=""),"",IF(T291&lt;&gt;"",T291,IF(R291&lt;&gt;"",R291,IF(P291&lt;&gt;"",P291,N291))))</x:f>
      </x:c>
      <x:c r="W291" s="221"/>
      <x:c r="X291" s="220"/>
      <x:c r="Y291" s="220"/>
      <x:c r="Z291" s="223"/>
      <x:c r="AA291" s="223"/>
      <x:c r="AB291" s="221"/>
      <x:c r="AC291" s="220"/>
      <x:c r="AD291" s="220"/>
      <x:c r="AE291" s="222"/>
      <x:c r="AF291" s="220"/>
      <x:c r="AG291" s="221"/>
      <x:c r="AH291" s="220"/>
      <x:c r="AI291" s="220"/>
      <x:c r="AJ291" s="222"/>
      <x:c r="AK291" s="220"/>
      <x:c r="AL291" s="220"/>
      <x:c r="AM291" s="220"/>
      <x:c r="AN291" s="220"/>
      <x:c r="AO291" s="220"/>
      <x:c r="AP291" s="220"/>
      <x:c r="AQ291" s="220"/>
      <x:c r="AR291" s="222"/>
      <x:c r="AS291" s="220"/>
      <x:c r="AT291" s="220"/>
      <x:c r="AU291" s="220"/>
      <x:c r="AV291" s="220"/>
      <x:c r="AW291" s="220"/>
      <x:c r="AX291" s="220"/>
      <x:c r="AY291" s="221"/>
      <x:c r="AZ291" s="220"/>
      <x:c r="BA291" s="220" t="str">
        <x:f>IF(AND(A291="",B291="",F291="",H291="",J291="",AW291="",AY291=""),"",IF(OR(B291="skip",AW291="skip"),"SKIP",IF(OR(B291="to_candidate",AW291="proposed_name"),IF(OR(A291="",AX291="",AY291="",COUNTIF($A$6:$A$505,A291)&gt;1),"REVIEW","TO_PROPOSED"),IF(OR(B291="",A291="",F291="",H291="",J291="",U291="",AW291="",COUNTIF($A$6:$A$505,A291)&gt;1,(COUNTIFS('أرقام التواصل'!$A$6:$A$505,"client",'أرقام التواصل'!$B$6:$B$505,A291,'أرقام التواصل'!$I$6:$I$505,"TRUE")+COUNTIFS('أرقام التواصل'!$A$6:$A$505,"client",'أرقام التواصل'!$B$6:$B$505,A291,'أرقام التواصل'!$C$6:$C$505,1))=0),"REVIEW","READY"))))</x:f>
      </x:c>
      <x:c r="BB291" s="224" t="str">
        <x:f>IF(BA291="","",IF(OR(BA291="READY",BA291="TO_PROPOSED"),"",IF(BA291="SKIP","Skipped by decision",TRIM(IF(B291="","missing import_action; ","")&amp;IF(A291="","missing migration_customer_key; ","")&amp;IF(AND(A291&lt;&gt;"",COUNTIF($A$6:$A$505,A291)&gt;1),"duplicate migration_customer_key; ","")&amp;IF(AND(NOT(OR(B291="to_candidate",AW291="proposed_name")),F291=""),"missing branch_id; ","")&amp;IF(AND(NOT(OR(B291="to_candidate",AW291="proposed_name")),H291=""),"missing first_name; ","")&amp;IF(AND(NOT(OR(B291="to_candidate",AW291="proposed_name")),J291=""),"missing last_name; ","")&amp;IF(AND(NOT(OR(B291="to_candidate",AW291="proposed_name")),U291=""),"missing final_geo_unit_id; ","")&amp;IF(AW291="","missing final_destination; ","")&amp;IF(AND(NOT(OR(B291="to_candidate",AW291="proposed_name")),(COUNTIFS('أرقام التواصل'!$A$6:$A$505,"client",'أرقام التواصل'!$B$6:$B$505,A291,'أرقام التواصل'!$I$6:$I$505,"TRUE")+COUNTIFS('أرقام التواصل'!$A$6:$A$505,"client",'أرقام التواصل'!$B$6:$B$505,A291,'أرقام التواصل'!$C$6:$C$505,1))=0),"missing primary contact in أرقام التواصل; ","")&amp;IF(OR(B291="to_candidate",AW291="proposed_name"),IF(AX291="","missing proposed_move_reason; ","")&amp;IF(AY291="","missing proposed_name_key; ",""),"")))))</x:f>
      </x:c>
    </x:row>
    <x:row r="292">
      <x:c r="A292" s="219"/>
      <x:c r="B292" s="220"/>
      <x:c r="C292" s="221"/>
      <x:c r="D292" s="220"/>
      <x:c r="E292" s="222"/>
      <x:c r="F292" s="220"/>
      <x:c r="G292" s="220"/>
      <x:c r="H292" s="220"/>
      <x:c r="I292" s="220"/>
      <x:c r="J292" s="220"/>
      <x:c r="K292" s="220"/>
      <x:c r="L292" s="220" t="str">
        <x:f>IF(TRIM(H292&amp;" "&amp;I292&amp;" "&amp;J292&amp;IF(K292&lt;&gt;""," ("&amp;K292&amp;")",""))="","",TRIM(H292&amp;" "&amp;I292&amp;" "&amp;J292&amp;IF(K292&lt;&gt;""," ("&amp;K292&amp;")","")))</x:f>
      </x:c>
      <x:c r="M292" s="220"/>
      <x:c r="N292" s="220"/>
      <x:c r="O292" s="220"/>
      <x:c r="P292" s="220"/>
      <x:c r="Q292" s="220"/>
      <x:c r="R292" s="220"/>
      <x:c r="S292" s="220"/>
      <x:c r="T292" s="220"/>
      <x:c r="U292" s="220" t="str">
        <x:f>IF(AND(M292="",O292="",Q292="",S292=""),"",IF(S292&lt;&gt;"",S292,IF(Q292&lt;&gt;"",Q292,IF(O292&lt;&gt;"",O292,M292))))</x:f>
      </x:c>
      <x:c r="V292" s="220" t="str">
        <x:f>IF(AND(N292="",P292="",R292="",T292=""),"",IF(T292&lt;&gt;"",T292,IF(R292&lt;&gt;"",R292,IF(P292&lt;&gt;"",P292,N292))))</x:f>
      </x:c>
      <x:c r="W292" s="221"/>
      <x:c r="X292" s="220"/>
      <x:c r="Y292" s="220"/>
      <x:c r="Z292" s="223"/>
      <x:c r="AA292" s="223"/>
      <x:c r="AB292" s="221"/>
      <x:c r="AC292" s="220"/>
      <x:c r="AD292" s="220"/>
      <x:c r="AE292" s="222"/>
      <x:c r="AF292" s="220"/>
      <x:c r="AG292" s="221"/>
      <x:c r="AH292" s="220"/>
      <x:c r="AI292" s="220"/>
      <x:c r="AJ292" s="222"/>
      <x:c r="AK292" s="220"/>
      <x:c r="AL292" s="220"/>
      <x:c r="AM292" s="220"/>
      <x:c r="AN292" s="220"/>
      <x:c r="AO292" s="220"/>
      <x:c r="AP292" s="220"/>
      <x:c r="AQ292" s="220"/>
      <x:c r="AR292" s="222"/>
      <x:c r="AS292" s="220"/>
      <x:c r="AT292" s="220"/>
      <x:c r="AU292" s="220"/>
      <x:c r="AV292" s="220"/>
      <x:c r="AW292" s="220"/>
      <x:c r="AX292" s="220"/>
      <x:c r="AY292" s="221"/>
      <x:c r="AZ292" s="220"/>
      <x:c r="BA292" s="220" t="str">
        <x:f>IF(AND(A292="",B292="",F292="",H292="",J292="",AW292="",AY292=""),"",IF(OR(B292="skip",AW292="skip"),"SKIP",IF(OR(B292="to_candidate",AW292="proposed_name"),IF(OR(A292="",AX292="",AY292="",COUNTIF($A$6:$A$505,A292)&gt;1),"REVIEW","TO_PROPOSED"),IF(OR(B292="",A292="",F292="",H292="",J292="",U292="",AW292="",COUNTIF($A$6:$A$505,A292)&gt;1,(COUNTIFS('أرقام التواصل'!$A$6:$A$505,"client",'أرقام التواصل'!$B$6:$B$505,A292,'أرقام التواصل'!$I$6:$I$505,"TRUE")+COUNTIFS('أرقام التواصل'!$A$6:$A$505,"client",'أرقام التواصل'!$B$6:$B$505,A292,'أرقام التواصل'!$C$6:$C$505,1))=0),"REVIEW","READY"))))</x:f>
      </x:c>
      <x:c r="BB292" s="224" t="str">
        <x:f>IF(BA292="","",IF(OR(BA292="READY",BA292="TO_PROPOSED"),"",IF(BA292="SKIP","Skipped by decision",TRIM(IF(B292="","missing import_action; ","")&amp;IF(A292="","missing migration_customer_key; ","")&amp;IF(AND(A292&lt;&gt;"",COUNTIF($A$6:$A$505,A292)&gt;1),"duplicate migration_customer_key; ","")&amp;IF(AND(NOT(OR(B292="to_candidate",AW292="proposed_name")),F292=""),"missing branch_id; ","")&amp;IF(AND(NOT(OR(B292="to_candidate",AW292="proposed_name")),H292=""),"missing first_name; ","")&amp;IF(AND(NOT(OR(B292="to_candidate",AW292="proposed_name")),J292=""),"missing last_name; ","")&amp;IF(AND(NOT(OR(B292="to_candidate",AW292="proposed_name")),U292=""),"missing final_geo_unit_id; ","")&amp;IF(AW292="","missing final_destination; ","")&amp;IF(AND(NOT(OR(B292="to_candidate",AW292="proposed_name")),(COUNTIFS('أرقام التواصل'!$A$6:$A$505,"client",'أرقام التواصل'!$B$6:$B$505,A292,'أرقام التواصل'!$I$6:$I$505,"TRUE")+COUNTIFS('أرقام التواصل'!$A$6:$A$505,"client",'أرقام التواصل'!$B$6:$B$505,A292,'أرقام التواصل'!$C$6:$C$505,1))=0),"missing primary contact in أرقام التواصل; ","")&amp;IF(OR(B292="to_candidate",AW292="proposed_name"),IF(AX292="","missing proposed_move_reason; ","")&amp;IF(AY292="","missing proposed_name_key; ",""),"")))))</x:f>
      </x:c>
    </x:row>
    <x:row r="293">
      <x:c r="A293" s="219"/>
      <x:c r="B293" s="220"/>
      <x:c r="C293" s="221"/>
      <x:c r="D293" s="220"/>
      <x:c r="E293" s="222"/>
      <x:c r="F293" s="220"/>
      <x:c r="G293" s="220"/>
      <x:c r="H293" s="220"/>
      <x:c r="I293" s="220"/>
      <x:c r="J293" s="220"/>
      <x:c r="K293" s="220"/>
      <x:c r="L293" s="220" t="str">
        <x:f>IF(TRIM(H293&amp;" "&amp;I293&amp;" "&amp;J293&amp;IF(K293&lt;&gt;""," ("&amp;K293&amp;")",""))="","",TRIM(H293&amp;" "&amp;I293&amp;" "&amp;J293&amp;IF(K293&lt;&gt;""," ("&amp;K293&amp;")","")))</x:f>
      </x:c>
      <x:c r="M293" s="220"/>
      <x:c r="N293" s="220"/>
      <x:c r="O293" s="220"/>
      <x:c r="P293" s="220"/>
      <x:c r="Q293" s="220"/>
      <x:c r="R293" s="220"/>
      <x:c r="S293" s="220"/>
      <x:c r="T293" s="220"/>
      <x:c r="U293" s="220" t="str">
        <x:f>IF(AND(M293="",O293="",Q293="",S293=""),"",IF(S293&lt;&gt;"",S293,IF(Q293&lt;&gt;"",Q293,IF(O293&lt;&gt;"",O293,M293))))</x:f>
      </x:c>
      <x:c r="V293" s="220" t="str">
        <x:f>IF(AND(N293="",P293="",R293="",T293=""),"",IF(T293&lt;&gt;"",T293,IF(R293&lt;&gt;"",R293,IF(P293&lt;&gt;"",P293,N293))))</x:f>
      </x:c>
      <x:c r="W293" s="221"/>
      <x:c r="X293" s="220"/>
      <x:c r="Y293" s="220"/>
      <x:c r="Z293" s="223"/>
      <x:c r="AA293" s="223"/>
      <x:c r="AB293" s="221"/>
      <x:c r="AC293" s="220"/>
      <x:c r="AD293" s="220"/>
      <x:c r="AE293" s="222"/>
      <x:c r="AF293" s="220"/>
      <x:c r="AG293" s="221"/>
      <x:c r="AH293" s="220"/>
      <x:c r="AI293" s="220"/>
      <x:c r="AJ293" s="222"/>
      <x:c r="AK293" s="220"/>
      <x:c r="AL293" s="220"/>
      <x:c r="AM293" s="220"/>
      <x:c r="AN293" s="220"/>
      <x:c r="AO293" s="220"/>
      <x:c r="AP293" s="220"/>
      <x:c r="AQ293" s="220"/>
      <x:c r="AR293" s="222"/>
      <x:c r="AS293" s="220"/>
      <x:c r="AT293" s="220"/>
      <x:c r="AU293" s="220"/>
      <x:c r="AV293" s="220"/>
      <x:c r="AW293" s="220"/>
      <x:c r="AX293" s="220"/>
      <x:c r="AY293" s="221"/>
      <x:c r="AZ293" s="220"/>
      <x:c r="BA293" s="220" t="str">
        <x:f>IF(AND(A293="",B293="",F293="",H293="",J293="",AW293="",AY293=""),"",IF(OR(B293="skip",AW293="skip"),"SKIP",IF(OR(B293="to_candidate",AW293="proposed_name"),IF(OR(A293="",AX293="",AY293="",COUNTIF($A$6:$A$505,A293)&gt;1),"REVIEW","TO_PROPOSED"),IF(OR(B293="",A293="",F293="",H293="",J293="",U293="",AW293="",COUNTIF($A$6:$A$505,A293)&gt;1,(COUNTIFS('أرقام التواصل'!$A$6:$A$505,"client",'أرقام التواصل'!$B$6:$B$505,A293,'أرقام التواصل'!$I$6:$I$505,"TRUE")+COUNTIFS('أرقام التواصل'!$A$6:$A$505,"client",'أرقام التواصل'!$B$6:$B$505,A293,'أرقام التواصل'!$C$6:$C$505,1))=0),"REVIEW","READY"))))</x:f>
      </x:c>
      <x:c r="BB293" s="224" t="str">
        <x:f>IF(BA293="","",IF(OR(BA293="READY",BA293="TO_PROPOSED"),"",IF(BA293="SKIP","Skipped by decision",TRIM(IF(B293="","missing import_action; ","")&amp;IF(A293="","missing migration_customer_key; ","")&amp;IF(AND(A293&lt;&gt;"",COUNTIF($A$6:$A$505,A293)&gt;1),"duplicate migration_customer_key; ","")&amp;IF(AND(NOT(OR(B293="to_candidate",AW293="proposed_name")),F293=""),"missing branch_id; ","")&amp;IF(AND(NOT(OR(B293="to_candidate",AW293="proposed_name")),H293=""),"missing first_name; ","")&amp;IF(AND(NOT(OR(B293="to_candidate",AW293="proposed_name")),J293=""),"missing last_name; ","")&amp;IF(AND(NOT(OR(B293="to_candidate",AW293="proposed_name")),U293=""),"missing final_geo_unit_id; ","")&amp;IF(AW293="","missing final_destination; ","")&amp;IF(AND(NOT(OR(B293="to_candidate",AW293="proposed_name")),(COUNTIFS('أرقام التواصل'!$A$6:$A$505,"client",'أرقام التواصل'!$B$6:$B$505,A293,'أرقام التواصل'!$I$6:$I$505,"TRUE")+COUNTIFS('أرقام التواصل'!$A$6:$A$505,"client",'أرقام التواصل'!$B$6:$B$505,A293,'أرقام التواصل'!$C$6:$C$505,1))=0),"missing primary contact in أرقام التواصل; ","")&amp;IF(OR(B293="to_candidate",AW293="proposed_name"),IF(AX293="","missing proposed_move_reason; ","")&amp;IF(AY293="","missing proposed_name_key; ",""),"")))))</x:f>
      </x:c>
    </x:row>
    <x:row r="294">
      <x:c r="A294" s="219"/>
      <x:c r="B294" s="220"/>
      <x:c r="C294" s="221"/>
      <x:c r="D294" s="220"/>
      <x:c r="E294" s="222"/>
      <x:c r="F294" s="220"/>
      <x:c r="G294" s="220"/>
      <x:c r="H294" s="220"/>
      <x:c r="I294" s="220"/>
      <x:c r="J294" s="220"/>
      <x:c r="K294" s="220"/>
      <x:c r="L294" s="220" t="str">
        <x:f>IF(TRIM(H294&amp;" "&amp;I294&amp;" "&amp;J294&amp;IF(K294&lt;&gt;""," ("&amp;K294&amp;")",""))="","",TRIM(H294&amp;" "&amp;I294&amp;" "&amp;J294&amp;IF(K294&lt;&gt;""," ("&amp;K294&amp;")","")))</x:f>
      </x:c>
      <x:c r="M294" s="220"/>
      <x:c r="N294" s="220"/>
      <x:c r="O294" s="220"/>
      <x:c r="P294" s="220"/>
      <x:c r="Q294" s="220"/>
      <x:c r="R294" s="220"/>
      <x:c r="S294" s="220"/>
      <x:c r="T294" s="220"/>
      <x:c r="U294" s="220" t="str">
        <x:f>IF(AND(M294="",O294="",Q294="",S294=""),"",IF(S294&lt;&gt;"",S294,IF(Q294&lt;&gt;"",Q294,IF(O294&lt;&gt;"",O294,M294))))</x:f>
      </x:c>
      <x:c r="V294" s="220" t="str">
        <x:f>IF(AND(N294="",P294="",R294="",T294=""),"",IF(T294&lt;&gt;"",T294,IF(R294&lt;&gt;"",R294,IF(P294&lt;&gt;"",P294,N294))))</x:f>
      </x:c>
      <x:c r="W294" s="221"/>
      <x:c r="X294" s="220"/>
      <x:c r="Y294" s="220"/>
      <x:c r="Z294" s="223"/>
      <x:c r="AA294" s="223"/>
      <x:c r="AB294" s="221"/>
      <x:c r="AC294" s="220"/>
      <x:c r="AD294" s="220"/>
      <x:c r="AE294" s="222"/>
      <x:c r="AF294" s="220"/>
      <x:c r="AG294" s="221"/>
      <x:c r="AH294" s="220"/>
      <x:c r="AI294" s="220"/>
      <x:c r="AJ294" s="222"/>
      <x:c r="AK294" s="220"/>
      <x:c r="AL294" s="220"/>
      <x:c r="AM294" s="220"/>
      <x:c r="AN294" s="220"/>
      <x:c r="AO294" s="220"/>
      <x:c r="AP294" s="220"/>
      <x:c r="AQ294" s="220"/>
      <x:c r="AR294" s="222"/>
      <x:c r="AS294" s="220"/>
      <x:c r="AT294" s="220"/>
      <x:c r="AU294" s="220"/>
      <x:c r="AV294" s="220"/>
      <x:c r="AW294" s="220"/>
      <x:c r="AX294" s="220"/>
      <x:c r="AY294" s="221"/>
      <x:c r="AZ294" s="220"/>
      <x:c r="BA294" s="220" t="str">
        <x:f>IF(AND(A294="",B294="",F294="",H294="",J294="",AW294="",AY294=""),"",IF(OR(B294="skip",AW294="skip"),"SKIP",IF(OR(B294="to_candidate",AW294="proposed_name"),IF(OR(A294="",AX294="",AY294="",COUNTIF($A$6:$A$505,A294)&gt;1),"REVIEW","TO_PROPOSED"),IF(OR(B294="",A294="",F294="",H294="",J294="",U294="",AW294="",COUNTIF($A$6:$A$505,A294)&gt;1,(COUNTIFS('أرقام التواصل'!$A$6:$A$505,"client",'أرقام التواصل'!$B$6:$B$505,A294,'أرقام التواصل'!$I$6:$I$505,"TRUE")+COUNTIFS('أرقام التواصل'!$A$6:$A$505,"client",'أرقام التواصل'!$B$6:$B$505,A294,'أرقام التواصل'!$C$6:$C$505,1))=0),"REVIEW","READY"))))</x:f>
      </x:c>
      <x:c r="BB294" s="224" t="str">
        <x:f>IF(BA294="","",IF(OR(BA294="READY",BA294="TO_PROPOSED"),"",IF(BA294="SKIP","Skipped by decision",TRIM(IF(B294="","missing import_action; ","")&amp;IF(A294="","missing migration_customer_key; ","")&amp;IF(AND(A294&lt;&gt;"",COUNTIF($A$6:$A$505,A294)&gt;1),"duplicate migration_customer_key; ","")&amp;IF(AND(NOT(OR(B294="to_candidate",AW294="proposed_name")),F294=""),"missing branch_id; ","")&amp;IF(AND(NOT(OR(B294="to_candidate",AW294="proposed_name")),H294=""),"missing first_name; ","")&amp;IF(AND(NOT(OR(B294="to_candidate",AW294="proposed_name")),J294=""),"missing last_name; ","")&amp;IF(AND(NOT(OR(B294="to_candidate",AW294="proposed_name")),U294=""),"missing final_geo_unit_id; ","")&amp;IF(AW294="","missing final_destination; ","")&amp;IF(AND(NOT(OR(B294="to_candidate",AW294="proposed_name")),(COUNTIFS('أرقام التواصل'!$A$6:$A$505,"client",'أرقام التواصل'!$B$6:$B$505,A294,'أرقام التواصل'!$I$6:$I$505,"TRUE")+COUNTIFS('أرقام التواصل'!$A$6:$A$505,"client",'أرقام التواصل'!$B$6:$B$505,A294,'أرقام التواصل'!$C$6:$C$505,1))=0),"missing primary contact in أرقام التواصل; ","")&amp;IF(OR(B294="to_candidate",AW294="proposed_name"),IF(AX294="","missing proposed_move_reason; ","")&amp;IF(AY294="","missing proposed_name_key; ",""),"")))))</x:f>
      </x:c>
    </x:row>
    <x:row r="295">
      <x:c r="A295" s="219"/>
      <x:c r="B295" s="220"/>
      <x:c r="C295" s="221"/>
      <x:c r="D295" s="220"/>
      <x:c r="E295" s="222"/>
      <x:c r="F295" s="220"/>
      <x:c r="G295" s="220"/>
      <x:c r="H295" s="220"/>
      <x:c r="I295" s="220"/>
      <x:c r="J295" s="220"/>
      <x:c r="K295" s="220"/>
      <x:c r="L295" s="220" t="str">
        <x:f>IF(TRIM(H295&amp;" "&amp;I295&amp;" "&amp;J295&amp;IF(K295&lt;&gt;""," ("&amp;K295&amp;")",""))="","",TRIM(H295&amp;" "&amp;I295&amp;" "&amp;J295&amp;IF(K295&lt;&gt;""," ("&amp;K295&amp;")","")))</x:f>
      </x:c>
      <x:c r="M295" s="220"/>
      <x:c r="N295" s="220"/>
      <x:c r="O295" s="220"/>
      <x:c r="P295" s="220"/>
      <x:c r="Q295" s="220"/>
      <x:c r="R295" s="220"/>
      <x:c r="S295" s="220"/>
      <x:c r="T295" s="220"/>
      <x:c r="U295" s="220" t="str">
        <x:f>IF(AND(M295="",O295="",Q295="",S295=""),"",IF(S295&lt;&gt;"",S295,IF(Q295&lt;&gt;"",Q295,IF(O295&lt;&gt;"",O295,M295))))</x:f>
      </x:c>
      <x:c r="V295" s="220" t="str">
        <x:f>IF(AND(N295="",P295="",R295="",T295=""),"",IF(T295&lt;&gt;"",T295,IF(R295&lt;&gt;"",R295,IF(P295&lt;&gt;"",P295,N295))))</x:f>
      </x:c>
      <x:c r="W295" s="221"/>
      <x:c r="X295" s="220"/>
      <x:c r="Y295" s="220"/>
      <x:c r="Z295" s="223"/>
      <x:c r="AA295" s="223"/>
      <x:c r="AB295" s="221"/>
      <x:c r="AC295" s="220"/>
      <x:c r="AD295" s="220"/>
      <x:c r="AE295" s="222"/>
      <x:c r="AF295" s="220"/>
      <x:c r="AG295" s="221"/>
      <x:c r="AH295" s="220"/>
      <x:c r="AI295" s="220"/>
      <x:c r="AJ295" s="222"/>
      <x:c r="AK295" s="220"/>
      <x:c r="AL295" s="220"/>
      <x:c r="AM295" s="220"/>
      <x:c r="AN295" s="220"/>
      <x:c r="AO295" s="220"/>
      <x:c r="AP295" s="220"/>
      <x:c r="AQ295" s="220"/>
      <x:c r="AR295" s="222"/>
      <x:c r="AS295" s="220"/>
      <x:c r="AT295" s="220"/>
      <x:c r="AU295" s="220"/>
      <x:c r="AV295" s="220"/>
      <x:c r="AW295" s="220"/>
      <x:c r="AX295" s="220"/>
      <x:c r="AY295" s="221"/>
      <x:c r="AZ295" s="220"/>
      <x:c r="BA295" s="220" t="str">
        <x:f>IF(AND(A295="",B295="",F295="",H295="",J295="",AW295="",AY295=""),"",IF(OR(B295="skip",AW295="skip"),"SKIP",IF(OR(B295="to_candidate",AW295="proposed_name"),IF(OR(A295="",AX295="",AY295="",COUNTIF($A$6:$A$505,A295)&gt;1),"REVIEW","TO_PROPOSED"),IF(OR(B295="",A295="",F295="",H295="",J295="",U295="",AW295="",COUNTIF($A$6:$A$505,A295)&gt;1,(COUNTIFS('أرقام التواصل'!$A$6:$A$505,"client",'أرقام التواصل'!$B$6:$B$505,A295,'أرقام التواصل'!$I$6:$I$505,"TRUE")+COUNTIFS('أرقام التواصل'!$A$6:$A$505,"client",'أرقام التواصل'!$B$6:$B$505,A295,'أرقام التواصل'!$C$6:$C$505,1))=0),"REVIEW","READY"))))</x:f>
      </x:c>
      <x:c r="BB295" s="224" t="str">
        <x:f>IF(BA295="","",IF(OR(BA295="READY",BA295="TO_PROPOSED"),"",IF(BA295="SKIP","Skipped by decision",TRIM(IF(B295="","missing import_action; ","")&amp;IF(A295="","missing migration_customer_key; ","")&amp;IF(AND(A295&lt;&gt;"",COUNTIF($A$6:$A$505,A295)&gt;1),"duplicate migration_customer_key; ","")&amp;IF(AND(NOT(OR(B295="to_candidate",AW295="proposed_name")),F295=""),"missing branch_id; ","")&amp;IF(AND(NOT(OR(B295="to_candidate",AW295="proposed_name")),H295=""),"missing first_name; ","")&amp;IF(AND(NOT(OR(B295="to_candidate",AW295="proposed_name")),J295=""),"missing last_name; ","")&amp;IF(AND(NOT(OR(B295="to_candidate",AW295="proposed_name")),U295=""),"missing final_geo_unit_id; ","")&amp;IF(AW295="","missing final_destination; ","")&amp;IF(AND(NOT(OR(B295="to_candidate",AW295="proposed_name")),(COUNTIFS('أرقام التواصل'!$A$6:$A$505,"client",'أرقام التواصل'!$B$6:$B$505,A295,'أرقام التواصل'!$I$6:$I$505,"TRUE")+COUNTIFS('أرقام التواصل'!$A$6:$A$505,"client",'أرقام التواصل'!$B$6:$B$505,A295,'أرقام التواصل'!$C$6:$C$505,1))=0),"missing primary contact in أرقام التواصل; ","")&amp;IF(OR(B295="to_candidate",AW295="proposed_name"),IF(AX295="","missing proposed_move_reason; ","")&amp;IF(AY295="","missing proposed_name_key; ",""),"")))))</x:f>
      </x:c>
    </x:row>
    <x:row r="296">
      <x:c r="A296" s="219"/>
      <x:c r="B296" s="220"/>
      <x:c r="C296" s="221"/>
      <x:c r="D296" s="220"/>
      <x:c r="E296" s="222"/>
      <x:c r="F296" s="220"/>
      <x:c r="G296" s="220"/>
      <x:c r="H296" s="220"/>
      <x:c r="I296" s="220"/>
      <x:c r="J296" s="220"/>
      <x:c r="K296" s="220"/>
      <x:c r="L296" s="220" t="str">
        <x:f>IF(TRIM(H296&amp;" "&amp;I296&amp;" "&amp;J296&amp;IF(K296&lt;&gt;""," ("&amp;K296&amp;")",""))="","",TRIM(H296&amp;" "&amp;I296&amp;" "&amp;J296&amp;IF(K296&lt;&gt;""," ("&amp;K296&amp;")","")))</x:f>
      </x:c>
      <x:c r="M296" s="220"/>
      <x:c r="N296" s="220"/>
      <x:c r="O296" s="220"/>
      <x:c r="P296" s="220"/>
      <x:c r="Q296" s="220"/>
      <x:c r="R296" s="220"/>
      <x:c r="S296" s="220"/>
      <x:c r="T296" s="220"/>
      <x:c r="U296" s="220" t="str">
        <x:f>IF(AND(M296="",O296="",Q296="",S296=""),"",IF(S296&lt;&gt;"",S296,IF(Q296&lt;&gt;"",Q296,IF(O296&lt;&gt;"",O296,M296))))</x:f>
      </x:c>
      <x:c r="V296" s="220" t="str">
        <x:f>IF(AND(N296="",P296="",R296="",T296=""),"",IF(T296&lt;&gt;"",T296,IF(R296&lt;&gt;"",R296,IF(P296&lt;&gt;"",P296,N296))))</x:f>
      </x:c>
      <x:c r="W296" s="221"/>
      <x:c r="X296" s="220"/>
      <x:c r="Y296" s="220"/>
      <x:c r="Z296" s="223"/>
      <x:c r="AA296" s="223"/>
      <x:c r="AB296" s="221"/>
      <x:c r="AC296" s="220"/>
      <x:c r="AD296" s="220"/>
      <x:c r="AE296" s="222"/>
      <x:c r="AF296" s="220"/>
      <x:c r="AG296" s="221"/>
      <x:c r="AH296" s="220"/>
      <x:c r="AI296" s="220"/>
      <x:c r="AJ296" s="222"/>
      <x:c r="AK296" s="220"/>
      <x:c r="AL296" s="220"/>
      <x:c r="AM296" s="220"/>
      <x:c r="AN296" s="220"/>
      <x:c r="AO296" s="220"/>
      <x:c r="AP296" s="220"/>
      <x:c r="AQ296" s="220"/>
      <x:c r="AR296" s="222"/>
      <x:c r="AS296" s="220"/>
      <x:c r="AT296" s="220"/>
      <x:c r="AU296" s="220"/>
      <x:c r="AV296" s="220"/>
      <x:c r="AW296" s="220"/>
      <x:c r="AX296" s="220"/>
      <x:c r="AY296" s="221"/>
      <x:c r="AZ296" s="220"/>
      <x:c r="BA296" s="220" t="str">
        <x:f>IF(AND(A296="",B296="",F296="",H296="",J296="",AW296="",AY296=""),"",IF(OR(B296="skip",AW296="skip"),"SKIP",IF(OR(B296="to_candidate",AW296="proposed_name"),IF(OR(A296="",AX296="",AY296="",COUNTIF($A$6:$A$505,A296)&gt;1),"REVIEW","TO_PROPOSED"),IF(OR(B296="",A296="",F296="",H296="",J296="",U296="",AW296="",COUNTIF($A$6:$A$505,A296)&gt;1,(COUNTIFS('أرقام التواصل'!$A$6:$A$505,"client",'أرقام التواصل'!$B$6:$B$505,A296,'أرقام التواصل'!$I$6:$I$505,"TRUE")+COUNTIFS('أرقام التواصل'!$A$6:$A$505,"client",'أرقام التواصل'!$B$6:$B$505,A296,'أرقام التواصل'!$C$6:$C$505,1))=0),"REVIEW","READY"))))</x:f>
      </x:c>
      <x:c r="BB296" s="224" t="str">
        <x:f>IF(BA296="","",IF(OR(BA296="READY",BA296="TO_PROPOSED"),"",IF(BA296="SKIP","Skipped by decision",TRIM(IF(B296="","missing import_action; ","")&amp;IF(A296="","missing migration_customer_key; ","")&amp;IF(AND(A296&lt;&gt;"",COUNTIF($A$6:$A$505,A296)&gt;1),"duplicate migration_customer_key; ","")&amp;IF(AND(NOT(OR(B296="to_candidate",AW296="proposed_name")),F296=""),"missing branch_id; ","")&amp;IF(AND(NOT(OR(B296="to_candidate",AW296="proposed_name")),H296=""),"missing first_name; ","")&amp;IF(AND(NOT(OR(B296="to_candidate",AW296="proposed_name")),J296=""),"missing last_name; ","")&amp;IF(AND(NOT(OR(B296="to_candidate",AW296="proposed_name")),U296=""),"missing final_geo_unit_id; ","")&amp;IF(AW296="","missing final_destination; ","")&amp;IF(AND(NOT(OR(B296="to_candidate",AW296="proposed_name")),(COUNTIFS('أرقام التواصل'!$A$6:$A$505,"client",'أرقام التواصل'!$B$6:$B$505,A296,'أرقام التواصل'!$I$6:$I$505,"TRUE")+COUNTIFS('أرقام التواصل'!$A$6:$A$505,"client",'أرقام التواصل'!$B$6:$B$505,A296,'أرقام التواصل'!$C$6:$C$505,1))=0),"missing primary contact in أرقام التواصل; ","")&amp;IF(OR(B296="to_candidate",AW296="proposed_name"),IF(AX296="","missing proposed_move_reason; ","")&amp;IF(AY296="","missing proposed_name_key; ",""),"")))))</x:f>
      </x:c>
    </x:row>
    <x:row r="297">
      <x:c r="A297" s="219"/>
      <x:c r="B297" s="220"/>
      <x:c r="C297" s="221"/>
      <x:c r="D297" s="220"/>
      <x:c r="E297" s="222"/>
      <x:c r="F297" s="220"/>
      <x:c r="G297" s="220"/>
      <x:c r="H297" s="220"/>
      <x:c r="I297" s="220"/>
      <x:c r="J297" s="220"/>
      <x:c r="K297" s="220"/>
      <x:c r="L297" s="220" t="str">
        <x:f>IF(TRIM(H297&amp;" "&amp;I297&amp;" "&amp;J297&amp;IF(K297&lt;&gt;""," ("&amp;K297&amp;")",""))="","",TRIM(H297&amp;" "&amp;I297&amp;" "&amp;J297&amp;IF(K297&lt;&gt;""," ("&amp;K297&amp;")","")))</x:f>
      </x:c>
      <x:c r="M297" s="220"/>
      <x:c r="N297" s="220"/>
      <x:c r="O297" s="220"/>
      <x:c r="P297" s="220"/>
      <x:c r="Q297" s="220"/>
      <x:c r="R297" s="220"/>
      <x:c r="S297" s="220"/>
      <x:c r="T297" s="220"/>
      <x:c r="U297" s="220" t="str">
        <x:f>IF(AND(M297="",O297="",Q297="",S297=""),"",IF(S297&lt;&gt;"",S297,IF(Q297&lt;&gt;"",Q297,IF(O297&lt;&gt;"",O297,M297))))</x:f>
      </x:c>
      <x:c r="V297" s="220" t="str">
        <x:f>IF(AND(N297="",P297="",R297="",T297=""),"",IF(T297&lt;&gt;"",T297,IF(R297&lt;&gt;"",R297,IF(P297&lt;&gt;"",P297,N297))))</x:f>
      </x:c>
      <x:c r="W297" s="221"/>
      <x:c r="X297" s="220"/>
      <x:c r="Y297" s="220"/>
      <x:c r="Z297" s="223"/>
      <x:c r="AA297" s="223"/>
      <x:c r="AB297" s="221"/>
      <x:c r="AC297" s="220"/>
      <x:c r="AD297" s="220"/>
      <x:c r="AE297" s="222"/>
      <x:c r="AF297" s="220"/>
      <x:c r="AG297" s="221"/>
      <x:c r="AH297" s="220"/>
      <x:c r="AI297" s="220"/>
      <x:c r="AJ297" s="222"/>
      <x:c r="AK297" s="220"/>
      <x:c r="AL297" s="220"/>
      <x:c r="AM297" s="220"/>
      <x:c r="AN297" s="220"/>
      <x:c r="AO297" s="220"/>
      <x:c r="AP297" s="220"/>
      <x:c r="AQ297" s="220"/>
      <x:c r="AR297" s="222"/>
      <x:c r="AS297" s="220"/>
      <x:c r="AT297" s="220"/>
      <x:c r="AU297" s="220"/>
      <x:c r="AV297" s="220"/>
      <x:c r="AW297" s="220"/>
      <x:c r="AX297" s="220"/>
      <x:c r="AY297" s="221"/>
      <x:c r="AZ297" s="220"/>
      <x:c r="BA297" s="220" t="str">
        <x:f>IF(AND(A297="",B297="",F297="",H297="",J297="",AW297="",AY297=""),"",IF(OR(B297="skip",AW297="skip"),"SKIP",IF(OR(B297="to_candidate",AW297="proposed_name"),IF(OR(A297="",AX297="",AY297="",COUNTIF($A$6:$A$505,A297)&gt;1),"REVIEW","TO_PROPOSED"),IF(OR(B297="",A297="",F297="",H297="",J297="",U297="",AW297="",COUNTIF($A$6:$A$505,A297)&gt;1,(COUNTIFS('أرقام التواصل'!$A$6:$A$505,"client",'أرقام التواصل'!$B$6:$B$505,A297,'أرقام التواصل'!$I$6:$I$505,"TRUE")+COUNTIFS('أرقام التواصل'!$A$6:$A$505,"client",'أرقام التواصل'!$B$6:$B$505,A297,'أرقام التواصل'!$C$6:$C$505,1))=0),"REVIEW","READY"))))</x:f>
      </x:c>
      <x:c r="BB297" s="224" t="str">
        <x:f>IF(BA297="","",IF(OR(BA297="READY",BA297="TO_PROPOSED"),"",IF(BA297="SKIP","Skipped by decision",TRIM(IF(B297="","missing import_action; ","")&amp;IF(A297="","missing migration_customer_key; ","")&amp;IF(AND(A297&lt;&gt;"",COUNTIF($A$6:$A$505,A297)&gt;1),"duplicate migration_customer_key; ","")&amp;IF(AND(NOT(OR(B297="to_candidate",AW297="proposed_name")),F297=""),"missing branch_id; ","")&amp;IF(AND(NOT(OR(B297="to_candidate",AW297="proposed_name")),H297=""),"missing first_name; ","")&amp;IF(AND(NOT(OR(B297="to_candidate",AW297="proposed_name")),J297=""),"missing last_name; ","")&amp;IF(AND(NOT(OR(B297="to_candidate",AW297="proposed_name")),U297=""),"missing final_geo_unit_id; ","")&amp;IF(AW297="","missing final_destination; ","")&amp;IF(AND(NOT(OR(B297="to_candidate",AW297="proposed_name")),(COUNTIFS('أرقام التواصل'!$A$6:$A$505,"client",'أرقام التواصل'!$B$6:$B$505,A297,'أرقام التواصل'!$I$6:$I$505,"TRUE")+COUNTIFS('أرقام التواصل'!$A$6:$A$505,"client",'أرقام التواصل'!$B$6:$B$505,A297,'أرقام التواصل'!$C$6:$C$505,1))=0),"missing primary contact in أرقام التواصل; ","")&amp;IF(OR(B297="to_candidate",AW297="proposed_name"),IF(AX297="","missing proposed_move_reason; ","")&amp;IF(AY297="","missing proposed_name_key; ",""),"")))))</x:f>
      </x:c>
    </x:row>
    <x:row r="298">
      <x:c r="A298" s="219"/>
      <x:c r="B298" s="220"/>
      <x:c r="C298" s="221"/>
      <x:c r="D298" s="220"/>
      <x:c r="E298" s="222"/>
      <x:c r="F298" s="220"/>
      <x:c r="G298" s="220"/>
      <x:c r="H298" s="220"/>
      <x:c r="I298" s="220"/>
      <x:c r="J298" s="220"/>
      <x:c r="K298" s="220"/>
      <x:c r="L298" s="220" t="str">
        <x:f>IF(TRIM(H298&amp;" "&amp;I298&amp;" "&amp;J298&amp;IF(K298&lt;&gt;""," ("&amp;K298&amp;")",""))="","",TRIM(H298&amp;" "&amp;I298&amp;" "&amp;J298&amp;IF(K298&lt;&gt;""," ("&amp;K298&amp;")","")))</x:f>
      </x:c>
      <x:c r="M298" s="220"/>
      <x:c r="N298" s="220"/>
      <x:c r="O298" s="220"/>
      <x:c r="P298" s="220"/>
      <x:c r="Q298" s="220"/>
      <x:c r="R298" s="220"/>
      <x:c r="S298" s="220"/>
      <x:c r="T298" s="220"/>
      <x:c r="U298" s="220" t="str">
        <x:f>IF(AND(M298="",O298="",Q298="",S298=""),"",IF(S298&lt;&gt;"",S298,IF(Q298&lt;&gt;"",Q298,IF(O298&lt;&gt;"",O298,M298))))</x:f>
      </x:c>
      <x:c r="V298" s="220" t="str">
        <x:f>IF(AND(N298="",P298="",R298="",T298=""),"",IF(T298&lt;&gt;"",T298,IF(R298&lt;&gt;"",R298,IF(P298&lt;&gt;"",P298,N298))))</x:f>
      </x:c>
      <x:c r="W298" s="221"/>
      <x:c r="X298" s="220"/>
      <x:c r="Y298" s="220"/>
      <x:c r="Z298" s="223"/>
      <x:c r="AA298" s="223"/>
      <x:c r="AB298" s="221"/>
      <x:c r="AC298" s="220"/>
      <x:c r="AD298" s="220"/>
      <x:c r="AE298" s="222"/>
      <x:c r="AF298" s="220"/>
      <x:c r="AG298" s="221"/>
      <x:c r="AH298" s="220"/>
      <x:c r="AI298" s="220"/>
      <x:c r="AJ298" s="222"/>
      <x:c r="AK298" s="220"/>
      <x:c r="AL298" s="220"/>
      <x:c r="AM298" s="220"/>
      <x:c r="AN298" s="220"/>
      <x:c r="AO298" s="220"/>
      <x:c r="AP298" s="220"/>
      <x:c r="AQ298" s="220"/>
      <x:c r="AR298" s="222"/>
      <x:c r="AS298" s="220"/>
      <x:c r="AT298" s="220"/>
      <x:c r="AU298" s="220"/>
      <x:c r="AV298" s="220"/>
      <x:c r="AW298" s="220"/>
      <x:c r="AX298" s="220"/>
      <x:c r="AY298" s="221"/>
      <x:c r="AZ298" s="220"/>
      <x:c r="BA298" s="220" t="str">
        <x:f>IF(AND(A298="",B298="",F298="",H298="",J298="",AW298="",AY298=""),"",IF(OR(B298="skip",AW298="skip"),"SKIP",IF(OR(B298="to_candidate",AW298="proposed_name"),IF(OR(A298="",AX298="",AY298="",COUNTIF($A$6:$A$505,A298)&gt;1),"REVIEW","TO_PROPOSED"),IF(OR(B298="",A298="",F298="",H298="",J298="",U298="",AW298="",COUNTIF($A$6:$A$505,A298)&gt;1,(COUNTIFS('أرقام التواصل'!$A$6:$A$505,"client",'أرقام التواصل'!$B$6:$B$505,A298,'أرقام التواصل'!$I$6:$I$505,"TRUE")+COUNTIFS('أرقام التواصل'!$A$6:$A$505,"client",'أرقام التواصل'!$B$6:$B$505,A298,'أرقام التواصل'!$C$6:$C$505,1))=0),"REVIEW","READY"))))</x:f>
      </x:c>
      <x:c r="BB298" s="224" t="str">
        <x:f>IF(BA298="","",IF(OR(BA298="READY",BA298="TO_PROPOSED"),"",IF(BA298="SKIP","Skipped by decision",TRIM(IF(B298="","missing import_action; ","")&amp;IF(A298="","missing migration_customer_key; ","")&amp;IF(AND(A298&lt;&gt;"",COUNTIF($A$6:$A$505,A298)&gt;1),"duplicate migration_customer_key; ","")&amp;IF(AND(NOT(OR(B298="to_candidate",AW298="proposed_name")),F298=""),"missing branch_id; ","")&amp;IF(AND(NOT(OR(B298="to_candidate",AW298="proposed_name")),H298=""),"missing first_name; ","")&amp;IF(AND(NOT(OR(B298="to_candidate",AW298="proposed_name")),J298=""),"missing last_name; ","")&amp;IF(AND(NOT(OR(B298="to_candidate",AW298="proposed_name")),U298=""),"missing final_geo_unit_id; ","")&amp;IF(AW298="","missing final_destination; ","")&amp;IF(AND(NOT(OR(B298="to_candidate",AW298="proposed_name")),(COUNTIFS('أرقام التواصل'!$A$6:$A$505,"client",'أرقام التواصل'!$B$6:$B$505,A298,'أرقام التواصل'!$I$6:$I$505,"TRUE")+COUNTIFS('أرقام التواصل'!$A$6:$A$505,"client",'أرقام التواصل'!$B$6:$B$505,A298,'أرقام التواصل'!$C$6:$C$505,1))=0),"missing primary contact in أرقام التواصل; ","")&amp;IF(OR(B298="to_candidate",AW298="proposed_name"),IF(AX298="","missing proposed_move_reason; ","")&amp;IF(AY298="","missing proposed_name_key; ",""),"")))))</x:f>
      </x:c>
    </x:row>
    <x:row r="299">
      <x:c r="A299" s="219"/>
      <x:c r="B299" s="220"/>
      <x:c r="C299" s="221"/>
      <x:c r="D299" s="220"/>
      <x:c r="E299" s="222"/>
      <x:c r="F299" s="220"/>
      <x:c r="G299" s="220"/>
      <x:c r="H299" s="220"/>
      <x:c r="I299" s="220"/>
      <x:c r="J299" s="220"/>
      <x:c r="K299" s="220"/>
      <x:c r="L299" s="220" t="str">
        <x:f>IF(TRIM(H299&amp;" "&amp;I299&amp;" "&amp;J299&amp;IF(K299&lt;&gt;""," ("&amp;K299&amp;")",""))="","",TRIM(H299&amp;" "&amp;I299&amp;" "&amp;J299&amp;IF(K299&lt;&gt;""," ("&amp;K299&amp;")","")))</x:f>
      </x:c>
      <x:c r="M299" s="220"/>
      <x:c r="N299" s="220"/>
      <x:c r="O299" s="220"/>
      <x:c r="P299" s="220"/>
      <x:c r="Q299" s="220"/>
      <x:c r="R299" s="220"/>
      <x:c r="S299" s="220"/>
      <x:c r="T299" s="220"/>
      <x:c r="U299" s="220" t="str">
        <x:f>IF(AND(M299="",O299="",Q299="",S299=""),"",IF(S299&lt;&gt;"",S299,IF(Q299&lt;&gt;"",Q299,IF(O299&lt;&gt;"",O299,M299))))</x:f>
      </x:c>
      <x:c r="V299" s="220" t="str">
        <x:f>IF(AND(N299="",P299="",R299="",T299=""),"",IF(T299&lt;&gt;"",T299,IF(R299&lt;&gt;"",R299,IF(P299&lt;&gt;"",P299,N299))))</x:f>
      </x:c>
      <x:c r="W299" s="221"/>
      <x:c r="X299" s="220"/>
      <x:c r="Y299" s="220"/>
      <x:c r="Z299" s="223"/>
      <x:c r="AA299" s="223"/>
      <x:c r="AB299" s="221"/>
      <x:c r="AC299" s="220"/>
      <x:c r="AD299" s="220"/>
      <x:c r="AE299" s="222"/>
      <x:c r="AF299" s="220"/>
      <x:c r="AG299" s="221"/>
      <x:c r="AH299" s="220"/>
      <x:c r="AI299" s="220"/>
      <x:c r="AJ299" s="222"/>
      <x:c r="AK299" s="220"/>
      <x:c r="AL299" s="220"/>
      <x:c r="AM299" s="220"/>
      <x:c r="AN299" s="220"/>
      <x:c r="AO299" s="220"/>
      <x:c r="AP299" s="220"/>
      <x:c r="AQ299" s="220"/>
      <x:c r="AR299" s="222"/>
      <x:c r="AS299" s="220"/>
      <x:c r="AT299" s="220"/>
      <x:c r="AU299" s="220"/>
      <x:c r="AV299" s="220"/>
      <x:c r="AW299" s="220"/>
      <x:c r="AX299" s="220"/>
      <x:c r="AY299" s="221"/>
      <x:c r="AZ299" s="220"/>
      <x:c r="BA299" s="220" t="str">
        <x:f>IF(AND(A299="",B299="",F299="",H299="",J299="",AW299="",AY299=""),"",IF(OR(B299="skip",AW299="skip"),"SKIP",IF(OR(B299="to_candidate",AW299="proposed_name"),IF(OR(A299="",AX299="",AY299="",COUNTIF($A$6:$A$505,A299)&gt;1),"REVIEW","TO_PROPOSED"),IF(OR(B299="",A299="",F299="",H299="",J299="",U299="",AW299="",COUNTIF($A$6:$A$505,A299)&gt;1,(COUNTIFS('أرقام التواصل'!$A$6:$A$505,"client",'أرقام التواصل'!$B$6:$B$505,A299,'أرقام التواصل'!$I$6:$I$505,"TRUE")+COUNTIFS('أرقام التواصل'!$A$6:$A$505,"client",'أرقام التواصل'!$B$6:$B$505,A299,'أرقام التواصل'!$C$6:$C$505,1))=0),"REVIEW","READY"))))</x:f>
      </x:c>
      <x:c r="BB299" s="224" t="str">
        <x:f>IF(BA299="","",IF(OR(BA299="READY",BA299="TO_PROPOSED"),"",IF(BA299="SKIP","Skipped by decision",TRIM(IF(B299="","missing import_action; ","")&amp;IF(A299="","missing migration_customer_key; ","")&amp;IF(AND(A299&lt;&gt;"",COUNTIF($A$6:$A$505,A299)&gt;1),"duplicate migration_customer_key; ","")&amp;IF(AND(NOT(OR(B299="to_candidate",AW299="proposed_name")),F299=""),"missing branch_id; ","")&amp;IF(AND(NOT(OR(B299="to_candidate",AW299="proposed_name")),H299=""),"missing first_name; ","")&amp;IF(AND(NOT(OR(B299="to_candidate",AW299="proposed_name")),J299=""),"missing last_name; ","")&amp;IF(AND(NOT(OR(B299="to_candidate",AW299="proposed_name")),U299=""),"missing final_geo_unit_id; ","")&amp;IF(AW299="","missing final_destination; ","")&amp;IF(AND(NOT(OR(B299="to_candidate",AW299="proposed_name")),(COUNTIFS('أرقام التواصل'!$A$6:$A$505,"client",'أرقام التواصل'!$B$6:$B$505,A299,'أرقام التواصل'!$I$6:$I$505,"TRUE")+COUNTIFS('أرقام التواصل'!$A$6:$A$505,"client",'أرقام التواصل'!$B$6:$B$505,A299,'أرقام التواصل'!$C$6:$C$505,1))=0),"missing primary contact in أرقام التواصل; ","")&amp;IF(OR(B299="to_candidate",AW299="proposed_name"),IF(AX299="","missing proposed_move_reason; ","")&amp;IF(AY299="","missing proposed_name_key; ",""),"")))))</x:f>
      </x:c>
    </x:row>
    <x:row r="300">
      <x:c r="A300" s="219"/>
      <x:c r="B300" s="220"/>
      <x:c r="C300" s="221"/>
      <x:c r="D300" s="220"/>
      <x:c r="E300" s="222"/>
      <x:c r="F300" s="220"/>
      <x:c r="G300" s="220"/>
      <x:c r="H300" s="220"/>
      <x:c r="I300" s="220"/>
      <x:c r="J300" s="220"/>
      <x:c r="K300" s="220"/>
      <x:c r="L300" s="220" t="str">
        <x:f>IF(TRIM(H300&amp;" "&amp;I300&amp;" "&amp;J300&amp;IF(K300&lt;&gt;""," ("&amp;K300&amp;")",""))="","",TRIM(H300&amp;" "&amp;I300&amp;" "&amp;J300&amp;IF(K300&lt;&gt;""," ("&amp;K300&amp;")","")))</x:f>
      </x:c>
      <x:c r="M300" s="220"/>
      <x:c r="N300" s="220"/>
      <x:c r="O300" s="220"/>
      <x:c r="P300" s="220"/>
      <x:c r="Q300" s="220"/>
      <x:c r="R300" s="220"/>
      <x:c r="S300" s="220"/>
      <x:c r="T300" s="220"/>
      <x:c r="U300" s="220" t="str">
        <x:f>IF(AND(M300="",O300="",Q300="",S300=""),"",IF(S300&lt;&gt;"",S300,IF(Q300&lt;&gt;"",Q300,IF(O300&lt;&gt;"",O300,M300))))</x:f>
      </x:c>
      <x:c r="V300" s="220" t="str">
        <x:f>IF(AND(N300="",P300="",R300="",T300=""),"",IF(T300&lt;&gt;"",T300,IF(R300&lt;&gt;"",R300,IF(P300&lt;&gt;"",P300,N300))))</x:f>
      </x:c>
      <x:c r="W300" s="221"/>
      <x:c r="X300" s="220"/>
      <x:c r="Y300" s="220"/>
      <x:c r="Z300" s="223"/>
      <x:c r="AA300" s="223"/>
      <x:c r="AB300" s="221"/>
      <x:c r="AC300" s="220"/>
      <x:c r="AD300" s="220"/>
      <x:c r="AE300" s="222"/>
      <x:c r="AF300" s="220"/>
      <x:c r="AG300" s="221"/>
      <x:c r="AH300" s="220"/>
      <x:c r="AI300" s="220"/>
      <x:c r="AJ300" s="222"/>
      <x:c r="AK300" s="220"/>
      <x:c r="AL300" s="220"/>
      <x:c r="AM300" s="220"/>
      <x:c r="AN300" s="220"/>
      <x:c r="AO300" s="220"/>
      <x:c r="AP300" s="220"/>
      <x:c r="AQ300" s="220"/>
      <x:c r="AR300" s="222"/>
      <x:c r="AS300" s="220"/>
      <x:c r="AT300" s="220"/>
      <x:c r="AU300" s="220"/>
      <x:c r="AV300" s="220"/>
      <x:c r="AW300" s="220"/>
      <x:c r="AX300" s="220"/>
      <x:c r="AY300" s="221"/>
      <x:c r="AZ300" s="220"/>
      <x:c r="BA300" s="220" t="str">
        <x:f>IF(AND(A300="",B300="",F300="",H300="",J300="",AW300="",AY300=""),"",IF(OR(B300="skip",AW300="skip"),"SKIP",IF(OR(B300="to_candidate",AW300="proposed_name"),IF(OR(A300="",AX300="",AY300="",COUNTIF($A$6:$A$505,A300)&gt;1),"REVIEW","TO_PROPOSED"),IF(OR(B300="",A300="",F300="",H300="",J300="",U300="",AW300="",COUNTIF($A$6:$A$505,A300)&gt;1,(COUNTIFS('أرقام التواصل'!$A$6:$A$505,"client",'أرقام التواصل'!$B$6:$B$505,A300,'أرقام التواصل'!$I$6:$I$505,"TRUE")+COUNTIFS('أرقام التواصل'!$A$6:$A$505,"client",'أرقام التواصل'!$B$6:$B$505,A300,'أرقام التواصل'!$C$6:$C$505,1))=0),"REVIEW","READY"))))</x:f>
      </x:c>
      <x:c r="BB300" s="224" t="str">
        <x:f>IF(BA300="","",IF(OR(BA300="READY",BA300="TO_PROPOSED"),"",IF(BA300="SKIP","Skipped by decision",TRIM(IF(B300="","missing import_action; ","")&amp;IF(A300="","missing migration_customer_key; ","")&amp;IF(AND(A300&lt;&gt;"",COUNTIF($A$6:$A$505,A300)&gt;1),"duplicate migration_customer_key; ","")&amp;IF(AND(NOT(OR(B300="to_candidate",AW300="proposed_name")),F300=""),"missing branch_id; ","")&amp;IF(AND(NOT(OR(B300="to_candidate",AW300="proposed_name")),H300=""),"missing first_name; ","")&amp;IF(AND(NOT(OR(B300="to_candidate",AW300="proposed_name")),J300=""),"missing last_name; ","")&amp;IF(AND(NOT(OR(B300="to_candidate",AW300="proposed_name")),U300=""),"missing final_geo_unit_id; ","")&amp;IF(AW300="","missing final_destination; ","")&amp;IF(AND(NOT(OR(B300="to_candidate",AW300="proposed_name")),(COUNTIFS('أرقام التواصل'!$A$6:$A$505,"client",'أرقام التواصل'!$B$6:$B$505,A300,'أرقام التواصل'!$I$6:$I$505,"TRUE")+COUNTIFS('أرقام التواصل'!$A$6:$A$505,"client",'أرقام التواصل'!$B$6:$B$505,A300,'أرقام التواصل'!$C$6:$C$505,1))=0),"missing primary contact in أرقام التواصل; ","")&amp;IF(OR(B300="to_candidate",AW300="proposed_name"),IF(AX300="","missing proposed_move_reason; ","")&amp;IF(AY300="","missing proposed_name_key; ",""),"")))))</x:f>
      </x:c>
    </x:row>
    <x:row r="301">
      <x:c r="A301" s="219"/>
      <x:c r="B301" s="220"/>
      <x:c r="C301" s="221"/>
      <x:c r="D301" s="220"/>
      <x:c r="E301" s="222"/>
      <x:c r="F301" s="220"/>
      <x:c r="G301" s="220"/>
      <x:c r="H301" s="220"/>
      <x:c r="I301" s="220"/>
      <x:c r="J301" s="220"/>
      <x:c r="K301" s="220"/>
      <x:c r="L301" s="220" t="str">
        <x:f>IF(TRIM(H301&amp;" "&amp;I301&amp;" "&amp;J301&amp;IF(K301&lt;&gt;""," ("&amp;K301&amp;")",""))="","",TRIM(H301&amp;" "&amp;I301&amp;" "&amp;J301&amp;IF(K301&lt;&gt;""," ("&amp;K301&amp;")","")))</x:f>
      </x:c>
      <x:c r="M301" s="220"/>
      <x:c r="N301" s="220"/>
      <x:c r="O301" s="220"/>
      <x:c r="P301" s="220"/>
      <x:c r="Q301" s="220"/>
      <x:c r="R301" s="220"/>
      <x:c r="S301" s="220"/>
      <x:c r="T301" s="220"/>
      <x:c r="U301" s="220" t="str">
        <x:f>IF(AND(M301="",O301="",Q301="",S301=""),"",IF(S301&lt;&gt;"",S301,IF(Q301&lt;&gt;"",Q301,IF(O301&lt;&gt;"",O301,M301))))</x:f>
      </x:c>
      <x:c r="V301" s="220" t="str">
        <x:f>IF(AND(N301="",P301="",R301="",T301=""),"",IF(T301&lt;&gt;"",T301,IF(R301&lt;&gt;"",R301,IF(P301&lt;&gt;"",P301,N301))))</x:f>
      </x:c>
      <x:c r="W301" s="221"/>
      <x:c r="X301" s="220"/>
      <x:c r="Y301" s="220"/>
      <x:c r="Z301" s="223"/>
      <x:c r="AA301" s="223"/>
      <x:c r="AB301" s="221"/>
      <x:c r="AC301" s="220"/>
      <x:c r="AD301" s="220"/>
      <x:c r="AE301" s="222"/>
      <x:c r="AF301" s="220"/>
      <x:c r="AG301" s="221"/>
      <x:c r="AH301" s="220"/>
      <x:c r="AI301" s="220"/>
      <x:c r="AJ301" s="222"/>
      <x:c r="AK301" s="220"/>
      <x:c r="AL301" s="220"/>
      <x:c r="AM301" s="220"/>
      <x:c r="AN301" s="220"/>
      <x:c r="AO301" s="220"/>
      <x:c r="AP301" s="220"/>
      <x:c r="AQ301" s="220"/>
      <x:c r="AR301" s="222"/>
      <x:c r="AS301" s="220"/>
      <x:c r="AT301" s="220"/>
      <x:c r="AU301" s="220"/>
      <x:c r="AV301" s="220"/>
      <x:c r="AW301" s="220"/>
      <x:c r="AX301" s="220"/>
      <x:c r="AY301" s="221"/>
      <x:c r="AZ301" s="220"/>
      <x:c r="BA301" s="220" t="str">
        <x:f>IF(AND(A301="",B301="",F301="",H301="",J301="",AW301="",AY301=""),"",IF(OR(B301="skip",AW301="skip"),"SKIP",IF(OR(B301="to_candidate",AW301="proposed_name"),IF(OR(A301="",AX301="",AY301="",COUNTIF($A$6:$A$505,A301)&gt;1),"REVIEW","TO_PROPOSED"),IF(OR(B301="",A301="",F301="",H301="",J301="",U301="",AW301="",COUNTIF($A$6:$A$505,A301)&gt;1,(COUNTIFS('أرقام التواصل'!$A$6:$A$505,"client",'أرقام التواصل'!$B$6:$B$505,A301,'أرقام التواصل'!$I$6:$I$505,"TRUE")+COUNTIFS('أرقام التواصل'!$A$6:$A$505,"client",'أرقام التواصل'!$B$6:$B$505,A301,'أرقام التواصل'!$C$6:$C$505,1))=0),"REVIEW","READY"))))</x:f>
      </x:c>
      <x:c r="BB301" s="224" t="str">
        <x:f>IF(BA301="","",IF(OR(BA301="READY",BA301="TO_PROPOSED"),"",IF(BA301="SKIP","Skipped by decision",TRIM(IF(B301="","missing import_action; ","")&amp;IF(A301="","missing migration_customer_key; ","")&amp;IF(AND(A301&lt;&gt;"",COUNTIF($A$6:$A$505,A301)&gt;1),"duplicate migration_customer_key; ","")&amp;IF(AND(NOT(OR(B301="to_candidate",AW301="proposed_name")),F301=""),"missing branch_id; ","")&amp;IF(AND(NOT(OR(B301="to_candidate",AW301="proposed_name")),H301=""),"missing first_name; ","")&amp;IF(AND(NOT(OR(B301="to_candidate",AW301="proposed_name")),J301=""),"missing last_name; ","")&amp;IF(AND(NOT(OR(B301="to_candidate",AW301="proposed_name")),U301=""),"missing final_geo_unit_id; ","")&amp;IF(AW301="","missing final_destination; ","")&amp;IF(AND(NOT(OR(B301="to_candidate",AW301="proposed_name")),(COUNTIFS('أرقام التواصل'!$A$6:$A$505,"client",'أرقام التواصل'!$B$6:$B$505,A301,'أرقام التواصل'!$I$6:$I$505,"TRUE")+COUNTIFS('أرقام التواصل'!$A$6:$A$505,"client",'أرقام التواصل'!$B$6:$B$505,A301,'أرقام التواصل'!$C$6:$C$505,1))=0),"missing primary contact in أرقام التواصل; ","")&amp;IF(OR(B301="to_candidate",AW301="proposed_name"),IF(AX301="","missing proposed_move_reason; ","")&amp;IF(AY301="","missing proposed_name_key; ",""),"")))))</x:f>
      </x:c>
    </x:row>
    <x:row r="302">
      <x:c r="A302" s="219"/>
      <x:c r="B302" s="220"/>
      <x:c r="C302" s="221"/>
      <x:c r="D302" s="220"/>
      <x:c r="E302" s="222"/>
      <x:c r="F302" s="220"/>
      <x:c r="G302" s="220"/>
      <x:c r="H302" s="220"/>
      <x:c r="I302" s="220"/>
      <x:c r="J302" s="220"/>
      <x:c r="K302" s="220"/>
      <x:c r="L302" s="220" t="str">
        <x:f>IF(TRIM(H302&amp;" "&amp;I302&amp;" "&amp;J302&amp;IF(K302&lt;&gt;""," ("&amp;K302&amp;")",""))="","",TRIM(H302&amp;" "&amp;I302&amp;" "&amp;J302&amp;IF(K302&lt;&gt;""," ("&amp;K302&amp;")","")))</x:f>
      </x:c>
      <x:c r="M302" s="220"/>
      <x:c r="N302" s="220"/>
      <x:c r="O302" s="220"/>
      <x:c r="P302" s="220"/>
      <x:c r="Q302" s="220"/>
      <x:c r="R302" s="220"/>
      <x:c r="S302" s="220"/>
      <x:c r="T302" s="220"/>
      <x:c r="U302" s="220" t="str">
        <x:f>IF(AND(M302="",O302="",Q302="",S302=""),"",IF(S302&lt;&gt;"",S302,IF(Q302&lt;&gt;"",Q302,IF(O302&lt;&gt;"",O302,M302))))</x:f>
      </x:c>
      <x:c r="V302" s="220" t="str">
        <x:f>IF(AND(N302="",P302="",R302="",T302=""),"",IF(T302&lt;&gt;"",T302,IF(R302&lt;&gt;"",R302,IF(P302&lt;&gt;"",P302,N302))))</x:f>
      </x:c>
      <x:c r="W302" s="221"/>
      <x:c r="X302" s="220"/>
      <x:c r="Y302" s="220"/>
      <x:c r="Z302" s="223"/>
      <x:c r="AA302" s="223"/>
      <x:c r="AB302" s="221"/>
      <x:c r="AC302" s="220"/>
      <x:c r="AD302" s="220"/>
      <x:c r="AE302" s="222"/>
      <x:c r="AF302" s="220"/>
      <x:c r="AG302" s="221"/>
      <x:c r="AH302" s="220"/>
      <x:c r="AI302" s="220"/>
      <x:c r="AJ302" s="222"/>
      <x:c r="AK302" s="220"/>
      <x:c r="AL302" s="220"/>
      <x:c r="AM302" s="220"/>
      <x:c r="AN302" s="220"/>
      <x:c r="AO302" s="220"/>
      <x:c r="AP302" s="220"/>
      <x:c r="AQ302" s="220"/>
      <x:c r="AR302" s="222"/>
      <x:c r="AS302" s="220"/>
      <x:c r="AT302" s="220"/>
      <x:c r="AU302" s="220"/>
      <x:c r="AV302" s="220"/>
      <x:c r="AW302" s="220"/>
      <x:c r="AX302" s="220"/>
      <x:c r="AY302" s="221"/>
      <x:c r="AZ302" s="220"/>
      <x:c r="BA302" s="220" t="str">
        <x:f>IF(AND(A302="",B302="",F302="",H302="",J302="",AW302="",AY302=""),"",IF(OR(B302="skip",AW302="skip"),"SKIP",IF(OR(B302="to_candidate",AW302="proposed_name"),IF(OR(A302="",AX302="",AY302="",COUNTIF($A$6:$A$505,A302)&gt;1),"REVIEW","TO_PROPOSED"),IF(OR(B302="",A302="",F302="",H302="",J302="",U302="",AW302="",COUNTIF($A$6:$A$505,A302)&gt;1,(COUNTIFS('أرقام التواصل'!$A$6:$A$505,"client",'أرقام التواصل'!$B$6:$B$505,A302,'أرقام التواصل'!$I$6:$I$505,"TRUE")+COUNTIFS('أرقام التواصل'!$A$6:$A$505,"client",'أرقام التواصل'!$B$6:$B$505,A302,'أرقام التواصل'!$C$6:$C$505,1))=0),"REVIEW","READY"))))</x:f>
      </x:c>
      <x:c r="BB302" s="224" t="str">
        <x:f>IF(BA302="","",IF(OR(BA302="READY",BA302="TO_PROPOSED"),"",IF(BA302="SKIP","Skipped by decision",TRIM(IF(B302="","missing import_action; ","")&amp;IF(A302="","missing migration_customer_key; ","")&amp;IF(AND(A302&lt;&gt;"",COUNTIF($A$6:$A$505,A302)&gt;1),"duplicate migration_customer_key; ","")&amp;IF(AND(NOT(OR(B302="to_candidate",AW302="proposed_name")),F302=""),"missing branch_id; ","")&amp;IF(AND(NOT(OR(B302="to_candidate",AW302="proposed_name")),H302=""),"missing first_name; ","")&amp;IF(AND(NOT(OR(B302="to_candidate",AW302="proposed_name")),J302=""),"missing last_name; ","")&amp;IF(AND(NOT(OR(B302="to_candidate",AW302="proposed_name")),U302=""),"missing final_geo_unit_id; ","")&amp;IF(AW302="","missing final_destination; ","")&amp;IF(AND(NOT(OR(B302="to_candidate",AW302="proposed_name")),(COUNTIFS('أرقام التواصل'!$A$6:$A$505,"client",'أرقام التواصل'!$B$6:$B$505,A302,'أرقام التواصل'!$I$6:$I$505,"TRUE")+COUNTIFS('أرقام التواصل'!$A$6:$A$505,"client",'أرقام التواصل'!$B$6:$B$505,A302,'أرقام التواصل'!$C$6:$C$505,1))=0),"missing primary contact in أرقام التواصل; ","")&amp;IF(OR(B302="to_candidate",AW302="proposed_name"),IF(AX302="","missing proposed_move_reason; ","")&amp;IF(AY302="","missing proposed_name_key; ",""),"")))))</x:f>
      </x:c>
    </x:row>
    <x:row r="303">
      <x:c r="A303" s="219"/>
      <x:c r="B303" s="220"/>
      <x:c r="C303" s="221"/>
      <x:c r="D303" s="220"/>
      <x:c r="E303" s="222"/>
      <x:c r="F303" s="220"/>
      <x:c r="G303" s="220"/>
      <x:c r="H303" s="220"/>
      <x:c r="I303" s="220"/>
      <x:c r="J303" s="220"/>
      <x:c r="K303" s="220"/>
      <x:c r="L303" s="220" t="str">
        <x:f>IF(TRIM(H303&amp;" "&amp;I303&amp;" "&amp;J303&amp;IF(K303&lt;&gt;""," ("&amp;K303&amp;")",""))="","",TRIM(H303&amp;" "&amp;I303&amp;" "&amp;J303&amp;IF(K303&lt;&gt;""," ("&amp;K303&amp;")","")))</x:f>
      </x:c>
      <x:c r="M303" s="220"/>
      <x:c r="N303" s="220"/>
      <x:c r="O303" s="220"/>
      <x:c r="P303" s="220"/>
      <x:c r="Q303" s="220"/>
      <x:c r="R303" s="220"/>
      <x:c r="S303" s="220"/>
      <x:c r="T303" s="220"/>
      <x:c r="U303" s="220" t="str">
        <x:f>IF(AND(M303="",O303="",Q303="",S303=""),"",IF(S303&lt;&gt;"",S303,IF(Q303&lt;&gt;"",Q303,IF(O303&lt;&gt;"",O303,M303))))</x:f>
      </x:c>
      <x:c r="V303" s="220" t="str">
        <x:f>IF(AND(N303="",P303="",R303="",T303=""),"",IF(T303&lt;&gt;"",T303,IF(R303&lt;&gt;"",R303,IF(P303&lt;&gt;"",P303,N303))))</x:f>
      </x:c>
      <x:c r="W303" s="221"/>
      <x:c r="X303" s="220"/>
      <x:c r="Y303" s="220"/>
      <x:c r="Z303" s="223"/>
      <x:c r="AA303" s="223"/>
      <x:c r="AB303" s="221"/>
      <x:c r="AC303" s="220"/>
      <x:c r="AD303" s="220"/>
      <x:c r="AE303" s="222"/>
      <x:c r="AF303" s="220"/>
      <x:c r="AG303" s="221"/>
      <x:c r="AH303" s="220"/>
      <x:c r="AI303" s="220"/>
      <x:c r="AJ303" s="222"/>
      <x:c r="AK303" s="220"/>
      <x:c r="AL303" s="220"/>
      <x:c r="AM303" s="220"/>
      <x:c r="AN303" s="220"/>
      <x:c r="AO303" s="220"/>
      <x:c r="AP303" s="220"/>
      <x:c r="AQ303" s="220"/>
      <x:c r="AR303" s="222"/>
      <x:c r="AS303" s="220"/>
      <x:c r="AT303" s="220"/>
      <x:c r="AU303" s="220"/>
      <x:c r="AV303" s="220"/>
      <x:c r="AW303" s="220"/>
      <x:c r="AX303" s="220"/>
      <x:c r="AY303" s="221"/>
      <x:c r="AZ303" s="220"/>
      <x:c r="BA303" s="220" t="str">
        <x:f>IF(AND(A303="",B303="",F303="",H303="",J303="",AW303="",AY303=""),"",IF(OR(B303="skip",AW303="skip"),"SKIP",IF(OR(B303="to_candidate",AW303="proposed_name"),IF(OR(A303="",AX303="",AY303="",COUNTIF($A$6:$A$505,A303)&gt;1),"REVIEW","TO_PROPOSED"),IF(OR(B303="",A303="",F303="",H303="",J303="",U303="",AW303="",COUNTIF($A$6:$A$505,A303)&gt;1,(COUNTIFS('أرقام التواصل'!$A$6:$A$505,"client",'أرقام التواصل'!$B$6:$B$505,A303,'أرقام التواصل'!$I$6:$I$505,"TRUE")+COUNTIFS('أرقام التواصل'!$A$6:$A$505,"client",'أرقام التواصل'!$B$6:$B$505,A303,'أرقام التواصل'!$C$6:$C$505,1))=0),"REVIEW","READY"))))</x:f>
      </x:c>
      <x:c r="BB303" s="224" t="str">
        <x:f>IF(BA303="","",IF(OR(BA303="READY",BA303="TO_PROPOSED"),"",IF(BA303="SKIP","Skipped by decision",TRIM(IF(B303="","missing import_action; ","")&amp;IF(A303="","missing migration_customer_key; ","")&amp;IF(AND(A303&lt;&gt;"",COUNTIF($A$6:$A$505,A303)&gt;1),"duplicate migration_customer_key; ","")&amp;IF(AND(NOT(OR(B303="to_candidate",AW303="proposed_name")),F303=""),"missing branch_id; ","")&amp;IF(AND(NOT(OR(B303="to_candidate",AW303="proposed_name")),H303=""),"missing first_name; ","")&amp;IF(AND(NOT(OR(B303="to_candidate",AW303="proposed_name")),J303=""),"missing last_name; ","")&amp;IF(AND(NOT(OR(B303="to_candidate",AW303="proposed_name")),U303=""),"missing final_geo_unit_id; ","")&amp;IF(AW303="","missing final_destination; ","")&amp;IF(AND(NOT(OR(B303="to_candidate",AW303="proposed_name")),(COUNTIFS('أرقام التواصل'!$A$6:$A$505,"client",'أرقام التواصل'!$B$6:$B$505,A303,'أرقام التواصل'!$I$6:$I$505,"TRUE")+COUNTIFS('أرقام التواصل'!$A$6:$A$505,"client",'أرقام التواصل'!$B$6:$B$505,A303,'أرقام التواصل'!$C$6:$C$505,1))=0),"missing primary contact in أرقام التواصل; ","")&amp;IF(OR(B303="to_candidate",AW303="proposed_name"),IF(AX303="","missing proposed_move_reason; ","")&amp;IF(AY303="","missing proposed_name_key; ",""),"")))))</x:f>
      </x:c>
    </x:row>
    <x:row r="304">
      <x:c r="A304" s="219"/>
      <x:c r="B304" s="220"/>
      <x:c r="C304" s="221"/>
      <x:c r="D304" s="220"/>
      <x:c r="E304" s="222"/>
      <x:c r="F304" s="220"/>
      <x:c r="G304" s="220"/>
      <x:c r="H304" s="220"/>
      <x:c r="I304" s="220"/>
      <x:c r="J304" s="220"/>
      <x:c r="K304" s="220"/>
      <x:c r="L304" s="220" t="str">
        <x:f>IF(TRIM(H304&amp;" "&amp;I304&amp;" "&amp;J304&amp;IF(K304&lt;&gt;""," ("&amp;K304&amp;")",""))="","",TRIM(H304&amp;" "&amp;I304&amp;" "&amp;J304&amp;IF(K304&lt;&gt;""," ("&amp;K304&amp;")","")))</x:f>
      </x:c>
      <x:c r="M304" s="220"/>
      <x:c r="N304" s="220"/>
      <x:c r="O304" s="220"/>
      <x:c r="P304" s="220"/>
      <x:c r="Q304" s="220"/>
      <x:c r="R304" s="220"/>
      <x:c r="S304" s="220"/>
      <x:c r="T304" s="220"/>
      <x:c r="U304" s="220" t="str">
        <x:f>IF(AND(M304="",O304="",Q304="",S304=""),"",IF(S304&lt;&gt;"",S304,IF(Q304&lt;&gt;"",Q304,IF(O304&lt;&gt;"",O304,M304))))</x:f>
      </x:c>
      <x:c r="V304" s="220" t="str">
        <x:f>IF(AND(N304="",P304="",R304="",T304=""),"",IF(T304&lt;&gt;"",T304,IF(R304&lt;&gt;"",R304,IF(P304&lt;&gt;"",P304,N304))))</x:f>
      </x:c>
      <x:c r="W304" s="221"/>
      <x:c r="X304" s="220"/>
      <x:c r="Y304" s="220"/>
      <x:c r="Z304" s="223"/>
      <x:c r="AA304" s="223"/>
      <x:c r="AB304" s="221"/>
      <x:c r="AC304" s="220"/>
      <x:c r="AD304" s="220"/>
      <x:c r="AE304" s="222"/>
      <x:c r="AF304" s="220"/>
      <x:c r="AG304" s="221"/>
      <x:c r="AH304" s="220"/>
      <x:c r="AI304" s="220"/>
      <x:c r="AJ304" s="222"/>
      <x:c r="AK304" s="220"/>
      <x:c r="AL304" s="220"/>
      <x:c r="AM304" s="220"/>
      <x:c r="AN304" s="220"/>
      <x:c r="AO304" s="220"/>
      <x:c r="AP304" s="220"/>
      <x:c r="AQ304" s="220"/>
      <x:c r="AR304" s="222"/>
      <x:c r="AS304" s="220"/>
      <x:c r="AT304" s="220"/>
      <x:c r="AU304" s="220"/>
      <x:c r="AV304" s="220"/>
      <x:c r="AW304" s="220"/>
      <x:c r="AX304" s="220"/>
      <x:c r="AY304" s="221"/>
      <x:c r="AZ304" s="220"/>
      <x:c r="BA304" s="220" t="str">
        <x:f>IF(AND(A304="",B304="",F304="",H304="",J304="",AW304="",AY304=""),"",IF(OR(B304="skip",AW304="skip"),"SKIP",IF(OR(B304="to_candidate",AW304="proposed_name"),IF(OR(A304="",AX304="",AY304="",COUNTIF($A$6:$A$505,A304)&gt;1),"REVIEW","TO_PROPOSED"),IF(OR(B304="",A304="",F304="",H304="",J304="",U304="",AW304="",COUNTIF($A$6:$A$505,A304)&gt;1,(COUNTIFS('أرقام التواصل'!$A$6:$A$505,"client",'أرقام التواصل'!$B$6:$B$505,A304,'أرقام التواصل'!$I$6:$I$505,"TRUE")+COUNTIFS('أرقام التواصل'!$A$6:$A$505,"client",'أرقام التواصل'!$B$6:$B$505,A304,'أرقام التواصل'!$C$6:$C$505,1))=0),"REVIEW","READY"))))</x:f>
      </x:c>
      <x:c r="BB304" s="224" t="str">
        <x:f>IF(BA304="","",IF(OR(BA304="READY",BA304="TO_PROPOSED"),"",IF(BA304="SKIP","Skipped by decision",TRIM(IF(B304="","missing import_action; ","")&amp;IF(A304="","missing migration_customer_key; ","")&amp;IF(AND(A304&lt;&gt;"",COUNTIF($A$6:$A$505,A304)&gt;1),"duplicate migration_customer_key; ","")&amp;IF(AND(NOT(OR(B304="to_candidate",AW304="proposed_name")),F304=""),"missing branch_id; ","")&amp;IF(AND(NOT(OR(B304="to_candidate",AW304="proposed_name")),H304=""),"missing first_name; ","")&amp;IF(AND(NOT(OR(B304="to_candidate",AW304="proposed_name")),J304=""),"missing last_name; ","")&amp;IF(AND(NOT(OR(B304="to_candidate",AW304="proposed_name")),U304=""),"missing final_geo_unit_id; ","")&amp;IF(AW304="","missing final_destination; ","")&amp;IF(AND(NOT(OR(B304="to_candidate",AW304="proposed_name")),(COUNTIFS('أرقام التواصل'!$A$6:$A$505,"client",'أرقام التواصل'!$B$6:$B$505,A304,'أرقام التواصل'!$I$6:$I$505,"TRUE")+COUNTIFS('أرقام التواصل'!$A$6:$A$505,"client",'أرقام التواصل'!$B$6:$B$505,A304,'أرقام التواصل'!$C$6:$C$505,1))=0),"missing primary contact in أرقام التواصل; ","")&amp;IF(OR(B304="to_candidate",AW304="proposed_name"),IF(AX304="","missing proposed_move_reason; ","")&amp;IF(AY304="","missing proposed_name_key; ",""),"")))))</x:f>
      </x:c>
    </x:row>
    <x:row r="305">
      <x:c r="A305" s="219"/>
      <x:c r="B305" s="220"/>
      <x:c r="C305" s="221"/>
      <x:c r="D305" s="220"/>
      <x:c r="E305" s="222"/>
      <x:c r="F305" s="220"/>
      <x:c r="G305" s="220"/>
      <x:c r="H305" s="220"/>
      <x:c r="I305" s="220"/>
      <x:c r="J305" s="220"/>
      <x:c r="K305" s="220"/>
      <x:c r="L305" s="220" t="str">
        <x:f>IF(TRIM(H305&amp;" "&amp;I305&amp;" "&amp;J305&amp;IF(K305&lt;&gt;""," ("&amp;K305&amp;")",""))="","",TRIM(H305&amp;" "&amp;I305&amp;" "&amp;J305&amp;IF(K305&lt;&gt;""," ("&amp;K305&amp;")","")))</x:f>
      </x:c>
      <x:c r="M305" s="220"/>
      <x:c r="N305" s="220"/>
      <x:c r="O305" s="220"/>
      <x:c r="P305" s="220"/>
      <x:c r="Q305" s="220"/>
      <x:c r="R305" s="220"/>
      <x:c r="S305" s="220"/>
      <x:c r="T305" s="220"/>
      <x:c r="U305" s="220" t="str">
        <x:f>IF(AND(M305="",O305="",Q305="",S305=""),"",IF(S305&lt;&gt;"",S305,IF(Q305&lt;&gt;"",Q305,IF(O305&lt;&gt;"",O305,M305))))</x:f>
      </x:c>
      <x:c r="V305" s="220" t="str">
        <x:f>IF(AND(N305="",P305="",R305="",T305=""),"",IF(T305&lt;&gt;"",T305,IF(R305&lt;&gt;"",R305,IF(P305&lt;&gt;"",P305,N305))))</x:f>
      </x:c>
      <x:c r="W305" s="221"/>
      <x:c r="X305" s="220"/>
      <x:c r="Y305" s="220"/>
      <x:c r="Z305" s="223"/>
      <x:c r="AA305" s="223"/>
      <x:c r="AB305" s="221"/>
      <x:c r="AC305" s="220"/>
      <x:c r="AD305" s="220"/>
      <x:c r="AE305" s="222"/>
      <x:c r="AF305" s="220"/>
      <x:c r="AG305" s="221"/>
      <x:c r="AH305" s="220"/>
      <x:c r="AI305" s="220"/>
      <x:c r="AJ305" s="222"/>
      <x:c r="AK305" s="220"/>
      <x:c r="AL305" s="220"/>
      <x:c r="AM305" s="220"/>
      <x:c r="AN305" s="220"/>
      <x:c r="AO305" s="220"/>
      <x:c r="AP305" s="220"/>
      <x:c r="AQ305" s="220"/>
      <x:c r="AR305" s="222"/>
      <x:c r="AS305" s="220"/>
      <x:c r="AT305" s="220"/>
      <x:c r="AU305" s="220"/>
      <x:c r="AV305" s="220"/>
      <x:c r="AW305" s="220"/>
      <x:c r="AX305" s="220"/>
      <x:c r="AY305" s="221"/>
      <x:c r="AZ305" s="220"/>
      <x:c r="BA305" s="220" t="str">
        <x:f>IF(AND(A305="",B305="",F305="",H305="",J305="",AW305="",AY305=""),"",IF(OR(B305="skip",AW305="skip"),"SKIP",IF(OR(B305="to_candidate",AW305="proposed_name"),IF(OR(A305="",AX305="",AY305="",COUNTIF($A$6:$A$505,A305)&gt;1),"REVIEW","TO_PROPOSED"),IF(OR(B305="",A305="",F305="",H305="",J305="",U305="",AW305="",COUNTIF($A$6:$A$505,A305)&gt;1,(COUNTIFS('أرقام التواصل'!$A$6:$A$505,"client",'أرقام التواصل'!$B$6:$B$505,A305,'أرقام التواصل'!$I$6:$I$505,"TRUE")+COUNTIFS('أرقام التواصل'!$A$6:$A$505,"client",'أرقام التواصل'!$B$6:$B$505,A305,'أرقام التواصل'!$C$6:$C$505,1))=0),"REVIEW","READY"))))</x:f>
      </x:c>
      <x:c r="BB305" s="224" t="str">
        <x:f>IF(BA305="","",IF(OR(BA305="READY",BA305="TO_PROPOSED"),"",IF(BA305="SKIP","Skipped by decision",TRIM(IF(B305="","missing import_action; ","")&amp;IF(A305="","missing migration_customer_key; ","")&amp;IF(AND(A305&lt;&gt;"",COUNTIF($A$6:$A$505,A305)&gt;1),"duplicate migration_customer_key; ","")&amp;IF(AND(NOT(OR(B305="to_candidate",AW305="proposed_name")),F305=""),"missing branch_id; ","")&amp;IF(AND(NOT(OR(B305="to_candidate",AW305="proposed_name")),H305=""),"missing first_name; ","")&amp;IF(AND(NOT(OR(B305="to_candidate",AW305="proposed_name")),J305=""),"missing last_name; ","")&amp;IF(AND(NOT(OR(B305="to_candidate",AW305="proposed_name")),U305=""),"missing final_geo_unit_id; ","")&amp;IF(AW305="","missing final_destination; ","")&amp;IF(AND(NOT(OR(B305="to_candidate",AW305="proposed_name")),(COUNTIFS('أرقام التواصل'!$A$6:$A$505,"client",'أرقام التواصل'!$B$6:$B$505,A305,'أرقام التواصل'!$I$6:$I$505,"TRUE")+COUNTIFS('أرقام التواصل'!$A$6:$A$505,"client",'أرقام التواصل'!$B$6:$B$505,A305,'أرقام التواصل'!$C$6:$C$505,1))=0),"missing primary contact in أرقام التواصل; ","")&amp;IF(OR(B305="to_candidate",AW305="proposed_name"),IF(AX305="","missing proposed_move_reason; ","")&amp;IF(AY305="","missing proposed_name_key; ",""),"")))))</x:f>
      </x:c>
    </x:row>
    <x:row r="306">
      <x:c r="A306" s="219"/>
      <x:c r="B306" s="220"/>
      <x:c r="C306" s="221"/>
      <x:c r="D306" s="220"/>
      <x:c r="E306" s="222"/>
      <x:c r="F306" s="220"/>
      <x:c r="G306" s="220"/>
      <x:c r="H306" s="220"/>
      <x:c r="I306" s="220"/>
      <x:c r="J306" s="220"/>
      <x:c r="K306" s="220"/>
      <x:c r="L306" s="220" t="str">
        <x:f>IF(TRIM(H306&amp;" "&amp;I306&amp;" "&amp;J306&amp;IF(K306&lt;&gt;""," ("&amp;K306&amp;")",""))="","",TRIM(H306&amp;" "&amp;I306&amp;" "&amp;J306&amp;IF(K306&lt;&gt;""," ("&amp;K306&amp;")","")))</x:f>
      </x:c>
      <x:c r="M306" s="220"/>
      <x:c r="N306" s="220"/>
      <x:c r="O306" s="220"/>
      <x:c r="P306" s="220"/>
      <x:c r="Q306" s="220"/>
      <x:c r="R306" s="220"/>
      <x:c r="S306" s="220"/>
      <x:c r="T306" s="220"/>
      <x:c r="U306" s="220" t="str">
        <x:f>IF(AND(M306="",O306="",Q306="",S306=""),"",IF(S306&lt;&gt;"",S306,IF(Q306&lt;&gt;"",Q306,IF(O306&lt;&gt;"",O306,M306))))</x:f>
      </x:c>
      <x:c r="V306" s="220" t="str">
        <x:f>IF(AND(N306="",P306="",R306="",T306=""),"",IF(T306&lt;&gt;"",T306,IF(R306&lt;&gt;"",R306,IF(P306&lt;&gt;"",P306,N306))))</x:f>
      </x:c>
      <x:c r="W306" s="221"/>
      <x:c r="X306" s="220"/>
      <x:c r="Y306" s="220"/>
      <x:c r="Z306" s="223"/>
      <x:c r="AA306" s="223"/>
      <x:c r="AB306" s="221"/>
      <x:c r="AC306" s="220"/>
      <x:c r="AD306" s="220"/>
      <x:c r="AE306" s="222"/>
      <x:c r="AF306" s="220"/>
      <x:c r="AG306" s="221"/>
      <x:c r="AH306" s="220"/>
      <x:c r="AI306" s="220"/>
      <x:c r="AJ306" s="222"/>
      <x:c r="AK306" s="220"/>
      <x:c r="AL306" s="220"/>
      <x:c r="AM306" s="220"/>
      <x:c r="AN306" s="220"/>
      <x:c r="AO306" s="220"/>
      <x:c r="AP306" s="220"/>
      <x:c r="AQ306" s="220"/>
      <x:c r="AR306" s="222"/>
      <x:c r="AS306" s="220"/>
      <x:c r="AT306" s="220"/>
      <x:c r="AU306" s="220"/>
      <x:c r="AV306" s="220"/>
      <x:c r="AW306" s="220"/>
      <x:c r="AX306" s="220"/>
      <x:c r="AY306" s="221"/>
      <x:c r="AZ306" s="220"/>
      <x:c r="BA306" s="220" t="str">
        <x:f>IF(AND(A306="",B306="",F306="",H306="",J306="",AW306="",AY306=""),"",IF(OR(B306="skip",AW306="skip"),"SKIP",IF(OR(B306="to_candidate",AW306="proposed_name"),IF(OR(A306="",AX306="",AY306="",COUNTIF($A$6:$A$505,A306)&gt;1),"REVIEW","TO_PROPOSED"),IF(OR(B306="",A306="",F306="",H306="",J306="",U306="",AW306="",COUNTIF($A$6:$A$505,A306)&gt;1,(COUNTIFS('أرقام التواصل'!$A$6:$A$505,"client",'أرقام التواصل'!$B$6:$B$505,A306,'أرقام التواصل'!$I$6:$I$505,"TRUE")+COUNTIFS('أرقام التواصل'!$A$6:$A$505,"client",'أرقام التواصل'!$B$6:$B$505,A306,'أرقام التواصل'!$C$6:$C$505,1))=0),"REVIEW","READY"))))</x:f>
      </x:c>
      <x:c r="BB306" s="224" t="str">
        <x:f>IF(BA306="","",IF(OR(BA306="READY",BA306="TO_PROPOSED"),"",IF(BA306="SKIP","Skipped by decision",TRIM(IF(B306="","missing import_action; ","")&amp;IF(A306="","missing migration_customer_key; ","")&amp;IF(AND(A306&lt;&gt;"",COUNTIF($A$6:$A$505,A306)&gt;1),"duplicate migration_customer_key; ","")&amp;IF(AND(NOT(OR(B306="to_candidate",AW306="proposed_name")),F306=""),"missing branch_id; ","")&amp;IF(AND(NOT(OR(B306="to_candidate",AW306="proposed_name")),H306=""),"missing first_name; ","")&amp;IF(AND(NOT(OR(B306="to_candidate",AW306="proposed_name")),J306=""),"missing last_name; ","")&amp;IF(AND(NOT(OR(B306="to_candidate",AW306="proposed_name")),U306=""),"missing final_geo_unit_id; ","")&amp;IF(AW306="","missing final_destination; ","")&amp;IF(AND(NOT(OR(B306="to_candidate",AW306="proposed_name")),(COUNTIFS('أرقام التواصل'!$A$6:$A$505,"client",'أرقام التواصل'!$B$6:$B$505,A306,'أرقام التواصل'!$I$6:$I$505,"TRUE")+COUNTIFS('أرقام التواصل'!$A$6:$A$505,"client",'أرقام التواصل'!$B$6:$B$505,A306,'أرقام التواصل'!$C$6:$C$505,1))=0),"missing primary contact in أرقام التواصل; ","")&amp;IF(OR(B306="to_candidate",AW306="proposed_name"),IF(AX306="","missing proposed_move_reason; ","")&amp;IF(AY306="","missing proposed_name_key; ",""),"")))))</x:f>
      </x:c>
    </x:row>
    <x:row r="307">
      <x:c r="A307" s="219"/>
      <x:c r="B307" s="220"/>
      <x:c r="C307" s="221"/>
      <x:c r="D307" s="220"/>
      <x:c r="E307" s="222"/>
      <x:c r="F307" s="220"/>
      <x:c r="G307" s="220"/>
      <x:c r="H307" s="220"/>
      <x:c r="I307" s="220"/>
      <x:c r="J307" s="220"/>
      <x:c r="K307" s="220"/>
      <x:c r="L307" s="220" t="str">
        <x:f>IF(TRIM(H307&amp;" "&amp;I307&amp;" "&amp;J307&amp;IF(K307&lt;&gt;""," ("&amp;K307&amp;")",""))="","",TRIM(H307&amp;" "&amp;I307&amp;" "&amp;J307&amp;IF(K307&lt;&gt;""," ("&amp;K307&amp;")","")))</x:f>
      </x:c>
      <x:c r="M307" s="220"/>
      <x:c r="N307" s="220"/>
      <x:c r="O307" s="220"/>
      <x:c r="P307" s="220"/>
      <x:c r="Q307" s="220"/>
      <x:c r="R307" s="220"/>
      <x:c r="S307" s="220"/>
      <x:c r="T307" s="220"/>
      <x:c r="U307" s="220" t="str">
        <x:f>IF(AND(M307="",O307="",Q307="",S307=""),"",IF(S307&lt;&gt;"",S307,IF(Q307&lt;&gt;"",Q307,IF(O307&lt;&gt;"",O307,M307))))</x:f>
      </x:c>
      <x:c r="V307" s="220" t="str">
        <x:f>IF(AND(N307="",P307="",R307="",T307=""),"",IF(T307&lt;&gt;"",T307,IF(R307&lt;&gt;"",R307,IF(P307&lt;&gt;"",P307,N307))))</x:f>
      </x:c>
      <x:c r="W307" s="221"/>
      <x:c r="X307" s="220"/>
      <x:c r="Y307" s="220"/>
      <x:c r="Z307" s="223"/>
      <x:c r="AA307" s="223"/>
      <x:c r="AB307" s="221"/>
      <x:c r="AC307" s="220"/>
      <x:c r="AD307" s="220"/>
      <x:c r="AE307" s="222"/>
      <x:c r="AF307" s="220"/>
      <x:c r="AG307" s="221"/>
      <x:c r="AH307" s="220"/>
      <x:c r="AI307" s="220"/>
      <x:c r="AJ307" s="222"/>
      <x:c r="AK307" s="220"/>
      <x:c r="AL307" s="220"/>
      <x:c r="AM307" s="220"/>
      <x:c r="AN307" s="220"/>
      <x:c r="AO307" s="220"/>
      <x:c r="AP307" s="220"/>
      <x:c r="AQ307" s="220"/>
      <x:c r="AR307" s="222"/>
      <x:c r="AS307" s="220"/>
      <x:c r="AT307" s="220"/>
      <x:c r="AU307" s="220"/>
      <x:c r="AV307" s="220"/>
      <x:c r="AW307" s="220"/>
      <x:c r="AX307" s="220"/>
      <x:c r="AY307" s="221"/>
      <x:c r="AZ307" s="220"/>
      <x:c r="BA307" s="220" t="str">
        <x:f>IF(AND(A307="",B307="",F307="",H307="",J307="",AW307="",AY307=""),"",IF(OR(B307="skip",AW307="skip"),"SKIP",IF(OR(B307="to_candidate",AW307="proposed_name"),IF(OR(A307="",AX307="",AY307="",COUNTIF($A$6:$A$505,A307)&gt;1),"REVIEW","TO_PROPOSED"),IF(OR(B307="",A307="",F307="",H307="",J307="",U307="",AW307="",COUNTIF($A$6:$A$505,A307)&gt;1,(COUNTIFS('أرقام التواصل'!$A$6:$A$505,"client",'أرقام التواصل'!$B$6:$B$505,A307,'أرقام التواصل'!$I$6:$I$505,"TRUE")+COUNTIFS('أرقام التواصل'!$A$6:$A$505,"client",'أرقام التواصل'!$B$6:$B$505,A307,'أرقام التواصل'!$C$6:$C$505,1))=0),"REVIEW","READY"))))</x:f>
      </x:c>
      <x:c r="BB307" s="224" t="str">
        <x:f>IF(BA307="","",IF(OR(BA307="READY",BA307="TO_PROPOSED"),"",IF(BA307="SKIP","Skipped by decision",TRIM(IF(B307="","missing import_action; ","")&amp;IF(A307="","missing migration_customer_key; ","")&amp;IF(AND(A307&lt;&gt;"",COUNTIF($A$6:$A$505,A307)&gt;1),"duplicate migration_customer_key; ","")&amp;IF(AND(NOT(OR(B307="to_candidate",AW307="proposed_name")),F307=""),"missing branch_id; ","")&amp;IF(AND(NOT(OR(B307="to_candidate",AW307="proposed_name")),H307=""),"missing first_name; ","")&amp;IF(AND(NOT(OR(B307="to_candidate",AW307="proposed_name")),J307=""),"missing last_name; ","")&amp;IF(AND(NOT(OR(B307="to_candidate",AW307="proposed_name")),U307=""),"missing final_geo_unit_id; ","")&amp;IF(AW307="","missing final_destination; ","")&amp;IF(AND(NOT(OR(B307="to_candidate",AW307="proposed_name")),(COUNTIFS('أرقام التواصل'!$A$6:$A$505,"client",'أرقام التواصل'!$B$6:$B$505,A307,'أرقام التواصل'!$I$6:$I$505,"TRUE")+COUNTIFS('أرقام التواصل'!$A$6:$A$505,"client",'أرقام التواصل'!$B$6:$B$505,A307,'أرقام التواصل'!$C$6:$C$505,1))=0),"missing primary contact in أرقام التواصل; ","")&amp;IF(OR(B307="to_candidate",AW307="proposed_name"),IF(AX307="","missing proposed_move_reason; ","")&amp;IF(AY307="","missing proposed_name_key; ",""),"")))))</x:f>
      </x:c>
    </x:row>
    <x:row r="308">
      <x:c r="A308" s="219"/>
      <x:c r="B308" s="220"/>
      <x:c r="C308" s="221"/>
      <x:c r="D308" s="220"/>
      <x:c r="E308" s="222"/>
      <x:c r="F308" s="220"/>
      <x:c r="G308" s="220"/>
      <x:c r="H308" s="220"/>
      <x:c r="I308" s="220"/>
      <x:c r="J308" s="220"/>
      <x:c r="K308" s="220"/>
      <x:c r="L308" s="220" t="str">
        <x:f>IF(TRIM(H308&amp;" "&amp;I308&amp;" "&amp;J308&amp;IF(K308&lt;&gt;""," ("&amp;K308&amp;")",""))="","",TRIM(H308&amp;" "&amp;I308&amp;" "&amp;J308&amp;IF(K308&lt;&gt;""," ("&amp;K308&amp;")","")))</x:f>
      </x:c>
      <x:c r="M308" s="220"/>
      <x:c r="N308" s="220"/>
      <x:c r="O308" s="220"/>
      <x:c r="P308" s="220"/>
      <x:c r="Q308" s="220"/>
      <x:c r="R308" s="220"/>
      <x:c r="S308" s="220"/>
      <x:c r="T308" s="220"/>
      <x:c r="U308" s="220" t="str">
        <x:f>IF(AND(M308="",O308="",Q308="",S308=""),"",IF(S308&lt;&gt;"",S308,IF(Q308&lt;&gt;"",Q308,IF(O308&lt;&gt;"",O308,M308))))</x:f>
      </x:c>
      <x:c r="V308" s="220" t="str">
        <x:f>IF(AND(N308="",P308="",R308="",T308=""),"",IF(T308&lt;&gt;"",T308,IF(R308&lt;&gt;"",R308,IF(P308&lt;&gt;"",P308,N308))))</x:f>
      </x:c>
      <x:c r="W308" s="221"/>
      <x:c r="X308" s="220"/>
      <x:c r="Y308" s="220"/>
      <x:c r="Z308" s="223"/>
      <x:c r="AA308" s="223"/>
      <x:c r="AB308" s="221"/>
      <x:c r="AC308" s="220"/>
      <x:c r="AD308" s="220"/>
      <x:c r="AE308" s="222"/>
      <x:c r="AF308" s="220"/>
      <x:c r="AG308" s="221"/>
      <x:c r="AH308" s="220"/>
      <x:c r="AI308" s="220"/>
      <x:c r="AJ308" s="222"/>
      <x:c r="AK308" s="220"/>
      <x:c r="AL308" s="220"/>
      <x:c r="AM308" s="220"/>
      <x:c r="AN308" s="220"/>
      <x:c r="AO308" s="220"/>
      <x:c r="AP308" s="220"/>
      <x:c r="AQ308" s="220"/>
      <x:c r="AR308" s="222"/>
      <x:c r="AS308" s="220"/>
      <x:c r="AT308" s="220"/>
      <x:c r="AU308" s="220"/>
      <x:c r="AV308" s="220"/>
      <x:c r="AW308" s="220"/>
      <x:c r="AX308" s="220"/>
      <x:c r="AY308" s="221"/>
      <x:c r="AZ308" s="220"/>
      <x:c r="BA308" s="220" t="str">
        <x:f>IF(AND(A308="",B308="",F308="",H308="",J308="",AW308="",AY308=""),"",IF(OR(B308="skip",AW308="skip"),"SKIP",IF(OR(B308="to_candidate",AW308="proposed_name"),IF(OR(A308="",AX308="",AY308="",COUNTIF($A$6:$A$505,A308)&gt;1),"REVIEW","TO_PROPOSED"),IF(OR(B308="",A308="",F308="",H308="",J308="",U308="",AW308="",COUNTIF($A$6:$A$505,A308)&gt;1,(COUNTIFS('أرقام التواصل'!$A$6:$A$505,"client",'أرقام التواصل'!$B$6:$B$505,A308,'أرقام التواصل'!$I$6:$I$505,"TRUE")+COUNTIFS('أرقام التواصل'!$A$6:$A$505,"client",'أرقام التواصل'!$B$6:$B$505,A308,'أرقام التواصل'!$C$6:$C$505,1))=0),"REVIEW","READY"))))</x:f>
      </x:c>
      <x:c r="BB308" s="224" t="str">
        <x:f>IF(BA308="","",IF(OR(BA308="READY",BA308="TO_PROPOSED"),"",IF(BA308="SKIP","Skipped by decision",TRIM(IF(B308="","missing import_action; ","")&amp;IF(A308="","missing migration_customer_key; ","")&amp;IF(AND(A308&lt;&gt;"",COUNTIF($A$6:$A$505,A308)&gt;1),"duplicate migration_customer_key; ","")&amp;IF(AND(NOT(OR(B308="to_candidate",AW308="proposed_name")),F308=""),"missing branch_id; ","")&amp;IF(AND(NOT(OR(B308="to_candidate",AW308="proposed_name")),H308=""),"missing first_name; ","")&amp;IF(AND(NOT(OR(B308="to_candidate",AW308="proposed_name")),J308=""),"missing last_name; ","")&amp;IF(AND(NOT(OR(B308="to_candidate",AW308="proposed_name")),U308=""),"missing final_geo_unit_id; ","")&amp;IF(AW308="","missing final_destination; ","")&amp;IF(AND(NOT(OR(B308="to_candidate",AW308="proposed_name")),(COUNTIFS('أرقام التواصل'!$A$6:$A$505,"client",'أرقام التواصل'!$B$6:$B$505,A308,'أرقام التواصل'!$I$6:$I$505,"TRUE")+COUNTIFS('أرقام التواصل'!$A$6:$A$505,"client",'أرقام التواصل'!$B$6:$B$505,A308,'أرقام التواصل'!$C$6:$C$505,1))=0),"missing primary contact in أرقام التواصل; ","")&amp;IF(OR(B308="to_candidate",AW308="proposed_name"),IF(AX308="","missing proposed_move_reason; ","")&amp;IF(AY308="","missing proposed_name_key; ",""),"")))))</x:f>
      </x:c>
    </x:row>
    <x:row r="309">
      <x:c r="A309" s="219"/>
      <x:c r="B309" s="220"/>
      <x:c r="C309" s="221"/>
      <x:c r="D309" s="220"/>
      <x:c r="E309" s="222"/>
      <x:c r="F309" s="220"/>
      <x:c r="G309" s="220"/>
      <x:c r="H309" s="220"/>
      <x:c r="I309" s="220"/>
      <x:c r="J309" s="220"/>
      <x:c r="K309" s="220"/>
      <x:c r="L309" s="220" t="str">
        <x:f>IF(TRIM(H309&amp;" "&amp;I309&amp;" "&amp;J309&amp;IF(K309&lt;&gt;""," ("&amp;K309&amp;")",""))="","",TRIM(H309&amp;" "&amp;I309&amp;" "&amp;J309&amp;IF(K309&lt;&gt;""," ("&amp;K309&amp;")","")))</x:f>
      </x:c>
      <x:c r="M309" s="220"/>
      <x:c r="N309" s="220"/>
      <x:c r="O309" s="220"/>
      <x:c r="P309" s="220"/>
      <x:c r="Q309" s="220"/>
      <x:c r="R309" s="220"/>
      <x:c r="S309" s="220"/>
      <x:c r="T309" s="220"/>
      <x:c r="U309" s="220" t="str">
        <x:f>IF(AND(M309="",O309="",Q309="",S309=""),"",IF(S309&lt;&gt;"",S309,IF(Q309&lt;&gt;"",Q309,IF(O309&lt;&gt;"",O309,M309))))</x:f>
      </x:c>
      <x:c r="V309" s="220" t="str">
        <x:f>IF(AND(N309="",P309="",R309="",T309=""),"",IF(T309&lt;&gt;"",T309,IF(R309&lt;&gt;"",R309,IF(P309&lt;&gt;"",P309,N309))))</x:f>
      </x:c>
      <x:c r="W309" s="221"/>
      <x:c r="X309" s="220"/>
      <x:c r="Y309" s="220"/>
      <x:c r="Z309" s="223"/>
      <x:c r="AA309" s="223"/>
      <x:c r="AB309" s="221"/>
      <x:c r="AC309" s="220"/>
      <x:c r="AD309" s="220"/>
      <x:c r="AE309" s="222"/>
      <x:c r="AF309" s="220"/>
      <x:c r="AG309" s="221"/>
      <x:c r="AH309" s="220"/>
      <x:c r="AI309" s="220"/>
      <x:c r="AJ309" s="222"/>
      <x:c r="AK309" s="220"/>
      <x:c r="AL309" s="220"/>
      <x:c r="AM309" s="220"/>
      <x:c r="AN309" s="220"/>
      <x:c r="AO309" s="220"/>
      <x:c r="AP309" s="220"/>
      <x:c r="AQ309" s="220"/>
      <x:c r="AR309" s="222"/>
      <x:c r="AS309" s="220"/>
      <x:c r="AT309" s="220"/>
      <x:c r="AU309" s="220"/>
      <x:c r="AV309" s="220"/>
      <x:c r="AW309" s="220"/>
      <x:c r="AX309" s="220"/>
      <x:c r="AY309" s="221"/>
      <x:c r="AZ309" s="220"/>
      <x:c r="BA309" s="220" t="str">
        <x:f>IF(AND(A309="",B309="",F309="",H309="",J309="",AW309="",AY309=""),"",IF(OR(B309="skip",AW309="skip"),"SKIP",IF(OR(B309="to_candidate",AW309="proposed_name"),IF(OR(A309="",AX309="",AY309="",COUNTIF($A$6:$A$505,A309)&gt;1),"REVIEW","TO_PROPOSED"),IF(OR(B309="",A309="",F309="",H309="",J309="",U309="",AW309="",COUNTIF($A$6:$A$505,A309)&gt;1,(COUNTIFS('أرقام التواصل'!$A$6:$A$505,"client",'أرقام التواصل'!$B$6:$B$505,A309,'أرقام التواصل'!$I$6:$I$505,"TRUE")+COUNTIFS('أرقام التواصل'!$A$6:$A$505,"client",'أرقام التواصل'!$B$6:$B$505,A309,'أرقام التواصل'!$C$6:$C$505,1))=0),"REVIEW","READY"))))</x:f>
      </x:c>
      <x:c r="BB309" s="224" t="str">
        <x:f>IF(BA309="","",IF(OR(BA309="READY",BA309="TO_PROPOSED"),"",IF(BA309="SKIP","Skipped by decision",TRIM(IF(B309="","missing import_action; ","")&amp;IF(A309="","missing migration_customer_key; ","")&amp;IF(AND(A309&lt;&gt;"",COUNTIF($A$6:$A$505,A309)&gt;1),"duplicate migration_customer_key; ","")&amp;IF(AND(NOT(OR(B309="to_candidate",AW309="proposed_name")),F309=""),"missing branch_id; ","")&amp;IF(AND(NOT(OR(B309="to_candidate",AW309="proposed_name")),H309=""),"missing first_name; ","")&amp;IF(AND(NOT(OR(B309="to_candidate",AW309="proposed_name")),J309=""),"missing last_name; ","")&amp;IF(AND(NOT(OR(B309="to_candidate",AW309="proposed_name")),U309=""),"missing final_geo_unit_id; ","")&amp;IF(AW309="","missing final_destination; ","")&amp;IF(AND(NOT(OR(B309="to_candidate",AW309="proposed_name")),(COUNTIFS('أرقام التواصل'!$A$6:$A$505,"client",'أرقام التواصل'!$B$6:$B$505,A309,'أرقام التواصل'!$I$6:$I$505,"TRUE")+COUNTIFS('أرقام التواصل'!$A$6:$A$505,"client",'أرقام التواصل'!$B$6:$B$505,A309,'أرقام التواصل'!$C$6:$C$505,1))=0),"missing primary contact in أرقام التواصل; ","")&amp;IF(OR(B309="to_candidate",AW309="proposed_name"),IF(AX309="","missing proposed_move_reason; ","")&amp;IF(AY309="","missing proposed_name_key; ",""),"")))))</x:f>
      </x:c>
    </x:row>
    <x:row r="310">
      <x:c r="A310" s="219"/>
      <x:c r="B310" s="220"/>
      <x:c r="C310" s="221"/>
      <x:c r="D310" s="220"/>
      <x:c r="E310" s="222"/>
      <x:c r="F310" s="220"/>
      <x:c r="G310" s="220"/>
      <x:c r="H310" s="220"/>
      <x:c r="I310" s="220"/>
      <x:c r="J310" s="220"/>
      <x:c r="K310" s="220"/>
      <x:c r="L310" s="220" t="str">
        <x:f>IF(TRIM(H310&amp;" "&amp;I310&amp;" "&amp;J310&amp;IF(K310&lt;&gt;""," ("&amp;K310&amp;")",""))="","",TRIM(H310&amp;" "&amp;I310&amp;" "&amp;J310&amp;IF(K310&lt;&gt;""," ("&amp;K310&amp;")","")))</x:f>
      </x:c>
      <x:c r="M310" s="220"/>
      <x:c r="N310" s="220"/>
      <x:c r="O310" s="220"/>
      <x:c r="P310" s="220"/>
      <x:c r="Q310" s="220"/>
      <x:c r="R310" s="220"/>
      <x:c r="S310" s="220"/>
      <x:c r="T310" s="220"/>
      <x:c r="U310" s="220" t="str">
        <x:f>IF(AND(M310="",O310="",Q310="",S310=""),"",IF(S310&lt;&gt;"",S310,IF(Q310&lt;&gt;"",Q310,IF(O310&lt;&gt;"",O310,M310))))</x:f>
      </x:c>
      <x:c r="V310" s="220" t="str">
        <x:f>IF(AND(N310="",P310="",R310="",T310=""),"",IF(T310&lt;&gt;"",T310,IF(R310&lt;&gt;"",R310,IF(P310&lt;&gt;"",P310,N310))))</x:f>
      </x:c>
      <x:c r="W310" s="221"/>
      <x:c r="X310" s="220"/>
      <x:c r="Y310" s="220"/>
      <x:c r="Z310" s="223"/>
      <x:c r="AA310" s="223"/>
      <x:c r="AB310" s="221"/>
      <x:c r="AC310" s="220"/>
      <x:c r="AD310" s="220"/>
      <x:c r="AE310" s="222"/>
      <x:c r="AF310" s="220"/>
      <x:c r="AG310" s="221"/>
      <x:c r="AH310" s="220"/>
      <x:c r="AI310" s="220"/>
      <x:c r="AJ310" s="222"/>
      <x:c r="AK310" s="220"/>
      <x:c r="AL310" s="220"/>
      <x:c r="AM310" s="220"/>
      <x:c r="AN310" s="220"/>
      <x:c r="AO310" s="220"/>
      <x:c r="AP310" s="220"/>
      <x:c r="AQ310" s="220"/>
      <x:c r="AR310" s="222"/>
      <x:c r="AS310" s="220"/>
      <x:c r="AT310" s="220"/>
      <x:c r="AU310" s="220"/>
      <x:c r="AV310" s="220"/>
      <x:c r="AW310" s="220"/>
      <x:c r="AX310" s="220"/>
      <x:c r="AY310" s="221"/>
      <x:c r="AZ310" s="220"/>
      <x:c r="BA310" s="220" t="str">
        <x:f>IF(AND(A310="",B310="",F310="",H310="",J310="",AW310="",AY310=""),"",IF(OR(B310="skip",AW310="skip"),"SKIP",IF(OR(B310="to_candidate",AW310="proposed_name"),IF(OR(A310="",AX310="",AY310="",COUNTIF($A$6:$A$505,A310)&gt;1),"REVIEW","TO_PROPOSED"),IF(OR(B310="",A310="",F310="",H310="",J310="",U310="",AW310="",COUNTIF($A$6:$A$505,A310)&gt;1,(COUNTIFS('أرقام التواصل'!$A$6:$A$505,"client",'أرقام التواصل'!$B$6:$B$505,A310,'أرقام التواصل'!$I$6:$I$505,"TRUE")+COUNTIFS('أرقام التواصل'!$A$6:$A$505,"client",'أرقام التواصل'!$B$6:$B$505,A310,'أرقام التواصل'!$C$6:$C$505,1))=0),"REVIEW","READY"))))</x:f>
      </x:c>
      <x:c r="BB310" s="224" t="str">
        <x:f>IF(BA310="","",IF(OR(BA310="READY",BA310="TO_PROPOSED"),"",IF(BA310="SKIP","Skipped by decision",TRIM(IF(B310="","missing import_action; ","")&amp;IF(A310="","missing migration_customer_key; ","")&amp;IF(AND(A310&lt;&gt;"",COUNTIF($A$6:$A$505,A310)&gt;1),"duplicate migration_customer_key; ","")&amp;IF(AND(NOT(OR(B310="to_candidate",AW310="proposed_name")),F310=""),"missing branch_id; ","")&amp;IF(AND(NOT(OR(B310="to_candidate",AW310="proposed_name")),H310=""),"missing first_name; ","")&amp;IF(AND(NOT(OR(B310="to_candidate",AW310="proposed_name")),J310=""),"missing last_name; ","")&amp;IF(AND(NOT(OR(B310="to_candidate",AW310="proposed_name")),U310=""),"missing final_geo_unit_id; ","")&amp;IF(AW310="","missing final_destination; ","")&amp;IF(AND(NOT(OR(B310="to_candidate",AW310="proposed_name")),(COUNTIFS('أرقام التواصل'!$A$6:$A$505,"client",'أرقام التواصل'!$B$6:$B$505,A310,'أرقام التواصل'!$I$6:$I$505,"TRUE")+COUNTIFS('أرقام التواصل'!$A$6:$A$505,"client",'أرقام التواصل'!$B$6:$B$505,A310,'أرقام التواصل'!$C$6:$C$505,1))=0),"missing primary contact in أرقام التواصل; ","")&amp;IF(OR(B310="to_candidate",AW310="proposed_name"),IF(AX310="","missing proposed_move_reason; ","")&amp;IF(AY310="","missing proposed_name_key; ",""),"")))))</x:f>
      </x:c>
    </x:row>
    <x:row r="311">
      <x:c r="A311" s="219"/>
      <x:c r="B311" s="220"/>
      <x:c r="C311" s="221"/>
      <x:c r="D311" s="220"/>
      <x:c r="E311" s="222"/>
      <x:c r="F311" s="220"/>
      <x:c r="G311" s="220"/>
      <x:c r="H311" s="220"/>
      <x:c r="I311" s="220"/>
      <x:c r="J311" s="220"/>
      <x:c r="K311" s="220"/>
      <x:c r="L311" s="220" t="str">
        <x:f>IF(TRIM(H311&amp;" "&amp;I311&amp;" "&amp;J311&amp;IF(K311&lt;&gt;""," ("&amp;K311&amp;")",""))="","",TRIM(H311&amp;" "&amp;I311&amp;" "&amp;J311&amp;IF(K311&lt;&gt;""," ("&amp;K311&amp;")","")))</x:f>
      </x:c>
      <x:c r="M311" s="220"/>
      <x:c r="N311" s="220"/>
      <x:c r="O311" s="220"/>
      <x:c r="P311" s="220"/>
      <x:c r="Q311" s="220"/>
      <x:c r="R311" s="220"/>
      <x:c r="S311" s="220"/>
      <x:c r="T311" s="220"/>
      <x:c r="U311" s="220" t="str">
        <x:f>IF(AND(M311="",O311="",Q311="",S311=""),"",IF(S311&lt;&gt;"",S311,IF(Q311&lt;&gt;"",Q311,IF(O311&lt;&gt;"",O311,M311))))</x:f>
      </x:c>
      <x:c r="V311" s="220" t="str">
        <x:f>IF(AND(N311="",P311="",R311="",T311=""),"",IF(T311&lt;&gt;"",T311,IF(R311&lt;&gt;"",R311,IF(P311&lt;&gt;"",P311,N311))))</x:f>
      </x:c>
      <x:c r="W311" s="221"/>
      <x:c r="X311" s="220"/>
      <x:c r="Y311" s="220"/>
      <x:c r="Z311" s="223"/>
      <x:c r="AA311" s="223"/>
      <x:c r="AB311" s="221"/>
      <x:c r="AC311" s="220"/>
      <x:c r="AD311" s="220"/>
      <x:c r="AE311" s="222"/>
      <x:c r="AF311" s="220"/>
      <x:c r="AG311" s="221"/>
      <x:c r="AH311" s="220"/>
      <x:c r="AI311" s="220"/>
      <x:c r="AJ311" s="222"/>
      <x:c r="AK311" s="220"/>
      <x:c r="AL311" s="220"/>
      <x:c r="AM311" s="220"/>
      <x:c r="AN311" s="220"/>
      <x:c r="AO311" s="220"/>
      <x:c r="AP311" s="220"/>
      <x:c r="AQ311" s="220"/>
      <x:c r="AR311" s="222"/>
      <x:c r="AS311" s="220"/>
      <x:c r="AT311" s="220"/>
      <x:c r="AU311" s="220"/>
      <x:c r="AV311" s="220"/>
      <x:c r="AW311" s="220"/>
      <x:c r="AX311" s="220"/>
      <x:c r="AY311" s="221"/>
      <x:c r="AZ311" s="220"/>
      <x:c r="BA311" s="220" t="str">
        <x:f>IF(AND(A311="",B311="",F311="",H311="",J311="",AW311="",AY311=""),"",IF(OR(B311="skip",AW311="skip"),"SKIP",IF(OR(B311="to_candidate",AW311="proposed_name"),IF(OR(A311="",AX311="",AY311="",COUNTIF($A$6:$A$505,A311)&gt;1),"REVIEW","TO_PROPOSED"),IF(OR(B311="",A311="",F311="",H311="",J311="",U311="",AW311="",COUNTIF($A$6:$A$505,A311)&gt;1,(COUNTIFS('أرقام التواصل'!$A$6:$A$505,"client",'أرقام التواصل'!$B$6:$B$505,A311,'أرقام التواصل'!$I$6:$I$505,"TRUE")+COUNTIFS('أرقام التواصل'!$A$6:$A$505,"client",'أرقام التواصل'!$B$6:$B$505,A311,'أرقام التواصل'!$C$6:$C$505,1))=0),"REVIEW","READY"))))</x:f>
      </x:c>
      <x:c r="BB311" s="224" t="str">
        <x:f>IF(BA311="","",IF(OR(BA311="READY",BA311="TO_PROPOSED"),"",IF(BA311="SKIP","Skipped by decision",TRIM(IF(B311="","missing import_action; ","")&amp;IF(A311="","missing migration_customer_key; ","")&amp;IF(AND(A311&lt;&gt;"",COUNTIF($A$6:$A$505,A311)&gt;1),"duplicate migration_customer_key; ","")&amp;IF(AND(NOT(OR(B311="to_candidate",AW311="proposed_name")),F311=""),"missing branch_id; ","")&amp;IF(AND(NOT(OR(B311="to_candidate",AW311="proposed_name")),H311=""),"missing first_name; ","")&amp;IF(AND(NOT(OR(B311="to_candidate",AW311="proposed_name")),J311=""),"missing last_name; ","")&amp;IF(AND(NOT(OR(B311="to_candidate",AW311="proposed_name")),U311=""),"missing final_geo_unit_id; ","")&amp;IF(AW311="","missing final_destination; ","")&amp;IF(AND(NOT(OR(B311="to_candidate",AW311="proposed_name")),(COUNTIFS('أرقام التواصل'!$A$6:$A$505,"client",'أرقام التواصل'!$B$6:$B$505,A311,'أرقام التواصل'!$I$6:$I$505,"TRUE")+COUNTIFS('أرقام التواصل'!$A$6:$A$505,"client",'أرقام التواصل'!$B$6:$B$505,A311,'أرقام التواصل'!$C$6:$C$505,1))=0),"missing primary contact in أرقام التواصل; ","")&amp;IF(OR(B311="to_candidate",AW311="proposed_name"),IF(AX311="","missing proposed_move_reason; ","")&amp;IF(AY311="","missing proposed_name_key; ",""),"")))))</x:f>
      </x:c>
    </x:row>
    <x:row r="312">
      <x:c r="A312" s="219"/>
      <x:c r="B312" s="220"/>
      <x:c r="C312" s="221"/>
      <x:c r="D312" s="220"/>
      <x:c r="E312" s="222"/>
      <x:c r="F312" s="220"/>
      <x:c r="G312" s="220"/>
      <x:c r="H312" s="220"/>
      <x:c r="I312" s="220"/>
      <x:c r="J312" s="220"/>
      <x:c r="K312" s="220"/>
      <x:c r="L312" s="220" t="str">
        <x:f>IF(TRIM(H312&amp;" "&amp;I312&amp;" "&amp;J312&amp;IF(K312&lt;&gt;""," ("&amp;K312&amp;")",""))="","",TRIM(H312&amp;" "&amp;I312&amp;" "&amp;J312&amp;IF(K312&lt;&gt;""," ("&amp;K312&amp;")","")))</x:f>
      </x:c>
      <x:c r="M312" s="220"/>
      <x:c r="N312" s="220"/>
      <x:c r="O312" s="220"/>
      <x:c r="P312" s="220"/>
      <x:c r="Q312" s="220"/>
      <x:c r="R312" s="220"/>
      <x:c r="S312" s="220"/>
      <x:c r="T312" s="220"/>
      <x:c r="U312" s="220" t="str">
        <x:f>IF(AND(M312="",O312="",Q312="",S312=""),"",IF(S312&lt;&gt;"",S312,IF(Q312&lt;&gt;"",Q312,IF(O312&lt;&gt;"",O312,M312))))</x:f>
      </x:c>
      <x:c r="V312" s="220" t="str">
        <x:f>IF(AND(N312="",P312="",R312="",T312=""),"",IF(T312&lt;&gt;"",T312,IF(R312&lt;&gt;"",R312,IF(P312&lt;&gt;"",P312,N312))))</x:f>
      </x:c>
      <x:c r="W312" s="221"/>
      <x:c r="X312" s="220"/>
      <x:c r="Y312" s="220"/>
      <x:c r="Z312" s="223"/>
      <x:c r="AA312" s="223"/>
      <x:c r="AB312" s="221"/>
      <x:c r="AC312" s="220"/>
      <x:c r="AD312" s="220"/>
      <x:c r="AE312" s="222"/>
      <x:c r="AF312" s="220"/>
      <x:c r="AG312" s="221"/>
      <x:c r="AH312" s="220"/>
      <x:c r="AI312" s="220"/>
      <x:c r="AJ312" s="222"/>
      <x:c r="AK312" s="220"/>
      <x:c r="AL312" s="220"/>
      <x:c r="AM312" s="220"/>
      <x:c r="AN312" s="220"/>
      <x:c r="AO312" s="220"/>
      <x:c r="AP312" s="220"/>
      <x:c r="AQ312" s="220"/>
      <x:c r="AR312" s="222"/>
      <x:c r="AS312" s="220"/>
      <x:c r="AT312" s="220"/>
      <x:c r="AU312" s="220"/>
      <x:c r="AV312" s="220"/>
      <x:c r="AW312" s="220"/>
      <x:c r="AX312" s="220"/>
      <x:c r="AY312" s="221"/>
      <x:c r="AZ312" s="220"/>
      <x:c r="BA312" s="220" t="str">
        <x:f>IF(AND(A312="",B312="",F312="",H312="",J312="",AW312="",AY312=""),"",IF(OR(B312="skip",AW312="skip"),"SKIP",IF(OR(B312="to_candidate",AW312="proposed_name"),IF(OR(A312="",AX312="",AY312="",COUNTIF($A$6:$A$505,A312)&gt;1),"REVIEW","TO_PROPOSED"),IF(OR(B312="",A312="",F312="",H312="",J312="",U312="",AW312="",COUNTIF($A$6:$A$505,A312)&gt;1,(COUNTIFS('أرقام التواصل'!$A$6:$A$505,"client",'أرقام التواصل'!$B$6:$B$505,A312,'أرقام التواصل'!$I$6:$I$505,"TRUE")+COUNTIFS('أرقام التواصل'!$A$6:$A$505,"client",'أرقام التواصل'!$B$6:$B$505,A312,'أرقام التواصل'!$C$6:$C$505,1))=0),"REVIEW","READY"))))</x:f>
      </x:c>
      <x:c r="BB312" s="224" t="str">
        <x:f>IF(BA312="","",IF(OR(BA312="READY",BA312="TO_PROPOSED"),"",IF(BA312="SKIP","Skipped by decision",TRIM(IF(B312="","missing import_action; ","")&amp;IF(A312="","missing migration_customer_key; ","")&amp;IF(AND(A312&lt;&gt;"",COUNTIF($A$6:$A$505,A312)&gt;1),"duplicate migration_customer_key; ","")&amp;IF(AND(NOT(OR(B312="to_candidate",AW312="proposed_name")),F312=""),"missing branch_id; ","")&amp;IF(AND(NOT(OR(B312="to_candidate",AW312="proposed_name")),H312=""),"missing first_name; ","")&amp;IF(AND(NOT(OR(B312="to_candidate",AW312="proposed_name")),J312=""),"missing last_name; ","")&amp;IF(AND(NOT(OR(B312="to_candidate",AW312="proposed_name")),U312=""),"missing final_geo_unit_id; ","")&amp;IF(AW312="","missing final_destination; ","")&amp;IF(AND(NOT(OR(B312="to_candidate",AW312="proposed_name")),(COUNTIFS('أرقام التواصل'!$A$6:$A$505,"client",'أرقام التواصل'!$B$6:$B$505,A312,'أرقام التواصل'!$I$6:$I$505,"TRUE")+COUNTIFS('أرقام التواصل'!$A$6:$A$505,"client",'أرقام التواصل'!$B$6:$B$505,A312,'أرقام التواصل'!$C$6:$C$505,1))=0),"missing primary contact in أرقام التواصل; ","")&amp;IF(OR(B312="to_candidate",AW312="proposed_name"),IF(AX312="","missing proposed_move_reason; ","")&amp;IF(AY312="","missing proposed_name_key; ",""),"")))))</x:f>
      </x:c>
    </x:row>
    <x:row r="313">
      <x:c r="A313" s="219"/>
      <x:c r="B313" s="220"/>
      <x:c r="C313" s="221"/>
      <x:c r="D313" s="220"/>
      <x:c r="E313" s="222"/>
      <x:c r="F313" s="220"/>
      <x:c r="G313" s="220"/>
      <x:c r="H313" s="220"/>
      <x:c r="I313" s="220"/>
      <x:c r="J313" s="220"/>
      <x:c r="K313" s="220"/>
      <x:c r="L313" s="220" t="str">
        <x:f>IF(TRIM(H313&amp;" "&amp;I313&amp;" "&amp;J313&amp;IF(K313&lt;&gt;""," ("&amp;K313&amp;")",""))="","",TRIM(H313&amp;" "&amp;I313&amp;" "&amp;J313&amp;IF(K313&lt;&gt;""," ("&amp;K313&amp;")","")))</x:f>
      </x:c>
      <x:c r="M313" s="220"/>
      <x:c r="N313" s="220"/>
      <x:c r="O313" s="220"/>
      <x:c r="P313" s="220"/>
      <x:c r="Q313" s="220"/>
      <x:c r="R313" s="220"/>
      <x:c r="S313" s="220"/>
      <x:c r="T313" s="220"/>
      <x:c r="U313" s="220" t="str">
        <x:f>IF(AND(M313="",O313="",Q313="",S313=""),"",IF(S313&lt;&gt;"",S313,IF(Q313&lt;&gt;"",Q313,IF(O313&lt;&gt;"",O313,M313))))</x:f>
      </x:c>
      <x:c r="V313" s="220" t="str">
        <x:f>IF(AND(N313="",P313="",R313="",T313=""),"",IF(T313&lt;&gt;"",T313,IF(R313&lt;&gt;"",R313,IF(P313&lt;&gt;"",P313,N313))))</x:f>
      </x:c>
      <x:c r="W313" s="221"/>
      <x:c r="X313" s="220"/>
      <x:c r="Y313" s="220"/>
      <x:c r="Z313" s="223"/>
      <x:c r="AA313" s="223"/>
      <x:c r="AB313" s="221"/>
      <x:c r="AC313" s="220"/>
      <x:c r="AD313" s="220"/>
      <x:c r="AE313" s="222"/>
      <x:c r="AF313" s="220"/>
      <x:c r="AG313" s="221"/>
      <x:c r="AH313" s="220"/>
      <x:c r="AI313" s="220"/>
      <x:c r="AJ313" s="222"/>
      <x:c r="AK313" s="220"/>
      <x:c r="AL313" s="220"/>
      <x:c r="AM313" s="220"/>
      <x:c r="AN313" s="220"/>
      <x:c r="AO313" s="220"/>
      <x:c r="AP313" s="220"/>
      <x:c r="AQ313" s="220"/>
      <x:c r="AR313" s="222"/>
      <x:c r="AS313" s="220"/>
      <x:c r="AT313" s="220"/>
      <x:c r="AU313" s="220"/>
      <x:c r="AV313" s="220"/>
      <x:c r="AW313" s="220"/>
      <x:c r="AX313" s="220"/>
      <x:c r="AY313" s="221"/>
      <x:c r="AZ313" s="220"/>
      <x:c r="BA313" s="220" t="str">
        <x:f>IF(AND(A313="",B313="",F313="",H313="",J313="",AW313="",AY313=""),"",IF(OR(B313="skip",AW313="skip"),"SKIP",IF(OR(B313="to_candidate",AW313="proposed_name"),IF(OR(A313="",AX313="",AY313="",COUNTIF($A$6:$A$505,A313)&gt;1),"REVIEW","TO_PROPOSED"),IF(OR(B313="",A313="",F313="",H313="",J313="",U313="",AW313="",COUNTIF($A$6:$A$505,A313)&gt;1,(COUNTIFS('أرقام التواصل'!$A$6:$A$505,"client",'أرقام التواصل'!$B$6:$B$505,A313,'أرقام التواصل'!$I$6:$I$505,"TRUE")+COUNTIFS('أرقام التواصل'!$A$6:$A$505,"client",'أرقام التواصل'!$B$6:$B$505,A313,'أرقام التواصل'!$C$6:$C$505,1))=0),"REVIEW","READY"))))</x:f>
      </x:c>
      <x:c r="BB313" s="224" t="str">
        <x:f>IF(BA313="","",IF(OR(BA313="READY",BA313="TO_PROPOSED"),"",IF(BA313="SKIP","Skipped by decision",TRIM(IF(B313="","missing import_action; ","")&amp;IF(A313="","missing migration_customer_key; ","")&amp;IF(AND(A313&lt;&gt;"",COUNTIF($A$6:$A$505,A313)&gt;1),"duplicate migration_customer_key; ","")&amp;IF(AND(NOT(OR(B313="to_candidate",AW313="proposed_name")),F313=""),"missing branch_id; ","")&amp;IF(AND(NOT(OR(B313="to_candidate",AW313="proposed_name")),H313=""),"missing first_name; ","")&amp;IF(AND(NOT(OR(B313="to_candidate",AW313="proposed_name")),J313=""),"missing last_name; ","")&amp;IF(AND(NOT(OR(B313="to_candidate",AW313="proposed_name")),U313=""),"missing final_geo_unit_id; ","")&amp;IF(AW313="","missing final_destination; ","")&amp;IF(AND(NOT(OR(B313="to_candidate",AW313="proposed_name")),(COUNTIFS('أرقام التواصل'!$A$6:$A$505,"client",'أرقام التواصل'!$B$6:$B$505,A313,'أرقام التواصل'!$I$6:$I$505,"TRUE")+COUNTIFS('أرقام التواصل'!$A$6:$A$505,"client",'أرقام التواصل'!$B$6:$B$505,A313,'أرقام التواصل'!$C$6:$C$505,1))=0),"missing primary contact in أرقام التواصل; ","")&amp;IF(OR(B313="to_candidate",AW313="proposed_name"),IF(AX313="","missing proposed_move_reason; ","")&amp;IF(AY313="","missing proposed_name_key; ",""),"")))))</x:f>
      </x:c>
    </x:row>
    <x:row r="314">
      <x:c r="A314" s="219"/>
      <x:c r="B314" s="220"/>
      <x:c r="C314" s="221"/>
      <x:c r="D314" s="220"/>
      <x:c r="E314" s="222"/>
      <x:c r="F314" s="220"/>
      <x:c r="G314" s="220"/>
      <x:c r="H314" s="220"/>
      <x:c r="I314" s="220"/>
      <x:c r="J314" s="220"/>
      <x:c r="K314" s="220"/>
      <x:c r="L314" s="220" t="str">
        <x:f>IF(TRIM(H314&amp;" "&amp;I314&amp;" "&amp;J314&amp;IF(K314&lt;&gt;""," ("&amp;K314&amp;")",""))="","",TRIM(H314&amp;" "&amp;I314&amp;" "&amp;J314&amp;IF(K314&lt;&gt;""," ("&amp;K314&amp;")","")))</x:f>
      </x:c>
      <x:c r="M314" s="220"/>
      <x:c r="N314" s="220"/>
      <x:c r="O314" s="220"/>
      <x:c r="P314" s="220"/>
      <x:c r="Q314" s="220"/>
      <x:c r="R314" s="220"/>
      <x:c r="S314" s="220"/>
      <x:c r="T314" s="220"/>
      <x:c r="U314" s="220" t="str">
        <x:f>IF(AND(M314="",O314="",Q314="",S314=""),"",IF(S314&lt;&gt;"",S314,IF(Q314&lt;&gt;"",Q314,IF(O314&lt;&gt;"",O314,M314))))</x:f>
      </x:c>
      <x:c r="V314" s="220" t="str">
        <x:f>IF(AND(N314="",P314="",R314="",T314=""),"",IF(T314&lt;&gt;"",T314,IF(R314&lt;&gt;"",R314,IF(P314&lt;&gt;"",P314,N314))))</x:f>
      </x:c>
      <x:c r="W314" s="221"/>
      <x:c r="X314" s="220"/>
      <x:c r="Y314" s="220"/>
      <x:c r="Z314" s="223"/>
      <x:c r="AA314" s="223"/>
      <x:c r="AB314" s="221"/>
      <x:c r="AC314" s="220"/>
      <x:c r="AD314" s="220"/>
      <x:c r="AE314" s="222"/>
      <x:c r="AF314" s="220"/>
      <x:c r="AG314" s="221"/>
      <x:c r="AH314" s="220"/>
      <x:c r="AI314" s="220"/>
      <x:c r="AJ314" s="222"/>
      <x:c r="AK314" s="220"/>
      <x:c r="AL314" s="220"/>
      <x:c r="AM314" s="220"/>
      <x:c r="AN314" s="220"/>
      <x:c r="AO314" s="220"/>
      <x:c r="AP314" s="220"/>
      <x:c r="AQ314" s="220"/>
      <x:c r="AR314" s="222"/>
      <x:c r="AS314" s="220"/>
      <x:c r="AT314" s="220"/>
      <x:c r="AU314" s="220"/>
      <x:c r="AV314" s="220"/>
      <x:c r="AW314" s="220"/>
      <x:c r="AX314" s="220"/>
      <x:c r="AY314" s="221"/>
      <x:c r="AZ314" s="220"/>
      <x:c r="BA314" s="220" t="str">
        <x:f>IF(AND(A314="",B314="",F314="",H314="",J314="",AW314="",AY314=""),"",IF(OR(B314="skip",AW314="skip"),"SKIP",IF(OR(B314="to_candidate",AW314="proposed_name"),IF(OR(A314="",AX314="",AY314="",COUNTIF($A$6:$A$505,A314)&gt;1),"REVIEW","TO_PROPOSED"),IF(OR(B314="",A314="",F314="",H314="",J314="",U314="",AW314="",COUNTIF($A$6:$A$505,A314)&gt;1,(COUNTIFS('أرقام التواصل'!$A$6:$A$505,"client",'أرقام التواصل'!$B$6:$B$505,A314,'أرقام التواصل'!$I$6:$I$505,"TRUE")+COUNTIFS('أرقام التواصل'!$A$6:$A$505,"client",'أرقام التواصل'!$B$6:$B$505,A314,'أرقام التواصل'!$C$6:$C$505,1))=0),"REVIEW","READY"))))</x:f>
      </x:c>
      <x:c r="BB314" s="224" t="str">
        <x:f>IF(BA314="","",IF(OR(BA314="READY",BA314="TO_PROPOSED"),"",IF(BA314="SKIP","Skipped by decision",TRIM(IF(B314="","missing import_action; ","")&amp;IF(A314="","missing migration_customer_key; ","")&amp;IF(AND(A314&lt;&gt;"",COUNTIF($A$6:$A$505,A314)&gt;1),"duplicate migration_customer_key; ","")&amp;IF(AND(NOT(OR(B314="to_candidate",AW314="proposed_name")),F314=""),"missing branch_id; ","")&amp;IF(AND(NOT(OR(B314="to_candidate",AW314="proposed_name")),H314=""),"missing first_name; ","")&amp;IF(AND(NOT(OR(B314="to_candidate",AW314="proposed_name")),J314=""),"missing last_name; ","")&amp;IF(AND(NOT(OR(B314="to_candidate",AW314="proposed_name")),U314=""),"missing final_geo_unit_id; ","")&amp;IF(AW314="","missing final_destination; ","")&amp;IF(AND(NOT(OR(B314="to_candidate",AW314="proposed_name")),(COUNTIFS('أرقام التواصل'!$A$6:$A$505,"client",'أرقام التواصل'!$B$6:$B$505,A314,'أرقام التواصل'!$I$6:$I$505,"TRUE")+COUNTIFS('أرقام التواصل'!$A$6:$A$505,"client",'أرقام التواصل'!$B$6:$B$505,A314,'أرقام التواصل'!$C$6:$C$505,1))=0),"missing primary contact in أرقام التواصل; ","")&amp;IF(OR(B314="to_candidate",AW314="proposed_name"),IF(AX314="","missing proposed_move_reason; ","")&amp;IF(AY314="","missing proposed_name_key; ",""),"")))))</x:f>
      </x:c>
    </x:row>
    <x:row r="315">
      <x:c r="A315" s="219"/>
      <x:c r="B315" s="220"/>
      <x:c r="C315" s="221"/>
      <x:c r="D315" s="220"/>
      <x:c r="E315" s="222"/>
      <x:c r="F315" s="220"/>
      <x:c r="G315" s="220"/>
      <x:c r="H315" s="220"/>
      <x:c r="I315" s="220"/>
      <x:c r="J315" s="220"/>
      <x:c r="K315" s="220"/>
      <x:c r="L315" s="220" t="str">
        <x:f>IF(TRIM(H315&amp;" "&amp;I315&amp;" "&amp;J315&amp;IF(K315&lt;&gt;""," ("&amp;K315&amp;")",""))="","",TRIM(H315&amp;" "&amp;I315&amp;" "&amp;J315&amp;IF(K315&lt;&gt;""," ("&amp;K315&amp;")","")))</x:f>
      </x:c>
      <x:c r="M315" s="220"/>
      <x:c r="N315" s="220"/>
      <x:c r="O315" s="220"/>
      <x:c r="P315" s="220"/>
      <x:c r="Q315" s="220"/>
      <x:c r="R315" s="220"/>
      <x:c r="S315" s="220"/>
      <x:c r="T315" s="220"/>
      <x:c r="U315" s="220" t="str">
        <x:f>IF(AND(M315="",O315="",Q315="",S315=""),"",IF(S315&lt;&gt;"",S315,IF(Q315&lt;&gt;"",Q315,IF(O315&lt;&gt;"",O315,M315))))</x:f>
      </x:c>
      <x:c r="V315" s="220" t="str">
        <x:f>IF(AND(N315="",P315="",R315="",T315=""),"",IF(T315&lt;&gt;"",T315,IF(R315&lt;&gt;"",R315,IF(P315&lt;&gt;"",P315,N315))))</x:f>
      </x:c>
      <x:c r="W315" s="221"/>
      <x:c r="X315" s="220"/>
      <x:c r="Y315" s="220"/>
      <x:c r="Z315" s="223"/>
      <x:c r="AA315" s="223"/>
      <x:c r="AB315" s="221"/>
      <x:c r="AC315" s="220"/>
      <x:c r="AD315" s="220"/>
      <x:c r="AE315" s="222"/>
      <x:c r="AF315" s="220"/>
      <x:c r="AG315" s="221"/>
      <x:c r="AH315" s="220"/>
      <x:c r="AI315" s="220"/>
      <x:c r="AJ315" s="222"/>
      <x:c r="AK315" s="220"/>
      <x:c r="AL315" s="220"/>
      <x:c r="AM315" s="220"/>
      <x:c r="AN315" s="220"/>
      <x:c r="AO315" s="220"/>
      <x:c r="AP315" s="220"/>
      <x:c r="AQ315" s="220"/>
      <x:c r="AR315" s="222"/>
      <x:c r="AS315" s="220"/>
      <x:c r="AT315" s="220"/>
      <x:c r="AU315" s="220"/>
      <x:c r="AV315" s="220"/>
      <x:c r="AW315" s="220"/>
      <x:c r="AX315" s="220"/>
      <x:c r="AY315" s="221"/>
      <x:c r="AZ315" s="220"/>
      <x:c r="BA315" s="220" t="str">
        <x:f>IF(AND(A315="",B315="",F315="",H315="",J315="",AW315="",AY315=""),"",IF(OR(B315="skip",AW315="skip"),"SKIP",IF(OR(B315="to_candidate",AW315="proposed_name"),IF(OR(A315="",AX315="",AY315="",COUNTIF($A$6:$A$505,A315)&gt;1),"REVIEW","TO_PROPOSED"),IF(OR(B315="",A315="",F315="",H315="",J315="",U315="",AW315="",COUNTIF($A$6:$A$505,A315)&gt;1,(COUNTIFS('أرقام التواصل'!$A$6:$A$505,"client",'أرقام التواصل'!$B$6:$B$505,A315,'أرقام التواصل'!$I$6:$I$505,"TRUE")+COUNTIFS('أرقام التواصل'!$A$6:$A$505,"client",'أرقام التواصل'!$B$6:$B$505,A315,'أرقام التواصل'!$C$6:$C$505,1))=0),"REVIEW","READY"))))</x:f>
      </x:c>
      <x:c r="BB315" s="224" t="str">
        <x:f>IF(BA315="","",IF(OR(BA315="READY",BA315="TO_PROPOSED"),"",IF(BA315="SKIP","Skipped by decision",TRIM(IF(B315="","missing import_action; ","")&amp;IF(A315="","missing migration_customer_key; ","")&amp;IF(AND(A315&lt;&gt;"",COUNTIF($A$6:$A$505,A315)&gt;1),"duplicate migration_customer_key; ","")&amp;IF(AND(NOT(OR(B315="to_candidate",AW315="proposed_name")),F315=""),"missing branch_id; ","")&amp;IF(AND(NOT(OR(B315="to_candidate",AW315="proposed_name")),H315=""),"missing first_name; ","")&amp;IF(AND(NOT(OR(B315="to_candidate",AW315="proposed_name")),J315=""),"missing last_name; ","")&amp;IF(AND(NOT(OR(B315="to_candidate",AW315="proposed_name")),U315=""),"missing final_geo_unit_id; ","")&amp;IF(AW315="","missing final_destination; ","")&amp;IF(AND(NOT(OR(B315="to_candidate",AW315="proposed_name")),(COUNTIFS('أرقام التواصل'!$A$6:$A$505,"client",'أرقام التواصل'!$B$6:$B$505,A315,'أرقام التواصل'!$I$6:$I$505,"TRUE")+COUNTIFS('أرقام التواصل'!$A$6:$A$505,"client",'أرقام التواصل'!$B$6:$B$505,A315,'أرقام التواصل'!$C$6:$C$505,1))=0),"missing primary contact in أرقام التواصل; ","")&amp;IF(OR(B315="to_candidate",AW315="proposed_name"),IF(AX315="","missing proposed_move_reason; ","")&amp;IF(AY315="","missing proposed_name_key; ",""),"")))))</x:f>
      </x:c>
    </x:row>
    <x:row r="316">
      <x:c r="A316" s="219"/>
      <x:c r="B316" s="220"/>
      <x:c r="C316" s="221"/>
      <x:c r="D316" s="220"/>
      <x:c r="E316" s="222"/>
      <x:c r="F316" s="220"/>
      <x:c r="G316" s="220"/>
      <x:c r="H316" s="220"/>
      <x:c r="I316" s="220"/>
      <x:c r="J316" s="220"/>
      <x:c r="K316" s="220"/>
      <x:c r="L316" s="220" t="str">
        <x:f>IF(TRIM(H316&amp;" "&amp;I316&amp;" "&amp;J316&amp;IF(K316&lt;&gt;""," ("&amp;K316&amp;")",""))="","",TRIM(H316&amp;" "&amp;I316&amp;" "&amp;J316&amp;IF(K316&lt;&gt;""," ("&amp;K316&amp;")","")))</x:f>
      </x:c>
      <x:c r="M316" s="220"/>
      <x:c r="N316" s="220"/>
      <x:c r="O316" s="220"/>
      <x:c r="P316" s="220"/>
      <x:c r="Q316" s="220"/>
      <x:c r="R316" s="220"/>
      <x:c r="S316" s="220"/>
      <x:c r="T316" s="220"/>
      <x:c r="U316" s="220" t="str">
        <x:f>IF(AND(M316="",O316="",Q316="",S316=""),"",IF(S316&lt;&gt;"",S316,IF(Q316&lt;&gt;"",Q316,IF(O316&lt;&gt;"",O316,M316))))</x:f>
      </x:c>
      <x:c r="V316" s="220" t="str">
        <x:f>IF(AND(N316="",P316="",R316="",T316=""),"",IF(T316&lt;&gt;"",T316,IF(R316&lt;&gt;"",R316,IF(P316&lt;&gt;"",P316,N316))))</x:f>
      </x:c>
      <x:c r="W316" s="221"/>
      <x:c r="X316" s="220"/>
      <x:c r="Y316" s="220"/>
      <x:c r="Z316" s="223"/>
      <x:c r="AA316" s="223"/>
      <x:c r="AB316" s="221"/>
      <x:c r="AC316" s="220"/>
      <x:c r="AD316" s="220"/>
      <x:c r="AE316" s="222"/>
      <x:c r="AF316" s="220"/>
      <x:c r="AG316" s="221"/>
      <x:c r="AH316" s="220"/>
      <x:c r="AI316" s="220"/>
      <x:c r="AJ316" s="222"/>
      <x:c r="AK316" s="220"/>
      <x:c r="AL316" s="220"/>
      <x:c r="AM316" s="220"/>
      <x:c r="AN316" s="220"/>
      <x:c r="AO316" s="220"/>
      <x:c r="AP316" s="220"/>
      <x:c r="AQ316" s="220"/>
      <x:c r="AR316" s="222"/>
      <x:c r="AS316" s="220"/>
      <x:c r="AT316" s="220"/>
      <x:c r="AU316" s="220"/>
      <x:c r="AV316" s="220"/>
      <x:c r="AW316" s="220"/>
      <x:c r="AX316" s="220"/>
      <x:c r="AY316" s="221"/>
      <x:c r="AZ316" s="220"/>
      <x:c r="BA316" s="220" t="str">
        <x:f>IF(AND(A316="",B316="",F316="",H316="",J316="",AW316="",AY316=""),"",IF(OR(B316="skip",AW316="skip"),"SKIP",IF(OR(B316="to_candidate",AW316="proposed_name"),IF(OR(A316="",AX316="",AY316="",COUNTIF($A$6:$A$505,A316)&gt;1),"REVIEW","TO_PROPOSED"),IF(OR(B316="",A316="",F316="",H316="",J316="",U316="",AW316="",COUNTIF($A$6:$A$505,A316)&gt;1,(COUNTIFS('أرقام التواصل'!$A$6:$A$505,"client",'أرقام التواصل'!$B$6:$B$505,A316,'أرقام التواصل'!$I$6:$I$505,"TRUE")+COUNTIFS('أرقام التواصل'!$A$6:$A$505,"client",'أرقام التواصل'!$B$6:$B$505,A316,'أرقام التواصل'!$C$6:$C$505,1))=0),"REVIEW","READY"))))</x:f>
      </x:c>
      <x:c r="BB316" s="224" t="str">
        <x:f>IF(BA316="","",IF(OR(BA316="READY",BA316="TO_PROPOSED"),"",IF(BA316="SKIP","Skipped by decision",TRIM(IF(B316="","missing import_action; ","")&amp;IF(A316="","missing migration_customer_key; ","")&amp;IF(AND(A316&lt;&gt;"",COUNTIF($A$6:$A$505,A316)&gt;1),"duplicate migration_customer_key; ","")&amp;IF(AND(NOT(OR(B316="to_candidate",AW316="proposed_name")),F316=""),"missing branch_id; ","")&amp;IF(AND(NOT(OR(B316="to_candidate",AW316="proposed_name")),H316=""),"missing first_name; ","")&amp;IF(AND(NOT(OR(B316="to_candidate",AW316="proposed_name")),J316=""),"missing last_name; ","")&amp;IF(AND(NOT(OR(B316="to_candidate",AW316="proposed_name")),U316=""),"missing final_geo_unit_id; ","")&amp;IF(AW316="","missing final_destination; ","")&amp;IF(AND(NOT(OR(B316="to_candidate",AW316="proposed_name")),(COUNTIFS('أرقام التواصل'!$A$6:$A$505,"client",'أرقام التواصل'!$B$6:$B$505,A316,'أرقام التواصل'!$I$6:$I$505,"TRUE")+COUNTIFS('أرقام التواصل'!$A$6:$A$505,"client",'أرقام التواصل'!$B$6:$B$505,A316,'أرقام التواصل'!$C$6:$C$505,1))=0),"missing primary contact in أرقام التواصل; ","")&amp;IF(OR(B316="to_candidate",AW316="proposed_name"),IF(AX316="","missing proposed_move_reason; ","")&amp;IF(AY316="","missing proposed_name_key; ",""),"")))))</x:f>
      </x:c>
    </x:row>
    <x:row r="317">
      <x:c r="A317" s="219"/>
      <x:c r="B317" s="220"/>
      <x:c r="C317" s="221"/>
      <x:c r="D317" s="220"/>
      <x:c r="E317" s="222"/>
      <x:c r="F317" s="220"/>
      <x:c r="G317" s="220"/>
      <x:c r="H317" s="220"/>
      <x:c r="I317" s="220"/>
      <x:c r="J317" s="220"/>
      <x:c r="K317" s="220"/>
      <x:c r="L317" s="220" t="str">
        <x:f>IF(TRIM(H317&amp;" "&amp;I317&amp;" "&amp;J317&amp;IF(K317&lt;&gt;""," ("&amp;K317&amp;")",""))="","",TRIM(H317&amp;" "&amp;I317&amp;" "&amp;J317&amp;IF(K317&lt;&gt;""," ("&amp;K317&amp;")","")))</x:f>
      </x:c>
      <x:c r="M317" s="220"/>
      <x:c r="N317" s="220"/>
      <x:c r="O317" s="220"/>
      <x:c r="P317" s="220"/>
      <x:c r="Q317" s="220"/>
      <x:c r="R317" s="220"/>
      <x:c r="S317" s="220"/>
      <x:c r="T317" s="220"/>
      <x:c r="U317" s="220" t="str">
        <x:f>IF(AND(M317="",O317="",Q317="",S317=""),"",IF(S317&lt;&gt;"",S317,IF(Q317&lt;&gt;"",Q317,IF(O317&lt;&gt;"",O317,M317))))</x:f>
      </x:c>
      <x:c r="V317" s="220" t="str">
        <x:f>IF(AND(N317="",P317="",R317="",T317=""),"",IF(T317&lt;&gt;"",T317,IF(R317&lt;&gt;"",R317,IF(P317&lt;&gt;"",P317,N317))))</x:f>
      </x:c>
      <x:c r="W317" s="221"/>
      <x:c r="X317" s="220"/>
      <x:c r="Y317" s="220"/>
      <x:c r="Z317" s="223"/>
      <x:c r="AA317" s="223"/>
      <x:c r="AB317" s="221"/>
      <x:c r="AC317" s="220"/>
      <x:c r="AD317" s="220"/>
      <x:c r="AE317" s="222"/>
      <x:c r="AF317" s="220"/>
      <x:c r="AG317" s="221"/>
      <x:c r="AH317" s="220"/>
      <x:c r="AI317" s="220"/>
      <x:c r="AJ317" s="222"/>
      <x:c r="AK317" s="220"/>
      <x:c r="AL317" s="220"/>
      <x:c r="AM317" s="220"/>
      <x:c r="AN317" s="220"/>
      <x:c r="AO317" s="220"/>
      <x:c r="AP317" s="220"/>
      <x:c r="AQ317" s="220"/>
      <x:c r="AR317" s="222"/>
      <x:c r="AS317" s="220"/>
      <x:c r="AT317" s="220"/>
      <x:c r="AU317" s="220"/>
      <x:c r="AV317" s="220"/>
      <x:c r="AW317" s="220"/>
      <x:c r="AX317" s="220"/>
      <x:c r="AY317" s="221"/>
      <x:c r="AZ317" s="220"/>
      <x:c r="BA317" s="220" t="str">
        <x:f>IF(AND(A317="",B317="",F317="",H317="",J317="",AW317="",AY317=""),"",IF(OR(B317="skip",AW317="skip"),"SKIP",IF(OR(B317="to_candidate",AW317="proposed_name"),IF(OR(A317="",AX317="",AY317="",COUNTIF($A$6:$A$505,A317)&gt;1),"REVIEW","TO_PROPOSED"),IF(OR(B317="",A317="",F317="",H317="",J317="",U317="",AW317="",COUNTIF($A$6:$A$505,A317)&gt;1,(COUNTIFS('أرقام التواصل'!$A$6:$A$505,"client",'أرقام التواصل'!$B$6:$B$505,A317,'أرقام التواصل'!$I$6:$I$505,"TRUE")+COUNTIFS('أرقام التواصل'!$A$6:$A$505,"client",'أرقام التواصل'!$B$6:$B$505,A317,'أرقام التواصل'!$C$6:$C$505,1))=0),"REVIEW","READY"))))</x:f>
      </x:c>
      <x:c r="BB317" s="224" t="str">
        <x:f>IF(BA317="","",IF(OR(BA317="READY",BA317="TO_PROPOSED"),"",IF(BA317="SKIP","Skipped by decision",TRIM(IF(B317="","missing import_action; ","")&amp;IF(A317="","missing migration_customer_key; ","")&amp;IF(AND(A317&lt;&gt;"",COUNTIF($A$6:$A$505,A317)&gt;1),"duplicate migration_customer_key; ","")&amp;IF(AND(NOT(OR(B317="to_candidate",AW317="proposed_name")),F317=""),"missing branch_id; ","")&amp;IF(AND(NOT(OR(B317="to_candidate",AW317="proposed_name")),H317=""),"missing first_name; ","")&amp;IF(AND(NOT(OR(B317="to_candidate",AW317="proposed_name")),J317=""),"missing last_name; ","")&amp;IF(AND(NOT(OR(B317="to_candidate",AW317="proposed_name")),U317=""),"missing final_geo_unit_id; ","")&amp;IF(AW317="","missing final_destination; ","")&amp;IF(AND(NOT(OR(B317="to_candidate",AW317="proposed_name")),(COUNTIFS('أرقام التواصل'!$A$6:$A$505,"client",'أرقام التواصل'!$B$6:$B$505,A317,'أرقام التواصل'!$I$6:$I$505,"TRUE")+COUNTIFS('أرقام التواصل'!$A$6:$A$505,"client",'أرقام التواصل'!$B$6:$B$505,A317,'أرقام التواصل'!$C$6:$C$505,1))=0),"missing primary contact in أرقام التواصل; ","")&amp;IF(OR(B317="to_candidate",AW317="proposed_name"),IF(AX317="","missing proposed_move_reason; ","")&amp;IF(AY317="","missing proposed_name_key; ",""),"")))))</x:f>
      </x:c>
    </x:row>
    <x:row r="318">
      <x:c r="A318" s="219"/>
      <x:c r="B318" s="220"/>
      <x:c r="C318" s="221"/>
      <x:c r="D318" s="220"/>
      <x:c r="E318" s="222"/>
      <x:c r="F318" s="220"/>
      <x:c r="G318" s="220"/>
      <x:c r="H318" s="220"/>
      <x:c r="I318" s="220"/>
      <x:c r="J318" s="220"/>
      <x:c r="K318" s="220"/>
      <x:c r="L318" s="220" t="str">
        <x:f>IF(TRIM(H318&amp;" "&amp;I318&amp;" "&amp;J318&amp;IF(K318&lt;&gt;""," ("&amp;K318&amp;")",""))="","",TRIM(H318&amp;" "&amp;I318&amp;" "&amp;J318&amp;IF(K318&lt;&gt;""," ("&amp;K318&amp;")","")))</x:f>
      </x:c>
      <x:c r="M318" s="220"/>
      <x:c r="N318" s="220"/>
      <x:c r="O318" s="220"/>
      <x:c r="P318" s="220"/>
      <x:c r="Q318" s="220"/>
      <x:c r="R318" s="220"/>
      <x:c r="S318" s="220"/>
      <x:c r="T318" s="220"/>
      <x:c r="U318" s="220" t="str">
        <x:f>IF(AND(M318="",O318="",Q318="",S318=""),"",IF(S318&lt;&gt;"",S318,IF(Q318&lt;&gt;"",Q318,IF(O318&lt;&gt;"",O318,M318))))</x:f>
      </x:c>
      <x:c r="V318" s="220" t="str">
        <x:f>IF(AND(N318="",P318="",R318="",T318=""),"",IF(T318&lt;&gt;"",T318,IF(R318&lt;&gt;"",R318,IF(P318&lt;&gt;"",P318,N318))))</x:f>
      </x:c>
      <x:c r="W318" s="221"/>
      <x:c r="X318" s="220"/>
      <x:c r="Y318" s="220"/>
      <x:c r="Z318" s="223"/>
      <x:c r="AA318" s="223"/>
      <x:c r="AB318" s="221"/>
      <x:c r="AC318" s="220"/>
      <x:c r="AD318" s="220"/>
      <x:c r="AE318" s="222"/>
      <x:c r="AF318" s="220"/>
      <x:c r="AG318" s="221"/>
      <x:c r="AH318" s="220"/>
      <x:c r="AI318" s="220"/>
      <x:c r="AJ318" s="222"/>
      <x:c r="AK318" s="220"/>
      <x:c r="AL318" s="220"/>
      <x:c r="AM318" s="220"/>
      <x:c r="AN318" s="220"/>
      <x:c r="AO318" s="220"/>
      <x:c r="AP318" s="220"/>
      <x:c r="AQ318" s="220"/>
      <x:c r="AR318" s="222"/>
      <x:c r="AS318" s="220"/>
      <x:c r="AT318" s="220"/>
      <x:c r="AU318" s="220"/>
      <x:c r="AV318" s="220"/>
      <x:c r="AW318" s="220"/>
      <x:c r="AX318" s="220"/>
      <x:c r="AY318" s="221"/>
      <x:c r="AZ318" s="220"/>
      <x:c r="BA318" s="220" t="str">
        <x:f>IF(AND(A318="",B318="",F318="",H318="",J318="",AW318="",AY318=""),"",IF(OR(B318="skip",AW318="skip"),"SKIP",IF(OR(B318="to_candidate",AW318="proposed_name"),IF(OR(A318="",AX318="",AY318="",COUNTIF($A$6:$A$505,A318)&gt;1),"REVIEW","TO_PROPOSED"),IF(OR(B318="",A318="",F318="",H318="",J318="",U318="",AW318="",COUNTIF($A$6:$A$505,A318)&gt;1,(COUNTIFS('أرقام التواصل'!$A$6:$A$505,"client",'أرقام التواصل'!$B$6:$B$505,A318,'أرقام التواصل'!$I$6:$I$505,"TRUE")+COUNTIFS('أرقام التواصل'!$A$6:$A$505,"client",'أرقام التواصل'!$B$6:$B$505,A318,'أرقام التواصل'!$C$6:$C$505,1))=0),"REVIEW","READY"))))</x:f>
      </x:c>
      <x:c r="BB318" s="224" t="str">
        <x:f>IF(BA318="","",IF(OR(BA318="READY",BA318="TO_PROPOSED"),"",IF(BA318="SKIP","Skipped by decision",TRIM(IF(B318="","missing import_action; ","")&amp;IF(A318="","missing migration_customer_key; ","")&amp;IF(AND(A318&lt;&gt;"",COUNTIF($A$6:$A$505,A318)&gt;1),"duplicate migration_customer_key; ","")&amp;IF(AND(NOT(OR(B318="to_candidate",AW318="proposed_name")),F318=""),"missing branch_id; ","")&amp;IF(AND(NOT(OR(B318="to_candidate",AW318="proposed_name")),H318=""),"missing first_name; ","")&amp;IF(AND(NOT(OR(B318="to_candidate",AW318="proposed_name")),J318=""),"missing last_name; ","")&amp;IF(AND(NOT(OR(B318="to_candidate",AW318="proposed_name")),U318=""),"missing final_geo_unit_id; ","")&amp;IF(AW318="","missing final_destination; ","")&amp;IF(AND(NOT(OR(B318="to_candidate",AW318="proposed_name")),(COUNTIFS('أرقام التواصل'!$A$6:$A$505,"client",'أرقام التواصل'!$B$6:$B$505,A318,'أرقام التواصل'!$I$6:$I$505,"TRUE")+COUNTIFS('أرقام التواصل'!$A$6:$A$505,"client",'أرقام التواصل'!$B$6:$B$505,A318,'أرقام التواصل'!$C$6:$C$505,1))=0),"missing primary contact in أرقام التواصل; ","")&amp;IF(OR(B318="to_candidate",AW318="proposed_name"),IF(AX318="","missing proposed_move_reason; ","")&amp;IF(AY318="","missing proposed_name_key; ",""),"")))))</x:f>
      </x:c>
    </x:row>
    <x:row r="319">
      <x:c r="A319" s="219"/>
      <x:c r="B319" s="220"/>
      <x:c r="C319" s="221"/>
      <x:c r="D319" s="220"/>
      <x:c r="E319" s="222"/>
      <x:c r="F319" s="220"/>
      <x:c r="G319" s="220"/>
      <x:c r="H319" s="220"/>
      <x:c r="I319" s="220"/>
      <x:c r="J319" s="220"/>
      <x:c r="K319" s="220"/>
      <x:c r="L319" s="220" t="str">
        <x:f>IF(TRIM(H319&amp;" "&amp;I319&amp;" "&amp;J319&amp;IF(K319&lt;&gt;""," ("&amp;K319&amp;")",""))="","",TRIM(H319&amp;" "&amp;I319&amp;" "&amp;J319&amp;IF(K319&lt;&gt;""," ("&amp;K319&amp;")","")))</x:f>
      </x:c>
      <x:c r="M319" s="220"/>
      <x:c r="N319" s="220"/>
      <x:c r="O319" s="220"/>
      <x:c r="P319" s="220"/>
      <x:c r="Q319" s="220"/>
      <x:c r="R319" s="220"/>
      <x:c r="S319" s="220"/>
      <x:c r="T319" s="220"/>
      <x:c r="U319" s="220" t="str">
        <x:f>IF(AND(M319="",O319="",Q319="",S319=""),"",IF(S319&lt;&gt;"",S319,IF(Q319&lt;&gt;"",Q319,IF(O319&lt;&gt;"",O319,M319))))</x:f>
      </x:c>
      <x:c r="V319" s="220" t="str">
        <x:f>IF(AND(N319="",P319="",R319="",T319=""),"",IF(T319&lt;&gt;"",T319,IF(R319&lt;&gt;"",R319,IF(P319&lt;&gt;"",P319,N319))))</x:f>
      </x:c>
      <x:c r="W319" s="221"/>
      <x:c r="X319" s="220"/>
      <x:c r="Y319" s="220"/>
      <x:c r="Z319" s="223"/>
      <x:c r="AA319" s="223"/>
      <x:c r="AB319" s="221"/>
      <x:c r="AC319" s="220"/>
      <x:c r="AD319" s="220"/>
      <x:c r="AE319" s="222"/>
      <x:c r="AF319" s="220"/>
      <x:c r="AG319" s="221"/>
      <x:c r="AH319" s="220"/>
      <x:c r="AI319" s="220"/>
      <x:c r="AJ319" s="222"/>
      <x:c r="AK319" s="220"/>
      <x:c r="AL319" s="220"/>
      <x:c r="AM319" s="220"/>
      <x:c r="AN319" s="220"/>
      <x:c r="AO319" s="220"/>
      <x:c r="AP319" s="220"/>
      <x:c r="AQ319" s="220"/>
      <x:c r="AR319" s="222"/>
      <x:c r="AS319" s="220"/>
      <x:c r="AT319" s="220"/>
      <x:c r="AU319" s="220"/>
      <x:c r="AV319" s="220"/>
      <x:c r="AW319" s="220"/>
      <x:c r="AX319" s="220"/>
      <x:c r="AY319" s="221"/>
      <x:c r="AZ319" s="220"/>
      <x:c r="BA319" s="220" t="str">
        <x:f>IF(AND(A319="",B319="",F319="",H319="",J319="",AW319="",AY319=""),"",IF(OR(B319="skip",AW319="skip"),"SKIP",IF(OR(B319="to_candidate",AW319="proposed_name"),IF(OR(A319="",AX319="",AY319="",COUNTIF($A$6:$A$505,A319)&gt;1),"REVIEW","TO_PROPOSED"),IF(OR(B319="",A319="",F319="",H319="",J319="",U319="",AW319="",COUNTIF($A$6:$A$505,A319)&gt;1,(COUNTIFS('أرقام التواصل'!$A$6:$A$505,"client",'أرقام التواصل'!$B$6:$B$505,A319,'أرقام التواصل'!$I$6:$I$505,"TRUE")+COUNTIFS('أرقام التواصل'!$A$6:$A$505,"client",'أرقام التواصل'!$B$6:$B$505,A319,'أرقام التواصل'!$C$6:$C$505,1))=0),"REVIEW","READY"))))</x:f>
      </x:c>
      <x:c r="BB319" s="224" t="str">
        <x:f>IF(BA319="","",IF(OR(BA319="READY",BA319="TO_PROPOSED"),"",IF(BA319="SKIP","Skipped by decision",TRIM(IF(B319="","missing import_action; ","")&amp;IF(A319="","missing migration_customer_key; ","")&amp;IF(AND(A319&lt;&gt;"",COUNTIF($A$6:$A$505,A319)&gt;1),"duplicate migration_customer_key; ","")&amp;IF(AND(NOT(OR(B319="to_candidate",AW319="proposed_name")),F319=""),"missing branch_id; ","")&amp;IF(AND(NOT(OR(B319="to_candidate",AW319="proposed_name")),H319=""),"missing first_name; ","")&amp;IF(AND(NOT(OR(B319="to_candidate",AW319="proposed_name")),J319=""),"missing last_name; ","")&amp;IF(AND(NOT(OR(B319="to_candidate",AW319="proposed_name")),U319=""),"missing final_geo_unit_id; ","")&amp;IF(AW319="","missing final_destination; ","")&amp;IF(AND(NOT(OR(B319="to_candidate",AW319="proposed_name")),(COUNTIFS('أرقام التواصل'!$A$6:$A$505,"client",'أرقام التواصل'!$B$6:$B$505,A319,'أرقام التواصل'!$I$6:$I$505,"TRUE")+COUNTIFS('أرقام التواصل'!$A$6:$A$505,"client",'أرقام التواصل'!$B$6:$B$505,A319,'أرقام التواصل'!$C$6:$C$505,1))=0),"missing primary contact in أرقام التواصل; ","")&amp;IF(OR(B319="to_candidate",AW319="proposed_name"),IF(AX319="","missing proposed_move_reason; ","")&amp;IF(AY319="","missing proposed_name_key; ",""),"")))))</x:f>
      </x:c>
    </x:row>
    <x:row r="320">
      <x:c r="A320" s="219"/>
      <x:c r="B320" s="220"/>
      <x:c r="C320" s="221"/>
      <x:c r="D320" s="220"/>
      <x:c r="E320" s="222"/>
      <x:c r="F320" s="220"/>
      <x:c r="G320" s="220"/>
      <x:c r="H320" s="220"/>
      <x:c r="I320" s="220"/>
      <x:c r="J320" s="220"/>
      <x:c r="K320" s="220"/>
      <x:c r="L320" s="220" t="str">
        <x:f>IF(TRIM(H320&amp;" "&amp;I320&amp;" "&amp;J320&amp;IF(K320&lt;&gt;""," ("&amp;K320&amp;")",""))="","",TRIM(H320&amp;" "&amp;I320&amp;" "&amp;J320&amp;IF(K320&lt;&gt;""," ("&amp;K320&amp;")","")))</x:f>
      </x:c>
      <x:c r="M320" s="220"/>
      <x:c r="N320" s="220"/>
      <x:c r="O320" s="220"/>
      <x:c r="P320" s="220"/>
      <x:c r="Q320" s="220"/>
      <x:c r="R320" s="220"/>
      <x:c r="S320" s="220"/>
      <x:c r="T320" s="220"/>
      <x:c r="U320" s="220" t="str">
        <x:f>IF(AND(M320="",O320="",Q320="",S320=""),"",IF(S320&lt;&gt;"",S320,IF(Q320&lt;&gt;"",Q320,IF(O320&lt;&gt;"",O320,M320))))</x:f>
      </x:c>
      <x:c r="V320" s="220" t="str">
        <x:f>IF(AND(N320="",P320="",R320="",T320=""),"",IF(T320&lt;&gt;"",T320,IF(R320&lt;&gt;"",R320,IF(P320&lt;&gt;"",P320,N320))))</x:f>
      </x:c>
      <x:c r="W320" s="221"/>
      <x:c r="X320" s="220"/>
      <x:c r="Y320" s="220"/>
      <x:c r="Z320" s="223"/>
      <x:c r="AA320" s="223"/>
      <x:c r="AB320" s="221"/>
      <x:c r="AC320" s="220"/>
      <x:c r="AD320" s="220"/>
      <x:c r="AE320" s="222"/>
      <x:c r="AF320" s="220"/>
      <x:c r="AG320" s="221"/>
      <x:c r="AH320" s="220"/>
      <x:c r="AI320" s="220"/>
      <x:c r="AJ320" s="222"/>
      <x:c r="AK320" s="220"/>
      <x:c r="AL320" s="220"/>
      <x:c r="AM320" s="220"/>
      <x:c r="AN320" s="220"/>
      <x:c r="AO320" s="220"/>
      <x:c r="AP320" s="220"/>
      <x:c r="AQ320" s="220"/>
      <x:c r="AR320" s="222"/>
      <x:c r="AS320" s="220"/>
      <x:c r="AT320" s="220"/>
      <x:c r="AU320" s="220"/>
      <x:c r="AV320" s="220"/>
      <x:c r="AW320" s="220"/>
      <x:c r="AX320" s="220"/>
      <x:c r="AY320" s="221"/>
      <x:c r="AZ320" s="220"/>
      <x:c r="BA320" s="220" t="str">
        <x:f>IF(AND(A320="",B320="",F320="",H320="",J320="",AW320="",AY320=""),"",IF(OR(B320="skip",AW320="skip"),"SKIP",IF(OR(B320="to_candidate",AW320="proposed_name"),IF(OR(A320="",AX320="",AY320="",COUNTIF($A$6:$A$505,A320)&gt;1),"REVIEW","TO_PROPOSED"),IF(OR(B320="",A320="",F320="",H320="",J320="",U320="",AW320="",COUNTIF($A$6:$A$505,A320)&gt;1,(COUNTIFS('أرقام التواصل'!$A$6:$A$505,"client",'أرقام التواصل'!$B$6:$B$505,A320,'أرقام التواصل'!$I$6:$I$505,"TRUE")+COUNTIFS('أرقام التواصل'!$A$6:$A$505,"client",'أرقام التواصل'!$B$6:$B$505,A320,'أرقام التواصل'!$C$6:$C$505,1))=0),"REVIEW","READY"))))</x:f>
      </x:c>
      <x:c r="BB320" s="224" t="str">
        <x:f>IF(BA320="","",IF(OR(BA320="READY",BA320="TO_PROPOSED"),"",IF(BA320="SKIP","Skipped by decision",TRIM(IF(B320="","missing import_action; ","")&amp;IF(A320="","missing migration_customer_key; ","")&amp;IF(AND(A320&lt;&gt;"",COUNTIF($A$6:$A$505,A320)&gt;1),"duplicate migration_customer_key; ","")&amp;IF(AND(NOT(OR(B320="to_candidate",AW320="proposed_name")),F320=""),"missing branch_id; ","")&amp;IF(AND(NOT(OR(B320="to_candidate",AW320="proposed_name")),H320=""),"missing first_name; ","")&amp;IF(AND(NOT(OR(B320="to_candidate",AW320="proposed_name")),J320=""),"missing last_name; ","")&amp;IF(AND(NOT(OR(B320="to_candidate",AW320="proposed_name")),U320=""),"missing final_geo_unit_id; ","")&amp;IF(AW320="","missing final_destination; ","")&amp;IF(AND(NOT(OR(B320="to_candidate",AW320="proposed_name")),(COUNTIFS('أرقام التواصل'!$A$6:$A$505,"client",'أرقام التواصل'!$B$6:$B$505,A320,'أرقام التواصل'!$I$6:$I$505,"TRUE")+COUNTIFS('أرقام التواصل'!$A$6:$A$505,"client",'أرقام التواصل'!$B$6:$B$505,A320,'أرقام التواصل'!$C$6:$C$505,1))=0),"missing primary contact in أرقام التواصل; ","")&amp;IF(OR(B320="to_candidate",AW320="proposed_name"),IF(AX320="","missing proposed_move_reason; ","")&amp;IF(AY320="","missing proposed_name_key; ",""),"")))))</x:f>
      </x:c>
    </x:row>
    <x:row r="321">
      <x:c r="A321" s="219"/>
      <x:c r="B321" s="220"/>
      <x:c r="C321" s="221"/>
      <x:c r="D321" s="220"/>
      <x:c r="E321" s="222"/>
      <x:c r="F321" s="220"/>
      <x:c r="G321" s="220"/>
      <x:c r="H321" s="220"/>
      <x:c r="I321" s="220"/>
      <x:c r="J321" s="220"/>
      <x:c r="K321" s="220"/>
      <x:c r="L321" s="220" t="str">
        <x:f>IF(TRIM(H321&amp;" "&amp;I321&amp;" "&amp;J321&amp;IF(K321&lt;&gt;""," ("&amp;K321&amp;")",""))="","",TRIM(H321&amp;" "&amp;I321&amp;" "&amp;J321&amp;IF(K321&lt;&gt;""," ("&amp;K321&amp;")","")))</x:f>
      </x:c>
      <x:c r="M321" s="220"/>
      <x:c r="N321" s="220"/>
      <x:c r="O321" s="220"/>
      <x:c r="P321" s="220"/>
      <x:c r="Q321" s="220"/>
      <x:c r="R321" s="220"/>
      <x:c r="S321" s="220"/>
      <x:c r="T321" s="220"/>
      <x:c r="U321" s="220" t="str">
        <x:f>IF(AND(M321="",O321="",Q321="",S321=""),"",IF(S321&lt;&gt;"",S321,IF(Q321&lt;&gt;"",Q321,IF(O321&lt;&gt;"",O321,M321))))</x:f>
      </x:c>
      <x:c r="V321" s="220" t="str">
        <x:f>IF(AND(N321="",P321="",R321="",T321=""),"",IF(T321&lt;&gt;"",T321,IF(R321&lt;&gt;"",R321,IF(P321&lt;&gt;"",P321,N321))))</x:f>
      </x:c>
      <x:c r="W321" s="221"/>
      <x:c r="X321" s="220"/>
      <x:c r="Y321" s="220"/>
      <x:c r="Z321" s="223"/>
      <x:c r="AA321" s="223"/>
      <x:c r="AB321" s="221"/>
      <x:c r="AC321" s="220"/>
      <x:c r="AD321" s="220"/>
      <x:c r="AE321" s="222"/>
      <x:c r="AF321" s="220"/>
      <x:c r="AG321" s="221"/>
      <x:c r="AH321" s="220"/>
      <x:c r="AI321" s="220"/>
      <x:c r="AJ321" s="222"/>
      <x:c r="AK321" s="220"/>
      <x:c r="AL321" s="220"/>
      <x:c r="AM321" s="220"/>
      <x:c r="AN321" s="220"/>
      <x:c r="AO321" s="220"/>
      <x:c r="AP321" s="220"/>
      <x:c r="AQ321" s="220"/>
      <x:c r="AR321" s="222"/>
      <x:c r="AS321" s="220"/>
      <x:c r="AT321" s="220"/>
      <x:c r="AU321" s="220"/>
      <x:c r="AV321" s="220"/>
      <x:c r="AW321" s="220"/>
      <x:c r="AX321" s="220"/>
      <x:c r="AY321" s="221"/>
      <x:c r="AZ321" s="220"/>
      <x:c r="BA321" s="220" t="str">
        <x:f>IF(AND(A321="",B321="",F321="",H321="",J321="",AW321="",AY321=""),"",IF(OR(B321="skip",AW321="skip"),"SKIP",IF(OR(B321="to_candidate",AW321="proposed_name"),IF(OR(A321="",AX321="",AY321="",COUNTIF($A$6:$A$505,A321)&gt;1),"REVIEW","TO_PROPOSED"),IF(OR(B321="",A321="",F321="",H321="",J321="",U321="",AW321="",COUNTIF($A$6:$A$505,A321)&gt;1,(COUNTIFS('أرقام التواصل'!$A$6:$A$505,"client",'أرقام التواصل'!$B$6:$B$505,A321,'أرقام التواصل'!$I$6:$I$505,"TRUE")+COUNTIFS('أرقام التواصل'!$A$6:$A$505,"client",'أرقام التواصل'!$B$6:$B$505,A321,'أرقام التواصل'!$C$6:$C$505,1))=0),"REVIEW","READY"))))</x:f>
      </x:c>
      <x:c r="BB321" s="224" t="str">
        <x:f>IF(BA321="","",IF(OR(BA321="READY",BA321="TO_PROPOSED"),"",IF(BA321="SKIP","Skipped by decision",TRIM(IF(B321="","missing import_action; ","")&amp;IF(A321="","missing migration_customer_key; ","")&amp;IF(AND(A321&lt;&gt;"",COUNTIF($A$6:$A$505,A321)&gt;1),"duplicate migration_customer_key; ","")&amp;IF(AND(NOT(OR(B321="to_candidate",AW321="proposed_name")),F321=""),"missing branch_id; ","")&amp;IF(AND(NOT(OR(B321="to_candidate",AW321="proposed_name")),H321=""),"missing first_name; ","")&amp;IF(AND(NOT(OR(B321="to_candidate",AW321="proposed_name")),J321=""),"missing last_name; ","")&amp;IF(AND(NOT(OR(B321="to_candidate",AW321="proposed_name")),U321=""),"missing final_geo_unit_id; ","")&amp;IF(AW321="","missing final_destination; ","")&amp;IF(AND(NOT(OR(B321="to_candidate",AW321="proposed_name")),(COUNTIFS('أرقام التواصل'!$A$6:$A$505,"client",'أرقام التواصل'!$B$6:$B$505,A321,'أرقام التواصل'!$I$6:$I$505,"TRUE")+COUNTIFS('أرقام التواصل'!$A$6:$A$505,"client",'أرقام التواصل'!$B$6:$B$505,A321,'أرقام التواصل'!$C$6:$C$505,1))=0),"missing primary contact in أرقام التواصل; ","")&amp;IF(OR(B321="to_candidate",AW321="proposed_name"),IF(AX321="","missing proposed_move_reason; ","")&amp;IF(AY321="","missing proposed_name_key; ",""),"")))))</x:f>
      </x:c>
    </x:row>
    <x:row r="322">
      <x:c r="A322" s="219"/>
      <x:c r="B322" s="220"/>
      <x:c r="C322" s="221"/>
      <x:c r="D322" s="220"/>
      <x:c r="E322" s="222"/>
      <x:c r="F322" s="220"/>
      <x:c r="G322" s="220"/>
      <x:c r="H322" s="220"/>
      <x:c r="I322" s="220"/>
      <x:c r="J322" s="220"/>
      <x:c r="K322" s="220"/>
      <x:c r="L322" s="220" t="str">
        <x:f>IF(TRIM(H322&amp;" "&amp;I322&amp;" "&amp;J322&amp;IF(K322&lt;&gt;""," ("&amp;K322&amp;")",""))="","",TRIM(H322&amp;" "&amp;I322&amp;" "&amp;J322&amp;IF(K322&lt;&gt;""," ("&amp;K322&amp;")","")))</x:f>
      </x:c>
      <x:c r="M322" s="220"/>
      <x:c r="N322" s="220"/>
      <x:c r="O322" s="220"/>
      <x:c r="P322" s="220"/>
      <x:c r="Q322" s="220"/>
      <x:c r="R322" s="220"/>
      <x:c r="S322" s="220"/>
      <x:c r="T322" s="220"/>
      <x:c r="U322" s="220" t="str">
        <x:f>IF(AND(M322="",O322="",Q322="",S322=""),"",IF(S322&lt;&gt;"",S322,IF(Q322&lt;&gt;"",Q322,IF(O322&lt;&gt;"",O322,M322))))</x:f>
      </x:c>
      <x:c r="V322" s="220" t="str">
        <x:f>IF(AND(N322="",P322="",R322="",T322=""),"",IF(T322&lt;&gt;"",T322,IF(R322&lt;&gt;"",R322,IF(P322&lt;&gt;"",P322,N322))))</x:f>
      </x:c>
      <x:c r="W322" s="221"/>
      <x:c r="X322" s="220"/>
      <x:c r="Y322" s="220"/>
      <x:c r="Z322" s="223"/>
      <x:c r="AA322" s="223"/>
      <x:c r="AB322" s="221"/>
      <x:c r="AC322" s="220"/>
      <x:c r="AD322" s="220"/>
      <x:c r="AE322" s="222"/>
      <x:c r="AF322" s="220"/>
      <x:c r="AG322" s="221"/>
      <x:c r="AH322" s="220"/>
      <x:c r="AI322" s="220"/>
      <x:c r="AJ322" s="222"/>
      <x:c r="AK322" s="220"/>
      <x:c r="AL322" s="220"/>
      <x:c r="AM322" s="220"/>
      <x:c r="AN322" s="220"/>
      <x:c r="AO322" s="220"/>
      <x:c r="AP322" s="220"/>
      <x:c r="AQ322" s="220"/>
      <x:c r="AR322" s="222"/>
      <x:c r="AS322" s="220"/>
      <x:c r="AT322" s="220"/>
      <x:c r="AU322" s="220"/>
      <x:c r="AV322" s="220"/>
      <x:c r="AW322" s="220"/>
      <x:c r="AX322" s="220"/>
      <x:c r="AY322" s="221"/>
      <x:c r="AZ322" s="220"/>
      <x:c r="BA322" s="220" t="str">
        <x:f>IF(AND(A322="",B322="",F322="",H322="",J322="",AW322="",AY322=""),"",IF(OR(B322="skip",AW322="skip"),"SKIP",IF(OR(B322="to_candidate",AW322="proposed_name"),IF(OR(A322="",AX322="",AY322="",COUNTIF($A$6:$A$505,A322)&gt;1),"REVIEW","TO_PROPOSED"),IF(OR(B322="",A322="",F322="",H322="",J322="",U322="",AW322="",COUNTIF($A$6:$A$505,A322)&gt;1,(COUNTIFS('أرقام التواصل'!$A$6:$A$505,"client",'أرقام التواصل'!$B$6:$B$505,A322,'أرقام التواصل'!$I$6:$I$505,"TRUE")+COUNTIFS('أرقام التواصل'!$A$6:$A$505,"client",'أرقام التواصل'!$B$6:$B$505,A322,'أرقام التواصل'!$C$6:$C$505,1))=0),"REVIEW","READY"))))</x:f>
      </x:c>
      <x:c r="BB322" s="224" t="str">
        <x:f>IF(BA322="","",IF(OR(BA322="READY",BA322="TO_PROPOSED"),"",IF(BA322="SKIP","Skipped by decision",TRIM(IF(B322="","missing import_action; ","")&amp;IF(A322="","missing migration_customer_key; ","")&amp;IF(AND(A322&lt;&gt;"",COUNTIF($A$6:$A$505,A322)&gt;1),"duplicate migration_customer_key; ","")&amp;IF(AND(NOT(OR(B322="to_candidate",AW322="proposed_name")),F322=""),"missing branch_id; ","")&amp;IF(AND(NOT(OR(B322="to_candidate",AW322="proposed_name")),H322=""),"missing first_name; ","")&amp;IF(AND(NOT(OR(B322="to_candidate",AW322="proposed_name")),J322=""),"missing last_name; ","")&amp;IF(AND(NOT(OR(B322="to_candidate",AW322="proposed_name")),U322=""),"missing final_geo_unit_id; ","")&amp;IF(AW322="","missing final_destination; ","")&amp;IF(AND(NOT(OR(B322="to_candidate",AW322="proposed_name")),(COUNTIFS('أرقام التواصل'!$A$6:$A$505,"client",'أرقام التواصل'!$B$6:$B$505,A322,'أرقام التواصل'!$I$6:$I$505,"TRUE")+COUNTIFS('أرقام التواصل'!$A$6:$A$505,"client",'أرقام التواصل'!$B$6:$B$505,A322,'أرقام التواصل'!$C$6:$C$505,1))=0),"missing primary contact in أرقام التواصل; ","")&amp;IF(OR(B322="to_candidate",AW322="proposed_name"),IF(AX322="","missing proposed_move_reason; ","")&amp;IF(AY322="","missing proposed_name_key; ",""),"")))))</x:f>
      </x:c>
    </x:row>
    <x:row r="323">
      <x:c r="A323" s="219"/>
      <x:c r="B323" s="220"/>
      <x:c r="C323" s="221"/>
      <x:c r="D323" s="220"/>
      <x:c r="E323" s="222"/>
      <x:c r="F323" s="220"/>
      <x:c r="G323" s="220"/>
      <x:c r="H323" s="220"/>
      <x:c r="I323" s="220"/>
      <x:c r="J323" s="220"/>
      <x:c r="K323" s="220"/>
      <x:c r="L323" s="220" t="str">
        <x:f>IF(TRIM(H323&amp;" "&amp;I323&amp;" "&amp;J323&amp;IF(K323&lt;&gt;""," ("&amp;K323&amp;")",""))="","",TRIM(H323&amp;" "&amp;I323&amp;" "&amp;J323&amp;IF(K323&lt;&gt;""," ("&amp;K323&amp;")","")))</x:f>
      </x:c>
      <x:c r="M323" s="220"/>
      <x:c r="N323" s="220"/>
      <x:c r="O323" s="220"/>
      <x:c r="P323" s="220"/>
      <x:c r="Q323" s="220"/>
      <x:c r="R323" s="220"/>
      <x:c r="S323" s="220"/>
      <x:c r="T323" s="220"/>
      <x:c r="U323" s="220" t="str">
        <x:f>IF(AND(M323="",O323="",Q323="",S323=""),"",IF(S323&lt;&gt;"",S323,IF(Q323&lt;&gt;"",Q323,IF(O323&lt;&gt;"",O323,M323))))</x:f>
      </x:c>
      <x:c r="V323" s="220" t="str">
        <x:f>IF(AND(N323="",P323="",R323="",T323=""),"",IF(T323&lt;&gt;"",T323,IF(R323&lt;&gt;"",R323,IF(P323&lt;&gt;"",P323,N323))))</x:f>
      </x:c>
      <x:c r="W323" s="221"/>
      <x:c r="X323" s="220"/>
      <x:c r="Y323" s="220"/>
      <x:c r="Z323" s="223"/>
      <x:c r="AA323" s="223"/>
      <x:c r="AB323" s="221"/>
      <x:c r="AC323" s="220"/>
      <x:c r="AD323" s="220"/>
      <x:c r="AE323" s="222"/>
      <x:c r="AF323" s="220"/>
      <x:c r="AG323" s="221"/>
      <x:c r="AH323" s="220"/>
      <x:c r="AI323" s="220"/>
      <x:c r="AJ323" s="222"/>
      <x:c r="AK323" s="220"/>
      <x:c r="AL323" s="220"/>
      <x:c r="AM323" s="220"/>
      <x:c r="AN323" s="220"/>
      <x:c r="AO323" s="220"/>
      <x:c r="AP323" s="220"/>
      <x:c r="AQ323" s="220"/>
      <x:c r="AR323" s="222"/>
      <x:c r="AS323" s="220"/>
      <x:c r="AT323" s="220"/>
      <x:c r="AU323" s="220"/>
      <x:c r="AV323" s="220"/>
      <x:c r="AW323" s="220"/>
      <x:c r="AX323" s="220"/>
      <x:c r="AY323" s="221"/>
      <x:c r="AZ323" s="220"/>
      <x:c r="BA323" s="220" t="str">
        <x:f>IF(AND(A323="",B323="",F323="",H323="",J323="",AW323="",AY323=""),"",IF(OR(B323="skip",AW323="skip"),"SKIP",IF(OR(B323="to_candidate",AW323="proposed_name"),IF(OR(A323="",AX323="",AY323="",COUNTIF($A$6:$A$505,A323)&gt;1),"REVIEW","TO_PROPOSED"),IF(OR(B323="",A323="",F323="",H323="",J323="",U323="",AW323="",COUNTIF($A$6:$A$505,A323)&gt;1,(COUNTIFS('أرقام التواصل'!$A$6:$A$505,"client",'أرقام التواصل'!$B$6:$B$505,A323,'أرقام التواصل'!$I$6:$I$505,"TRUE")+COUNTIFS('أرقام التواصل'!$A$6:$A$505,"client",'أرقام التواصل'!$B$6:$B$505,A323,'أرقام التواصل'!$C$6:$C$505,1))=0),"REVIEW","READY"))))</x:f>
      </x:c>
      <x:c r="BB323" s="224" t="str">
        <x:f>IF(BA323="","",IF(OR(BA323="READY",BA323="TO_PROPOSED"),"",IF(BA323="SKIP","Skipped by decision",TRIM(IF(B323="","missing import_action; ","")&amp;IF(A323="","missing migration_customer_key; ","")&amp;IF(AND(A323&lt;&gt;"",COUNTIF($A$6:$A$505,A323)&gt;1),"duplicate migration_customer_key; ","")&amp;IF(AND(NOT(OR(B323="to_candidate",AW323="proposed_name")),F323=""),"missing branch_id; ","")&amp;IF(AND(NOT(OR(B323="to_candidate",AW323="proposed_name")),H323=""),"missing first_name; ","")&amp;IF(AND(NOT(OR(B323="to_candidate",AW323="proposed_name")),J323=""),"missing last_name; ","")&amp;IF(AND(NOT(OR(B323="to_candidate",AW323="proposed_name")),U323=""),"missing final_geo_unit_id; ","")&amp;IF(AW323="","missing final_destination; ","")&amp;IF(AND(NOT(OR(B323="to_candidate",AW323="proposed_name")),(COUNTIFS('أرقام التواصل'!$A$6:$A$505,"client",'أرقام التواصل'!$B$6:$B$505,A323,'أرقام التواصل'!$I$6:$I$505,"TRUE")+COUNTIFS('أرقام التواصل'!$A$6:$A$505,"client",'أرقام التواصل'!$B$6:$B$505,A323,'أرقام التواصل'!$C$6:$C$505,1))=0),"missing primary contact in أرقام التواصل; ","")&amp;IF(OR(B323="to_candidate",AW323="proposed_name"),IF(AX323="","missing proposed_move_reason; ","")&amp;IF(AY323="","missing proposed_name_key; ",""),"")))))</x:f>
      </x:c>
    </x:row>
    <x:row r="324">
      <x:c r="A324" s="219"/>
      <x:c r="B324" s="220"/>
      <x:c r="C324" s="221"/>
      <x:c r="D324" s="220"/>
      <x:c r="E324" s="222"/>
      <x:c r="F324" s="220"/>
      <x:c r="G324" s="220"/>
      <x:c r="H324" s="220"/>
      <x:c r="I324" s="220"/>
      <x:c r="J324" s="220"/>
      <x:c r="K324" s="220"/>
      <x:c r="L324" s="220" t="str">
        <x:f>IF(TRIM(H324&amp;" "&amp;I324&amp;" "&amp;J324&amp;IF(K324&lt;&gt;""," ("&amp;K324&amp;")",""))="","",TRIM(H324&amp;" "&amp;I324&amp;" "&amp;J324&amp;IF(K324&lt;&gt;""," ("&amp;K324&amp;")","")))</x:f>
      </x:c>
      <x:c r="M324" s="220"/>
      <x:c r="N324" s="220"/>
      <x:c r="O324" s="220"/>
      <x:c r="P324" s="220"/>
      <x:c r="Q324" s="220"/>
      <x:c r="R324" s="220"/>
      <x:c r="S324" s="220"/>
      <x:c r="T324" s="220"/>
      <x:c r="U324" s="220" t="str">
        <x:f>IF(AND(M324="",O324="",Q324="",S324=""),"",IF(S324&lt;&gt;"",S324,IF(Q324&lt;&gt;"",Q324,IF(O324&lt;&gt;"",O324,M324))))</x:f>
      </x:c>
      <x:c r="V324" s="220" t="str">
        <x:f>IF(AND(N324="",P324="",R324="",T324=""),"",IF(T324&lt;&gt;"",T324,IF(R324&lt;&gt;"",R324,IF(P324&lt;&gt;"",P324,N324))))</x:f>
      </x:c>
      <x:c r="W324" s="221"/>
      <x:c r="X324" s="220"/>
      <x:c r="Y324" s="220"/>
      <x:c r="Z324" s="223"/>
      <x:c r="AA324" s="223"/>
      <x:c r="AB324" s="221"/>
      <x:c r="AC324" s="220"/>
      <x:c r="AD324" s="220"/>
      <x:c r="AE324" s="222"/>
      <x:c r="AF324" s="220"/>
      <x:c r="AG324" s="221"/>
      <x:c r="AH324" s="220"/>
      <x:c r="AI324" s="220"/>
      <x:c r="AJ324" s="222"/>
      <x:c r="AK324" s="220"/>
      <x:c r="AL324" s="220"/>
      <x:c r="AM324" s="220"/>
      <x:c r="AN324" s="220"/>
      <x:c r="AO324" s="220"/>
      <x:c r="AP324" s="220"/>
      <x:c r="AQ324" s="220"/>
      <x:c r="AR324" s="222"/>
      <x:c r="AS324" s="220"/>
      <x:c r="AT324" s="220"/>
      <x:c r="AU324" s="220"/>
      <x:c r="AV324" s="220"/>
      <x:c r="AW324" s="220"/>
      <x:c r="AX324" s="220"/>
      <x:c r="AY324" s="221"/>
      <x:c r="AZ324" s="220"/>
      <x:c r="BA324" s="220" t="str">
        <x:f>IF(AND(A324="",B324="",F324="",H324="",J324="",AW324="",AY324=""),"",IF(OR(B324="skip",AW324="skip"),"SKIP",IF(OR(B324="to_candidate",AW324="proposed_name"),IF(OR(A324="",AX324="",AY324="",COUNTIF($A$6:$A$505,A324)&gt;1),"REVIEW","TO_PROPOSED"),IF(OR(B324="",A324="",F324="",H324="",J324="",U324="",AW324="",COUNTIF($A$6:$A$505,A324)&gt;1,(COUNTIFS('أرقام التواصل'!$A$6:$A$505,"client",'أرقام التواصل'!$B$6:$B$505,A324,'أرقام التواصل'!$I$6:$I$505,"TRUE")+COUNTIFS('أرقام التواصل'!$A$6:$A$505,"client",'أرقام التواصل'!$B$6:$B$505,A324,'أرقام التواصل'!$C$6:$C$505,1))=0),"REVIEW","READY"))))</x:f>
      </x:c>
      <x:c r="BB324" s="224" t="str">
        <x:f>IF(BA324="","",IF(OR(BA324="READY",BA324="TO_PROPOSED"),"",IF(BA324="SKIP","Skipped by decision",TRIM(IF(B324="","missing import_action; ","")&amp;IF(A324="","missing migration_customer_key; ","")&amp;IF(AND(A324&lt;&gt;"",COUNTIF($A$6:$A$505,A324)&gt;1),"duplicate migration_customer_key; ","")&amp;IF(AND(NOT(OR(B324="to_candidate",AW324="proposed_name")),F324=""),"missing branch_id; ","")&amp;IF(AND(NOT(OR(B324="to_candidate",AW324="proposed_name")),H324=""),"missing first_name; ","")&amp;IF(AND(NOT(OR(B324="to_candidate",AW324="proposed_name")),J324=""),"missing last_name; ","")&amp;IF(AND(NOT(OR(B324="to_candidate",AW324="proposed_name")),U324=""),"missing final_geo_unit_id; ","")&amp;IF(AW324="","missing final_destination; ","")&amp;IF(AND(NOT(OR(B324="to_candidate",AW324="proposed_name")),(COUNTIFS('أرقام التواصل'!$A$6:$A$505,"client",'أرقام التواصل'!$B$6:$B$505,A324,'أرقام التواصل'!$I$6:$I$505,"TRUE")+COUNTIFS('أرقام التواصل'!$A$6:$A$505,"client",'أرقام التواصل'!$B$6:$B$505,A324,'أرقام التواصل'!$C$6:$C$505,1))=0),"missing primary contact in أرقام التواصل; ","")&amp;IF(OR(B324="to_candidate",AW324="proposed_name"),IF(AX324="","missing proposed_move_reason; ","")&amp;IF(AY324="","missing proposed_name_key; ",""),"")))))</x:f>
      </x:c>
    </x:row>
    <x:row r="325">
      <x:c r="A325" s="219"/>
      <x:c r="B325" s="220"/>
      <x:c r="C325" s="221"/>
      <x:c r="D325" s="220"/>
      <x:c r="E325" s="222"/>
      <x:c r="F325" s="220"/>
      <x:c r="G325" s="220"/>
      <x:c r="H325" s="220"/>
      <x:c r="I325" s="220"/>
      <x:c r="J325" s="220"/>
      <x:c r="K325" s="220"/>
      <x:c r="L325" s="220" t="str">
        <x:f>IF(TRIM(H325&amp;" "&amp;I325&amp;" "&amp;J325&amp;IF(K325&lt;&gt;""," ("&amp;K325&amp;")",""))="","",TRIM(H325&amp;" "&amp;I325&amp;" "&amp;J325&amp;IF(K325&lt;&gt;""," ("&amp;K325&amp;")","")))</x:f>
      </x:c>
      <x:c r="M325" s="220"/>
      <x:c r="N325" s="220"/>
      <x:c r="O325" s="220"/>
      <x:c r="P325" s="220"/>
      <x:c r="Q325" s="220"/>
      <x:c r="R325" s="220"/>
      <x:c r="S325" s="220"/>
      <x:c r="T325" s="220"/>
      <x:c r="U325" s="220" t="str">
        <x:f>IF(AND(M325="",O325="",Q325="",S325=""),"",IF(S325&lt;&gt;"",S325,IF(Q325&lt;&gt;"",Q325,IF(O325&lt;&gt;"",O325,M325))))</x:f>
      </x:c>
      <x:c r="V325" s="220" t="str">
        <x:f>IF(AND(N325="",P325="",R325="",T325=""),"",IF(T325&lt;&gt;"",T325,IF(R325&lt;&gt;"",R325,IF(P325&lt;&gt;"",P325,N325))))</x:f>
      </x:c>
      <x:c r="W325" s="221"/>
      <x:c r="X325" s="220"/>
      <x:c r="Y325" s="220"/>
      <x:c r="Z325" s="223"/>
      <x:c r="AA325" s="223"/>
      <x:c r="AB325" s="221"/>
      <x:c r="AC325" s="220"/>
      <x:c r="AD325" s="220"/>
      <x:c r="AE325" s="222"/>
      <x:c r="AF325" s="220"/>
      <x:c r="AG325" s="221"/>
      <x:c r="AH325" s="220"/>
      <x:c r="AI325" s="220"/>
      <x:c r="AJ325" s="222"/>
      <x:c r="AK325" s="220"/>
      <x:c r="AL325" s="220"/>
      <x:c r="AM325" s="220"/>
      <x:c r="AN325" s="220"/>
      <x:c r="AO325" s="220"/>
      <x:c r="AP325" s="220"/>
      <x:c r="AQ325" s="220"/>
      <x:c r="AR325" s="222"/>
      <x:c r="AS325" s="220"/>
      <x:c r="AT325" s="220"/>
      <x:c r="AU325" s="220"/>
      <x:c r="AV325" s="220"/>
      <x:c r="AW325" s="220"/>
      <x:c r="AX325" s="220"/>
      <x:c r="AY325" s="221"/>
      <x:c r="AZ325" s="220"/>
      <x:c r="BA325" s="220" t="str">
        <x:f>IF(AND(A325="",B325="",F325="",H325="",J325="",AW325="",AY325=""),"",IF(OR(B325="skip",AW325="skip"),"SKIP",IF(OR(B325="to_candidate",AW325="proposed_name"),IF(OR(A325="",AX325="",AY325="",COUNTIF($A$6:$A$505,A325)&gt;1),"REVIEW","TO_PROPOSED"),IF(OR(B325="",A325="",F325="",H325="",J325="",U325="",AW325="",COUNTIF($A$6:$A$505,A325)&gt;1,(COUNTIFS('أرقام التواصل'!$A$6:$A$505,"client",'أرقام التواصل'!$B$6:$B$505,A325,'أرقام التواصل'!$I$6:$I$505,"TRUE")+COUNTIFS('أرقام التواصل'!$A$6:$A$505,"client",'أرقام التواصل'!$B$6:$B$505,A325,'أرقام التواصل'!$C$6:$C$505,1))=0),"REVIEW","READY"))))</x:f>
      </x:c>
      <x:c r="BB325" s="224" t="str">
        <x:f>IF(BA325="","",IF(OR(BA325="READY",BA325="TO_PROPOSED"),"",IF(BA325="SKIP","Skipped by decision",TRIM(IF(B325="","missing import_action; ","")&amp;IF(A325="","missing migration_customer_key; ","")&amp;IF(AND(A325&lt;&gt;"",COUNTIF($A$6:$A$505,A325)&gt;1),"duplicate migration_customer_key; ","")&amp;IF(AND(NOT(OR(B325="to_candidate",AW325="proposed_name")),F325=""),"missing branch_id; ","")&amp;IF(AND(NOT(OR(B325="to_candidate",AW325="proposed_name")),H325=""),"missing first_name; ","")&amp;IF(AND(NOT(OR(B325="to_candidate",AW325="proposed_name")),J325=""),"missing last_name; ","")&amp;IF(AND(NOT(OR(B325="to_candidate",AW325="proposed_name")),U325=""),"missing final_geo_unit_id; ","")&amp;IF(AW325="","missing final_destination; ","")&amp;IF(AND(NOT(OR(B325="to_candidate",AW325="proposed_name")),(COUNTIFS('أرقام التواصل'!$A$6:$A$505,"client",'أرقام التواصل'!$B$6:$B$505,A325,'أرقام التواصل'!$I$6:$I$505,"TRUE")+COUNTIFS('أرقام التواصل'!$A$6:$A$505,"client",'أرقام التواصل'!$B$6:$B$505,A325,'أرقام التواصل'!$C$6:$C$505,1))=0),"missing primary contact in أرقام التواصل; ","")&amp;IF(OR(B325="to_candidate",AW325="proposed_name"),IF(AX325="","missing proposed_move_reason; ","")&amp;IF(AY325="","missing proposed_name_key; ",""),"")))))</x:f>
      </x:c>
    </x:row>
    <x:row r="326">
      <x:c r="A326" s="219"/>
      <x:c r="B326" s="220"/>
      <x:c r="C326" s="221"/>
      <x:c r="D326" s="220"/>
      <x:c r="E326" s="222"/>
      <x:c r="F326" s="220"/>
      <x:c r="G326" s="220"/>
      <x:c r="H326" s="220"/>
      <x:c r="I326" s="220"/>
      <x:c r="J326" s="220"/>
      <x:c r="K326" s="220"/>
      <x:c r="L326" s="220" t="str">
        <x:f>IF(TRIM(H326&amp;" "&amp;I326&amp;" "&amp;J326&amp;IF(K326&lt;&gt;""," ("&amp;K326&amp;")",""))="","",TRIM(H326&amp;" "&amp;I326&amp;" "&amp;J326&amp;IF(K326&lt;&gt;""," ("&amp;K326&amp;")","")))</x:f>
      </x:c>
      <x:c r="M326" s="220"/>
      <x:c r="N326" s="220"/>
      <x:c r="O326" s="220"/>
      <x:c r="P326" s="220"/>
      <x:c r="Q326" s="220"/>
      <x:c r="R326" s="220"/>
      <x:c r="S326" s="220"/>
      <x:c r="T326" s="220"/>
      <x:c r="U326" s="220" t="str">
        <x:f>IF(AND(M326="",O326="",Q326="",S326=""),"",IF(S326&lt;&gt;"",S326,IF(Q326&lt;&gt;"",Q326,IF(O326&lt;&gt;"",O326,M326))))</x:f>
      </x:c>
      <x:c r="V326" s="220" t="str">
        <x:f>IF(AND(N326="",P326="",R326="",T326=""),"",IF(T326&lt;&gt;"",T326,IF(R326&lt;&gt;"",R326,IF(P326&lt;&gt;"",P326,N326))))</x:f>
      </x:c>
      <x:c r="W326" s="221"/>
      <x:c r="X326" s="220"/>
      <x:c r="Y326" s="220"/>
      <x:c r="Z326" s="223"/>
      <x:c r="AA326" s="223"/>
      <x:c r="AB326" s="221"/>
      <x:c r="AC326" s="220"/>
      <x:c r="AD326" s="220"/>
      <x:c r="AE326" s="222"/>
      <x:c r="AF326" s="220"/>
      <x:c r="AG326" s="221"/>
      <x:c r="AH326" s="220"/>
      <x:c r="AI326" s="220"/>
      <x:c r="AJ326" s="222"/>
      <x:c r="AK326" s="220"/>
      <x:c r="AL326" s="220"/>
      <x:c r="AM326" s="220"/>
      <x:c r="AN326" s="220"/>
      <x:c r="AO326" s="220"/>
      <x:c r="AP326" s="220"/>
      <x:c r="AQ326" s="220"/>
      <x:c r="AR326" s="222"/>
      <x:c r="AS326" s="220"/>
      <x:c r="AT326" s="220"/>
      <x:c r="AU326" s="220"/>
      <x:c r="AV326" s="220"/>
      <x:c r="AW326" s="220"/>
      <x:c r="AX326" s="220"/>
      <x:c r="AY326" s="221"/>
      <x:c r="AZ326" s="220"/>
      <x:c r="BA326" s="220" t="str">
        <x:f>IF(AND(A326="",B326="",F326="",H326="",J326="",AW326="",AY326=""),"",IF(OR(B326="skip",AW326="skip"),"SKIP",IF(OR(B326="to_candidate",AW326="proposed_name"),IF(OR(A326="",AX326="",AY326="",COUNTIF($A$6:$A$505,A326)&gt;1),"REVIEW","TO_PROPOSED"),IF(OR(B326="",A326="",F326="",H326="",J326="",U326="",AW326="",COUNTIF($A$6:$A$505,A326)&gt;1,(COUNTIFS('أرقام التواصل'!$A$6:$A$505,"client",'أرقام التواصل'!$B$6:$B$505,A326,'أرقام التواصل'!$I$6:$I$505,"TRUE")+COUNTIFS('أرقام التواصل'!$A$6:$A$505,"client",'أرقام التواصل'!$B$6:$B$505,A326,'أرقام التواصل'!$C$6:$C$505,1))=0),"REVIEW","READY"))))</x:f>
      </x:c>
      <x:c r="BB326" s="224" t="str">
        <x:f>IF(BA326="","",IF(OR(BA326="READY",BA326="TO_PROPOSED"),"",IF(BA326="SKIP","Skipped by decision",TRIM(IF(B326="","missing import_action; ","")&amp;IF(A326="","missing migration_customer_key; ","")&amp;IF(AND(A326&lt;&gt;"",COUNTIF($A$6:$A$505,A326)&gt;1),"duplicate migration_customer_key; ","")&amp;IF(AND(NOT(OR(B326="to_candidate",AW326="proposed_name")),F326=""),"missing branch_id; ","")&amp;IF(AND(NOT(OR(B326="to_candidate",AW326="proposed_name")),H326=""),"missing first_name; ","")&amp;IF(AND(NOT(OR(B326="to_candidate",AW326="proposed_name")),J326=""),"missing last_name; ","")&amp;IF(AND(NOT(OR(B326="to_candidate",AW326="proposed_name")),U326=""),"missing final_geo_unit_id; ","")&amp;IF(AW326="","missing final_destination; ","")&amp;IF(AND(NOT(OR(B326="to_candidate",AW326="proposed_name")),(COUNTIFS('أرقام التواصل'!$A$6:$A$505,"client",'أرقام التواصل'!$B$6:$B$505,A326,'أرقام التواصل'!$I$6:$I$505,"TRUE")+COUNTIFS('أرقام التواصل'!$A$6:$A$505,"client",'أرقام التواصل'!$B$6:$B$505,A326,'أرقام التواصل'!$C$6:$C$505,1))=0),"missing primary contact in أرقام التواصل; ","")&amp;IF(OR(B326="to_candidate",AW326="proposed_name"),IF(AX326="","missing proposed_move_reason; ","")&amp;IF(AY326="","missing proposed_name_key; ",""),"")))))</x:f>
      </x:c>
    </x:row>
    <x:row r="327">
      <x:c r="A327" s="219"/>
      <x:c r="B327" s="220"/>
      <x:c r="C327" s="221"/>
      <x:c r="D327" s="220"/>
      <x:c r="E327" s="222"/>
      <x:c r="F327" s="220"/>
      <x:c r="G327" s="220"/>
      <x:c r="H327" s="220"/>
      <x:c r="I327" s="220"/>
      <x:c r="J327" s="220"/>
      <x:c r="K327" s="220"/>
      <x:c r="L327" s="220" t="str">
        <x:f>IF(TRIM(H327&amp;" "&amp;I327&amp;" "&amp;J327&amp;IF(K327&lt;&gt;""," ("&amp;K327&amp;")",""))="","",TRIM(H327&amp;" "&amp;I327&amp;" "&amp;J327&amp;IF(K327&lt;&gt;""," ("&amp;K327&amp;")","")))</x:f>
      </x:c>
      <x:c r="M327" s="220"/>
      <x:c r="N327" s="220"/>
      <x:c r="O327" s="220"/>
      <x:c r="P327" s="220"/>
      <x:c r="Q327" s="220"/>
      <x:c r="R327" s="220"/>
      <x:c r="S327" s="220"/>
      <x:c r="T327" s="220"/>
      <x:c r="U327" s="220" t="str">
        <x:f>IF(AND(M327="",O327="",Q327="",S327=""),"",IF(S327&lt;&gt;"",S327,IF(Q327&lt;&gt;"",Q327,IF(O327&lt;&gt;"",O327,M327))))</x:f>
      </x:c>
      <x:c r="V327" s="220" t="str">
        <x:f>IF(AND(N327="",P327="",R327="",T327=""),"",IF(T327&lt;&gt;"",T327,IF(R327&lt;&gt;"",R327,IF(P327&lt;&gt;"",P327,N327))))</x:f>
      </x:c>
      <x:c r="W327" s="221"/>
      <x:c r="X327" s="220"/>
      <x:c r="Y327" s="220"/>
      <x:c r="Z327" s="223"/>
      <x:c r="AA327" s="223"/>
      <x:c r="AB327" s="221"/>
      <x:c r="AC327" s="220"/>
      <x:c r="AD327" s="220"/>
      <x:c r="AE327" s="222"/>
      <x:c r="AF327" s="220"/>
      <x:c r="AG327" s="221"/>
      <x:c r="AH327" s="220"/>
      <x:c r="AI327" s="220"/>
      <x:c r="AJ327" s="222"/>
      <x:c r="AK327" s="220"/>
      <x:c r="AL327" s="220"/>
      <x:c r="AM327" s="220"/>
      <x:c r="AN327" s="220"/>
      <x:c r="AO327" s="220"/>
      <x:c r="AP327" s="220"/>
      <x:c r="AQ327" s="220"/>
      <x:c r="AR327" s="222"/>
      <x:c r="AS327" s="220"/>
      <x:c r="AT327" s="220"/>
      <x:c r="AU327" s="220"/>
      <x:c r="AV327" s="220"/>
      <x:c r="AW327" s="220"/>
      <x:c r="AX327" s="220"/>
      <x:c r="AY327" s="221"/>
      <x:c r="AZ327" s="220"/>
      <x:c r="BA327" s="220" t="str">
        <x:f>IF(AND(A327="",B327="",F327="",H327="",J327="",AW327="",AY327=""),"",IF(OR(B327="skip",AW327="skip"),"SKIP",IF(OR(B327="to_candidate",AW327="proposed_name"),IF(OR(A327="",AX327="",AY327="",COUNTIF($A$6:$A$505,A327)&gt;1),"REVIEW","TO_PROPOSED"),IF(OR(B327="",A327="",F327="",H327="",J327="",U327="",AW327="",COUNTIF($A$6:$A$505,A327)&gt;1,(COUNTIFS('أرقام التواصل'!$A$6:$A$505,"client",'أرقام التواصل'!$B$6:$B$505,A327,'أرقام التواصل'!$I$6:$I$505,"TRUE")+COUNTIFS('أرقام التواصل'!$A$6:$A$505,"client",'أرقام التواصل'!$B$6:$B$505,A327,'أرقام التواصل'!$C$6:$C$505,1))=0),"REVIEW","READY"))))</x:f>
      </x:c>
      <x:c r="BB327" s="224" t="str">
        <x:f>IF(BA327="","",IF(OR(BA327="READY",BA327="TO_PROPOSED"),"",IF(BA327="SKIP","Skipped by decision",TRIM(IF(B327="","missing import_action; ","")&amp;IF(A327="","missing migration_customer_key; ","")&amp;IF(AND(A327&lt;&gt;"",COUNTIF($A$6:$A$505,A327)&gt;1),"duplicate migration_customer_key; ","")&amp;IF(AND(NOT(OR(B327="to_candidate",AW327="proposed_name")),F327=""),"missing branch_id; ","")&amp;IF(AND(NOT(OR(B327="to_candidate",AW327="proposed_name")),H327=""),"missing first_name; ","")&amp;IF(AND(NOT(OR(B327="to_candidate",AW327="proposed_name")),J327=""),"missing last_name; ","")&amp;IF(AND(NOT(OR(B327="to_candidate",AW327="proposed_name")),U327=""),"missing final_geo_unit_id; ","")&amp;IF(AW327="","missing final_destination; ","")&amp;IF(AND(NOT(OR(B327="to_candidate",AW327="proposed_name")),(COUNTIFS('أرقام التواصل'!$A$6:$A$505,"client",'أرقام التواصل'!$B$6:$B$505,A327,'أرقام التواصل'!$I$6:$I$505,"TRUE")+COUNTIFS('أرقام التواصل'!$A$6:$A$505,"client",'أرقام التواصل'!$B$6:$B$505,A327,'أرقام التواصل'!$C$6:$C$505,1))=0),"missing primary contact in أرقام التواصل; ","")&amp;IF(OR(B327="to_candidate",AW327="proposed_name"),IF(AX327="","missing proposed_move_reason; ","")&amp;IF(AY327="","missing proposed_name_key; ",""),"")))))</x:f>
      </x:c>
    </x:row>
    <x:row r="328">
      <x:c r="A328" s="219"/>
      <x:c r="B328" s="220"/>
      <x:c r="C328" s="221"/>
      <x:c r="D328" s="220"/>
      <x:c r="E328" s="222"/>
      <x:c r="F328" s="220"/>
      <x:c r="G328" s="220"/>
      <x:c r="H328" s="220"/>
      <x:c r="I328" s="220"/>
      <x:c r="J328" s="220"/>
      <x:c r="K328" s="220"/>
      <x:c r="L328" s="220" t="str">
        <x:f>IF(TRIM(H328&amp;" "&amp;I328&amp;" "&amp;J328&amp;IF(K328&lt;&gt;""," ("&amp;K328&amp;")",""))="","",TRIM(H328&amp;" "&amp;I328&amp;" "&amp;J328&amp;IF(K328&lt;&gt;""," ("&amp;K328&amp;")","")))</x:f>
      </x:c>
      <x:c r="M328" s="220"/>
      <x:c r="N328" s="220"/>
      <x:c r="O328" s="220"/>
      <x:c r="P328" s="220"/>
      <x:c r="Q328" s="220"/>
      <x:c r="R328" s="220"/>
      <x:c r="S328" s="220"/>
      <x:c r="T328" s="220"/>
      <x:c r="U328" s="220" t="str">
        <x:f>IF(AND(M328="",O328="",Q328="",S328=""),"",IF(S328&lt;&gt;"",S328,IF(Q328&lt;&gt;"",Q328,IF(O328&lt;&gt;"",O328,M328))))</x:f>
      </x:c>
      <x:c r="V328" s="220" t="str">
        <x:f>IF(AND(N328="",P328="",R328="",T328=""),"",IF(T328&lt;&gt;"",T328,IF(R328&lt;&gt;"",R328,IF(P328&lt;&gt;"",P328,N328))))</x:f>
      </x:c>
      <x:c r="W328" s="221"/>
      <x:c r="X328" s="220"/>
      <x:c r="Y328" s="220"/>
      <x:c r="Z328" s="223"/>
      <x:c r="AA328" s="223"/>
      <x:c r="AB328" s="221"/>
      <x:c r="AC328" s="220"/>
      <x:c r="AD328" s="220"/>
      <x:c r="AE328" s="222"/>
      <x:c r="AF328" s="220"/>
      <x:c r="AG328" s="221"/>
      <x:c r="AH328" s="220"/>
      <x:c r="AI328" s="220"/>
      <x:c r="AJ328" s="222"/>
      <x:c r="AK328" s="220"/>
      <x:c r="AL328" s="220"/>
      <x:c r="AM328" s="220"/>
      <x:c r="AN328" s="220"/>
      <x:c r="AO328" s="220"/>
      <x:c r="AP328" s="220"/>
      <x:c r="AQ328" s="220"/>
      <x:c r="AR328" s="222"/>
      <x:c r="AS328" s="220"/>
      <x:c r="AT328" s="220"/>
      <x:c r="AU328" s="220"/>
      <x:c r="AV328" s="220"/>
      <x:c r="AW328" s="220"/>
      <x:c r="AX328" s="220"/>
      <x:c r="AY328" s="221"/>
      <x:c r="AZ328" s="220"/>
      <x:c r="BA328" s="220" t="str">
        <x:f>IF(AND(A328="",B328="",F328="",H328="",J328="",AW328="",AY328=""),"",IF(OR(B328="skip",AW328="skip"),"SKIP",IF(OR(B328="to_candidate",AW328="proposed_name"),IF(OR(A328="",AX328="",AY328="",COUNTIF($A$6:$A$505,A328)&gt;1),"REVIEW","TO_PROPOSED"),IF(OR(B328="",A328="",F328="",H328="",J328="",U328="",AW328="",COUNTIF($A$6:$A$505,A328)&gt;1,(COUNTIFS('أرقام التواصل'!$A$6:$A$505,"client",'أرقام التواصل'!$B$6:$B$505,A328,'أرقام التواصل'!$I$6:$I$505,"TRUE")+COUNTIFS('أرقام التواصل'!$A$6:$A$505,"client",'أرقام التواصل'!$B$6:$B$505,A328,'أرقام التواصل'!$C$6:$C$505,1))=0),"REVIEW","READY"))))</x:f>
      </x:c>
      <x:c r="BB328" s="224" t="str">
        <x:f>IF(BA328="","",IF(OR(BA328="READY",BA328="TO_PROPOSED"),"",IF(BA328="SKIP","Skipped by decision",TRIM(IF(B328="","missing import_action; ","")&amp;IF(A328="","missing migration_customer_key; ","")&amp;IF(AND(A328&lt;&gt;"",COUNTIF($A$6:$A$505,A328)&gt;1),"duplicate migration_customer_key; ","")&amp;IF(AND(NOT(OR(B328="to_candidate",AW328="proposed_name")),F328=""),"missing branch_id; ","")&amp;IF(AND(NOT(OR(B328="to_candidate",AW328="proposed_name")),H328=""),"missing first_name; ","")&amp;IF(AND(NOT(OR(B328="to_candidate",AW328="proposed_name")),J328=""),"missing last_name; ","")&amp;IF(AND(NOT(OR(B328="to_candidate",AW328="proposed_name")),U328=""),"missing final_geo_unit_id; ","")&amp;IF(AW328="","missing final_destination; ","")&amp;IF(AND(NOT(OR(B328="to_candidate",AW328="proposed_name")),(COUNTIFS('أرقام التواصل'!$A$6:$A$505,"client",'أرقام التواصل'!$B$6:$B$505,A328,'أرقام التواصل'!$I$6:$I$505,"TRUE")+COUNTIFS('أرقام التواصل'!$A$6:$A$505,"client",'أرقام التواصل'!$B$6:$B$505,A328,'أرقام التواصل'!$C$6:$C$505,1))=0),"missing primary contact in أرقام التواصل; ","")&amp;IF(OR(B328="to_candidate",AW328="proposed_name"),IF(AX328="","missing proposed_move_reason; ","")&amp;IF(AY328="","missing proposed_name_key; ",""),"")))))</x:f>
      </x:c>
    </x:row>
    <x:row r="329">
      <x:c r="A329" s="219"/>
      <x:c r="B329" s="220"/>
      <x:c r="C329" s="221"/>
      <x:c r="D329" s="220"/>
      <x:c r="E329" s="222"/>
      <x:c r="F329" s="220"/>
      <x:c r="G329" s="220"/>
      <x:c r="H329" s="220"/>
      <x:c r="I329" s="220"/>
      <x:c r="J329" s="220"/>
      <x:c r="K329" s="220"/>
      <x:c r="L329" s="220" t="str">
        <x:f>IF(TRIM(H329&amp;" "&amp;I329&amp;" "&amp;J329&amp;IF(K329&lt;&gt;""," ("&amp;K329&amp;")",""))="","",TRIM(H329&amp;" "&amp;I329&amp;" "&amp;J329&amp;IF(K329&lt;&gt;""," ("&amp;K329&amp;")","")))</x:f>
      </x:c>
      <x:c r="M329" s="220"/>
      <x:c r="N329" s="220"/>
      <x:c r="O329" s="220"/>
      <x:c r="P329" s="220"/>
      <x:c r="Q329" s="220"/>
      <x:c r="R329" s="220"/>
      <x:c r="S329" s="220"/>
      <x:c r="T329" s="220"/>
      <x:c r="U329" s="220" t="str">
        <x:f>IF(AND(M329="",O329="",Q329="",S329=""),"",IF(S329&lt;&gt;"",S329,IF(Q329&lt;&gt;"",Q329,IF(O329&lt;&gt;"",O329,M329))))</x:f>
      </x:c>
      <x:c r="V329" s="220" t="str">
        <x:f>IF(AND(N329="",P329="",R329="",T329=""),"",IF(T329&lt;&gt;"",T329,IF(R329&lt;&gt;"",R329,IF(P329&lt;&gt;"",P329,N329))))</x:f>
      </x:c>
      <x:c r="W329" s="221"/>
      <x:c r="X329" s="220"/>
      <x:c r="Y329" s="220"/>
      <x:c r="Z329" s="223"/>
      <x:c r="AA329" s="223"/>
      <x:c r="AB329" s="221"/>
      <x:c r="AC329" s="220"/>
      <x:c r="AD329" s="220"/>
      <x:c r="AE329" s="222"/>
      <x:c r="AF329" s="220"/>
      <x:c r="AG329" s="221"/>
      <x:c r="AH329" s="220"/>
      <x:c r="AI329" s="220"/>
      <x:c r="AJ329" s="222"/>
      <x:c r="AK329" s="220"/>
      <x:c r="AL329" s="220"/>
      <x:c r="AM329" s="220"/>
      <x:c r="AN329" s="220"/>
      <x:c r="AO329" s="220"/>
      <x:c r="AP329" s="220"/>
      <x:c r="AQ329" s="220"/>
      <x:c r="AR329" s="222"/>
      <x:c r="AS329" s="220"/>
      <x:c r="AT329" s="220"/>
      <x:c r="AU329" s="220"/>
      <x:c r="AV329" s="220"/>
      <x:c r="AW329" s="220"/>
      <x:c r="AX329" s="220"/>
      <x:c r="AY329" s="221"/>
      <x:c r="AZ329" s="220"/>
      <x:c r="BA329" s="220" t="str">
        <x:f>IF(AND(A329="",B329="",F329="",H329="",J329="",AW329="",AY329=""),"",IF(OR(B329="skip",AW329="skip"),"SKIP",IF(OR(B329="to_candidate",AW329="proposed_name"),IF(OR(A329="",AX329="",AY329="",COUNTIF($A$6:$A$505,A329)&gt;1),"REVIEW","TO_PROPOSED"),IF(OR(B329="",A329="",F329="",H329="",J329="",U329="",AW329="",COUNTIF($A$6:$A$505,A329)&gt;1,(COUNTIFS('أرقام التواصل'!$A$6:$A$505,"client",'أرقام التواصل'!$B$6:$B$505,A329,'أرقام التواصل'!$I$6:$I$505,"TRUE")+COUNTIFS('أرقام التواصل'!$A$6:$A$505,"client",'أرقام التواصل'!$B$6:$B$505,A329,'أرقام التواصل'!$C$6:$C$505,1))=0),"REVIEW","READY"))))</x:f>
      </x:c>
      <x:c r="BB329" s="224" t="str">
        <x:f>IF(BA329="","",IF(OR(BA329="READY",BA329="TO_PROPOSED"),"",IF(BA329="SKIP","Skipped by decision",TRIM(IF(B329="","missing import_action; ","")&amp;IF(A329="","missing migration_customer_key; ","")&amp;IF(AND(A329&lt;&gt;"",COUNTIF($A$6:$A$505,A329)&gt;1),"duplicate migration_customer_key; ","")&amp;IF(AND(NOT(OR(B329="to_candidate",AW329="proposed_name")),F329=""),"missing branch_id; ","")&amp;IF(AND(NOT(OR(B329="to_candidate",AW329="proposed_name")),H329=""),"missing first_name; ","")&amp;IF(AND(NOT(OR(B329="to_candidate",AW329="proposed_name")),J329=""),"missing last_name; ","")&amp;IF(AND(NOT(OR(B329="to_candidate",AW329="proposed_name")),U329=""),"missing final_geo_unit_id; ","")&amp;IF(AW329="","missing final_destination; ","")&amp;IF(AND(NOT(OR(B329="to_candidate",AW329="proposed_name")),(COUNTIFS('أرقام التواصل'!$A$6:$A$505,"client",'أرقام التواصل'!$B$6:$B$505,A329,'أرقام التواصل'!$I$6:$I$505,"TRUE")+COUNTIFS('أرقام التواصل'!$A$6:$A$505,"client",'أرقام التواصل'!$B$6:$B$505,A329,'أرقام التواصل'!$C$6:$C$505,1))=0),"missing primary contact in أرقام التواصل; ","")&amp;IF(OR(B329="to_candidate",AW329="proposed_name"),IF(AX329="","missing proposed_move_reason; ","")&amp;IF(AY329="","missing proposed_name_key; ",""),"")))))</x:f>
      </x:c>
    </x:row>
    <x:row r="330">
      <x:c r="A330" s="219"/>
      <x:c r="B330" s="220"/>
      <x:c r="C330" s="221"/>
      <x:c r="D330" s="220"/>
      <x:c r="E330" s="222"/>
      <x:c r="F330" s="220"/>
      <x:c r="G330" s="220"/>
      <x:c r="H330" s="220"/>
      <x:c r="I330" s="220"/>
      <x:c r="J330" s="220"/>
      <x:c r="K330" s="220"/>
      <x:c r="L330" s="220" t="str">
        <x:f>IF(TRIM(H330&amp;" "&amp;I330&amp;" "&amp;J330&amp;IF(K330&lt;&gt;""," ("&amp;K330&amp;")",""))="","",TRIM(H330&amp;" "&amp;I330&amp;" "&amp;J330&amp;IF(K330&lt;&gt;""," ("&amp;K330&amp;")","")))</x:f>
      </x:c>
      <x:c r="M330" s="220"/>
      <x:c r="N330" s="220"/>
      <x:c r="O330" s="220"/>
      <x:c r="P330" s="220"/>
      <x:c r="Q330" s="220"/>
      <x:c r="R330" s="220"/>
      <x:c r="S330" s="220"/>
      <x:c r="T330" s="220"/>
      <x:c r="U330" s="220" t="str">
        <x:f>IF(AND(M330="",O330="",Q330="",S330=""),"",IF(S330&lt;&gt;"",S330,IF(Q330&lt;&gt;"",Q330,IF(O330&lt;&gt;"",O330,M330))))</x:f>
      </x:c>
      <x:c r="V330" s="220" t="str">
        <x:f>IF(AND(N330="",P330="",R330="",T330=""),"",IF(T330&lt;&gt;"",T330,IF(R330&lt;&gt;"",R330,IF(P330&lt;&gt;"",P330,N330))))</x:f>
      </x:c>
      <x:c r="W330" s="221"/>
      <x:c r="X330" s="220"/>
      <x:c r="Y330" s="220"/>
      <x:c r="Z330" s="223"/>
      <x:c r="AA330" s="223"/>
      <x:c r="AB330" s="221"/>
      <x:c r="AC330" s="220"/>
      <x:c r="AD330" s="220"/>
      <x:c r="AE330" s="222"/>
      <x:c r="AF330" s="220"/>
      <x:c r="AG330" s="221"/>
      <x:c r="AH330" s="220"/>
      <x:c r="AI330" s="220"/>
      <x:c r="AJ330" s="222"/>
      <x:c r="AK330" s="220"/>
      <x:c r="AL330" s="220"/>
      <x:c r="AM330" s="220"/>
      <x:c r="AN330" s="220"/>
      <x:c r="AO330" s="220"/>
      <x:c r="AP330" s="220"/>
      <x:c r="AQ330" s="220"/>
      <x:c r="AR330" s="222"/>
      <x:c r="AS330" s="220"/>
      <x:c r="AT330" s="220"/>
      <x:c r="AU330" s="220"/>
      <x:c r="AV330" s="220"/>
      <x:c r="AW330" s="220"/>
      <x:c r="AX330" s="220"/>
      <x:c r="AY330" s="221"/>
      <x:c r="AZ330" s="220"/>
      <x:c r="BA330" s="220" t="str">
        <x:f>IF(AND(A330="",B330="",F330="",H330="",J330="",AW330="",AY330=""),"",IF(OR(B330="skip",AW330="skip"),"SKIP",IF(OR(B330="to_candidate",AW330="proposed_name"),IF(OR(A330="",AX330="",AY330="",COUNTIF($A$6:$A$505,A330)&gt;1),"REVIEW","TO_PROPOSED"),IF(OR(B330="",A330="",F330="",H330="",J330="",U330="",AW330="",COUNTIF($A$6:$A$505,A330)&gt;1,(COUNTIFS('أرقام التواصل'!$A$6:$A$505,"client",'أرقام التواصل'!$B$6:$B$505,A330,'أرقام التواصل'!$I$6:$I$505,"TRUE")+COUNTIFS('أرقام التواصل'!$A$6:$A$505,"client",'أرقام التواصل'!$B$6:$B$505,A330,'أرقام التواصل'!$C$6:$C$505,1))=0),"REVIEW","READY"))))</x:f>
      </x:c>
      <x:c r="BB330" s="224" t="str">
        <x:f>IF(BA330="","",IF(OR(BA330="READY",BA330="TO_PROPOSED"),"",IF(BA330="SKIP","Skipped by decision",TRIM(IF(B330="","missing import_action; ","")&amp;IF(A330="","missing migration_customer_key; ","")&amp;IF(AND(A330&lt;&gt;"",COUNTIF($A$6:$A$505,A330)&gt;1),"duplicate migration_customer_key; ","")&amp;IF(AND(NOT(OR(B330="to_candidate",AW330="proposed_name")),F330=""),"missing branch_id; ","")&amp;IF(AND(NOT(OR(B330="to_candidate",AW330="proposed_name")),H330=""),"missing first_name; ","")&amp;IF(AND(NOT(OR(B330="to_candidate",AW330="proposed_name")),J330=""),"missing last_name; ","")&amp;IF(AND(NOT(OR(B330="to_candidate",AW330="proposed_name")),U330=""),"missing final_geo_unit_id; ","")&amp;IF(AW330="","missing final_destination; ","")&amp;IF(AND(NOT(OR(B330="to_candidate",AW330="proposed_name")),(COUNTIFS('أرقام التواصل'!$A$6:$A$505,"client",'أرقام التواصل'!$B$6:$B$505,A330,'أرقام التواصل'!$I$6:$I$505,"TRUE")+COUNTIFS('أرقام التواصل'!$A$6:$A$505,"client",'أرقام التواصل'!$B$6:$B$505,A330,'أرقام التواصل'!$C$6:$C$505,1))=0),"missing primary contact in أرقام التواصل; ","")&amp;IF(OR(B330="to_candidate",AW330="proposed_name"),IF(AX330="","missing proposed_move_reason; ","")&amp;IF(AY330="","missing proposed_name_key; ",""),"")))))</x:f>
      </x:c>
    </x:row>
    <x:row r="331">
      <x:c r="A331" s="219"/>
      <x:c r="B331" s="220"/>
      <x:c r="C331" s="221"/>
      <x:c r="D331" s="220"/>
      <x:c r="E331" s="222"/>
      <x:c r="F331" s="220"/>
      <x:c r="G331" s="220"/>
      <x:c r="H331" s="220"/>
      <x:c r="I331" s="220"/>
      <x:c r="J331" s="220"/>
      <x:c r="K331" s="220"/>
      <x:c r="L331" s="220" t="str">
        <x:f>IF(TRIM(H331&amp;" "&amp;I331&amp;" "&amp;J331&amp;IF(K331&lt;&gt;""," ("&amp;K331&amp;")",""))="","",TRIM(H331&amp;" "&amp;I331&amp;" "&amp;J331&amp;IF(K331&lt;&gt;""," ("&amp;K331&amp;")","")))</x:f>
      </x:c>
      <x:c r="M331" s="220"/>
      <x:c r="N331" s="220"/>
      <x:c r="O331" s="220"/>
      <x:c r="P331" s="220"/>
      <x:c r="Q331" s="220"/>
      <x:c r="R331" s="220"/>
      <x:c r="S331" s="220"/>
      <x:c r="T331" s="220"/>
      <x:c r="U331" s="220" t="str">
        <x:f>IF(AND(M331="",O331="",Q331="",S331=""),"",IF(S331&lt;&gt;"",S331,IF(Q331&lt;&gt;"",Q331,IF(O331&lt;&gt;"",O331,M331))))</x:f>
      </x:c>
      <x:c r="V331" s="220" t="str">
        <x:f>IF(AND(N331="",P331="",R331="",T331=""),"",IF(T331&lt;&gt;"",T331,IF(R331&lt;&gt;"",R331,IF(P331&lt;&gt;"",P331,N331))))</x:f>
      </x:c>
      <x:c r="W331" s="221"/>
      <x:c r="X331" s="220"/>
      <x:c r="Y331" s="220"/>
      <x:c r="Z331" s="223"/>
      <x:c r="AA331" s="223"/>
      <x:c r="AB331" s="221"/>
      <x:c r="AC331" s="220"/>
      <x:c r="AD331" s="220"/>
      <x:c r="AE331" s="222"/>
      <x:c r="AF331" s="220"/>
      <x:c r="AG331" s="221"/>
      <x:c r="AH331" s="220"/>
      <x:c r="AI331" s="220"/>
      <x:c r="AJ331" s="222"/>
      <x:c r="AK331" s="220"/>
      <x:c r="AL331" s="220"/>
      <x:c r="AM331" s="220"/>
      <x:c r="AN331" s="220"/>
      <x:c r="AO331" s="220"/>
      <x:c r="AP331" s="220"/>
      <x:c r="AQ331" s="220"/>
      <x:c r="AR331" s="222"/>
      <x:c r="AS331" s="220"/>
      <x:c r="AT331" s="220"/>
      <x:c r="AU331" s="220"/>
      <x:c r="AV331" s="220"/>
      <x:c r="AW331" s="220"/>
      <x:c r="AX331" s="220"/>
      <x:c r="AY331" s="221"/>
      <x:c r="AZ331" s="220"/>
      <x:c r="BA331" s="220" t="str">
        <x:f>IF(AND(A331="",B331="",F331="",H331="",J331="",AW331="",AY331=""),"",IF(OR(B331="skip",AW331="skip"),"SKIP",IF(OR(B331="to_candidate",AW331="proposed_name"),IF(OR(A331="",AX331="",AY331="",COUNTIF($A$6:$A$505,A331)&gt;1),"REVIEW","TO_PROPOSED"),IF(OR(B331="",A331="",F331="",H331="",J331="",U331="",AW331="",COUNTIF($A$6:$A$505,A331)&gt;1,(COUNTIFS('أرقام التواصل'!$A$6:$A$505,"client",'أرقام التواصل'!$B$6:$B$505,A331,'أرقام التواصل'!$I$6:$I$505,"TRUE")+COUNTIFS('أرقام التواصل'!$A$6:$A$505,"client",'أرقام التواصل'!$B$6:$B$505,A331,'أرقام التواصل'!$C$6:$C$505,1))=0),"REVIEW","READY"))))</x:f>
      </x:c>
      <x:c r="BB331" s="224" t="str">
        <x:f>IF(BA331="","",IF(OR(BA331="READY",BA331="TO_PROPOSED"),"",IF(BA331="SKIP","Skipped by decision",TRIM(IF(B331="","missing import_action; ","")&amp;IF(A331="","missing migration_customer_key; ","")&amp;IF(AND(A331&lt;&gt;"",COUNTIF($A$6:$A$505,A331)&gt;1),"duplicate migration_customer_key; ","")&amp;IF(AND(NOT(OR(B331="to_candidate",AW331="proposed_name")),F331=""),"missing branch_id; ","")&amp;IF(AND(NOT(OR(B331="to_candidate",AW331="proposed_name")),H331=""),"missing first_name; ","")&amp;IF(AND(NOT(OR(B331="to_candidate",AW331="proposed_name")),J331=""),"missing last_name; ","")&amp;IF(AND(NOT(OR(B331="to_candidate",AW331="proposed_name")),U331=""),"missing final_geo_unit_id; ","")&amp;IF(AW331="","missing final_destination; ","")&amp;IF(AND(NOT(OR(B331="to_candidate",AW331="proposed_name")),(COUNTIFS('أرقام التواصل'!$A$6:$A$505,"client",'أرقام التواصل'!$B$6:$B$505,A331,'أرقام التواصل'!$I$6:$I$505,"TRUE")+COUNTIFS('أرقام التواصل'!$A$6:$A$505,"client",'أرقام التواصل'!$B$6:$B$505,A331,'أرقام التواصل'!$C$6:$C$505,1))=0),"missing primary contact in أرقام التواصل; ","")&amp;IF(OR(B331="to_candidate",AW331="proposed_name"),IF(AX331="","missing proposed_move_reason; ","")&amp;IF(AY331="","missing proposed_name_key; ",""),"")))))</x:f>
      </x:c>
    </x:row>
    <x:row r="332">
      <x:c r="A332" s="219"/>
      <x:c r="B332" s="220"/>
      <x:c r="C332" s="221"/>
      <x:c r="D332" s="220"/>
      <x:c r="E332" s="222"/>
      <x:c r="F332" s="220"/>
      <x:c r="G332" s="220"/>
      <x:c r="H332" s="220"/>
      <x:c r="I332" s="220"/>
      <x:c r="J332" s="220"/>
      <x:c r="K332" s="220"/>
      <x:c r="L332" s="220" t="str">
        <x:f>IF(TRIM(H332&amp;" "&amp;I332&amp;" "&amp;J332&amp;IF(K332&lt;&gt;""," ("&amp;K332&amp;")",""))="","",TRIM(H332&amp;" "&amp;I332&amp;" "&amp;J332&amp;IF(K332&lt;&gt;""," ("&amp;K332&amp;")","")))</x:f>
      </x:c>
      <x:c r="M332" s="220"/>
      <x:c r="N332" s="220"/>
      <x:c r="O332" s="220"/>
      <x:c r="P332" s="220"/>
      <x:c r="Q332" s="220"/>
      <x:c r="R332" s="220"/>
      <x:c r="S332" s="220"/>
      <x:c r="T332" s="220"/>
      <x:c r="U332" s="220" t="str">
        <x:f>IF(AND(M332="",O332="",Q332="",S332=""),"",IF(S332&lt;&gt;"",S332,IF(Q332&lt;&gt;"",Q332,IF(O332&lt;&gt;"",O332,M332))))</x:f>
      </x:c>
      <x:c r="V332" s="220" t="str">
        <x:f>IF(AND(N332="",P332="",R332="",T332=""),"",IF(T332&lt;&gt;"",T332,IF(R332&lt;&gt;"",R332,IF(P332&lt;&gt;"",P332,N332))))</x:f>
      </x:c>
      <x:c r="W332" s="221"/>
      <x:c r="X332" s="220"/>
      <x:c r="Y332" s="220"/>
      <x:c r="Z332" s="223"/>
      <x:c r="AA332" s="223"/>
      <x:c r="AB332" s="221"/>
      <x:c r="AC332" s="220"/>
      <x:c r="AD332" s="220"/>
      <x:c r="AE332" s="222"/>
      <x:c r="AF332" s="220"/>
      <x:c r="AG332" s="221"/>
      <x:c r="AH332" s="220"/>
      <x:c r="AI332" s="220"/>
      <x:c r="AJ332" s="222"/>
      <x:c r="AK332" s="220"/>
      <x:c r="AL332" s="220"/>
      <x:c r="AM332" s="220"/>
      <x:c r="AN332" s="220"/>
      <x:c r="AO332" s="220"/>
      <x:c r="AP332" s="220"/>
      <x:c r="AQ332" s="220"/>
      <x:c r="AR332" s="222"/>
      <x:c r="AS332" s="220"/>
      <x:c r="AT332" s="220"/>
      <x:c r="AU332" s="220"/>
      <x:c r="AV332" s="220"/>
      <x:c r="AW332" s="220"/>
      <x:c r="AX332" s="220"/>
      <x:c r="AY332" s="221"/>
      <x:c r="AZ332" s="220"/>
      <x:c r="BA332" s="220" t="str">
        <x:f>IF(AND(A332="",B332="",F332="",H332="",J332="",AW332="",AY332=""),"",IF(OR(B332="skip",AW332="skip"),"SKIP",IF(OR(B332="to_candidate",AW332="proposed_name"),IF(OR(A332="",AX332="",AY332="",COUNTIF($A$6:$A$505,A332)&gt;1),"REVIEW","TO_PROPOSED"),IF(OR(B332="",A332="",F332="",H332="",J332="",U332="",AW332="",COUNTIF($A$6:$A$505,A332)&gt;1,(COUNTIFS('أرقام التواصل'!$A$6:$A$505,"client",'أرقام التواصل'!$B$6:$B$505,A332,'أرقام التواصل'!$I$6:$I$505,"TRUE")+COUNTIFS('أرقام التواصل'!$A$6:$A$505,"client",'أرقام التواصل'!$B$6:$B$505,A332,'أرقام التواصل'!$C$6:$C$505,1))=0),"REVIEW","READY"))))</x:f>
      </x:c>
      <x:c r="BB332" s="224" t="str">
        <x:f>IF(BA332="","",IF(OR(BA332="READY",BA332="TO_PROPOSED"),"",IF(BA332="SKIP","Skipped by decision",TRIM(IF(B332="","missing import_action; ","")&amp;IF(A332="","missing migration_customer_key; ","")&amp;IF(AND(A332&lt;&gt;"",COUNTIF($A$6:$A$505,A332)&gt;1),"duplicate migration_customer_key; ","")&amp;IF(AND(NOT(OR(B332="to_candidate",AW332="proposed_name")),F332=""),"missing branch_id; ","")&amp;IF(AND(NOT(OR(B332="to_candidate",AW332="proposed_name")),H332=""),"missing first_name; ","")&amp;IF(AND(NOT(OR(B332="to_candidate",AW332="proposed_name")),J332=""),"missing last_name; ","")&amp;IF(AND(NOT(OR(B332="to_candidate",AW332="proposed_name")),U332=""),"missing final_geo_unit_id; ","")&amp;IF(AW332="","missing final_destination; ","")&amp;IF(AND(NOT(OR(B332="to_candidate",AW332="proposed_name")),(COUNTIFS('أرقام التواصل'!$A$6:$A$505,"client",'أرقام التواصل'!$B$6:$B$505,A332,'أرقام التواصل'!$I$6:$I$505,"TRUE")+COUNTIFS('أرقام التواصل'!$A$6:$A$505,"client",'أرقام التواصل'!$B$6:$B$505,A332,'أرقام التواصل'!$C$6:$C$505,1))=0),"missing primary contact in أرقام التواصل; ","")&amp;IF(OR(B332="to_candidate",AW332="proposed_name"),IF(AX332="","missing proposed_move_reason; ","")&amp;IF(AY332="","missing proposed_name_key; ",""),"")))))</x:f>
      </x:c>
    </x:row>
    <x:row r="333">
      <x:c r="A333" s="219"/>
      <x:c r="B333" s="220"/>
      <x:c r="C333" s="221"/>
      <x:c r="D333" s="220"/>
      <x:c r="E333" s="222"/>
      <x:c r="F333" s="220"/>
      <x:c r="G333" s="220"/>
      <x:c r="H333" s="220"/>
      <x:c r="I333" s="220"/>
      <x:c r="J333" s="220"/>
      <x:c r="K333" s="220"/>
      <x:c r="L333" s="220" t="str">
        <x:f>IF(TRIM(H333&amp;" "&amp;I333&amp;" "&amp;J333&amp;IF(K333&lt;&gt;""," ("&amp;K333&amp;")",""))="","",TRIM(H333&amp;" "&amp;I333&amp;" "&amp;J333&amp;IF(K333&lt;&gt;""," ("&amp;K333&amp;")","")))</x:f>
      </x:c>
      <x:c r="M333" s="220"/>
      <x:c r="N333" s="220"/>
      <x:c r="O333" s="220"/>
      <x:c r="P333" s="220"/>
      <x:c r="Q333" s="220"/>
      <x:c r="R333" s="220"/>
      <x:c r="S333" s="220"/>
      <x:c r="T333" s="220"/>
      <x:c r="U333" s="220" t="str">
        <x:f>IF(AND(M333="",O333="",Q333="",S333=""),"",IF(S333&lt;&gt;"",S333,IF(Q333&lt;&gt;"",Q333,IF(O333&lt;&gt;"",O333,M333))))</x:f>
      </x:c>
      <x:c r="V333" s="220" t="str">
        <x:f>IF(AND(N333="",P333="",R333="",T333=""),"",IF(T333&lt;&gt;"",T333,IF(R333&lt;&gt;"",R333,IF(P333&lt;&gt;"",P333,N333))))</x:f>
      </x:c>
      <x:c r="W333" s="221"/>
      <x:c r="X333" s="220"/>
      <x:c r="Y333" s="220"/>
      <x:c r="Z333" s="223"/>
      <x:c r="AA333" s="223"/>
      <x:c r="AB333" s="221"/>
      <x:c r="AC333" s="220"/>
      <x:c r="AD333" s="220"/>
      <x:c r="AE333" s="222"/>
      <x:c r="AF333" s="220"/>
      <x:c r="AG333" s="221"/>
      <x:c r="AH333" s="220"/>
      <x:c r="AI333" s="220"/>
      <x:c r="AJ333" s="222"/>
      <x:c r="AK333" s="220"/>
      <x:c r="AL333" s="220"/>
      <x:c r="AM333" s="220"/>
      <x:c r="AN333" s="220"/>
      <x:c r="AO333" s="220"/>
      <x:c r="AP333" s="220"/>
      <x:c r="AQ333" s="220"/>
      <x:c r="AR333" s="222"/>
      <x:c r="AS333" s="220"/>
      <x:c r="AT333" s="220"/>
      <x:c r="AU333" s="220"/>
      <x:c r="AV333" s="220"/>
      <x:c r="AW333" s="220"/>
      <x:c r="AX333" s="220"/>
      <x:c r="AY333" s="221"/>
      <x:c r="AZ333" s="220"/>
      <x:c r="BA333" s="220" t="str">
        <x:f>IF(AND(A333="",B333="",F333="",H333="",J333="",AW333="",AY333=""),"",IF(OR(B333="skip",AW333="skip"),"SKIP",IF(OR(B333="to_candidate",AW333="proposed_name"),IF(OR(A333="",AX333="",AY333="",COUNTIF($A$6:$A$505,A333)&gt;1),"REVIEW","TO_PROPOSED"),IF(OR(B333="",A333="",F333="",H333="",J333="",U333="",AW333="",COUNTIF($A$6:$A$505,A333)&gt;1,(COUNTIFS('أرقام التواصل'!$A$6:$A$505,"client",'أرقام التواصل'!$B$6:$B$505,A333,'أرقام التواصل'!$I$6:$I$505,"TRUE")+COUNTIFS('أرقام التواصل'!$A$6:$A$505,"client",'أرقام التواصل'!$B$6:$B$505,A333,'أرقام التواصل'!$C$6:$C$505,1))=0),"REVIEW","READY"))))</x:f>
      </x:c>
      <x:c r="BB333" s="224" t="str">
        <x:f>IF(BA333="","",IF(OR(BA333="READY",BA333="TO_PROPOSED"),"",IF(BA333="SKIP","Skipped by decision",TRIM(IF(B333="","missing import_action; ","")&amp;IF(A333="","missing migration_customer_key; ","")&amp;IF(AND(A333&lt;&gt;"",COUNTIF($A$6:$A$505,A333)&gt;1),"duplicate migration_customer_key; ","")&amp;IF(AND(NOT(OR(B333="to_candidate",AW333="proposed_name")),F333=""),"missing branch_id; ","")&amp;IF(AND(NOT(OR(B333="to_candidate",AW333="proposed_name")),H333=""),"missing first_name; ","")&amp;IF(AND(NOT(OR(B333="to_candidate",AW333="proposed_name")),J333=""),"missing last_name; ","")&amp;IF(AND(NOT(OR(B333="to_candidate",AW333="proposed_name")),U333=""),"missing final_geo_unit_id; ","")&amp;IF(AW333="","missing final_destination; ","")&amp;IF(AND(NOT(OR(B333="to_candidate",AW333="proposed_name")),(COUNTIFS('أرقام التواصل'!$A$6:$A$505,"client",'أرقام التواصل'!$B$6:$B$505,A333,'أرقام التواصل'!$I$6:$I$505,"TRUE")+COUNTIFS('أرقام التواصل'!$A$6:$A$505,"client",'أرقام التواصل'!$B$6:$B$505,A333,'أرقام التواصل'!$C$6:$C$505,1))=0),"missing primary contact in أرقام التواصل; ","")&amp;IF(OR(B333="to_candidate",AW333="proposed_name"),IF(AX333="","missing proposed_move_reason; ","")&amp;IF(AY333="","missing proposed_name_key; ",""),"")))))</x:f>
      </x:c>
    </x:row>
    <x:row r="334">
      <x:c r="A334" s="219"/>
      <x:c r="B334" s="220"/>
      <x:c r="C334" s="221"/>
      <x:c r="D334" s="220"/>
      <x:c r="E334" s="222"/>
      <x:c r="F334" s="220"/>
      <x:c r="G334" s="220"/>
      <x:c r="H334" s="220"/>
      <x:c r="I334" s="220"/>
      <x:c r="J334" s="220"/>
      <x:c r="K334" s="220"/>
      <x:c r="L334" s="220" t="str">
        <x:f>IF(TRIM(H334&amp;" "&amp;I334&amp;" "&amp;J334&amp;IF(K334&lt;&gt;""," ("&amp;K334&amp;")",""))="","",TRIM(H334&amp;" "&amp;I334&amp;" "&amp;J334&amp;IF(K334&lt;&gt;""," ("&amp;K334&amp;")","")))</x:f>
      </x:c>
      <x:c r="M334" s="220"/>
      <x:c r="N334" s="220"/>
      <x:c r="O334" s="220"/>
      <x:c r="P334" s="220"/>
      <x:c r="Q334" s="220"/>
      <x:c r="R334" s="220"/>
      <x:c r="S334" s="220"/>
      <x:c r="T334" s="220"/>
      <x:c r="U334" s="220" t="str">
        <x:f>IF(AND(M334="",O334="",Q334="",S334=""),"",IF(S334&lt;&gt;"",S334,IF(Q334&lt;&gt;"",Q334,IF(O334&lt;&gt;"",O334,M334))))</x:f>
      </x:c>
      <x:c r="V334" s="220" t="str">
        <x:f>IF(AND(N334="",P334="",R334="",T334=""),"",IF(T334&lt;&gt;"",T334,IF(R334&lt;&gt;"",R334,IF(P334&lt;&gt;"",P334,N334))))</x:f>
      </x:c>
      <x:c r="W334" s="221"/>
      <x:c r="X334" s="220"/>
      <x:c r="Y334" s="220"/>
      <x:c r="Z334" s="223"/>
      <x:c r="AA334" s="223"/>
      <x:c r="AB334" s="221"/>
      <x:c r="AC334" s="220"/>
      <x:c r="AD334" s="220"/>
      <x:c r="AE334" s="222"/>
      <x:c r="AF334" s="220"/>
      <x:c r="AG334" s="221"/>
      <x:c r="AH334" s="220"/>
      <x:c r="AI334" s="220"/>
      <x:c r="AJ334" s="222"/>
      <x:c r="AK334" s="220"/>
      <x:c r="AL334" s="220"/>
      <x:c r="AM334" s="220"/>
      <x:c r="AN334" s="220"/>
      <x:c r="AO334" s="220"/>
      <x:c r="AP334" s="220"/>
      <x:c r="AQ334" s="220"/>
      <x:c r="AR334" s="222"/>
      <x:c r="AS334" s="220"/>
      <x:c r="AT334" s="220"/>
      <x:c r="AU334" s="220"/>
      <x:c r="AV334" s="220"/>
      <x:c r="AW334" s="220"/>
      <x:c r="AX334" s="220"/>
      <x:c r="AY334" s="221"/>
      <x:c r="AZ334" s="220"/>
      <x:c r="BA334" s="220" t="str">
        <x:f>IF(AND(A334="",B334="",F334="",H334="",J334="",AW334="",AY334=""),"",IF(OR(B334="skip",AW334="skip"),"SKIP",IF(OR(B334="to_candidate",AW334="proposed_name"),IF(OR(A334="",AX334="",AY334="",COUNTIF($A$6:$A$505,A334)&gt;1),"REVIEW","TO_PROPOSED"),IF(OR(B334="",A334="",F334="",H334="",J334="",U334="",AW334="",COUNTIF($A$6:$A$505,A334)&gt;1,(COUNTIFS('أرقام التواصل'!$A$6:$A$505,"client",'أرقام التواصل'!$B$6:$B$505,A334,'أرقام التواصل'!$I$6:$I$505,"TRUE")+COUNTIFS('أرقام التواصل'!$A$6:$A$505,"client",'أرقام التواصل'!$B$6:$B$505,A334,'أرقام التواصل'!$C$6:$C$505,1))=0),"REVIEW","READY"))))</x:f>
      </x:c>
      <x:c r="BB334" s="224" t="str">
        <x:f>IF(BA334="","",IF(OR(BA334="READY",BA334="TO_PROPOSED"),"",IF(BA334="SKIP","Skipped by decision",TRIM(IF(B334="","missing import_action; ","")&amp;IF(A334="","missing migration_customer_key; ","")&amp;IF(AND(A334&lt;&gt;"",COUNTIF($A$6:$A$505,A334)&gt;1),"duplicate migration_customer_key; ","")&amp;IF(AND(NOT(OR(B334="to_candidate",AW334="proposed_name")),F334=""),"missing branch_id; ","")&amp;IF(AND(NOT(OR(B334="to_candidate",AW334="proposed_name")),H334=""),"missing first_name; ","")&amp;IF(AND(NOT(OR(B334="to_candidate",AW334="proposed_name")),J334=""),"missing last_name; ","")&amp;IF(AND(NOT(OR(B334="to_candidate",AW334="proposed_name")),U334=""),"missing final_geo_unit_id; ","")&amp;IF(AW334="","missing final_destination; ","")&amp;IF(AND(NOT(OR(B334="to_candidate",AW334="proposed_name")),(COUNTIFS('أرقام التواصل'!$A$6:$A$505,"client",'أرقام التواصل'!$B$6:$B$505,A334,'أرقام التواصل'!$I$6:$I$505,"TRUE")+COUNTIFS('أرقام التواصل'!$A$6:$A$505,"client",'أرقام التواصل'!$B$6:$B$505,A334,'أرقام التواصل'!$C$6:$C$505,1))=0),"missing primary contact in أرقام التواصل; ","")&amp;IF(OR(B334="to_candidate",AW334="proposed_name"),IF(AX334="","missing proposed_move_reason; ","")&amp;IF(AY334="","missing proposed_name_key; ",""),"")))))</x:f>
      </x:c>
    </x:row>
    <x:row r="335">
      <x:c r="A335" s="219"/>
      <x:c r="B335" s="220"/>
      <x:c r="C335" s="221"/>
      <x:c r="D335" s="220"/>
      <x:c r="E335" s="222"/>
      <x:c r="F335" s="220"/>
      <x:c r="G335" s="220"/>
      <x:c r="H335" s="220"/>
      <x:c r="I335" s="220"/>
      <x:c r="J335" s="220"/>
      <x:c r="K335" s="220"/>
      <x:c r="L335" s="220" t="str">
        <x:f>IF(TRIM(H335&amp;" "&amp;I335&amp;" "&amp;J335&amp;IF(K335&lt;&gt;""," ("&amp;K335&amp;")",""))="","",TRIM(H335&amp;" "&amp;I335&amp;" "&amp;J335&amp;IF(K335&lt;&gt;""," ("&amp;K335&amp;")","")))</x:f>
      </x:c>
      <x:c r="M335" s="220"/>
      <x:c r="N335" s="220"/>
      <x:c r="O335" s="220"/>
      <x:c r="P335" s="220"/>
      <x:c r="Q335" s="220"/>
      <x:c r="R335" s="220"/>
      <x:c r="S335" s="220"/>
      <x:c r="T335" s="220"/>
      <x:c r="U335" s="220" t="str">
        <x:f>IF(AND(M335="",O335="",Q335="",S335=""),"",IF(S335&lt;&gt;"",S335,IF(Q335&lt;&gt;"",Q335,IF(O335&lt;&gt;"",O335,M335))))</x:f>
      </x:c>
      <x:c r="V335" s="220" t="str">
        <x:f>IF(AND(N335="",P335="",R335="",T335=""),"",IF(T335&lt;&gt;"",T335,IF(R335&lt;&gt;"",R335,IF(P335&lt;&gt;"",P335,N335))))</x:f>
      </x:c>
      <x:c r="W335" s="221"/>
      <x:c r="X335" s="220"/>
      <x:c r="Y335" s="220"/>
      <x:c r="Z335" s="223"/>
      <x:c r="AA335" s="223"/>
      <x:c r="AB335" s="221"/>
      <x:c r="AC335" s="220"/>
      <x:c r="AD335" s="220"/>
      <x:c r="AE335" s="222"/>
      <x:c r="AF335" s="220"/>
      <x:c r="AG335" s="221"/>
      <x:c r="AH335" s="220"/>
      <x:c r="AI335" s="220"/>
      <x:c r="AJ335" s="222"/>
      <x:c r="AK335" s="220"/>
      <x:c r="AL335" s="220"/>
      <x:c r="AM335" s="220"/>
      <x:c r="AN335" s="220"/>
      <x:c r="AO335" s="220"/>
      <x:c r="AP335" s="220"/>
      <x:c r="AQ335" s="220"/>
      <x:c r="AR335" s="222"/>
      <x:c r="AS335" s="220"/>
      <x:c r="AT335" s="220"/>
      <x:c r="AU335" s="220"/>
      <x:c r="AV335" s="220"/>
      <x:c r="AW335" s="220"/>
      <x:c r="AX335" s="220"/>
      <x:c r="AY335" s="221"/>
      <x:c r="AZ335" s="220"/>
      <x:c r="BA335" s="220" t="str">
        <x:f>IF(AND(A335="",B335="",F335="",H335="",J335="",AW335="",AY335=""),"",IF(OR(B335="skip",AW335="skip"),"SKIP",IF(OR(B335="to_candidate",AW335="proposed_name"),IF(OR(A335="",AX335="",AY335="",COUNTIF($A$6:$A$505,A335)&gt;1),"REVIEW","TO_PROPOSED"),IF(OR(B335="",A335="",F335="",H335="",J335="",U335="",AW335="",COUNTIF($A$6:$A$505,A335)&gt;1,(COUNTIFS('أرقام التواصل'!$A$6:$A$505,"client",'أرقام التواصل'!$B$6:$B$505,A335,'أرقام التواصل'!$I$6:$I$505,"TRUE")+COUNTIFS('أرقام التواصل'!$A$6:$A$505,"client",'أرقام التواصل'!$B$6:$B$505,A335,'أرقام التواصل'!$C$6:$C$505,1))=0),"REVIEW","READY"))))</x:f>
      </x:c>
      <x:c r="BB335" s="224" t="str">
        <x:f>IF(BA335="","",IF(OR(BA335="READY",BA335="TO_PROPOSED"),"",IF(BA335="SKIP","Skipped by decision",TRIM(IF(B335="","missing import_action; ","")&amp;IF(A335="","missing migration_customer_key; ","")&amp;IF(AND(A335&lt;&gt;"",COUNTIF($A$6:$A$505,A335)&gt;1),"duplicate migration_customer_key; ","")&amp;IF(AND(NOT(OR(B335="to_candidate",AW335="proposed_name")),F335=""),"missing branch_id; ","")&amp;IF(AND(NOT(OR(B335="to_candidate",AW335="proposed_name")),H335=""),"missing first_name; ","")&amp;IF(AND(NOT(OR(B335="to_candidate",AW335="proposed_name")),J335=""),"missing last_name; ","")&amp;IF(AND(NOT(OR(B335="to_candidate",AW335="proposed_name")),U335=""),"missing final_geo_unit_id; ","")&amp;IF(AW335="","missing final_destination; ","")&amp;IF(AND(NOT(OR(B335="to_candidate",AW335="proposed_name")),(COUNTIFS('أرقام التواصل'!$A$6:$A$505,"client",'أرقام التواصل'!$B$6:$B$505,A335,'أرقام التواصل'!$I$6:$I$505,"TRUE")+COUNTIFS('أرقام التواصل'!$A$6:$A$505,"client",'أرقام التواصل'!$B$6:$B$505,A335,'أرقام التواصل'!$C$6:$C$505,1))=0),"missing primary contact in أرقام التواصل; ","")&amp;IF(OR(B335="to_candidate",AW335="proposed_name"),IF(AX335="","missing proposed_move_reason; ","")&amp;IF(AY335="","missing proposed_name_key; ",""),"")))))</x:f>
      </x:c>
    </x:row>
    <x:row r="336">
      <x:c r="A336" s="219"/>
      <x:c r="B336" s="220"/>
      <x:c r="C336" s="221"/>
      <x:c r="D336" s="220"/>
      <x:c r="E336" s="222"/>
      <x:c r="F336" s="220"/>
      <x:c r="G336" s="220"/>
      <x:c r="H336" s="220"/>
      <x:c r="I336" s="220"/>
      <x:c r="J336" s="220"/>
      <x:c r="K336" s="220"/>
      <x:c r="L336" s="220" t="str">
        <x:f>IF(TRIM(H336&amp;" "&amp;I336&amp;" "&amp;J336&amp;IF(K336&lt;&gt;""," ("&amp;K336&amp;")",""))="","",TRIM(H336&amp;" "&amp;I336&amp;" "&amp;J336&amp;IF(K336&lt;&gt;""," ("&amp;K336&amp;")","")))</x:f>
      </x:c>
      <x:c r="M336" s="220"/>
      <x:c r="N336" s="220"/>
      <x:c r="O336" s="220"/>
      <x:c r="P336" s="220"/>
      <x:c r="Q336" s="220"/>
      <x:c r="R336" s="220"/>
      <x:c r="S336" s="220"/>
      <x:c r="T336" s="220"/>
      <x:c r="U336" s="220" t="str">
        <x:f>IF(AND(M336="",O336="",Q336="",S336=""),"",IF(S336&lt;&gt;"",S336,IF(Q336&lt;&gt;"",Q336,IF(O336&lt;&gt;"",O336,M336))))</x:f>
      </x:c>
      <x:c r="V336" s="220" t="str">
        <x:f>IF(AND(N336="",P336="",R336="",T336=""),"",IF(T336&lt;&gt;"",T336,IF(R336&lt;&gt;"",R336,IF(P336&lt;&gt;"",P336,N336))))</x:f>
      </x:c>
      <x:c r="W336" s="221"/>
      <x:c r="X336" s="220"/>
      <x:c r="Y336" s="220"/>
      <x:c r="Z336" s="223"/>
      <x:c r="AA336" s="223"/>
      <x:c r="AB336" s="221"/>
      <x:c r="AC336" s="220"/>
      <x:c r="AD336" s="220"/>
      <x:c r="AE336" s="222"/>
      <x:c r="AF336" s="220"/>
      <x:c r="AG336" s="221"/>
      <x:c r="AH336" s="220"/>
      <x:c r="AI336" s="220"/>
      <x:c r="AJ336" s="222"/>
      <x:c r="AK336" s="220"/>
      <x:c r="AL336" s="220"/>
      <x:c r="AM336" s="220"/>
      <x:c r="AN336" s="220"/>
      <x:c r="AO336" s="220"/>
      <x:c r="AP336" s="220"/>
      <x:c r="AQ336" s="220"/>
      <x:c r="AR336" s="222"/>
      <x:c r="AS336" s="220"/>
      <x:c r="AT336" s="220"/>
      <x:c r="AU336" s="220"/>
      <x:c r="AV336" s="220"/>
      <x:c r="AW336" s="220"/>
      <x:c r="AX336" s="220"/>
      <x:c r="AY336" s="221"/>
      <x:c r="AZ336" s="220"/>
      <x:c r="BA336" s="220" t="str">
        <x:f>IF(AND(A336="",B336="",F336="",H336="",J336="",AW336="",AY336=""),"",IF(OR(B336="skip",AW336="skip"),"SKIP",IF(OR(B336="to_candidate",AW336="proposed_name"),IF(OR(A336="",AX336="",AY336="",COUNTIF($A$6:$A$505,A336)&gt;1),"REVIEW","TO_PROPOSED"),IF(OR(B336="",A336="",F336="",H336="",J336="",U336="",AW336="",COUNTIF($A$6:$A$505,A336)&gt;1,(COUNTIFS('أرقام التواصل'!$A$6:$A$505,"client",'أرقام التواصل'!$B$6:$B$505,A336,'أرقام التواصل'!$I$6:$I$505,"TRUE")+COUNTIFS('أرقام التواصل'!$A$6:$A$505,"client",'أرقام التواصل'!$B$6:$B$505,A336,'أرقام التواصل'!$C$6:$C$505,1))=0),"REVIEW","READY"))))</x:f>
      </x:c>
      <x:c r="BB336" s="224" t="str">
        <x:f>IF(BA336="","",IF(OR(BA336="READY",BA336="TO_PROPOSED"),"",IF(BA336="SKIP","Skipped by decision",TRIM(IF(B336="","missing import_action; ","")&amp;IF(A336="","missing migration_customer_key; ","")&amp;IF(AND(A336&lt;&gt;"",COUNTIF($A$6:$A$505,A336)&gt;1),"duplicate migration_customer_key; ","")&amp;IF(AND(NOT(OR(B336="to_candidate",AW336="proposed_name")),F336=""),"missing branch_id; ","")&amp;IF(AND(NOT(OR(B336="to_candidate",AW336="proposed_name")),H336=""),"missing first_name; ","")&amp;IF(AND(NOT(OR(B336="to_candidate",AW336="proposed_name")),J336=""),"missing last_name; ","")&amp;IF(AND(NOT(OR(B336="to_candidate",AW336="proposed_name")),U336=""),"missing final_geo_unit_id; ","")&amp;IF(AW336="","missing final_destination; ","")&amp;IF(AND(NOT(OR(B336="to_candidate",AW336="proposed_name")),(COUNTIFS('أرقام التواصل'!$A$6:$A$505,"client",'أرقام التواصل'!$B$6:$B$505,A336,'أرقام التواصل'!$I$6:$I$505,"TRUE")+COUNTIFS('أرقام التواصل'!$A$6:$A$505,"client",'أرقام التواصل'!$B$6:$B$505,A336,'أرقام التواصل'!$C$6:$C$505,1))=0),"missing primary contact in أرقام التواصل; ","")&amp;IF(OR(B336="to_candidate",AW336="proposed_name"),IF(AX336="","missing proposed_move_reason; ","")&amp;IF(AY336="","missing proposed_name_key; ",""),"")))))</x:f>
      </x:c>
    </x:row>
    <x:row r="337">
      <x:c r="A337" s="219"/>
      <x:c r="B337" s="220"/>
      <x:c r="C337" s="221"/>
      <x:c r="D337" s="220"/>
      <x:c r="E337" s="222"/>
      <x:c r="F337" s="220"/>
      <x:c r="G337" s="220"/>
      <x:c r="H337" s="220"/>
      <x:c r="I337" s="220"/>
      <x:c r="J337" s="220"/>
      <x:c r="K337" s="220"/>
      <x:c r="L337" s="220" t="str">
        <x:f>IF(TRIM(H337&amp;" "&amp;I337&amp;" "&amp;J337&amp;IF(K337&lt;&gt;""," ("&amp;K337&amp;")",""))="","",TRIM(H337&amp;" "&amp;I337&amp;" "&amp;J337&amp;IF(K337&lt;&gt;""," ("&amp;K337&amp;")","")))</x:f>
      </x:c>
      <x:c r="M337" s="220"/>
      <x:c r="N337" s="220"/>
      <x:c r="O337" s="220"/>
      <x:c r="P337" s="220"/>
      <x:c r="Q337" s="220"/>
      <x:c r="R337" s="220"/>
      <x:c r="S337" s="220"/>
      <x:c r="T337" s="220"/>
      <x:c r="U337" s="220" t="str">
        <x:f>IF(AND(M337="",O337="",Q337="",S337=""),"",IF(S337&lt;&gt;"",S337,IF(Q337&lt;&gt;"",Q337,IF(O337&lt;&gt;"",O337,M337))))</x:f>
      </x:c>
      <x:c r="V337" s="220" t="str">
        <x:f>IF(AND(N337="",P337="",R337="",T337=""),"",IF(T337&lt;&gt;"",T337,IF(R337&lt;&gt;"",R337,IF(P337&lt;&gt;"",P337,N337))))</x:f>
      </x:c>
      <x:c r="W337" s="221"/>
      <x:c r="X337" s="220"/>
      <x:c r="Y337" s="220"/>
      <x:c r="Z337" s="223"/>
      <x:c r="AA337" s="223"/>
      <x:c r="AB337" s="221"/>
      <x:c r="AC337" s="220"/>
      <x:c r="AD337" s="220"/>
      <x:c r="AE337" s="222"/>
      <x:c r="AF337" s="220"/>
      <x:c r="AG337" s="221"/>
      <x:c r="AH337" s="220"/>
      <x:c r="AI337" s="220"/>
      <x:c r="AJ337" s="222"/>
      <x:c r="AK337" s="220"/>
      <x:c r="AL337" s="220"/>
      <x:c r="AM337" s="220"/>
      <x:c r="AN337" s="220"/>
      <x:c r="AO337" s="220"/>
      <x:c r="AP337" s="220"/>
      <x:c r="AQ337" s="220"/>
      <x:c r="AR337" s="222"/>
      <x:c r="AS337" s="220"/>
      <x:c r="AT337" s="220"/>
      <x:c r="AU337" s="220"/>
      <x:c r="AV337" s="220"/>
      <x:c r="AW337" s="220"/>
      <x:c r="AX337" s="220"/>
      <x:c r="AY337" s="221"/>
      <x:c r="AZ337" s="220"/>
      <x:c r="BA337" s="220" t="str">
        <x:f>IF(AND(A337="",B337="",F337="",H337="",J337="",AW337="",AY337=""),"",IF(OR(B337="skip",AW337="skip"),"SKIP",IF(OR(B337="to_candidate",AW337="proposed_name"),IF(OR(A337="",AX337="",AY337="",COUNTIF($A$6:$A$505,A337)&gt;1),"REVIEW","TO_PROPOSED"),IF(OR(B337="",A337="",F337="",H337="",J337="",U337="",AW337="",COUNTIF($A$6:$A$505,A337)&gt;1,(COUNTIFS('أرقام التواصل'!$A$6:$A$505,"client",'أرقام التواصل'!$B$6:$B$505,A337,'أرقام التواصل'!$I$6:$I$505,"TRUE")+COUNTIFS('أرقام التواصل'!$A$6:$A$505,"client",'أرقام التواصل'!$B$6:$B$505,A337,'أرقام التواصل'!$C$6:$C$505,1))=0),"REVIEW","READY"))))</x:f>
      </x:c>
      <x:c r="BB337" s="224" t="str">
        <x:f>IF(BA337="","",IF(OR(BA337="READY",BA337="TO_PROPOSED"),"",IF(BA337="SKIP","Skipped by decision",TRIM(IF(B337="","missing import_action; ","")&amp;IF(A337="","missing migration_customer_key; ","")&amp;IF(AND(A337&lt;&gt;"",COUNTIF($A$6:$A$505,A337)&gt;1),"duplicate migration_customer_key; ","")&amp;IF(AND(NOT(OR(B337="to_candidate",AW337="proposed_name")),F337=""),"missing branch_id; ","")&amp;IF(AND(NOT(OR(B337="to_candidate",AW337="proposed_name")),H337=""),"missing first_name; ","")&amp;IF(AND(NOT(OR(B337="to_candidate",AW337="proposed_name")),J337=""),"missing last_name; ","")&amp;IF(AND(NOT(OR(B337="to_candidate",AW337="proposed_name")),U337=""),"missing final_geo_unit_id; ","")&amp;IF(AW337="","missing final_destination; ","")&amp;IF(AND(NOT(OR(B337="to_candidate",AW337="proposed_name")),(COUNTIFS('أرقام التواصل'!$A$6:$A$505,"client",'أرقام التواصل'!$B$6:$B$505,A337,'أرقام التواصل'!$I$6:$I$505,"TRUE")+COUNTIFS('أرقام التواصل'!$A$6:$A$505,"client",'أرقام التواصل'!$B$6:$B$505,A337,'أرقام التواصل'!$C$6:$C$505,1))=0),"missing primary contact in أرقام التواصل; ","")&amp;IF(OR(B337="to_candidate",AW337="proposed_name"),IF(AX337="","missing proposed_move_reason; ","")&amp;IF(AY337="","missing proposed_name_key; ",""),"")))))</x:f>
      </x:c>
    </x:row>
    <x:row r="338">
      <x:c r="A338" s="219"/>
      <x:c r="B338" s="220"/>
      <x:c r="C338" s="221"/>
      <x:c r="D338" s="220"/>
      <x:c r="E338" s="222"/>
      <x:c r="F338" s="220"/>
      <x:c r="G338" s="220"/>
      <x:c r="H338" s="220"/>
      <x:c r="I338" s="220"/>
      <x:c r="J338" s="220"/>
      <x:c r="K338" s="220"/>
      <x:c r="L338" s="220" t="str">
        <x:f>IF(TRIM(H338&amp;" "&amp;I338&amp;" "&amp;J338&amp;IF(K338&lt;&gt;""," ("&amp;K338&amp;")",""))="","",TRIM(H338&amp;" "&amp;I338&amp;" "&amp;J338&amp;IF(K338&lt;&gt;""," ("&amp;K338&amp;")","")))</x:f>
      </x:c>
      <x:c r="M338" s="220"/>
      <x:c r="N338" s="220"/>
      <x:c r="O338" s="220"/>
      <x:c r="P338" s="220"/>
      <x:c r="Q338" s="220"/>
      <x:c r="R338" s="220"/>
      <x:c r="S338" s="220"/>
      <x:c r="T338" s="220"/>
      <x:c r="U338" s="220" t="str">
        <x:f>IF(AND(M338="",O338="",Q338="",S338=""),"",IF(S338&lt;&gt;"",S338,IF(Q338&lt;&gt;"",Q338,IF(O338&lt;&gt;"",O338,M338))))</x:f>
      </x:c>
      <x:c r="V338" s="220" t="str">
        <x:f>IF(AND(N338="",P338="",R338="",T338=""),"",IF(T338&lt;&gt;"",T338,IF(R338&lt;&gt;"",R338,IF(P338&lt;&gt;"",P338,N338))))</x:f>
      </x:c>
      <x:c r="W338" s="221"/>
      <x:c r="X338" s="220"/>
      <x:c r="Y338" s="220"/>
      <x:c r="Z338" s="223"/>
      <x:c r="AA338" s="223"/>
      <x:c r="AB338" s="221"/>
      <x:c r="AC338" s="220"/>
      <x:c r="AD338" s="220"/>
      <x:c r="AE338" s="222"/>
      <x:c r="AF338" s="220"/>
      <x:c r="AG338" s="221"/>
      <x:c r="AH338" s="220"/>
      <x:c r="AI338" s="220"/>
      <x:c r="AJ338" s="222"/>
      <x:c r="AK338" s="220"/>
      <x:c r="AL338" s="220"/>
      <x:c r="AM338" s="220"/>
      <x:c r="AN338" s="220"/>
      <x:c r="AO338" s="220"/>
      <x:c r="AP338" s="220"/>
      <x:c r="AQ338" s="220"/>
      <x:c r="AR338" s="222"/>
      <x:c r="AS338" s="220"/>
      <x:c r="AT338" s="220"/>
      <x:c r="AU338" s="220"/>
      <x:c r="AV338" s="220"/>
      <x:c r="AW338" s="220"/>
      <x:c r="AX338" s="220"/>
      <x:c r="AY338" s="221"/>
      <x:c r="AZ338" s="220"/>
      <x:c r="BA338" s="220" t="str">
        <x:f>IF(AND(A338="",B338="",F338="",H338="",J338="",AW338="",AY338=""),"",IF(OR(B338="skip",AW338="skip"),"SKIP",IF(OR(B338="to_candidate",AW338="proposed_name"),IF(OR(A338="",AX338="",AY338="",COUNTIF($A$6:$A$505,A338)&gt;1),"REVIEW","TO_PROPOSED"),IF(OR(B338="",A338="",F338="",H338="",J338="",U338="",AW338="",COUNTIF($A$6:$A$505,A338)&gt;1,(COUNTIFS('أرقام التواصل'!$A$6:$A$505,"client",'أرقام التواصل'!$B$6:$B$505,A338,'أرقام التواصل'!$I$6:$I$505,"TRUE")+COUNTIFS('أرقام التواصل'!$A$6:$A$505,"client",'أرقام التواصل'!$B$6:$B$505,A338,'أرقام التواصل'!$C$6:$C$505,1))=0),"REVIEW","READY"))))</x:f>
      </x:c>
      <x:c r="BB338" s="224" t="str">
        <x:f>IF(BA338="","",IF(OR(BA338="READY",BA338="TO_PROPOSED"),"",IF(BA338="SKIP","Skipped by decision",TRIM(IF(B338="","missing import_action; ","")&amp;IF(A338="","missing migration_customer_key; ","")&amp;IF(AND(A338&lt;&gt;"",COUNTIF($A$6:$A$505,A338)&gt;1),"duplicate migration_customer_key; ","")&amp;IF(AND(NOT(OR(B338="to_candidate",AW338="proposed_name")),F338=""),"missing branch_id; ","")&amp;IF(AND(NOT(OR(B338="to_candidate",AW338="proposed_name")),H338=""),"missing first_name; ","")&amp;IF(AND(NOT(OR(B338="to_candidate",AW338="proposed_name")),J338=""),"missing last_name; ","")&amp;IF(AND(NOT(OR(B338="to_candidate",AW338="proposed_name")),U338=""),"missing final_geo_unit_id; ","")&amp;IF(AW338="","missing final_destination; ","")&amp;IF(AND(NOT(OR(B338="to_candidate",AW338="proposed_name")),(COUNTIFS('أرقام التواصل'!$A$6:$A$505,"client",'أرقام التواصل'!$B$6:$B$505,A338,'أرقام التواصل'!$I$6:$I$505,"TRUE")+COUNTIFS('أرقام التواصل'!$A$6:$A$505,"client",'أرقام التواصل'!$B$6:$B$505,A338,'أرقام التواصل'!$C$6:$C$505,1))=0),"missing primary contact in أرقام التواصل; ","")&amp;IF(OR(B338="to_candidate",AW338="proposed_name"),IF(AX338="","missing proposed_move_reason; ","")&amp;IF(AY338="","missing proposed_name_key; ",""),"")))))</x:f>
      </x:c>
    </x:row>
    <x:row r="339">
      <x:c r="A339" s="219"/>
      <x:c r="B339" s="220"/>
      <x:c r="C339" s="221"/>
      <x:c r="D339" s="220"/>
      <x:c r="E339" s="222"/>
      <x:c r="F339" s="220"/>
      <x:c r="G339" s="220"/>
      <x:c r="H339" s="220"/>
      <x:c r="I339" s="220"/>
      <x:c r="J339" s="220"/>
      <x:c r="K339" s="220"/>
      <x:c r="L339" s="220" t="str">
        <x:f>IF(TRIM(H339&amp;" "&amp;I339&amp;" "&amp;J339&amp;IF(K339&lt;&gt;""," ("&amp;K339&amp;")",""))="","",TRIM(H339&amp;" "&amp;I339&amp;" "&amp;J339&amp;IF(K339&lt;&gt;""," ("&amp;K339&amp;")","")))</x:f>
      </x:c>
      <x:c r="M339" s="220"/>
      <x:c r="N339" s="220"/>
      <x:c r="O339" s="220"/>
      <x:c r="P339" s="220"/>
      <x:c r="Q339" s="220"/>
      <x:c r="R339" s="220"/>
      <x:c r="S339" s="220"/>
      <x:c r="T339" s="220"/>
      <x:c r="U339" s="220" t="str">
        <x:f>IF(AND(M339="",O339="",Q339="",S339=""),"",IF(S339&lt;&gt;"",S339,IF(Q339&lt;&gt;"",Q339,IF(O339&lt;&gt;"",O339,M339))))</x:f>
      </x:c>
      <x:c r="V339" s="220" t="str">
        <x:f>IF(AND(N339="",P339="",R339="",T339=""),"",IF(T339&lt;&gt;"",T339,IF(R339&lt;&gt;"",R339,IF(P339&lt;&gt;"",P339,N339))))</x:f>
      </x:c>
      <x:c r="W339" s="221"/>
      <x:c r="X339" s="220"/>
      <x:c r="Y339" s="220"/>
      <x:c r="Z339" s="223"/>
      <x:c r="AA339" s="223"/>
      <x:c r="AB339" s="221"/>
      <x:c r="AC339" s="220"/>
      <x:c r="AD339" s="220"/>
      <x:c r="AE339" s="222"/>
      <x:c r="AF339" s="220"/>
      <x:c r="AG339" s="221"/>
      <x:c r="AH339" s="220"/>
      <x:c r="AI339" s="220"/>
      <x:c r="AJ339" s="222"/>
      <x:c r="AK339" s="220"/>
      <x:c r="AL339" s="220"/>
      <x:c r="AM339" s="220"/>
      <x:c r="AN339" s="220"/>
      <x:c r="AO339" s="220"/>
      <x:c r="AP339" s="220"/>
      <x:c r="AQ339" s="220"/>
      <x:c r="AR339" s="222"/>
      <x:c r="AS339" s="220"/>
      <x:c r="AT339" s="220"/>
      <x:c r="AU339" s="220"/>
      <x:c r="AV339" s="220"/>
      <x:c r="AW339" s="220"/>
      <x:c r="AX339" s="220"/>
      <x:c r="AY339" s="221"/>
      <x:c r="AZ339" s="220"/>
      <x:c r="BA339" s="220" t="str">
        <x:f>IF(AND(A339="",B339="",F339="",H339="",J339="",AW339="",AY339=""),"",IF(OR(B339="skip",AW339="skip"),"SKIP",IF(OR(B339="to_candidate",AW339="proposed_name"),IF(OR(A339="",AX339="",AY339="",COUNTIF($A$6:$A$505,A339)&gt;1),"REVIEW","TO_PROPOSED"),IF(OR(B339="",A339="",F339="",H339="",J339="",U339="",AW339="",COUNTIF($A$6:$A$505,A339)&gt;1,(COUNTIFS('أرقام التواصل'!$A$6:$A$505,"client",'أرقام التواصل'!$B$6:$B$505,A339,'أرقام التواصل'!$I$6:$I$505,"TRUE")+COUNTIFS('أرقام التواصل'!$A$6:$A$505,"client",'أرقام التواصل'!$B$6:$B$505,A339,'أرقام التواصل'!$C$6:$C$505,1))=0),"REVIEW","READY"))))</x:f>
      </x:c>
      <x:c r="BB339" s="224" t="str">
        <x:f>IF(BA339="","",IF(OR(BA339="READY",BA339="TO_PROPOSED"),"",IF(BA339="SKIP","Skipped by decision",TRIM(IF(B339="","missing import_action; ","")&amp;IF(A339="","missing migration_customer_key; ","")&amp;IF(AND(A339&lt;&gt;"",COUNTIF($A$6:$A$505,A339)&gt;1),"duplicate migration_customer_key; ","")&amp;IF(AND(NOT(OR(B339="to_candidate",AW339="proposed_name")),F339=""),"missing branch_id; ","")&amp;IF(AND(NOT(OR(B339="to_candidate",AW339="proposed_name")),H339=""),"missing first_name; ","")&amp;IF(AND(NOT(OR(B339="to_candidate",AW339="proposed_name")),J339=""),"missing last_name; ","")&amp;IF(AND(NOT(OR(B339="to_candidate",AW339="proposed_name")),U339=""),"missing final_geo_unit_id; ","")&amp;IF(AW339="","missing final_destination; ","")&amp;IF(AND(NOT(OR(B339="to_candidate",AW339="proposed_name")),(COUNTIFS('أرقام التواصل'!$A$6:$A$505,"client",'أرقام التواصل'!$B$6:$B$505,A339,'أرقام التواصل'!$I$6:$I$505,"TRUE")+COUNTIFS('أرقام التواصل'!$A$6:$A$505,"client",'أرقام التواصل'!$B$6:$B$505,A339,'أرقام التواصل'!$C$6:$C$505,1))=0),"missing primary contact in أرقام التواصل; ","")&amp;IF(OR(B339="to_candidate",AW339="proposed_name"),IF(AX339="","missing proposed_move_reason; ","")&amp;IF(AY339="","missing proposed_name_key; ",""),"")))))</x:f>
      </x:c>
    </x:row>
    <x:row r="340">
      <x:c r="A340" s="219"/>
      <x:c r="B340" s="220"/>
      <x:c r="C340" s="221"/>
      <x:c r="D340" s="220"/>
      <x:c r="E340" s="222"/>
      <x:c r="F340" s="220"/>
      <x:c r="G340" s="220"/>
      <x:c r="H340" s="220"/>
      <x:c r="I340" s="220"/>
      <x:c r="J340" s="220"/>
      <x:c r="K340" s="220"/>
      <x:c r="L340" s="220" t="str">
        <x:f>IF(TRIM(H340&amp;" "&amp;I340&amp;" "&amp;J340&amp;IF(K340&lt;&gt;""," ("&amp;K340&amp;")",""))="","",TRIM(H340&amp;" "&amp;I340&amp;" "&amp;J340&amp;IF(K340&lt;&gt;""," ("&amp;K340&amp;")","")))</x:f>
      </x:c>
      <x:c r="M340" s="220"/>
      <x:c r="N340" s="220"/>
      <x:c r="O340" s="220"/>
      <x:c r="P340" s="220"/>
      <x:c r="Q340" s="220"/>
      <x:c r="R340" s="220"/>
      <x:c r="S340" s="220"/>
      <x:c r="T340" s="220"/>
      <x:c r="U340" s="220" t="str">
        <x:f>IF(AND(M340="",O340="",Q340="",S340=""),"",IF(S340&lt;&gt;"",S340,IF(Q340&lt;&gt;"",Q340,IF(O340&lt;&gt;"",O340,M340))))</x:f>
      </x:c>
      <x:c r="V340" s="220" t="str">
        <x:f>IF(AND(N340="",P340="",R340="",T340=""),"",IF(T340&lt;&gt;"",T340,IF(R340&lt;&gt;"",R340,IF(P340&lt;&gt;"",P340,N340))))</x:f>
      </x:c>
      <x:c r="W340" s="221"/>
      <x:c r="X340" s="220"/>
      <x:c r="Y340" s="220"/>
      <x:c r="Z340" s="223"/>
      <x:c r="AA340" s="223"/>
      <x:c r="AB340" s="221"/>
      <x:c r="AC340" s="220"/>
      <x:c r="AD340" s="220"/>
      <x:c r="AE340" s="222"/>
      <x:c r="AF340" s="220"/>
      <x:c r="AG340" s="221"/>
      <x:c r="AH340" s="220"/>
      <x:c r="AI340" s="220"/>
      <x:c r="AJ340" s="222"/>
      <x:c r="AK340" s="220"/>
      <x:c r="AL340" s="220"/>
      <x:c r="AM340" s="220"/>
      <x:c r="AN340" s="220"/>
      <x:c r="AO340" s="220"/>
      <x:c r="AP340" s="220"/>
      <x:c r="AQ340" s="220"/>
      <x:c r="AR340" s="222"/>
      <x:c r="AS340" s="220"/>
      <x:c r="AT340" s="220"/>
      <x:c r="AU340" s="220"/>
      <x:c r="AV340" s="220"/>
      <x:c r="AW340" s="220"/>
      <x:c r="AX340" s="220"/>
      <x:c r="AY340" s="221"/>
      <x:c r="AZ340" s="220"/>
      <x:c r="BA340" s="220" t="str">
        <x:f>IF(AND(A340="",B340="",F340="",H340="",J340="",AW340="",AY340=""),"",IF(OR(B340="skip",AW340="skip"),"SKIP",IF(OR(B340="to_candidate",AW340="proposed_name"),IF(OR(A340="",AX340="",AY340="",COUNTIF($A$6:$A$505,A340)&gt;1),"REVIEW","TO_PROPOSED"),IF(OR(B340="",A340="",F340="",H340="",J340="",U340="",AW340="",COUNTIF($A$6:$A$505,A340)&gt;1,(COUNTIFS('أرقام التواصل'!$A$6:$A$505,"client",'أرقام التواصل'!$B$6:$B$505,A340,'أرقام التواصل'!$I$6:$I$505,"TRUE")+COUNTIFS('أرقام التواصل'!$A$6:$A$505,"client",'أرقام التواصل'!$B$6:$B$505,A340,'أرقام التواصل'!$C$6:$C$505,1))=0),"REVIEW","READY"))))</x:f>
      </x:c>
      <x:c r="BB340" s="224" t="str">
        <x:f>IF(BA340="","",IF(OR(BA340="READY",BA340="TO_PROPOSED"),"",IF(BA340="SKIP","Skipped by decision",TRIM(IF(B340="","missing import_action; ","")&amp;IF(A340="","missing migration_customer_key; ","")&amp;IF(AND(A340&lt;&gt;"",COUNTIF($A$6:$A$505,A340)&gt;1),"duplicate migration_customer_key; ","")&amp;IF(AND(NOT(OR(B340="to_candidate",AW340="proposed_name")),F340=""),"missing branch_id; ","")&amp;IF(AND(NOT(OR(B340="to_candidate",AW340="proposed_name")),H340=""),"missing first_name; ","")&amp;IF(AND(NOT(OR(B340="to_candidate",AW340="proposed_name")),J340=""),"missing last_name; ","")&amp;IF(AND(NOT(OR(B340="to_candidate",AW340="proposed_name")),U340=""),"missing final_geo_unit_id; ","")&amp;IF(AW340="","missing final_destination; ","")&amp;IF(AND(NOT(OR(B340="to_candidate",AW340="proposed_name")),(COUNTIFS('أرقام التواصل'!$A$6:$A$505,"client",'أرقام التواصل'!$B$6:$B$505,A340,'أرقام التواصل'!$I$6:$I$505,"TRUE")+COUNTIFS('أرقام التواصل'!$A$6:$A$505,"client",'أرقام التواصل'!$B$6:$B$505,A340,'أرقام التواصل'!$C$6:$C$505,1))=0),"missing primary contact in أرقام التواصل; ","")&amp;IF(OR(B340="to_candidate",AW340="proposed_name"),IF(AX340="","missing proposed_move_reason; ","")&amp;IF(AY340="","missing proposed_name_key; ",""),"")))))</x:f>
      </x:c>
    </x:row>
    <x:row r="341">
      <x:c r="A341" s="219"/>
      <x:c r="B341" s="220"/>
      <x:c r="C341" s="221"/>
      <x:c r="D341" s="220"/>
      <x:c r="E341" s="222"/>
      <x:c r="F341" s="220"/>
      <x:c r="G341" s="220"/>
      <x:c r="H341" s="220"/>
      <x:c r="I341" s="220"/>
      <x:c r="J341" s="220"/>
      <x:c r="K341" s="220"/>
      <x:c r="L341" s="220" t="str">
        <x:f>IF(TRIM(H341&amp;" "&amp;I341&amp;" "&amp;J341&amp;IF(K341&lt;&gt;""," ("&amp;K341&amp;")",""))="","",TRIM(H341&amp;" "&amp;I341&amp;" "&amp;J341&amp;IF(K341&lt;&gt;""," ("&amp;K341&amp;")","")))</x:f>
      </x:c>
      <x:c r="M341" s="220"/>
      <x:c r="N341" s="220"/>
      <x:c r="O341" s="220"/>
      <x:c r="P341" s="220"/>
      <x:c r="Q341" s="220"/>
      <x:c r="R341" s="220"/>
      <x:c r="S341" s="220"/>
      <x:c r="T341" s="220"/>
      <x:c r="U341" s="220" t="str">
        <x:f>IF(AND(M341="",O341="",Q341="",S341=""),"",IF(S341&lt;&gt;"",S341,IF(Q341&lt;&gt;"",Q341,IF(O341&lt;&gt;"",O341,M341))))</x:f>
      </x:c>
      <x:c r="V341" s="220" t="str">
        <x:f>IF(AND(N341="",P341="",R341="",T341=""),"",IF(T341&lt;&gt;"",T341,IF(R341&lt;&gt;"",R341,IF(P341&lt;&gt;"",P341,N341))))</x:f>
      </x:c>
      <x:c r="W341" s="221"/>
      <x:c r="X341" s="220"/>
      <x:c r="Y341" s="220"/>
      <x:c r="Z341" s="223"/>
      <x:c r="AA341" s="223"/>
      <x:c r="AB341" s="221"/>
      <x:c r="AC341" s="220"/>
      <x:c r="AD341" s="220"/>
      <x:c r="AE341" s="222"/>
      <x:c r="AF341" s="220"/>
      <x:c r="AG341" s="221"/>
      <x:c r="AH341" s="220"/>
      <x:c r="AI341" s="220"/>
      <x:c r="AJ341" s="222"/>
      <x:c r="AK341" s="220"/>
      <x:c r="AL341" s="220"/>
      <x:c r="AM341" s="220"/>
      <x:c r="AN341" s="220"/>
      <x:c r="AO341" s="220"/>
      <x:c r="AP341" s="220"/>
      <x:c r="AQ341" s="220"/>
      <x:c r="AR341" s="222"/>
      <x:c r="AS341" s="220"/>
      <x:c r="AT341" s="220"/>
      <x:c r="AU341" s="220"/>
      <x:c r="AV341" s="220"/>
      <x:c r="AW341" s="220"/>
      <x:c r="AX341" s="220"/>
      <x:c r="AY341" s="221"/>
      <x:c r="AZ341" s="220"/>
      <x:c r="BA341" s="220" t="str">
        <x:f>IF(AND(A341="",B341="",F341="",H341="",J341="",AW341="",AY341=""),"",IF(OR(B341="skip",AW341="skip"),"SKIP",IF(OR(B341="to_candidate",AW341="proposed_name"),IF(OR(A341="",AX341="",AY341="",COUNTIF($A$6:$A$505,A341)&gt;1),"REVIEW","TO_PROPOSED"),IF(OR(B341="",A341="",F341="",H341="",J341="",U341="",AW341="",COUNTIF($A$6:$A$505,A341)&gt;1,(COUNTIFS('أرقام التواصل'!$A$6:$A$505,"client",'أرقام التواصل'!$B$6:$B$505,A341,'أرقام التواصل'!$I$6:$I$505,"TRUE")+COUNTIFS('أرقام التواصل'!$A$6:$A$505,"client",'أرقام التواصل'!$B$6:$B$505,A341,'أرقام التواصل'!$C$6:$C$505,1))=0),"REVIEW","READY"))))</x:f>
      </x:c>
      <x:c r="BB341" s="224" t="str">
        <x:f>IF(BA341="","",IF(OR(BA341="READY",BA341="TO_PROPOSED"),"",IF(BA341="SKIP","Skipped by decision",TRIM(IF(B341="","missing import_action; ","")&amp;IF(A341="","missing migration_customer_key; ","")&amp;IF(AND(A341&lt;&gt;"",COUNTIF($A$6:$A$505,A341)&gt;1),"duplicate migration_customer_key; ","")&amp;IF(AND(NOT(OR(B341="to_candidate",AW341="proposed_name")),F341=""),"missing branch_id; ","")&amp;IF(AND(NOT(OR(B341="to_candidate",AW341="proposed_name")),H341=""),"missing first_name; ","")&amp;IF(AND(NOT(OR(B341="to_candidate",AW341="proposed_name")),J341=""),"missing last_name; ","")&amp;IF(AND(NOT(OR(B341="to_candidate",AW341="proposed_name")),U341=""),"missing final_geo_unit_id; ","")&amp;IF(AW341="","missing final_destination; ","")&amp;IF(AND(NOT(OR(B341="to_candidate",AW341="proposed_name")),(COUNTIFS('أرقام التواصل'!$A$6:$A$505,"client",'أرقام التواصل'!$B$6:$B$505,A341,'أرقام التواصل'!$I$6:$I$505,"TRUE")+COUNTIFS('أرقام التواصل'!$A$6:$A$505,"client",'أرقام التواصل'!$B$6:$B$505,A341,'أرقام التواصل'!$C$6:$C$505,1))=0),"missing primary contact in أرقام التواصل; ","")&amp;IF(OR(B341="to_candidate",AW341="proposed_name"),IF(AX341="","missing proposed_move_reason; ","")&amp;IF(AY341="","missing proposed_name_key; ",""),"")))))</x:f>
      </x:c>
    </x:row>
    <x:row r="342">
      <x:c r="A342" s="219"/>
      <x:c r="B342" s="220"/>
      <x:c r="C342" s="221"/>
      <x:c r="D342" s="220"/>
      <x:c r="E342" s="222"/>
      <x:c r="F342" s="220"/>
      <x:c r="G342" s="220"/>
      <x:c r="H342" s="220"/>
      <x:c r="I342" s="220"/>
      <x:c r="J342" s="220"/>
      <x:c r="K342" s="220"/>
      <x:c r="L342" s="220" t="str">
        <x:f>IF(TRIM(H342&amp;" "&amp;I342&amp;" "&amp;J342&amp;IF(K342&lt;&gt;""," ("&amp;K342&amp;")",""))="","",TRIM(H342&amp;" "&amp;I342&amp;" "&amp;J342&amp;IF(K342&lt;&gt;""," ("&amp;K342&amp;")","")))</x:f>
      </x:c>
      <x:c r="M342" s="220"/>
      <x:c r="N342" s="220"/>
      <x:c r="O342" s="220"/>
      <x:c r="P342" s="220"/>
      <x:c r="Q342" s="220"/>
      <x:c r="R342" s="220"/>
      <x:c r="S342" s="220"/>
      <x:c r="T342" s="220"/>
      <x:c r="U342" s="220" t="str">
        <x:f>IF(AND(M342="",O342="",Q342="",S342=""),"",IF(S342&lt;&gt;"",S342,IF(Q342&lt;&gt;"",Q342,IF(O342&lt;&gt;"",O342,M342))))</x:f>
      </x:c>
      <x:c r="V342" s="220" t="str">
        <x:f>IF(AND(N342="",P342="",R342="",T342=""),"",IF(T342&lt;&gt;"",T342,IF(R342&lt;&gt;"",R342,IF(P342&lt;&gt;"",P342,N342))))</x:f>
      </x:c>
      <x:c r="W342" s="221"/>
      <x:c r="X342" s="220"/>
      <x:c r="Y342" s="220"/>
      <x:c r="Z342" s="223"/>
      <x:c r="AA342" s="223"/>
      <x:c r="AB342" s="221"/>
      <x:c r="AC342" s="220"/>
      <x:c r="AD342" s="220"/>
      <x:c r="AE342" s="222"/>
      <x:c r="AF342" s="220"/>
      <x:c r="AG342" s="221"/>
      <x:c r="AH342" s="220"/>
      <x:c r="AI342" s="220"/>
      <x:c r="AJ342" s="222"/>
      <x:c r="AK342" s="220"/>
      <x:c r="AL342" s="220"/>
      <x:c r="AM342" s="220"/>
      <x:c r="AN342" s="220"/>
      <x:c r="AO342" s="220"/>
      <x:c r="AP342" s="220"/>
      <x:c r="AQ342" s="220"/>
      <x:c r="AR342" s="222"/>
      <x:c r="AS342" s="220"/>
      <x:c r="AT342" s="220"/>
      <x:c r="AU342" s="220"/>
      <x:c r="AV342" s="220"/>
      <x:c r="AW342" s="220"/>
      <x:c r="AX342" s="220"/>
      <x:c r="AY342" s="221"/>
      <x:c r="AZ342" s="220"/>
      <x:c r="BA342" s="220" t="str">
        <x:f>IF(AND(A342="",B342="",F342="",H342="",J342="",AW342="",AY342=""),"",IF(OR(B342="skip",AW342="skip"),"SKIP",IF(OR(B342="to_candidate",AW342="proposed_name"),IF(OR(A342="",AX342="",AY342="",COUNTIF($A$6:$A$505,A342)&gt;1),"REVIEW","TO_PROPOSED"),IF(OR(B342="",A342="",F342="",H342="",J342="",U342="",AW342="",COUNTIF($A$6:$A$505,A342)&gt;1,(COUNTIFS('أرقام التواصل'!$A$6:$A$505,"client",'أرقام التواصل'!$B$6:$B$505,A342,'أرقام التواصل'!$I$6:$I$505,"TRUE")+COUNTIFS('أرقام التواصل'!$A$6:$A$505,"client",'أرقام التواصل'!$B$6:$B$505,A342,'أرقام التواصل'!$C$6:$C$505,1))=0),"REVIEW","READY"))))</x:f>
      </x:c>
      <x:c r="BB342" s="224" t="str">
        <x:f>IF(BA342="","",IF(OR(BA342="READY",BA342="TO_PROPOSED"),"",IF(BA342="SKIP","Skipped by decision",TRIM(IF(B342="","missing import_action; ","")&amp;IF(A342="","missing migration_customer_key; ","")&amp;IF(AND(A342&lt;&gt;"",COUNTIF($A$6:$A$505,A342)&gt;1),"duplicate migration_customer_key; ","")&amp;IF(AND(NOT(OR(B342="to_candidate",AW342="proposed_name")),F342=""),"missing branch_id; ","")&amp;IF(AND(NOT(OR(B342="to_candidate",AW342="proposed_name")),H342=""),"missing first_name; ","")&amp;IF(AND(NOT(OR(B342="to_candidate",AW342="proposed_name")),J342=""),"missing last_name; ","")&amp;IF(AND(NOT(OR(B342="to_candidate",AW342="proposed_name")),U342=""),"missing final_geo_unit_id; ","")&amp;IF(AW342="","missing final_destination; ","")&amp;IF(AND(NOT(OR(B342="to_candidate",AW342="proposed_name")),(COUNTIFS('أرقام التواصل'!$A$6:$A$505,"client",'أرقام التواصل'!$B$6:$B$505,A342,'أرقام التواصل'!$I$6:$I$505,"TRUE")+COUNTIFS('أرقام التواصل'!$A$6:$A$505,"client",'أرقام التواصل'!$B$6:$B$505,A342,'أرقام التواصل'!$C$6:$C$505,1))=0),"missing primary contact in أرقام التواصل; ","")&amp;IF(OR(B342="to_candidate",AW342="proposed_name"),IF(AX342="","missing proposed_move_reason; ","")&amp;IF(AY342="","missing proposed_name_key; ",""),"")))))</x:f>
      </x:c>
    </x:row>
    <x:row r="343">
      <x:c r="A343" s="219"/>
      <x:c r="B343" s="220"/>
      <x:c r="C343" s="221"/>
      <x:c r="D343" s="220"/>
      <x:c r="E343" s="222"/>
      <x:c r="F343" s="220"/>
      <x:c r="G343" s="220"/>
      <x:c r="H343" s="220"/>
      <x:c r="I343" s="220"/>
      <x:c r="J343" s="220"/>
      <x:c r="K343" s="220"/>
      <x:c r="L343" s="220" t="str">
        <x:f>IF(TRIM(H343&amp;" "&amp;I343&amp;" "&amp;J343&amp;IF(K343&lt;&gt;""," ("&amp;K343&amp;")",""))="","",TRIM(H343&amp;" "&amp;I343&amp;" "&amp;J343&amp;IF(K343&lt;&gt;""," ("&amp;K343&amp;")","")))</x:f>
      </x:c>
      <x:c r="M343" s="220"/>
      <x:c r="N343" s="220"/>
      <x:c r="O343" s="220"/>
      <x:c r="P343" s="220"/>
      <x:c r="Q343" s="220"/>
      <x:c r="R343" s="220"/>
      <x:c r="S343" s="220"/>
      <x:c r="T343" s="220"/>
      <x:c r="U343" s="220" t="str">
        <x:f>IF(AND(M343="",O343="",Q343="",S343=""),"",IF(S343&lt;&gt;"",S343,IF(Q343&lt;&gt;"",Q343,IF(O343&lt;&gt;"",O343,M343))))</x:f>
      </x:c>
      <x:c r="V343" s="220" t="str">
        <x:f>IF(AND(N343="",P343="",R343="",T343=""),"",IF(T343&lt;&gt;"",T343,IF(R343&lt;&gt;"",R343,IF(P343&lt;&gt;"",P343,N343))))</x:f>
      </x:c>
      <x:c r="W343" s="221"/>
      <x:c r="X343" s="220"/>
      <x:c r="Y343" s="220"/>
      <x:c r="Z343" s="223"/>
      <x:c r="AA343" s="223"/>
      <x:c r="AB343" s="221"/>
      <x:c r="AC343" s="220"/>
      <x:c r="AD343" s="220"/>
      <x:c r="AE343" s="222"/>
      <x:c r="AF343" s="220"/>
      <x:c r="AG343" s="221"/>
      <x:c r="AH343" s="220"/>
      <x:c r="AI343" s="220"/>
      <x:c r="AJ343" s="222"/>
      <x:c r="AK343" s="220"/>
      <x:c r="AL343" s="220"/>
      <x:c r="AM343" s="220"/>
      <x:c r="AN343" s="220"/>
      <x:c r="AO343" s="220"/>
      <x:c r="AP343" s="220"/>
      <x:c r="AQ343" s="220"/>
      <x:c r="AR343" s="222"/>
      <x:c r="AS343" s="220"/>
      <x:c r="AT343" s="220"/>
      <x:c r="AU343" s="220"/>
      <x:c r="AV343" s="220"/>
      <x:c r="AW343" s="220"/>
      <x:c r="AX343" s="220"/>
      <x:c r="AY343" s="221"/>
      <x:c r="AZ343" s="220"/>
      <x:c r="BA343" s="220" t="str">
        <x:f>IF(AND(A343="",B343="",F343="",H343="",J343="",AW343="",AY343=""),"",IF(OR(B343="skip",AW343="skip"),"SKIP",IF(OR(B343="to_candidate",AW343="proposed_name"),IF(OR(A343="",AX343="",AY343="",COUNTIF($A$6:$A$505,A343)&gt;1),"REVIEW","TO_PROPOSED"),IF(OR(B343="",A343="",F343="",H343="",J343="",U343="",AW343="",COUNTIF($A$6:$A$505,A343)&gt;1,(COUNTIFS('أرقام التواصل'!$A$6:$A$505,"client",'أرقام التواصل'!$B$6:$B$505,A343,'أرقام التواصل'!$I$6:$I$505,"TRUE")+COUNTIFS('أرقام التواصل'!$A$6:$A$505,"client",'أرقام التواصل'!$B$6:$B$505,A343,'أرقام التواصل'!$C$6:$C$505,1))=0),"REVIEW","READY"))))</x:f>
      </x:c>
      <x:c r="BB343" s="224" t="str">
        <x:f>IF(BA343="","",IF(OR(BA343="READY",BA343="TO_PROPOSED"),"",IF(BA343="SKIP","Skipped by decision",TRIM(IF(B343="","missing import_action; ","")&amp;IF(A343="","missing migration_customer_key; ","")&amp;IF(AND(A343&lt;&gt;"",COUNTIF($A$6:$A$505,A343)&gt;1),"duplicate migration_customer_key; ","")&amp;IF(AND(NOT(OR(B343="to_candidate",AW343="proposed_name")),F343=""),"missing branch_id; ","")&amp;IF(AND(NOT(OR(B343="to_candidate",AW343="proposed_name")),H343=""),"missing first_name; ","")&amp;IF(AND(NOT(OR(B343="to_candidate",AW343="proposed_name")),J343=""),"missing last_name; ","")&amp;IF(AND(NOT(OR(B343="to_candidate",AW343="proposed_name")),U343=""),"missing final_geo_unit_id; ","")&amp;IF(AW343="","missing final_destination; ","")&amp;IF(AND(NOT(OR(B343="to_candidate",AW343="proposed_name")),(COUNTIFS('أرقام التواصل'!$A$6:$A$505,"client",'أرقام التواصل'!$B$6:$B$505,A343,'أرقام التواصل'!$I$6:$I$505,"TRUE")+COUNTIFS('أرقام التواصل'!$A$6:$A$505,"client",'أرقام التواصل'!$B$6:$B$505,A343,'أرقام التواصل'!$C$6:$C$505,1))=0),"missing primary contact in أرقام التواصل; ","")&amp;IF(OR(B343="to_candidate",AW343="proposed_name"),IF(AX343="","missing proposed_move_reason; ","")&amp;IF(AY343="","missing proposed_name_key; ",""),"")))))</x:f>
      </x:c>
    </x:row>
    <x:row r="344">
      <x:c r="A344" s="219"/>
      <x:c r="B344" s="220"/>
      <x:c r="C344" s="221"/>
      <x:c r="D344" s="220"/>
      <x:c r="E344" s="222"/>
      <x:c r="F344" s="220"/>
      <x:c r="G344" s="220"/>
      <x:c r="H344" s="220"/>
      <x:c r="I344" s="220"/>
      <x:c r="J344" s="220"/>
      <x:c r="K344" s="220"/>
      <x:c r="L344" s="220" t="str">
        <x:f>IF(TRIM(H344&amp;" "&amp;I344&amp;" "&amp;J344&amp;IF(K344&lt;&gt;""," ("&amp;K344&amp;")",""))="","",TRIM(H344&amp;" "&amp;I344&amp;" "&amp;J344&amp;IF(K344&lt;&gt;""," ("&amp;K344&amp;")","")))</x:f>
      </x:c>
      <x:c r="M344" s="220"/>
      <x:c r="N344" s="220"/>
      <x:c r="O344" s="220"/>
      <x:c r="P344" s="220"/>
      <x:c r="Q344" s="220"/>
      <x:c r="R344" s="220"/>
      <x:c r="S344" s="220"/>
      <x:c r="T344" s="220"/>
      <x:c r="U344" s="220" t="str">
        <x:f>IF(AND(M344="",O344="",Q344="",S344=""),"",IF(S344&lt;&gt;"",S344,IF(Q344&lt;&gt;"",Q344,IF(O344&lt;&gt;"",O344,M344))))</x:f>
      </x:c>
      <x:c r="V344" s="220" t="str">
        <x:f>IF(AND(N344="",P344="",R344="",T344=""),"",IF(T344&lt;&gt;"",T344,IF(R344&lt;&gt;"",R344,IF(P344&lt;&gt;"",P344,N344))))</x:f>
      </x:c>
      <x:c r="W344" s="221"/>
      <x:c r="X344" s="220"/>
      <x:c r="Y344" s="220"/>
      <x:c r="Z344" s="223"/>
      <x:c r="AA344" s="223"/>
      <x:c r="AB344" s="221"/>
      <x:c r="AC344" s="220"/>
      <x:c r="AD344" s="220"/>
      <x:c r="AE344" s="222"/>
      <x:c r="AF344" s="220"/>
      <x:c r="AG344" s="221"/>
      <x:c r="AH344" s="220"/>
      <x:c r="AI344" s="220"/>
      <x:c r="AJ344" s="222"/>
      <x:c r="AK344" s="220"/>
      <x:c r="AL344" s="220"/>
      <x:c r="AM344" s="220"/>
      <x:c r="AN344" s="220"/>
      <x:c r="AO344" s="220"/>
      <x:c r="AP344" s="220"/>
      <x:c r="AQ344" s="220"/>
      <x:c r="AR344" s="222"/>
      <x:c r="AS344" s="220"/>
      <x:c r="AT344" s="220"/>
      <x:c r="AU344" s="220"/>
      <x:c r="AV344" s="220"/>
      <x:c r="AW344" s="220"/>
      <x:c r="AX344" s="220"/>
      <x:c r="AY344" s="221"/>
      <x:c r="AZ344" s="220"/>
      <x:c r="BA344" s="220" t="str">
        <x:f>IF(AND(A344="",B344="",F344="",H344="",J344="",AW344="",AY344=""),"",IF(OR(B344="skip",AW344="skip"),"SKIP",IF(OR(B344="to_candidate",AW344="proposed_name"),IF(OR(A344="",AX344="",AY344="",COUNTIF($A$6:$A$505,A344)&gt;1),"REVIEW","TO_PROPOSED"),IF(OR(B344="",A344="",F344="",H344="",J344="",U344="",AW344="",COUNTIF($A$6:$A$505,A344)&gt;1,(COUNTIFS('أرقام التواصل'!$A$6:$A$505,"client",'أرقام التواصل'!$B$6:$B$505,A344,'أرقام التواصل'!$I$6:$I$505,"TRUE")+COUNTIFS('أرقام التواصل'!$A$6:$A$505,"client",'أرقام التواصل'!$B$6:$B$505,A344,'أرقام التواصل'!$C$6:$C$505,1))=0),"REVIEW","READY"))))</x:f>
      </x:c>
      <x:c r="BB344" s="224" t="str">
        <x:f>IF(BA344="","",IF(OR(BA344="READY",BA344="TO_PROPOSED"),"",IF(BA344="SKIP","Skipped by decision",TRIM(IF(B344="","missing import_action; ","")&amp;IF(A344="","missing migration_customer_key; ","")&amp;IF(AND(A344&lt;&gt;"",COUNTIF($A$6:$A$505,A344)&gt;1),"duplicate migration_customer_key; ","")&amp;IF(AND(NOT(OR(B344="to_candidate",AW344="proposed_name")),F344=""),"missing branch_id; ","")&amp;IF(AND(NOT(OR(B344="to_candidate",AW344="proposed_name")),H344=""),"missing first_name; ","")&amp;IF(AND(NOT(OR(B344="to_candidate",AW344="proposed_name")),J344=""),"missing last_name; ","")&amp;IF(AND(NOT(OR(B344="to_candidate",AW344="proposed_name")),U344=""),"missing final_geo_unit_id; ","")&amp;IF(AW344="","missing final_destination; ","")&amp;IF(AND(NOT(OR(B344="to_candidate",AW344="proposed_name")),(COUNTIFS('أرقام التواصل'!$A$6:$A$505,"client",'أرقام التواصل'!$B$6:$B$505,A344,'أرقام التواصل'!$I$6:$I$505,"TRUE")+COUNTIFS('أرقام التواصل'!$A$6:$A$505,"client",'أرقام التواصل'!$B$6:$B$505,A344,'أرقام التواصل'!$C$6:$C$505,1))=0),"missing primary contact in أرقام التواصل; ","")&amp;IF(OR(B344="to_candidate",AW344="proposed_name"),IF(AX344="","missing proposed_move_reason; ","")&amp;IF(AY344="","missing proposed_name_key; ",""),"")))))</x:f>
      </x:c>
    </x:row>
    <x:row r="345">
      <x:c r="A345" s="219"/>
      <x:c r="B345" s="220"/>
      <x:c r="C345" s="221"/>
      <x:c r="D345" s="220"/>
      <x:c r="E345" s="222"/>
      <x:c r="F345" s="220"/>
      <x:c r="G345" s="220"/>
      <x:c r="H345" s="220"/>
      <x:c r="I345" s="220"/>
      <x:c r="J345" s="220"/>
      <x:c r="K345" s="220"/>
      <x:c r="L345" s="220" t="str">
        <x:f>IF(TRIM(H345&amp;" "&amp;I345&amp;" "&amp;J345&amp;IF(K345&lt;&gt;""," ("&amp;K345&amp;")",""))="","",TRIM(H345&amp;" "&amp;I345&amp;" "&amp;J345&amp;IF(K345&lt;&gt;""," ("&amp;K345&amp;")","")))</x:f>
      </x:c>
      <x:c r="M345" s="220"/>
      <x:c r="N345" s="220"/>
      <x:c r="O345" s="220"/>
      <x:c r="P345" s="220"/>
      <x:c r="Q345" s="220"/>
      <x:c r="R345" s="220"/>
      <x:c r="S345" s="220"/>
      <x:c r="T345" s="220"/>
      <x:c r="U345" s="220" t="str">
        <x:f>IF(AND(M345="",O345="",Q345="",S345=""),"",IF(S345&lt;&gt;"",S345,IF(Q345&lt;&gt;"",Q345,IF(O345&lt;&gt;"",O345,M345))))</x:f>
      </x:c>
      <x:c r="V345" s="220" t="str">
        <x:f>IF(AND(N345="",P345="",R345="",T345=""),"",IF(T345&lt;&gt;"",T345,IF(R345&lt;&gt;"",R345,IF(P345&lt;&gt;"",P345,N345))))</x:f>
      </x:c>
      <x:c r="W345" s="221"/>
      <x:c r="X345" s="220"/>
      <x:c r="Y345" s="220"/>
      <x:c r="Z345" s="223"/>
      <x:c r="AA345" s="223"/>
      <x:c r="AB345" s="221"/>
      <x:c r="AC345" s="220"/>
      <x:c r="AD345" s="220"/>
      <x:c r="AE345" s="222"/>
      <x:c r="AF345" s="220"/>
      <x:c r="AG345" s="221"/>
      <x:c r="AH345" s="220"/>
      <x:c r="AI345" s="220"/>
      <x:c r="AJ345" s="222"/>
      <x:c r="AK345" s="220"/>
      <x:c r="AL345" s="220"/>
      <x:c r="AM345" s="220"/>
      <x:c r="AN345" s="220"/>
      <x:c r="AO345" s="220"/>
      <x:c r="AP345" s="220"/>
      <x:c r="AQ345" s="220"/>
      <x:c r="AR345" s="222"/>
      <x:c r="AS345" s="220"/>
      <x:c r="AT345" s="220"/>
      <x:c r="AU345" s="220"/>
      <x:c r="AV345" s="220"/>
      <x:c r="AW345" s="220"/>
      <x:c r="AX345" s="220"/>
      <x:c r="AY345" s="221"/>
      <x:c r="AZ345" s="220"/>
      <x:c r="BA345" s="220" t="str">
        <x:f>IF(AND(A345="",B345="",F345="",H345="",J345="",AW345="",AY345=""),"",IF(OR(B345="skip",AW345="skip"),"SKIP",IF(OR(B345="to_candidate",AW345="proposed_name"),IF(OR(A345="",AX345="",AY345="",COUNTIF($A$6:$A$505,A345)&gt;1),"REVIEW","TO_PROPOSED"),IF(OR(B345="",A345="",F345="",H345="",J345="",U345="",AW345="",COUNTIF($A$6:$A$505,A345)&gt;1,(COUNTIFS('أرقام التواصل'!$A$6:$A$505,"client",'أرقام التواصل'!$B$6:$B$505,A345,'أرقام التواصل'!$I$6:$I$505,"TRUE")+COUNTIFS('أرقام التواصل'!$A$6:$A$505,"client",'أرقام التواصل'!$B$6:$B$505,A345,'أرقام التواصل'!$C$6:$C$505,1))=0),"REVIEW","READY"))))</x:f>
      </x:c>
      <x:c r="BB345" s="224" t="str">
        <x:f>IF(BA345="","",IF(OR(BA345="READY",BA345="TO_PROPOSED"),"",IF(BA345="SKIP","Skipped by decision",TRIM(IF(B345="","missing import_action; ","")&amp;IF(A345="","missing migration_customer_key; ","")&amp;IF(AND(A345&lt;&gt;"",COUNTIF($A$6:$A$505,A345)&gt;1),"duplicate migration_customer_key; ","")&amp;IF(AND(NOT(OR(B345="to_candidate",AW345="proposed_name")),F345=""),"missing branch_id; ","")&amp;IF(AND(NOT(OR(B345="to_candidate",AW345="proposed_name")),H345=""),"missing first_name; ","")&amp;IF(AND(NOT(OR(B345="to_candidate",AW345="proposed_name")),J345=""),"missing last_name; ","")&amp;IF(AND(NOT(OR(B345="to_candidate",AW345="proposed_name")),U345=""),"missing final_geo_unit_id; ","")&amp;IF(AW345="","missing final_destination; ","")&amp;IF(AND(NOT(OR(B345="to_candidate",AW345="proposed_name")),(COUNTIFS('أرقام التواصل'!$A$6:$A$505,"client",'أرقام التواصل'!$B$6:$B$505,A345,'أرقام التواصل'!$I$6:$I$505,"TRUE")+COUNTIFS('أرقام التواصل'!$A$6:$A$505,"client",'أرقام التواصل'!$B$6:$B$505,A345,'أرقام التواصل'!$C$6:$C$505,1))=0),"missing primary contact in أرقام التواصل; ","")&amp;IF(OR(B345="to_candidate",AW345="proposed_name"),IF(AX345="","missing proposed_move_reason; ","")&amp;IF(AY345="","missing proposed_name_key; ",""),"")))))</x:f>
      </x:c>
    </x:row>
    <x:row r="346">
      <x:c r="A346" s="219"/>
      <x:c r="B346" s="220"/>
      <x:c r="C346" s="221"/>
      <x:c r="D346" s="220"/>
      <x:c r="E346" s="222"/>
      <x:c r="F346" s="220"/>
      <x:c r="G346" s="220"/>
      <x:c r="H346" s="220"/>
      <x:c r="I346" s="220"/>
      <x:c r="J346" s="220"/>
      <x:c r="K346" s="220"/>
      <x:c r="L346" s="220" t="str">
        <x:f>IF(TRIM(H346&amp;" "&amp;I346&amp;" "&amp;J346&amp;IF(K346&lt;&gt;""," ("&amp;K346&amp;")",""))="","",TRIM(H346&amp;" "&amp;I346&amp;" "&amp;J346&amp;IF(K346&lt;&gt;""," ("&amp;K346&amp;")","")))</x:f>
      </x:c>
      <x:c r="M346" s="220"/>
      <x:c r="N346" s="220"/>
      <x:c r="O346" s="220"/>
      <x:c r="P346" s="220"/>
      <x:c r="Q346" s="220"/>
      <x:c r="R346" s="220"/>
      <x:c r="S346" s="220"/>
      <x:c r="T346" s="220"/>
      <x:c r="U346" s="220" t="str">
        <x:f>IF(AND(M346="",O346="",Q346="",S346=""),"",IF(S346&lt;&gt;"",S346,IF(Q346&lt;&gt;"",Q346,IF(O346&lt;&gt;"",O346,M346))))</x:f>
      </x:c>
      <x:c r="V346" s="220" t="str">
        <x:f>IF(AND(N346="",P346="",R346="",T346=""),"",IF(T346&lt;&gt;"",T346,IF(R346&lt;&gt;"",R346,IF(P346&lt;&gt;"",P346,N346))))</x:f>
      </x:c>
      <x:c r="W346" s="221"/>
      <x:c r="X346" s="220"/>
      <x:c r="Y346" s="220"/>
      <x:c r="Z346" s="223"/>
      <x:c r="AA346" s="223"/>
      <x:c r="AB346" s="221"/>
      <x:c r="AC346" s="220"/>
      <x:c r="AD346" s="220"/>
      <x:c r="AE346" s="222"/>
      <x:c r="AF346" s="220"/>
      <x:c r="AG346" s="221"/>
      <x:c r="AH346" s="220"/>
      <x:c r="AI346" s="220"/>
      <x:c r="AJ346" s="222"/>
      <x:c r="AK346" s="220"/>
      <x:c r="AL346" s="220"/>
      <x:c r="AM346" s="220"/>
      <x:c r="AN346" s="220"/>
      <x:c r="AO346" s="220"/>
      <x:c r="AP346" s="220"/>
      <x:c r="AQ346" s="220"/>
      <x:c r="AR346" s="222"/>
      <x:c r="AS346" s="220"/>
      <x:c r="AT346" s="220"/>
      <x:c r="AU346" s="220"/>
      <x:c r="AV346" s="220"/>
      <x:c r="AW346" s="220"/>
      <x:c r="AX346" s="220"/>
      <x:c r="AY346" s="221"/>
      <x:c r="AZ346" s="220"/>
      <x:c r="BA346" s="220" t="str">
        <x:f>IF(AND(A346="",B346="",F346="",H346="",J346="",AW346="",AY346=""),"",IF(OR(B346="skip",AW346="skip"),"SKIP",IF(OR(B346="to_candidate",AW346="proposed_name"),IF(OR(A346="",AX346="",AY346="",COUNTIF($A$6:$A$505,A346)&gt;1),"REVIEW","TO_PROPOSED"),IF(OR(B346="",A346="",F346="",H346="",J346="",U346="",AW346="",COUNTIF($A$6:$A$505,A346)&gt;1,(COUNTIFS('أرقام التواصل'!$A$6:$A$505,"client",'أرقام التواصل'!$B$6:$B$505,A346,'أرقام التواصل'!$I$6:$I$505,"TRUE")+COUNTIFS('أرقام التواصل'!$A$6:$A$505,"client",'أرقام التواصل'!$B$6:$B$505,A346,'أرقام التواصل'!$C$6:$C$505,1))=0),"REVIEW","READY"))))</x:f>
      </x:c>
      <x:c r="BB346" s="224" t="str">
        <x:f>IF(BA346="","",IF(OR(BA346="READY",BA346="TO_PROPOSED"),"",IF(BA346="SKIP","Skipped by decision",TRIM(IF(B346="","missing import_action; ","")&amp;IF(A346="","missing migration_customer_key; ","")&amp;IF(AND(A346&lt;&gt;"",COUNTIF($A$6:$A$505,A346)&gt;1),"duplicate migration_customer_key; ","")&amp;IF(AND(NOT(OR(B346="to_candidate",AW346="proposed_name")),F346=""),"missing branch_id; ","")&amp;IF(AND(NOT(OR(B346="to_candidate",AW346="proposed_name")),H346=""),"missing first_name; ","")&amp;IF(AND(NOT(OR(B346="to_candidate",AW346="proposed_name")),J346=""),"missing last_name; ","")&amp;IF(AND(NOT(OR(B346="to_candidate",AW346="proposed_name")),U346=""),"missing final_geo_unit_id; ","")&amp;IF(AW346="","missing final_destination; ","")&amp;IF(AND(NOT(OR(B346="to_candidate",AW346="proposed_name")),(COUNTIFS('أرقام التواصل'!$A$6:$A$505,"client",'أرقام التواصل'!$B$6:$B$505,A346,'أرقام التواصل'!$I$6:$I$505,"TRUE")+COUNTIFS('أرقام التواصل'!$A$6:$A$505,"client",'أرقام التواصل'!$B$6:$B$505,A346,'أرقام التواصل'!$C$6:$C$505,1))=0),"missing primary contact in أرقام التواصل; ","")&amp;IF(OR(B346="to_candidate",AW346="proposed_name"),IF(AX346="","missing proposed_move_reason; ","")&amp;IF(AY346="","missing proposed_name_key; ",""),"")))))</x:f>
      </x:c>
    </x:row>
    <x:row r="347">
      <x:c r="A347" s="219"/>
      <x:c r="B347" s="220"/>
      <x:c r="C347" s="221"/>
      <x:c r="D347" s="220"/>
      <x:c r="E347" s="222"/>
      <x:c r="F347" s="220"/>
      <x:c r="G347" s="220"/>
      <x:c r="H347" s="220"/>
      <x:c r="I347" s="220"/>
      <x:c r="J347" s="220"/>
      <x:c r="K347" s="220"/>
      <x:c r="L347" s="220" t="str">
        <x:f>IF(TRIM(H347&amp;" "&amp;I347&amp;" "&amp;J347&amp;IF(K347&lt;&gt;""," ("&amp;K347&amp;")",""))="","",TRIM(H347&amp;" "&amp;I347&amp;" "&amp;J347&amp;IF(K347&lt;&gt;""," ("&amp;K347&amp;")","")))</x:f>
      </x:c>
      <x:c r="M347" s="220"/>
      <x:c r="N347" s="220"/>
      <x:c r="O347" s="220"/>
      <x:c r="P347" s="220"/>
      <x:c r="Q347" s="220"/>
      <x:c r="R347" s="220"/>
      <x:c r="S347" s="220"/>
      <x:c r="T347" s="220"/>
      <x:c r="U347" s="220" t="str">
        <x:f>IF(AND(M347="",O347="",Q347="",S347=""),"",IF(S347&lt;&gt;"",S347,IF(Q347&lt;&gt;"",Q347,IF(O347&lt;&gt;"",O347,M347))))</x:f>
      </x:c>
      <x:c r="V347" s="220" t="str">
        <x:f>IF(AND(N347="",P347="",R347="",T347=""),"",IF(T347&lt;&gt;"",T347,IF(R347&lt;&gt;"",R347,IF(P347&lt;&gt;"",P347,N347))))</x:f>
      </x:c>
      <x:c r="W347" s="221"/>
      <x:c r="X347" s="220"/>
      <x:c r="Y347" s="220"/>
      <x:c r="Z347" s="223"/>
      <x:c r="AA347" s="223"/>
      <x:c r="AB347" s="221"/>
      <x:c r="AC347" s="220"/>
      <x:c r="AD347" s="220"/>
      <x:c r="AE347" s="222"/>
      <x:c r="AF347" s="220"/>
      <x:c r="AG347" s="221"/>
      <x:c r="AH347" s="220"/>
      <x:c r="AI347" s="220"/>
      <x:c r="AJ347" s="222"/>
      <x:c r="AK347" s="220"/>
      <x:c r="AL347" s="220"/>
      <x:c r="AM347" s="220"/>
      <x:c r="AN347" s="220"/>
      <x:c r="AO347" s="220"/>
      <x:c r="AP347" s="220"/>
      <x:c r="AQ347" s="220"/>
      <x:c r="AR347" s="222"/>
      <x:c r="AS347" s="220"/>
      <x:c r="AT347" s="220"/>
      <x:c r="AU347" s="220"/>
      <x:c r="AV347" s="220"/>
      <x:c r="AW347" s="220"/>
      <x:c r="AX347" s="220"/>
      <x:c r="AY347" s="221"/>
      <x:c r="AZ347" s="220"/>
      <x:c r="BA347" s="220" t="str">
        <x:f>IF(AND(A347="",B347="",F347="",H347="",J347="",AW347="",AY347=""),"",IF(OR(B347="skip",AW347="skip"),"SKIP",IF(OR(B347="to_candidate",AW347="proposed_name"),IF(OR(A347="",AX347="",AY347="",COUNTIF($A$6:$A$505,A347)&gt;1),"REVIEW","TO_PROPOSED"),IF(OR(B347="",A347="",F347="",H347="",J347="",U347="",AW347="",COUNTIF($A$6:$A$505,A347)&gt;1,(COUNTIFS('أرقام التواصل'!$A$6:$A$505,"client",'أرقام التواصل'!$B$6:$B$505,A347,'أرقام التواصل'!$I$6:$I$505,"TRUE")+COUNTIFS('أرقام التواصل'!$A$6:$A$505,"client",'أرقام التواصل'!$B$6:$B$505,A347,'أرقام التواصل'!$C$6:$C$505,1))=0),"REVIEW","READY"))))</x:f>
      </x:c>
      <x:c r="BB347" s="224" t="str">
        <x:f>IF(BA347="","",IF(OR(BA347="READY",BA347="TO_PROPOSED"),"",IF(BA347="SKIP","Skipped by decision",TRIM(IF(B347="","missing import_action; ","")&amp;IF(A347="","missing migration_customer_key; ","")&amp;IF(AND(A347&lt;&gt;"",COUNTIF($A$6:$A$505,A347)&gt;1),"duplicate migration_customer_key; ","")&amp;IF(AND(NOT(OR(B347="to_candidate",AW347="proposed_name")),F347=""),"missing branch_id; ","")&amp;IF(AND(NOT(OR(B347="to_candidate",AW347="proposed_name")),H347=""),"missing first_name; ","")&amp;IF(AND(NOT(OR(B347="to_candidate",AW347="proposed_name")),J347=""),"missing last_name; ","")&amp;IF(AND(NOT(OR(B347="to_candidate",AW347="proposed_name")),U347=""),"missing final_geo_unit_id; ","")&amp;IF(AW347="","missing final_destination; ","")&amp;IF(AND(NOT(OR(B347="to_candidate",AW347="proposed_name")),(COUNTIFS('أرقام التواصل'!$A$6:$A$505,"client",'أرقام التواصل'!$B$6:$B$505,A347,'أرقام التواصل'!$I$6:$I$505,"TRUE")+COUNTIFS('أرقام التواصل'!$A$6:$A$505,"client",'أرقام التواصل'!$B$6:$B$505,A347,'أرقام التواصل'!$C$6:$C$505,1))=0),"missing primary contact in أرقام التواصل; ","")&amp;IF(OR(B347="to_candidate",AW347="proposed_name"),IF(AX347="","missing proposed_move_reason; ","")&amp;IF(AY347="","missing proposed_name_key; ",""),"")))))</x:f>
      </x:c>
    </x:row>
    <x:row r="348">
      <x:c r="A348" s="219"/>
      <x:c r="B348" s="220"/>
      <x:c r="C348" s="221"/>
      <x:c r="D348" s="220"/>
      <x:c r="E348" s="222"/>
      <x:c r="F348" s="220"/>
      <x:c r="G348" s="220"/>
      <x:c r="H348" s="220"/>
      <x:c r="I348" s="220"/>
      <x:c r="J348" s="220"/>
      <x:c r="K348" s="220"/>
      <x:c r="L348" s="220" t="str">
        <x:f>IF(TRIM(H348&amp;" "&amp;I348&amp;" "&amp;J348&amp;IF(K348&lt;&gt;""," ("&amp;K348&amp;")",""))="","",TRIM(H348&amp;" "&amp;I348&amp;" "&amp;J348&amp;IF(K348&lt;&gt;""," ("&amp;K348&amp;")","")))</x:f>
      </x:c>
      <x:c r="M348" s="220"/>
      <x:c r="N348" s="220"/>
      <x:c r="O348" s="220"/>
      <x:c r="P348" s="220"/>
      <x:c r="Q348" s="220"/>
      <x:c r="R348" s="220"/>
      <x:c r="S348" s="220"/>
      <x:c r="T348" s="220"/>
      <x:c r="U348" s="220" t="str">
        <x:f>IF(AND(M348="",O348="",Q348="",S348=""),"",IF(S348&lt;&gt;"",S348,IF(Q348&lt;&gt;"",Q348,IF(O348&lt;&gt;"",O348,M348))))</x:f>
      </x:c>
      <x:c r="V348" s="220" t="str">
        <x:f>IF(AND(N348="",P348="",R348="",T348=""),"",IF(T348&lt;&gt;"",T348,IF(R348&lt;&gt;"",R348,IF(P348&lt;&gt;"",P348,N348))))</x:f>
      </x:c>
      <x:c r="W348" s="221"/>
      <x:c r="X348" s="220"/>
      <x:c r="Y348" s="220"/>
      <x:c r="Z348" s="223"/>
      <x:c r="AA348" s="223"/>
      <x:c r="AB348" s="221"/>
      <x:c r="AC348" s="220"/>
      <x:c r="AD348" s="220"/>
      <x:c r="AE348" s="222"/>
      <x:c r="AF348" s="220"/>
      <x:c r="AG348" s="221"/>
      <x:c r="AH348" s="220"/>
      <x:c r="AI348" s="220"/>
      <x:c r="AJ348" s="222"/>
      <x:c r="AK348" s="220"/>
      <x:c r="AL348" s="220"/>
      <x:c r="AM348" s="220"/>
      <x:c r="AN348" s="220"/>
      <x:c r="AO348" s="220"/>
      <x:c r="AP348" s="220"/>
      <x:c r="AQ348" s="220"/>
      <x:c r="AR348" s="222"/>
      <x:c r="AS348" s="220"/>
      <x:c r="AT348" s="220"/>
      <x:c r="AU348" s="220"/>
      <x:c r="AV348" s="220"/>
      <x:c r="AW348" s="220"/>
      <x:c r="AX348" s="220"/>
      <x:c r="AY348" s="221"/>
      <x:c r="AZ348" s="220"/>
      <x:c r="BA348" s="220" t="str">
        <x:f>IF(AND(A348="",B348="",F348="",H348="",J348="",AW348="",AY348=""),"",IF(OR(B348="skip",AW348="skip"),"SKIP",IF(OR(B348="to_candidate",AW348="proposed_name"),IF(OR(A348="",AX348="",AY348="",COUNTIF($A$6:$A$505,A348)&gt;1),"REVIEW","TO_PROPOSED"),IF(OR(B348="",A348="",F348="",H348="",J348="",U348="",AW348="",COUNTIF($A$6:$A$505,A348)&gt;1,(COUNTIFS('أرقام التواصل'!$A$6:$A$505,"client",'أرقام التواصل'!$B$6:$B$505,A348,'أرقام التواصل'!$I$6:$I$505,"TRUE")+COUNTIFS('أرقام التواصل'!$A$6:$A$505,"client",'أرقام التواصل'!$B$6:$B$505,A348,'أرقام التواصل'!$C$6:$C$505,1))=0),"REVIEW","READY"))))</x:f>
      </x:c>
      <x:c r="BB348" s="224" t="str">
        <x:f>IF(BA348="","",IF(OR(BA348="READY",BA348="TO_PROPOSED"),"",IF(BA348="SKIP","Skipped by decision",TRIM(IF(B348="","missing import_action; ","")&amp;IF(A348="","missing migration_customer_key; ","")&amp;IF(AND(A348&lt;&gt;"",COUNTIF($A$6:$A$505,A348)&gt;1),"duplicate migration_customer_key; ","")&amp;IF(AND(NOT(OR(B348="to_candidate",AW348="proposed_name")),F348=""),"missing branch_id; ","")&amp;IF(AND(NOT(OR(B348="to_candidate",AW348="proposed_name")),H348=""),"missing first_name; ","")&amp;IF(AND(NOT(OR(B348="to_candidate",AW348="proposed_name")),J348=""),"missing last_name; ","")&amp;IF(AND(NOT(OR(B348="to_candidate",AW348="proposed_name")),U348=""),"missing final_geo_unit_id; ","")&amp;IF(AW348="","missing final_destination; ","")&amp;IF(AND(NOT(OR(B348="to_candidate",AW348="proposed_name")),(COUNTIFS('أرقام التواصل'!$A$6:$A$505,"client",'أرقام التواصل'!$B$6:$B$505,A348,'أرقام التواصل'!$I$6:$I$505,"TRUE")+COUNTIFS('أرقام التواصل'!$A$6:$A$505,"client",'أرقام التواصل'!$B$6:$B$505,A348,'أرقام التواصل'!$C$6:$C$505,1))=0),"missing primary contact in أرقام التواصل; ","")&amp;IF(OR(B348="to_candidate",AW348="proposed_name"),IF(AX348="","missing proposed_move_reason; ","")&amp;IF(AY348="","missing proposed_name_key; ",""),"")))))</x:f>
      </x:c>
    </x:row>
    <x:row r="349">
      <x:c r="A349" s="219"/>
      <x:c r="B349" s="220"/>
      <x:c r="C349" s="221"/>
      <x:c r="D349" s="220"/>
      <x:c r="E349" s="222"/>
      <x:c r="F349" s="220"/>
      <x:c r="G349" s="220"/>
      <x:c r="H349" s="220"/>
      <x:c r="I349" s="220"/>
      <x:c r="J349" s="220"/>
      <x:c r="K349" s="220"/>
      <x:c r="L349" s="220" t="str">
        <x:f>IF(TRIM(H349&amp;" "&amp;I349&amp;" "&amp;J349&amp;IF(K349&lt;&gt;""," ("&amp;K349&amp;")",""))="","",TRIM(H349&amp;" "&amp;I349&amp;" "&amp;J349&amp;IF(K349&lt;&gt;""," ("&amp;K349&amp;")","")))</x:f>
      </x:c>
      <x:c r="M349" s="220"/>
      <x:c r="N349" s="220"/>
      <x:c r="O349" s="220"/>
      <x:c r="P349" s="220"/>
      <x:c r="Q349" s="220"/>
      <x:c r="R349" s="220"/>
      <x:c r="S349" s="220"/>
      <x:c r="T349" s="220"/>
      <x:c r="U349" s="220" t="str">
        <x:f>IF(AND(M349="",O349="",Q349="",S349=""),"",IF(S349&lt;&gt;"",S349,IF(Q349&lt;&gt;"",Q349,IF(O349&lt;&gt;"",O349,M349))))</x:f>
      </x:c>
      <x:c r="V349" s="220" t="str">
        <x:f>IF(AND(N349="",P349="",R349="",T349=""),"",IF(T349&lt;&gt;"",T349,IF(R349&lt;&gt;"",R349,IF(P349&lt;&gt;"",P349,N349))))</x:f>
      </x:c>
      <x:c r="W349" s="221"/>
      <x:c r="X349" s="220"/>
      <x:c r="Y349" s="220"/>
      <x:c r="Z349" s="223"/>
      <x:c r="AA349" s="223"/>
      <x:c r="AB349" s="221"/>
      <x:c r="AC349" s="220"/>
      <x:c r="AD349" s="220"/>
      <x:c r="AE349" s="222"/>
      <x:c r="AF349" s="220"/>
      <x:c r="AG349" s="221"/>
      <x:c r="AH349" s="220"/>
      <x:c r="AI349" s="220"/>
      <x:c r="AJ349" s="222"/>
      <x:c r="AK349" s="220"/>
      <x:c r="AL349" s="220"/>
      <x:c r="AM349" s="220"/>
      <x:c r="AN349" s="220"/>
      <x:c r="AO349" s="220"/>
      <x:c r="AP349" s="220"/>
      <x:c r="AQ349" s="220"/>
      <x:c r="AR349" s="222"/>
      <x:c r="AS349" s="220"/>
      <x:c r="AT349" s="220"/>
      <x:c r="AU349" s="220"/>
      <x:c r="AV349" s="220"/>
      <x:c r="AW349" s="220"/>
      <x:c r="AX349" s="220"/>
      <x:c r="AY349" s="221"/>
      <x:c r="AZ349" s="220"/>
      <x:c r="BA349" s="220" t="str">
        <x:f>IF(AND(A349="",B349="",F349="",H349="",J349="",AW349="",AY349=""),"",IF(OR(B349="skip",AW349="skip"),"SKIP",IF(OR(B349="to_candidate",AW349="proposed_name"),IF(OR(A349="",AX349="",AY349="",COUNTIF($A$6:$A$505,A349)&gt;1),"REVIEW","TO_PROPOSED"),IF(OR(B349="",A349="",F349="",H349="",J349="",U349="",AW349="",COUNTIF($A$6:$A$505,A349)&gt;1,(COUNTIFS('أرقام التواصل'!$A$6:$A$505,"client",'أرقام التواصل'!$B$6:$B$505,A349,'أرقام التواصل'!$I$6:$I$505,"TRUE")+COUNTIFS('أرقام التواصل'!$A$6:$A$505,"client",'أرقام التواصل'!$B$6:$B$505,A349,'أرقام التواصل'!$C$6:$C$505,1))=0),"REVIEW","READY"))))</x:f>
      </x:c>
      <x:c r="BB349" s="224" t="str">
        <x:f>IF(BA349="","",IF(OR(BA349="READY",BA349="TO_PROPOSED"),"",IF(BA349="SKIP","Skipped by decision",TRIM(IF(B349="","missing import_action; ","")&amp;IF(A349="","missing migration_customer_key; ","")&amp;IF(AND(A349&lt;&gt;"",COUNTIF($A$6:$A$505,A349)&gt;1),"duplicate migration_customer_key; ","")&amp;IF(AND(NOT(OR(B349="to_candidate",AW349="proposed_name")),F349=""),"missing branch_id; ","")&amp;IF(AND(NOT(OR(B349="to_candidate",AW349="proposed_name")),H349=""),"missing first_name; ","")&amp;IF(AND(NOT(OR(B349="to_candidate",AW349="proposed_name")),J349=""),"missing last_name; ","")&amp;IF(AND(NOT(OR(B349="to_candidate",AW349="proposed_name")),U349=""),"missing final_geo_unit_id; ","")&amp;IF(AW349="","missing final_destination; ","")&amp;IF(AND(NOT(OR(B349="to_candidate",AW349="proposed_name")),(COUNTIFS('أرقام التواصل'!$A$6:$A$505,"client",'أرقام التواصل'!$B$6:$B$505,A349,'أرقام التواصل'!$I$6:$I$505,"TRUE")+COUNTIFS('أرقام التواصل'!$A$6:$A$505,"client",'أرقام التواصل'!$B$6:$B$505,A349,'أرقام التواصل'!$C$6:$C$505,1))=0),"missing primary contact in أرقام التواصل; ","")&amp;IF(OR(B349="to_candidate",AW349="proposed_name"),IF(AX349="","missing proposed_move_reason; ","")&amp;IF(AY349="","missing proposed_name_key; ",""),"")))))</x:f>
      </x:c>
    </x:row>
    <x:row r="350">
      <x:c r="A350" s="219"/>
      <x:c r="B350" s="220"/>
      <x:c r="C350" s="221"/>
      <x:c r="D350" s="220"/>
      <x:c r="E350" s="222"/>
      <x:c r="F350" s="220"/>
      <x:c r="G350" s="220"/>
      <x:c r="H350" s="220"/>
      <x:c r="I350" s="220"/>
      <x:c r="J350" s="220"/>
      <x:c r="K350" s="220"/>
      <x:c r="L350" s="220" t="str">
        <x:f>IF(TRIM(H350&amp;" "&amp;I350&amp;" "&amp;J350&amp;IF(K350&lt;&gt;""," ("&amp;K350&amp;")",""))="","",TRIM(H350&amp;" "&amp;I350&amp;" "&amp;J350&amp;IF(K350&lt;&gt;""," ("&amp;K350&amp;")","")))</x:f>
      </x:c>
      <x:c r="M350" s="220"/>
      <x:c r="N350" s="220"/>
      <x:c r="O350" s="220"/>
      <x:c r="P350" s="220"/>
      <x:c r="Q350" s="220"/>
      <x:c r="R350" s="220"/>
      <x:c r="S350" s="220"/>
      <x:c r="T350" s="220"/>
      <x:c r="U350" s="220" t="str">
        <x:f>IF(AND(M350="",O350="",Q350="",S350=""),"",IF(S350&lt;&gt;"",S350,IF(Q350&lt;&gt;"",Q350,IF(O350&lt;&gt;"",O350,M350))))</x:f>
      </x:c>
      <x:c r="V350" s="220" t="str">
        <x:f>IF(AND(N350="",P350="",R350="",T350=""),"",IF(T350&lt;&gt;"",T350,IF(R350&lt;&gt;"",R350,IF(P350&lt;&gt;"",P350,N350))))</x:f>
      </x:c>
      <x:c r="W350" s="221"/>
      <x:c r="X350" s="220"/>
      <x:c r="Y350" s="220"/>
      <x:c r="Z350" s="223"/>
      <x:c r="AA350" s="223"/>
      <x:c r="AB350" s="221"/>
      <x:c r="AC350" s="220"/>
      <x:c r="AD350" s="220"/>
      <x:c r="AE350" s="222"/>
      <x:c r="AF350" s="220"/>
      <x:c r="AG350" s="221"/>
      <x:c r="AH350" s="220"/>
      <x:c r="AI350" s="220"/>
      <x:c r="AJ350" s="222"/>
      <x:c r="AK350" s="220"/>
      <x:c r="AL350" s="220"/>
      <x:c r="AM350" s="220"/>
      <x:c r="AN350" s="220"/>
      <x:c r="AO350" s="220"/>
      <x:c r="AP350" s="220"/>
      <x:c r="AQ350" s="220"/>
      <x:c r="AR350" s="222"/>
      <x:c r="AS350" s="220"/>
      <x:c r="AT350" s="220"/>
      <x:c r="AU350" s="220"/>
      <x:c r="AV350" s="220"/>
      <x:c r="AW350" s="220"/>
      <x:c r="AX350" s="220"/>
      <x:c r="AY350" s="221"/>
      <x:c r="AZ350" s="220"/>
      <x:c r="BA350" s="220" t="str">
        <x:f>IF(AND(A350="",B350="",F350="",H350="",J350="",AW350="",AY350=""),"",IF(OR(B350="skip",AW350="skip"),"SKIP",IF(OR(B350="to_candidate",AW350="proposed_name"),IF(OR(A350="",AX350="",AY350="",COUNTIF($A$6:$A$505,A350)&gt;1),"REVIEW","TO_PROPOSED"),IF(OR(B350="",A350="",F350="",H350="",J350="",U350="",AW350="",COUNTIF($A$6:$A$505,A350)&gt;1,(COUNTIFS('أرقام التواصل'!$A$6:$A$505,"client",'أرقام التواصل'!$B$6:$B$505,A350,'أرقام التواصل'!$I$6:$I$505,"TRUE")+COUNTIFS('أرقام التواصل'!$A$6:$A$505,"client",'أرقام التواصل'!$B$6:$B$505,A350,'أرقام التواصل'!$C$6:$C$505,1))=0),"REVIEW","READY"))))</x:f>
      </x:c>
      <x:c r="BB350" s="224" t="str">
        <x:f>IF(BA350="","",IF(OR(BA350="READY",BA350="TO_PROPOSED"),"",IF(BA350="SKIP","Skipped by decision",TRIM(IF(B350="","missing import_action; ","")&amp;IF(A350="","missing migration_customer_key; ","")&amp;IF(AND(A350&lt;&gt;"",COUNTIF($A$6:$A$505,A350)&gt;1),"duplicate migration_customer_key; ","")&amp;IF(AND(NOT(OR(B350="to_candidate",AW350="proposed_name")),F350=""),"missing branch_id; ","")&amp;IF(AND(NOT(OR(B350="to_candidate",AW350="proposed_name")),H350=""),"missing first_name; ","")&amp;IF(AND(NOT(OR(B350="to_candidate",AW350="proposed_name")),J350=""),"missing last_name; ","")&amp;IF(AND(NOT(OR(B350="to_candidate",AW350="proposed_name")),U350=""),"missing final_geo_unit_id; ","")&amp;IF(AW350="","missing final_destination; ","")&amp;IF(AND(NOT(OR(B350="to_candidate",AW350="proposed_name")),(COUNTIFS('أرقام التواصل'!$A$6:$A$505,"client",'أرقام التواصل'!$B$6:$B$505,A350,'أرقام التواصل'!$I$6:$I$505,"TRUE")+COUNTIFS('أرقام التواصل'!$A$6:$A$505,"client",'أرقام التواصل'!$B$6:$B$505,A350,'أرقام التواصل'!$C$6:$C$505,1))=0),"missing primary contact in أرقام التواصل; ","")&amp;IF(OR(B350="to_candidate",AW350="proposed_name"),IF(AX350="","missing proposed_move_reason; ","")&amp;IF(AY350="","missing proposed_name_key; ",""),"")))))</x:f>
      </x:c>
    </x:row>
    <x:row r="351">
      <x:c r="A351" s="219"/>
      <x:c r="B351" s="220"/>
      <x:c r="C351" s="221"/>
      <x:c r="D351" s="220"/>
      <x:c r="E351" s="222"/>
      <x:c r="F351" s="220"/>
      <x:c r="G351" s="220"/>
      <x:c r="H351" s="220"/>
      <x:c r="I351" s="220"/>
      <x:c r="J351" s="220"/>
      <x:c r="K351" s="220"/>
      <x:c r="L351" s="220" t="str">
        <x:f>IF(TRIM(H351&amp;" "&amp;I351&amp;" "&amp;J351&amp;IF(K351&lt;&gt;""," ("&amp;K351&amp;")",""))="","",TRIM(H351&amp;" "&amp;I351&amp;" "&amp;J351&amp;IF(K351&lt;&gt;""," ("&amp;K351&amp;")","")))</x:f>
      </x:c>
      <x:c r="M351" s="220"/>
      <x:c r="N351" s="220"/>
      <x:c r="O351" s="220"/>
      <x:c r="P351" s="220"/>
      <x:c r="Q351" s="220"/>
      <x:c r="R351" s="220"/>
      <x:c r="S351" s="220"/>
      <x:c r="T351" s="220"/>
      <x:c r="U351" s="220" t="str">
        <x:f>IF(AND(M351="",O351="",Q351="",S351=""),"",IF(S351&lt;&gt;"",S351,IF(Q351&lt;&gt;"",Q351,IF(O351&lt;&gt;"",O351,M351))))</x:f>
      </x:c>
      <x:c r="V351" s="220" t="str">
        <x:f>IF(AND(N351="",P351="",R351="",T351=""),"",IF(T351&lt;&gt;"",T351,IF(R351&lt;&gt;"",R351,IF(P351&lt;&gt;"",P351,N351))))</x:f>
      </x:c>
      <x:c r="W351" s="221"/>
      <x:c r="X351" s="220"/>
      <x:c r="Y351" s="220"/>
      <x:c r="Z351" s="223"/>
      <x:c r="AA351" s="223"/>
      <x:c r="AB351" s="221"/>
      <x:c r="AC351" s="220"/>
      <x:c r="AD351" s="220"/>
      <x:c r="AE351" s="222"/>
      <x:c r="AF351" s="220"/>
      <x:c r="AG351" s="221"/>
      <x:c r="AH351" s="220"/>
      <x:c r="AI351" s="220"/>
      <x:c r="AJ351" s="222"/>
      <x:c r="AK351" s="220"/>
      <x:c r="AL351" s="220"/>
      <x:c r="AM351" s="220"/>
      <x:c r="AN351" s="220"/>
      <x:c r="AO351" s="220"/>
      <x:c r="AP351" s="220"/>
      <x:c r="AQ351" s="220"/>
      <x:c r="AR351" s="222"/>
      <x:c r="AS351" s="220"/>
      <x:c r="AT351" s="220"/>
      <x:c r="AU351" s="220"/>
      <x:c r="AV351" s="220"/>
      <x:c r="AW351" s="220"/>
      <x:c r="AX351" s="220"/>
      <x:c r="AY351" s="221"/>
      <x:c r="AZ351" s="220"/>
      <x:c r="BA351" s="220" t="str">
        <x:f>IF(AND(A351="",B351="",F351="",H351="",J351="",AW351="",AY351=""),"",IF(OR(B351="skip",AW351="skip"),"SKIP",IF(OR(B351="to_candidate",AW351="proposed_name"),IF(OR(A351="",AX351="",AY351="",COUNTIF($A$6:$A$505,A351)&gt;1),"REVIEW","TO_PROPOSED"),IF(OR(B351="",A351="",F351="",H351="",J351="",U351="",AW351="",COUNTIF($A$6:$A$505,A351)&gt;1,(COUNTIFS('أرقام التواصل'!$A$6:$A$505,"client",'أرقام التواصل'!$B$6:$B$505,A351,'أرقام التواصل'!$I$6:$I$505,"TRUE")+COUNTIFS('أرقام التواصل'!$A$6:$A$505,"client",'أرقام التواصل'!$B$6:$B$505,A351,'أرقام التواصل'!$C$6:$C$505,1))=0),"REVIEW","READY"))))</x:f>
      </x:c>
      <x:c r="BB351" s="224" t="str">
        <x:f>IF(BA351="","",IF(OR(BA351="READY",BA351="TO_PROPOSED"),"",IF(BA351="SKIP","Skipped by decision",TRIM(IF(B351="","missing import_action; ","")&amp;IF(A351="","missing migration_customer_key; ","")&amp;IF(AND(A351&lt;&gt;"",COUNTIF($A$6:$A$505,A351)&gt;1),"duplicate migration_customer_key; ","")&amp;IF(AND(NOT(OR(B351="to_candidate",AW351="proposed_name")),F351=""),"missing branch_id; ","")&amp;IF(AND(NOT(OR(B351="to_candidate",AW351="proposed_name")),H351=""),"missing first_name; ","")&amp;IF(AND(NOT(OR(B351="to_candidate",AW351="proposed_name")),J351=""),"missing last_name; ","")&amp;IF(AND(NOT(OR(B351="to_candidate",AW351="proposed_name")),U351=""),"missing final_geo_unit_id; ","")&amp;IF(AW351="","missing final_destination; ","")&amp;IF(AND(NOT(OR(B351="to_candidate",AW351="proposed_name")),(COUNTIFS('أرقام التواصل'!$A$6:$A$505,"client",'أرقام التواصل'!$B$6:$B$505,A351,'أرقام التواصل'!$I$6:$I$505,"TRUE")+COUNTIFS('أرقام التواصل'!$A$6:$A$505,"client",'أرقام التواصل'!$B$6:$B$505,A351,'أرقام التواصل'!$C$6:$C$505,1))=0),"missing primary contact in أرقام التواصل; ","")&amp;IF(OR(B351="to_candidate",AW351="proposed_name"),IF(AX351="","missing proposed_move_reason; ","")&amp;IF(AY351="","missing proposed_name_key; ",""),"")))))</x:f>
      </x:c>
    </x:row>
    <x:row r="352">
      <x:c r="A352" s="219"/>
      <x:c r="B352" s="220"/>
      <x:c r="C352" s="221"/>
      <x:c r="D352" s="220"/>
      <x:c r="E352" s="222"/>
      <x:c r="F352" s="220"/>
      <x:c r="G352" s="220"/>
      <x:c r="H352" s="220"/>
      <x:c r="I352" s="220"/>
      <x:c r="J352" s="220"/>
      <x:c r="K352" s="220"/>
      <x:c r="L352" s="220" t="str">
        <x:f>IF(TRIM(H352&amp;" "&amp;I352&amp;" "&amp;J352&amp;IF(K352&lt;&gt;""," ("&amp;K352&amp;")",""))="","",TRIM(H352&amp;" "&amp;I352&amp;" "&amp;J352&amp;IF(K352&lt;&gt;""," ("&amp;K352&amp;")","")))</x:f>
      </x:c>
      <x:c r="M352" s="220"/>
      <x:c r="N352" s="220"/>
      <x:c r="O352" s="220"/>
      <x:c r="P352" s="220"/>
      <x:c r="Q352" s="220"/>
      <x:c r="R352" s="220"/>
      <x:c r="S352" s="220"/>
      <x:c r="T352" s="220"/>
      <x:c r="U352" s="220" t="str">
        <x:f>IF(AND(M352="",O352="",Q352="",S352=""),"",IF(S352&lt;&gt;"",S352,IF(Q352&lt;&gt;"",Q352,IF(O352&lt;&gt;"",O352,M352))))</x:f>
      </x:c>
      <x:c r="V352" s="220" t="str">
        <x:f>IF(AND(N352="",P352="",R352="",T352=""),"",IF(T352&lt;&gt;"",T352,IF(R352&lt;&gt;"",R352,IF(P352&lt;&gt;"",P352,N352))))</x:f>
      </x:c>
      <x:c r="W352" s="221"/>
      <x:c r="X352" s="220"/>
      <x:c r="Y352" s="220"/>
      <x:c r="Z352" s="223"/>
      <x:c r="AA352" s="223"/>
      <x:c r="AB352" s="221"/>
      <x:c r="AC352" s="220"/>
      <x:c r="AD352" s="220"/>
      <x:c r="AE352" s="222"/>
      <x:c r="AF352" s="220"/>
      <x:c r="AG352" s="221"/>
      <x:c r="AH352" s="220"/>
      <x:c r="AI352" s="220"/>
      <x:c r="AJ352" s="222"/>
      <x:c r="AK352" s="220"/>
      <x:c r="AL352" s="220"/>
      <x:c r="AM352" s="220"/>
      <x:c r="AN352" s="220"/>
      <x:c r="AO352" s="220"/>
      <x:c r="AP352" s="220"/>
      <x:c r="AQ352" s="220"/>
      <x:c r="AR352" s="222"/>
      <x:c r="AS352" s="220"/>
      <x:c r="AT352" s="220"/>
      <x:c r="AU352" s="220"/>
      <x:c r="AV352" s="220"/>
      <x:c r="AW352" s="220"/>
      <x:c r="AX352" s="220"/>
      <x:c r="AY352" s="221"/>
      <x:c r="AZ352" s="220"/>
      <x:c r="BA352" s="220" t="str">
        <x:f>IF(AND(A352="",B352="",F352="",H352="",J352="",AW352="",AY352=""),"",IF(OR(B352="skip",AW352="skip"),"SKIP",IF(OR(B352="to_candidate",AW352="proposed_name"),IF(OR(A352="",AX352="",AY352="",COUNTIF($A$6:$A$505,A352)&gt;1),"REVIEW","TO_PROPOSED"),IF(OR(B352="",A352="",F352="",H352="",J352="",U352="",AW352="",COUNTIF($A$6:$A$505,A352)&gt;1,(COUNTIFS('أرقام التواصل'!$A$6:$A$505,"client",'أرقام التواصل'!$B$6:$B$505,A352,'أرقام التواصل'!$I$6:$I$505,"TRUE")+COUNTIFS('أرقام التواصل'!$A$6:$A$505,"client",'أرقام التواصل'!$B$6:$B$505,A352,'أرقام التواصل'!$C$6:$C$505,1))=0),"REVIEW","READY"))))</x:f>
      </x:c>
      <x:c r="BB352" s="224" t="str">
        <x:f>IF(BA352="","",IF(OR(BA352="READY",BA352="TO_PROPOSED"),"",IF(BA352="SKIP","Skipped by decision",TRIM(IF(B352="","missing import_action; ","")&amp;IF(A352="","missing migration_customer_key; ","")&amp;IF(AND(A352&lt;&gt;"",COUNTIF($A$6:$A$505,A352)&gt;1),"duplicate migration_customer_key; ","")&amp;IF(AND(NOT(OR(B352="to_candidate",AW352="proposed_name")),F352=""),"missing branch_id; ","")&amp;IF(AND(NOT(OR(B352="to_candidate",AW352="proposed_name")),H352=""),"missing first_name; ","")&amp;IF(AND(NOT(OR(B352="to_candidate",AW352="proposed_name")),J352=""),"missing last_name; ","")&amp;IF(AND(NOT(OR(B352="to_candidate",AW352="proposed_name")),U352=""),"missing final_geo_unit_id; ","")&amp;IF(AW352="","missing final_destination; ","")&amp;IF(AND(NOT(OR(B352="to_candidate",AW352="proposed_name")),(COUNTIFS('أرقام التواصل'!$A$6:$A$505,"client",'أرقام التواصل'!$B$6:$B$505,A352,'أرقام التواصل'!$I$6:$I$505,"TRUE")+COUNTIFS('أرقام التواصل'!$A$6:$A$505,"client",'أرقام التواصل'!$B$6:$B$505,A352,'أرقام التواصل'!$C$6:$C$505,1))=0),"missing primary contact in أرقام التواصل; ","")&amp;IF(OR(B352="to_candidate",AW352="proposed_name"),IF(AX352="","missing proposed_move_reason; ","")&amp;IF(AY352="","missing proposed_name_key; ",""),"")))))</x:f>
      </x:c>
    </x:row>
    <x:row r="353">
      <x:c r="A353" s="219"/>
      <x:c r="B353" s="220"/>
      <x:c r="C353" s="221"/>
      <x:c r="D353" s="220"/>
      <x:c r="E353" s="222"/>
      <x:c r="F353" s="220"/>
      <x:c r="G353" s="220"/>
      <x:c r="H353" s="220"/>
      <x:c r="I353" s="220"/>
      <x:c r="J353" s="220"/>
      <x:c r="K353" s="220"/>
      <x:c r="L353" s="220" t="str">
        <x:f>IF(TRIM(H353&amp;" "&amp;I353&amp;" "&amp;J353&amp;IF(K353&lt;&gt;""," ("&amp;K353&amp;")",""))="","",TRIM(H353&amp;" "&amp;I353&amp;" "&amp;J353&amp;IF(K353&lt;&gt;""," ("&amp;K353&amp;")","")))</x:f>
      </x:c>
      <x:c r="M353" s="220"/>
      <x:c r="N353" s="220"/>
      <x:c r="O353" s="220"/>
      <x:c r="P353" s="220"/>
      <x:c r="Q353" s="220"/>
      <x:c r="R353" s="220"/>
      <x:c r="S353" s="220"/>
      <x:c r="T353" s="220"/>
      <x:c r="U353" s="220" t="str">
        <x:f>IF(AND(M353="",O353="",Q353="",S353=""),"",IF(S353&lt;&gt;"",S353,IF(Q353&lt;&gt;"",Q353,IF(O353&lt;&gt;"",O353,M353))))</x:f>
      </x:c>
      <x:c r="V353" s="220" t="str">
        <x:f>IF(AND(N353="",P353="",R353="",T353=""),"",IF(T353&lt;&gt;"",T353,IF(R353&lt;&gt;"",R353,IF(P353&lt;&gt;"",P353,N353))))</x:f>
      </x:c>
      <x:c r="W353" s="221"/>
      <x:c r="X353" s="220"/>
      <x:c r="Y353" s="220"/>
      <x:c r="Z353" s="223"/>
      <x:c r="AA353" s="223"/>
      <x:c r="AB353" s="221"/>
      <x:c r="AC353" s="220"/>
      <x:c r="AD353" s="220"/>
      <x:c r="AE353" s="222"/>
      <x:c r="AF353" s="220"/>
      <x:c r="AG353" s="221"/>
      <x:c r="AH353" s="220"/>
      <x:c r="AI353" s="220"/>
      <x:c r="AJ353" s="222"/>
      <x:c r="AK353" s="220"/>
      <x:c r="AL353" s="220"/>
      <x:c r="AM353" s="220"/>
      <x:c r="AN353" s="220"/>
      <x:c r="AO353" s="220"/>
      <x:c r="AP353" s="220"/>
      <x:c r="AQ353" s="220"/>
      <x:c r="AR353" s="222"/>
      <x:c r="AS353" s="220"/>
      <x:c r="AT353" s="220"/>
      <x:c r="AU353" s="220"/>
      <x:c r="AV353" s="220"/>
      <x:c r="AW353" s="220"/>
      <x:c r="AX353" s="220"/>
      <x:c r="AY353" s="221"/>
      <x:c r="AZ353" s="220"/>
      <x:c r="BA353" s="220" t="str">
        <x:f>IF(AND(A353="",B353="",F353="",H353="",J353="",AW353="",AY353=""),"",IF(OR(B353="skip",AW353="skip"),"SKIP",IF(OR(B353="to_candidate",AW353="proposed_name"),IF(OR(A353="",AX353="",AY353="",COUNTIF($A$6:$A$505,A353)&gt;1),"REVIEW","TO_PROPOSED"),IF(OR(B353="",A353="",F353="",H353="",J353="",U353="",AW353="",COUNTIF($A$6:$A$505,A353)&gt;1,(COUNTIFS('أرقام التواصل'!$A$6:$A$505,"client",'أرقام التواصل'!$B$6:$B$505,A353,'أرقام التواصل'!$I$6:$I$505,"TRUE")+COUNTIFS('أرقام التواصل'!$A$6:$A$505,"client",'أرقام التواصل'!$B$6:$B$505,A353,'أرقام التواصل'!$C$6:$C$505,1))=0),"REVIEW","READY"))))</x:f>
      </x:c>
      <x:c r="BB353" s="224" t="str">
        <x:f>IF(BA353="","",IF(OR(BA353="READY",BA353="TO_PROPOSED"),"",IF(BA353="SKIP","Skipped by decision",TRIM(IF(B353="","missing import_action; ","")&amp;IF(A353="","missing migration_customer_key; ","")&amp;IF(AND(A353&lt;&gt;"",COUNTIF($A$6:$A$505,A353)&gt;1),"duplicate migration_customer_key; ","")&amp;IF(AND(NOT(OR(B353="to_candidate",AW353="proposed_name")),F353=""),"missing branch_id; ","")&amp;IF(AND(NOT(OR(B353="to_candidate",AW353="proposed_name")),H353=""),"missing first_name; ","")&amp;IF(AND(NOT(OR(B353="to_candidate",AW353="proposed_name")),J353=""),"missing last_name; ","")&amp;IF(AND(NOT(OR(B353="to_candidate",AW353="proposed_name")),U353=""),"missing final_geo_unit_id; ","")&amp;IF(AW353="","missing final_destination; ","")&amp;IF(AND(NOT(OR(B353="to_candidate",AW353="proposed_name")),(COUNTIFS('أرقام التواصل'!$A$6:$A$505,"client",'أرقام التواصل'!$B$6:$B$505,A353,'أرقام التواصل'!$I$6:$I$505,"TRUE")+COUNTIFS('أرقام التواصل'!$A$6:$A$505,"client",'أرقام التواصل'!$B$6:$B$505,A353,'أرقام التواصل'!$C$6:$C$505,1))=0),"missing primary contact in أرقام التواصل; ","")&amp;IF(OR(B353="to_candidate",AW353="proposed_name"),IF(AX353="","missing proposed_move_reason; ","")&amp;IF(AY353="","missing proposed_name_key; ",""),"")))))</x:f>
      </x:c>
    </x:row>
    <x:row r="354">
      <x:c r="A354" s="219"/>
      <x:c r="B354" s="220"/>
      <x:c r="C354" s="221"/>
      <x:c r="D354" s="220"/>
      <x:c r="E354" s="222"/>
      <x:c r="F354" s="220"/>
      <x:c r="G354" s="220"/>
      <x:c r="H354" s="220"/>
      <x:c r="I354" s="220"/>
      <x:c r="J354" s="220"/>
      <x:c r="K354" s="220"/>
      <x:c r="L354" s="220" t="str">
        <x:f>IF(TRIM(H354&amp;" "&amp;I354&amp;" "&amp;J354&amp;IF(K354&lt;&gt;""," ("&amp;K354&amp;")",""))="","",TRIM(H354&amp;" "&amp;I354&amp;" "&amp;J354&amp;IF(K354&lt;&gt;""," ("&amp;K354&amp;")","")))</x:f>
      </x:c>
      <x:c r="M354" s="220"/>
      <x:c r="N354" s="220"/>
      <x:c r="O354" s="220"/>
      <x:c r="P354" s="220"/>
      <x:c r="Q354" s="220"/>
      <x:c r="R354" s="220"/>
      <x:c r="S354" s="220"/>
      <x:c r="T354" s="220"/>
      <x:c r="U354" s="220" t="str">
        <x:f>IF(AND(M354="",O354="",Q354="",S354=""),"",IF(S354&lt;&gt;"",S354,IF(Q354&lt;&gt;"",Q354,IF(O354&lt;&gt;"",O354,M354))))</x:f>
      </x:c>
      <x:c r="V354" s="220" t="str">
        <x:f>IF(AND(N354="",P354="",R354="",T354=""),"",IF(T354&lt;&gt;"",T354,IF(R354&lt;&gt;"",R354,IF(P354&lt;&gt;"",P354,N354))))</x:f>
      </x:c>
      <x:c r="W354" s="221"/>
      <x:c r="X354" s="220"/>
      <x:c r="Y354" s="220"/>
      <x:c r="Z354" s="223"/>
      <x:c r="AA354" s="223"/>
      <x:c r="AB354" s="221"/>
      <x:c r="AC354" s="220"/>
      <x:c r="AD354" s="220"/>
      <x:c r="AE354" s="222"/>
      <x:c r="AF354" s="220"/>
      <x:c r="AG354" s="221"/>
      <x:c r="AH354" s="220"/>
      <x:c r="AI354" s="220"/>
      <x:c r="AJ354" s="222"/>
      <x:c r="AK354" s="220"/>
      <x:c r="AL354" s="220"/>
      <x:c r="AM354" s="220"/>
      <x:c r="AN354" s="220"/>
      <x:c r="AO354" s="220"/>
      <x:c r="AP354" s="220"/>
      <x:c r="AQ354" s="220"/>
      <x:c r="AR354" s="222"/>
      <x:c r="AS354" s="220"/>
      <x:c r="AT354" s="220"/>
      <x:c r="AU354" s="220"/>
      <x:c r="AV354" s="220"/>
      <x:c r="AW354" s="220"/>
      <x:c r="AX354" s="220"/>
      <x:c r="AY354" s="221"/>
      <x:c r="AZ354" s="220"/>
      <x:c r="BA354" s="220" t="str">
        <x:f>IF(AND(A354="",B354="",F354="",H354="",J354="",AW354="",AY354=""),"",IF(OR(B354="skip",AW354="skip"),"SKIP",IF(OR(B354="to_candidate",AW354="proposed_name"),IF(OR(A354="",AX354="",AY354="",COUNTIF($A$6:$A$505,A354)&gt;1),"REVIEW","TO_PROPOSED"),IF(OR(B354="",A354="",F354="",H354="",J354="",U354="",AW354="",COUNTIF($A$6:$A$505,A354)&gt;1,(COUNTIFS('أرقام التواصل'!$A$6:$A$505,"client",'أرقام التواصل'!$B$6:$B$505,A354,'أرقام التواصل'!$I$6:$I$505,"TRUE")+COUNTIFS('أرقام التواصل'!$A$6:$A$505,"client",'أرقام التواصل'!$B$6:$B$505,A354,'أرقام التواصل'!$C$6:$C$505,1))=0),"REVIEW","READY"))))</x:f>
      </x:c>
      <x:c r="BB354" s="224" t="str">
        <x:f>IF(BA354="","",IF(OR(BA354="READY",BA354="TO_PROPOSED"),"",IF(BA354="SKIP","Skipped by decision",TRIM(IF(B354="","missing import_action; ","")&amp;IF(A354="","missing migration_customer_key; ","")&amp;IF(AND(A354&lt;&gt;"",COUNTIF($A$6:$A$505,A354)&gt;1),"duplicate migration_customer_key; ","")&amp;IF(AND(NOT(OR(B354="to_candidate",AW354="proposed_name")),F354=""),"missing branch_id; ","")&amp;IF(AND(NOT(OR(B354="to_candidate",AW354="proposed_name")),H354=""),"missing first_name; ","")&amp;IF(AND(NOT(OR(B354="to_candidate",AW354="proposed_name")),J354=""),"missing last_name; ","")&amp;IF(AND(NOT(OR(B354="to_candidate",AW354="proposed_name")),U354=""),"missing final_geo_unit_id; ","")&amp;IF(AW354="","missing final_destination; ","")&amp;IF(AND(NOT(OR(B354="to_candidate",AW354="proposed_name")),(COUNTIFS('أرقام التواصل'!$A$6:$A$505,"client",'أرقام التواصل'!$B$6:$B$505,A354,'أرقام التواصل'!$I$6:$I$505,"TRUE")+COUNTIFS('أرقام التواصل'!$A$6:$A$505,"client",'أرقام التواصل'!$B$6:$B$505,A354,'أرقام التواصل'!$C$6:$C$505,1))=0),"missing primary contact in أرقام التواصل; ","")&amp;IF(OR(B354="to_candidate",AW354="proposed_name"),IF(AX354="","missing proposed_move_reason; ","")&amp;IF(AY354="","missing proposed_name_key; ",""),"")))))</x:f>
      </x:c>
    </x:row>
    <x:row r="355">
      <x:c r="A355" s="219"/>
      <x:c r="B355" s="220"/>
      <x:c r="C355" s="221"/>
      <x:c r="D355" s="220"/>
      <x:c r="E355" s="222"/>
      <x:c r="F355" s="220"/>
      <x:c r="G355" s="220"/>
      <x:c r="H355" s="220"/>
      <x:c r="I355" s="220"/>
      <x:c r="J355" s="220"/>
      <x:c r="K355" s="220"/>
      <x:c r="L355" s="220" t="str">
        <x:f>IF(TRIM(H355&amp;" "&amp;I355&amp;" "&amp;J355&amp;IF(K355&lt;&gt;""," ("&amp;K355&amp;")",""))="","",TRIM(H355&amp;" "&amp;I355&amp;" "&amp;J355&amp;IF(K355&lt;&gt;""," ("&amp;K355&amp;")","")))</x:f>
      </x:c>
      <x:c r="M355" s="220"/>
      <x:c r="N355" s="220"/>
      <x:c r="O355" s="220"/>
      <x:c r="P355" s="220"/>
      <x:c r="Q355" s="220"/>
      <x:c r="R355" s="220"/>
      <x:c r="S355" s="220"/>
      <x:c r="T355" s="220"/>
      <x:c r="U355" s="220" t="str">
        <x:f>IF(AND(M355="",O355="",Q355="",S355=""),"",IF(S355&lt;&gt;"",S355,IF(Q355&lt;&gt;"",Q355,IF(O355&lt;&gt;"",O355,M355))))</x:f>
      </x:c>
      <x:c r="V355" s="220" t="str">
        <x:f>IF(AND(N355="",P355="",R355="",T355=""),"",IF(T355&lt;&gt;"",T355,IF(R355&lt;&gt;"",R355,IF(P355&lt;&gt;"",P355,N355))))</x:f>
      </x:c>
      <x:c r="W355" s="221"/>
      <x:c r="X355" s="220"/>
      <x:c r="Y355" s="220"/>
      <x:c r="Z355" s="223"/>
      <x:c r="AA355" s="223"/>
      <x:c r="AB355" s="221"/>
      <x:c r="AC355" s="220"/>
      <x:c r="AD355" s="220"/>
      <x:c r="AE355" s="222"/>
      <x:c r="AF355" s="220"/>
      <x:c r="AG355" s="221"/>
      <x:c r="AH355" s="220"/>
      <x:c r="AI355" s="220"/>
      <x:c r="AJ355" s="222"/>
      <x:c r="AK355" s="220"/>
      <x:c r="AL355" s="220"/>
      <x:c r="AM355" s="220"/>
      <x:c r="AN355" s="220"/>
      <x:c r="AO355" s="220"/>
      <x:c r="AP355" s="220"/>
      <x:c r="AQ355" s="220"/>
      <x:c r="AR355" s="222"/>
      <x:c r="AS355" s="220"/>
      <x:c r="AT355" s="220"/>
      <x:c r="AU355" s="220"/>
      <x:c r="AV355" s="220"/>
      <x:c r="AW355" s="220"/>
      <x:c r="AX355" s="220"/>
      <x:c r="AY355" s="221"/>
      <x:c r="AZ355" s="220"/>
      <x:c r="BA355" s="220" t="str">
        <x:f>IF(AND(A355="",B355="",F355="",H355="",J355="",AW355="",AY355=""),"",IF(OR(B355="skip",AW355="skip"),"SKIP",IF(OR(B355="to_candidate",AW355="proposed_name"),IF(OR(A355="",AX355="",AY355="",COUNTIF($A$6:$A$505,A355)&gt;1),"REVIEW","TO_PROPOSED"),IF(OR(B355="",A355="",F355="",H355="",J355="",U355="",AW355="",COUNTIF($A$6:$A$505,A355)&gt;1,(COUNTIFS('أرقام التواصل'!$A$6:$A$505,"client",'أرقام التواصل'!$B$6:$B$505,A355,'أرقام التواصل'!$I$6:$I$505,"TRUE")+COUNTIFS('أرقام التواصل'!$A$6:$A$505,"client",'أرقام التواصل'!$B$6:$B$505,A355,'أرقام التواصل'!$C$6:$C$505,1))=0),"REVIEW","READY"))))</x:f>
      </x:c>
      <x:c r="BB355" s="224" t="str">
        <x:f>IF(BA355="","",IF(OR(BA355="READY",BA355="TO_PROPOSED"),"",IF(BA355="SKIP","Skipped by decision",TRIM(IF(B355="","missing import_action; ","")&amp;IF(A355="","missing migration_customer_key; ","")&amp;IF(AND(A355&lt;&gt;"",COUNTIF($A$6:$A$505,A355)&gt;1),"duplicate migration_customer_key; ","")&amp;IF(AND(NOT(OR(B355="to_candidate",AW355="proposed_name")),F355=""),"missing branch_id; ","")&amp;IF(AND(NOT(OR(B355="to_candidate",AW355="proposed_name")),H355=""),"missing first_name; ","")&amp;IF(AND(NOT(OR(B355="to_candidate",AW355="proposed_name")),J355=""),"missing last_name; ","")&amp;IF(AND(NOT(OR(B355="to_candidate",AW355="proposed_name")),U355=""),"missing final_geo_unit_id; ","")&amp;IF(AW355="","missing final_destination; ","")&amp;IF(AND(NOT(OR(B355="to_candidate",AW355="proposed_name")),(COUNTIFS('أرقام التواصل'!$A$6:$A$505,"client",'أرقام التواصل'!$B$6:$B$505,A355,'أرقام التواصل'!$I$6:$I$505,"TRUE")+COUNTIFS('أرقام التواصل'!$A$6:$A$505,"client",'أرقام التواصل'!$B$6:$B$505,A355,'أرقام التواصل'!$C$6:$C$505,1))=0),"missing primary contact in أرقام التواصل; ","")&amp;IF(OR(B355="to_candidate",AW355="proposed_name"),IF(AX355="","missing proposed_move_reason; ","")&amp;IF(AY355="","missing proposed_name_key; ",""),"")))))</x:f>
      </x:c>
    </x:row>
    <x:row r="356">
      <x:c r="A356" s="219"/>
      <x:c r="B356" s="220"/>
      <x:c r="C356" s="221"/>
      <x:c r="D356" s="220"/>
      <x:c r="E356" s="222"/>
      <x:c r="F356" s="220"/>
      <x:c r="G356" s="220"/>
      <x:c r="H356" s="220"/>
      <x:c r="I356" s="220"/>
      <x:c r="J356" s="220"/>
      <x:c r="K356" s="220"/>
      <x:c r="L356" s="220" t="str">
        <x:f>IF(TRIM(H356&amp;" "&amp;I356&amp;" "&amp;J356&amp;IF(K356&lt;&gt;""," ("&amp;K356&amp;")",""))="","",TRIM(H356&amp;" "&amp;I356&amp;" "&amp;J356&amp;IF(K356&lt;&gt;""," ("&amp;K356&amp;")","")))</x:f>
      </x:c>
      <x:c r="M356" s="220"/>
      <x:c r="N356" s="220"/>
      <x:c r="O356" s="220"/>
      <x:c r="P356" s="220"/>
      <x:c r="Q356" s="220"/>
      <x:c r="R356" s="220"/>
      <x:c r="S356" s="220"/>
      <x:c r="T356" s="220"/>
      <x:c r="U356" s="220" t="str">
        <x:f>IF(AND(M356="",O356="",Q356="",S356=""),"",IF(S356&lt;&gt;"",S356,IF(Q356&lt;&gt;"",Q356,IF(O356&lt;&gt;"",O356,M356))))</x:f>
      </x:c>
      <x:c r="V356" s="220" t="str">
        <x:f>IF(AND(N356="",P356="",R356="",T356=""),"",IF(T356&lt;&gt;"",T356,IF(R356&lt;&gt;"",R356,IF(P356&lt;&gt;"",P356,N356))))</x:f>
      </x:c>
      <x:c r="W356" s="221"/>
      <x:c r="X356" s="220"/>
      <x:c r="Y356" s="220"/>
      <x:c r="Z356" s="223"/>
      <x:c r="AA356" s="223"/>
      <x:c r="AB356" s="221"/>
      <x:c r="AC356" s="220"/>
      <x:c r="AD356" s="220"/>
      <x:c r="AE356" s="222"/>
      <x:c r="AF356" s="220"/>
      <x:c r="AG356" s="221"/>
      <x:c r="AH356" s="220"/>
      <x:c r="AI356" s="220"/>
      <x:c r="AJ356" s="222"/>
      <x:c r="AK356" s="220"/>
      <x:c r="AL356" s="220"/>
      <x:c r="AM356" s="220"/>
      <x:c r="AN356" s="220"/>
      <x:c r="AO356" s="220"/>
      <x:c r="AP356" s="220"/>
      <x:c r="AQ356" s="220"/>
      <x:c r="AR356" s="222"/>
      <x:c r="AS356" s="220"/>
      <x:c r="AT356" s="220"/>
      <x:c r="AU356" s="220"/>
      <x:c r="AV356" s="220"/>
      <x:c r="AW356" s="220"/>
      <x:c r="AX356" s="220"/>
      <x:c r="AY356" s="221"/>
      <x:c r="AZ356" s="220"/>
      <x:c r="BA356" s="220" t="str">
        <x:f>IF(AND(A356="",B356="",F356="",H356="",J356="",AW356="",AY356=""),"",IF(OR(B356="skip",AW356="skip"),"SKIP",IF(OR(B356="to_candidate",AW356="proposed_name"),IF(OR(A356="",AX356="",AY356="",COUNTIF($A$6:$A$505,A356)&gt;1),"REVIEW","TO_PROPOSED"),IF(OR(B356="",A356="",F356="",H356="",J356="",U356="",AW356="",COUNTIF($A$6:$A$505,A356)&gt;1,(COUNTIFS('أرقام التواصل'!$A$6:$A$505,"client",'أرقام التواصل'!$B$6:$B$505,A356,'أرقام التواصل'!$I$6:$I$505,"TRUE")+COUNTIFS('أرقام التواصل'!$A$6:$A$505,"client",'أرقام التواصل'!$B$6:$B$505,A356,'أرقام التواصل'!$C$6:$C$505,1))=0),"REVIEW","READY"))))</x:f>
      </x:c>
      <x:c r="BB356" s="224" t="str">
        <x:f>IF(BA356="","",IF(OR(BA356="READY",BA356="TO_PROPOSED"),"",IF(BA356="SKIP","Skipped by decision",TRIM(IF(B356="","missing import_action; ","")&amp;IF(A356="","missing migration_customer_key; ","")&amp;IF(AND(A356&lt;&gt;"",COUNTIF($A$6:$A$505,A356)&gt;1),"duplicate migration_customer_key; ","")&amp;IF(AND(NOT(OR(B356="to_candidate",AW356="proposed_name")),F356=""),"missing branch_id; ","")&amp;IF(AND(NOT(OR(B356="to_candidate",AW356="proposed_name")),H356=""),"missing first_name; ","")&amp;IF(AND(NOT(OR(B356="to_candidate",AW356="proposed_name")),J356=""),"missing last_name; ","")&amp;IF(AND(NOT(OR(B356="to_candidate",AW356="proposed_name")),U356=""),"missing final_geo_unit_id; ","")&amp;IF(AW356="","missing final_destination; ","")&amp;IF(AND(NOT(OR(B356="to_candidate",AW356="proposed_name")),(COUNTIFS('أرقام التواصل'!$A$6:$A$505,"client",'أرقام التواصل'!$B$6:$B$505,A356,'أرقام التواصل'!$I$6:$I$505,"TRUE")+COUNTIFS('أرقام التواصل'!$A$6:$A$505,"client",'أرقام التواصل'!$B$6:$B$505,A356,'أرقام التواصل'!$C$6:$C$505,1))=0),"missing primary contact in أرقام التواصل; ","")&amp;IF(OR(B356="to_candidate",AW356="proposed_name"),IF(AX356="","missing proposed_move_reason; ","")&amp;IF(AY356="","missing proposed_name_key; ",""),"")))))</x:f>
      </x:c>
    </x:row>
    <x:row r="357">
      <x:c r="A357" s="219"/>
      <x:c r="B357" s="220"/>
      <x:c r="C357" s="221"/>
      <x:c r="D357" s="220"/>
      <x:c r="E357" s="222"/>
      <x:c r="F357" s="220"/>
      <x:c r="G357" s="220"/>
      <x:c r="H357" s="220"/>
      <x:c r="I357" s="220"/>
      <x:c r="J357" s="220"/>
      <x:c r="K357" s="220"/>
      <x:c r="L357" s="220" t="str">
        <x:f>IF(TRIM(H357&amp;" "&amp;I357&amp;" "&amp;J357&amp;IF(K357&lt;&gt;""," ("&amp;K357&amp;")",""))="","",TRIM(H357&amp;" "&amp;I357&amp;" "&amp;J357&amp;IF(K357&lt;&gt;""," ("&amp;K357&amp;")","")))</x:f>
      </x:c>
      <x:c r="M357" s="220"/>
      <x:c r="N357" s="220"/>
      <x:c r="O357" s="220"/>
      <x:c r="P357" s="220"/>
      <x:c r="Q357" s="220"/>
      <x:c r="R357" s="220"/>
      <x:c r="S357" s="220"/>
      <x:c r="T357" s="220"/>
      <x:c r="U357" s="220" t="str">
        <x:f>IF(AND(M357="",O357="",Q357="",S357=""),"",IF(S357&lt;&gt;"",S357,IF(Q357&lt;&gt;"",Q357,IF(O357&lt;&gt;"",O357,M357))))</x:f>
      </x:c>
      <x:c r="V357" s="220" t="str">
        <x:f>IF(AND(N357="",P357="",R357="",T357=""),"",IF(T357&lt;&gt;"",T357,IF(R357&lt;&gt;"",R357,IF(P357&lt;&gt;"",P357,N357))))</x:f>
      </x:c>
      <x:c r="W357" s="221"/>
      <x:c r="X357" s="220"/>
      <x:c r="Y357" s="220"/>
      <x:c r="Z357" s="223"/>
      <x:c r="AA357" s="223"/>
      <x:c r="AB357" s="221"/>
      <x:c r="AC357" s="220"/>
      <x:c r="AD357" s="220"/>
      <x:c r="AE357" s="222"/>
      <x:c r="AF357" s="220"/>
      <x:c r="AG357" s="221"/>
      <x:c r="AH357" s="220"/>
      <x:c r="AI357" s="220"/>
      <x:c r="AJ357" s="222"/>
      <x:c r="AK357" s="220"/>
      <x:c r="AL357" s="220"/>
      <x:c r="AM357" s="220"/>
      <x:c r="AN357" s="220"/>
      <x:c r="AO357" s="220"/>
      <x:c r="AP357" s="220"/>
      <x:c r="AQ357" s="220"/>
      <x:c r="AR357" s="222"/>
      <x:c r="AS357" s="220"/>
      <x:c r="AT357" s="220"/>
      <x:c r="AU357" s="220"/>
      <x:c r="AV357" s="220"/>
      <x:c r="AW357" s="220"/>
      <x:c r="AX357" s="220"/>
      <x:c r="AY357" s="221"/>
      <x:c r="AZ357" s="220"/>
      <x:c r="BA357" s="220" t="str">
        <x:f>IF(AND(A357="",B357="",F357="",H357="",J357="",AW357="",AY357=""),"",IF(OR(B357="skip",AW357="skip"),"SKIP",IF(OR(B357="to_candidate",AW357="proposed_name"),IF(OR(A357="",AX357="",AY357="",COUNTIF($A$6:$A$505,A357)&gt;1),"REVIEW","TO_PROPOSED"),IF(OR(B357="",A357="",F357="",H357="",J357="",U357="",AW357="",COUNTIF($A$6:$A$505,A357)&gt;1,(COUNTIFS('أرقام التواصل'!$A$6:$A$505,"client",'أرقام التواصل'!$B$6:$B$505,A357,'أرقام التواصل'!$I$6:$I$505,"TRUE")+COUNTIFS('أرقام التواصل'!$A$6:$A$505,"client",'أرقام التواصل'!$B$6:$B$505,A357,'أرقام التواصل'!$C$6:$C$505,1))=0),"REVIEW","READY"))))</x:f>
      </x:c>
      <x:c r="BB357" s="224" t="str">
        <x:f>IF(BA357="","",IF(OR(BA357="READY",BA357="TO_PROPOSED"),"",IF(BA357="SKIP","Skipped by decision",TRIM(IF(B357="","missing import_action; ","")&amp;IF(A357="","missing migration_customer_key; ","")&amp;IF(AND(A357&lt;&gt;"",COUNTIF($A$6:$A$505,A357)&gt;1),"duplicate migration_customer_key; ","")&amp;IF(AND(NOT(OR(B357="to_candidate",AW357="proposed_name")),F357=""),"missing branch_id; ","")&amp;IF(AND(NOT(OR(B357="to_candidate",AW357="proposed_name")),H357=""),"missing first_name; ","")&amp;IF(AND(NOT(OR(B357="to_candidate",AW357="proposed_name")),J357=""),"missing last_name; ","")&amp;IF(AND(NOT(OR(B357="to_candidate",AW357="proposed_name")),U357=""),"missing final_geo_unit_id; ","")&amp;IF(AW357="","missing final_destination; ","")&amp;IF(AND(NOT(OR(B357="to_candidate",AW357="proposed_name")),(COUNTIFS('أرقام التواصل'!$A$6:$A$505,"client",'أرقام التواصل'!$B$6:$B$505,A357,'أرقام التواصل'!$I$6:$I$505,"TRUE")+COUNTIFS('أرقام التواصل'!$A$6:$A$505,"client",'أرقام التواصل'!$B$6:$B$505,A357,'أرقام التواصل'!$C$6:$C$505,1))=0),"missing primary contact in أرقام التواصل; ","")&amp;IF(OR(B357="to_candidate",AW357="proposed_name"),IF(AX357="","missing proposed_move_reason; ","")&amp;IF(AY357="","missing proposed_name_key; ",""),"")))))</x:f>
      </x:c>
    </x:row>
    <x:row r="358">
      <x:c r="A358" s="219"/>
      <x:c r="B358" s="220"/>
      <x:c r="C358" s="221"/>
      <x:c r="D358" s="220"/>
      <x:c r="E358" s="222"/>
      <x:c r="F358" s="220"/>
      <x:c r="G358" s="220"/>
      <x:c r="H358" s="220"/>
      <x:c r="I358" s="220"/>
      <x:c r="J358" s="220"/>
      <x:c r="K358" s="220"/>
      <x:c r="L358" s="220" t="str">
        <x:f>IF(TRIM(H358&amp;" "&amp;I358&amp;" "&amp;J358&amp;IF(K358&lt;&gt;""," ("&amp;K358&amp;")",""))="","",TRIM(H358&amp;" "&amp;I358&amp;" "&amp;J358&amp;IF(K358&lt;&gt;""," ("&amp;K358&amp;")","")))</x:f>
      </x:c>
      <x:c r="M358" s="220"/>
      <x:c r="N358" s="220"/>
      <x:c r="O358" s="220"/>
      <x:c r="P358" s="220"/>
      <x:c r="Q358" s="220"/>
      <x:c r="R358" s="220"/>
      <x:c r="S358" s="220"/>
      <x:c r="T358" s="220"/>
      <x:c r="U358" s="220" t="str">
        <x:f>IF(AND(M358="",O358="",Q358="",S358=""),"",IF(S358&lt;&gt;"",S358,IF(Q358&lt;&gt;"",Q358,IF(O358&lt;&gt;"",O358,M358))))</x:f>
      </x:c>
      <x:c r="V358" s="220" t="str">
        <x:f>IF(AND(N358="",P358="",R358="",T358=""),"",IF(T358&lt;&gt;"",T358,IF(R358&lt;&gt;"",R358,IF(P358&lt;&gt;"",P358,N358))))</x:f>
      </x:c>
      <x:c r="W358" s="221"/>
      <x:c r="X358" s="220"/>
      <x:c r="Y358" s="220"/>
      <x:c r="Z358" s="223"/>
      <x:c r="AA358" s="223"/>
      <x:c r="AB358" s="221"/>
      <x:c r="AC358" s="220"/>
      <x:c r="AD358" s="220"/>
      <x:c r="AE358" s="222"/>
      <x:c r="AF358" s="220"/>
      <x:c r="AG358" s="221"/>
      <x:c r="AH358" s="220"/>
      <x:c r="AI358" s="220"/>
      <x:c r="AJ358" s="222"/>
      <x:c r="AK358" s="220"/>
      <x:c r="AL358" s="220"/>
      <x:c r="AM358" s="220"/>
      <x:c r="AN358" s="220"/>
      <x:c r="AO358" s="220"/>
      <x:c r="AP358" s="220"/>
      <x:c r="AQ358" s="220"/>
      <x:c r="AR358" s="222"/>
      <x:c r="AS358" s="220"/>
      <x:c r="AT358" s="220"/>
      <x:c r="AU358" s="220"/>
      <x:c r="AV358" s="220"/>
      <x:c r="AW358" s="220"/>
      <x:c r="AX358" s="220"/>
      <x:c r="AY358" s="221"/>
      <x:c r="AZ358" s="220"/>
      <x:c r="BA358" s="220" t="str">
        <x:f>IF(AND(A358="",B358="",F358="",H358="",J358="",AW358="",AY358=""),"",IF(OR(B358="skip",AW358="skip"),"SKIP",IF(OR(B358="to_candidate",AW358="proposed_name"),IF(OR(A358="",AX358="",AY358="",COUNTIF($A$6:$A$505,A358)&gt;1),"REVIEW","TO_PROPOSED"),IF(OR(B358="",A358="",F358="",H358="",J358="",U358="",AW358="",COUNTIF($A$6:$A$505,A358)&gt;1,(COUNTIFS('أرقام التواصل'!$A$6:$A$505,"client",'أرقام التواصل'!$B$6:$B$505,A358,'أرقام التواصل'!$I$6:$I$505,"TRUE")+COUNTIFS('أرقام التواصل'!$A$6:$A$505,"client",'أرقام التواصل'!$B$6:$B$505,A358,'أرقام التواصل'!$C$6:$C$505,1))=0),"REVIEW","READY"))))</x:f>
      </x:c>
      <x:c r="BB358" s="224" t="str">
        <x:f>IF(BA358="","",IF(OR(BA358="READY",BA358="TO_PROPOSED"),"",IF(BA358="SKIP","Skipped by decision",TRIM(IF(B358="","missing import_action; ","")&amp;IF(A358="","missing migration_customer_key; ","")&amp;IF(AND(A358&lt;&gt;"",COUNTIF($A$6:$A$505,A358)&gt;1),"duplicate migration_customer_key; ","")&amp;IF(AND(NOT(OR(B358="to_candidate",AW358="proposed_name")),F358=""),"missing branch_id; ","")&amp;IF(AND(NOT(OR(B358="to_candidate",AW358="proposed_name")),H358=""),"missing first_name; ","")&amp;IF(AND(NOT(OR(B358="to_candidate",AW358="proposed_name")),J358=""),"missing last_name; ","")&amp;IF(AND(NOT(OR(B358="to_candidate",AW358="proposed_name")),U358=""),"missing final_geo_unit_id; ","")&amp;IF(AW358="","missing final_destination; ","")&amp;IF(AND(NOT(OR(B358="to_candidate",AW358="proposed_name")),(COUNTIFS('أرقام التواصل'!$A$6:$A$505,"client",'أرقام التواصل'!$B$6:$B$505,A358,'أرقام التواصل'!$I$6:$I$505,"TRUE")+COUNTIFS('أرقام التواصل'!$A$6:$A$505,"client",'أرقام التواصل'!$B$6:$B$505,A358,'أرقام التواصل'!$C$6:$C$505,1))=0),"missing primary contact in أرقام التواصل; ","")&amp;IF(OR(B358="to_candidate",AW358="proposed_name"),IF(AX358="","missing proposed_move_reason; ","")&amp;IF(AY358="","missing proposed_name_key; ",""),"")))))</x:f>
      </x:c>
    </x:row>
    <x:row r="359">
      <x:c r="A359" s="219"/>
      <x:c r="B359" s="220"/>
      <x:c r="C359" s="221"/>
      <x:c r="D359" s="220"/>
      <x:c r="E359" s="222"/>
      <x:c r="F359" s="220"/>
      <x:c r="G359" s="220"/>
      <x:c r="H359" s="220"/>
      <x:c r="I359" s="220"/>
      <x:c r="J359" s="220"/>
      <x:c r="K359" s="220"/>
      <x:c r="L359" s="220" t="str">
        <x:f>IF(TRIM(H359&amp;" "&amp;I359&amp;" "&amp;J359&amp;IF(K359&lt;&gt;""," ("&amp;K359&amp;")",""))="","",TRIM(H359&amp;" "&amp;I359&amp;" "&amp;J359&amp;IF(K359&lt;&gt;""," ("&amp;K359&amp;")","")))</x:f>
      </x:c>
      <x:c r="M359" s="220"/>
      <x:c r="N359" s="220"/>
      <x:c r="O359" s="220"/>
      <x:c r="P359" s="220"/>
      <x:c r="Q359" s="220"/>
      <x:c r="R359" s="220"/>
      <x:c r="S359" s="220"/>
      <x:c r="T359" s="220"/>
      <x:c r="U359" s="220" t="str">
        <x:f>IF(AND(M359="",O359="",Q359="",S359=""),"",IF(S359&lt;&gt;"",S359,IF(Q359&lt;&gt;"",Q359,IF(O359&lt;&gt;"",O359,M359))))</x:f>
      </x:c>
      <x:c r="V359" s="220" t="str">
        <x:f>IF(AND(N359="",P359="",R359="",T359=""),"",IF(T359&lt;&gt;"",T359,IF(R359&lt;&gt;"",R359,IF(P359&lt;&gt;"",P359,N359))))</x:f>
      </x:c>
      <x:c r="W359" s="221"/>
      <x:c r="X359" s="220"/>
      <x:c r="Y359" s="220"/>
      <x:c r="Z359" s="223"/>
      <x:c r="AA359" s="223"/>
      <x:c r="AB359" s="221"/>
      <x:c r="AC359" s="220"/>
      <x:c r="AD359" s="220"/>
      <x:c r="AE359" s="222"/>
      <x:c r="AF359" s="220"/>
      <x:c r="AG359" s="221"/>
      <x:c r="AH359" s="220"/>
      <x:c r="AI359" s="220"/>
      <x:c r="AJ359" s="222"/>
      <x:c r="AK359" s="220"/>
      <x:c r="AL359" s="220"/>
      <x:c r="AM359" s="220"/>
      <x:c r="AN359" s="220"/>
      <x:c r="AO359" s="220"/>
      <x:c r="AP359" s="220"/>
      <x:c r="AQ359" s="220"/>
      <x:c r="AR359" s="222"/>
      <x:c r="AS359" s="220"/>
      <x:c r="AT359" s="220"/>
      <x:c r="AU359" s="220"/>
      <x:c r="AV359" s="220"/>
      <x:c r="AW359" s="220"/>
      <x:c r="AX359" s="220"/>
      <x:c r="AY359" s="221"/>
      <x:c r="AZ359" s="220"/>
      <x:c r="BA359" s="220" t="str">
        <x:f>IF(AND(A359="",B359="",F359="",H359="",J359="",AW359="",AY359=""),"",IF(OR(B359="skip",AW359="skip"),"SKIP",IF(OR(B359="to_candidate",AW359="proposed_name"),IF(OR(A359="",AX359="",AY359="",COUNTIF($A$6:$A$505,A359)&gt;1),"REVIEW","TO_PROPOSED"),IF(OR(B359="",A359="",F359="",H359="",J359="",U359="",AW359="",COUNTIF($A$6:$A$505,A359)&gt;1,(COUNTIFS('أرقام التواصل'!$A$6:$A$505,"client",'أرقام التواصل'!$B$6:$B$505,A359,'أرقام التواصل'!$I$6:$I$505,"TRUE")+COUNTIFS('أرقام التواصل'!$A$6:$A$505,"client",'أرقام التواصل'!$B$6:$B$505,A359,'أرقام التواصل'!$C$6:$C$505,1))=0),"REVIEW","READY"))))</x:f>
      </x:c>
      <x:c r="BB359" s="224" t="str">
        <x:f>IF(BA359="","",IF(OR(BA359="READY",BA359="TO_PROPOSED"),"",IF(BA359="SKIP","Skipped by decision",TRIM(IF(B359="","missing import_action; ","")&amp;IF(A359="","missing migration_customer_key; ","")&amp;IF(AND(A359&lt;&gt;"",COUNTIF($A$6:$A$505,A359)&gt;1),"duplicate migration_customer_key; ","")&amp;IF(AND(NOT(OR(B359="to_candidate",AW359="proposed_name")),F359=""),"missing branch_id; ","")&amp;IF(AND(NOT(OR(B359="to_candidate",AW359="proposed_name")),H359=""),"missing first_name; ","")&amp;IF(AND(NOT(OR(B359="to_candidate",AW359="proposed_name")),J359=""),"missing last_name; ","")&amp;IF(AND(NOT(OR(B359="to_candidate",AW359="proposed_name")),U359=""),"missing final_geo_unit_id; ","")&amp;IF(AW359="","missing final_destination; ","")&amp;IF(AND(NOT(OR(B359="to_candidate",AW359="proposed_name")),(COUNTIFS('أرقام التواصل'!$A$6:$A$505,"client",'أرقام التواصل'!$B$6:$B$505,A359,'أرقام التواصل'!$I$6:$I$505,"TRUE")+COUNTIFS('أرقام التواصل'!$A$6:$A$505,"client",'أرقام التواصل'!$B$6:$B$505,A359,'أرقام التواصل'!$C$6:$C$505,1))=0),"missing primary contact in أرقام التواصل; ","")&amp;IF(OR(B359="to_candidate",AW359="proposed_name"),IF(AX359="","missing proposed_move_reason; ","")&amp;IF(AY359="","missing proposed_name_key; ",""),"")))))</x:f>
      </x:c>
    </x:row>
    <x:row r="360">
      <x:c r="A360" s="219"/>
      <x:c r="B360" s="220"/>
      <x:c r="C360" s="221"/>
      <x:c r="D360" s="220"/>
      <x:c r="E360" s="222"/>
      <x:c r="F360" s="220"/>
      <x:c r="G360" s="220"/>
      <x:c r="H360" s="220"/>
      <x:c r="I360" s="220"/>
      <x:c r="J360" s="220"/>
      <x:c r="K360" s="220"/>
      <x:c r="L360" s="220" t="str">
        <x:f>IF(TRIM(H360&amp;" "&amp;I360&amp;" "&amp;J360&amp;IF(K360&lt;&gt;""," ("&amp;K360&amp;")",""))="","",TRIM(H360&amp;" "&amp;I360&amp;" "&amp;J360&amp;IF(K360&lt;&gt;""," ("&amp;K360&amp;")","")))</x:f>
      </x:c>
      <x:c r="M360" s="220"/>
      <x:c r="N360" s="220"/>
      <x:c r="O360" s="220"/>
      <x:c r="P360" s="220"/>
      <x:c r="Q360" s="220"/>
      <x:c r="R360" s="220"/>
      <x:c r="S360" s="220"/>
      <x:c r="T360" s="220"/>
      <x:c r="U360" s="220" t="str">
        <x:f>IF(AND(M360="",O360="",Q360="",S360=""),"",IF(S360&lt;&gt;"",S360,IF(Q360&lt;&gt;"",Q360,IF(O360&lt;&gt;"",O360,M360))))</x:f>
      </x:c>
      <x:c r="V360" s="220" t="str">
        <x:f>IF(AND(N360="",P360="",R360="",T360=""),"",IF(T360&lt;&gt;"",T360,IF(R360&lt;&gt;"",R360,IF(P360&lt;&gt;"",P360,N360))))</x:f>
      </x:c>
      <x:c r="W360" s="221"/>
      <x:c r="X360" s="220"/>
      <x:c r="Y360" s="220"/>
      <x:c r="Z360" s="223"/>
      <x:c r="AA360" s="223"/>
      <x:c r="AB360" s="221"/>
      <x:c r="AC360" s="220"/>
      <x:c r="AD360" s="220"/>
      <x:c r="AE360" s="222"/>
      <x:c r="AF360" s="220"/>
      <x:c r="AG360" s="221"/>
      <x:c r="AH360" s="220"/>
      <x:c r="AI360" s="220"/>
      <x:c r="AJ360" s="222"/>
      <x:c r="AK360" s="220"/>
      <x:c r="AL360" s="220"/>
      <x:c r="AM360" s="220"/>
      <x:c r="AN360" s="220"/>
      <x:c r="AO360" s="220"/>
      <x:c r="AP360" s="220"/>
      <x:c r="AQ360" s="220"/>
      <x:c r="AR360" s="222"/>
      <x:c r="AS360" s="220"/>
      <x:c r="AT360" s="220"/>
      <x:c r="AU360" s="220"/>
      <x:c r="AV360" s="220"/>
      <x:c r="AW360" s="220"/>
      <x:c r="AX360" s="220"/>
      <x:c r="AY360" s="221"/>
      <x:c r="AZ360" s="220"/>
      <x:c r="BA360" s="220" t="str">
        <x:f>IF(AND(A360="",B360="",F360="",H360="",J360="",AW360="",AY360=""),"",IF(OR(B360="skip",AW360="skip"),"SKIP",IF(OR(B360="to_candidate",AW360="proposed_name"),IF(OR(A360="",AX360="",AY360="",COUNTIF($A$6:$A$505,A360)&gt;1),"REVIEW","TO_PROPOSED"),IF(OR(B360="",A360="",F360="",H360="",J360="",U360="",AW360="",COUNTIF($A$6:$A$505,A360)&gt;1,(COUNTIFS('أرقام التواصل'!$A$6:$A$505,"client",'أرقام التواصل'!$B$6:$B$505,A360,'أرقام التواصل'!$I$6:$I$505,"TRUE")+COUNTIFS('أرقام التواصل'!$A$6:$A$505,"client",'أرقام التواصل'!$B$6:$B$505,A360,'أرقام التواصل'!$C$6:$C$505,1))=0),"REVIEW","READY"))))</x:f>
      </x:c>
      <x:c r="BB360" s="224" t="str">
        <x:f>IF(BA360="","",IF(OR(BA360="READY",BA360="TO_PROPOSED"),"",IF(BA360="SKIP","Skipped by decision",TRIM(IF(B360="","missing import_action; ","")&amp;IF(A360="","missing migration_customer_key; ","")&amp;IF(AND(A360&lt;&gt;"",COUNTIF($A$6:$A$505,A360)&gt;1),"duplicate migration_customer_key; ","")&amp;IF(AND(NOT(OR(B360="to_candidate",AW360="proposed_name")),F360=""),"missing branch_id; ","")&amp;IF(AND(NOT(OR(B360="to_candidate",AW360="proposed_name")),H360=""),"missing first_name; ","")&amp;IF(AND(NOT(OR(B360="to_candidate",AW360="proposed_name")),J360=""),"missing last_name; ","")&amp;IF(AND(NOT(OR(B360="to_candidate",AW360="proposed_name")),U360=""),"missing final_geo_unit_id; ","")&amp;IF(AW360="","missing final_destination; ","")&amp;IF(AND(NOT(OR(B360="to_candidate",AW360="proposed_name")),(COUNTIFS('أرقام التواصل'!$A$6:$A$505,"client",'أرقام التواصل'!$B$6:$B$505,A360,'أرقام التواصل'!$I$6:$I$505,"TRUE")+COUNTIFS('أرقام التواصل'!$A$6:$A$505,"client",'أرقام التواصل'!$B$6:$B$505,A360,'أرقام التواصل'!$C$6:$C$505,1))=0),"missing primary contact in أرقام التواصل; ","")&amp;IF(OR(B360="to_candidate",AW360="proposed_name"),IF(AX360="","missing proposed_move_reason; ","")&amp;IF(AY360="","missing proposed_name_key; ",""),"")))))</x:f>
      </x:c>
    </x:row>
    <x:row r="361">
      <x:c r="A361" s="219"/>
      <x:c r="B361" s="220"/>
      <x:c r="C361" s="221"/>
      <x:c r="D361" s="220"/>
      <x:c r="E361" s="222"/>
      <x:c r="F361" s="220"/>
      <x:c r="G361" s="220"/>
      <x:c r="H361" s="220"/>
      <x:c r="I361" s="220"/>
      <x:c r="J361" s="220"/>
      <x:c r="K361" s="220"/>
      <x:c r="L361" s="220" t="str">
        <x:f>IF(TRIM(H361&amp;" "&amp;I361&amp;" "&amp;J361&amp;IF(K361&lt;&gt;""," ("&amp;K361&amp;")",""))="","",TRIM(H361&amp;" "&amp;I361&amp;" "&amp;J361&amp;IF(K361&lt;&gt;""," ("&amp;K361&amp;")","")))</x:f>
      </x:c>
      <x:c r="M361" s="220"/>
      <x:c r="N361" s="220"/>
      <x:c r="O361" s="220"/>
      <x:c r="P361" s="220"/>
      <x:c r="Q361" s="220"/>
      <x:c r="R361" s="220"/>
      <x:c r="S361" s="220"/>
      <x:c r="T361" s="220"/>
      <x:c r="U361" s="220" t="str">
        <x:f>IF(AND(M361="",O361="",Q361="",S361=""),"",IF(S361&lt;&gt;"",S361,IF(Q361&lt;&gt;"",Q361,IF(O361&lt;&gt;"",O361,M361))))</x:f>
      </x:c>
      <x:c r="V361" s="220" t="str">
        <x:f>IF(AND(N361="",P361="",R361="",T361=""),"",IF(T361&lt;&gt;"",T361,IF(R361&lt;&gt;"",R361,IF(P361&lt;&gt;"",P361,N361))))</x:f>
      </x:c>
      <x:c r="W361" s="221"/>
      <x:c r="X361" s="220"/>
      <x:c r="Y361" s="220"/>
      <x:c r="Z361" s="223"/>
      <x:c r="AA361" s="223"/>
      <x:c r="AB361" s="221"/>
      <x:c r="AC361" s="220"/>
      <x:c r="AD361" s="220"/>
      <x:c r="AE361" s="222"/>
      <x:c r="AF361" s="220"/>
      <x:c r="AG361" s="221"/>
      <x:c r="AH361" s="220"/>
      <x:c r="AI361" s="220"/>
      <x:c r="AJ361" s="222"/>
      <x:c r="AK361" s="220"/>
      <x:c r="AL361" s="220"/>
      <x:c r="AM361" s="220"/>
      <x:c r="AN361" s="220"/>
      <x:c r="AO361" s="220"/>
      <x:c r="AP361" s="220"/>
      <x:c r="AQ361" s="220"/>
      <x:c r="AR361" s="222"/>
      <x:c r="AS361" s="220"/>
      <x:c r="AT361" s="220"/>
      <x:c r="AU361" s="220"/>
      <x:c r="AV361" s="220"/>
      <x:c r="AW361" s="220"/>
      <x:c r="AX361" s="220"/>
      <x:c r="AY361" s="221"/>
      <x:c r="AZ361" s="220"/>
      <x:c r="BA361" s="220" t="str">
        <x:f>IF(AND(A361="",B361="",F361="",H361="",J361="",AW361="",AY361=""),"",IF(OR(B361="skip",AW361="skip"),"SKIP",IF(OR(B361="to_candidate",AW361="proposed_name"),IF(OR(A361="",AX361="",AY361="",COUNTIF($A$6:$A$505,A361)&gt;1),"REVIEW","TO_PROPOSED"),IF(OR(B361="",A361="",F361="",H361="",J361="",U361="",AW361="",COUNTIF($A$6:$A$505,A361)&gt;1,(COUNTIFS('أرقام التواصل'!$A$6:$A$505,"client",'أرقام التواصل'!$B$6:$B$505,A361,'أرقام التواصل'!$I$6:$I$505,"TRUE")+COUNTIFS('أرقام التواصل'!$A$6:$A$505,"client",'أرقام التواصل'!$B$6:$B$505,A361,'أرقام التواصل'!$C$6:$C$505,1))=0),"REVIEW","READY"))))</x:f>
      </x:c>
      <x:c r="BB361" s="224" t="str">
        <x:f>IF(BA361="","",IF(OR(BA361="READY",BA361="TO_PROPOSED"),"",IF(BA361="SKIP","Skipped by decision",TRIM(IF(B361="","missing import_action; ","")&amp;IF(A361="","missing migration_customer_key; ","")&amp;IF(AND(A361&lt;&gt;"",COUNTIF($A$6:$A$505,A361)&gt;1),"duplicate migration_customer_key; ","")&amp;IF(AND(NOT(OR(B361="to_candidate",AW361="proposed_name")),F361=""),"missing branch_id; ","")&amp;IF(AND(NOT(OR(B361="to_candidate",AW361="proposed_name")),H361=""),"missing first_name; ","")&amp;IF(AND(NOT(OR(B361="to_candidate",AW361="proposed_name")),J361=""),"missing last_name; ","")&amp;IF(AND(NOT(OR(B361="to_candidate",AW361="proposed_name")),U361=""),"missing final_geo_unit_id; ","")&amp;IF(AW361="","missing final_destination; ","")&amp;IF(AND(NOT(OR(B361="to_candidate",AW361="proposed_name")),(COUNTIFS('أرقام التواصل'!$A$6:$A$505,"client",'أرقام التواصل'!$B$6:$B$505,A361,'أرقام التواصل'!$I$6:$I$505,"TRUE")+COUNTIFS('أرقام التواصل'!$A$6:$A$505,"client",'أرقام التواصل'!$B$6:$B$505,A361,'أرقام التواصل'!$C$6:$C$505,1))=0),"missing primary contact in أرقام التواصل; ","")&amp;IF(OR(B361="to_candidate",AW361="proposed_name"),IF(AX361="","missing proposed_move_reason; ","")&amp;IF(AY361="","missing proposed_name_key; ",""),"")))))</x:f>
      </x:c>
    </x:row>
    <x:row r="362">
      <x:c r="A362" s="219"/>
      <x:c r="B362" s="220"/>
      <x:c r="C362" s="221"/>
      <x:c r="D362" s="220"/>
      <x:c r="E362" s="222"/>
      <x:c r="F362" s="220"/>
      <x:c r="G362" s="220"/>
      <x:c r="H362" s="220"/>
      <x:c r="I362" s="220"/>
      <x:c r="J362" s="220"/>
      <x:c r="K362" s="220"/>
      <x:c r="L362" s="220" t="str">
        <x:f>IF(TRIM(H362&amp;" "&amp;I362&amp;" "&amp;J362&amp;IF(K362&lt;&gt;""," ("&amp;K362&amp;")",""))="","",TRIM(H362&amp;" "&amp;I362&amp;" "&amp;J362&amp;IF(K362&lt;&gt;""," ("&amp;K362&amp;")","")))</x:f>
      </x:c>
      <x:c r="M362" s="220"/>
      <x:c r="N362" s="220"/>
      <x:c r="O362" s="220"/>
      <x:c r="P362" s="220"/>
      <x:c r="Q362" s="220"/>
      <x:c r="R362" s="220"/>
      <x:c r="S362" s="220"/>
      <x:c r="T362" s="220"/>
      <x:c r="U362" s="220" t="str">
        <x:f>IF(AND(M362="",O362="",Q362="",S362=""),"",IF(S362&lt;&gt;"",S362,IF(Q362&lt;&gt;"",Q362,IF(O362&lt;&gt;"",O362,M362))))</x:f>
      </x:c>
      <x:c r="V362" s="220" t="str">
        <x:f>IF(AND(N362="",P362="",R362="",T362=""),"",IF(T362&lt;&gt;"",T362,IF(R362&lt;&gt;"",R362,IF(P362&lt;&gt;"",P362,N362))))</x:f>
      </x:c>
      <x:c r="W362" s="221"/>
      <x:c r="X362" s="220"/>
      <x:c r="Y362" s="220"/>
      <x:c r="Z362" s="223"/>
      <x:c r="AA362" s="223"/>
      <x:c r="AB362" s="221"/>
      <x:c r="AC362" s="220"/>
      <x:c r="AD362" s="220"/>
      <x:c r="AE362" s="222"/>
      <x:c r="AF362" s="220"/>
      <x:c r="AG362" s="221"/>
      <x:c r="AH362" s="220"/>
      <x:c r="AI362" s="220"/>
      <x:c r="AJ362" s="222"/>
      <x:c r="AK362" s="220"/>
      <x:c r="AL362" s="220"/>
      <x:c r="AM362" s="220"/>
      <x:c r="AN362" s="220"/>
      <x:c r="AO362" s="220"/>
      <x:c r="AP362" s="220"/>
      <x:c r="AQ362" s="220"/>
      <x:c r="AR362" s="222"/>
      <x:c r="AS362" s="220"/>
      <x:c r="AT362" s="220"/>
      <x:c r="AU362" s="220"/>
      <x:c r="AV362" s="220"/>
      <x:c r="AW362" s="220"/>
      <x:c r="AX362" s="220"/>
      <x:c r="AY362" s="221"/>
      <x:c r="AZ362" s="220"/>
      <x:c r="BA362" s="220" t="str">
        <x:f>IF(AND(A362="",B362="",F362="",H362="",J362="",AW362="",AY362=""),"",IF(OR(B362="skip",AW362="skip"),"SKIP",IF(OR(B362="to_candidate",AW362="proposed_name"),IF(OR(A362="",AX362="",AY362="",COUNTIF($A$6:$A$505,A362)&gt;1),"REVIEW","TO_PROPOSED"),IF(OR(B362="",A362="",F362="",H362="",J362="",U362="",AW362="",COUNTIF($A$6:$A$505,A362)&gt;1,(COUNTIFS('أرقام التواصل'!$A$6:$A$505,"client",'أرقام التواصل'!$B$6:$B$505,A362,'أرقام التواصل'!$I$6:$I$505,"TRUE")+COUNTIFS('أرقام التواصل'!$A$6:$A$505,"client",'أرقام التواصل'!$B$6:$B$505,A362,'أرقام التواصل'!$C$6:$C$505,1))=0),"REVIEW","READY"))))</x:f>
      </x:c>
      <x:c r="BB362" s="224" t="str">
        <x:f>IF(BA362="","",IF(OR(BA362="READY",BA362="TO_PROPOSED"),"",IF(BA362="SKIP","Skipped by decision",TRIM(IF(B362="","missing import_action; ","")&amp;IF(A362="","missing migration_customer_key; ","")&amp;IF(AND(A362&lt;&gt;"",COUNTIF($A$6:$A$505,A362)&gt;1),"duplicate migration_customer_key; ","")&amp;IF(AND(NOT(OR(B362="to_candidate",AW362="proposed_name")),F362=""),"missing branch_id; ","")&amp;IF(AND(NOT(OR(B362="to_candidate",AW362="proposed_name")),H362=""),"missing first_name; ","")&amp;IF(AND(NOT(OR(B362="to_candidate",AW362="proposed_name")),J362=""),"missing last_name; ","")&amp;IF(AND(NOT(OR(B362="to_candidate",AW362="proposed_name")),U362=""),"missing final_geo_unit_id; ","")&amp;IF(AW362="","missing final_destination; ","")&amp;IF(AND(NOT(OR(B362="to_candidate",AW362="proposed_name")),(COUNTIFS('أرقام التواصل'!$A$6:$A$505,"client",'أرقام التواصل'!$B$6:$B$505,A362,'أرقام التواصل'!$I$6:$I$505,"TRUE")+COUNTIFS('أرقام التواصل'!$A$6:$A$505,"client",'أرقام التواصل'!$B$6:$B$505,A362,'أرقام التواصل'!$C$6:$C$505,1))=0),"missing primary contact in أرقام التواصل; ","")&amp;IF(OR(B362="to_candidate",AW362="proposed_name"),IF(AX362="","missing proposed_move_reason; ","")&amp;IF(AY362="","missing proposed_name_key; ",""),"")))))</x:f>
      </x:c>
    </x:row>
    <x:row r="363">
      <x:c r="A363" s="219"/>
      <x:c r="B363" s="220"/>
      <x:c r="C363" s="221"/>
      <x:c r="D363" s="220"/>
      <x:c r="E363" s="222"/>
      <x:c r="F363" s="220"/>
      <x:c r="G363" s="220"/>
      <x:c r="H363" s="220"/>
      <x:c r="I363" s="220"/>
      <x:c r="J363" s="220"/>
      <x:c r="K363" s="220"/>
      <x:c r="L363" s="220" t="str">
        <x:f>IF(TRIM(H363&amp;" "&amp;I363&amp;" "&amp;J363&amp;IF(K363&lt;&gt;""," ("&amp;K363&amp;")",""))="","",TRIM(H363&amp;" "&amp;I363&amp;" "&amp;J363&amp;IF(K363&lt;&gt;""," ("&amp;K363&amp;")","")))</x:f>
      </x:c>
      <x:c r="M363" s="220"/>
      <x:c r="N363" s="220"/>
      <x:c r="O363" s="220"/>
      <x:c r="P363" s="220"/>
      <x:c r="Q363" s="220"/>
      <x:c r="R363" s="220"/>
      <x:c r="S363" s="220"/>
      <x:c r="T363" s="220"/>
      <x:c r="U363" s="220" t="str">
        <x:f>IF(AND(M363="",O363="",Q363="",S363=""),"",IF(S363&lt;&gt;"",S363,IF(Q363&lt;&gt;"",Q363,IF(O363&lt;&gt;"",O363,M363))))</x:f>
      </x:c>
      <x:c r="V363" s="220" t="str">
        <x:f>IF(AND(N363="",P363="",R363="",T363=""),"",IF(T363&lt;&gt;"",T363,IF(R363&lt;&gt;"",R363,IF(P363&lt;&gt;"",P363,N363))))</x:f>
      </x:c>
      <x:c r="W363" s="221"/>
      <x:c r="X363" s="220"/>
      <x:c r="Y363" s="220"/>
      <x:c r="Z363" s="223"/>
      <x:c r="AA363" s="223"/>
      <x:c r="AB363" s="221"/>
      <x:c r="AC363" s="220"/>
      <x:c r="AD363" s="220"/>
      <x:c r="AE363" s="222"/>
      <x:c r="AF363" s="220"/>
      <x:c r="AG363" s="221"/>
      <x:c r="AH363" s="220"/>
      <x:c r="AI363" s="220"/>
      <x:c r="AJ363" s="222"/>
      <x:c r="AK363" s="220"/>
      <x:c r="AL363" s="220"/>
      <x:c r="AM363" s="220"/>
      <x:c r="AN363" s="220"/>
      <x:c r="AO363" s="220"/>
      <x:c r="AP363" s="220"/>
      <x:c r="AQ363" s="220"/>
      <x:c r="AR363" s="222"/>
      <x:c r="AS363" s="220"/>
      <x:c r="AT363" s="220"/>
      <x:c r="AU363" s="220"/>
      <x:c r="AV363" s="220"/>
      <x:c r="AW363" s="220"/>
      <x:c r="AX363" s="220"/>
      <x:c r="AY363" s="221"/>
      <x:c r="AZ363" s="220"/>
      <x:c r="BA363" s="220" t="str">
        <x:f>IF(AND(A363="",B363="",F363="",H363="",J363="",AW363="",AY363=""),"",IF(OR(B363="skip",AW363="skip"),"SKIP",IF(OR(B363="to_candidate",AW363="proposed_name"),IF(OR(A363="",AX363="",AY363="",COUNTIF($A$6:$A$505,A363)&gt;1),"REVIEW","TO_PROPOSED"),IF(OR(B363="",A363="",F363="",H363="",J363="",U363="",AW363="",COUNTIF($A$6:$A$505,A363)&gt;1,(COUNTIFS('أرقام التواصل'!$A$6:$A$505,"client",'أرقام التواصل'!$B$6:$B$505,A363,'أرقام التواصل'!$I$6:$I$505,"TRUE")+COUNTIFS('أرقام التواصل'!$A$6:$A$505,"client",'أرقام التواصل'!$B$6:$B$505,A363,'أرقام التواصل'!$C$6:$C$505,1))=0),"REVIEW","READY"))))</x:f>
      </x:c>
      <x:c r="BB363" s="224" t="str">
        <x:f>IF(BA363="","",IF(OR(BA363="READY",BA363="TO_PROPOSED"),"",IF(BA363="SKIP","Skipped by decision",TRIM(IF(B363="","missing import_action; ","")&amp;IF(A363="","missing migration_customer_key; ","")&amp;IF(AND(A363&lt;&gt;"",COUNTIF($A$6:$A$505,A363)&gt;1),"duplicate migration_customer_key; ","")&amp;IF(AND(NOT(OR(B363="to_candidate",AW363="proposed_name")),F363=""),"missing branch_id; ","")&amp;IF(AND(NOT(OR(B363="to_candidate",AW363="proposed_name")),H363=""),"missing first_name; ","")&amp;IF(AND(NOT(OR(B363="to_candidate",AW363="proposed_name")),J363=""),"missing last_name; ","")&amp;IF(AND(NOT(OR(B363="to_candidate",AW363="proposed_name")),U363=""),"missing final_geo_unit_id; ","")&amp;IF(AW363="","missing final_destination; ","")&amp;IF(AND(NOT(OR(B363="to_candidate",AW363="proposed_name")),(COUNTIFS('أرقام التواصل'!$A$6:$A$505,"client",'أرقام التواصل'!$B$6:$B$505,A363,'أرقام التواصل'!$I$6:$I$505,"TRUE")+COUNTIFS('أرقام التواصل'!$A$6:$A$505,"client",'أرقام التواصل'!$B$6:$B$505,A363,'أرقام التواصل'!$C$6:$C$505,1))=0),"missing primary contact in أرقام التواصل; ","")&amp;IF(OR(B363="to_candidate",AW363="proposed_name"),IF(AX363="","missing proposed_move_reason; ","")&amp;IF(AY363="","missing proposed_name_key; ",""),"")))))</x:f>
      </x:c>
    </x:row>
    <x:row r="364">
      <x:c r="A364" s="219"/>
      <x:c r="B364" s="220"/>
      <x:c r="C364" s="221"/>
      <x:c r="D364" s="220"/>
      <x:c r="E364" s="222"/>
      <x:c r="F364" s="220"/>
      <x:c r="G364" s="220"/>
      <x:c r="H364" s="220"/>
      <x:c r="I364" s="220"/>
      <x:c r="J364" s="220"/>
      <x:c r="K364" s="220"/>
      <x:c r="L364" s="220" t="str">
        <x:f>IF(TRIM(H364&amp;" "&amp;I364&amp;" "&amp;J364&amp;IF(K364&lt;&gt;""," ("&amp;K364&amp;")",""))="","",TRIM(H364&amp;" "&amp;I364&amp;" "&amp;J364&amp;IF(K364&lt;&gt;""," ("&amp;K364&amp;")","")))</x:f>
      </x:c>
      <x:c r="M364" s="220"/>
      <x:c r="N364" s="220"/>
      <x:c r="O364" s="220"/>
      <x:c r="P364" s="220"/>
      <x:c r="Q364" s="220"/>
      <x:c r="R364" s="220"/>
      <x:c r="S364" s="220"/>
      <x:c r="T364" s="220"/>
      <x:c r="U364" s="220" t="str">
        <x:f>IF(AND(M364="",O364="",Q364="",S364=""),"",IF(S364&lt;&gt;"",S364,IF(Q364&lt;&gt;"",Q364,IF(O364&lt;&gt;"",O364,M364))))</x:f>
      </x:c>
      <x:c r="V364" s="220" t="str">
        <x:f>IF(AND(N364="",P364="",R364="",T364=""),"",IF(T364&lt;&gt;"",T364,IF(R364&lt;&gt;"",R364,IF(P364&lt;&gt;"",P364,N364))))</x:f>
      </x:c>
      <x:c r="W364" s="221"/>
      <x:c r="X364" s="220"/>
      <x:c r="Y364" s="220"/>
      <x:c r="Z364" s="223"/>
      <x:c r="AA364" s="223"/>
      <x:c r="AB364" s="221"/>
      <x:c r="AC364" s="220"/>
      <x:c r="AD364" s="220"/>
      <x:c r="AE364" s="222"/>
      <x:c r="AF364" s="220"/>
      <x:c r="AG364" s="221"/>
      <x:c r="AH364" s="220"/>
      <x:c r="AI364" s="220"/>
      <x:c r="AJ364" s="222"/>
      <x:c r="AK364" s="220"/>
      <x:c r="AL364" s="220"/>
      <x:c r="AM364" s="220"/>
      <x:c r="AN364" s="220"/>
      <x:c r="AO364" s="220"/>
      <x:c r="AP364" s="220"/>
      <x:c r="AQ364" s="220"/>
      <x:c r="AR364" s="222"/>
      <x:c r="AS364" s="220"/>
      <x:c r="AT364" s="220"/>
      <x:c r="AU364" s="220"/>
      <x:c r="AV364" s="220"/>
      <x:c r="AW364" s="220"/>
      <x:c r="AX364" s="220"/>
      <x:c r="AY364" s="221"/>
      <x:c r="AZ364" s="220"/>
      <x:c r="BA364" s="220" t="str">
        <x:f>IF(AND(A364="",B364="",F364="",H364="",J364="",AW364="",AY364=""),"",IF(OR(B364="skip",AW364="skip"),"SKIP",IF(OR(B364="to_candidate",AW364="proposed_name"),IF(OR(A364="",AX364="",AY364="",COUNTIF($A$6:$A$505,A364)&gt;1),"REVIEW","TO_PROPOSED"),IF(OR(B364="",A364="",F364="",H364="",J364="",U364="",AW364="",COUNTIF($A$6:$A$505,A364)&gt;1,(COUNTIFS('أرقام التواصل'!$A$6:$A$505,"client",'أرقام التواصل'!$B$6:$B$505,A364,'أرقام التواصل'!$I$6:$I$505,"TRUE")+COUNTIFS('أرقام التواصل'!$A$6:$A$505,"client",'أرقام التواصل'!$B$6:$B$505,A364,'أرقام التواصل'!$C$6:$C$505,1))=0),"REVIEW","READY"))))</x:f>
      </x:c>
      <x:c r="BB364" s="224" t="str">
        <x:f>IF(BA364="","",IF(OR(BA364="READY",BA364="TO_PROPOSED"),"",IF(BA364="SKIP","Skipped by decision",TRIM(IF(B364="","missing import_action; ","")&amp;IF(A364="","missing migration_customer_key; ","")&amp;IF(AND(A364&lt;&gt;"",COUNTIF($A$6:$A$505,A364)&gt;1),"duplicate migration_customer_key; ","")&amp;IF(AND(NOT(OR(B364="to_candidate",AW364="proposed_name")),F364=""),"missing branch_id; ","")&amp;IF(AND(NOT(OR(B364="to_candidate",AW364="proposed_name")),H364=""),"missing first_name; ","")&amp;IF(AND(NOT(OR(B364="to_candidate",AW364="proposed_name")),J364=""),"missing last_name; ","")&amp;IF(AND(NOT(OR(B364="to_candidate",AW364="proposed_name")),U364=""),"missing final_geo_unit_id; ","")&amp;IF(AW364="","missing final_destination; ","")&amp;IF(AND(NOT(OR(B364="to_candidate",AW364="proposed_name")),(COUNTIFS('أرقام التواصل'!$A$6:$A$505,"client",'أرقام التواصل'!$B$6:$B$505,A364,'أرقام التواصل'!$I$6:$I$505,"TRUE")+COUNTIFS('أرقام التواصل'!$A$6:$A$505,"client",'أرقام التواصل'!$B$6:$B$505,A364,'أرقام التواصل'!$C$6:$C$505,1))=0),"missing primary contact in أرقام التواصل; ","")&amp;IF(OR(B364="to_candidate",AW364="proposed_name"),IF(AX364="","missing proposed_move_reason; ","")&amp;IF(AY364="","missing proposed_name_key; ",""),"")))))</x:f>
      </x:c>
    </x:row>
    <x:row r="365">
      <x:c r="A365" s="219"/>
      <x:c r="B365" s="220"/>
      <x:c r="C365" s="221"/>
      <x:c r="D365" s="220"/>
      <x:c r="E365" s="222"/>
      <x:c r="F365" s="220"/>
      <x:c r="G365" s="220"/>
      <x:c r="H365" s="220"/>
      <x:c r="I365" s="220"/>
      <x:c r="J365" s="220"/>
      <x:c r="K365" s="220"/>
      <x:c r="L365" s="220" t="str">
        <x:f>IF(TRIM(H365&amp;" "&amp;I365&amp;" "&amp;J365&amp;IF(K365&lt;&gt;""," ("&amp;K365&amp;")",""))="","",TRIM(H365&amp;" "&amp;I365&amp;" "&amp;J365&amp;IF(K365&lt;&gt;""," ("&amp;K365&amp;")","")))</x:f>
      </x:c>
      <x:c r="M365" s="220"/>
      <x:c r="N365" s="220"/>
      <x:c r="O365" s="220"/>
      <x:c r="P365" s="220"/>
      <x:c r="Q365" s="220"/>
      <x:c r="R365" s="220"/>
      <x:c r="S365" s="220"/>
      <x:c r="T365" s="220"/>
      <x:c r="U365" s="220" t="str">
        <x:f>IF(AND(M365="",O365="",Q365="",S365=""),"",IF(S365&lt;&gt;"",S365,IF(Q365&lt;&gt;"",Q365,IF(O365&lt;&gt;"",O365,M365))))</x:f>
      </x:c>
      <x:c r="V365" s="220" t="str">
        <x:f>IF(AND(N365="",P365="",R365="",T365=""),"",IF(T365&lt;&gt;"",T365,IF(R365&lt;&gt;"",R365,IF(P365&lt;&gt;"",P365,N365))))</x:f>
      </x:c>
      <x:c r="W365" s="221"/>
      <x:c r="X365" s="220"/>
      <x:c r="Y365" s="220"/>
      <x:c r="Z365" s="223"/>
      <x:c r="AA365" s="223"/>
      <x:c r="AB365" s="221"/>
      <x:c r="AC365" s="220"/>
      <x:c r="AD365" s="220"/>
      <x:c r="AE365" s="222"/>
      <x:c r="AF365" s="220"/>
      <x:c r="AG365" s="221"/>
      <x:c r="AH365" s="220"/>
      <x:c r="AI365" s="220"/>
      <x:c r="AJ365" s="222"/>
      <x:c r="AK365" s="220"/>
      <x:c r="AL365" s="220"/>
      <x:c r="AM365" s="220"/>
      <x:c r="AN365" s="220"/>
      <x:c r="AO365" s="220"/>
      <x:c r="AP365" s="220"/>
      <x:c r="AQ365" s="220"/>
      <x:c r="AR365" s="222"/>
      <x:c r="AS365" s="220"/>
      <x:c r="AT365" s="220"/>
      <x:c r="AU365" s="220"/>
      <x:c r="AV365" s="220"/>
      <x:c r="AW365" s="220"/>
      <x:c r="AX365" s="220"/>
      <x:c r="AY365" s="221"/>
      <x:c r="AZ365" s="220"/>
      <x:c r="BA365" s="220" t="str">
        <x:f>IF(AND(A365="",B365="",F365="",H365="",J365="",AW365="",AY365=""),"",IF(OR(B365="skip",AW365="skip"),"SKIP",IF(OR(B365="to_candidate",AW365="proposed_name"),IF(OR(A365="",AX365="",AY365="",COUNTIF($A$6:$A$505,A365)&gt;1),"REVIEW","TO_PROPOSED"),IF(OR(B365="",A365="",F365="",H365="",J365="",U365="",AW365="",COUNTIF($A$6:$A$505,A365)&gt;1,(COUNTIFS('أرقام التواصل'!$A$6:$A$505,"client",'أرقام التواصل'!$B$6:$B$505,A365,'أرقام التواصل'!$I$6:$I$505,"TRUE")+COUNTIFS('أرقام التواصل'!$A$6:$A$505,"client",'أرقام التواصل'!$B$6:$B$505,A365,'أرقام التواصل'!$C$6:$C$505,1))=0),"REVIEW","READY"))))</x:f>
      </x:c>
      <x:c r="BB365" s="224" t="str">
        <x:f>IF(BA365="","",IF(OR(BA365="READY",BA365="TO_PROPOSED"),"",IF(BA365="SKIP","Skipped by decision",TRIM(IF(B365="","missing import_action; ","")&amp;IF(A365="","missing migration_customer_key; ","")&amp;IF(AND(A365&lt;&gt;"",COUNTIF($A$6:$A$505,A365)&gt;1),"duplicate migration_customer_key; ","")&amp;IF(AND(NOT(OR(B365="to_candidate",AW365="proposed_name")),F365=""),"missing branch_id; ","")&amp;IF(AND(NOT(OR(B365="to_candidate",AW365="proposed_name")),H365=""),"missing first_name; ","")&amp;IF(AND(NOT(OR(B365="to_candidate",AW365="proposed_name")),J365=""),"missing last_name; ","")&amp;IF(AND(NOT(OR(B365="to_candidate",AW365="proposed_name")),U365=""),"missing final_geo_unit_id; ","")&amp;IF(AW365="","missing final_destination; ","")&amp;IF(AND(NOT(OR(B365="to_candidate",AW365="proposed_name")),(COUNTIFS('أرقام التواصل'!$A$6:$A$505,"client",'أرقام التواصل'!$B$6:$B$505,A365,'أرقام التواصل'!$I$6:$I$505,"TRUE")+COUNTIFS('أرقام التواصل'!$A$6:$A$505,"client",'أرقام التواصل'!$B$6:$B$505,A365,'أرقام التواصل'!$C$6:$C$505,1))=0),"missing primary contact in أرقام التواصل; ","")&amp;IF(OR(B365="to_candidate",AW365="proposed_name"),IF(AX365="","missing proposed_move_reason; ","")&amp;IF(AY365="","missing proposed_name_key; ",""),"")))))</x:f>
      </x:c>
    </x:row>
    <x:row r="366">
      <x:c r="A366" s="219"/>
      <x:c r="B366" s="220"/>
      <x:c r="C366" s="221"/>
      <x:c r="D366" s="220"/>
      <x:c r="E366" s="222"/>
      <x:c r="F366" s="220"/>
      <x:c r="G366" s="220"/>
      <x:c r="H366" s="220"/>
      <x:c r="I366" s="220"/>
      <x:c r="J366" s="220"/>
      <x:c r="K366" s="220"/>
      <x:c r="L366" s="220" t="str">
        <x:f>IF(TRIM(H366&amp;" "&amp;I366&amp;" "&amp;J366&amp;IF(K366&lt;&gt;""," ("&amp;K366&amp;")",""))="","",TRIM(H366&amp;" "&amp;I366&amp;" "&amp;J366&amp;IF(K366&lt;&gt;""," ("&amp;K366&amp;")","")))</x:f>
      </x:c>
      <x:c r="M366" s="220"/>
      <x:c r="N366" s="220"/>
      <x:c r="O366" s="220"/>
      <x:c r="P366" s="220"/>
      <x:c r="Q366" s="220"/>
      <x:c r="R366" s="220"/>
      <x:c r="S366" s="220"/>
      <x:c r="T366" s="220"/>
      <x:c r="U366" s="220" t="str">
        <x:f>IF(AND(M366="",O366="",Q366="",S366=""),"",IF(S366&lt;&gt;"",S366,IF(Q366&lt;&gt;"",Q366,IF(O366&lt;&gt;"",O366,M366))))</x:f>
      </x:c>
      <x:c r="V366" s="220" t="str">
        <x:f>IF(AND(N366="",P366="",R366="",T366=""),"",IF(T366&lt;&gt;"",T366,IF(R366&lt;&gt;"",R366,IF(P366&lt;&gt;"",P366,N366))))</x:f>
      </x:c>
      <x:c r="W366" s="221"/>
      <x:c r="X366" s="220"/>
      <x:c r="Y366" s="220"/>
      <x:c r="Z366" s="223"/>
      <x:c r="AA366" s="223"/>
      <x:c r="AB366" s="221"/>
      <x:c r="AC366" s="220"/>
      <x:c r="AD366" s="220"/>
      <x:c r="AE366" s="222"/>
      <x:c r="AF366" s="220"/>
      <x:c r="AG366" s="221"/>
      <x:c r="AH366" s="220"/>
      <x:c r="AI366" s="220"/>
      <x:c r="AJ366" s="222"/>
      <x:c r="AK366" s="220"/>
      <x:c r="AL366" s="220"/>
      <x:c r="AM366" s="220"/>
      <x:c r="AN366" s="220"/>
      <x:c r="AO366" s="220"/>
      <x:c r="AP366" s="220"/>
      <x:c r="AQ366" s="220"/>
      <x:c r="AR366" s="222"/>
      <x:c r="AS366" s="220"/>
      <x:c r="AT366" s="220"/>
      <x:c r="AU366" s="220"/>
      <x:c r="AV366" s="220"/>
      <x:c r="AW366" s="220"/>
      <x:c r="AX366" s="220"/>
      <x:c r="AY366" s="221"/>
      <x:c r="AZ366" s="220"/>
      <x:c r="BA366" s="220" t="str">
        <x:f>IF(AND(A366="",B366="",F366="",H366="",J366="",AW366="",AY366=""),"",IF(OR(B366="skip",AW366="skip"),"SKIP",IF(OR(B366="to_candidate",AW366="proposed_name"),IF(OR(A366="",AX366="",AY366="",COUNTIF($A$6:$A$505,A366)&gt;1),"REVIEW","TO_PROPOSED"),IF(OR(B366="",A366="",F366="",H366="",J366="",U366="",AW366="",COUNTIF($A$6:$A$505,A366)&gt;1,(COUNTIFS('أرقام التواصل'!$A$6:$A$505,"client",'أرقام التواصل'!$B$6:$B$505,A366,'أرقام التواصل'!$I$6:$I$505,"TRUE")+COUNTIFS('أرقام التواصل'!$A$6:$A$505,"client",'أرقام التواصل'!$B$6:$B$505,A366,'أرقام التواصل'!$C$6:$C$505,1))=0),"REVIEW","READY"))))</x:f>
      </x:c>
      <x:c r="BB366" s="224" t="str">
        <x:f>IF(BA366="","",IF(OR(BA366="READY",BA366="TO_PROPOSED"),"",IF(BA366="SKIP","Skipped by decision",TRIM(IF(B366="","missing import_action; ","")&amp;IF(A366="","missing migration_customer_key; ","")&amp;IF(AND(A366&lt;&gt;"",COUNTIF($A$6:$A$505,A366)&gt;1),"duplicate migration_customer_key; ","")&amp;IF(AND(NOT(OR(B366="to_candidate",AW366="proposed_name")),F366=""),"missing branch_id; ","")&amp;IF(AND(NOT(OR(B366="to_candidate",AW366="proposed_name")),H366=""),"missing first_name; ","")&amp;IF(AND(NOT(OR(B366="to_candidate",AW366="proposed_name")),J366=""),"missing last_name; ","")&amp;IF(AND(NOT(OR(B366="to_candidate",AW366="proposed_name")),U366=""),"missing final_geo_unit_id; ","")&amp;IF(AW366="","missing final_destination; ","")&amp;IF(AND(NOT(OR(B366="to_candidate",AW366="proposed_name")),(COUNTIFS('أرقام التواصل'!$A$6:$A$505,"client",'أرقام التواصل'!$B$6:$B$505,A366,'أرقام التواصل'!$I$6:$I$505,"TRUE")+COUNTIFS('أرقام التواصل'!$A$6:$A$505,"client",'أرقام التواصل'!$B$6:$B$505,A366,'أرقام التواصل'!$C$6:$C$505,1))=0),"missing primary contact in أرقام التواصل; ","")&amp;IF(OR(B366="to_candidate",AW366="proposed_name"),IF(AX366="","missing proposed_move_reason; ","")&amp;IF(AY366="","missing proposed_name_key; ",""),"")))))</x:f>
      </x:c>
    </x:row>
    <x:row r="367">
      <x:c r="A367" s="219"/>
      <x:c r="B367" s="220"/>
      <x:c r="C367" s="221"/>
      <x:c r="D367" s="220"/>
      <x:c r="E367" s="222"/>
      <x:c r="F367" s="220"/>
      <x:c r="G367" s="220"/>
      <x:c r="H367" s="220"/>
      <x:c r="I367" s="220"/>
      <x:c r="J367" s="220"/>
      <x:c r="K367" s="220"/>
      <x:c r="L367" s="220" t="str">
        <x:f>IF(TRIM(H367&amp;" "&amp;I367&amp;" "&amp;J367&amp;IF(K367&lt;&gt;""," ("&amp;K367&amp;")",""))="","",TRIM(H367&amp;" "&amp;I367&amp;" "&amp;J367&amp;IF(K367&lt;&gt;""," ("&amp;K367&amp;")","")))</x:f>
      </x:c>
      <x:c r="M367" s="220"/>
      <x:c r="N367" s="220"/>
      <x:c r="O367" s="220"/>
      <x:c r="P367" s="220"/>
      <x:c r="Q367" s="220"/>
      <x:c r="R367" s="220"/>
      <x:c r="S367" s="220"/>
      <x:c r="T367" s="220"/>
      <x:c r="U367" s="220" t="str">
        <x:f>IF(AND(M367="",O367="",Q367="",S367=""),"",IF(S367&lt;&gt;"",S367,IF(Q367&lt;&gt;"",Q367,IF(O367&lt;&gt;"",O367,M367))))</x:f>
      </x:c>
      <x:c r="V367" s="220" t="str">
        <x:f>IF(AND(N367="",P367="",R367="",T367=""),"",IF(T367&lt;&gt;"",T367,IF(R367&lt;&gt;"",R367,IF(P367&lt;&gt;"",P367,N367))))</x:f>
      </x:c>
      <x:c r="W367" s="221"/>
      <x:c r="X367" s="220"/>
      <x:c r="Y367" s="220"/>
      <x:c r="Z367" s="223"/>
      <x:c r="AA367" s="223"/>
      <x:c r="AB367" s="221"/>
      <x:c r="AC367" s="220"/>
      <x:c r="AD367" s="220"/>
      <x:c r="AE367" s="222"/>
      <x:c r="AF367" s="220"/>
      <x:c r="AG367" s="221"/>
      <x:c r="AH367" s="220"/>
      <x:c r="AI367" s="220"/>
      <x:c r="AJ367" s="222"/>
      <x:c r="AK367" s="220"/>
      <x:c r="AL367" s="220"/>
      <x:c r="AM367" s="220"/>
      <x:c r="AN367" s="220"/>
      <x:c r="AO367" s="220"/>
      <x:c r="AP367" s="220"/>
      <x:c r="AQ367" s="220"/>
      <x:c r="AR367" s="222"/>
      <x:c r="AS367" s="220"/>
      <x:c r="AT367" s="220"/>
      <x:c r="AU367" s="220"/>
      <x:c r="AV367" s="220"/>
      <x:c r="AW367" s="220"/>
      <x:c r="AX367" s="220"/>
      <x:c r="AY367" s="221"/>
      <x:c r="AZ367" s="220"/>
      <x:c r="BA367" s="220" t="str">
        <x:f>IF(AND(A367="",B367="",F367="",H367="",J367="",AW367="",AY367=""),"",IF(OR(B367="skip",AW367="skip"),"SKIP",IF(OR(B367="to_candidate",AW367="proposed_name"),IF(OR(A367="",AX367="",AY367="",COUNTIF($A$6:$A$505,A367)&gt;1),"REVIEW","TO_PROPOSED"),IF(OR(B367="",A367="",F367="",H367="",J367="",U367="",AW367="",COUNTIF($A$6:$A$505,A367)&gt;1,(COUNTIFS('أرقام التواصل'!$A$6:$A$505,"client",'أرقام التواصل'!$B$6:$B$505,A367,'أرقام التواصل'!$I$6:$I$505,"TRUE")+COUNTIFS('أرقام التواصل'!$A$6:$A$505,"client",'أرقام التواصل'!$B$6:$B$505,A367,'أرقام التواصل'!$C$6:$C$505,1))=0),"REVIEW","READY"))))</x:f>
      </x:c>
      <x:c r="BB367" s="224" t="str">
        <x:f>IF(BA367="","",IF(OR(BA367="READY",BA367="TO_PROPOSED"),"",IF(BA367="SKIP","Skipped by decision",TRIM(IF(B367="","missing import_action; ","")&amp;IF(A367="","missing migration_customer_key; ","")&amp;IF(AND(A367&lt;&gt;"",COUNTIF($A$6:$A$505,A367)&gt;1),"duplicate migration_customer_key; ","")&amp;IF(AND(NOT(OR(B367="to_candidate",AW367="proposed_name")),F367=""),"missing branch_id; ","")&amp;IF(AND(NOT(OR(B367="to_candidate",AW367="proposed_name")),H367=""),"missing first_name; ","")&amp;IF(AND(NOT(OR(B367="to_candidate",AW367="proposed_name")),J367=""),"missing last_name; ","")&amp;IF(AND(NOT(OR(B367="to_candidate",AW367="proposed_name")),U367=""),"missing final_geo_unit_id; ","")&amp;IF(AW367="","missing final_destination; ","")&amp;IF(AND(NOT(OR(B367="to_candidate",AW367="proposed_name")),(COUNTIFS('أرقام التواصل'!$A$6:$A$505,"client",'أرقام التواصل'!$B$6:$B$505,A367,'أرقام التواصل'!$I$6:$I$505,"TRUE")+COUNTIFS('أرقام التواصل'!$A$6:$A$505,"client",'أرقام التواصل'!$B$6:$B$505,A367,'أرقام التواصل'!$C$6:$C$505,1))=0),"missing primary contact in أرقام التواصل; ","")&amp;IF(OR(B367="to_candidate",AW367="proposed_name"),IF(AX367="","missing proposed_move_reason; ","")&amp;IF(AY367="","missing proposed_name_key; ",""),"")))))</x:f>
      </x:c>
    </x:row>
    <x:row r="368">
      <x:c r="A368" s="219"/>
      <x:c r="B368" s="220"/>
      <x:c r="C368" s="221"/>
      <x:c r="D368" s="220"/>
      <x:c r="E368" s="222"/>
      <x:c r="F368" s="220"/>
      <x:c r="G368" s="220"/>
      <x:c r="H368" s="220"/>
      <x:c r="I368" s="220"/>
      <x:c r="J368" s="220"/>
      <x:c r="K368" s="220"/>
      <x:c r="L368" s="220" t="str">
        <x:f>IF(TRIM(H368&amp;" "&amp;I368&amp;" "&amp;J368&amp;IF(K368&lt;&gt;""," ("&amp;K368&amp;")",""))="","",TRIM(H368&amp;" "&amp;I368&amp;" "&amp;J368&amp;IF(K368&lt;&gt;""," ("&amp;K368&amp;")","")))</x:f>
      </x:c>
      <x:c r="M368" s="220"/>
      <x:c r="N368" s="220"/>
      <x:c r="O368" s="220"/>
      <x:c r="P368" s="220"/>
      <x:c r="Q368" s="220"/>
      <x:c r="R368" s="220"/>
      <x:c r="S368" s="220"/>
      <x:c r="T368" s="220"/>
      <x:c r="U368" s="220" t="str">
        <x:f>IF(AND(M368="",O368="",Q368="",S368=""),"",IF(S368&lt;&gt;"",S368,IF(Q368&lt;&gt;"",Q368,IF(O368&lt;&gt;"",O368,M368))))</x:f>
      </x:c>
      <x:c r="V368" s="220" t="str">
        <x:f>IF(AND(N368="",P368="",R368="",T368=""),"",IF(T368&lt;&gt;"",T368,IF(R368&lt;&gt;"",R368,IF(P368&lt;&gt;"",P368,N368))))</x:f>
      </x:c>
      <x:c r="W368" s="221"/>
      <x:c r="X368" s="220"/>
      <x:c r="Y368" s="220"/>
      <x:c r="Z368" s="223"/>
      <x:c r="AA368" s="223"/>
      <x:c r="AB368" s="221"/>
      <x:c r="AC368" s="220"/>
      <x:c r="AD368" s="220"/>
      <x:c r="AE368" s="222"/>
      <x:c r="AF368" s="220"/>
      <x:c r="AG368" s="221"/>
      <x:c r="AH368" s="220"/>
      <x:c r="AI368" s="220"/>
      <x:c r="AJ368" s="222"/>
      <x:c r="AK368" s="220"/>
      <x:c r="AL368" s="220"/>
      <x:c r="AM368" s="220"/>
      <x:c r="AN368" s="220"/>
      <x:c r="AO368" s="220"/>
      <x:c r="AP368" s="220"/>
      <x:c r="AQ368" s="220"/>
      <x:c r="AR368" s="222"/>
      <x:c r="AS368" s="220"/>
      <x:c r="AT368" s="220"/>
      <x:c r="AU368" s="220"/>
      <x:c r="AV368" s="220"/>
      <x:c r="AW368" s="220"/>
      <x:c r="AX368" s="220"/>
      <x:c r="AY368" s="221"/>
      <x:c r="AZ368" s="220"/>
      <x:c r="BA368" s="220" t="str">
        <x:f>IF(AND(A368="",B368="",F368="",H368="",J368="",AW368="",AY368=""),"",IF(OR(B368="skip",AW368="skip"),"SKIP",IF(OR(B368="to_candidate",AW368="proposed_name"),IF(OR(A368="",AX368="",AY368="",COUNTIF($A$6:$A$505,A368)&gt;1),"REVIEW","TO_PROPOSED"),IF(OR(B368="",A368="",F368="",H368="",J368="",U368="",AW368="",COUNTIF($A$6:$A$505,A368)&gt;1,(COUNTIFS('أرقام التواصل'!$A$6:$A$505,"client",'أرقام التواصل'!$B$6:$B$505,A368,'أرقام التواصل'!$I$6:$I$505,"TRUE")+COUNTIFS('أرقام التواصل'!$A$6:$A$505,"client",'أرقام التواصل'!$B$6:$B$505,A368,'أرقام التواصل'!$C$6:$C$505,1))=0),"REVIEW","READY"))))</x:f>
      </x:c>
      <x:c r="BB368" s="224" t="str">
        <x:f>IF(BA368="","",IF(OR(BA368="READY",BA368="TO_PROPOSED"),"",IF(BA368="SKIP","Skipped by decision",TRIM(IF(B368="","missing import_action; ","")&amp;IF(A368="","missing migration_customer_key; ","")&amp;IF(AND(A368&lt;&gt;"",COUNTIF($A$6:$A$505,A368)&gt;1),"duplicate migration_customer_key; ","")&amp;IF(AND(NOT(OR(B368="to_candidate",AW368="proposed_name")),F368=""),"missing branch_id; ","")&amp;IF(AND(NOT(OR(B368="to_candidate",AW368="proposed_name")),H368=""),"missing first_name; ","")&amp;IF(AND(NOT(OR(B368="to_candidate",AW368="proposed_name")),J368=""),"missing last_name; ","")&amp;IF(AND(NOT(OR(B368="to_candidate",AW368="proposed_name")),U368=""),"missing final_geo_unit_id; ","")&amp;IF(AW368="","missing final_destination; ","")&amp;IF(AND(NOT(OR(B368="to_candidate",AW368="proposed_name")),(COUNTIFS('أرقام التواصل'!$A$6:$A$505,"client",'أرقام التواصل'!$B$6:$B$505,A368,'أرقام التواصل'!$I$6:$I$505,"TRUE")+COUNTIFS('أرقام التواصل'!$A$6:$A$505,"client",'أرقام التواصل'!$B$6:$B$505,A368,'أرقام التواصل'!$C$6:$C$505,1))=0),"missing primary contact in أرقام التواصل; ","")&amp;IF(OR(B368="to_candidate",AW368="proposed_name"),IF(AX368="","missing proposed_move_reason; ","")&amp;IF(AY368="","missing proposed_name_key; ",""),"")))))</x:f>
      </x:c>
    </x:row>
    <x:row r="369">
      <x:c r="A369" s="219"/>
      <x:c r="B369" s="220"/>
      <x:c r="C369" s="221"/>
      <x:c r="D369" s="220"/>
      <x:c r="E369" s="222"/>
      <x:c r="F369" s="220"/>
      <x:c r="G369" s="220"/>
      <x:c r="H369" s="220"/>
      <x:c r="I369" s="220"/>
      <x:c r="J369" s="220"/>
      <x:c r="K369" s="220"/>
      <x:c r="L369" s="220" t="str">
        <x:f>IF(TRIM(H369&amp;" "&amp;I369&amp;" "&amp;J369&amp;IF(K369&lt;&gt;""," ("&amp;K369&amp;")",""))="","",TRIM(H369&amp;" "&amp;I369&amp;" "&amp;J369&amp;IF(K369&lt;&gt;""," ("&amp;K369&amp;")","")))</x:f>
      </x:c>
      <x:c r="M369" s="220"/>
      <x:c r="N369" s="220"/>
      <x:c r="O369" s="220"/>
      <x:c r="P369" s="220"/>
      <x:c r="Q369" s="220"/>
      <x:c r="R369" s="220"/>
      <x:c r="S369" s="220"/>
      <x:c r="T369" s="220"/>
      <x:c r="U369" s="220" t="str">
        <x:f>IF(AND(M369="",O369="",Q369="",S369=""),"",IF(S369&lt;&gt;"",S369,IF(Q369&lt;&gt;"",Q369,IF(O369&lt;&gt;"",O369,M369))))</x:f>
      </x:c>
      <x:c r="V369" s="220" t="str">
        <x:f>IF(AND(N369="",P369="",R369="",T369=""),"",IF(T369&lt;&gt;"",T369,IF(R369&lt;&gt;"",R369,IF(P369&lt;&gt;"",P369,N369))))</x:f>
      </x:c>
      <x:c r="W369" s="221"/>
      <x:c r="X369" s="220"/>
      <x:c r="Y369" s="220"/>
      <x:c r="Z369" s="223"/>
      <x:c r="AA369" s="223"/>
      <x:c r="AB369" s="221"/>
      <x:c r="AC369" s="220"/>
      <x:c r="AD369" s="220"/>
      <x:c r="AE369" s="222"/>
      <x:c r="AF369" s="220"/>
      <x:c r="AG369" s="221"/>
      <x:c r="AH369" s="220"/>
      <x:c r="AI369" s="220"/>
      <x:c r="AJ369" s="222"/>
      <x:c r="AK369" s="220"/>
      <x:c r="AL369" s="220"/>
      <x:c r="AM369" s="220"/>
      <x:c r="AN369" s="220"/>
      <x:c r="AO369" s="220"/>
      <x:c r="AP369" s="220"/>
      <x:c r="AQ369" s="220"/>
      <x:c r="AR369" s="222"/>
      <x:c r="AS369" s="220"/>
      <x:c r="AT369" s="220"/>
      <x:c r="AU369" s="220"/>
      <x:c r="AV369" s="220"/>
      <x:c r="AW369" s="220"/>
      <x:c r="AX369" s="220"/>
      <x:c r="AY369" s="221"/>
      <x:c r="AZ369" s="220"/>
      <x:c r="BA369" s="220" t="str">
        <x:f>IF(AND(A369="",B369="",F369="",H369="",J369="",AW369="",AY369=""),"",IF(OR(B369="skip",AW369="skip"),"SKIP",IF(OR(B369="to_candidate",AW369="proposed_name"),IF(OR(A369="",AX369="",AY369="",COUNTIF($A$6:$A$505,A369)&gt;1),"REVIEW","TO_PROPOSED"),IF(OR(B369="",A369="",F369="",H369="",J369="",U369="",AW369="",COUNTIF($A$6:$A$505,A369)&gt;1,(COUNTIFS('أرقام التواصل'!$A$6:$A$505,"client",'أرقام التواصل'!$B$6:$B$505,A369,'أرقام التواصل'!$I$6:$I$505,"TRUE")+COUNTIFS('أرقام التواصل'!$A$6:$A$505,"client",'أرقام التواصل'!$B$6:$B$505,A369,'أرقام التواصل'!$C$6:$C$505,1))=0),"REVIEW","READY"))))</x:f>
      </x:c>
      <x:c r="BB369" s="224" t="str">
        <x:f>IF(BA369="","",IF(OR(BA369="READY",BA369="TO_PROPOSED"),"",IF(BA369="SKIP","Skipped by decision",TRIM(IF(B369="","missing import_action; ","")&amp;IF(A369="","missing migration_customer_key; ","")&amp;IF(AND(A369&lt;&gt;"",COUNTIF($A$6:$A$505,A369)&gt;1),"duplicate migration_customer_key; ","")&amp;IF(AND(NOT(OR(B369="to_candidate",AW369="proposed_name")),F369=""),"missing branch_id; ","")&amp;IF(AND(NOT(OR(B369="to_candidate",AW369="proposed_name")),H369=""),"missing first_name; ","")&amp;IF(AND(NOT(OR(B369="to_candidate",AW369="proposed_name")),J369=""),"missing last_name; ","")&amp;IF(AND(NOT(OR(B369="to_candidate",AW369="proposed_name")),U369=""),"missing final_geo_unit_id; ","")&amp;IF(AW369="","missing final_destination; ","")&amp;IF(AND(NOT(OR(B369="to_candidate",AW369="proposed_name")),(COUNTIFS('أرقام التواصل'!$A$6:$A$505,"client",'أرقام التواصل'!$B$6:$B$505,A369,'أرقام التواصل'!$I$6:$I$505,"TRUE")+COUNTIFS('أرقام التواصل'!$A$6:$A$505,"client",'أرقام التواصل'!$B$6:$B$505,A369,'أرقام التواصل'!$C$6:$C$505,1))=0),"missing primary contact in أرقام التواصل; ","")&amp;IF(OR(B369="to_candidate",AW369="proposed_name"),IF(AX369="","missing proposed_move_reason; ","")&amp;IF(AY369="","missing proposed_name_key; ",""),"")))))</x:f>
      </x:c>
    </x:row>
    <x:row r="370">
      <x:c r="A370" s="219"/>
      <x:c r="B370" s="220"/>
      <x:c r="C370" s="221"/>
      <x:c r="D370" s="220"/>
      <x:c r="E370" s="222"/>
      <x:c r="F370" s="220"/>
      <x:c r="G370" s="220"/>
      <x:c r="H370" s="220"/>
      <x:c r="I370" s="220"/>
      <x:c r="J370" s="220"/>
      <x:c r="K370" s="220"/>
      <x:c r="L370" s="220" t="str">
        <x:f>IF(TRIM(H370&amp;" "&amp;I370&amp;" "&amp;J370&amp;IF(K370&lt;&gt;""," ("&amp;K370&amp;")",""))="","",TRIM(H370&amp;" "&amp;I370&amp;" "&amp;J370&amp;IF(K370&lt;&gt;""," ("&amp;K370&amp;")","")))</x:f>
      </x:c>
      <x:c r="M370" s="220"/>
      <x:c r="N370" s="220"/>
      <x:c r="O370" s="220"/>
      <x:c r="P370" s="220"/>
      <x:c r="Q370" s="220"/>
      <x:c r="R370" s="220"/>
      <x:c r="S370" s="220"/>
      <x:c r="T370" s="220"/>
      <x:c r="U370" s="220" t="str">
        <x:f>IF(AND(M370="",O370="",Q370="",S370=""),"",IF(S370&lt;&gt;"",S370,IF(Q370&lt;&gt;"",Q370,IF(O370&lt;&gt;"",O370,M370))))</x:f>
      </x:c>
      <x:c r="V370" s="220" t="str">
        <x:f>IF(AND(N370="",P370="",R370="",T370=""),"",IF(T370&lt;&gt;"",T370,IF(R370&lt;&gt;"",R370,IF(P370&lt;&gt;"",P370,N370))))</x:f>
      </x:c>
      <x:c r="W370" s="221"/>
      <x:c r="X370" s="220"/>
      <x:c r="Y370" s="220"/>
      <x:c r="Z370" s="223"/>
      <x:c r="AA370" s="223"/>
      <x:c r="AB370" s="221"/>
      <x:c r="AC370" s="220"/>
      <x:c r="AD370" s="220"/>
      <x:c r="AE370" s="222"/>
      <x:c r="AF370" s="220"/>
      <x:c r="AG370" s="221"/>
      <x:c r="AH370" s="220"/>
      <x:c r="AI370" s="220"/>
      <x:c r="AJ370" s="222"/>
      <x:c r="AK370" s="220"/>
      <x:c r="AL370" s="220"/>
      <x:c r="AM370" s="220"/>
      <x:c r="AN370" s="220"/>
      <x:c r="AO370" s="220"/>
      <x:c r="AP370" s="220"/>
      <x:c r="AQ370" s="220"/>
      <x:c r="AR370" s="222"/>
      <x:c r="AS370" s="220"/>
      <x:c r="AT370" s="220"/>
      <x:c r="AU370" s="220"/>
      <x:c r="AV370" s="220"/>
      <x:c r="AW370" s="220"/>
      <x:c r="AX370" s="220"/>
      <x:c r="AY370" s="221"/>
      <x:c r="AZ370" s="220"/>
      <x:c r="BA370" s="220" t="str">
        <x:f>IF(AND(A370="",B370="",F370="",H370="",J370="",AW370="",AY370=""),"",IF(OR(B370="skip",AW370="skip"),"SKIP",IF(OR(B370="to_candidate",AW370="proposed_name"),IF(OR(A370="",AX370="",AY370="",COUNTIF($A$6:$A$505,A370)&gt;1),"REVIEW","TO_PROPOSED"),IF(OR(B370="",A370="",F370="",H370="",J370="",U370="",AW370="",COUNTIF($A$6:$A$505,A370)&gt;1,(COUNTIFS('أرقام التواصل'!$A$6:$A$505,"client",'أرقام التواصل'!$B$6:$B$505,A370,'أرقام التواصل'!$I$6:$I$505,"TRUE")+COUNTIFS('أرقام التواصل'!$A$6:$A$505,"client",'أرقام التواصل'!$B$6:$B$505,A370,'أرقام التواصل'!$C$6:$C$505,1))=0),"REVIEW","READY"))))</x:f>
      </x:c>
      <x:c r="BB370" s="224" t="str">
        <x:f>IF(BA370="","",IF(OR(BA370="READY",BA370="TO_PROPOSED"),"",IF(BA370="SKIP","Skipped by decision",TRIM(IF(B370="","missing import_action; ","")&amp;IF(A370="","missing migration_customer_key; ","")&amp;IF(AND(A370&lt;&gt;"",COUNTIF($A$6:$A$505,A370)&gt;1),"duplicate migration_customer_key; ","")&amp;IF(AND(NOT(OR(B370="to_candidate",AW370="proposed_name")),F370=""),"missing branch_id; ","")&amp;IF(AND(NOT(OR(B370="to_candidate",AW370="proposed_name")),H370=""),"missing first_name; ","")&amp;IF(AND(NOT(OR(B370="to_candidate",AW370="proposed_name")),J370=""),"missing last_name; ","")&amp;IF(AND(NOT(OR(B370="to_candidate",AW370="proposed_name")),U370=""),"missing final_geo_unit_id; ","")&amp;IF(AW370="","missing final_destination; ","")&amp;IF(AND(NOT(OR(B370="to_candidate",AW370="proposed_name")),(COUNTIFS('أرقام التواصل'!$A$6:$A$505,"client",'أرقام التواصل'!$B$6:$B$505,A370,'أرقام التواصل'!$I$6:$I$505,"TRUE")+COUNTIFS('أرقام التواصل'!$A$6:$A$505,"client",'أرقام التواصل'!$B$6:$B$505,A370,'أرقام التواصل'!$C$6:$C$505,1))=0),"missing primary contact in أرقام التواصل; ","")&amp;IF(OR(B370="to_candidate",AW370="proposed_name"),IF(AX370="","missing proposed_move_reason; ","")&amp;IF(AY370="","missing proposed_name_key; ",""),"")))))</x:f>
      </x:c>
    </x:row>
    <x:row r="371">
      <x:c r="A371" s="219"/>
      <x:c r="B371" s="220"/>
      <x:c r="C371" s="221"/>
      <x:c r="D371" s="220"/>
      <x:c r="E371" s="222"/>
      <x:c r="F371" s="220"/>
      <x:c r="G371" s="220"/>
      <x:c r="H371" s="220"/>
      <x:c r="I371" s="220"/>
      <x:c r="J371" s="220"/>
      <x:c r="K371" s="220"/>
      <x:c r="L371" s="220" t="str">
        <x:f>IF(TRIM(H371&amp;" "&amp;I371&amp;" "&amp;J371&amp;IF(K371&lt;&gt;""," ("&amp;K371&amp;")",""))="","",TRIM(H371&amp;" "&amp;I371&amp;" "&amp;J371&amp;IF(K371&lt;&gt;""," ("&amp;K371&amp;")","")))</x:f>
      </x:c>
      <x:c r="M371" s="220"/>
      <x:c r="N371" s="220"/>
      <x:c r="O371" s="220"/>
      <x:c r="P371" s="220"/>
      <x:c r="Q371" s="220"/>
      <x:c r="R371" s="220"/>
      <x:c r="S371" s="220"/>
      <x:c r="T371" s="220"/>
      <x:c r="U371" s="220" t="str">
        <x:f>IF(AND(M371="",O371="",Q371="",S371=""),"",IF(S371&lt;&gt;"",S371,IF(Q371&lt;&gt;"",Q371,IF(O371&lt;&gt;"",O371,M371))))</x:f>
      </x:c>
      <x:c r="V371" s="220" t="str">
        <x:f>IF(AND(N371="",P371="",R371="",T371=""),"",IF(T371&lt;&gt;"",T371,IF(R371&lt;&gt;"",R371,IF(P371&lt;&gt;"",P371,N371))))</x:f>
      </x:c>
      <x:c r="W371" s="221"/>
      <x:c r="X371" s="220"/>
      <x:c r="Y371" s="220"/>
      <x:c r="Z371" s="223"/>
      <x:c r="AA371" s="223"/>
      <x:c r="AB371" s="221"/>
      <x:c r="AC371" s="220"/>
      <x:c r="AD371" s="220"/>
      <x:c r="AE371" s="222"/>
      <x:c r="AF371" s="220"/>
      <x:c r="AG371" s="221"/>
      <x:c r="AH371" s="220"/>
      <x:c r="AI371" s="220"/>
      <x:c r="AJ371" s="222"/>
      <x:c r="AK371" s="220"/>
      <x:c r="AL371" s="220"/>
      <x:c r="AM371" s="220"/>
      <x:c r="AN371" s="220"/>
      <x:c r="AO371" s="220"/>
      <x:c r="AP371" s="220"/>
      <x:c r="AQ371" s="220"/>
      <x:c r="AR371" s="222"/>
      <x:c r="AS371" s="220"/>
      <x:c r="AT371" s="220"/>
      <x:c r="AU371" s="220"/>
      <x:c r="AV371" s="220"/>
      <x:c r="AW371" s="220"/>
      <x:c r="AX371" s="220"/>
      <x:c r="AY371" s="221"/>
      <x:c r="AZ371" s="220"/>
      <x:c r="BA371" s="220" t="str">
        <x:f>IF(AND(A371="",B371="",F371="",H371="",J371="",AW371="",AY371=""),"",IF(OR(B371="skip",AW371="skip"),"SKIP",IF(OR(B371="to_candidate",AW371="proposed_name"),IF(OR(A371="",AX371="",AY371="",COUNTIF($A$6:$A$505,A371)&gt;1),"REVIEW","TO_PROPOSED"),IF(OR(B371="",A371="",F371="",H371="",J371="",U371="",AW371="",COUNTIF($A$6:$A$505,A371)&gt;1,(COUNTIFS('أرقام التواصل'!$A$6:$A$505,"client",'أرقام التواصل'!$B$6:$B$505,A371,'أرقام التواصل'!$I$6:$I$505,"TRUE")+COUNTIFS('أرقام التواصل'!$A$6:$A$505,"client",'أرقام التواصل'!$B$6:$B$505,A371,'أرقام التواصل'!$C$6:$C$505,1))=0),"REVIEW","READY"))))</x:f>
      </x:c>
      <x:c r="BB371" s="224" t="str">
        <x:f>IF(BA371="","",IF(OR(BA371="READY",BA371="TO_PROPOSED"),"",IF(BA371="SKIP","Skipped by decision",TRIM(IF(B371="","missing import_action; ","")&amp;IF(A371="","missing migration_customer_key; ","")&amp;IF(AND(A371&lt;&gt;"",COUNTIF($A$6:$A$505,A371)&gt;1),"duplicate migration_customer_key; ","")&amp;IF(AND(NOT(OR(B371="to_candidate",AW371="proposed_name")),F371=""),"missing branch_id; ","")&amp;IF(AND(NOT(OR(B371="to_candidate",AW371="proposed_name")),H371=""),"missing first_name; ","")&amp;IF(AND(NOT(OR(B371="to_candidate",AW371="proposed_name")),J371=""),"missing last_name; ","")&amp;IF(AND(NOT(OR(B371="to_candidate",AW371="proposed_name")),U371=""),"missing final_geo_unit_id; ","")&amp;IF(AW371="","missing final_destination; ","")&amp;IF(AND(NOT(OR(B371="to_candidate",AW371="proposed_name")),(COUNTIFS('أرقام التواصل'!$A$6:$A$505,"client",'أرقام التواصل'!$B$6:$B$505,A371,'أرقام التواصل'!$I$6:$I$505,"TRUE")+COUNTIFS('أرقام التواصل'!$A$6:$A$505,"client",'أرقام التواصل'!$B$6:$B$505,A371,'أرقام التواصل'!$C$6:$C$505,1))=0),"missing primary contact in أرقام التواصل; ","")&amp;IF(OR(B371="to_candidate",AW371="proposed_name"),IF(AX371="","missing proposed_move_reason; ","")&amp;IF(AY371="","missing proposed_name_key; ",""),"")))))</x:f>
      </x:c>
    </x:row>
    <x:row r="372">
      <x:c r="A372" s="219"/>
      <x:c r="B372" s="220"/>
      <x:c r="C372" s="221"/>
      <x:c r="D372" s="220"/>
      <x:c r="E372" s="222"/>
      <x:c r="F372" s="220"/>
      <x:c r="G372" s="220"/>
      <x:c r="H372" s="220"/>
      <x:c r="I372" s="220"/>
      <x:c r="J372" s="220"/>
      <x:c r="K372" s="220"/>
      <x:c r="L372" s="220" t="str">
        <x:f>IF(TRIM(H372&amp;" "&amp;I372&amp;" "&amp;J372&amp;IF(K372&lt;&gt;""," ("&amp;K372&amp;")",""))="","",TRIM(H372&amp;" "&amp;I372&amp;" "&amp;J372&amp;IF(K372&lt;&gt;""," ("&amp;K372&amp;")","")))</x:f>
      </x:c>
      <x:c r="M372" s="220"/>
      <x:c r="N372" s="220"/>
      <x:c r="O372" s="220"/>
      <x:c r="P372" s="220"/>
      <x:c r="Q372" s="220"/>
      <x:c r="R372" s="220"/>
      <x:c r="S372" s="220"/>
      <x:c r="T372" s="220"/>
      <x:c r="U372" s="220" t="str">
        <x:f>IF(AND(M372="",O372="",Q372="",S372=""),"",IF(S372&lt;&gt;"",S372,IF(Q372&lt;&gt;"",Q372,IF(O372&lt;&gt;"",O372,M372))))</x:f>
      </x:c>
      <x:c r="V372" s="220" t="str">
        <x:f>IF(AND(N372="",P372="",R372="",T372=""),"",IF(T372&lt;&gt;"",T372,IF(R372&lt;&gt;"",R372,IF(P372&lt;&gt;"",P372,N372))))</x:f>
      </x:c>
      <x:c r="W372" s="221"/>
      <x:c r="X372" s="220"/>
      <x:c r="Y372" s="220"/>
      <x:c r="Z372" s="223"/>
      <x:c r="AA372" s="223"/>
      <x:c r="AB372" s="221"/>
      <x:c r="AC372" s="220"/>
      <x:c r="AD372" s="220"/>
      <x:c r="AE372" s="222"/>
      <x:c r="AF372" s="220"/>
      <x:c r="AG372" s="221"/>
      <x:c r="AH372" s="220"/>
      <x:c r="AI372" s="220"/>
      <x:c r="AJ372" s="222"/>
      <x:c r="AK372" s="220"/>
      <x:c r="AL372" s="220"/>
      <x:c r="AM372" s="220"/>
      <x:c r="AN372" s="220"/>
      <x:c r="AO372" s="220"/>
      <x:c r="AP372" s="220"/>
      <x:c r="AQ372" s="220"/>
      <x:c r="AR372" s="222"/>
      <x:c r="AS372" s="220"/>
      <x:c r="AT372" s="220"/>
      <x:c r="AU372" s="220"/>
      <x:c r="AV372" s="220"/>
      <x:c r="AW372" s="220"/>
      <x:c r="AX372" s="220"/>
      <x:c r="AY372" s="221"/>
      <x:c r="AZ372" s="220"/>
      <x:c r="BA372" s="220" t="str">
        <x:f>IF(AND(A372="",B372="",F372="",H372="",J372="",AW372="",AY372=""),"",IF(OR(B372="skip",AW372="skip"),"SKIP",IF(OR(B372="to_candidate",AW372="proposed_name"),IF(OR(A372="",AX372="",AY372="",COUNTIF($A$6:$A$505,A372)&gt;1),"REVIEW","TO_PROPOSED"),IF(OR(B372="",A372="",F372="",H372="",J372="",U372="",AW372="",COUNTIF($A$6:$A$505,A372)&gt;1,(COUNTIFS('أرقام التواصل'!$A$6:$A$505,"client",'أرقام التواصل'!$B$6:$B$505,A372,'أرقام التواصل'!$I$6:$I$505,"TRUE")+COUNTIFS('أرقام التواصل'!$A$6:$A$505,"client",'أرقام التواصل'!$B$6:$B$505,A372,'أرقام التواصل'!$C$6:$C$505,1))=0),"REVIEW","READY"))))</x:f>
      </x:c>
      <x:c r="BB372" s="224" t="str">
        <x:f>IF(BA372="","",IF(OR(BA372="READY",BA372="TO_PROPOSED"),"",IF(BA372="SKIP","Skipped by decision",TRIM(IF(B372="","missing import_action; ","")&amp;IF(A372="","missing migration_customer_key; ","")&amp;IF(AND(A372&lt;&gt;"",COUNTIF($A$6:$A$505,A372)&gt;1),"duplicate migration_customer_key; ","")&amp;IF(AND(NOT(OR(B372="to_candidate",AW372="proposed_name")),F372=""),"missing branch_id; ","")&amp;IF(AND(NOT(OR(B372="to_candidate",AW372="proposed_name")),H372=""),"missing first_name; ","")&amp;IF(AND(NOT(OR(B372="to_candidate",AW372="proposed_name")),J372=""),"missing last_name; ","")&amp;IF(AND(NOT(OR(B372="to_candidate",AW372="proposed_name")),U372=""),"missing final_geo_unit_id; ","")&amp;IF(AW372="","missing final_destination; ","")&amp;IF(AND(NOT(OR(B372="to_candidate",AW372="proposed_name")),(COUNTIFS('أرقام التواصل'!$A$6:$A$505,"client",'أرقام التواصل'!$B$6:$B$505,A372,'أرقام التواصل'!$I$6:$I$505,"TRUE")+COUNTIFS('أرقام التواصل'!$A$6:$A$505,"client",'أرقام التواصل'!$B$6:$B$505,A372,'أرقام التواصل'!$C$6:$C$505,1))=0),"missing primary contact in أرقام التواصل; ","")&amp;IF(OR(B372="to_candidate",AW372="proposed_name"),IF(AX372="","missing proposed_move_reason; ","")&amp;IF(AY372="","missing proposed_name_key; ",""),"")))))</x:f>
      </x:c>
    </x:row>
    <x:row r="373">
      <x:c r="A373" s="219"/>
      <x:c r="B373" s="220"/>
      <x:c r="C373" s="221"/>
      <x:c r="D373" s="220"/>
      <x:c r="E373" s="222"/>
      <x:c r="F373" s="220"/>
      <x:c r="G373" s="220"/>
      <x:c r="H373" s="220"/>
      <x:c r="I373" s="220"/>
      <x:c r="J373" s="220"/>
      <x:c r="K373" s="220"/>
      <x:c r="L373" s="220" t="str">
        <x:f>IF(TRIM(H373&amp;" "&amp;I373&amp;" "&amp;J373&amp;IF(K373&lt;&gt;""," ("&amp;K373&amp;")",""))="","",TRIM(H373&amp;" "&amp;I373&amp;" "&amp;J373&amp;IF(K373&lt;&gt;""," ("&amp;K373&amp;")","")))</x:f>
      </x:c>
      <x:c r="M373" s="220"/>
      <x:c r="N373" s="220"/>
      <x:c r="O373" s="220"/>
      <x:c r="P373" s="220"/>
      <x:c r="Q373" s="220"/>
      <x:c r="R373" s="220"/>
      <x:c r="S373" s="220"/>
      <x:c r="T373" s="220"/>
      <x:c r="U373" s="220" t="str">
        <x:f>IF(AND(M373="",O373="",Q373="",S373=""),"",IF(S373&lt;&gt;"",S373,IF(Q373&lt;&gt;"",Q373,IF(O373&lt;&gt;"",O373,M373))))</x:f>
      </x:c>
      <x:c r="V373" s="220" t="str">
        <x:f>IF(AND(N373="",P373="",R373="",T373=""),"",IF(T373&lt;&gt;"",T373,IF(R373&lt;&gt;"",R373,IF(P373&lt;&gt;"",P373,N373))))</x:f>
      </x:c>
      <x:c r="W373" s="221"/>
      <x:c r="X373" s="220"/>
      <x:c r="Y373" s="220"/>
      <x:c r="Z373" s="223"/>
      <x:c r="AA373" s="223"/>
      <x:c r="AB373" s="221"/>
      <x:c r="AC373" s="220"/>
      <x:c r="AD373" s="220"/>
      <x:c r="AE373" s="222"/>
      <x:c r="AF373" s="220"/>
      <x:c r="AG373" s="221"/>
      <x:c r="AH373" s="220"/>
      <x:c r="AI373" s="220"/>
      <x:c r="AJ373" s="222"/>
      <x:c r="AK373" s="220"/>
      <x:c r="AL373" s="220"/>
      <x:c r="AM373" s="220"/>
      <x:c r="AN373" s="220"/>
      <x:c r="AO373" s="220"/>
      <x:c r="AP373" s="220"/>
      <x:c r="AQ373" s="220"/>
      <x:c r="AR373" s="222"/>
      <x:c r="AS373" s="220"/>
      <x:c r="AT373" s="220"/>
      <x:c r="AU373" s="220"/>
      <x:c r="AV373" s="220"/>
      <x:c r="AW373" s="220"/>
      <x:c r="AX373" s="220"/>
      <x:c r="AY373" s="221"/>
      <x:c r="AZ373" s="220"/>
      <x:c r="BA373" s="220" t="str">
        <x:f>IF(AND(A373="",B373="",F373="",H373="",J373="",AW373="",AY373=""),"",IF(OR(B373="skip",AW373="skip"),"SKIP",IF(OR(B373="to_candidate",AW373="proposed_name"),IF(OR(A373="",AX373="",AY373="",COUNTIF($A$6:$A$505,A373)&gt;1),"REVIEW","TO_PROPOSED"),IF(OR(B373="",A373="",F373="",H373="",J373="",U373="",AW373="",COUNTIF($A$6:$A$505,A373)&gt;1,(COUNTIFS('أرقام التواصل'!$A$6:$A$505,"client",'أرقام التواصل'!$B$6:$B$505,A373,'أرقام التواصل'!$I$6:$I$505,"TRUE")+COUNTIFS('أرقام التواصل'!$A$6:$A$505,"client",'أرقام التواصل'!$B$6:$B$505,A373,'أرقام التواصل'!$C$6:$C$505,1))=0),"REVIEW","READY"))))</x:f>
      </x:c>
      <x:c r="BB373" s="224" t="str">
        <x:f>IF(BA373="","",IF(OR(BA373="READY",BA373="TO_PROPOSED"),"",IF(BA373="SKIP","Skipped by decision",TRIM(IF(B373="","missing import_action; ","")&amp;IF(A373="","missing migration_customer_key; ","")&amp;IF(AND(A373&lt;&gt;"",COUNTIF($A$6:$A$505,A373)&gt;1),"duplicate migration_customer_key; ","")&amp;IF(AND(NOT(OR(B373="to_candidate",AW373="proposed_name")),F373=""),"missing branch_id; ","")&amp;IF(AND(NOT(OR(B373="to_candidate",AW373="proposed_name")),H373=""),"missing first_name; ","")&amp;IF(AND(NOT(OR(B373="to_candidate",AW373="proposed_name")),J373=""),"missing last_name; ","")&amp;IF(AND(NOT(OR(B373="to_candidate",AW373="proposed_name")),U373=""),"missing final_geo_unit_id; ","")&amp;IF(AW373="","missing final_destination; ","")&amp;IF(AND(NOT(OR(B373="to_candidate",AW373="proposed_name")),(COUNTIFS('أرقام التواصل'!$A$6:$A$505,"client",'أرقام التواصل'!$B$6:$B$505,A373,'أرقام التواصل'!$I$6:$I$505,"TRUE")+COUNTIFS('أرقام التواصل'!$A$6:$A$505,"client",'أرقام التواصل'!$B$6:$B$505,A373,'أرقام التواصل'!$C$6:$C$505,1))=0),"missing primary contact in أرقام التواصل; ","")&amp;IF(OR(B373="to_candidate",AW373="proposed_name"),IF(AX373="","missing proposed_move_reason; ","")&amp;IF(AY373="","missing proposed_name_key; ",""),"")))))</x:f>
      </x:c>
    </x:row>
    <x:row r="374">
      <x:c r="A374" s="219"/>
      <x:c r="B374" s="220"/>
      <x:c r="C374" s="221"/>
      <x:c r="D374" s="220"/>
      <x:c r="E374" s="222"/>
      <x:c r="F374" s="220"/>
      <x:c r="G374" s="220"/>
      <x:c r="H374" s="220"/>
      <x:c r="I374" s="220"/>
      <x:c r="J374" s="220"/>
      <x:c r="K374" s="220"/>
      <x:c r="L374" s="220" t="str">
        <x:f>IF(TRIM(H374&amp;" "&amp;I374&amp;" "&amp;J374&amp;IF(K374&lt;&gt;""," ("&amp;K374&amp;")",""))="","",TRIM(H374&amp;" "&amp;I374&amp;" "&amp;J374&amp;IF(K374&lt;&gt;""," ("&amp;K374&amp;")","")))</x:f>
      </x:c>
      <x:c r="M374" s="220"/>
      <x:c r="N374" s="220"/>
      <x:c r="O374" s="220"/>
      <x:c r="P374" s="220"/>
      <x:c r="Q374" s="220"/>
      <x:c r="R374" s="220"/>
      <x:c r="S374" s="220"/>
      <x:c r="T374" s="220"/>
      <x:c r="U374" s="220" t="str">
        <x:f>IF(AND(M374="",O374="",Q374="",S374=""),"",IF(S374&lt;&gt;"",S374,IF(Q374&lt;&gt;"",Q374,IF(O374&lt;&gt;"",O374,M374))))</x:f>
      </x:c>
      <x:c r="V374" s="220" t="str">
        <x:f>IF(AND(N374="",P374="",R374="",T374=""),"",IF(T374&lt;&gt;"",T374,IF(R374&lt;&gt;"",R374,IF(P374&lt;&gt;"",P374,N374))))</x:f>
      </x:c>
      <x:c r="W374" s="221"/>
      <x:c r="X374" s="220"/>
      <x:c r="Y374" s="220"/>
      <x:c r="Z374" s="223"/>
      <x:c r="AA374" s="223"/>
      <x:c r="AB374" s="221"/>
      <x:c r="AC374" s="220"/>
      <x:c r="AD374" s="220"/>
      <x:c r="AE374" s="222"/>
      <x:c r="AF374" s="220"/>
      <x:c r="AG374" s="221"/>
      <x:c r="AH374" s="220"/>
      <x:c r="AI374" s="220"/>
      <x:c r="AJ374" s="222"/>
      <x:c r="AK374" s="220"/>
      <x:c r="AL374" s="220"/>
      <x:c r="AM374" s="220"/>
      <x:c r="AN374" s="220"/>
      <x:c r="AO374" s="220"/>
      <x:c r="AP374" s="220"/>
      <x:c r="AQ374" s="220"/>
      <x:c r="AR374" s="222"/>
      <x:c r="AS374" s="220"/>
      <x:c r="AT374" s="220"/>
      <x:c r="AU374" s="220"/>
      <x:c r="AV374" s="220"/>
      <x:c r="AW374" s="220"/>
      <x:c r="AX374" s="220"/>
      <x:c r="AY374" s="221"/>
      <x:c r="AZ374" s="220"/>
      <x:c r="BA374" s="220" t="str">
        <x:f>IF(AND(A374="",B374="",F374="",H374="",J374="",AW374="",AY374=""),"",IF(OR(B374="skip",AW374="skip"),"SKIP",IF(OR(B374="to_candidate",AW374="proposed_name"),IF(OR(A374="",AX374="",AY374="",COUNTIF($A$6:$A$505,A374)&gt;1),"REVIEW","TO_PROPOSED"),IF(OR(B374="",A374="",F374="",H374="",J374="",U374="",AW374="",COUNTIF($A$6:$A$505,A374)&gt;1,(COUNTIFS('أرقام التواصل'!$A$6:$A$505,"client",'أرقام التواصل'!$B$6:$B$505,A374,'أرقام التواصل'!$I$6:$I$505,"TRUE")+COUNTIFS('أرقام التواصل'!$A$6:$A$505,"client",'أرقام التواصل'!$B$6:$B$505,A374,'أرقام التواصل'!$C$6:$C$505,1))=0),"REVIEW","READY"))))</x:f>
      </x:c>
      <x:c r="BB374" s="224" t="str">
        <x:f>IF(BA374="","",IF(OR(BA374="READY",BA374="TO_PROPOSED"),"",IF(BA374="SKIP","Skipped by decision",TRIM(IF(B374="","missing import_action; ","")&amp;IF(A374="","missing migration_customer_key; ","")&amp;IF(AND(A374&lt;&gt;"",COUNTIF($A$6:$A$505,A374)&gt;1),"duplicate migration_customer_key; ","")&amp;IF(AND(NOT(OR(B374="to_candidate",AW374="proposed_name")),F374=""),"missing branch_id; ","")&amp;IF(AND(NOT(OR(B374="to_candidate",AW374="proposed_name")),H374=""),"missing first_name; ","")&amp;IF(AND(NOT(OR(B374="to_candidate",AW374="proposed_name")),J374=""),"missing last_name; ","")&amp;IF(AND(NOT(OR(B374="to_candidate",AW374="proposed_name")),U374=""),"missing final_geo_unit_id; ","")&amp;IF(AW374="","missing final_destination; ","")&amp;IF(AND(NOT(OR(B374="to_candidate",AW374="proposed_name")),(COUNTIFS('أرقام التواصل'!$A$6:$A$505,"client",'أرقام التواصل'!$B$6:$B$505,A374,'أرقام التواصل'!$I$6:$I$505,"TRUE")+COUNTIFS('أرقام التواصل'!$A$6:$A$505,"client",'أرقام التواصل'!$B$6:$B$505,A374,'أرقام التواصل'!$C$6:$C$505,1))=0),"missing primary contact in أرقام التواصل; ","")&amp;IF(OR(B374="to_candidate",AW374="proposed_name"),IF(AX374="","missing proposed_move_reason; ","")&amp;IF(AY374="","missing proposed_name_key; ",""),"")))))</x:f>
      </x:c>
    </x:row>
    <x:row r="375">
      <x:c r="A375" s="219"/>
      <x:c r="B375" s="220"/>
      <x:c r="C375" s="221"/>
      <x:c r="D375" s="220"/>
      <x:c r="E375" s="222"/>
      <x:c r="F375" s="220"/>
      <x:c r="G375" s="220"/>
      <x:c r="H375" s="220"/>
      <x:c r="I375" s="220"/>
      <x:c r="J375" s="220"/>
      <x:c r="K375" s="220"/>
      <x:c r="L375" s="220" t="str">
        <x:f>IF(TRIM(H375&amp;" "&amp;I375&amp;" "&amp;J375&amp;IF(K375&lt;&gt;""," ("&amp;K375&amp;")",""))="","",TRIM(H375&amp;" "&amp;I375&amp;" "&amp;J375&amp;IF(K375&lt;&gt;""," ("&amp;K375&amp;")","")))</x:f>
      </x:c>
      <x:c r="M375" s="220"/>
      <x:c r="N375" s="220"/>
      <x:c r="O375" s="220"/>
      <x:c r="P375" s="220"/>
      <x:c r="Q375" s="220"/>
      <x:c r="R375" s="220"/>
      <x:c r="S375" s="220"/>
      <x:c r="T375" s="220"/>
      <x:c r="U375" s="220" t="str">
        <x:f>IF(AND(M375="",O375="",Q375="",S375=""),"",IF(S375&lt;&gt;"",S375,IF(Q375&lt;&gt;"",Q375,IF(O375&lt;&gt;"",O375,M375))))</x:f>
      </x:c>
      <x:c r="V375" s="220" t="str">
        <x:f>IF(AND(N375="",P375="",R375="",T375=""),"",IF(T375&lt;&gt;"",T375,IF(R375&lt;&gt;"",R375,IF(P375&lt;&gt;"",P375,N375))))</x:f>
      </x:c>
      <x:c r="W375" s="221"/>
      <x:c r="X375" s="220"/>
      <x:c r="Y375" s="220"/>
      <x:c r="Z375" s="223"/>
      <x:c r="AA375" s="223"/>
      <x:c r="AB375" s="221"/>
      <x:c r="AC375" s="220"/>
      <x:c r="AD375" s="220"/>
      <x:c r="AE375" s="222"/>
      <x:c r="AF375" s="220"/>
      <x:c r="AG375" s="221"/>
      <x:c r="AH375" s="220"/>
      <x:c r="AI375" s="220"/>
      <x:c r="AJ375" s="222"/>
      <x:c r="AK375" s="220"/>
      <x:c r="AL375" s="220"/>
      <x:c r="AM375" s="220"/>
      <x:c r="AN375" s="220"/>
      <x:c r="AO375" s="220"/>
      <x:c r="AP375" s="220"/>
      <x:c r="AQ375" s="220"/>
      <x:c r="AR375" s="222"/>
      <x:c r="AS375" s="220"/>
      <x:c r="AT375" s="220"/>
      <x:c r="AU375" s="220"/>
      <x:c r="AV375" s="220"/>
      <x:c r="AW375" s="220"/>
      <x:c r="AX375" s="220"/>
      <x:c r="AY375" s="221"/>
      <x:c r="AZ375" s="220"/>
      <x:c r="BA375" s="220" t="str">
        <x:f>IF(AND(A375="",B375="",F375="",H375="",J375="",AW375="",AY375=""),"",IF(OR(B375="skip",AW375="skip"),"SKIP",IF(OR(B375="to_candidate",AW375="proposed_name"),IF(OR(A375="",AX375="",AY375="",COUNTIF($A$6:$A$505,A375)&gt;1),"REVIEW","TO_PROPOSED"),IF(OR(B375="",A375="",F375="",H375="",J375="",U375="",AW375="",COUNTIF($A$6:$A$505,A375)&gt;1,(COUNTIFS('أرقام التواصل'!$A$6:$A$505,"client",'أرقام التواصل'!$B$6:$B$505,A375,'أرقام التواصل'!$I$6:$I$505,"TRUE")+COUNTIFS('أرقام التواصل'!$A$6:$A$505,"client",'أرقام التواصل'!$B$6:$B$505,A375,'أرقام التواصل'!$C$6:$C$505,1))=0),"REVIEW","READY"))))</x:f>
      </x:c>
      <x:c r="BB375" s="224" t="str">
        <x:f>IF(BA375="","",IF(OR(BA375="READY",BA375="TO_PROPOSED"),"",IF(BA375="SKIP","Skipped by decision",TRIM(IF(B375="","missing import_action; ","")&amp;IF(A375="","missing migration_customer_key; ","")&amp;IF(AND(A375&lt;&gt;"",COUNTIF($A$6:$A$505,A375)&gt;1),"duplicate migration_customer_key; ","")&amp;IF(AND(NOT(OR(B375="to_candidate",AW375="proposed_name")),F375=""),"missing branch_id; ","")&amp;IF(AND(NOT(OR(B375="to_candidate",AW375="proposed_name")),H375=""),"missing first_name; ","")&amp;IF(AND(NOT(OR(B375="to_candidate",AW375="proposed_name")),J375=""),"missing last_name; ","")&amp;IF(AND(NOT(OR(B375="to_candidate",AW375="proposed_name")),U375=""),"missing final_geo_unit_id; ","")&amp;IF(AW375="","missing final_destination; ","")&amp;IF(AND(NOT(OR(B375="to_candidate",AW375="proposed_name")),(COUNTIFS('أرقام التواصل'!$A$6:$A$505,"client",'أرقام التواصل'!$B$6:$B$505,A375,'أرقام التواصل'!$I$6:$I$505,"TRUE")+COUNTIFS('أرقام التواصل'!$A$6:$A$505,"client",'أرقام التواصل'!$B$6:$B$505,A375,'أرقام التواصل'!$C$6:$C$505,1))=0),"missing primary contact in أرقام التواصل; ","")&amp;IF(OR(B375="to_candidate",AW375="proposed_name"),IF(AX375="","missing proposed_move_reason; ","")&amp;IF(AY375="","missing proposed_name_key; ",""),"")))))</x:f>
      </x:c>
    </x:row>
    <x:row r="376">
      <x:c r="A376" s="219"/>
      <x:c r="B376" s="220"/>
      <x:c r="C376" s="221"/>
      <x:c r="D376" s="220"/>
      <x:c r="E376" s="222"/>
      <x:c r="F376" s="220"/>
      <x:c r="G376" s="220"/>
      <x:c r="H376" s="220"/>
      <x:c r="I376" s="220"/>
      <x:c r="J376" s="220"/>
      <x:c r="K376" s="220"/>
      <x:c r="L376" s="220" t="str">
        <x:f>IF(TRIM(H376&amp;" "&amp;I376&amp;" "&amp;J376&amp;IF(K376&lt;&gt;""," ("&amp;K376&amp;")",""))="","",TRIM(H376&amp;" "&amp;I376&amp;" "&amp;J376&amp;IF(K376&lt;&gt;""," ("&amp;K376&amp;")","")))</x:f>
      </x:c>
      <x:c r="M376" s="220"/>
      <x:c r="N376" s="220"/>
      <x:c r="O376" s="220"/>
      <x:c r="P376" s="220"/>
      <x:c r="Q376" s="220"/>
      <x:c r="R376" s="220"/>
      <x:c r="S376" s="220"/>
      <x:c r="T376" s="220"/>
      <x:c r="U376" s="220" t="str">
        <x:f>IF(AND(M376="",O376="",Q376="",S376=""),"",IF(S376&lt;&gt;"",S376,IF(Q376&lt;&gt;"",Q376,IF(O376&lt;&gt;"",O376,M376))))</x:f>
      </x:c>
      <x:c r="V376" s="220" t="str">
        <x:f>IF(AND(N376="",P376="",R376="",T376=""),"",IF(T376&lt;&gt;"",T376,IF(R376&lt;&gt;"",R376,IF(P376&lt;&gt;"",P376,N376))))</x:f>
      </x:c>
      <x:c r="W376" s="221"/>
      <x:c r="X376" s="220"/>
      <x:c r="Y376" s="220"/>
      <x:c r="Z376" s="223"/>
      <x:c r="AA376" s="223"/>
      <x:c r="AB376" s="221"/>
      <x:c r="AC376" s="220"/>
      <x:c r="AD376" s="220"/>
      <x:c r="AE376" s="222"/>
      <x:c r="AF376" s="220"/>
      <x:c r="AG376" s="221"/>
      <x:c r="AH376" s="220"/>
      <x:c r="AI376" s="220"/>
      <x:c r="AJ376" s="222"/>
      <x:c r="AK376" s="220"/>
      <x:c r="AL376" s="220"/>
      <x:c r="AM376" s="220"/>
      <x:c r="AN376" s="220"/>
      <x:c r="AO376" s="220"/>
      <x:c r="AP376" s="220"/>
      <x:c r="AQ376" s="220"/>
      <x:c r="AR376" s="222"/>
      <x:c r="AS376" s="220"/>
      <x:c r="AT376" s="220"/>
      <x:c r="AU376" s="220"/>
      <x:c r="AV376" s="220"/>
      <x:c r="AW376" s="220"/>
      <x:c r="AX376" s="220"/>
      <x:c r="AY376" s="221"/>
      <x:c r="AZ376" s="220"/>
      <x:c r="BA376" s="220" t="str">
        <x:f>IF(AND(A376="",B376="",F376="",H376="",J376="",AW376="",AY376=""),"",IF(OR(B376="skip",AW376="skip"),"SKIP",IF(OR(B376="to_candidate",AW376="proposed_name"),IF(OR(A376="",AX376="",AY376="",COUNTIF($A$6:$A$505,A376)&gt;1),"REVIEW","TO_PROPOSED"),IF(OR(B376="",A376="",F376="",H376="",J376="",U376="",AW376="",COUNTIF($A$6:$A$505,A376)&gt;1,(COUNTIFS('أرقام التواصل'!$A$6:$A$505,"client",'أرقام التواصل'!$B$6:$B$505,A376,'أرقام التواصل'!$I$6:$I$505,"TRUE")+COUNTIFS('أرقام التواصل'!$A$6:$A$505,"client",'أرقام التواصل'!$B$6:$B$505,A376,'أرقام التواصل'!$C$6:$C$505,1))=0),"REVIEW","READY"))))</x:f>
      </x:c>
      <x:c r="BB376" s="224" t="str">
        <x:f>IF(BA376="","",IF(OR(BA376="READY",BA376="TO_PROPOSED"),"",IF(BA376="SKIP","Skipped by decision",TRIM(IF(B376="","missing import_action; ","")&amp;IF(A376="","missing migration_customer_key; ","")&amp;IF(AND(A376&lt;&gt;"",COUNTIF($A$6:$A$505,A376)&gt;1),"duplicate migration_customer_key; ","")&amp;IF(AND(NOT(OR(B376="to_candidate",AW376="proposed_name")),F376=""),"missing branch_id; ","")&amp;IF(AND(NOT(OR(B376="to_candidate",AW376="proposed_name")),H376=""),"missing first_name; ","")&amp;IF(AND(NOT(OR(B376="to_candidate",AW376="proposed_name")),J376=""),"missing last_name; ","")&amp;IF(AND(NOT(OR(B376="to_candidate",AW376="proposed_name")),U376=""),"missing final_geo_unit_id; ","")&amp;IF(AW376="","missing final_destination; ","")&amp;IF(AND(NOT(OR(B376="to_candidate",AW376="proposed_name")),(COUNTIFS('أرقام التواصل'!$A$6:$A$505,"client",'أرقام التواصل'!$B$6:$B$505,A376,'أرقام التواصل'!$I$6:$I$505,"TRUE")+COUNTIFS('أرقام التواصل'!$A$6:$A$505,"client",'أرقام التواصل'!$B$6:$B$505,A376,'أرقام التواصل'!$C$6:$C$505,1))=0),"missing primary contact in أرقام التواصل; ","")&amp;IF(OR(B376="to_candidate",AW376="proposed_name"),IF(AX376="","missing proposed_move_reason; ","")&amp;IF(AY376="","missing proposed_name_key; ",""),"")))))</x:f>
      </x:c>
    </x:row>
    <x:row r="377">
      <x:c r="A377" s="219"/>
      <x:c r="B377" s="220"/>
      <x:c r="C377" s="221"/>
      <x:c r="D377" s="220"/>
      <x:c r="E377" s="222"/>
      <x:c r="F377" s="220"/>
      <x:c r="G377" s="220"/>
      <x:c r="H377" s="220"/>
      <x:c r="I377" s="220"/>
      <x:c r="J377" s="220"/>
      <x:c r="K377" s="220"/>
      <x:c r="L377" s="220" t="str">
        <x:f>IF(TRIM(H377&amp;" "&amp;I377&amp;" "&amp;J377&amp;IF(K377&lt;&gt;""," ("&amp;K377&amp;")",""))="","",TRIM(H377&amp;" "&amp;I377&amp;" "&amp;J377&amp;IF(K377&lt;&gt;""," ("&amp;K377&amp;")","")))</x:f>
      </x:c>
      <x:c r="M377" s="220"/>
      <x:c r="N377" s="220"/>
      <x:c r="O377" s="220"/>
      <x:c r="P377" s="220"/>
      <x:c r="Q377" s="220"/>
      <x:c r="R377" s="220"/>
      <x:c r="S377" s="220"/>
      <x:c r="T377" s="220"/>
      <x:c r="U377" s="220" t="str">
        <x:f>IF(AND(M377="",O377="",Q377="",S377=""),"",IF(S377&lt;&gt;"",S377,IF(Q377&lt;&gt;"",Q377,IF(O377&lt;&gt;"",O377,M377))))</x:f>
      </x:c>
      <x:c r="V377" s="220" t="str">
        <x:f>IF(AND(N377="",P377="",R377="",T377=""),"",IF(T377&lt;&gt;"",T377,IF(R377&lt;&gt;"",R377,IF(P377&lt;&gt;"",P377,N377))))</x:f>
      </x:c>
      <x:c r="W377" s="221"/>
      <x:c r="X377" s="220"/>
      <x:c r="Y377" s="220"/>
      <x:c r="Z377" s="223"/>
      <x:c r="AA377" s="223"/>
      <x:c r="AB377" s="221"/>
      <x:c r="AC377" s="220"/>
      <x:c r="AD377" s="220"/>
      <x:c r="AE377" s="222"/>
      <x:c r="AF377" s="220"/>
      <x:c r="AG377" s="221"/>
      <x:c r="AH377" s="220"/>
      <x:c r="AI377" s="220"/>
      <x:c r="AJ377" s="222"/>
      <x:c r="AK377" s="220"/>
      <x:c r="AL377" s="220"/>
      <x:c r="AM377" s="220"/>
      <x:c r="AN377" s="220"/>
      <x:c r="AO377" s="220"/>
      <x:c r="AP377" s="220"/>
      <x:c r="AQ377" s="220"/>
      <x:c r="AR377" s="222"/>
      <x:c r="AS377" s="220"/>
      <x:c r="AT377" s="220"/>
      <x:c r="AU377" s="220"/>
      <x:c r="AV377" s="220"/>
      <x:c r="AW377" s="220"/>
      <x:c r="AX377" s="220"/>
      <x:c r="AY377" s="221"/>
      <x:c r="AZ377" s="220"/>
      <x:c r="BA377" s="220" t="str">
        <x:f>IF(AND(A377="",B377="",F377="",H377="",J377="",AW377="",AY377=""),"",IF(OR(B377="skip",AW377="skip"),"SKIP",IF(OR(B377="to_candidate",AW377="proposed_name"),IF(OR(A377="",AX377="",AY377="",COUNTIF($A$6:$A$505,A377)&gt;1),"REVIEW","TO_PROPOSED"),IF(OR(B377="",A377="",F377="",H377="",J377="",U377="",AW377="",COUNTIF($A$6:$A$505,A377)&gt;1,(COUNTIFS('أرقام التواصل'!$A$6:$A$505,"client",'أرقام التواصل'!$B$6:$B$505,A377,'أرقام التواصل'!$I$6:$I$505,"TRUE")+COUNTIFS('أرقام التواصل'!$A$6:$A$505,"client",'أرقام التواصل'!$B$6:$B$505,A377,'أرقام التواصل'!$C$6:$C$505,1))=0),"REVIEW","READY"))))</x:f>
      </x:c>
      <x:c r="BB377" s="224" t="str">
        <x:f>IF(BA377="","",IF(OR(BA377="READY",BA377="TO_PROPOSED"),"",IF(BA377="SKIP","Skipped by decision",TRIM(IF(B377="","missing import_action; ","")&amp;IF(A377="","missing migration_customer_key; ","")&amp;IF(AND(A377&lt;&gt;"",COUNTIF($A$6:$A$505,A377)&gt;1),"duplicate migration_customer_key; ","")&amp;IF(AND(NOT(OR(B377="to_candidate",AW377="proposed_name")),F377=""),"missing branch_id; ","")&amp;IF(AND(NOT(OR(B377="to_candidate",AW377="proposed_name")),H377=""),"missing first_name; ","")&amp;IF(AND(NOT(OR(B377="to_candidate",AW377="proposed_name")),J377=""),"missing last_name; ","")&amp;IF(AND(NOT(OR(B377="to_candidate",AW377="proposed_name")),U377=""),"missing final_geo_unit_id; ","")&amp;IF(AW377="","missing final_destination; ","")&amp;IF(AND(NOT(OR(B377="to_candidate",AW377="proposed_name")),(COUNTIFS('أرقام التواصل'!$A$6:$A$505,"client",'أرقام التواصل'!$B$6:$B$505,A377,'أرقام التواصل'!$I$6:$I$505,"TRUE")+COUNTIFS('أرقام التواصل'!$A$6:$A$505,"client",'أرقام التواصل'!$B$6:$B$505,A377,'أرقام التواصل'!$C$6:$C$505,1))=0),"missing primary contact in أرقام التواصل; ","")&amp;IF(OR(B377="to_candidate",AW377="proposed_name"),IF(AX377="","missing proposed_move_reason; ","")&amp;IF(AY377="","missing proposed_name_key; ",""),"")))))</x:f>
      </x:c>
    </x:row>
    <x:row r="378">
      <x:c r="A378" s="219"/>
      <x:c r="B378" s="220"/>
      <x:c r="C378" s="221"/>
      <x:c r="D378" s="220"/>
      <x:c r="E378" s="222"/>
      <x:c r="F378" s="220"/>
      <x:c r="G378" s="220"/>
      <x:c r="H378" s="220"/>
      <x:c r="I378" s="220"/>
      <x:c r="J378" s="220"/>
      <x:c r="K378" s="220"/>
      <x:c r="L378" s="220" t="str">
        <x:f>IF(TRIM(H378&amp;" "&amp;I378&amp;" "&amp;J378&amp;IF(K378&lt;&gt;""," ("&amp;K378&amp;")",""))="","",TRIM(H378&amp;" "&amp;I378&amp;" "&amp;J378&amp;IF(K378&lt;&gt;""," ("&amp;K378&amp;")","")))</x:f>
      </x:c>
      <x:c r="M378" s="220"/>
      <x:c r="N378" s="220"/>
      <x:c r="O378" s="220"/>
      <x:c r="P378" s="220"/>
      <x:c r="Q378" s="220"/>
      <x:c r="R378" s="220"/>
      <x:c r="S378" s="220"/>
      <x:c r="T378" s="220"/>
      <x:c r="U378" s="220" t="str">
        <x:f>IF(AND(M378="",O378="",Q378="",S378=""),"",IF(S378&lt;&gt;"",S378,IF(Q378&lt;&gt;"",Q378,IF(O378&lt;&gt;"",O378,M378))))</x:f>
      </x:c>
      <x:c r="V378" s="220" t="str">
        <x:f>IF(AND(N378="",P378="",R378="",T378=""),"",IF(T378&lt;&gt;"",T378,IF(R378&lt;&gt;"",R378,IF(P378&lt;&gt;"",P378,N378))))</x:f>
      </x:c>
      <x:c r="W378" s="221"/>
      <x:c r="X378" s="220"/>
      <x:c r="Y378" s="220"/>
      <x:c r="Z378" s="223"/>
      <x:c r="AA378" s="223"/>
      <x:c r="AB378" s="221"/>
      <x:c r="AC378" s="220"/>
      <x:c r="AD378" s="220"/>
      <x:c r="AE378" s="222"/>
      <x:c r="AF378" s="220"/>
      <x:c r="AG378" s="221"/>
      <x:c r="AH378" s="220"/>
      <x:c r="AI378" s="220"/>
      <x:c r="AJ378" s="222"/>
      <x:c r="AK378" s="220"/>
      <x:c r="AL378" s="220"/>
      <x:c r="AM378" s="220"/>
      <x:c r="AN378" s="220"/>
      <x:c r="AO378" s="220"/>
      <x:c r="AP378" s="220"/>
      <x:c r="AQ378" s="220"/>
      <x:c r="AR378" s="222"/>
      <x:c r="AS378" s="220"/>
      <x:c r="AT378" s="220"/>
      <x:c r="AU378" s="220"/>
      <x:c r="AV378" s="220"/>
      <x:c r="AW378" s="220"/>
      <x:c r="AX378" s="220"/>
      <x:c r="AY378" s="221"/>
      <x:c r="AZ378" s="220"/>
      <x:c r="BA378" s="220" t="str">
        <x:f>IF(AND(A378="",B378="",F378="",H378="",J378="",AW378="",AY378=""),"",IF(OR(B378="skip",AW378="skip"),"SKIP",IF(OR(B378="to_candidate",AW378="proposed_name"),IF(OR(A378="",AX378="",AY378="",COUNTIF($A$6:$A$505,A378)&gt;1),"REVIEW","TO_PROPOSED"),IF(OR(B378="",A378="",F378="",H378="",J378="",U378="",AW378="",COUNTIF($A$6:$A$505,A378)&gt;1,(COUNTIFS('أرقام التواصل'!$A$6:$A$505,"client",'أرقام التواصل'!$B$6:$B$505,A378,'أرقام التواصل'!$I$6:$I$505,"TRUE")+COUNTIFS('أرقام التواصل'!$A$6:$A$505,"client",'أرقام التواصل'!$B$6:$B$505,A378,'أرقام التواصل'!$C$6:$C$505,1))=0),"REVIEW","READY"))))</x:f>
      </x:c>
      <x:c r="BB378" s="224" t="str">
        <x:f>IF(BA378="","",IF(OR(BA378="READY",BA378="TO_PROPOSED"),"",IF(BA378="SKIP","Skipped by decision",TRIM(IF(B378="","missing import_action; ","")&amp;IF(A378="","missing migration_customer_key; ","")&amp;IF(AND(A378&lt;&gt;"",COUNTIF($A$6:$A$505,A378)&gt;1),"duplicate migration_customer_key; ","")&amp;IF(AND(NOT(OR(B378="to_candidate",AW378="proposed_name")),F378=""),"missing branch_id; ","")&amp;IF(AND(NOT(OR(B378="to_candidate",AW378="proposed_name")),H378=""),"missing first_name; ","")&amp;IF(AND(NOT(OR(B378="to_candidate",AW378="proposed_name")),J378=""),"missing last_name; ","")&amp;IF(AND(NOT(OR(B378="to_candidate",AW378="proposed_name")),U378=""),"missing final_geo_unit_id; ","")&amp;IF(AW378="","missing final_destination; ","")&amp;IF(AND(NOT(OR(B378="to_candidate",AW378="proposed_name")),(COUNTIFS('أرقام التواصل'!$A$6:$A$505,"client",'أرقام التواصل'!$B$6:$B$505,A378,'أرقام التواصل'!$I$6:$I$505,"TRUE")+COUNTIFS('أرقام التواصل'!$A$6:$A$505,"client",'أرقام التواصل'!$B$6:$B$505,A378,'أرقام التواصل'!$C$6:$C$505,1))=0),"missing primary contact in أرقام التواصل; ","")&amp;IF(OR(B378="to_candidate",AW378="proposed_name"),IF(AX378="","missing proposed_move_reason; ","")&amp;IF(AY378="","missing proposed_name_key; ",""),"")))))</x:f>
      </x:c>
    </x:row>
    <x:row r="379">
      <x:c r="A379" s="219"/>
      <x:c r="B379" s="220"/>
      <x:c r="C379" s="221"/>
      <x:c r="D379" s="220"/>
      <x:c r="E379" s="222"/>
      <x:c r="F379" s="220"/>
      <x:c r="G379" s="220"/>
      <x:c r="H379" s="220"/>
      <x:c r="I379" s="220"/>
      <x:c r="J379" s="220"/>
      <x:c r="K379" s="220"/>
      <x:c r="L379" s="220" t="str">
        <x:f>IF(TRIM(H379&amp;" "&amp;I379&amp;" "&amp;J379&amp;IF(K379&lt;&gt;""," ("&amp;K379&amp;")",""))="","",TRIM(H379&amp;" "&amp;I379&amp;" "&amp;J379&amp;IF(K379&lt;&gt;""," ("&amp;K379&amp;")","")))</x:f>
      </x:c>
      <x:c r="M379" s="220"/>
      <x:c r="N379" s="220"/>
      <x:c r="O379" s="220"/>
      <x:c r="P379" s="220"/>
      <x:c r="Q379" s="220"/>
      <x:c r="R379" s="220"/>
      <x:c r="S379" s="220"/>
      <x:c r="T379" s="220"/>
      <x:c r="U379" s="220" t="str">
        <x:f>IF(AND(M379="",O379="",Q379="",S379=""),"",IF(S379&lt;&gt;"",S379,IF(Q379&lt;&gt;"",Q379,IF(O379&lt;&gt;"",O379,M379))))</x:f>
      </x:c>
      <x:c r="V379" s="220" t="str">
        <x:f>IF(AND(N379="",P379="",R379="",T379=""),"",IF(T379&lt;&gt;"",T379,IF(R379&lt;&gt;"",R379,IF(P379&lt;&gt;"",P379,N379))))</x:f>
      </x:c>
      <x:c r="W379" s="221"/>
      <x:c r="X379" s="220"/>
      <x:c r="Y379" s="220"/>
      <x:c r="Z379" s="223"/>
      <x:c r="AA379" s="223"/>
      <x:c r="AB379" s="221"/>
      <x:c r="AC379" s="220"/>
      <x:c r="AD379" s="220"/>
      <x:c r="AE379" s="222"/>
      <x:c r="AF379" s="220"/>
      <x:c r="AG379" s="221"/>
      <x:c r="AH379" s="220"/>
      <x:c r="AI379" s="220"/>
      <x:c r="AJ379" s="222"/>
      <x:c r="AK379" s="220"/>
      <x:c r="AL379" s="220"/>
      <x:c r="AM379" s="220"/>
      <x:c r="AN379" s="220"/>
      <x:c r="AO379" s="220"/>
      <x:c r="AP379" s="220"/>
      <x:c r="AQ379" s="220"/>
      <x:c r="AR379" s="222"/>
      <x:c r="AS379" s="220"/>
      <x:c r="AT379" s="220"/>
      <x:c r="AU379" s="220"/>
      <x:c r="AV379" s="220"/>
      <x:c r="AW379" s="220"/>
      <x:c r="AX379" s="220"/>
      <x:c r="AY379" s="221"/>
      <x:c r="AZ379" s="220"/>
      <x:c r="BA379" s="220" t="str">
        <x:f>IF(AND(A379="",B379="",F379="",H379="",J379="",AW379="",AY379=""),"",IF(OR(B379="skip",AW379="skip"),"SKIP",IF(OR(B379="to_candidate",AW379="proposed_name"),IF(OR(A379="",AX379="",AY379="",COUNTIF($A$6:$A$505,A379)&gt;1),"REVIEW","TO_PROPOSED"),IF(OR(B379="",A379="",F379="",H379="",J379="",U379="",AW379="",COUNTIF($A$6:$A$505,A379)&gt;1,(COUNTIFS('أرقام التواصل'!$A$6:$A$505,"client",'أرقام التواصل'!$B$6:$B$505,A379,'أرقام التواصل'!$I$6:$I$505,"TRUE")+COUNTIFS('أرقام التواصل'!$A$6:$A$505,"client",'أرقام التواصل'!$B$6:$B$505,A379,'أرقام التواصل'!$C$6:$C$505,1))=0),"REVIEW","READY"))))</x:f>
      </x:c>
      <x:c r="BB379" s="224" t="str">
        <x:f>IF(BA379="","",IF(OR(BA379="READY",BA379="TO_PROPOSED"),"",IF(BA379="SKIP","Skipped by decision",TRIM(IF(B379="","missing import_action; ","")&amp;IF(A379="","missing migration_customer_key; ","")&amp;IF(AND(A379&lt;&gt;"",COUNTIF($A$6:$A$505,A379)&gt;1),"duplicate migration_customer_key; ","")&amp;IF(AND(NOT(OR(B379="to_candidate",AW379="proposed_name")),F379=""),"missing branch_id; ","")&amp;IF(AND(NOT(OR(B379="to_candidate",AW379="proposed_name")),H379=""),"missing first_name; ","")&amp;IF(AND(NOT(OR(B379="to_candidate",AW379="proposed_name")),J379=""),"missing last_name; ","")&amp;IF(AND(NOT(OR(B379="to_candidate",AW379="proposed_name")),U379=""),"missing final_geo_unit_id; ","")&amp;IF(AW379="","missing final_destination; ","")&amp;IF(AND(NOT(OR(B379="to_candidate",AW379="proposed_name")),(COUNTIFS('أرقام التواصل'!$A$6:$A$505,"client",'أرقام التواصل'!$B$6:$B$505,A379,'أرقام التواصل'!$I$6:$I$505,"TRUE")+COUNTIFS('أرقام التواصل'!$A$6:$A$505,"client",'أرقام التواصل'!$B$6:$B$505,A379,'أرقام التواصل'!$C$6:$C$505,1))=0),"missing primary contact in أرقام التواصل; ","")&amp;IF(OR(B379="to_candidate",AW379="proposed_name"),IF(AX379="","missing proposed_move_reason; ","")&amp;IF(AY379="","missing proposed_name_key; ",""),"")))))</x:f>
      </x:c>
    </x:row>
    <x:row r="380">
      <x:c r="A380" s="219"/>
      <x:c r="B380" s="220"/>
      <x:c r="C380" s="221"/>
      <x:c r="D380" s="220"/>
      <x:c r="E380" s="222"/>
      <x:c r="F380" s="220"/>
      <x:c r="G380" s="220"/>
      <x:c r="H380" s="220"/>
      <x:c r="I380" s="220"/>
      <x:c r="J380" s="220"/>
      <x:c r="K380" s="220"/>
      <x:c r="L380" s="220" t="str">
        <x:f>IF(TRIM(H380&amp;" "&amp;I380&amp;" "&amp;J380&amp;IF(K380&lt;&gt;""," ("&amp;K380&amp;")",""))="","",TRIM(H380&amp;" "&amp;I380&amp;" "&amp;J380&amp;IF(K380&lt;&gt;""," ("&amp;K380&amp;")","")))</x:f>
      </x:c>
      <x:c r="M380" s="220"/>
      <x:c r="N380" s="220"/>
      <x:c r="O380" s="220"/>
      <x:c r="P380" s="220"/>
      <x:c r="Q380" s="220"/>
      <x:c r="R380" s="220"/>
      <x:c r="S380" s="220"/>
      <x:c r="T380" s="220"/>
      <x:c r="U380" s="220" t="str">
        <x:f>IF(AND(M380="",O380="",Q380="",S380=""),"",IF(S380&lt;&gt;"",S380,IF(Q380&lt;&gt;"",Q380,IF(O380&lt;&gt;"",O380,M380))))</x:f>
      </x:c>
      <x:c r="V380" s="220" t="str">
        <x:f>IF(AND(N380="",P380="",R380="",T380=""),"",IF(T380&lt;&gt;"",T380,IF(R380&lt;&gt;"",R380,IF(P380&lt;&gt;"",P380,N380))))</x:f>
      </x:c>
      <x:c r="W380" s="221"/>
      <x:c r="X380" s="220"/>
      <x:c r="Y380" s="220"/>
      <x:c r="Z380" s="223"/>
      <x:c r="AA380" s="223"/>
      <x:c r="AB380" s="221"/>
      <x:c r="AC380" s="220"/>
      <x:c r="AD380" s="220"/>
      <x:c r="AE380" s="222"/>
      <x:c r="AF380" s="220"/>
      <x:c r="AG380" s="221"/>
      <x:c r="AH380" s="220"/>
      <x:c r="AI380" s="220"/>
      <x:c r="AJ380" s="222"/>
      <x:c r="AK380" s="220"/>
      <x:c r="AL380" s="220"/>
      <x:c r="AM380" s="220"/>
      <x:c r="AN380" s="220"/>
      <x:c r="AO380" s="220"/>
      <x:c r="AP380" s="220"/>
      <x:c r="AQ380" s="220"/>
      <x:c r="AR380" s="222"/>
      <x:c r="AS380" s="220"/>
      <x:c r="AT380" s="220"/>
      <x:c r="AU380" s="220"/>
      <x:c r="AV380" s="220"/>
      <x:c r="AW380" s="220"/>
      <x:c r="AX380" s="220"/>
      <x:c r="AY380" s="221"/>
      <x:c r="AZ380" s="220"/>
      <x:c r="BA380" s="220" t="str">
        <x:f>IF(AND(A380="",B380="",F380="",H380="",J380="",AW380="",AY380=""),"",IF(OR(B380="skip",AW380="skip"),"SKIP",IF(OR(B380="to_candidate",AW380="proposed_name"),IF(OR(A380="",AX380="",AY380="",COUNTIF($A$6:$A$505,A380)&gt;1),"REVIEW","TO_PROPOSED"),IF(OR(B380="",A380="",F380="",H380="",J380="",U380="",AW380="",COUNTIF($A$6:$A$505,A380)&gt;1,(COUNTIFS('أرقام التواصل'!$A$6:$A$505,"client",'أرقام التواصل'!$B$6:$B$505,A380,'أرقام التواصل'!$I$6:$I$505,"TRUE")+COUNTIFS('أرقام التواصل'!$A$6:$A$505,"client",'أرقام التواصل'!$B$6:$B$505,A380,'أرقام التواصل'!$C$6:$C$505,1))=0),"REVIEW","READY"))))</x:f>
      </x:c>
      <x:c r="BB380" s="224" t="str">
        <x:f>IF(BA380="","",IF(OR(BA380="READY",BA380="TO_PROPOSED"),"",IF(BA380="SKIP","Skipped by decision",TRIM(IF(B380="","missing import_action; ","")&amp;IF(A380="","missing migration_customer_key; ","")&amp;IF(AND(A380&lt;&gt;"",COUNTIF($A$6:$A$505,A380)&gt;1),"duplicate migration_customer_key; ","")&amp;IF(AND(NOT(OR(B380="to_candidate",AW380="proposed_name")),F380=""),"missing branch_id; ","")&amp;IF(AND(NOT(OR(B380="to_candidate",AW380="proposed_name")),H380=""),"missing first_name; ","")&amp;IF(AND(NOT(OR(B380="to_candidate",AW380="proposed_name")),J380=""),"missing last_name; ","")&amp;IF(AND(NOT(OR(B380="to_candidate",AW380="proposed_name")),U380=""),"missing final_geo_unit_id; ","")&amp;IF(AW380="","missing final_destination; ","")&amp;IF(AND(NOT(OR(B380="to_candidate",AW380="proposed_name")),(COUNTIFS('أرقام التواصل'!$A$6:$A$505,"client",'أرقام التواصل'!$B$6:$B$505,A380,'أرقام التواصل'!$I$6:$I$505,"TRUE")+COUNTIFS('أرقام التواصل'!$A$6:$A$505,"client",'أرقام التواصل'!$B$6:$B$505,A380,'أرقام التواصل'!$C$6:$C$505,1))=0),"missing primary contact in أرقام التواصل; ","")&amp;IF(OR(B380="to_candidate",AW380="proposed_name"),IF(AX380="","missing proposed_move_reason; ","")&amp;IF(AY380="","missing proposed_name_key; ",""),"")))))</x:f>
      </x:c>
    </x:row>
    <x:row r="381">
      <x:c r="A381" s="219"/>
      <x:c r="B381" s="220"/>
      <x:c r="C381" s="221"/>
      <x:c r="D381" s="220"/>
      <x:c r="E381" s="222"/>
      <x:c r="F381" s="220"/>
      <x:c r="G381" s="220"/>
      <x:c r="H381" s="220"/>
      <x:c r="I381" s="220"/>
      <x:c r="J381" s="220"/>
      <x:c r="K381" s="220"/>
      <x:c r="L381" s="220" t="str">
        <x:f>IF(TRIM(H381&amp;" "&amp;I381&amp;" "&amp;J381&amp;IF(K381&lt;&gt;""," ("&amp;K381&amp;")",""))="","",TRIM(H381&amp;" "&amp;I381&amp;" "&amp;J381&amp;IF(K381&lt;&gt;""," ("&amp;K381&amp;")","")))</x:f>
      </x:c>
      <x:c r="M381" s="220"/>
      <x:c r="N381" s="220"/>
      <x:c r="O381" s="220"/>
      <x:c r="P381" s="220"/>
      <x:c r="Q381" s="220"/>
      <x:c r="R381" s="220"/>
      <x:c r="S381" s="220"/>
      <x:c r="T381" s="220"/>
      <x:c r="U381" s="220" t="str">
        <x:f>IF(AND(M381="",O381="",Q381="",S381=""),"",IF(S381&lt;&gt;"",S381,IF(Q381&lt;&gt;"",Q381,IF(O381&lt;&gt;"",O381,M381))))</x:f>
      </x:c>
      <x:c r="V381" s="220" t="str">
        <x:f>IF(AND(N381="",P381="",R381="",T381=""),"",IF(T381&lt;&gt;"",T381,IF(R381&lt;&gt;"",R381,IF(P381&lt;&gt;"",P381,N381))))</x:f>
      </x:c>
      <x:c r="W381" s="221"/>
      <x:c r="X381" s="220"/>
      <x:c r="Y381" s="220"/>
      <x:c r="Z381" s="223"/>
      <x:c r="AA381" s="223"/>
      <x:c r="AB381" s="221"/>
      <x:c r="AC381" s="220"/>
      <x:c r="AD381" s="220"/>
      <x:c r="AE381" s="222"/>
      <x:c r="AF381" s="220"/>
      <x:c r="AG381" s="221"/>
      <x:c r="AH381" s="220"/>
      <x:c r="AI381" s="220"/>
      <x:c r="AJ381" s="222"/>
      <x:c r="AK381" s="220"/>
      <x:c r="AL381" s="220"/>
      <x:c r="AM381" s="220"/>
      <x:c r="AN381" s="220"/>
      <x:c r="AO381" s="220"/>
      <x:c r="AP381" s="220"/>
      <x:c r="AQ381" s="220"/>
      <x:c r="AR381" s="222"/>
      <x:c r="AS381" s="220"/>
      <x:c r="AT381" s="220"/>
      <x:c r="AU381" s="220"/>
      <x:c r="AV381" s="220"/>
      <x:c r="AW381" s="220"/>
      <x:c r="AX381" s="220"/>
      <x:c r="AY381" s="221"/>
      <x:c r="AZ381" s="220"/>
      <x:c r="BA381" s="220" t="str">
        <x:f>IF(AND(A381="",B381="",F381="",H381="",J381="",AW381="",AY381=""),"",IF(OR(B381="skip",AW381="skip"),"SKIP",IF(OR(B381="to_candidate",AW381="proposed_name"),IF(OR(A381="",AX381="",AY381="",COUNTIF($A$6:$A$505,A381)&gt;1),"REVIEW","TO_PROPOSED"),IF(OR(B381="",A381="",F381="",H381="",J381="",U381="",AW381="",COUNTIF($A$6:$A$505,A381)&gt;1,(COUNTIFS('أرقام التواصل'!$A$6:$A$505,"client",'أرقام التواصل'!$B$6:$B$505,A381,'أرقام التواصل'!$I$6:$I$505,"TRUE")+COUNTIFS('أرقام التواصل'!$A$6:$A$505,"client",'أرقام التواصل'!$B$6:$B$505,A381,'أرقام التواصل'!$C$6:$C$505,1))=0),"REVIEW","READY"))))</x:f>
      </x:c>
      <x:c r="BB381" s="224" t="str">
        <x:f>IF(BA381="","",IF(OR(BA381="READY",BA381="TO_PROPOSED"),"",IF(BA381="SKIP","Skipped by decision",TRIM(IF(B381="","missing import_action; ","")&amp;IF(A381="","missing migration_customer_key; ","")&amp;IF(AND(A381&lt;&gt;"",COUNTIF($A$6:$A$505,A381)&gt;1),"duplicate migration_customer_key; ","")&amp;IF(AND(NOT(OR(B381="to_candidate",AW381="proposed_name")),F381=""),"missing branch_id; ","")&amp;IF(AND(NOT(OR(B381="to_candidate",AW381="proposed_name")),H381=""),"missing first_name; ","")&amp;IF(AND(NOT(OR(B381="to_candidate",AW381="proposed_name")),J381=""),"missing last_name; ","")&amp;IF(AND(NOT(OR(B381="to_candidate",AW381="proposed_name")),U381=""),"missing final_geo_unit_id; ","")&amp;IF(AW381="","missing final_destination; ","")&amp;IF(AND(NOT(OR(B381="to_candidate",AW381="proposed_name")),(COUNTIFS('أرقام التواصل'!$A$6:$A$505,"client",'أرقام التواصل'!$B$6:$B$505,A381,'أرقام التواصل'!$I$6:$I$505,"TRUE")+COUNTIFS('أرقام التواصل'!$A$6:$A$505,"client",'أرقام التواصل'!$B$6:$B$505,A381,'أرقام التواصل'!$C$6:$C$505,1))=0),"missing primary contact in أرقام التواصل; ","")&amp;IF(OR(B381="to_candidate",AW381="proposed_name"),IF(AX381="","missing proposed_move_reason; ","")&amp;IF(AY381="","missing proposed_name_key; ",""),"")))))</x:f>
      </x:c>
    </x:row>
    <x:row r="382">
      <x:c r="A382" s="219"/>
      <x:c r="B382" s="220"/>
      <x:c r="C382" s="221"/>
      <x:c r="D382" s="220"/>
      <x:c r="E382" s="222"/>
      <x:c r="F382" s="220"/>
      <x:c r="G382" s="220"/>
      <x:c r="H382" s="220"/>
      <x:c r="I382" s="220"/>
      <x:c r="J382" s="220"/>
      <x:c r="K382" s="220"/>
      <x:c r="L382" s="220" t="str">
        <x:f>IF(TRIM(H382&amp;" "&amp;I382&amp;" "&amp;J382&amp;IF(K382&lt;&gt;""," ("&amp;K382&amp;")",""))="","",TRIM(H382&amp;" "&amp;I382&amp;" "&amp;J382&amp;IF(K382&lt;&gt;""," ("&amp;K382&amp;")","")))</x:f>
      </x:c>
      <x:c r="M382" s="220"/>
      <x:c r="N382" s="220"/>
      <x:c r="O382" s="220"/>
      <x:c r="P382" s="220"/>
      <x:c r="Q382" s="220"/>
      <x:c r="R382" s="220"/>
      <x:c r="S382" s="220"/>
      <x:c r="T382" s="220"/>
      <x:c r="U382" s="220" t="str">
        <x:f>IF(AND(M382="",O382="",Q382="",S382=""),"",IF(S382&lt;&gt;"",S382,IF(Q382&lt;&gt;"",Q382,IF(O382&lt;&gt;"",O382,M382))))</x:f>
      </x:c>
      <x:c r="V382" s="220" t="str">
        <x:f>IF(AND(N382="",P382="",R382="",T382=""),"",IF(T382&lt;&gt;"",T382,IF(R382&lt;&gt;"",R382,IF(P382&lt;&gt;"",P382,N382))))</x:f>
      </x:c>
      <x:c r="W382" s="221"/>
      <x:c r="X382" s="220"/>
      <x:c r="Y382" s="220"/>
      <x:c r="Z382" s="223"/>
      <x:c r="AA382" s="223"/>
      <x:c r="AB382" s="221"/>
      <x:c r="AC382" s="220"/>
      <x:c r="AD382" s="220"/>
      <x:c r="AE382" s="222"/>
      <x:c r="AF382" s="220"/>
      <x:c r="AG382" s="221"/>
      <x:c r="AH382" s="220"/>
      <x:c r="AI382" s="220"/>
      <x:c r="AJ382" s="222"/>
      <x:c r="AK382" s="220"/>
      <x:c r="AL382" s="220"/>
      <x:c r="AM382" s="220"/>
      <x:c r="AN382" s="220"/>
      <x:c r="AO382" s="220"/>
      <x:c r="AP382" s="220"/>
      <x:c r="AQ382" s="220"/>
      <x:c r="AR382" s="222"/>
      <x:c r="AS382" s="220"/>
      <x:c r="AT382" s="220"/>
      <x:c r="AU382" s="220"/>
      <x:c r="AV382" s="220"/>
      <x:c r="AW382" s="220"/>
      <x:c r="AX382" s="220"/>
      <x:c r="AY382" s="221"/>
      <x:c r="AZ382" s="220"/>
      <x:c r="BA382" s="220" t="str">
        <x:f>IF(AND(A382="",B382="",F382="",H382="",J382="",AW382="",AY382=""),"",IF(OR(B382="skip",AW382="skip"),"SKIP",IF(OR(B382="to_candidate",AW382="proposed_name"),IF(OR(A382="",AX382="",AY382="",COUNTIF($A$6:$A$505,A382)&gt;1),"REVIEW","TO_PROPOSED"),IF(OR(B382="",A382="",F382="",H382="",J382="",U382="",AW382="",COUNTIF($A$6:$A$505,A382)&gt;1,(COUNTIFS('أرقام التواصل'!$A$6:$A$505,"client",'أرقام التواصل'!$B$6:$B$505,A382,'أرقام التواصل'!$I$6:$I$505,"TRUE")+COUNTIFS('أرقام التواصل'!$A$6:$A$505,"client",'أرقام التواصل'!$B$6:$B$505,A382,'أرقام التواصل'!$C$6:$C$505,1))=0),"REVIEW","READY"))))</x:f>
      </x:c>
      <x:c r="BB382" s="224" t="str">
        <x:f>IF(BA382="","",IF(OR(BA382="READY",BA382="TO_PROPOSED"),"",IF(BA382="SKIP","Skipped by decision",TRIM(IF(B382="","missing import_action; ","")&amp;IF(A382="","missing migration_customer_key; ","")&amp;IF(AND(A382&lt;&gt;"",COUNTIF($A$6:$A$505,A382)&gt;1),"duplicate migration_customer_key; ","")&amp;IF(AND(NOT(OR(B382="to_candidate",AW382="proposed_name")),F382=""),"missing branch_id; ","")&amp;IF(AND(NOT(OR(B382="to_candidate",AW382="proposed_name")),H382=""),"missing first_name; ","")&amp;IF(AND(NOT(OR(B382="to_candidate",AW382="proposed_name")),J382=""),"missing last_name; ","")&amp;IF(AND(NOT(OR(B382="to_candidate",AW382="proposed_name")),U382=""),"missing final_geo_unit_id; ","")&amp;IF(AW382="","missing final_destination; ","")&amp;IF(AND(NOT(OR(B382="to_candidate",AW382="proposed_name")),(COUNTIFS('أرقام التواصل'!$A$6:$A$505,"client",'أرقام التواصل'!$B$6:$B$505,A382,'أرقام التواصل'!$I$6:$I$505,"TRUE")+COUNTIFS('أرقام التواصل'!$A$6:$A$505,"client",'أرقام التواصل'!$B$6:$B$505,A382,'أرقام التواصل'!$C$6:$C$505,1))=0),"missing primary contact in أرقام التواصل; ","")&amp;IF(OR(B382="to_candidate",AW382="proposed_name"),IF(AX382="","missing proposed_move_reason; ","")&amp;IF(AY382="","missing proposed_name_key; ",""),"")))))</x:f>
      </x:c>
    </x:row>
    <x:row r="383">
      <x:c r="A383" s="219"/>
      <x:c r="B383" s="220"/>
      <x:c r="C383" s="221"/>
      <x:c r="D383" s="220"/>
      <x:c r="E383" s="222"/>
      <x:c r="F383" s="220"/>
      <x:c r="G383" s="220"/>
      <x:c r="H383" s="220"/>
      <x:c r="I383" s="220"/>
      <x:c r="J383" s="220"/>
      <x:c r="K383" s="220"/>
      <x:c r="L383" s="220" t="str">
        <x:f>IF(TRIM(H383&amp;" "&amp;I383&amp;" "&amp;J383&amp;IF(K383&lt;&gt;""," ("&amp;K383&amp;")",""))="","",TRIM(H383&amp;" "&amp;I383&amp;" "&amp;J383&amp;IF(K383&lt;&gt;""," ("&amp;K383&amp;")","")))</x:f>
      </x:c>
      <x:c r="M383" s="220"/>
      <x:c r="N383" s="220"/>
      <x:c r="O383" s="220"/>
      <x:c r="P383" s="220"/>
      <x:c r="Q383" s="220"/>
      <x:c r="R383" s="220"/>
      <x:c r="S383" s="220"/>
      <x:c r="T383" s="220"/>
      <x:c r="U383" s="220" t="str">
        <x:f>IF(AND(M383="",O383="",Q383="",S383=""),"",IF(S383&lt;&gt;"",S383,IF(Q383&lt;&gt;"",Q383,IF(O383&lt;&gt;"",O383,M383))))</x:f>
      </x:c>
      <x:c r="V383" s="220" t="str">
        <x:f>IF(AND(N383="",P383="",R383="",T383=""),"",IF(T383&lt;&gt;"",T383,IF(R383&lt;&gt;"",R383,IF(P383&lt;&gt;"",P383,N383))))</x:f>
      </x:c>
      <x:c r="W383" s="221"/>
      <x:c r="X383" s="220"/>
      <x:c r="Y383" s="220"/>
      <x:c r="Z383" s="223"/>
      <x:c r="AA383" s="223"/>
      <x:c r="AB383" s="221"/>
      <x:c r="AC383" s="220"/>
      <x:c r="AD383" s="220"/>
      <x:c r="AE383" s="222"/>
      <x:c r="AF383" s="220"/>
      <x:c r="AG383" s="221"/>
      <x:c r="AH383" s="220"/>
      <x:c r="AI383" s="220"/>
      <x:c r="AJ383" s="222"/>
      <x:c r="AK383" s="220"/>
      <x:c r="AL383" s="220"/>
      <x:c r="AM383" s="220"/>
      <x:c r="AN383" s="220"/>
      <x:c r="AO383" s="220"/>
      <x:c r="AP383" s="220"/>
      <x:c r="AQ383" s="220"/>
      <x:c r="AR383" s="222"/>
      <x:c r="AS383" s="220"/>
      <x:c r="AT383" s="220"/>
      <x:c r="AU383" s="220"/>
      <x:c r="AV383" s="220"/>
      <x:c r="AW383" s="220"/>
      <x:c r="AX383" s="220"/>
      <x:c r="AY383" s="221"/>
      <x:c r="AZ383" s="220"/>
      <x:c r="BA383" s="220" t="str">
        <x:f>IF(AND(A383="",B383="",F383="",H383="",J383="",AW383="",AY383=""),"",IF(OR(B383="skip",AW383="skip"),"SKIP",IF(OR(B383="to_candidate",AW383="proposed_name"),IF(OR(A383="",AX383="",AY383="",COUNTIF($A$6:$A$505,A383)&gt;1),"REVIEW","TO_PROPOSED"),IF(OR(B383="",A383="",F383="",H383="",J383="",U383="",AW383="",COUNTIF($A$6:$A$505,A383)&gt;1,(COUNTIFS('أرقام التواصل'!$A$6:$A$505,"client",'أرقام التواصل'!$B$6:$B$505,A383,'أرقام التواصل'!$I$6:$I$505,"TRUE")+COUNTIFS('أرقام التواصل'!$A$6:$A$505,"client",'أرقام التواصل'!$B$6:$B$505,A383,'أرقام التواصل'!$C$6:$C$505,1))=0),"REVIEW","READY"))))</x:f>
      </x:c>
      <x:c r="BB383" s="224" t="str">
        <x:f>IF(BA383="","",IF(OR(BA383="READY",BA383="TO_PROPOSED"),"",IF(BA383="SKIP","Skipped by decision",TRIM(IF(B383="","missing import_action; ","")&amp;IF(A383="","missing migration_customer_key; ","")&amp;IF(AND(A383&lt;&gt;"",COUNTIF($A$6:$A$505,A383)&gt;1),"duplicate migration_customer_key; ","")&amp;IF(AND(NOT(OR(B383="to_candidate",AW383="proposed_name")),F383=""),"missing branch_id; ","")&amp;IF(AND(NOT(OR(B383="to_candidate",AW383="proposed_name")),H383=""),"missing first_name; ","")&amp;IF(AND(NOT(OR(B383="to_candidate",AW383="proposed_name")),J383=""),"missing last_name; ","")&amp;IF(AND(NOT(OR(B383="to_candidate",AW383="proposed_name")),U383=""),"missing final_geo_unit_id; ","")&amp;IF(AW383="","missing final_destination; ","")&amp;IF(AND(NOT(OR(B383="to_candidate",AW383="proposed_name")),(COUNTIFS('أرقام التواصل'!$A$6:$A$505,"client",'أرقام التواصل'!$B$6:$B$505,A383,'أرقام التواصل'!$I$6:$I$505,"TRUE")+COUNTIFS('أرقام التواصل'!$A$6:$A$505,"client",'أرقام التواصل'!$B$6:$B$505,A383,'أرقام التواصل'!$C$6:$C$505,1))=0),"missing primary contact in أرقام التواصل; ","")&amp;IF(OR(B383="to_candidate",AW383="proposed_name"),IF(AX383="","missing proposed_move_reason; ","")&amp;IF(AY383="","missing proposed_name_key; ",""),"")))))</x:f>
      </x:c>
    </x:row>
    <x:row r="384">
      <x:c r="A384" s="219"/>
      <x:c r="B384" s="220"/>
      <x:c r="C384" s="221"/>
      <x:c r="D384" s="220"/>
      <x:c r="E384" s="222"/>
      <x:c r="F384" s="220"/>
      <x:c r="G384" s="220"/>
      <x:c r="H384" s="220"/>
      <x:c r="I384" s="220"/>
      <x:c r="J384" s="220"/>
      <x:c r="K384" s="220"/>
      <x:c r="L384" s="220" t="str">
        <x:f>IF(TRIM(H384&amp;" "&amp;I384&amp;" "&amp;J384&amp;IF(K384&lt;&gt;""," ("&amp;K384&amp;")",""))="","",TRIM(H384&amp;" "&amp;I384&amp;" "&amp;J384&amp;IF(K384&lt;&gt;""," ("&amp;K384&amp;")","")))</x:f>
      </x:c>
      <x:c r="M384" s="220"/>
      <x:c r="N384" s="220"/>
      <x:c r="O384" s="220"/>
      <x:c r="P384" s="220"/>
      <x:c r="Q384" s="220"/>
      <x:c r="R384" s="220"/>
      <x:c r="S384" s="220"/>
      <x:c r="T384" s="220"/>
      <x:c r="U384" s="220" t="str">
        <x:f>IF(AND(M384="",O384="",Q384="",S384=""),"",IF(S384&lt;&gt;"",S384,IF(Q384&lt;&gt;"",Q384,IF(O384&lt;&gt;"",O384,M384))))</x:f>
      </x:c>
      <x:c r="V384" s="220" t="str">
        <x:f>IF(AND(N384="",P384="",R384="",T384=""),"",IF(T384&lt;&gt;"",T384,IF(R384&lt;&gt;"",R384,IF(P384&lt;&gt;"",P384,N384))))</x:f>
      </x:c>
      <x:c r="W384" s="221"/>
      <x:c r="X384" s="220"/>
      <x:c r="Y384" s="220"/>
      <x:c r="Z384" s="223"/>
      <x:c r="AA384" s="223"/>
      <x:c r="AB384" s="221"/>
      <x:c r="AC384" s="220"/>
      <x:c r="AD384" s="220"/>
      <x:c r="AE384" s="222"/>
      <x:c r="AF384" s="220"/>
      <x:c r="AG384" s="221"/>
      <x:c r="AH384" s="220"/>
      <x:c r="AI384" s="220"/>
      <x:c r="AJ384" s="222"/>
      <x:c r="AK384" s="220"/>
      <x:c r="AL384" s="220"/>
      <x:c r="AM384" s="220"/>
      <x:c r="AN384" s="220"/>
      <x:c r="AO384" s="220"/>
      <x:c r="AP384" s="220"/>
      <x:c r="AQ384" s="220"/>
      <x:c r="AR384" s="222"/>
      <x:c r="AS384" s="220"/>
      <x:c r="AT384" s="220"/>
      <x:c r="AU384" s="220"/>
      <x:c r="AV384" s="220"/>
      <x:c r="AW384" s="220"/>
      <x:c r="AX384" s="220"/>
      <x:c r="AY384" s="221"/>
      <x:c r="AZ384" s="220"/>
      <x:c r="BA384" s="220" t="str">
        <x:f>IF(AND(A384="",B384="",F384="",H384="",J384="",AW384="",AY384=""),"",IF(OR(B384="skip",AW384="skip"),"SKIP",IF(OR(B384="to_candidate",AW384="proposed_name"),IF(OR(A384="",AX384="",AY384="",COUNTIF($A$6:$A$505,A384)&gt;1),"REVIEW","TO_PROPOSED"),IF(OR(B384="",A384="",F384="",H384="",J384="",U384="",AW384="",COUNTIF($A$6:$A$505,A384)&gt;1,(COUNTIFS('أرقام التواصل'!$A$6:$A$505,"client",'أرقام التواصل'!$B$6:$B$505,A384,'أرقام التواصل'!$I$6:$I$505,"TRUE")+COUNTIFS('أرقام التواصل'!$A$6:$A$505,"client",'أرقام التواصل'!$B$6:$B$505,A384,'أرقام التواصل'!$C$6:$C$505,1))=0),"REVIEW","READY"))))</x:f>
      </x:c>
      <x:c r="BB384" s="224" t="str">
        <x:f>IF(BA384="","",IF(OR(BA384="READY",BA384="TO_PROPOSED"),"",IF(BA384="SKIP","Skipped by decision",TRIM(IF(B384="","missing import_action; ","")&amp;IF(A384="","missing migration_customer_key; ","")&amp;IF(AND(A384&lt;&gt;"",COUNTIF($A$6:$A$505,A384)&gt;1),"duplicate migration_customer_key; ","")&amp;IF(AND(NOT(OR(B384="to_candidate",AW384="proposed_name")),F384=""),"missing branch_id; ","")&amp;IF(AND(NOT(OR(B384="to_candidate",AW384="proposed_name")),H384=""),"missing first_name; ","")&amp;IF(AND(NOT(OR(B384="to_candidate",AW384="proposed_name")),J384=""),"missing last_name; ","")&amp;IF(AND(NOT(OR(B384="to_candidate",AW384="proposed_name")),U384=""),"missing final_geo_unit_id; ","")&amp;IF(AW384="","missing final_destination; ","")&amp;IF(AND(NOT(OR(B384="to_candidate",AW384="proposed_name")),(COUNTIFS('أرقام التواصل'!$A$6:$A$505,"client",'أرقام التواصل'!$B$6:$B$505,A384,'أرقام التواصل'!$I$6:$I$505,"TRUE")+COUNTIFS('أرقام التواصل'!$A$6:$A$505,"client",'أرقام التواصل'!$B$6:$B$505,A384,'أرقام التواصل'!$C$6:$C$505,1))=0),"missing primary contact in أرقام التواصل; ","")&amp;IF(OR(B384="to_candidate",AW384="proposed_name"),IF(AX384="","missing proposed_move_reason; ","")&amp;IF(AY384="","missing proposed_name_key; ",""),"")))))</x:f>
      </x:c>
    </x:row>
    <x:row r="385">
      <x:c r="A385" s="219"/>
      <x:c r="B385" s="220"/>
      <x:c r="C385" s="221"/>
      <x:c r="D385" s="220"/>
      <x:c r="E385" s="222"/>
      <x:c r="F385" s="220"/>
      <x:c r="G385" s="220"/>
      <x:c r="H385" s="220"/>
      <x:c r="I385" s="220"/>
      <x:c r="J385" s="220"/>
      <x:c r="K385" s="220"/>
      <x:c r="L385" s="220" t="str">
        <x:f>IF(TRIM(H385&amp;" "&amp;I385&amp;" "&amp;J385&amp;IF(K385&lt;&gt;""," ("&amp;K385&amp;")",""))="","",TRIM(H385&amp;" "&amp;I385&amp;" "&amp;J385&amp;IF(K385&lt;&gt;""," ("&amp;K385&amp;")","")))</x:f>
      </x:c>
      <x:c r="M385" s="220"/>
      <x:c r="N385" s="220"/>
      <x:c r="O385" s="220"/>
      <x:c r="P385" s="220"/>
      <x:c r="Q385" s="220"/>
      <x:c r="R385" s="220"/>
      <x:c r="S385" s="220"/>
      <x:c r="T385" s="220"/>
      <x:c r="U385" s="220" t="str">
        <x:f>IF(AND(M385="",O385="",Q385="",S385=""),"",IF(S385&lt;&gt;"",S385,IF(Q385&lt;&gt;"",Q385,IF(O385&lt;&gt;"",O385,M385))))</x:f>
      </x:c>
      <x:c r="V385" s="220" t="str">
        <x:f>IF(AND(N385="",P385="",R385="",T385=""),"",IF(T385&lt;&gt;"",T385,IF(R385&lt;&gt;"",R385,IF(P385&lt;&gt;"",P385,N385))))</x:f>
      </x:c>
      <x:c r="W385" s="221"/>
      <x:c r="X385" s="220"/>
      <x:c r="Y385" s="220"/>
      <x:c r="Z385" s="223"/>
      <x:c r="AA385" s="223"/>
      <x:c r="AB385" s="221"/>
      <x:c r="AC385" s="220"/>
      <x:c r="AD385" s="220"/>
      <x:c r="AE385" s="222"/>
      <x:c r="AF385" s="220"/>
      <x:c r="AG385" s="221"/>
      <x:c r="AH385" s="220"/>
      <x:c r="AI385" s="220"/>
      <x:c r="AJ385" s="222"/>
      <x:c r="AK385" s="220"/>
      <x:c r="AL385" s="220"/>
      <x:c r="AM385" s="220"/>
      <x:c r="AN385" s="220"/>
      <x:c r="AO385" s="220"/>
      <x:c r="AP385" s="220"/>
      <x:c r="AQ385" s="220"/>
      <x:c r="AR385" s="222"/>
      <x:c r="AS385" s="220"/>
      <x:c r="AT385" s="220"/>
      <x:c r="AU385" s="220"/>
      <x:c r="AV385" s="220"/>
      <x:c r="AW385" s="220"/>
      <x:c r="AX385" s="220"/>
      <x:c r="AY385" s="221"/>
      <x:c r="AZ385" s="220"/>
      <x:c r="BA385" s="220" t="str">
        <x:f>IF(AND(A385="",B385="",F385="",H385="",J385="",AW385="",AY385=""),"",IF(OR(B385="skip",AW385="skip"),"SKIP",IF(OR(B385="to_candidate",AW385="proposed_name"),IF(OR(A385="",AX385="",AY385="",COUNTIF($A$6:$A$505,A385)&gt;1),"REVIEW","TO_PROPOSED"),IF(OR(B385="",A385="",F385="",H385="",J385="",U385="",AW385="",COUNTIF($A$6:$A$505,A385)&gt;1,(COUNTIFS('أرقام التواصل'!$A$6:$A$505,"client",'أرقام التواصل'!$B$6:$B$505,A385,'أرقام التواصل'!$I$6:$I$505,"TRUE")+COUNTIFS('أرقام التواصل'!$A$6:$A$505,"client",'أرقام التواصل'!$B$6:$B$505,A385,'أرقام التواصل'!$C$6:$C$505,1))=0),"REVIEW","READY"))))</x:f>
      </x:c>
      <x:c r="BB385" s="224" t="str">
        <x:f>IF(BA385="","",IF(OR(BA385="READY",BA385="TO_PROPOSED"),"",IF(BA385="SKIP","Skipped by decision",TRIM(IF(B385="","missing import_action; ","")&amp;IF(A385="","missing migration_customer_key; ","")&amp;IF(AND(A385&lt;&gt;"",COUNTIF($A$6:$A$505,A385)&gt;1),"duplicate migration_customer_key; ","")&amp;IF(AND(NOT(OR(B385="to_candidate",AW385="proposed_name")),F385=""),"missing branch_id; ","")&amp;IF(AND(NOT(OR(B385="to_candidate",AW385="proposed_name")),H385=""),"missing first_name; ","")&amp;IF(AND(NOT(OR(B385="to_candidate",AW385="proposed_name")),J385=""),"missing last_name; ","")&amp;IF(AND(NOT(OR(B385="to_candidate",AW385="proposed_name")),U385=""),"missing final_geo_unit_id; ","")&amp;IF(AW385="","missing final_destination; ","")&amp;IF(AND(NOT(OR(B385="to_candidate",AW385="proposed_name")),(COUNTIFS('أرقام التواصل'!$A$6:$A$505,"client",'أرقام التواصل'!$B$6:$B$505,A385,'أرقام التواصل'!$I$6:$I$505,"TRUE")+COUNTIFS('أرقام التواصل'!$A$6:$A$505,"client",'أرقام التواصل'!$B$6:$B$505,A385,'أرقام التواصل'!$C$6:$C$505,1))=0),"missing primary contact in أرقام التواصل; ","")&amp;IF(OR(B385="to_candidate",AW385="proposed_name"),IF(AX385="","missing proposed_move_reason; ","")&amp;IF(AY385="","missing proposed_name_key; ",""),"")))))</x:f>
      </x:c>
    </x:row>
    <x:row r="386">
      <x:c r="A386" s="219"/>
      <x:c r="B386" s="220"/>
      <x:c r="C386" s="221"/>
      <x:c r="D386" s="220"/>
      <x:c r="E386" s="222"/>
      <x:c r="F386" s="220"/>
      <x:c r="G386" s="220"/>
      <x:c r="H386" s="220"/>
      <x:c r="I386" s="220"/>
      <x:c r="J386" s="220"/>
      <x:c r="K386" s="220"/>
      <x:c r="L386" s="220" t="str">
        <x:f>IF(TRIM(H386&amp;" "&amp;I386&amp;" "&amp;J386&amp;IF(K386&lt;&gt;""," ("&amp;K386&amp;")",""))="","",TRIM(H386&amp;" "&amp;I386&amp;" "&amp;J386&amp;IF(K386&lt;&gt;""," ("&amp;K386&amp;")","")))</x:f>
      </x:c>
      <x:c r="M386" s="220"/>
      <x:c r="N386" s="220"/>
      <x:c r="O386" s="220"/>
      <x:c r="P386" s="220"/>
      <x:c r="Q386" s="220"/>
      <x:c r="R386" s="220"/>
      <x:c r="S386" s="220"/>
      <x:c r="T386" s="220"/>
      <x:c r="U386" s="220" t="str">
        <x:f>IF(AND(M386="",O386="",Q386="",S386=""),"",IF(S386&lt;&gt;"",S386,IF(Q386&lt;&gt;"",Q386,IF(O386&lt;&gt;"",O386,M386))))</x:f>
      </x:c>
      <x:c r="V386" s="220" t="str">
        <x:f>IF(AND(N386="",P386="",R386="",T386=""),"",IF(T386&lt;&gt;"",T386,IF(R386&lt;&gt;"",R386,IF(P386&lt;&gt;"",P386,N386))))</x:f>
      </x:c>
      <x:c r="W386" s="221"/>
      <x:c r="X386" s="220"/>
      <x:c r="Y386" s="220"/>
      <x:c r="Z386" s="223"/>
      <x:c r="AA386" s="223"/>
      <x:c r="AB386" s="221"/>
      <x:c r="AC386" s="220"/>
      <x:c r="AD386" s="220"/>
      <x:c r="AE386" s="222"/>
      <x:c r="AF386" s="220"/>
      <x:c r="AG386" s="221"/>
      <x:c r="AH386" s="220"/>
      <x:c r="AI386" s="220"/>
      <x:c r="AJ386" s="222"/>
      <x:c r="AK386" s="220"/>
      <x:c r="AL386" s="220"/>
      <x:c r="AM386" s="220"/>
      <x:c r="AN386" s="220"/>
      <x:c r="AO386" s="220"/>
      <x:c r="AP386" s="220"/>
      <x:c r="AQ386" s="220"/>
      <x:c r="AR386" s="222"/>
      <x:c r="AS386" s="220"/>
      <x:c r="AT386" s="220"/>
      <x:c r="AU386" s="220"/>
      <x:c r="AV386" s="220"/>
      <x:c r="AW386" s="220"/>
      <x:c r="AX386" s="220"/>
      <x:c r="AY386" s="221"/>
      <x:c r="AZ386" s="220"/>
      <x:c r="BA386" s="220" t="str">
        <x:f>IF(AND(A386="",B386="",F386="",H386="",J386="",AW386="",AY386=""),"",IF(OR(B386="skip",AW386="skip"),"SKIP",IF(OR(B386="to_candidate",AW386="proposed_name"),IF(OR(A386="",AX386="",AY386="",COUNTIF($A$6:$A$505,A386)&gt;1),"REVIEW","TO_PROPOSED"),IF(OR(B386="",A386="",F386="",H386="",J386="",U386="",AW386="",COUNTIF($A$6:$A$505,A386)&gt;1,(COUNTIFS('أرقام التواصل'!$A$6:$A$505,"client",'أرقام التواصل'!$B$6:$B$505,A386,'أرقام التواصل'!$I$6:$I$505,"TRUE")+COUNTIFS('أرقام التواصل'!$A$6:$A$505,"client",'أرقام التواصل'!$B$6:$B$505,A386,'أرقام التواصل'!$C$6:$C$505,1))=0),"REVIEW","READY"))))</x:f>
      </x:c>
      <x:c r="BB386" s="224" t="str">
        <x:f>IF(BA386="","",IF(OR(BA386="READY",BA386="TO_PROPOSED"),"",IF(BA386="SKIP","Skipped by decision",TRIM(IF(B386="","missing import_action; ","")&amp;IF(A386="","missing migration_customer_key; ","")&amp;IF(AND(A386&lt;&gt;"",COUNTIF($A$6:$A$505,A386)&gt;1),"duplicate migration_customer_key; ","")&amp;IF(AND(NOT(OR(B386="to_candidate",AW386="proposed_name")),F386=""),"missing branch_id; ","")&amp;IF(AND(NOT(OR(B386="to_candidate",AW386="proposed_name")),H386=""),"missing first_name; ","")&amp;IF(AND(NOT(OR(B386="to_candidate",AW386="proposed_name")),J386=""),"missing last_name; ","")&amp;IF(AND(NOT(OR(B386="to_candidate",AW386="proposed_name")),U386=""),"missing final_geo_unit_id; ","")&amp;IF(AW386="","missing final_destination; ","")&amp;IF(AND(NOT(OR(B386="to_candidate",AW386="proposed_name")),(COUNTIFS('أرقام التواصل'!$A$6:$A$505,"client",'أرقام التواصل'!$B$6:$B$505,A386,'أرقام التواصل'!$I$6:$I$505,"TRUE")+COUNTIFS('أرقام التواصل'!$A$6:$A$505,"client",'أرقام التواصل'!$B$6:$B$505,A386,'أرقام التواصل'!$C$6:$C$505,1))=0),"missing primary contact in أرقام التواصل; ","")&amp;IF(OR(B386="to_candidate",AW386="proposed_name"),IF(AX386="","missing proposed_move_reason; ","")&amp;IF(AY386="","missing proposed_name_key; ",""),"")))))</x:f>
      </x:c>
    </x:row>
    <x:row r="387">
      <x:c r="A387" s="219"/>
      <x:c r="B387" s="220"/>
      <x:c r="C387" s="221"/>
      <x:c r="D387" s="220"/>
      <x:c r="E387" s="222"/>
      <x:c r="F387" s="220"/>
      <x:c r="G387" s="220"/>
      <x:c r="H387" s="220"/>
      <x:c r="I387" s="220"/>
      <x:c r="J387" s="220"/>
      <x:c r="K387" s="220"/>
      <x:c r="L387" s="220" t="str">
        <x:f>IF(TRIM(H387&amp;" "&amp;I387&amp;" "&amp;J387&amp;IF(K387&lt;&gt;""," ("&amp;K387&amp;")",""))="","",TRIM(H387&amp;" "&amp;I387&amp;" "&amp;J387&amp;IF(K387&lt;&gt;""," ("&amp;K387&amp;")","")))</x:f>
      </x:c>
      <x:c r="M387" s="220"/>
      <x:c r="N387" s="220"/>
      <x:c r="O387" s="220"/>
      <x:c r="P387" s="220"/>
      <x:c r="Q387" s="220"/>
      <x:c r="R387" s="220"/>
      <x:c r="S387" s="220"/>
      <x:c r="T387" s="220"/>
      <x:c r="U387" s="220" t="str">
        <x:f>IF(AND(M387="",O387="",Q387="",S387=""),"",IF(S387&lt;&gt;"",S387,IF(Q387&lt;&gt;"",Q387,IF(O387&lt;&gt;"",O387,M387))))</x:f>
      </x:c>
      <x:c r="V387" s="220" t="str">
        <x:f>IF(AND(N387="",P387="",R387="",T387=""),"",IF(T387&lt;&gt;"",T387,IF(R387&lt;&gt;"",R387,IF(P387&lt;&gt;"",P387,N387))))</x:f>
      </x:c>
      <x:c r="W387" s="221"/>
      <x:c r="X387" s="220"/>
      <x:c r="Y387" s="220"/>
      <x:c r="Z387" s="223"/>
      <x:c r="AA387" s="223"/>
      <x:c r="AB387" s="221"/>
      <x:c r="AC387" s="220"/>
      <x:c r="AD387" s="220"/>
      <x:c r="AE387" s="222"/>
      <x:c r="AF387" s="220"/>
      <x:c r="AG387" s="221"/>
      <x:c r="AH387" s="220"/>
      <x:c r="AI387" s="220"/>
      <x:c r="AJ387" s="222"/>
      <x:c r="AK387" s="220"/>
      <x:c r="AL387" s="220"/>
      <x:c r="AM387" s="220"/>
      <x:c r="AN387" s="220"/>
      <x:c r="AO387" s="220"/>
      <x:c r="AP387" s="220"/>
      <x:c r="AQ387" s="220"/>
      <x:c r="AR387" s="222"/>
      <x:c r="AS387" s="220"/>
      <x:c r="AT387" s="220"/>
      <x:c r="AU387" s="220"/>
      <x:c r="AV387" s="220"/>
      <x:c r="AW387" s="220"/>
      <x:c r="AX387" s="220"/>
      <x:c r="AY387" s="221"/>
      <x:c r="AZ387" s="220"/>
      <x:c r="BA387" s="220" t="str">
        <x:f>IF(AND(A387="",B387="",F387="",H387="",J387="",AW387="",AY387=""),"",IF(OR(B387="skip",AW387="skip"),"SKIP",IF(OR(B387="to_candidate",AW387="proposed_name"),IF(OR(A387="",AX387="",AY387="",COUNTIF($A$6:$A$505,A387)&gt;1),"REVIEW","TO_PROPOSED"),IF(OR(B387="",A387="",F387="",H387="",J387="",U387="",AW387="",COUNTIF($A$6:$A$505,A387)&gt;1,(COUNTIFS('أرقام التواصل'!$A$6:$A$505,"client",'أرقام التواصل'!$B$6:$B$505,A387,'أرقام التواصل'!$I$6:$I$505,"TRUE")+COUNTIFS('أرقام التواصل'!$A$6:$A$505,"client",'أرقام التواصل'!$B$6:$B$505,A387,'أرقام التواصل'!$C$6:$C$505,1))=0),"REVIEW","READY"))))</x:f>
      </x:c>
      <x:c r="BB387" s="224" t="str">
        <x:f>IF(BA387="","",IF(OR(BA387="READY",BA387="TO_PROPOSED"),"",IF(BA387="SKIP","Skipped by decision",TRIM(IF(B387="","missing import_action; ","")&amp;IF(A387="","missing migration_customer_key; ","")&amp;IF(AND(A387&lt;&gt;"",COUNTIF($A$6:$A$505,A387)&gt;1),"duplicate migration_customer_key; ","")&amp;IF(AND(NOT(OR(B387="to_candidate",AW387="proposed_name")),F387=""),"missing branch_id; ","")&amp;IF(AND(NOT(OR(B387="to_candidate",AW387="proposed_name")),H387=""),"missing first_name; ","")&amp;IF(AND(NOT(OR(B387="to_candidate",AW387="proposed_name")),J387=""),"missing last_name; ","")&amp;IF(AND(NOT(OR(B387="to_candidate",AW387="proposed_name")),U387=""),"missing final_geo_unit_id; ","")&amp;IF(AW387="","missing final_destination; ","")&amp;IF(AND(NOT(OR(B387="to_candidate",AW387="proposed_name")),(COUNTIFS('أرقام التواصل'!$A$6:$A$505,"client",'أرقام التواصل'!$B$6:$B$505,A387,'أرقام التواصل'!$I$6:$I$505,"TRUE")+COUNTIFS('أرقام التواصل'!$A$6:$A$505,"client",'أرقام التواصل'!$B$6:$B$505,A387,'أرقام التواصل'!$C$6:$C$505,1))=0),"missing primary contact in أرقام التواصل; ","")&amp;IF(OR(B387="to_candidate",AW387="proposed_name"),IF(AX387="","missing proposed_move_reason; ","")&amp;IF(AY387="","missing proposed_name_key; ",""),"")))))</x:f>
      </x:c>
    </x:row>
    <x:row r="388">
      <x:c r="A388" s="219"/>
      <x:c r="B388" s="220"/>
      <x:c r="C388" s="221"/>
      <x:c r="D388" s="220"/>
      <x:c r="E388" s="222"/>
      <x:c r="F388" s="220"/>
      <x:c r="G388" s="220"/>
      <x:c r="H388" s="220"/>
      <x:c r="I388" s="220"/>
      <x:c r="J388" s="220"/>
      <x:c r="K388" s="220"/>
      <x:c r="L388" s="220" t="str">
        <x:f>IF(TRIM(H388&amp;" "&amp;I388&amp;" "&amp;J388&amp;IF(K388&lt;&gt;""," ("&amp;K388&amp;")",""))="","",TRIM(H388&amp;" "&amp;I388&amp;" "&amp;J388&amp;IF(K388&lt;&gt;""," ("&amp;K388&amp;")","")))</x:f>
      </x:c>
      <x:c r="M388" s="220"/>
      <x:c r="N388" s="220"/>
      <x:c r="O388" s="220"/>
      <x:c r="P388" s="220"/>
      <x:c r="Q388" s="220"/>
      <x:c r="R388" s="220"/>
      <x:c r="S388" s="220"/>
      <x:c r="T388" s="220"/>
      <x:c r="U388" s="220" t="str">
        <x:f>IF(AND(M388="",O388="",Q388="",S388=""),"",IF(S388&lt;&gt;"",S388,IF(Q388&lt;&gt;"",Q388,IF(O388&lt;&gt;"",O388,M388))))</x:f>
      </x:c>
      <x:c r="V388" s="220" t="str">
        <x:f>IF(AND(N388="",P388="",R388="",T388=""),"",IF(T388&lt;&gt;"",T388,IF(R388&lt;&gt;"",R388,IF(P388&lt;&gt;"",P388,N388))))</x:f>
      </x:c>
      <x:c r="W388" s="221"/>
      <x:c r="X388" s="220"/>
      <x:c r="Y388" s="220"/>
      <x:c r="Z388" s="223"/>
      <x:c r="AA388" s="223"/>
      <x:c r="AB388" s="221"/>
      <x:c r="AC388" s="220"/>
      <x:c r="AD388" s="220"/>
      <x:c r="AE388" s="222"/>
      <x:c r="AF388" s="220"/>
      <x:c r="AG388" s="221"/>
      <x:c r="AH388" s="220"/>
      <x:c r="AI388" s="220"/>
      <x:c r="AJ388" s="222"/>
      <x:c r="AK388" s="220"/>
      <x:c r="AL388" s="220"/>
      <x:c r="AM388" s="220"/>
      <x:c r="AN388" s="220"/>
      <x:c r="AO388" s="220"/>
      <x:c r="AP388" s="220"/>
      <x:c r="AQ388" s="220"/>
      <x:c r="AR388" s="222"/>
      <x:c r="AS388" s="220"/>
      <x:c r="AT388" s="220"/>
      <x:c r="AU388" s="220"/>
      <x:c r="AV388" s="220"/>
      <x:c r="AW388" s="220"/>
      <x:c r="AX388" s="220"/>
      <x:c r="AY388" s="221"/>
      <x:c r="AZ388" s="220"/>
      <x:c r="BA388" s="220" t="str">
        <x:f>IF(AND(A388="",B388="",F388="",H388="",J388="",AW388="",AY388=""),"",IF(OR(B388="skip",AW388="skip"),"SKIP",IF(OR(B388="to_candidate",AW388="proposed_name"),IF(OR(A388="",AX388="",AY388="",COUNTIF($A$6:$A$505,A388)&gt;1),"REVIEW","TO_PROPOSED"),IF(OR(B388="",A388="",F388="",H388="",J388="",U388="",AW388="",COUNTIF($A$6:$A$505,A388)&gt;1,(COUNTIFS('أرقام التواصل'!$A$6:$A$505,"client",'أرقام التواصل'!$B$6:$B$505,A388,'أرقام التواصل'!$I$6:$I$505,"TRUE")+COUNTIFS('أرقام التواصل'!$A$6:$A$505,"client",'أرقام التواصل'!$B$6:$B$505,A388,'أرقام التواصل'!$C$6:$C$505,1))=0),"REVIEW","READY"))))</x:f>
      </x:c>
      <x:c r="BB388" s="224" t="str">
        <x:f>IF(BA388="","",IF(OR(BA388="READY",BA388="TO_PROPOSED"),"",IF(BA388="SKIP","Skipped by decision",TRIM(IF(B388="","missing import_action; ","")&amp;IF(A388="","missing migration_customer_key; ","")&amp;IF(AND(A388&lt;&gt;"",COUNTIF($A$6:$A$505,A388)&gt;1),"duplicate migration_customer_key; ","")&amp;IF(AND(NOT(OR(B388="to_candidate",AW388="proposed_name")),F388=""),"missing branch_id; ","")&amp;IF(AND(NOT(OR(B388="to_candidate",AW388="proposed_name")),H388=""),"missing first_name; ","")&amp;IF(AND(NOT(OR(B388="to_candidate",AW388="proposed_name")),J388=""),"missing last_name; ","")&amp;IF(AND(NOT(OR(B388="to_candidate",AW388="proposed_name")),U388=""),"missing final_geo_unit_id; ","")&amp;IF(AW388="","missing final_destination; ","")&amp;IF(AND(NOT(OR(B388="to_candidate",AW388="proposed_name")),(COUNTIFS('أرقام التواصل'!$A$6:$A$505,"client",'أرقام التواصل'!$B$6:$B$505,A388,'أرقام التواصل'!$I$6:$I$505,"TRUE")+COUNTIFS('أرقام التواصل'!$A$6:$A$505,"client",'أرقام التواصل'!$B$6:$B$505,A388,'أرقام التواصل'!$C$6:$C$505,1))=0),"missing primary contact in أرقام التواصل; ","")&amp;IF(OR(B388="to_candidate",AW388="proposed_name"),IF(AX388="","missing proposed_move_reason; ","")&amp;IF(AY388="","missing proposed_name_key; ",""),"")))))</x:f>
      </x:c>
    </x:row>
    <x:row r="389">
      <x:c r="A389" s="219"/>
      <x:c r="B389" s="220"/>
      <x:c r="C389" s="221"/>
      <x:c r="D389" s="220"/>
      <x:c r="E389" s="222"/>
      <x:c r="F389" s="220"/>
      <x:c r="G389" s="220"/>
      <x:c r="H389" s="220"/>
      <x:c r="I389" s="220"/>
      <x:c r="J389" s="220"/>
      <x:c r="K389" s="220"/>
      <x:c r="L389" s="220" t="str">
        <x:f>IF(TRIM(H389&amp;" "&amp;I389&amp;" "&amp;J389&amp;IF(K389&lt;&gt;""," ("&amp;K389&amp;")",""))="","",TRIM(H389&amp;" "&amp;I389&amp;" "&amp;J389&amp;IF(K389&lt;&gt;""," ("&amp;K389&amp;")","")))</x:f>
      </x:c>
      <x:c r="M389" s="220"/>
      <x:c r="N389" s="220"/>
      <x:c r="O389" s="220"/>
      <x:c r="P389" s="220"/>
      <x:c r="Q389" s="220"/>
      <x:c r="R389" s="220"/>
      <x:c r="S389" s="220"/>
      <x:c r="T389" s="220"/>
      <x:c r="U389" s="220" t="str">
        <x:f>IF(AND(M389="",O389="",Q389="",S389=""),"",IF(S389&lt;&gt;"",S389,IF(Q389&lt;&gt;"",Q389,IF(O389&lt;&gt;"",O389,M389))))</x:f>
      </x:c>
      <x:c r="V389" s="220" t="str">
        <x:f>IF(AND(N389="",P389="",R389="",T389=""),"",IF(T389&lt;&gt;"",T389,IF(R389&lt;&gt;"",R389,IF(P389&lt;&gt;"",P389,N389))))</x:f>
      </x:c>
      <x:c r="W389" s="221"/>
      <x:c r="X389" s="220"/>
      <x:c r="Y389" s="220"/>
      <x:c r="Z389" s="223"/>
      <x:c r="AA389" s="223"/>
      <x:c r="AB389" s="221"/>
      <x:c r="AC389" s="220"/>
      <x:c r="AD389" s="220"/>
      <x:c r="AE389" s="222"/>
      <x:c r="AF389" s="220"/>
      <x:c r="AG389" s="221"/>
      <x:c r="AH389" s="220"/>
      <x:c r="AI389" s="220"/>
      <x:c r="AJ389" s="222"/>
      <x:c r="AK389" s="220"/>
      <x:c r="AL389" s="220"/>
      <x:c r="AM389" s="220"/>
      <x:c r="AN389" s="220"/>
      <x:c r="AO389" s="220"/>
      <x:c r="AP389" s="220"/>
      <x:c r="AQ389" s="220"/>
      <x:c r="AR389" s="222"/>
      <x:c r="AS389" s="220"/>
      <x:c r="AT389" s="220"/>
      <x:c r="AU389" s="220"/>
      <x:c r="AV389" s="220"/>
      <x:c r="AW389" s="220"/>
      <x:c r="AX389" s="220"/>
      <x:c r="AY389" s="221"/>
      <x:c r="AZ389" s="220"/>
      <x:c r="BA389" s="220" t="str">
        <x:f>IF(AND(A389="",B389="",F389="",H389="",J389="",AW389="",AY389=""),"",IF(OR(B389="skip",AW389="skip"),"SKIP",IF(OR(B389="to_candidate",AW389="proposed_name"),IF(OR(A389="",AX389="",AY389="",COUNTIF($A$6:$A$505,A389)&gt;1),"REVIEW","TO_PROPOSED"),IF(OR(B389="",A389="",F389="",H389="",J389="",U389="",AW389="",COUNTIF($A$6:$A$505,A389)&gt;1,(COUNTIFS('أرقام التواصل'!$A$6:$A$505,"client",'أرقام التواصل'!$B$6:$B$505,A389,'أرقام التواصل'!$I$6:$I$505,"TRUE")+COUNTIFS('أرقام التواصل'!$A$6:$A$505,"client",'أرقام التواصل'!$B$6:$B$505,A389,'أرقام التواصل'!$C$6:$C$505,1))=0),"REVIEW","READY"))))</x:f>
      </x:c>
      <x:c r="BB389" s="224" t="str">
        <x:f>IF(BA389="","",IF(OR(BA389="READY",BA389="TO_PROPOSED"),"",IF(BA389="SKIP","Skipped by decision",TRIM(IF(B389="","missing import_action; ","")&amp;IF(A389="","missing migration_customer_key; ","")&amp;IF(AND(A389&lt;&gt;"",COUNTIF($A$6:$A$505,A389)&gt;1),"duplicate migration_customer_key; ","")&amp;IF(AND(NOT(OR(B389="to_candidate",AW389="proposed_name")),F389=""),"missing branch_id; ","")&amp;IF(AND(NOT(OR(B389="to_candidate",AW389="proposed_name")),H389=""),"missing first_name; ","")&amp;IF(AND(NOT(OR(B389="to_candidate",AW389="proposed_name")),J389=""),"missing last_name; ","")&amp;IF(AND(NOT(OR(B389="to_candidate",AW389="proposed_name")),U389=""),"missing final_geo_unit_id; ","")&amp;IF(AW389="","missing final_destination; ","")&amp;IF(AND(NOT(OR(B389="to_candidate",AW389="proposed_name")),(COUNTIFS('أرقام التواصل'!$A$6:$A$505,"client",'أرقام التواصل'!$B$6:$B$505,A389,'أرقام التواصل'!$I$6:$I$505,"TRUE")+COUNTIFS('أرقام التواصل'!$A$6:$A$505,"client",'أرقام التواصل'!$B$6:$B$505,A389,'أرقام التواصل'!$C$6:$C$505,1))=0),"missing primary contact in أرقام التواصل; ","")&amp;IF(OR(B389="to_candidate",AW389="proposed_name"),IF(AX389="","missing proposed_move_reason; ","")&amp;IF(AY389="","missing proposed_name_key; ",""),"")))))</x:f>
      </x:c>
    </x:row>
    <x:row r="390">
      <x:c r="A390" s="219"/>
      <x:c r="B390" s="220"/>
      <x:c r="C390" s="221"/>
      <x:c r="D390" s="220"/>
      <x:c r="E390" s="222"/>
      <x:c r="F390" s="220"/>
      <x:c r="G390" s="220"/>
      <x:c r="H390" s="220"/>
      <x:c r="I390" s="220"/>
      <x:c r="J390" s="220"/>
      <x:c r="K390" s="220"/>
      <x:c r="L390" s="220" t="str">
        <x:f>IF(TRIM(H390&amp;" "&amp;I390&amp;" "&amp;J390&amp;IF(K390&lt;&gt;""," ("&amp;K390&amp;")",""))="","",TRIM(H390&amp;" "&amp;I390&amp;" "&amp;J390&amp;IF(K390&lt;&gt;""," ("&amp;K390&amp;")","")))</x:f>
      </x:c>
      <x:c r="M390" s="220"/>
      <x:c r="N390" s="220"/>
      <x:c r="O390" s="220"/>
      <x:c r="P390" s="220"/>
      <x:c r="Q390" s="220"/>
      <x:c r="R390" s="220"/>
      <x:c r="S390" s="220"/>
      <x:c r="T390" s="220"/>
      <x:c r="U390" s="220" t="str">
        <x:f>IF(AND(M390="",O390="",Q390="",S390=""),"",IF(S390&lt;&gt;"",S390,IF(Q390&lt;&gt;"",Q390,IF(O390&lt;&gt;"",O390,M390))))</x:f>
      </x:c>
      <x:c r="V390" s="220" t="str">
        <x:f>IF(AND(N390="",P390="",R390="",T390=""),"",IF(T390&lt;&gt;"",T390,IF(R390&lt;&gt;"",R390,IF(P390&lt;&gt;"",P390,N390))))</x:f>
      </x:c>
      <x:c r="W390" s="221"/>
      <x:c r="X390" s="220"/>
      <x:c r="Y390" s="220"/>
      <x:c r="Z390" s="223"/>
      <x:c r="AA390" s="223"/>
      <x:c r="AB390" s="221"/>
      <x:c r="AC390" s="220"/>
      <x:c r="AD390" s="220"/>
      <x:c r="AE390" s="222"/>
      <x:c r="AF390" s="220"/>
      <x:c r="AG390" s="221"/>
      <x:c r="AH390" s="220"/>
      <x:c r="AI390" s="220"/>
      <x:c r="AJ390" s="222"/>
      <x:c r="AK390" s="220"/>
      <x:c r="AL390" s="220"/>
      <x:c r="AM390" s="220"/>
      <x:c r="AN390" s="220"/>
      <x:c r="AO390" s="220"/>
      <x:c r="AP390" s="220"/>
      <x:c r="AQ390" s="220"/>
      <x:c r="AR390" s="222"/>
      <x:c r="AS390" s="220"/>
      <x:c r="AT390" s="220"/>
      <x:c r="AU390" s="220"/>
      <x:c r="AV390" s="220"/>
      <x:c r="AW390" s="220"/>
      <x:c r="AX390" s="220"/>
      <x:c r="AY390" s="221"/>
      <x:c r="AZ390" s="220"/>
      <x:c r="BA390" s="220" t="str">
        <x:f>IF(AND(A390="",B390="",F390="",H390="",J390="",AW390="",AY390=""),"",IF(OR(B390="skip",AW390="skip"),"SKIP",IF(OR(B390="to_candidate",AW390="proposed_name"),IF(OR(A390="",AX390="",AY390="",COUNTIF($A$6:$A$505,A390)&gt;1),"REVIEW","TO_PROPOSED"),IF(OR(B390="",A390="",F390="",H390="",J390="",U390="",AW390="",COUNTIF($A$6:$A$505,A390)&gt;1,(COUNTIFS('أرقام التواصل'!$A$6:$A$505,"client",'أرقام التواصل'!$B$6:$B$505,A390,'أرقام التواصل'!$I$6:$I$505,"TRUE")+COUNTIFS('أرقام التواصل'!$A$6:$A$505,"client",'أرقام التواصل'!$B$6:$B$505,A390,'أرقام التواصل'!$C$6:$C$505,1))=0),"REVIEW","READY"))))</x:f>
      </x:c>
      <x:c r="BB390" s="224" t="str">
        <x:f>IF(BA390="","",IF(OR(BA390="READY",BA390="TO_PROPOSED"),"",IF(BA390="SKIP","Skipped by decision",TRIM(IF(B390="","missing import_action; ","")&amp;IF(A390="","missing migration_customer_key; ","")&amp;IF(AND(A390&lt;&gt;"",COUNTIF($A$6:$A$505,A390)&gt;1),"duplicate migration_customer_key; ","")&amp;IF(AND(NOT(OR(B390="to_candidate",AW390="proposed_name")),F390=""),"missing branch_id; ","")&amp;IF(AND(NOT(OR(B390="to_candidate",AW390="proposed_name")),H390=""),"missing first_name; ","")&amp;IF(AND(NOT(OR(B390="to_candidate",AW390="proposed_name")),J390=""),"missing last_name; ","")&amp;IF(AND(NOT(OR(B390="to_candidate",AW390="proposed_name")),U390=""),"missing final_geo_unit_id; ","")&amp;IF(AW390="","missing final_destination; ","")&amp;IF(AND(NOT(OR(B390="to_candidate",AW390="proposed_name")),(COUNTIFS('أرقام التواصل'!$A$6:$A$505,"client",'أرقام التواصل'!$B$6:$B$505,A390,'أرقام التواصل'!$I$6:$I$505,"TRUE")+COUNTIFS('أرقام التواصل'!$A$6:$A$505,"client",'أرقام التواصل'!$B$6:$B$505,A390,'أرقام التواصل'!$C$6:$C$505,1))=0),"missing primary contact in أرقام التواصل; ","")&amp;IF(OR(B390="to_candidate",AW390="proposed_name"),IF(AX390="","missing proposed_move_reason; ","")&amp;IF(AY390="","missing proposed_name_key; ",""),"")))))</x:f>
      </x:c>
    </x:row>
    <x:row r="391">
      <x:c r="A391" s="219"/>
      <x:c r="B391" s="220"/>
      <x:c r="C391" s="221"/>
      <x:c r="D391" s="220"/>
      <x:c r="E391" s="222"/>
      <x:c r="F391" s="220"/>
      <x:c r="G391" s="220"/>
      <x:c r="H391" s="220"/>
      <x:c r="I391" s="220"/>
      <x:c r="J391" s="220"/>
      <x:c r="K391" s="220"/>
      <x:c r="L391" s="220" t="str">
        <x:f>IF(TRIM(H391&amp;" "&amp;I391&amp;" "&amp;J391&amp;IF(K391&lt;&gt;""," ("&amp;K391&amp;")",""))="","",TRIM(H391&amp;" "&amp;I391&amp;" "&amp;J391&amp;IF(K391&lt;&gt;""," ("&amp;K391&amp;")","")))</x:f>
      </x:c>
      <x:c r="M391" s="220"/>
      <x:c r="N391" s="220"/>
      <x:c r="O391" s="220"/>
      <x:c r="P391" s="220"/>
      <x:c r="Q391" s="220"/>
      <x:c r="R391" s="220"/>
      <x:c r="S391" s="220"/>
      <x:c r="T391" s="220"/>
      <x:c r="U391" s="220" t="str">
        <x:f>IF(AND(M391="",O391="",Q391="",S391=""),"",IF(S391&lt;&gt;"",S391,IF(Q391&lt;&gt;"",Q391,IF(O391&lt;&gt;"",O391,M391))))</x:f>
      </x:c>
      <x:c r="V391" s="220" t="str">
        <x:f>IF(AND(N391="",P391="",R391="",T391=""),"",IF(T391&lt;&gt;"",T391,IF(R391&lt;&gt;"",R391,IF(P391&lt;&gt;"",P391,N391))))</x:f>
      </x:c>
      <x:c r="W391" s="221"/>
      <x:c r="X391" s="220"/>
      <x:c r="Y391" s="220"/>
      <x:c r="Z391" s="223"/>
      <x:c r="AA391" s="223"/>
      <x:c r="AB391" s="221"/>
      <x:c r="AC391" s="220"/>
      <x:c r="AD391" s="220"/>
      <x:c r="AE391" s="222"/>
      <x:c r="AF391" s="220"/>
      <x:c r="AG391" s="221"/>
      <x:c r="AH391" s="220"/>
      <x:c r="AI391" s="220"/>
      <x:c r="AJ391" s="222"/>
      <x:c r="AK391" s="220"/>
      <x:c r="AL391" s="220"/>
      <x:c r="AM391" s="220"/>
      <x:c r="AN391" s="220"/>
      <x:c r="AO391" s="220"/>
      <x:c r="AP391" s="220"/>
      <x:c r="AQ391" s="220"/>
      <x:c r="AR391" s="222"/>
      <x:c r="AS391" s="220"/>
      <x:c r="AT391" s="220"/>
      <x:c r="AU391" s="220"/>
      <x:c r="AV391" s="220"/>
      <x:c r="AW391" s="220"/>
      <x:c r="AX391" s="220"/>
      <x:c r="AY391" s="221"/>
      <x:c r="AZ391" s="220"/>
      <x:c r="BA391" s="220" t="str">
        <x:f>IF(AND(A391="",B391="",F391="",H391="",J391="",AW391="",AY391=""),"",IF(OR(B391="skip",AW391="skip"),"SKIP",IF(OR(B391="to_candidate",AW391="proposed_name"),IF(OR(A391="",AX391="",AY391="",COUNTIF($A$6:$A$505,A391)&gt;1),"REVIEW","TO_PROPOSED"),IF(OR(B391="",A391="",F391="",H391="",J391="",U391="",AW391="",COUNTIF($A$6:$A$505,A391)&gt;1,(COUNTIFS('أرقام التواصل'!$A$6:$A$505,"client",'أرقام التواصل'!$B$6:$B$505,A391,'أرقام التواصل'!$I$6:$I$505,"TRUE")+COUNTIFS('أرقام التواصل'!$A$6:$A$505,"client",'أرقام التواصل'!$B$6:$B$505,A391,'أرقام التواصل'!$C$6:$C$505,1))=0),"REVIEW","READY"))))</x:f>
      </x:c>
      <x:c r="BB391" s="224" t="str">
        <x:f>IF(BA391="","",IF(OR(BA391="READY",BA391="TO_PROPOSED"),"",IF(BA391="SKIP","Skipped by decision",TRIM(IF(B391="","missing import_action; ","")&amp;IF(A391="","missing migration_customer_key; ","")&amp;IF(AND(A391&lt;&gt;"",COUNTIF($A$6:$A$505,A391)&gt;1),"duplicate migration_customer_key; ","")&amp;IF(AND(NOT(OR(B391="to_candidate",AW391="proposed_name")),F391=""),"missing branch_id; ","")&amp;IF(AND(NOT(OR(B391="to_candidate",AW391="proposed_name")),H391=""),"missing first_name; ","")&amp;IF(AND(NOT(OR(B391="to_candidate",AW391="proposed_name")),J391=""),"missing last_name; ","")&amp;IF(AND(NOT(OR(B391="to_candidate",AW391="proposed_name")),U391=""),"missing final_geo_unit_id; ","")&amp;IF(AW391="","missing final_destination; ","")&amp;IF(AND(NOT(OR(B391="to_candidate",AW391="proposed_name")),(COUNTIFS('أرقام التواصل'!$A$6:$A$505,"client",'أرقام التواصل'!$B$6:$B$505,A391,'أرقام التواصل'!$I$6:$I$505,"TRUE")+COUNTIFS('أرقام التواصل'!$A$6:$A$505,"client",'أرقام التواصل'!$B$6:$B$505,A391,'أرقام التواصل'!$C$6:$C$505,1))=0),"missing primary contact in أرقام التواصل; ","")&amp;IF(OR(B391="to_candidate",AW391="proposed_name"),IF(AX391="","missing proposed_move_reason; ","")&amp;IF(AY391="","missing proposed_name_key; ",""),"")))))</x:f>
      </x:c>
    </x:row>
    <x:row r="392">
      <x:c r="A392" s="219"/>
      <x:c r="B392" s="220"/>
      <x:c r="C392" s="221"/>
      <x:c r="D392" s="220"/>
      <x:c r="E392" s="222"/>
      <x:c r="F392" s="220"/>
      <x:c r="G392" s="220"/>
      <x:c r="H392" s="220"/>
      <x:c r="I392" s="220"/>
      <x:c r="J392" s="220"/>
      <x:c r="K392" s="220"/>
      <x:c r="L392" s="220" t="str">
        <x:f>IF(TRIM(H392&amp;" "&amp;I392&amp;" "&amp;J392&amp;IF(K392&lt;&gt;""," ("&amp;K392&amp;")",""))="","",TRIM(H392&amp;" "&amp;I392&amp;" "&amp;J392&amp;IF(K392&lt;&gt;""," ("&amp;K392&amp;")","")))</x:f>
      </x:c>
      <x:c r="M392" s="220"/>
      <x:c r="N392" s="220"/>
      <x:c r="O392" s="220"/>
      <x:c r="P392" s="220"/>
      <x:c r="Q392" s="220"/>
      <x:c r="R392" s="220"/>
      <x:c r="S392" s="220"/>
      <x:c r="T392" s="220"/>
      <x:c r="U392" s="220" t="str">
        <x:f>IF(AND(M392="",O392="",Q392="",S392=""),"",IF(S392&lt;&gt;"",S392,IF(Q392&lt;&gt;"",Q392,IF(O392&lt;&gt;"",O392,M392))))</x:f>
      </x:c>
      <x:c r="V392" s="220" t="str">
        <x:f>IF(AND(N392="",P392="",R392="",T392=""),"",IF(T392&lt;&gt;"",T392,IF(R392&lt;&gt;"",R392,IF(P392&lt;&gt;"",P392,N392))))</x:f>
      </x:c>
      <x:c r="W392" s="221"/>
      <x:c r="X392" s="220"/>
      <x:c r="Y392" s="220"/>
      <x:c r="Z392" s="223"/>
      <x:c r="AA392" s="223"/>
      <x:c r="AB392" s="221"/>
      <x:c r="AC392" s="220"/>
      <x:c r="AD392" s="220"/>
      <x:c r="AE392" s="222"/>
      <x:c r="AF392" s="220"/>
      <x:c r="AG392" s="221"/>
      <x:c r="AH392" s="220"/>
      <x:c r="AI392" s="220"/>
      <x:c r="AJ392" s="222"/>
      <x:c r="AK392" s="220"/>
      <x:c r="AL392" s="220"/>
      <x:c r="AM392" s="220"/>
      <x:c r="AN392" s="220"/>
      <x:c r="AO392" s="220"/>
      <x:c r="AP392" s="220"/>
      <x:c r="AQ392" s="220"/>
      <x:c r="AR392" s="222"/>
      <x:c r="AS392" s="220"/>
      <x:c r="AT392" s="220"/>
      <x:c r="AU392" s="220"/>
      <x:c r="AV392" s="220"/>
      <x:c r="AW392" s="220"/>
      <x:c r="AX392" s="220"/>
      <x:c r="AY392" s="221"/>
      <x:c r="AZ392" s="220"/>
      <x:c r="BA392" s="220" t="str">
        <x:f>IF(AND(A392="",B392="",F392="",H392="",J392="",AW392="",AY392=""),"",IF(OR(B392="skip",AW392="skip"),"SKIP",IF(OR(B392="to_candidate",AW392="proposed_name"),IF(OR(A392="",AX392="",AY392="",COUNTIF($A$6:$A$505,A392)&gt;1),"REVIEW","TO_PROPOSED"),IF(OR(B392="",A392="",F392="",H392="",J392="",U392="",AW392="",COUNTIF($A$6:$A$505,A392)&gt;1,(COUNTIFS('أرقام التواصل'!$A$6:$A$505,"client",'أرقام التواصل'!$B$6:$B$505,A392,'أرقام التواصل'!$I$6:$I$505,"TRUE")+COUNTIFS('أرقام التواصل'!$A$6:$A$505,"client",'أرقام التواصل'!$B$6:$B$505,A392,'أرقام التواصل'!$C$6:$C$505,1))=0),"REVIEW","READY"))))</x:f>
      </x:c>
      <x:c r="BB392" s="224" t="str">
        <x:f>IF(BA392="","",IF(OR(BA392="READY",BA392="TO_PROPOSED"),"",IF(BA392="SKIP","Skipped by decision",TRIM(IF(B392="","missing import_action; ","")&amp;IF(A392="","missing migration_customer_key; ","")&amp;IF(AND(A392&lt;&gt;"",COUNTIF($A$6:$A$505,A392)&gt;1),"duplicate migration_customer_key; ","")&amp;IF(AND(NOT(OR(B392="to_candidate",AW392="proposed_name")),F392=""),"missing branch_id; ","")&amp;IF(AND(NOT(OR(B392="to_candidate",AW392="proposed_name")),H392=""),"missing first_name; ","")&amp;IF(AND(NOT(OR(B392="to_candidate",AW392="proposed_name")),J392=""),"missing last_name; ","")&amp;IF(AND(NOT(OR(B392="to_candidate",AW392="proposed_name")),U392=""),"missing final_geo_unit_id; ","")&amp;IF(AW392="","missing final_destination; ","")&amp;IF(AND(NOT(OR(B392="to_candidate",AW392="proposed_name")),(COUNTIFS('أرقام التواصل'!$A$6:$A$505,"client",'أرقام التواصل'!$B$6:$B$505,A392,'أرقام التواصل'!$I$6:$I$505,"TRUE")+COUNTIFS('أرقام التواصل'!$A$6:$A$505,"client",'أرقام التواصل'!$B$6:$B$505,A392,'أرقام التواصل'!$C$6:$C$505,1))=0),"missing primary contact in أرقام التواصل; ","")&amp;IF(OR(B392="to_candidate",AW392="proposed_name"),IF(AX392="","missing proposed_move_reason; ","")&amp;IF(AY392="","missing proposed_name_key; ",""),"")))))</x:f>
      </x:c>
    </x:row>
    <x:row r="393">
      <x:c r="A393" s="219"/>
      <x:c r="B393" s="220"/>
      <x:c r="C393" s="221"/>
      <x:c r="D393" s="220"/>
      <x:c r="E393" s="222"/>
      <x:c r="F393" s="220"/>
      <x:c r="G393" s="220"/>
      <x:c r="H393" s="220"/>
      <x:c r="I393" s="220"/>
      <x:c r="J393" s="220"/>
      <x:c r="K393" s="220"/>
      <x:c r="L393" s="220" t="str">
        <x:f>IF(TRIM(H393&amp;" "&amp;I393&amp;" "&amp;J393&amp;IF(K393&lt;&gt;""," ("&amp;K393&amp;")",""))="","",TRIM(H393&amp;" "&amp;I393&amp;" "&amp;J393&amp;IF(K393&lt;&gt;""," ("&amp;K393&amp;")","")))</x:f>
      </x:c>
      <x:c r="M393" s="220"/>
      <x:c r="N393" s="220"/>
      <x:c r="O393" s="220"/>
      <x:c r="P393" s="220"/>
      <x:c r="Q393" s="220"/>
      <x:c r="R393" s="220"/>
      <x:c r="S393" s="220"/>
      <x:c r="T393" s="220"/>
      <x:c r="U393" s="220" t="str">
        <x:f>IF(AND(M393="",O393="",Q393="",S393=""),"",IF(S393&lt;&gt;"",S393,IF(Q393&lt;&gt;"",Q393,IF(O393&lt;&gt;"",O393,M393))))</x:f>
      </x:c>
      <x:c r="V393" s="220" t="str">
        <x:f>IF(AND(N393="",P393="",R393="",T393=""),"",IF(T393&lt;&gt;"",T393,IF(R393&lt;&gt;"",R393,IF(P393&lt;&gt;"",P393,N393))))</x:f>
      </x:c>
      <x:c r="W393" s="221"/>
      <x:c r="X393" s="220"/>
      <x:c r="Y393" s="220"/>
      <x:c r="Z393" s="223"/>
      <x:c r="AA393" s="223"/>
      <x:c r="AB393" s="221"/>
      <x:c r="AC393" s="220"/>
      <x:c r="AD393" s="220"/>
      <x:c r="AE393" s="222"/>
      <x:c r="AF393" s="220"/>
      <x:c r="AG393" s="221"/>
      <x:c r="AH393" s="220"/>
      <x:c r="AI393" s="220"/>
      <x:c r="AJ393" s="222"/>
      <x:c r="AK393" s="220"/>
      <x:c r="AL393" s="220"/>
      <x:c r="AM393" s="220"/>
      <x:c r="AN393" s="220"/>
      <x:c r="AO393" s="220"/>
      <x:c r="AP393" s="220"/>
      <x:c r="AQ393" s="220"/>
      <x:c r="AR393" s="222"/>
      <x:c r="AS393" s="220"/>
      <x:c r="AT393" s="220"/>
      <x:c r="AU393" s="220"/>
      <x:c r="AV393" s="220"/>
      <x:c r="AW393" s="220"/>
      <x:c r="AX393" s="220"/>
      <x:c r="AY393" s="221"/>
      <x:c r="AZ393" s="220"/>
      <x:c r="BA393" s="220" t="str">
        <x:f>IF(AND(A393="",B393="",F393="",H393="",J393="",AW393="",AY393=""),"",IF(OR(B393="skip",AW393="skip"),"SKIP",IF(OR(B393="to_candidate",AW393="proposed_name"),IF(OR(A393="",AX393="",AY393="",COUNTIF($A$6:$A$505,A393)&gt;1),"REVIEW","TO_PROPOSED"),IF(OR(B393="",A393="",F393="",H393="",J393="",U393="",AW393="",COUNTIF($A$6:$A$505,A393)&gt;1,(COUNTIFS('أرقام التواصل'!$A$6:$A$505,"client",'أرقام التواصل'!$B$6:$B$505,A393,'أرقام التواصل'!$I$6:$I$505,"TRUE")+COUNTIFS('أرقام التواصل'!$A$6:$A$505,"client",'أرقام التواصل'!$B$6:$B$505,A393,'أرقام التواصل'!$C$6:$C$505,1))=0),"REVIEW","READY"))))</x:f>
      </x:c>
      <x:c r="BB393" s="224" t="str">
        <x:f>IF(BA393="","",IF(OR(BA393="READY",BA393="TO_PROPOSED"),"",IF(BA393="SKIP","Skipped by decision",TRIM(IF(B393="","missing import_action; ","")&amp;IF(A393="","missing migration_customer_key; ","")&amp;IF(AND(A393&lt;&gt;"",COUNTIF($A$6:$A$505,A393)&gt;1),"duplicate migration_customer_key; ","")&amp;IF(AND(NOT(OR(B393="to_candidate",AW393="proposed_name")),F393=""),"missing branch_id; ","")&amp;IF(AND(NOT(OR(B393="to_candidate",AW393="proposed_name")),H393=""),"missing first_name; ","")&amp;IF(AND(NOT(OR(B393="to_candidate",AW393="proposed_name")),J393=""),"missing last_name; ","")&amp;IF(AND(NOT(OR(B393="to_candidate",AW393="proposed_name")),U393=""),"missing final_geo_unit_id; ","")&amp;IF(AW393="","missing final_destination; ","")&amp;IF(AND(NOT(OR(B393="to_candidate",AW393="proposed_name")),(COUNTIFS('أرقام التواصل'!$A$6:$A$505,"client",'أرقام التواصل'!$B$6:$B$505,A393,'أرقام التواصل'!$I$6:$I$505,"TRUE")+COUNTIFS('أرقام التواصل'!$A$6:$A$505,"client",'أرقام التواصل'!$B$6:$B$505,A393,'أرقام التواصل'!$C$6:$C$505,1))=0),"missing primary contact in أرقام التواصل; ","")&amp;IF(OR(B393="to_candidate",AW393="proposed_name"),IF(AX393="","missing proposed_move_reason; ","")&amp;IF(AY393="","missing proposed_name_key; ",""),"")))))</x:f>
      </x:c>
    </x:row>
    <x:row r="394">
      <x:c r="A394" s="219"/>
      <x:c r="B394" s="220"/>
      <x:c r="C394" s="221"/>
      <x:c r="D394" s="220"/>
      <x:c r="E394" s="222"/>
      <x:c r="F394" s="220"/>
      <x:c r="G394" s="220"/>
      <x:c r="H394" s="220"/>
      <x:c r="I394" s="220"/>
      <x:c r="J394" s="220"/>
      <x:c r="K394" s="220"/>
      <x:c r="L394" s="220" t="str">
        <x:f>IF(TRIM(H394&amp;" "&amp;I394&amp;" "&amp;J394&amp;IF(K394&lt;&gt;""," ("&amp;K394&amp;")",""))="","",TRIM(H394&amp;" "&amp;I394&amp;" "&amp;J394&amp;IF(K394&lt;&gt;""," ("&amp;K394&amp;")","")))</x:f>
      </x:c>
      <x:c r="M394" s="220"/>
      <x:c r="N394" s="220"/>
      <x:c r="O394" s="220"/>
      <x:c r="P394" s="220"/>
      <x:c r="Q394" s="220"/>
      <x:c r="R394" s="220"/>
      <x:c r="S394" s="220"/>
      <x:c r="T394" s="220"/>
      <x:c r="U394" s="220" t="str">
        <x:f>IF(AND(M394="",O394="",Q394="",S394=""),"",IF(S394&lt;&gt;"",S394,IF(Q394&lt;&gt;"",Q394,IF(O394&lt;&gt;"",O394,M394))))</x:f>
      </x:c>
      <x:c r="V394" s="220" t="str">
        <x:f>IF(AND(N394="",P394="",R394="",T394=""),"",IF(T394&lt;&gt;"",T394,IF(R394&lt;&gt;"",R394,IF(P394&lt;&gt;"",P394,N394))))</x:f>
      </x:c>
      <x:c r="W394" s="221"/>
      <x:c r="X394" s="220"/>
      <x:c r="Y394" s="220"/>
      <x:c r="Z394" s="223"/>
      <x:c r="AA394" s="223"/>
      <x:c r="AB394" s="221"/>
      <x:c r="AC394" s="220"/>
      <x:c r="AD394" s="220"/>
      <x:c r="AE394" s="222"/>
      <x:c r="AF394" s="220"/>
      <x:c r="AG394" s="221"/>
      <x:c r="AH394" s="220"/>
      <x:c r="AI394" s="220"/>
      <x:c r="AJ394" s="222"/>
      <x:c r="AK394" s="220"/>
      <x:c r="AL394" s="220"/>
      <x:c r="AM394" s="220"/>
      <x:c r="AN394" s="220"/>
      <x:c r="AO394" s="220"/>
      <x:c r="AP394" s="220"/>
      <x:c r="AQ394" s="220"/>
      <x:c r="AR394" s="222"/>
      <x:c r="AS394" s="220"/>
      <x:c r="AT394" s="220"/>
      <x:c r="AU394" s="220"/>
      <x:c r="AV394" s="220"/>
      <x:c r="AW394" s="220"/>
      <x:c r="AX394" s="220"/>
      <x:c r="AY394" s="221"/>
      <x:c r="AZ394" s="220"/>
      <x:c r="BA394" s="220" t="str">
        <x:f>IF(AND(A394="",B394="",F394="",H394="",J394="",AW394="",AY394=""),"",IF(OR(B394="skip",AW394="skip"),"SKIP",IF(OR(B394="to_candidate",AW394="proposed_name"),IF(OR(A394="",AX394="",AY394="",COUNTIF($A$6:$A$505,A394)&gt;1),"REVIEW","TO_PROPOSED"),IF(OR(B394="",A394="",F394="",H394="",J394="",U394="",AW394="",COUNTIF($A$6:$A$505,A394)&gt;1,(COUNTIFS('أرقام التواصل'!$A$6:$A$505,"client",'أرقام التواصل'!$B$6:$B$505,A394,'أرقام التواصل'!$I$6:$I$505,"TRUE")+COUNTIFS('أرقام التواصل'!$A$6:$A$505,"client",'أرقام التواصل'!$B$6:$B$505,A394,'أرقام التواصل'!$C$6:$C$505,1))=0),"REVIEW","READY"))))</x:f>
      </x:c>
      <x:c r="BB394" s="224" t="str">
        <x:f>IF(BA394="","",IF(OR(BA394="READY",BA394="TO_PROPOSED"),"",IF(BA394="SKIP","Skipped by decision",TRIM(IF(B394="","missing import_action; ","")&amp;IF(A394="","missing migration_customer_key; ","")&amp;IF(AND(A394&lt;&gt;"",COUNTIF($A$6:$A$505,A394)&gt;1),"duplicate migration_customer_key; ","")&amp;IF(AND(NOT(OR(B394="to_candidate",AW394="proposed_name")),F394=""),"missing branch_id; ","")&amp;IF(AND(NOT(OR(B394="to_candidate",AW394="proposed_name")),H394=""),"missing first_name; ","")&amp;IF(AND(NOT(OR(B394="to_candidate",AW394="proposed_name")),J394=""),"missing last_name; ","")&amp;IF(AND(NOT(OR(B394="to_candidate",AW394="proposed_name")),U394=""),"missing final_geo_unit_id; ","")&amp;IF(AW394="","missing final_destination; ","")&amp;IF(AND(NOT(OR(B394="to_candidate",AW394="proposed_name")),(COUNTIFS('أرقام التواصل'!$A$6:$A$505,"client",'أرقام التواصل'!$B$6:$B$505,A394,'أرقام التواصل'!$I$6:$I$505,"TRUE")+COUNTIFS('أرقام التواصل'!$A$6:$A$505,"client",'أرقام التواصل'!$B$6:$B$505,A394,'أرقام التواصل'!$C$6:$C$505,1))=0),"missing primary contact in أرقام التواصل; ","")&amp;IF(OR(B394="to_candidate",AW394="proposed_name"),IF(AX394="","missing proposed_move_reason; ","")&amp;IF(AY394="","missing proposed_name_key; ",""),"")))))</x:f>
      </x:c>
    </x:row>
    <x:row r="395">
      <x:c r="A395" s="219"/>
      <x:c r="B395" s="220"/>
      <x:c r="C395" s="221"/>
      <x:c r="D395" s="220"/>
      <x:c r="E395" s="222"/>
      <x:c r="F395" s="220"/>
      <x:c r="G395" s="220"/>
      <x:c r="H395" s="220"/>
      <x:c r="I395" s="220"/>
      <x:c r="J395" s="220"/>
      <x:c r="K395" s="220"/>
      <x:c r="L395" s="220" t="str">
        <x:f>IF(TRIM(H395&amp;" "&amp;I395&amp;" "&amp;J395&amp;IF(K395&lt;&gt;""," ("&amp;K395&amp;")",""))="","",TRIM(H395&amp;" "&amp;I395&amp;" "&amp;J395&amp;IF(K395&lt;&gt;""," ("&amp;K395&amp;")","")))</x:f>
      </x:c>
      <x:c r="M395" s="220"/>
      <x:c r="N395" s="220"/>
      <x:c r="O395" s="220"/>
      <x:c r="P395" s="220"/>
      <x:c r="Q395" s="220"/>
      <x:c r="R395" s="220"/>
      <x:c r="S395" s="220"/>
      <x:c r="T395" s="220"/>
      <x:c r="U395" s="220" t="str">
        <x:f>IF(AND(M395="",O395="",Q395="",S395=""),"",IF(S395&lt;&gt;"",S395,IF(Q395&lt;&gt;"",Q395,IF(O395&lt;&gt;"",O395,M395))))</x:f>
      </x:c>
      <x:c r="V395" s="220" t="str">
        <x:f>IF(AND(N395="",P395="",R395="",T395=""),"",IF(T395&lt;&gt;"",T395,IF(R395&lt;&gt;"",R395,IF(P395&lt;&gt;"",P395,N395))))</x:f>
      </x:c>
      <x:c r="W395" s="221"/>
      <x:c r="X395" s="220"/>
      <x:c r="Y395" s="220"/>
      <x:c r="Z395" s="223"/>
      <x:c r="AA395" s="223"/>
      <x:c r="AB395" s="221"/>
      <x:c r="AC395" s="220"/>
      <x:c r="AD395" s="220"/>
      <x:c r="AE395" s="222"/>
      <x:c r="AF395" s="220"/>
      <x:c r="AG395" s="221"/>
      <x:c r="AH395" s="220"/>
      <x:c r="AI395" s="220"/>
      <x:c r="AJ395" s="222"/>
      <x:c r="AK395" s="220"/>
      <x:c r="AL395" s="220"/>
      <x:c r="AM395" s="220"/>
      <x:c r="AN395" s="220"/>
      <x:c r="AO395" s="220"/>
      <x:c r="AP395" s="220"/>
      <x:c r="AQ395" s="220"/>
      <x:c r="AR395" s="222"/>
      <x:c r="AS395" s="220"/>
      <x:c r="AT395" s="220"/>
      <x:c r="AU395" s="220"/>
      <x:c r="AV395" s="220"/>
      <x:c r="AW395" s="220"/>
      <x:c r="AX395" s="220"/>
      <x:c r="AY395" s="221"/>
      <x:c r="AZ395" s="220"/>
      <x:c r="BA395" s="220" t="str">
        <x:f>IF(AND(A395="",B395="",F395="",H395="",J395="",AW395="",AY395=""),"",IF(OR(B395="skip",AW395="skip"),"SKIP",IF(OR(B395="to_candidate",AW395="proposed_name"),IF(OR(A395="",AX395="",AY395="",COUNTIF($A$6:$A$505,A395)&gt;1),"REVIEW","TO_PROPOSED"),IF(OR(B395="",A395="",F395="",H395="",J395="",U395="",AW395="",COUNTIF($A$6:$A$505,A395)&gt;1,(COUNTIFS('أرقام التواصل'!$A$6:$A$505,"client",'أرقام التواصل'!$B$6:$B$505,A395,'أرقام التواصل'!$I$6:$I$505,"TRUE")+COUNTIFS('أرقام التواصل'!$A$6:$A$505,"client",'أرقام التواصل'!$B$6:$B$505,A395,'أرقام التواصل'!$C$6:$C$505,1))=0),"REVIEW","READY"))))</x:f>
      </x:c>
      <x:c r="BB395" s="224" t="str">
        <x:f>IF(BA395="","",IF(OR(BA395="READY",BA395="TO_PROPOSED"),"",IF(BA395="SKIP","Skipped by decision",TRIM(IF(B395="","missing import_action; ","")&amp;IF(A395="","missing migration_customer_key; ","")&amp;IF(AND(A395&lt;&gt;"",COUNTIF($A$6:$A$505,A395)&gt;1),"duplicate migration_customer_key; ","")&amp;IF(AND(NOT(OR(B395="to_candidate",AW395="proposed_name")),F395=""),"missing branch_id; ","")&amp;IF(AND(NOT(OR(B395="to_candidate",AW395="proposed_name")),H395=""),"missing first_name; ","")&amp;IF(AND(NOT(OR(B395="to_candidate",AW395="proposed_name")),J395=""),"missing last_name; ","")&amp;IF(AND(NOT(OR(B395="to_candidate",AW395="proposed_name")),U395=""),"missing final_geo_unit_id; ","")&amp;IF(AW395="","missing final_destination; ","")&amp;IF(AND(NOT(OR(B395="to_candidate",AW395="proposed_name")),(COUNTIFS('أرقام التواصل'!$A$6:$A$505,"client",'أرقام التواصل'!$B$6:$B$505,A395,'أرقام التواصل'!$I$6:$I$505,"TRUE")+COUNTIFS('أرقام التواصل'!$A$6:$A$505,"client",'أرقام التواصل'!$B$6:$B$505,A395,'أرقام التواصل'!$C$6:$C$505,1))=0),"missing primary contact in أرقام التواصل; ","")&amp;IF(OR(B395="to_candidate",AW395="proposed_name"),IF(AX395="","missing proposed_move_reason; ","")&amp;IF(AY395="","missing proposed_name_key; ",""),"")))))</x:f>
      </x:c>
    </x:row>
    <x:row r="396">
      <x:c r="A396" s="219"/>
      <x:c r="B396" s="220"/>
      <x:c r="C396" s="221"/>
      <x:c r="D396" s="220"/>
      <x:c r="E396" s="222"/>
      <x:c r="F396" s="220"/>
      <x:c r="G396" s="220"/>
      <x:c r="H396" s="220"/>
      <x:c r="I396" s="220"/>
      <x:c r="J396" s="220"/>
      <x:c r="K396" s="220"/>
      <x:c r="L396" s="220" t="str">
        <x:f>IF(TRIM(H396&amp;" "&amp;I396&amp;" "&amp;J396&amp;IF(K396&lt;&gt;""," ("&amp;K396&amp;")",""))="","",TRIM(H396&amp;" "&amp;I396&amp;" "&amp;J396&amp;IF(K396&lt;&gt;""," ("&amp;K396&amp;")","")))</x:f>
      </x:c>
      <x:c r="M396" s="220"/>
      <x:c r="N396" s="220"/>
      <x:c r="O396" s="220"/>
      <x:c r="P396" s="220"/>
      <x:c r="Q396" s="220"/>
      <x:c r="R396" s="220"/>
      <x:c r="S396" s="220"/>
      <x:c r="T396" s="220"/>
      <x:c r="U396" s="220" t="str">
        <x:f>IF(AND(M396="",O396="",Q396="",S396=""),"",IF(S396&lt;&gt;"",S396,IF(Q396&lt;&gt;"",Q396,IF(O396&lt;&gt;"",O396,M396))))</x:f>
      </x:c>
      <x:c r="V396" s="220" t="str">
        <x:f>IF(AND(N396="",P396="",R396="",T396=""),"",IF(T396&lt;&gt;"",T396,IF(R396&lt;&gt;"",R396,IF(P396&lt;&gt;"",P396,N396))))</x:f>
      </x:c>
      <x:c r="W396" s="221"/>
      <x:c r="X396" s="220"/>
      <x:c r="Y396" s="220"/>
      <x:c r="Z396" s="223"/>
      <x:c r="AA396" s="223"/>
      <x:c r="AB396" s="221"/>
      <x:c r="AC396" s="220"/>
      <x:c r="AD396" s="220"/>
      <x:c r="AE396" s="222"/>
      <x:c r="AF396" s="220"/>
      <x:c r="AG396" s="221"/>
      <x:c r="AH396" s="220"/>
      <x:c r="AI396" s="220"/>
      <x:c r="AJ396" s="222"/>
      <x:c r="AK396" s="220"/>
      <x:c r="AL396" s="220"/>
      <x:c r="AM396" s="220"/>
      <x:c r="AN396" s="220"/>
      <x:c r="AO396" s="220"/>
      <x:c r="AP396" s="220"/>
      <x:c r="AQ396" s="220"/>
      <x:c r="AR396" s="222"/>
      <x:c r="AS396" s="220"/>
      <x:c r="AT396" s="220"/>
      <x:c r="AU396" s="220"/>
      <x:c r="AV396" s="220"/>
      <x:c r="AW396" s="220"/>
      <x:c r="AX396" s="220"/>
      <x:c r="AY396" s="221"/>
      <x:c r="AZ396" s="220"/>
      <x:c r="BA396" s="220" t="str">
        <x:f>IF(AND(A396="",B396="",F396="",H396="",J396="",AW396="",AY396=""),"",IF(OR(B396="skip",AW396="skip"),"SKIP",IF(OR(B396="to_candidate",AW396="proposed_name"),IF(OR(A396="",AX396="",AY396="",COUNTIF($A$6:$A$505,A396)&gt;1),"REVIEW","TO_PROPOSED"),IF(OR(B396="",A396="",F396="",H396="",J396="",U396="",AW396="",COUNTIF($A$6:$A$505,A396)&gt;1,(COUNTIFS('أرقام التواصل'!$A$6:$A$505,"client",'أرقام التواصل'!$B$6:$B$505,A396,'أرقام التواصل'!$I$6:$I$505,"TRUE")+COUNTIFS('أرقام التواصل'!$A$6:$A$505,"client",'أرقام التواصل'!$B$6:$B$505,A396,'أرقام التواصل'!$C$6:$C$505,1))=0),"REVIEW","READY"))))</x:f>
      </x:c>
      <x:c r="BB396" s="224" t="str">
        <x:f>IF(BA396="","",IF(OR(BA396="READY",BA396="TO_PROPOSED"),"",IF(BA396="SKIP","Skipped by decision",TRIM(IF(B396="","missing import_action; ","")&amp;IF(A396="","missing migration_customer_key; ","")&amp;IF(AND(A396&lt;&gt;"",COUNTIF($A$6:$A$505,A396)&gt;1),"duplicate migration_customer_key; ","")&amp;IF(AND(NOT(OR(B396="to_candidate",AW396="proposed_name")),F396=""),"missing branch_id; ","")&amp;IF(AND(NOT(OR(B396="to_candidate",AW396="proposed_name")),H396=""),"missing first_name; ","")&amp;IF(AND(NOT(OR(B396="to_candidate",AW396="proposed_name")),J396=""),"missing last_name; ","")&amp;IF(AND(NOT(OR(B396="to_candidate",AW396="proposed_name")),U396=""),"missing final_geo_unit_id; ","")&amp;IF(AW396="","missing final_destination; ","")&amp;IF(AND(NOT(OR(B396="to_candidate",AW396="proposed_name")),(COUNTIFS('أرقام التواصل'!$A$6:$A$505,"client",'أرقام التواصل'!$B$6:$B$505,A396,'أرقام التواصل'!$I$6:$I$505,"TRUE")+COUNTIFS('أرقام التواصل'!$A$6:$A$505,"client",'أرقام التواصل'!$B$6:$B$505,A396,'أرقام التواصل'!$C$6:$C$505,1))=0),"missing primary contact in أرقام التواصل; ","")&amp;IF(OR(B396="to_candidate",AW396="proposed_name"),IF(AX396="","missing proposed_move_reason; ","")&amp;IF(AY396="","missing proposed_name_key; ",""),"")))))</x:f>
      </x:c>
    </x:row>
    <x:row r="397">
      <x:c r="A397" s="219"/>
      <x:c r="B397" s="220"/>
      <x:c r="C397" s="221"/>
      <x:c r="D397" s="220"/>
      <x:c r="E397" s="222"/>
      <x:c r="F397" s="220"/>
      <x:c r="G397" s="220"/>
      <x:c r="H397" s="220"/>
      <x:c r="I397" s="220"/>
      <x:c r="J397" s="220"/>
      <x:c r="K397" s="220"/>
      <x:c r="L397" s="220" t="str">
        <x:f>IF(TRIM(H397&amp;" "&amp;I397&amp;" "&amp;J397&amp;IF(K397&lt;&gt;""," ("&amp;K397&amp;")",""))="","",TRIM(H397&amp;" "&amp;I397&amp;" "&amp;J397&amp;IF(K397&lt;&gt;""," ("&amp;K397&amp;")","")))</x:f>
      </x:c>
      <x:c r="M397" s="220"/>
      <x:c r="N397" s="220"/>
      <x:c r="O397" s="220"/>
      <x:c r="P397" s="220"/>
      <x:c r="Q397" s="220"/>
      <x:c r="R397" s="220"/>
      <x:c r="S397" s="220"/>
      <x:c r="T397" s="220"/>
      <x:c r="U397" s="220" t="str">
        <x:f>IF(AND(M397="",O397="",Q397="",S397=""),"",IF(S397&lt;&gt;"",S397,IF(Q397&lt;&gt;"",Q397,IF(O397&lt;&gt;"",O397,M397))))</x:f>
      </x:c>
      <x:c r="V397" s="220" t="str">
        <x:f>IF(AND(N397="",P397="",R397="",T397=""),"",IF(T397&lt;&gt;"",T397,IF(R397&lt;&gt;"",R397,IF(P397&lt;&gt;"",P397,N397))))</x:f>
      </x:c>
      <x:c r="W397" s="221"/>
      <x:c r="X397" s="220"/>
      <x:c r="Y397" s="220"/>
      <x:c r="Z397" s="223"/>
      <x:c r="AA397" s="223"/>
      <x:c r="AB397" s="221"/>
      <x:c r="AC397" s="220"/>
      <x:c r="AD397" s="220"/>
      <x:c r="AE397" s="222"/>
      <x:c r="AF397" s="220"/>
      <x:c r="AG397" s="221"/>
      <x:c r="AH397" s="220"/>
      <x:c r="AI397" s="220"/>
      <x:c r="AJ397" s="222"/>
      <x:c r="AK397" s="220"/>
      <x:c r="AL397" s="220"/>
      <x:c r="AM397" s="220"/>
      <x:c r="AN397" s="220"/>
      <x:c r="AO397" s="220"/>
      <x:c r="AP397" s="220"/>
      <x:c r="AQ397" s="220"/>
      <x:c r="AR397" s="222"/>
      <x:c r="AS397" s="220"/>
      <x:c r="AT397" s="220"/>
      <x:c r="AU397" s="220"/>
      <x:c r="AV397" s="220"/>
      <x:c r="AW397" s="220"/>
      <x:c r="AX397" s="220"/>
      <x:c r="AY397" s="221"/>
      <x:c r="AZ397" s="220"/>
      <x:c r="BA397" s="220" t="str">
        <x:f>IF(AND(A397="",B397="",F397="",H397="",J397="",AW397="",AY397=""),"",IF(OR(B397="skip",AW397="skip"),"SKIP",IF(OR(B397="to_candidate",AW397="proposed_name"),IF(OR(A397="",AX397="",AY397="",COUNTIF($A$6:$A$505,A397)&gt;1),"REVIEW","TO_PROPOSED"),IF(OR(B397="",A397="",F397="",H397="",J397="",U397="",AW397="",COUNTIF($A$6:$A$505,A397)&gt;1,(COUNTIFS('أرقام التواصل'!$A$6:$A$505,"client",'أرقام التواصل'!$B$6:$B$505,A397,'أرقام التواصل'!$I$6:$I$505,"TRUE")+COUNTIFS('أرقام التواصل'!$A$6:$A$505,"client",'أرقام التواصل'!$B$6:$B$505,A397,'أرقام التواصل'!$C$6:$C$505,1))=0),"REVIEW","READY"))))</x:f>
      </x:c>
      <x:c r="BB397" s="224" t="str">
        <x:f>IF(BA397="","",IF(OR(BA397="READY",BA397="TO_PROPOSED"),"",IF(BA397="SKIP","Skipped by decision",TRIM(IF(B397="","missing import_action; ","")&amp;IF(A397="","missing migration_customer_key; ","")&amp;IF(AND(A397&lt;&gt;"",COUNTIF($A$6:$A$505,A397)&gt;1),"duplicate migration_customer_key; ","")&amp;IF(AND(NOT(OR(B397="to_candidate",AW397="proposed_name")),F397=""),"missing branch_id; ","")&amp;IF(AND(NOT(OR(B397="to_candidate",AW397="proposed_name")),H397=""),"missing first_name; ","")&amp;IF(AND(NOT(OR(B397="to_candidate",AW397="proposed_name")),J397=""),"missing last_name; ","")&amp;IF(AND(NOT(OR(B397="to_candidate",AW397="proposed_name")),U397=""),"missing final_geo_unit_id; ","")&amp;IF(AW397="","missing final_destination; ","")&amp;IF(AND(NOT(OR(B397="to_candidate",AW397="proposed_name")),(COUNTIFS('أرقام التواصل'!$A$6:$A$505,"client",'أرقام التواصل'!$B$6:$B$505,A397,'أرقام التواصل'!$I$6:$I$505,"TRUE")+COUNTIFS('أرقام التواصل'!$A$6:$A$505,"client",'أرقام التواصل'!$B$6:$B$505,A397,'أرقام التواصل'!$C$6:$C$505,1))=0),"missing primary contact in أرقام التواصل; ","")&amp;IF(OR(B397="to_candidate",AW397="proposed_name"),IF(AX397="","missing proposed_move_reason; ","")&amp;IF(AY397="","missing proposed_name_key; ",""),"")))))</x:f>
      </x:c>
    </x:row>
    <x:row r="398">
      <x:c r="A398" s="219"/>
      <x:c r="B398" s="220"/>
      <x:c r="C398" s="221"/>
      <x:c r="D398" s="220"/>
      <x:c r="E398" s="222"/>
      <x:c r="F398" s="220"/>
      <x:c r="G398" s="220"/>
      <x:c r="H398" s="220"/>
      <x:c r="I398" s="220"/>
      <x:c r="J398" s="220"/>
      <x:c r="K398" s="220"/>
      <x:c r="L398" s="220" t="str">
        <x:f>IF(TRIM(H398&amp;" "&amp;I398&amp;" "&amp;J398&amp;IF(K398&lt;&gt;""," ("&amp;K398&amp;")",""))="","",TRIM(H398&amp;" "&amp;I398&amp;" "&amp;J398&amp;IF(K398&lt;&gt;""," ("&amp;K398&amp;")","")))</x:f>
      </x:c>
      <x:c r="M398" s="220"/>
      <x:c r="N398" s="220"/>
      <x:c r="O398" s="220"/>
      <x:c r="P398" s="220"/>
      <x:c r="Q398" s="220"/>
      <x:c r="R398" s="220"/>
      <x:c r="S398" s="220"/>
      <x:c r="T398" s="220"/>
      <x:c r="U398" s="220" t="str">
        <x:f>IF(AND(M398="",O398="",Q398="",S398=""),"",IF(S398&lt;&gt;"",S398,IF(Q398&lt;&gt;"",Q398,IF(O398&lt;&gt;"",O398,M398))))</x:f>
      </x:c>
      <x:c r="V398" s="220" t="str">
        <x:f>IF(AND(N398="",P398="",R398="",T398=""),"",IF(T398&lt;&gt;"",T398,IF(R398&lt;&gt;"",R398,IF(P398&lt;&gt;"",P398,N398))))</x:f>
      </x:c>
      <x:c r="W398" s="221"/>
      <x:c r="X398" s="220"/>
      <x:c r="Y398" s="220"/>
      <x:c r="Z398" s="223"/>
      <x:c r="AA398" s="223"/>
      <x:c r="AB398" s="221"/>
      <x:c r="AC398" s="220"/>
      <x:c r="AD398" s="220"/>
      <x:c r="AE398" s="222"/>
      <x:c r="AF398" s="220"/>
      <x:c r="AG398" s="221"/>
      <x:c r="AH398" s="220"/>
      <x:c r="AI398" s="220"/>
      <x:c r="AJ398" s="222"/>
      <x:c r="AK398" s="220"/>
      <x:c r="AL398" s="220"/>
      <x:c r="AM398" s="220"/>
      <x:c r="AN398" s="220"/>
      <x:c r="AO398" s="220"/>
      <x:c r="AP398" s="220"/>
      <x:c r="AQ398" s="220"/>
      <x:c r="AR398" s="222"/>
      <x:c r="AS398" s="220"/>
      <x:c r="AT398" s="220"/>
      <x:c r="AU398" s="220"/>
      <x:c r="AV398" s="220"/>
      <x:c r="AW398" s="220"/>
      <x:c r="AX398" s="220"/>
      <x:c r="AY398" s="221"/>
      <x:c r="AZ398" s="220"/>
      <x:c r="BA398" s="220" t="str">
        <x:f>IF(AND(A398="",B398="",F398="",H398="",J398="",AW398="",AY398=""),"",IF(OR(B398="skip",AW398="skip"),"SKIP",IF(OR(B398="to_candidate",AW398="proposed_name"),IF(OR(A398="",AX398="",AY398="",COUNTIF($A$6:$A$505,A398)&gt;1),"REVIEW","TO_PROPOSED"),IF(OR(B398="",A398="",F398="",H398="",J398="",U398="",AW398="",COUNTIF($A$6:$A$505,A398)&gt;1,(COUNTIFS('أرقام التواصل'!$A$6:$A$505,"client",'أرقام التواصل'!$B$6:$B$505,A398,'أرقام التواصل'!$I$6:$I$505,"TRUE")+COUNTIFS('أرقام التواصل'!$A$6:$A$505,"client",'أرقام التواصل'!$B$6:$B$505,A398,'أرقام التواصل'!$C$6:$C$505,1))=0),"REVIEW","READY"))))</x:f>
      </x:c>
      <x:c r="BB398" s="224" t="str">
        <x:f>IF(BA398="","",IF(OR(BA398="READY",BA398="TO_PROPOSED"),"",IF(BA398="SKIP","Skipped by decision",TRIM(IF(B398="","missing import_action; ","")&amp;IF(A398="","missing migration_customer_key; ","")&amp;IF(AND(A398&lt;&gt;"",COUNTIF($A$6:$A$505,A398)&gt;1),"duplicate migration_customer_key; ","")&amp;IF(AND(NOT(OR(B398="to_candidate",AW398="proposed_name")),F398=""),"missing branch_id; ","")&amp;IF(AND(NOT(OR(B398="to_candidate",AW398="proposed_name")),H398=""),"missing first_name; ","")&amp;IF(AND(NOT(OR(B398="to_candidate",AW398="proposed_name")),J398=""),"missing last_name; ","")&amp;IF(AND(NOT(OR(B398="to_candidate",AW398="proposed_name")),U398=""),"missing final_geo_unit_id; ","")&amp;IF(AW398="","missing final_destination; ","")&amp;IF(AND(NOT(OR(B398="to_candidate",AW398="proposed_name")),(COUNTIFS('أرقام التواصل'!$A$6:$A$505,"client",'أرقام التواصل'!$B$6:$B$505,A398,'أرقام التواصل'!$I$6:$I$505,"TRUE")+COUNTIFS('أرقام التواصل'!$A$6:$A$505,"client",'أرقام التواصل'!$B$6:$B$505,A398,'أرقام التواصل'!$C$6:$C$505,1))=0),"missing primary contact in أرقام التواصل; ","")&amp;IF(OR(B398="to_candidate",AW398="proposed_name"),IF(AX398="","missing proposed_move_reason; ","")&amp;IF(AY398="","missing proposed_name_key; ",""),"")))))</x:f>
      </x:c>
    </x:row>
    <x:row r="399">
      <x:c r="A399" s="219"/>
      <x:c r="B399" s="220"/>
      <x:c r="C399" s="221"/>
      <x:c r="D399" s="220"/>
      <x:c r="E399" s="222"/>
      <x:c r="F399" s="220"/>
      <x:c r="G399" s="220"/>
      <x:c r="H399" s="220"/>
      <x:c r="I399" s="220"/>
      <x:c r="J399" s="220"/>
      <x:c r="K399" s="220"/>
      <x:c r="L399" s="220" t="str">
        <x:f>IF(TRIM(H399&amp;" "&amp;I399&amp;" "&amp;J399&amp;IF(K399&lt;&gt;""," ("&amp;K399&amp;")",""))="","",TRIM(H399&amp;" "&amp;I399&amp;" "&amp;J399&amp;IF(K399&lt;&gt;""," ("&amp;K399&amp;")","")))</x:f>
      </x:c>
      <x:c r="M399" s="220"/>
      <x:c r="N399" s="220"/>
      <x:c r="O399" s="220"/>
      <x:c r="P399" s="220"/>
      <x:c r="Q399" s="220"/>
      <x:c r="R399" s="220"/>
      <x:c r="S399" s="220"/>
      <x:c r="T399" s="220"/>
      <x:c r="U399" s="220" t="str">
        <x:f>IF(AND(M399="",O399="",Q399="",S399=""),"",IF(S399&lt;&gt;"",S399,IF(Q399&lt;&gt;"",Q399,IF(O399&lt;&gt;"",O399,M399))))</x:f>
      </x:c>
      <x:c r="V399" s="220" t="str">
        <x:f>IF(AND(N399="",P399="",R399="",T399=""),"",IF(T399&lt;&gt;"",T399,IF(R399&lt;&gt;"",R399,IF(P399&lt;&gt;"",P399,N399))))</x:f>
      </x:c>
      <x:c r="W399" s="221"/>
      <x:c r="X399" s="220"/>
      <x:c r="Y399" s="220"/>
      <x:c r="Z399" s="223"/>
      <x:c r="AA399" s="223"/>
      <x:c r="AB399" s="221"/>
      <x:c r="AC399" s="220"/>
      <x:c r="AD399" s="220"/>
      <x:c r="AE399" s="222"/>
      <x:c r="AF399" s="220"/>
      <x:c r="AG399" s="221"/>
      <x:c r="AH399" s="220"/>
      <x:c r="AI399" s="220"/>
      <x:c r="AJ399" s="222"/>
      <x:c r="AK399" s="220"/>
      <x:c r="AL399" s="220"/>
      <x:c r="AM399" s="220"/>
      <x:c r="AN399" s="220"/>
      <x:c r="AO399" s="220"/>
      <x:c r="AP399" s="220"/>
      <x:c r="AQ399" s="220"/>
      <x:c r="AR399" s="222"/>
      <x:c r="AS399" s="220"/>
      <x:c r="AT399" s="220"/>
      <x:c r="AU399" s="220"/>
      <x:c r="AV399" s="220"/>
      <x:c r="AW399" s="220"/>
      <x:c r="AX399" s="220"/>
      <x:c r="AY399" s="221"/>
      <x:c r="AZ399" s="220"/>
      <x:c r="BA399" s="220" t="str">
        <x:f>IF(AND(A399="",B399="",F399="",H399="",J399="",AW399="",AY399=""),"",IF(OR(B399="skip",AW399="skip"),"SKIP",IF(OR(B399="to_candidate",AW399="proposed_name"),IF(OR(A399="",AX399="",AY399="",COUNTIF($A$6:$A$505,A399)&gt;1),"REVIEW","TO_PROPOSED"),IF(OR(B399="",A399="",F399="",H399="",J399="",U399="",AW399="",COUNTIF($A$6:$A$505,A399)&gt;1,(COUNTIFS('أرقام التواصل'!$A$6:$A$505,"client",'أرقام التواصل'!$B$6:$B$505,A399,'أرقام التواصل'!$I$6:$I$505,"TRUE")+COUNTIFS('أرقام التواصل'!$A$6:$A$505,"client",'أرقام التواصل'!$B$6:$B$505,A399,'أرقام التواصل'!$C$6:$C$505,1))=0),"REVIEW","READY"))))</x:f>
      </x:c>
      <x:c r="BB399" s="224" t="str">
        <x:f>IF(BA399="","",IF(OR(BA399="READY",BA399="TO_PROPOSED"),"",IF(BA399="SKIP","Skipped by decision",TRIM(IF(B399="","missing import_action; ","")&amp;IF(A399="","missing migration_customer_key; ","")&amp;IF(AND(A399&lt;&gt;"",COUNTIF($A$6:$A$505,A399)&gt;1),"duplicate migration_customer_key; ","")&amp;IF(AND(NOT(OR(B399="to_candidate",AW399="proposed_name")),F399=""),"missing branch_id; ","")&amp;IF(AND(NOT(OR(B399="to_candidate",AW399="proposed_name")),H399=""),"missing first_name; ","")&amp;IF(AND(NOT(OR(B399="to_candidate",AW399="proposed_name")),J399=""),"missing last_name; ","")&amp;IF(AND(NOT(OR(B399="to_candidate",AW399="proposed_name")),U399=""),"missing final_geo_unit_id; ","")&amp;IF(AW399="","missing final_destination; ","")&amp;IF(AND(NOT(OR(B399="to_candidate",AW399="proposed_name")),(COUNTIFS('أرقام التواصل'!$A$6:$A$505,"client",'أرقام التواصل'!$B$6:$B$505,A399,'أرقام التواصل'!$I$6:$I$505,"TRUE")+COUNTIFS('أرقام التواصل'!$A$6:$A$505,"client",'أرقام التواصل'!$B$6:$B$505,A399,'أرقام التواصل'!$C$6:$C$505,1))=0),"missing primary contact in أرقام التواصل; ","")&amp;IF(OR(B399="to_candidate",AW399="proposed_name"),IF(AX399="","missing proposed_move_reason; ","")&amp;IF(AY399="","missing proposed_name_key; ",""),"")))))</x:f>
      </x:c>
    </x:row>
    <x:row r="400">
      <x:c r="A400" s="219"/>
      <x:c r="B400" s="220"/>
      <x:c r="C400" s="221"/>
      <x:c r="D400" s="220"/>
      <x:c r="E400" s="222"/>
      <x:c r="F400" s="220"/>
      <x:c r="G400" s="220"/>
      <x:c r="H400" s="220"/>
      <x:c r="I400" s="220"/>
      <x:c r="J400" s="220"/>
      <x:c r="K400" s="220"/>
      <x:c r="L400" s="220" t="str">
        <x:f>IF(TRIM(H400&amp;" "&amp;I400&amp;" "&amp;J400&amp;IF(K400&lt;&gt;""," ("&amp;K400&amp;")",""))="","",TRIM(H400&amp;" "&amp;I400&amp;" "&amp;J400&amp;IF(K400&lt;&gt;""," ("&amp;K400&amp;")","")))</x:f>
      </x:c>
      <x:c r="M400" s="220"/>
      <x:c r="N400" s="220"/>
      <x:c r="O400" s="220"/>
      <x:c r="P400" s="220"/>
      <x:c r="Q400" s="220"/>
      <x:c r="R400" s="220"/>
      <x:c r="S400" s="220"/>
      <x:c r="T400" s="220"/>
      <x:c r="U400" s="220" t="str">
        <x:f>IF(AND(M400="",O400="",Q400="",S400=""),"",IF(S400&lt;&gt;"",S400,IF(Q400&lt;&gt;"",Q400,IF(O400&lt;&gt;"",O400,M400))))</x:f>
      </x:c>
      <x:c r="V400" s="220" t="str">
        <x:f>IF(AND(N400="",P400="",R400="",T400=""),"",IF(T400&lt;&gt;"",T400,IF(R400&lt;&gt;"",R400,IF(P400&lt;&gt;"",P400,N400))))</x:f>
      </x:c>
      <x:c r="W400" s="221"/>
      <x:c r="X400" s="220"/>
      <x:c r="Y400" s="220"/>
      <x:c r="Z400" s="223"/>
      <x:c r="AA400" s="223"/>
      <x:c r="AB400" s="221"/>
      <x:c r="AC400" s="220"/>
      <x:c r="AD400" s="220"/>
      <x:c r="AE400" s="222"/>
      <x:c r="AF400" s="220"/>
      <x:c r="AG400" s="221"/>
      <x:c r="AH400" s="220"/>
      <x:c r="AI400" s="220"/>
      <x:c r="AJ400" s="222"/>
      <x:c r="AK400" s="220"/>
      <x:c r="AL400" s="220"/>
      <x:c r="AM400" s="220"/>
      <x:c r="AN400" s="220"/>
      <x:c r="AO400" s="220"/>
      <x:c r="AP400" s="220"/>
      <x:c r="AQ400" s="220"/>
      <x:c r="AR400" s="222"/>
      <x:c r="AS400" s="220"/>
      <x:c r="AT400" s="220"/>
      <x:c r="AU400" s="220"/>
      <x:c r="AV400" s="220"/>
      <x:c r="AW400" s="220"/>
      <x:c r="AX400" s="220"/>
      <x:c r="AY400" s="221"/>
      <x:c r="AZ400" s="220"/>
      <x:c r="BA400" s="220" t="str">
        <x:f>IF(AND(A400="",B400="",F400="",H400="",J400="",AW400="",AY400=""),"",IF(OR(B400="skip",AW400="skip"),"SKIP",IF(OR(B400="to_candidate",AW400="proposed_name"),IF(OR(A400="",AX400="",AY400="",COUNTIF($A$6:$A$505,A400)&gt;1),"REVIEW","TO_PROPOSED"),IF(OR(B400="",A400="",F400="",H400="",J400="",U400="",AW400="",COUNTIF($A$6:$A$505,A400)&gt;1,(COUNTIFS('أرقام التواصل'!$A$6:$A$505,"client",'أرقام التواصل'!$B$6:$B$505,A400,'أرقام التواصل'!$I$6:$I$505,"TRUE")+COUNTIFS('أرقام التواصل'!$A$6:$A$505,"client",'أرقام التواصل'!$B$6:$B$505,A400,'أرقام التواصل'!$C$6:$C$505,1))=0),"REVIEW","READY"))))</x:f>
      </x:c>
      <x:c r="BB400" s="224" t="str">
        <x:f>IF(BA400="","",IF(OR(BA400="READY",BA400="TO_PROPOSED"),"",IF(BA400="SKIP","Skipped by decision",TRIM(IF(B400="","missing import_action; ","")&amp;IF(A400="","missing migration_customer_key; ","")&amp;IF(AND(A400&lt;&gt;"",COUNTIF($A$6:$A$505,A400)&gt;1),"duplicate migration_customer_key; ","")&amp;IF(AND(NOT(OR(B400="to_candidate",AW400="proposed_name")),F400=""),"missing branch_id; ","")&amp;IF(AND(NOT(OR(B400="to_candidate",AW400="proposed_name")),H400=""),"missing first_name; ","")&amp;IF(AND(NOT(OR(B400="to_candidate",AW400="proposed_name")),J400=""),"missing last_name; ","")&amp;IF(AND(NOT(OR(B400="to_candidate",AW400="proposed_name")),U400=""),"missing final_geo_unit_id; ","")&amp;IF(AW400="","missing final_destination; ","")&amp;IF(AND(NOT(OR(B400="to_candidate",AW400="proposed_name")),(COUNTIFS('أرقام التواصل'!$A$6:$A$505,"client",'أرقام التواصل'!$B$6:$B$505,A400,'أرقام التواصل'!$I$6:$I$505,"TRUE")+COUNTIFS('أرقام التواصل'!$A$6:$A$505,"client",'أرقام التواصل'!$B$6:$B$505,A400,'أرقام التواصل'!$C$6:$C$505,1))=0),"missing primary contact in أرقام التواصل; ","")&amp;IF(OR(B400="to_candidate",AW400="proposed_name"),IF(AX400="","missing proposed_move_reason; ","")&amp;IF(AY400="","missing proposed_name_key; ",""),"")))))</x:f>
      </x:c>
    </x:row>
    <x:row r="401">
      <x:c r="A401" s="219"/>
      <x:c r="B401" s="220"/>
      <x:c r="C401" s="221"/>
      <x:c r="D401" s="220"/>
      <x:c r="E401" s="222"/>
      <x:c r="F401" s="220"/>
      <x:c r="G401" s="220"/>
      <x:c r="H401" s="220"/>
      <x:c r="I401" s="220"/>
      <x:c r="J401" s="220"/>
      <x:c r="K401" s="220"/>
      <x:c r="L401" s="220" t="str">
        <x:f>IF(TRIM(H401&amp;" "&amp;I401&amp;" "&amp;J401&amp;IF(K401&lt;&gt;""," ("&amp;K401&amp;")",""))="","",TRIM(H401&amp;" "&amp;I401&amp;" "&amp;J401&amp;IF(K401&lt;&gt;""," ("&amp;K401&amp;")","")))</x:f>
      </x:c>
      <x:c r="M401" s="220"/>
      <x:c r="N401" s="220"/>
      <x:c r="O401" s="220"/>
      <x:c r="P401" s="220"/>
      <x:c r="Q401" s="220"/>
      <x:c r="R401" s="220"/>
      <x:c r="S401" s="220"/>
      <x:c r="T401" s="220"/>
      <x:c r="U401" s="220" t="str">
        <x:f>IF(AND(M401="",O401="",Q401="",S401=""),"",IF(S401&lt;&gt;"",S401,IF(Q401&lt;&gt;"",Q401,IF(O401&lt;&gt;"",O401,M401))))</x:f>
      </x:c>
      <x:c r="V401" s="220" t="str">
        <x:f>IF(AND(N401="",P401="",R401="",T401=""),"",IF(T401&lt;&gt;"",T401,IF(R401&lt;&gt;"",R401,IF(P401&lt;&gt;"",P401,N401))))</x:f>
      </x:c>
      <x:c r="W401" s="221"/>
      <x:c r="X401" s="220"/>
      <x:c r="Y401" s="220"/>
      <x:c r="Z401" s="223"/>
      <x:c r="AA401" s="223"/>
      <x:c r="AB401" s="221"/>
      <x:c r="AC401" s="220"/>
      <x:c r="AD401" s="220"/>
      <x:c r="AE401" s="222"/>
      <x:c r="AF401" s="220"/>
      <x:c r="AG401" s="221"/>
      <x:c r="AH401" s="220"/>
      <x:c r="AI401" s="220"/>
      <x:c r="AJ401" s="222"/>
      <x:c r="AK401" s="220"/>
      <x:c r="AL401" s="220"/>
      <x:c r="AM401" s="220"/>
      <x:c r="AN401" s="220"/>
      <x:c r="AO401" s="220"/>
      <x:c r="AP401" s="220"/>
      <x:c r="AQ401" s="220"/>
      <x:c r="AR401" s="222"/>
      <x:c r="AS401" s="220"/>
      <x:c r="AT401" s="220"/>
      <x:c r="AU401" s="220"/>
      <x:c r="AV401" s="220"/>
      <x:c r="AW401" s="220"/>
      <x:c r="AX401" s="220"/>
      <x:c r="AY401" s="221"/>
      <x:c r="AZ401" s="220"/>
      <x:c r="BA401" s="220" t="str">
        <x:f>IF(AND(A401="",B401="",F401="",H401="",J401="",AW401="",AY401=""),"",IF(OR(B401="skip",AW401="skip"),"SKIP",IF(OR(B401="to_candidate",AW401="proposed_name"),IF(OR(A401="",AX401="",AY401="",COUNTIF($A$6:$A$505,A401)&gt;1),"REVIEW","TO_PROPOSED"),IF(OR(B401="",A401="",F401="",H401="",J401="",U401="",AW401="",COUNTIF($A$6:$A$505,A401)&gt;1,(COUNTIFS('أرقام التواصل'!$A$6:$A$505,"client",'أرقام التواصل'!$B$6:$B$505,A401,'أرقام التواصل'!$I$6:$I$505,"TRUE")+COUNTIFS('أرقام التواصل'!$A$6:$A$505,"client",'أرقام التواصل'!$B$6:$B$505,A401,'أرقام التواصل'!$C$6:$C$505,1))=0),"REVIEW","READY"))))</x:f>
      </x:c>
      <x:c r="BB401" s="224" t="str">
        <x:f>IF(BA401="","",IF(OR(BA401="READY",BA401="TO_PROPOSED"),"",IF(BA401="SKIP","Skipped by decision",TRIM(IF(B401="","missing import_action; ","")&amp;IF(A401="","missing migration_customer_key; ","")&amp;IF(AND(A401&lt;&gt;"",COUNTIF($A$6:$A$505,A401)&gt;1),"duplicate migration_customer_key; ","")&amp;IF(AND(NOT(OR(B401="to_candidate",AW401="proposed_name")),F401=""),"missing branch_id; ","")&amp;IF(AND(NOT(OR(B401="to_candidate",AW401="proposed_name")),H401=""),"missing first_name; ","")&amp;IF(AND(NOT(OR(B401="to_candidate",AW401="proposed_name")),J401=""),"missing last_name; ","")&amp;IF(AND(NOT(OR(B401="to_candidate",AW401="proposed_name")),U401=""),"missing final_geo_unit_id; ","")&amp;IF(AW401="","missing final_destination; ","")&amp;IF(AND(NOT(OR(B401="to_candidate",AW401="proposed_name")),(COUNTIFS('أرقام التواصل'!$A$6:$A$505,"client",'أرقام التواصل'!$B$6:$B$505,A401,'أرقام التواصل'!$I$6:$I$505,"TRUE")+COUNTIFS('أرقام التواصل'!$A$6:$A$505,"client",'أرقام التواصل'!$B$6:$B$505,A401,'أرقام التواصل'!$C$6:$C$505,1))=0),"missing primary contact in أرقام التواصل; ","")&amp;IF(OR(B401="to_candidate",AW401="proposed_name"),IF(AX401="","missing proposed_move_reason; ","")&amp;IF(AY401="","missing proposed_name_key; ",""),"")))))</x:f>
      </x:c>
    </x:row>
    <x:row r="402">
      <x:c r="A402" s="219"/>
      <x:c r="B402" s="220"/>
      <x:c r="C402" s="221"/>
      <x:c r="D402" s="220"/>
      <x:c r="E402" s="222"/>
      <x:c r="F402" s="220"/>
      <x:c r="G402" s="220"/>
      <x:c r="H402" s="220"/>
      <x:c r="I402" s="220"/>
      <x:c r="J402" s="220"/>
      <x:c r="K402" s="220"/>
      <x:c r="L402" s="220" t="str">
        <x:f>IF(TRIM(H402&amp;" "&amp;I402&amp;" "&amp;J402&amp;IF(K402&lt;&gt;""," ("&amp;K402&amp;")",""))="","",TRIM(H402&amp;" "&amp;I402&amp;" "&amp;J402&amp;IF(K402&lt;&gt;""," ("&amp;K402&amp;")","")))</x:f>
      </x:c>
      <x:c r="M402" s="220"/>
      <x:c r="N402" s="220"/>
      <x:c r="O402" s="220"/>
      <x:c r="P402" s="220"/>
      <x:c r="Q402" s="220"/>
      <x:c r="R402" s="220"/>
      <x:c r="S402" s="220"/>
      <x:c r="T402" s="220"/>
      <x:c r="U402" s="220" t="str">
        <x:f>IF(AND(M402="",O402="",Q402="",S402=""),"",IF(S402&lt;&gt;"",S402,IF(Q402&lt;&gt;"",Q402,IF(O402&lt;&gt;"",O402,M402))))</x:f>
      </x:c>
      <x:c r="V402" s="220" t="str">
        <x:f>IF(AND(N402="",P402="",R402="",T402=""),"",IF(T402&lt;&gt;"",T402,IF(R402&lt;&gt;"",R402,IF(P402&lt;&gt;"",P402,N402))))</x:f>
      </x:c>
      <x:c r="W402" s="221"/>
      <x:c r="X402" s="220"/>
      <x:c r="Y402" s="220"/>
      <x:c r="Z402" s="223"/>
      <x:c r="AA402" s="223"/>
      <x:c r="AB402" s="221"/>
      <x:c r="AC402" s="220"/>
      <x:c r="AD402" s="220"/>
      <x:c r="AE402" s="222"/>
      <x:c r="AF402" s="220"/>
      <x:c r="AG402" s="221"/>
      <x:c r="AH402" s="220"/>
      <x:c r="AI402" s="220"/>
      <x:c r="AJ402" s="222"/>
      <x:c r="AK402" s="220"/>
      <x:c r="AL402" s="220"/>
      <x:c r="AM402" s="220"/>
      <x:c r="AN402" s="220"/>
      <x:c r="AO402" s="220"/>
      <x:c r="AP402" s="220"/>
      <x:c r="AQ402" s="220"/>
      <x:c r="AR402" s="222"/>
      <x:c r="AS402" s="220"/>
      <x:c r="AT402" s="220"/>
      <x:c r="AU402" s="220"/>
      <x:c r="AV402" s="220"/>
      <x:c r="AW402" s="220"/>
      <x:c r="AX402" s="220"/>
      <x:c r="AY402" s="221"/>
      <x:c r="AZ402" s="220"/>
      <x:c r="BA402" s="220" t="str">
        <x:f>IF(AND(A402="",B402="",F402="",H402="",J402="",AW402="",AY402=""),"",IF(OR(B402="skip",AW402="skip"),"SKIP",IF(OR(B402="to_candidate",AW402="proposed_name"),IF(OR(A402="",AX402="",AY402="",COUNTIF($A$6:$A$505,A402)&gt;1),"REVIEW","TO_PROPOSED"),IF(OR(B402="",A402="",F402="",H402="",J402="",U402="",AW402="",COUNTIF($A$6:$A$505,A402)&gt;1,(COUNTIFS('أرقام التواصل'!$A$6:$A$505,"client",'أرقام التواصل'!$B$6:$B$505,A402,'أرقام التواصل'!$I$6:$I$505,"TRUE")+COUNTIFS('أرقام التواصل'!$A$6:$A$505,"client",'أرقام التواصل'!$B$6:$B$505,A402,'أرقام التواصل'!$C$6:$C$505,1))=0),"REVIEW","READY"))))</x:f>
      </x:c>
      <x:c r="BB402" s="224" t="str">
        <x:f>IF(BA402="","",IF(OR(BA402="READY",BA402="TO_PROPOSED"),"",IF(BA402="SKIP","Skipped by decision",TRIM(IF(B402="","missing import_action; ","")&amp;IF(A402="","missing migration_customer_key; ","")&amp;IF(AND(A402&lt;&gt;"",COUNTIF($A$6:$A$505,A402)&gt;1),"duplicate migration_customer_key; ","")&amp;IF(AND(NOT(OR(B402="to_candidate",AW402="proposed_name")),F402=""),"missing branch_id; ","")&amp;IF(AND(NOT(OR(B402="to_candidate",AW402="proposed_name")),H402=""),"missing first_name; ","")&amp;IF(AND(NOT(OR(B402="to_candidate",AW402="proposed_name")),J402=""),"missing last_name; ","")&amp;IF(AND(NOT(OR(B402="to_candidate",AW402="proposed_name")),U402=""),"missing final_geo_unit_id; ","")&amp;IF(AW402="","missing final_destination; ","")&amp;IF(AND(NOT(OR(B402="to_candidate",AW402="proposed_name")),(COUNTIFS('أرقام التواصل'!$A$6:$A$505,"client",'أرقام التواصل'!$B$6:$B$505,A402,'أرقام التواصل'!$I$6:$I$505,"TRUE")+COUNTIFS('أرقام التواصل'!$A$6:$A$505,"client",'أرقام التواصل'!$B$6:$B$505,A402,'أرقام التواصل'!$C$6:$C$505,1))=0),"missing primary contact in أرقام التواصل; ","")&amp;IF(OR(B402="to_candidate",AW402="proposed_name"),IF(AX402="","missing proposed_move_reason; ","")&amp;IF(AY402="","missing proposed_name_key; ",""),"")))))</x:f>
      </x:c>
    </x:row>
    <x:row r="403">
      <x:c r="A403" s="219"/>
      <x:c r="B403" s="220"/>
      <x:c r="C403" s="221"/>
      <x:c r="D403" s="220"/>
      <x:c r="E403" s="222"/>
      <x:c r="F403" s="220"/>
      <x:c r="G403" s="220"/>
      <x:c r="H403" s="220"/>
      <x:c r="I403" s="220"/>
      <x:c r="J403" s="220"/>
      <x:c r="K403" s="220"/>
      <x:c r="L403" s="220" t="str">
        <x:f>IF(TRIM(H403&amp;" "&amp;I403&amp;" "&amp;J403&amp;IF(K403&lt;&gt;""," ("&amp;K403&amp;")",""))="","",TRIM(H403&amp;" "&amp;I403&amp;" "&amp;J403&amp;IF(K403&lt;&gt;""," ("&amp;K403&amp;")","")))</x:f>
      </x:c>
      <x:c r="M403" s="220"/>
      <x:c r="N403" s="220"/>
      <x:c r="O403" s="220"/>
      <x:c r="P403" s="220"/>
      <x:c r="Q403" s="220"/>
      <x:c r="R403" s="220"/>
      <x:c r="S403" s="220"/>
      <x:c r="T403" s="220"/>
      <x:c r="U403" s="220" t="str">
        <x:f>IF(AND(M403="",O403="",Q403="",S403=""),"",IF(S403&lt;&gt;"",S403,IF(Q403&lt;&gt;"",Q403,IF(O403&lt;&gt;"",O403,M403))))</x:f>
      </x:c>
      <x:c r="V403" s="220" t="str">
        <x:f>IF(AND(N403="",P403="",R403="",T403=""),"",IF(T403&lt;&gt;"",T403,IF(R403&lt;&gt;"",R403,IF(P403&lt;&gt;"",P403,N403))))</x:f>
      </x:c>
      <x:c r="W403" s="221"/>
      <x:c r="X403" s="220"/>
      <x:c r="Y403" s="220"/>
      <x:c r="Z403" s="223"/>
      <x:c r="AA403" s="223"/>
      <x:c r="AB403" s="221"/>
      <x:c r="AC403" s="220"/>
      <x:c r="AD403" s="220"/>
      <x:c r="AE403" s="222"/>
      <x:c r="AF403" s="220"/>
      <x:c r="AG403" s="221"/>
      <x:c r="AH403" s="220"/>
      <x:c r="AI403" s="220"/>
      <x:c r="AJ403" s="222"/>
      <x:c r="AK403" s="220"/>
      <x:c r="AL403" s="220"/>
      <x:c r="AM403" s="220"/>
      <x:c r="AN403" s="220"/>
      <x:c r="AO403" s="220"/>
      <x:c r="AP403" s="220"/>
      <x:c r="AQ403" s="220"/>
      <x:c r="AR403" s="222"/>
      <x:c r="AS403" s="220"/>
      <x:c r="AT403" s="220"/>
      <x:c r="AU403" s="220"/>
      <x:c r="AV403" s="220"/>
      <x:c r="AW403" s="220"/>
      <x:c r="AX403" s="220"/>
      <x:c r="AY403" s="221"/>
      <x:c r="AZ403" s="220"/>
      <x:c r="BA403" s="220" t="str">
        <x:f>IF(AND(A403="",B403="",F403="",H403="",J403="",AW403="",AY403=""),"",IF(OR(B403="skip",AW403="skip"),"SKIP",IF(OR(B403="to_candidate",AW403="proposed_name"),IF(OR(A403="",AX403="",AY403="",COUNTIF($A$6:$A$505,A403)&gt;1),"REVIEW","TO_PROPOSED"),IF(OR(B403="",A403="",F403="",H403="",J403="",U403="",AW403="",COUNTIF($A$6:$A$505,A403)&gt;1,(COUNTIFS('أرقام التواصل'!$A$6:$A$505,"client",'أرقام التواصل'!$B$6:$B$505,A403,'أرقام التواصل'!$I$6:$I$505,"TRUE")+COUNTIFS('أرقام التواصل'!$A$6:$A$505,"client",'أرقام التواصل'!$B$6:$B$505,A403,'أرقام التواصل'!$C$6:$C$505,1))=0),"REVIEW","READY"))))</x:f>
      </x:c>
      <x:c r="BB403" s="224" t="str">
        <x:f>IF(BA403="","",IF(OR(BA403="READY",BA403="TO_PROPOSED"),"",IF(BA403="SKIP","Skipped by decision",TRIM(IF(B403="","missing import_action; ","")&amp;IF(A403="","missing migration_customer_key; ","")&amp;IF(AND(A403&lt;&gt;"",COUNTIF($A$6:$A$505,A403)&gt;1),"duplicate migration_customer_key; ","")&amp;IF(AND(NOT(OR(B403="to_candidate",AW403="proposed_name")),F403=""),"missing branch_id; ","")&amp;IF(AND(NOT(OR(B403="to_candidate",AW403="proposed_name")),H403=""),"missing first_name; ","")&amp;IF(AND(NOT(OR(B403="to_candidate",AW403="proposed_name")),J403=""),"missing last_name; ","")&amp;IF(AND(NOT(OR(B403="to_candidate",AW403="proposed_name")),U403=""),"missing final_geo_unit_id; ","")&amp;IF(AW403="","missing final_destination; ","")&amp;IF(AND(NOT(OR(B403="to_candidate",AW403="proposed_name")),(COUNTIFS('أرقام التواصل'!$A$6:$A$505,"client",'أرقام التواصل'!$B$6:$B$505,A403,'أرقام التواصل'!$I$6:$I$505,"TRUE")+COUNTIFS('أرقام التواصل'!$A$6:$A$505,"client",'أرقام التواصل'!$B$6:$B$505,A403,'أرقام التواصل'!$C$6:$C$505,1))=0),"missing primary contact in أرقام التواصل; ","")&amp;IF(OR(B403="to_candidate",AW403="proposed_name"),IF(AX403="","missing proposed_move_reason; ","")&amp;IF(AY403="","missing proposed_name_key; ",""),"")))))</x:f>
      </x:c>
    </x:row>
    <x:row r="404">
      <x:c r="A404" s="219"/>
      <x:c r="B404" s="220"/>
      <x:c r="C404" s="221"/>
      <x:c r="D404" s="220"/>
      <x:c r="E404" s="222"/>
      <x:c r="F404" s="220"/>
      <x:c r="G404" s="220"/>
      <x:c r="H404" s="220"/>
      <x:c r="I404" s="220"/>
      <x:c r="J404" s="220"/>
      <x:c r="K404" s="220"/>
      <x:c r="L404" s="220" t="str">
        <x:f>IF(TRIM(H404&amp;" "&amp;I404&amp;" "&amp;J404&amp;IF(K404&lt;&gt;""," ("&amp;K404&amp;")",""))="","",TRIM(H404&amp;" "&amp;I404&amp;" "&amp;J404&amp;IF(K404&lt;&gt;""," ("&amp;K404&amp;")","")))</x:f>
      </x:c>
      <x:c r="M404" s="220"/>
      <x:c r="N404" s="220"/>
      <x:c r="O404" s="220"/>
      <x:c r="P404" s="220"/>
      <x:c r="Q404" s="220"/>
      <x:c r="R404" s="220"/>
      <x:c r="S404" s="220"/>
      <x:c r="T404" s="220"/>
      <x:c r="U404" s="220" t="str">
        <x:f>IF(AND(M404="",O404="",Q404="",S404=""),"",IF(S404&lt;&gt;"",S404,IF(Q404&lt;&gt;"",Q404,IF(O404&lt;&gt;"",O404,M404))))</x:f>
      </x:c>
      <x:c r="V404" s="220" t="str">
        <x:f>IF(AND(N404="",P404="",R404="",T404=""),"",IF(T404&lt;&gt;"",T404,IF(R404&lt;&gt;"",R404,IF(P404&lt;&gt;"",P404,N404))))</x:f>
      </x:c>
      <x:c r="W404" s="221"/>
      <x:c r="X404" s="220"/>
      <x:c r="Y404" s="220"/>
      <x:c r="Z404" s="223"/>
      <x:c r="AA404" s="223"/>
      <x:c r="AB404" s="221"/>
      <x:c r="AC404" s="220"/>
      <x:c r="AD404" s="220"/>
      <x:c r="AE404" s="222"/>
      <x:c r="AF404" s="220"/>
      <x:c r="AG404" s="221"/>
      <x:c r="AH404" s="220"/>
      <x:c r="AI404" s="220"/>
      <x:c r="AJ404" s="222"/>
      <x:c r="AK404" s="220"/>
      <x:c r="AL404" s="220"/>
      <x:c r="AM404" s="220"/>
      <x:c r="AN404" s="220"/>
      <x:c r="AO404" s="220"/>
      <x:c r="AP404" s="220"/>
      <x:c r="AQ404" s="220"/>
      <x:c r="AR404" s="222"/>
      <x:c r="AS404" s="220"/>
      <x:c r="AT404" s="220"/>
      <x:c r="AU404" s="220"/>
      <x:c r="AV404" s="220"/>
      <x:c r="AW404" s="220"/>
      <x:c r="AX404" s="220"/>
      <x:c r="AY404" s="221"/>
      <x:c r="AZ404" s="220"/>
      <x:c r="BA404" s="220" t="str">
        <x:f>IF(AND(A404="",B404="",F404="",H404="",J404="",AW404="",AY404=""),"",IF(OR(B404="skip",AW404="skip"),"SKIP",IF(OR(B404="to_candidate",AW404="proposed_name"),IF(OR(A404="",AX404="",AY404="",COUNTIF($A$6:$A$505,A404)&gt;1),"REVIEW","TO_PROPOSED"),IF(OR(B404="",A404="",F404="",H404="",J404="",U404="",AW404="",COUNTIF($A$6:$A$505,A404)&gt;1,(COUNTIFS('أرقام التواصل'!$A$6:$A$505,"client",'أرقام التواصل'!$B$6:$B$505,A404,'أرقام التواصل'!$I$6:$I$505,"TRUE")+COUNTIFS('أرقام التواصل'!$A$6:$A$505,"client",'أرقام التواصل'!$B$6:$B$505,A404,'أرقام التواصل'!$C$6:$C$505,1))=0),"REVIEW","READY"))))</x:f>
      </x:c>
      <x:c r="BB404" s="224" t="str">
        <x:f>IF(BA404="","",IF(OR(BA404="READY",BA404="TO_PROPOSED"),"",IF(BA404="SKIP","Skipped by decision",TRIM(IF(B404="","missing import_action; ","")&amp;IF(A404="","missing migration_customer_key; ","")&amp;IF(AND(A404&lt;&gt;"",COUNTIF($A$6:$A$505,A404)&gt;1),"duplicate migration_customer_key; ","")&amp;IF(AND(NOT(OR(B404="to_candidate",AW404="proposed_name")),F404=""),"missing branch_id; ","")&amp;IF(AND(NOT(OR(B404="to_candidate",AW404="proposed_name")),H404=""),"missing first_name; ","")&amp;IF(AND(NOT(OR(B404="to_candidate",AW404="proposed_name")),J404=""),"missing last_name; ","")&amp;IF(AND(NOT(OR(B404="to_candidate",AW404="proposed_name")),U404=""),"missing final_geo_unit_id; ","")&amp;IF(AW404="","missing final_destination; ","")&amp;IF(AND(NOT(OR(B404="to_candidate",AW404="proposed_name")),(COUNTIFS('أرقام التواصل'!$A$6:$A$505,"client",'أرقام التواصل'!$B$6:$B$505,A404,'أرقام التواصل'!$I$6:$I$505,"TRUE")+COUNTIFS('أرقام التواصل'!$A$6:$A$505,"client",'أرقام التواصل'!$B$6:$B$505,A404,'أرقام التواصل'!$C$6:$C$505,1))=0),"missing primary contact in أرقام التواصل; ","")&amp;IF(OR(B404="to_candidate",AW404="proposed_name"),IF(AX404="","missing proposed_move_reason; ","")&amp;IF(AY404="","missing proposed_name_key; ",""),"")))))</x:f>
      </x:c>
    </x:row>
    <x:row r="405">
      <x:c r="A405" s="219"/>
      <x:c r="B405" s="220"/>
      <x:c r="C405" s="221"/>
      <x:c r="D405" s="220"/>
      <x:c r="E405" s="222"/>
      <x:c r="F405" s="220"/>
      <x:c r="G405" s="220"/>
      <x:c r="H405" s="220"/>
      <x:c r="I405" s="220"/>
      <x:c r="J405" s="220"/>
      <x:c r="K405" s="220"/>
      <x:c r="L405" s="220" t="str">
        <x:f>IF(TRIM(H405&amp;" "&amp;I405&amp;" "&amp;J405&amp;IF(K405&lt;&gt;""," ("&amp;K405&amp;")",""))="","",TRIM(H405&amp;" "&amp;I405&amp;" "&amp;J405&amp;IF(K405&lt;&gt;""," ("&amp;K405&amp;")","")))</x:f>
      </x:c>
      <x:c r="M405" s="220"/>
      <x:c r="N405" s="220"/>
      <x:c r="O405" s="220"/>
      <x:c r="P405" s="220"/>
      <x:c r="Q405" s="220"/>
      <x:c r="R405" s="220"/>
      <x:c r="S405" s="220"/>
      <x:c r="T405" s="220"/>
      <x:c r="U405" s="220" t="str">
        <x:f>IF(AND(M405="",O405="",Q405="",S405=""),"",IF(S405&lt;&gt;"",S405,IF(Q405&lt;&gt;"",Q405,IF(O405&lt;&gt;"",O405,M405))))</x:f>
      </x:c>
      <x:c r="V405" s="220" t="str">
        <x:f>IF(AND(N405="",P405="",R405="",T405=""),"",IF(T405&lt;&gt;"",T405,IF(R405&lt;&gt;"",R405,IF(P405&lt;&gt;"",P405,N405))))</x:f>
      </x:c>
      <x:c r="W405" s="221"/>
      <x:c r="X405" s="220"/>
      <x:c r="Y405" s="220"/>
      <x:c r="Z405" s="223"/>
      <x:c r="AA405" s="223"/>
      <x:c r="AB405" s="221"/>
      <x:c r="AC405" s="220"/>
      <x:c r="AD405" s="220"/>
      <x:c r="AE405" s="222"/>
      <x:c r="AF405" s="220"/>
      <x:c r="AG405" s="221"/>
      <x:c r="AH405" s="220"/>
      <x:c r="AI405" s="220"/>
      <x:c r="AJ405" s="222"/>
      <x:c r="AK405" s="220"/>
      <x:c r="AL405" s="220"/>
      <x:c r="AM405" s="220"/>
      <x:c r="AN405" s="220"/>
      <x:c r="AO405" s="220"/>
      <x:c r="AP405" s="220"/>
      <x:c r="AQ405" s="220"/>
      <x:c r="AR405" s="222"/>
      <x:c r="AS405" s="220"/>
      <x:c r="AT405" s="220"/>
      <x:c r="AU405" s="220"/>
      <x:c r="AV405" s="220"/>
      <x:c r="AW405" s="220"/>
      <x:c r="AX405" s="220"/>
      <x:c r="AY405" s="221"/>
      <x:c r="AZ405" s="220"/>
      <x:c r="BA405" s="220" t="str">
        <x:f>IF(AND(A405="",B405="",F405="",H405="",J405="",AW405="",AY405=""),"",IF(OR(B405="skip",AW405="skip"),"SKIP",IF(OR(B405="to_candidate",AW405="proposed_name"),IF(OR(A405="",AX405="",AY405="",COUNTIF($A$6:$A$505,A405)&gt;1),"REVIEW","TO_PROPOSED"),IF(OR(B405="",A405="",F405="",H405="",J405="",U405="",AW405="",COUNTIF($A$6:$A$505,A405)&gt;1,(COUNTIFS('أرقام التواصل'!$A$6:$A$505,"client",'أرقام التواصل'!$B$6:$B$505,A405,'أرقام التواصل'!$I$6:$I$505,"TRUE")+COUNTIFS('أرقام التواصل'!$A$6:$A$505,"client",'أرقام التواصل'!$B$6:$B$505,A405,'أرقام التواصل'!$C$6:$C$505,1))=0),"REVIEW","READY"))))</x:f>
      </x:c>
      <x:c r="BB405" s="224" t="str">
        <x:f>IF(BA405="","",IF(OR(BA405="READY",BA405="TO_PROPOSED"),"",IF(BA405="SKIP","Skipped by decision",TRIM(IF(B405="","missing import_action; ","")&amp;IF(A405="","missing migration_customer_key; ","")&amp;IF(AND(A405&lt;&gt;"",COUNTIF($A$6:$A$505,A405)&gt;1),"duplicate migration_customer_key; ","")&amp;IF(AND(NOT(OR(B405="to_candidate",AW405="proposed_name")),F405=""),"missing branch_id; ","")&amp;IF(AND(NOT(OR(B405="to_candidate",AW405="proposed_name")),H405=""),"missing first_name; ","")&amp;IF(AND(NOT(OR(B405="to_candidate",AW405="proposed_name")),J405=""),"missing last_name; ","")&amp;IF(AND(NOT(OR(B405="to_candidate",AW405="proposed_name")),U405=""),"missing final_geo_unit_id; ","")&amp;IF(AW405="","missing final_destination; ","")&amp;IF(AND(NOT(OR(B405="to_candidate",AW405="proposed_name")),(COUNTIFS('أرقام التواصل'!$A$6:$A$505,"client",'أرقام التواصل'!$B$6:$B$505,A405,'أرقام التواصل'!$I$6:$I$505,"TRUE")+COUNTIFS('أرقام التواصل'!$A$6:$A$505,"client",'أرقام التواصل'!$B$6:$B$505,A405,'أرقام التواصل'!$C$6:$C$505,1))=0),"missing primary contact in أرقام التواصل; ","")&amp;IF(OR(B405="to_candidate",AW405="proposed_name"),IF(AX405="","missing proposed_move_reason; ","")&amp;IF(AY405="","missing proposed_name_key; ",""),"")))))</x:f>
      </x:c>
    </x:row>
    <x:row r="406">
      <x:c r="A406" s="219"/>
      <x:c r="B406" s="220"/>
      <x:c r="C406" s="221"/>
      <x:c r="D406" s="220"/>
      <x:c r="E406" s="222"/>
      <x:c r="F406" s="220"/>
      <x:c r="G406" s="220"/>
      <x:c r="H406" s="220"/>
      <x:c r="I406" s="220"/>
      <x:c r="J406" s="220"/>
      <x:c r="K406" s="220"/>
      <x:c r="L406" s="220" t="str">
        <x:f>IF(TRIM(H406&amp;" "&amp;I406&amp;" "&amp;J406&amp;IF(K406&lt;&gt;""," ("&amp;K406&amp;")",""))="","",TRIM(H406&amp;" "&amp;I406&amp;" "&amp;J406&amp;IF(K406&lt;&gt;""," ("&amp;K406&amp;")","")))</x:f>
      </x:c>
      <x:c r="M406" s="220"/>
      <x:c r="N406" s="220"/>
      <x:c r="O406" s="220"/>
      <x:c r="P406" s="220"/>
      <x:c r="Q406" s="220"/>
      <x:c r="R406" s="220"/>
      <x:c r="S406" s="220"/>
      <x:c r="T406" s="220"/>
      <x:c r="U406" s="220" t="str">
        <x:f>IF(AND(M406="",O406="",Q406="",S406=""),"",IF(S406&lt;&gt;"",S406,IF(Q406&lt;&gt;"",Q406,IF(O406&lt;&gt;"",O406,M406))))</x:f>
      </x:c>
      <x:c r="V406" s="220" t="str">
        <x:f>IF(AND(N406="",P406="",R406="",T406=""),"",IF(T406&lt;&gt;"",T406,IF(R406&lt;&gt;"",R406,IF(P406&lt;&gt;"",P406,N406))))</x:f>
      </x:c>
      <x:c r="W406" s="221"/>
      <x:c r="X406" s="220"/>
      <x:c r="Y406" s="220"/>
      <x:c r="Z406" s="223"/>
      <x:c r="AA406" s="223"/>
      <x:c r="AB406" s="221"/>
      <x:c r="AC406" s="220"/>
      <x:c r="AD406" s="220"/>
      <x:c r="AE406" s="222"/>
      <x:c r="AF406" s="220"/>
      <x:c r="AG406" s="221"/>
      <x:c r="AH406" s="220"/>
      <x:c r="AI406" s="220"/>
      <x:c r="AJ406" s="222"/>
      <x:c r="AK406" s="220"/>
      <x:c r="AL406" s="220"/>
      <x:c r="AM406" s="220"/>
      <x:c r="AN406" s="220"/>
      <x:c r="AO406" s="220"/>
      <x:c r="AP406" s="220"/>
      <x:c r="AQ406" s="220"/>
      <x:c r="AR406" s="222"/>
      <x:c r="AS406" s="220"/>
      <x:c r="AT406" s="220"/>
      <x:c r="AU406" s="220"/>
      <x:c r="AV406" s="220"/>
      <x:c r="AW406" s="220"/>
      <x:c r="AX406" s="220"/>
      <x:c r="AY406" s="221"/>
      <x:c r="AZ406" s="220"/>
      <x:c r="BA406" s="220" t="str">
        <x:f>IF(AND(A406="",B406="",F406="",H406="",J406="",AW406="",AY406=""),"",IF(OR(B406="skip",AW406="skip"),"SKIP",IF(OR(B406="to_candidate",AW406="proposed_name"),IF(OR(A406="",AX406="",AY406="",COUNTIF($A$6:$A$505,A406)&gt;1),"REVIEW","TO_PROPOSED"),IF(OR(B406="",A406="",F406="",H406="",J406="",U406="",AW406="",COUNTIF($A$6:$A$505,A406)&gt;1,(COUNTIFS('أرقام التواصل'!$A$6:$A$505,"client",'أرقام التواصل'!$B$6:$B$505,A406,'أرقام التواصل'!$I$6:$I$505,"TRUE")+COUNTIFS('أرقام التواصل'!$A$6:$A$505,"client",'أرقام التواصل'!$B$6:$B$505,A406,'أرقام التواصل'!$C$6:$C$505,1))=0),"REVIEW","READY"))))</x:f>
      </x:c>
      <x:c r="BB406" s="224" t="str">
        <x:f>IF(BA406="","",IF(OR(BA406="READY",BA406="TO_PROPOSED"),"",IF(BA406="SKIP","Skipped by decision",TRIM(IF(B406="","missing import_action; ","")&amp;IF(A406="","missing migration_customer_key; ","")&amp;IF(AND(A406&lt;&gt;"",COUNTIF($A$6:$A$505,A406)&gt;1),"duplicate migration_customer_key; ","")&amp;IF(AND(NOT(OR(B406="to_candidate",AW406="proposed_name")),F406=""),"missing branch_id; ","")&amp;IF(AND(NOT(OR(B406="to_candidate",AW406="proposed_name")),H406=""),"missing first_name; ","")&amp;IF(AND(NOT(OR(B406="to_candidate",AW406="proposed_name")),J406=""),"missing last_name; ","")&amp;IF(AND(NOT(OR(B406="to_candidate",AW406="proposed_name")),U406=""),"missing final_geo_unit_id; ","")&amp;IF(AW406="","missing final_destination; ","")&amp;IF(AND(NOT(OR(B406="to_candidate",AW406="proposed_name")),(COUNTIFS('أرقام التواصل'!$A$6:$A$505,"client",'أرقام التواصل'!$B$6:$B$505,A406,'أرقام التواصل'!$I$6:$I$505,"TRUE")+COUNTIFS('أرقام التواصل'!$A$6:$A$505,"client",'أرقام التواصل'!$B$6:$B$505,A406,'أرقام التواصل'!$C$6:$C$505,1))=0),"missing primary contact in أرقام التواصل; ","")&amp;IF(OR(B406="to_candidate",AW406="proposed_name"),IF(AX406="","missing proposed_move_reason; ","")&amp;IF(AY406="","missing proposed_name_key; ",""),"")))))</x:f>
      </x:c>
    </x:row>
    <x:row r="407">
      <x:c r="A407" s="219"/>
      <x:c r="B407" s="220"/>
      <x:c r="C407" s="221"/>
      <x:c r="D407" s="220"/>
      <x:c r="E407" s="222"/>
      <x:c r="F407" s="220"/>
      <x:c r="G407" s="220"/>
      <x:c r="H407" s="220"/>
      <x:c r="I407" s="220"/>
      <x:c r="J407" s="220"/>
      <x:c r="K407" s="220"/>
      <x:c r="L407" s="220" t="str">
        <x:f>IF(TRIM(H407&amp;" "&amp;I407&amp;" "&amp;J407&amp;IF(K407&lt;&gt;""," ("&amp;K407&amp;")",""))="","",TRIM(H407&amp;" "&amp;I407&amp;" "&amp;J407&amp;IF(K407&lt;&gt;""," ("&amp;K407&amp;")","")))</x:f>
      </x:c>
      <x:c r="M407" s="220"/>
      <x:c r="N407" s="220"/>
      <x:c r="O407" s="220"/>
      <x:c r="P407" s="220"/>
      <x:c r="Q407" s="220"/>
      <x:c r="R407" s="220"/>
      <x:c r="S407" s="220"/>
      <x:c r="T407" s="220"/>
      <x:c r="U407" s="220" t="str">
        <x:f>IF(AND(M407="",O407="",Q407="",S407=""),"",IF(S407&lt;&gt;"",S407,IF(Q407&lt;&gt;"",Q407,IF(O407&lt;&gt;"",O407,M407))))</x:f>
      </x:c>
      <x:c r="V407" s="220" t="str">
        <x:f>IF(AND(N407="",P407="",R407="",T407=""),"",IF(T407&lt;&gt;"",T407,IF(R407&lt;&gt;"",R407,IF(P407&lt;&gt;"",P407,N407))))</x:f>
      </x:c>
      <x:c r="W407" s="221"/>
      <x:c r="X407" s="220"/>
      <x:c r="Y407" s="220"/>
      <x:c r="Z407" s="223"/>
      <x:c r="AA407" s="223"/>
      <x:c r="AB407" s="221"/>
      <x:c r="AC407" s="220"/>
      <x:c r="AD407" s="220"/>
      <x:c r="AE407" s="222"/>
      <x:c r="AF407" s="220"/>
      <x:c r="AG407" s="221"/>
      <x:c r="AH407" s="220"/>
      <x:c r="AI407" s="220"/>
      <x:c r="AJ407" s="222"/>
      <x:c r="AK407" s="220"/>
      <x:c r="AL407" s="220"/>
      <x:c r="AM407" s="220"/>
      <x:c r="AN407" s="220"/>
      <x:c r="AO407" s="220"/>
      <x:c r="AP407" s="220"/>
      <x:c r="AQ407" s="220"/>
      <x:c r="AR407" s="222"/>
      <x:c r="AS407" s="220"/>
      <x:c r="AT407" s="220"/>
      <x:c r="AU407" s="220"/>
      <x:c r="AV407" s="220"/>
      <x:c r="AW407" s="220"/>
      <x:c r="AX407" s="220"/>
      <x:c r="AY407" s="221"/>
      <x:c r="AZ407" s="220"/>
      <x:c r="BA407" s="220" t="str">
        <x:f>IF(AND(A407="",B407="",F407="",H407="",J407="",AW407="",AY407=""),"",IF(OR(B407="skip",AW407="skip"),"SKIP",IF(OR(B407="to_candidate",AW407="proposed_name"),IF(OR(A407="",AX407="",AY407="",COUNTIF($A$6:$A$505,A407)&gt;1),"REVIEW","TO_PROPOSED"),IF(OR(B407="",A407="",F407="",H407="",J407="",U407="",AW407="",COUNTIF($A$6:$A$505,A407)&gt;1,(COUNTIFS('أرقام التواصل'!$A$6:$A$505,"client",'أرقام التواصل'!$B$6:$B$505,A407,'أرقام التواصل'!$I$6:$I$505,"TRUE")+COUNTIFS('أرقام التواصل'!$A$6:$A$505,"client",'أرقام التواصل'!$B$6:$B$505,A407,'أرقام التواصل'!$C$6:$C$505,1))=0),"REVIEW","READY"))))</x:f>
      </x:c>
      <x:c r="BB407" s="224" t="str">
        <x:f>IF(BA407="","",IF(OR(BA407="READY",BA407="TO_PROPOSED"),"",IF(BA407="SKIP","Skipped by decision",TRIM(IF(B407="","missing import_action; ","")&amp;IF(A407="","missing migration_customer_key; ","")&amp;IF(AND(A407&lt;&gt;"",COUNTIF($A$6:$A$505,A407)&gt;1),"duplicate migration_customer_key; ","")&amp;IF(AND(NOT(OR(B407="to_candidate",AW407="proposed_name")),F407=""),"missing branch_id; ","")&amp;IF(AND(NOT(OR(B407="to_candidate",AW407="proposed_name")),H407=""),"missing first_name; ","")&amp;IF(AND(NOT(OR(B407="to_candidate",AW407="proposed_name")),J407=""),"missing last_name; ","")&amp;IF(AND(NOT(OR(B407="to_candidate",AW407="proposed_name")),U407=""),"missing final_geo_unit_id; ","")&amp;IF(AW407="","missing final_destination; ","")&amp;IF(AND(NOT(OR(B407="to_candidate",AW407="proposed_name")),(COUNTIFS('أرقام التواصل'!$A$6:$A$505,"client",'أرقام التواصل'!$B$6:$B$505,A407,'أرقام التواصل'!$I$6:$I$505,"TRUE")+COUNTIFS('أرقام التواصل'!$A$6:$A$505,"client",'أرقام التواصل'!$B$6:$B$505,A407,'أرقام التواصل'!$C$6:$C$505,1))=0),"missing primary contact in أرقام التواصل; ","")&amp;IF(OR(B407="to_candidate",AW407="proposed_name"),IF(AX407="","missing proposed_move_reason; ","")&amp;IF(AY407="","missing proposed_name_key; ",""),"")))))</x:f>
      </x:c>
    </x:row>
    <x:row r="408">
      <x:c r="A408" s="219"/>
      <x:c r="B408" s="220"/>
      <x:c r="C408" s="221"/>
      <x:c r="D408" s="220"/>
      <x:c r="E408" s="222"/>
      <x:c r="F408" s="220"/>
      <x:c r="G408" s="220"/>
      <x:c r="H408" s="220"/>
      <x:c r="I408" s="220"/>
      <x:c r="J408" s="220"/>
      <x:c r="K408" s="220"/>
      <x:c r="L408" s="220" t="str">
        <x:f>IF(TRIM(H408&amp;" "&amp;I408&amp;" "&amp;J408&amp;IF(K408&lt;&gt;""," ("&amp;K408&amp;")",""))="","",TRIM(H408&amp;" "&amp;I408&amp;" "&amp;J408&amp;IF(K408&lt;&gt;""," ("&amp;K408&amp;")","")))</x:f>
      </x:c>
      <x:c r="M408" s="220"/>
      <x:c r="N408" s="220"/>
      <x:c r="O408" s="220"/>
      <x:c r="P408" s="220"/>
      <x:c r="Q408" s="220"/>
      <x:c r="R408" s="220"/>
      <x:c r="S408" s="220"/>
      <x:c r="T408" s="220"/>
      <x:c r="U408" s="220" t="str">
        <x:f>IF(AND(M408="",O408="",Q408="",S408=""),"",IF(S408&lt;&gt;"",S408,IF(Q408&lt;&gt;"",Q408,IF(O408&lt;&gt;"",O408,M408))))</x:f>
      </x:c>
      <x:c r="V408" s="220" t="str">
        <x:f>IF(AND(N408="",P408="",R408="",T408=""),"",IF(T408&lt;&gt;"",T408,IF(R408&lt;&gt;"",R408,IF(P408&lt;&gt;"",P408,N408))))</x:f>
      </x:c>
      <x:c r="W408" s="221"/>
      <x:c r="X408" s="220"/>
      <x:c r="Y408" s="220"/>
      <x:c r="Z408" s="223"/>
      <x:c r="AA408" s="223"/>
      <x:c r="AB408" s="221"/>
      <x:c r="AC408" s="220"/>
      <x:c r="AD408" s="220"/>
      <x:c r="AE408" s="222"/>
      <x:c r="AF408" s="220"/>
      <x:c r="AG408" s="221"/>
      <x:c r="AH408" s="220"/>
      <x:c r="AI408" s="220"/>
      <x:c r="AJ408" s="222"/>
      <x:c r="AK408" s="220"/>
      <x:c r="AL408" s="220"/>
      <x:c r="AM408" s="220"/>
      <x:c r="AN408" s="220"/>
      <x:c r="AO408" s="220"/>
      <x:c r="AP408" s="220"/>
      <x:c r="AQ408" s="220"/>
      <x:c r="AR408" s="222"/>
      <x:c r="AS408" s="220"/>
      <x:c r="AT408" s="220"/>
      <x:c r="AU408" s="220"/>
      <x:c r="AV408" s="220"/>
      <x:c r="AW408" s="220"/>
      <x:c r="AX408" s="220"/>
      <x:c r="AY408" s="221"/>
      <x:c r="AZ408" s="220"/>
      <x:c r="BA408" s="220" t="str">
        <x:f>IF(AND(A408="",B408="",F408="",H408="",J408="",AW408="",AY408=""),"",IF(OR(B408="skip",AW408="skip"),"SKIP",IF(OR(B408="to_candidate",AW408="proposed_name"),IF(OR(A408="",AX408="",AY408="",COUNTIF($A$6:$A$505,A408)&gt;1),"REVIEW","TO_PROPOSED"),IF(OR(B408="",A408="",F408="",H408="",J408="",U408="",AW408="",COUNTIF($A$6:$A$505,A408)&gt;1,(COUNTIFS('أرقام التواصل'!$A$6:$A$505,"client",'أرقام التواصل'!$B$6:$B$505,A408,'أرقام التواصل'!$I$6:$I$505,"TRUE")+COUNTIFS('أرقام التواصل'!$A$6:$A$505,"client",'أرقام التواصل'!$B$6:$B$505,A408,'أرقام التواصل'!$C$6:$C$505,1))=0),"REVIEW","READY"))))</x:f>
      </x:c>
      <x:c r="BB408" s="224" t="str">
        <x:f>IF(BA408="","",IF(OR(BA408="READY",BA408="TO_PROPOSED"),"",IF(BA408="SKIP","Skipped by decision",TRIM(IF(B408="","missing import_action; ","")&amp;IF(A408="","missing migration_customer_key; ","")&amp;IF(AND(A408&lt;&gt;"",COUNTIF($A$6:$A$505,A408)&gt;1),"duplicate migration_customer_key; ","")&amp;IF(AND(NOT(OR(B408="to_candidate",AW408="proposed_name")),F408=""),"missing branch_id; ","")&amp;IF(AND(NOT(OR(B408="to_candidate",AW408="proposed_name")),H408=""),"missing first_name; ","")&amp;IF(AND(NOT(OR(B408="to_candidate",AW408="proposed_name")),J408=""),"missing last_name; ","")&amp;IF(AND(NOT(OR(B408="to_candidate",AW408="proposed_name")),U408=""),"missing final_geo_unit_id; ","")&amp;IF(AW408="","missing final_destination; ","")&amp;IF(AND(NOT(OR(B408="to_candidate",AW408="proposed_name")),(COUNTIFS('أرقام التواصل'!$A$6:$A$505,"client",'أرقام التواصل'!$B$6:$B$505,A408,'أرقام التواصل'!$I$6:$I$505,"TRUE")+COUNTIFS('أرقام التواصل'!$A$6:$A$505,"client",'أرقام التواصل'!$B$6:$B$505,A408,'أرقام التواصل'!$C$6:$C$505,1))=0),"missing primary contact in أرقام التواصل; ","")&amp;IF(OR(B408="to_candidate",AW408="proposed_name"),IF(AX408="","missing proposed_move_reason; ","")&amp;IF(AY408="","missing proposed_name_key; ",""),"")))))</x:f>
      </x:c>
    </x:row>
    <x:row r="409">
      <x:c r="A409" s="219"/>
      <x:c r="B409" s="220"/>
      <x:c r="C409" s="221"/>
      <x:c r="D409" s="220"/>
      <x:c r="E409" s="222"/>
      <x:c r="F409" s="220"/>
      <x:c r="G409" s="220"/>
      <x:c r="H409" s="220"/>
      <x:c r="I409" s="220"/>
      <x:c r="J409" s="220"/>
      <x:c r="K409" s="220"/>
      <x:c r="L409" s="220" t="str">
        <x:f>IF(TRIM(H409&amp;" "&amp;I409&amp;" "&amp;J409&amp;IF(K409&lt;&gt;""," ("&amp;K409&amp;")",""))="","",TRIM(H409&amp;" "&amp;I409&amp;" "&amp;J409&amp;IF(K409&lt;&gt;""," ("&amp;K409&amp;")","")))</x:f>
      </x:c>
      <x:c r="M409" s="220"/>
      <x:c r="N409" s="220"/>
      <x:c r="O409" s="220"/>
      <x:c r="P409" s="220"/>
      <x:c r="Q409" s="220"/>
      <x:c r="R409" s="220"/>
      <x:c r="S409" s="220"/>
      <x:c r="T409" s="220"/>
      <x:c r="U409" s="220" t="str">
        <x:f>IF(AND(M409="",O409="",Q409="",S409=""),"",IF(S409&lt;&gt;"",S409,IF(Q409&lt;&gt;"",Q409,IF(O409&lt;&gt;"",O409,M409))))</x:f>
      </x:c>
      <x:c r="V409" s="220" t="str">
        <x:f>IF(AND(N409="",P409="",R409="",T409=""),"",IF(T409&lt;&gt;"",T409,IF(R409&lt;&gt;"",R409,IF(P409&lt;&gt;"",P409,N409))))</x:f>
      </x:c>
      <x:c r="W409" s="221"/>
      <x:c r="X409" s="220"/>
      <x:c r="Y409" s="220"/>
      <x:c r="Z409" s="223"/>
      <x:c r="AA409" s="223"/>
      <x:c r="AB409" s="221"/>
      <x:c r="AC409" s="220"/>
      <x:c r="AD409" s="220"/>
      <x:c r="AE409" s="222"/>
      <x:c r="AF409" s="220"/>
      <x:c r="AG409" s="221"/>
      <x:c r="AH409" s="220"/>
      <x:c r="AI409" s="220"/>
      <x:c r="AJ409" s="222"/>
      <x:c r="AK409" s="220"/>
      <x:c r="AL409" s="220"/>
      <x:c r="AM409" s="220"/>
      <x:c r="AN409" s="220"/>
      <x:c r="AO409" s="220"/>
      <x:c r="AP409" s="220"/>
      <x:c r="AQ409" s="220"/>
      <x:c r="AR409" s="222"/>
      <x:c r="AS409" s="220"/>
      <x:c r="AT409" s="220"/>
      <x:c r="AU409" s="220"/>
      <x:c r="AV409" s="220"/>
      <x:c r="AW409" s="220"/>
      <x:c r="AX409" s="220"/>
      <x:c r="AY409" s="221"/>
      <x:c r="AZ409" s="220"/>
      <x:c r="BA409" s="220" t="str">
        <x:f>IF(AND(A409="",B409="",F409="",H409="",J409="",AW409="",AY409=""),"",IF(OR(B409="skip",AW409="skip"),"SKIP",IF(OR(B409="to_candidate",AW409="proposed_name"),IF(OR(A409="",AX409="",AY409="",COUNTIF($A$6:$A$505,A409)&gt;1),"REVIEW","TO_PROPOSED"),IF(OR(B409="",A409="",F409="",H409="",J409="",U409="",AW409="",COUNTIF($A$6:$A$505,A409)&gt;1,(COUNTIFS('أرقام التواصل'!$A$6:$A$505,"client",'أرقام التواصل'!$B$6:$B$505,A409,'أرقام التواصل'!$I$6:$I$505,"TRUE")+COUNTIFS('أرقام التواصل'!$A$6:$A$505,"client",'أرقام التواصل'!$B$6:$B$505,A409,'أرقام التواصل'!$C$6:$C$505,1))=0),"REVIEW","READY"))))</x:f>
      </x:c>
      <x:c r="BB409" s="224" t="str">
        <x:f>IF(BA409="","",IF(OR(BA409="READY",BA409="TO_PROPOSED"),"",IF(BA409="SKIP","Skipped by decision",TRIM(IF(B409="","missing import_action; ","")&amp;IF(A409="","missing migration_customer_key; ","")&amp;IF(AND(A409&lt;&gt;"",COUNTIF($A$6:$A$505,A409)&gt;1),"duplicate migration_customer_key; ","")&amp;IF(AND(NOT(OR(B409="to_candidate",AW409="proposed_name")),F409=""),"missing branch_id; ","")&amp;IF(AND(NOT(OR(B409="to_candidate",AW409="proposed_name")),H409=""),"missing first_name; ","")&amp;IF(AND(NOT(OR(B409="to_candidate",AW409="proposed_name")),J409=""),"missing last_name; ","")&amp;IF(AND(NOT(OR(B409="to_candidate",AW409="proposed_name")),U409=""),"missing final_geo_unit_id; ","")&amp;IF(AW409="","missing final_destination; ","")&amp;IF(AND(NOT(OR(B409="to_candidate",AW409="proposed_name")),(COUNTIFS('أرقام التواصل'!$A$6:$A$505,"client",'أرقام التواصل'!$B$6:$B$505,A409,'أرقام التواصل'!$I$6:$I$505,"TRUE")+COUNTIFS('أرقام التواصل'!$A$6:$A$505,"client",'أرقام التواصل'!$B$6:$B$505,A409,'أرقام التواصل'!$C$6:$C$505,1))=0),"missing primary contact in أرقام التواصل; ","")&amp;IF(OR(B409="to_candidate",AW409="proposed_name"),IF(AX409="","missing proposed_move_reason; ","")&amp;IF(AY409="","missing proposed_name_key; ",""),"")))))</x:f>
      </x:c>
    </x:row>
    <x:row r="410">
      <x:c r="A410" s="219"/>
      <x:c r="B410" s="220"/>
      <x:c r="C410" s="221"/>
      <x:c r="D410" s="220"/>
      <x:c r="E410" s="222"/>
      <x:c r="F410" s="220"/>
      <x:c r="G410" s="220"/>
      <x:c r="H410" s="220"/>
      <x:c r="I410" s="220"/>
      <x:c r="J410" s="220"/>
      <x:c r="K410" s="220"/>
      <x:c r="L410" s="220" t="str">
        <x:f>IF(TRIM(H410&amp;" "&amp;I410&amp;" "&amp;J410&amp;IF(K410&lt;&gt;""," ("&amp;K410&amp;")",""))="","",TRIM(H410&amp;" "&amp;I410&amp;" "&amp;J410&amp;IF(K410&lt;&gt;""," ("&amp;K410&amp;")","")))</x:f>
      </x:c>
      <x:c r="M410" s="220"/>
      <x:c r="N410" s="220"/>
      <x:c r="O410" s="220"/>
      <x:c r="P410" s="220"/>
      <x:c r="Q410" s="220"/>
      <x:c r="R410" s="220"/>
      <x:c r="S410" s="220"/>
      <x:c r="T410" s="220"/>
      <x:c r="U410" s="220" t="str">
        <x:f>IF(AND(M410="",O410="",Q410="",S410=""),"",IF(S410&lt;&gt;"",S410,IF(Q410&lt;&gt;"",Q410,IF(O410&lt;&gt;"",O410,M410))))</x:f>
      </x:c>
      <x:c r="V410" s="220" t="str">
        <x:f>IF(AND(N410="",P410="",R410="",T410=""),"",IF(T410&lt;&gt;"",T410,IF(R410&lt;&gt;"",R410,IF(P410&lt;&gt;"",P410,N410))))</x:f>
      </x:c>
      <x:c r="W410" s="221"/>
      <x:c r="X410" s="220"/>
      <x:c r="Y410" s="220"/>
      <x:c r="Z410" s="223"/>
      <x:c r="AA410" s="223"/>
      <x:c r="AB410" s="221"/>
      <x:c r="AC410" s="220"/>
      <x:c r="AD410" s="220"/>
      <x:c r="AE410" s="222"/>
      <x:c r="AF410" s="220"/>
      <x:c r="AG410" s="221"/>
      <x:c r="AH410" s="220"/>
      <x:c r="AI410" s="220"/>
      <x:c r="AJ410" s="222"/>
      <x:c r="AK410" s="220"/>
      <x:c r="AL410" s="220"/>
      <x:c r="AM410" s="220"/>
      <x:c r="AN410" s="220"/>
      <x:c r="AO410" s="220"/>
      <x:c r="AP410" s="220"/>
      <x:c r="AQ410" s="220"/>
      <x:c r="AR410" s="222"/>
      <x:c r="AS410" s="220"/>
      <x:c r="AT410" s="220"/>
      <x:c r="AU410" s="220"/>
      <x:c r="AV410" s="220"/>
      <x:c r="AW410" s="220"/>
      <x:c r="AX410" s="220"/>
      <x:c r="AY410" s="221"/>
      <x:c r="AZ410" s="220"/>
      <x:c r="BA410" s="220" t="str">
        <x:f>IF(AND(A410="",B410="",F410="",H410="",J410="",AW410="",AY410=""),"",IF(OR(B410="skip",AW410="skip"),"SKIP",IF(OR(B410="to_candidate",AW410="proposed_name"),IF(OR(A410="",AX410="",AY410="",COUNTIF($A$6:$A$505,A410)&gt;1),"REVIEW","TO_PROPOSED"),IF(OR(B410="",A410="",F410="",H410="",J410="",U410="",AW410="",COUNTIF($A$6:$A$505,A410)&gt;1,(COUNTIFS('أرقام التواصل'!$A$6:$A$505,"client",'أرقام التواصل'!$B$6:$B$505,A410,'أرقام التواصل'!$I$6:$I$505,"TRUE")+COUNTIFS('أرقام التواصل'!$A$6:$A$505,"client",'أرقام التواصل'!$B$6:$B$505,A410,'أرقام التواصل'!$C$6:$C$505,1))=0),"REVIEW","READY"))))</x:f>
      </x:c>
      <x:c r="BB410" s="224" t="str">
        <x:f>IF(BA410="","",IF(OR(BA410="READY",BA410="TO_PROPOSED"),"",IF(BA410="SKIP","Skipped by decision",TRIM(IF(B410="","missing import_action; ","")&amp;IF(A410="","missing migration_customer_key; ","")&amp;IF(AND(A410&lt;&gt;"",COUNTIF($A$6:$A$505,A410)&gt;1),"duplicate migration_customer_key; ","")&amp;IF(AND(NOT(OR(B410="to_candidate",AW410="proposed_name")),F410=""),"missing branch_id; ","")&amp;IF(AND(NOT(OR(B410="to_candidate",AW410="proposed_name")),H410=""),"missing first_name; ","")&amp;IF(AND(NOT(OR(B410="to_candidate",AW410="proposed_name")),J410=""),"missing last_name; ","")&amp;IF(AND(NOT(OR(B410="to_candidate",AW410="proposed_name")),U410=""),"missing final_geo_unit_id; ","")&amp;IF(AW410="","missing final_destination; ","")&amp;IF(AND(NOT(OR(B410="to_candidate",AW410="proposed_name")),(COUNTIFS('أرقام التواصل'!$A$6:$A$505,"client",'أرقام التواصل'!$B$6:$B$505,A410,'أرقام التواصل'!$I$6:$I$505,"TRUE")+COUNTIFS('أرقام التواصل'!$A$6:$A$505,"client",'أرقام التواصل'!$B$6:$B$505,A410,'أرقام التواصل'!$C$6:$C$505,1))=0),"missing primary contact in أرقام التواصل; ","")&amp;IF(OR(B410="to_candidate",AW410="proposed_name"),IF(AX410="","missing proposed_move_reason; ","")&amp;IF(AY410="","missing proposed_name_key; ",""),"")))))</x:f>
      </x:c>
    </x:row>
    <x:row r="411">
      <x:c r="A411" s="219"/>
      <x:c r="B411" s="220"/>
      <x:c r="C411" s="221"/>
      <x:c r="D411" s="220"/>
      <x:c r="E411" s="222"/>
      <x:c r="F411" s="220"/>
      <x:c r="G411" s="220"/>
      <x:c r="H411" s="220"/>
      <x:c r="I411" s="220"/>
      <x:c r="J411" s="220"/>
      <x:c r="K411" s="220"/>
      <x:c r="L411" s="220" t="str">
        <x:f>IF(TRIM(H411&amp;" "&amp;I411&amp;" "&amp;J411&amp;IF(K411&lt;&gt;""," ("&amp;K411&amp;")",""))="","",TRIM(H411&amp;" "&amp;I411&amp;" "&amp;J411&amp;IF(K411&lt;&gt;""," ("&amp;K411&amp;")","")))</x:f>
      </x:c>
      <x:c r="M411" s="220"/>
      <x:c r="N411" s="220"/>
      <x:c r="O411" s="220"/>
      <x:c r="P411" s="220"/>
      <x:c r="Q411" s="220"/>
      <x:c r="R411" s="220"/>
      <x:c r="S411" s="220"/>
      <x:c r="T411" s="220"/>
      <x:c r="U411" s="220" t="str">
        <x:f>IF(AND(M411="",O411="",Q411="",S411=""),"",IF(S411&lt;&gt;"",S411,IF(Q411&lt;&gt;"",Q411,IF(O411&lt;&gt;"",O411,M411))))</x:f>
      </x:c>
      <x:c r="V411" s="220" t="str">
        <x:f>IF(AND(N411="",P411="",R411="",T411=""),"",IF(T411&lt;&gt;"",T411,IF(R411&lt;&gt;"",R411,IF(P411&lt;&gt;"",P411,N411))))</x:f>
      </x:c>
      <x:c r="W411" s="221"/>
      <x:c r="X411" s="220"/>
      <x:c r="Y411" s="220"/>
      <x:c r="Z411" s="223"/>
      <x:c r="AA411" s="223"/>
      <x:c r="AB411" s="221"/>
      <x:c r="AC411" s="220"/>
      <x:c r="AD411" s="220"/>
      <x:c r="AE411" s="222"/>
      <x:c r="AF411" s="220"/>
      <x:c r="AG411" s="221"/>
      <x:c r="AH411" s="220"/>
      <x:c r="AI411" s="220"/>
      <x:c r="AJ411" s="222"/>
      <x:c r="AK411" s="220"/>
      <x:c r="AL411" s="220"/>
      <x:c r="AM411" s="220"/>
      <x:c r="AN411" s="220"/>
      <x:c r="AO411" s="220"/>
      <x:c r="AP411" s="220"/>
      <x:c r="AQ411" s="220"/>
      <x:c r="AR411" s="222"/>
      <x:c r="AS411" s="220"/>
      <x:c r="AT411" s="220"/>
      <x:c r="AU411" s="220"/>
      <x:c r="AV411" s="220"/>
      <x:c r="AW411" s="220"/>
      <x:c r="AX411" s="220"/>
      <x:c r="AY411" s="221"/>
      <x:c r="AZ411" s="220"/>
      <x:c r="BA411" s="220" t="str">
        <x:f>IF(AND(A411="",B411="",F411="",H411="",J411="",AW411="",AY411=""),"",IF(OR(B411="skip",AW411="skip"),"SKIP",IF(OR(B411="to_candidate",AW411="proposed_name"),IF(OR(A411="",AX411="",AY411="",COUNTIF($A$6:$A$505,A411)&gt;1),"REVIEW","TO_PROPOSED"),IF(OR(B411="",A411="",F411="",H411="",J411="",U411="",AW411="",COUNTIF($A$6:$A$505,A411)&gt;1,(COUNTIFS('أرقام التواصل'!$A$6:$A$505,"client",'أرقام التواصل'!$B$6:$B$505,A411,'أرقام التواصل'!$I$6:$I$505,"TRUE")+COUNTIFS('أرقام التواصل'!$A$6:$A$505,"client",'أرقام التواصل'!$B$6:$B$505,A411,'أرقام التواصل'!$C$6:$C$505,1))=0),"REVIEW","READY"))))</x:f>
      </x:c>
      <x:c r="BB411" s="224" t="str">
        <x:f>IF(BA411="","",IF(OR(BA411="READY",BA411="TO_PROPOSED"),"",IF(BA411="SKIP","Skipped by decision",TRIM(IF(B411="","missing import_action; ","")&amp;IF(A411="","missing migration_customer_key; ","")&amp;IF(AND(A411&lt;&gt;"",COUNTIF($A$6:$A$505,A411)&gt;1),"duplicate migration_customer_key; ","")&amp;IF(AND(NOT(OR(B411="to_candidate",AW411="proposed_name")),F411=""),"missing branch_id; ","")&amp;IF(AND(NOT(OR(B411="to_candidate",AW411="proposed_name")),H411=""),"missing first_name; ","")&amp;IF(AND(NOT(OR(B411="to_candidate",AW411="proposed_name")),J411=""),"missing last_name; ","")&amp;IF(AND(NOT(OR(B411="to_candidate",AW411="proposed_name")),U411=""),"missing final_geo_unit_id; ","")&amp;IF(AW411="","missing final_destination; ","")&amp;IF(AND(NOT(OR(B411="to_candidate",AW411="proposed_name")),(COUNTIFS('أرقام التواصل'!$A$6:$A$505,"client",'أرقام التواصل'!$B$6:$B$505,A411,'أرقام التواصل'!$I$6:$I$505,"TRUE")+COUNTIFS('أرقام التواصل'!$A$6:$A$505,"client",'أرقام التواصل'!$B$6:$B$505,A411,'أرقام التواصل'!$C$6:$C$505,1))=0),"missing primary contact in أرقام التواصل; ","")&amp;IF(OR(B411="to_candidate",AW411="proposed_name"),IF(AX411="","missing proposed_move_reason; ","")&amp;IF(AY411="","missing proposed_name_key; ",""),"")))))</x:f>
      </x:c>
    </x:row>
    <x:row r="412">
      <x:c r="A412" s="219"/>
      <x:c r="B412" s="220"/>
      <x:c r="C412" s="221"/>
      <x:c r="D412" s="220"/>
      <x:c r="E412" s="222"/>
      <x:c r="F412" s="220"/>
      <x:c r="G412" s="220"/>
      <x:c r="H412" s="220"/>
      <x:c r="I412" s="220"/>
      <x:c r="J412" s="220"/>
      <x:c r="K412" s="220"/>
      <x:c r="L412" s="220" t="str">
        <x:f>IF(TRIM(H412&amp;" "&amp;I412&amp;" "&amp;J412&amp;IF(K412&lt;&gt;""," ("&amp;K412&amp;")",""))="","",TRIM(H412&amp;" "&amp;I412&amp;" "&amp;J412&amp;IF(K412&lt;&gt;""," ("&amp;K412&amp;")","")))</x:f>
      </x:c>
      <x:c r="M412" s="220"/>
      <x:c r="N412" s="220"/>
      <x:c r="O412" s="220"/>
      <x:c r="P412" s="220"/>
      <x:c r="Q412" s="220"/>
      <x:c r="R412" s="220"/>
      <x:c r="S412" s="220"/>
      <x:c r="T412" s="220"/>
      <x:c r="U412" s="220" t="str">
        <x:f>IF(AND(M412="",O412="",Q412="",S412=""),"",IF(S412&lt;&gt;"",S412,IF(Q412&lt;&gt;"",Q412,IF(O412&lt;&gt;"",O412,M412))))</x:f>
      </x:c>
      <x:c r="V412" s="220" t="str">
        <x:f>IF(AND(N412="",P412="",R412="",T412=""),"",IF(T412&lt;&gt;"",T412,IF(R412&lt;&gt;"",R412,IF(P412&lt;&gt;"",P412,N412))))</x:f>
      </x:c>
      <x:c r="W412" s="221"/>
      <x:c r="X412" s="220"/>
      <x:c r="Y412" s="220"/>
      <x:c r="Z412" s="223"/>
      <x:c r="AA412" s="223"/>
      <x:c r="AB412" s="221"/>
      <x:c r="AC412" s="220"/>
      <x:c r="AD412" s="220"/>
      <x:c r="AE412" s="222"/>
      <x:c r="AF412" s="220"/>
      <x:c r="AG412" s="221"/>
      <x:c r="AH412" s="220"/>
      <x:c r="AI412" s="220"/>
      <x:c r="AJ412" s="222"/>
      <x:c r="AK412" s="220"/>
      <x:c r="AL412" s="220"/>
      <x:c r="AM412" s="220"/>
      <x:c r="AN412" s="220"/>
      <x:c r="AO412" s="220"/>
      <x:c r="AP412" s="220"/>
      <x:c r="AQ412" s="220"/>
      <x:c r="AR412" s="222"/>
      <x:c r="AS412" s="220"/>
      <x:c r="AT412" s="220"/>
      <x:c r="AU412" s="220"/>
      <x:c r="AV412" s="220"/>
      <x:c r="AW412" s="220"/>
      <x:c r="AX412" s="220"/>
      <x:c r="AY412" s="221"/>
      <x:c r="AZ412" s="220"/>
      <x:c r="BA412" s="220" t="str">
        <x:f>IF(AND(A412="",B412="",F412="",H412="",J412="",AW412="",AY412=""),"",IF(OR(B412="skip",AW412="skip"),"SKIP",IF(OR(B412="to_candidate",AW412="proposed_name"),IF(OR(A412="",AX412="",AY412="",COUNTIF($A$6:$A$505,A412)&gt;1),"REVIEW","TO_PROPOSED"),IF(OR(B412="",A412="",F412="",H412="",J412="",U412="",AW412="",COUNTIF($A$6:$A$505,A412)&gt;1,(COUNTIFS('أرقام التواصل'!$A$6:$A$505,"client",'أرقام التواصل'!$B$6:$B$505,A412,'أرقام التواصل'!$I$6:$I$505,"TRUE")+COUNTIFS('أرقام التواصل'!$A$6:$A$505,"client",'أرقام التواصل'!$B$6:$B$505,A412,'أرقام التواصل'!$C$6:$C$505,1))=0),"REVIEW","READY"))))</x:f>
      </x:c>
      <x:c r="BB412" s="224" t="str">
        <x:f>IF(BA412="","",IF(OR(BA412="READY",BA412="TO_PROPOSED"),"",IF(BA412="SKIP","Skipped by decision",TRIM(IF(B412="","missing import_action; ","")&amp;IF(A412="","missing migration_customer_key; ","")&amp;IF(AND(A412&lt;&gt;"",COUNTIF($A$6:$A$505,A412)&gt;1),"duplicate migration_customer_key; ","")&amp;IF(AND(NOT(OR(B412="to_candidate",AW412="proposed_name")),F412=""),"missing branch_id; ","")&amp;IF(AND(NOT(OR(B412="to_candidate",AW412="proposed_name")),H412=""),"missing first_name; ","")&amp;IF(AND(NOT(OR(B412="to_candidate",AW412="proposed_name")),J412=""),"missing last_name; ","")&amp;IF(AND(NOT(OR(B412="to_candidate",AW412="proposed_name")),U412=""),"missing final_geo_unit_id; ","")&amp;IF(AW412="","missing final_destination; ","")&amp;IF(AND(NOT(OR(B412="to_candidate",AW412="proposed_name")),(COUNTIFS('أرقام التواصل'!$A$6:$A$505,"client",'أرقام التواصل'!$B$6:$B$505,A412,'أرقام التواصل'!$I$6:$I$505,"TRUE")+COUNTIFS('أرقام التواصل'!$A$6:$A$505,"client",'أرقام التواصل'!$B$6:$B$505,A412,'أرقام التواصل'!$C$6:$C$505,1))=0),"missing primary contact in أرقام التواصل; ","")&amp;IF(OR(B412="to_candidate",AW412="proposed_name"),IF(AX412="","missing proposed_move_reason; ","")&amp;IF(AY412="","missing proposed_name_key; ",""),"")))))</x:f>
      </x:c>
    </x:row>
    <x:row r="413">
      <x:c r="A413" s="219"/>
      <x:c r="B413" s="220"/>
      <x:c r="C413" s="221"/>
      <x:c r="D413" s="220"/>
      <x:c r="E413" s="222"/>
      <x:c r="F413" s="220"/>
      <x:c r="G413" s="220"/>
      <x:c r="H413" s="220"/>
      <x:c r="I413" s="220"/>
      <x:c r="J413" s="220"/>
      <x:c r="K413" s="220"/>
      <x:c r="L413" s="220" t="str">
        <x:f>IF(TRIM(H413&amp;" "&amp;I413&amp;" "&amp;J413&amp;IF(K413&lt;&gt;""," ("&amp;K413&amp;")",""))="","",TRIM(H413&amp;" "&amp;I413&amp;" "&amp;J413&amp;IF(K413&lt;&gt;""," ("&amp;K413&amp;")","")))</x:f>
      </x:c>
      <x:c r="M413" s="220"/>
      <x:c r="N413" s="220"/>
      <x:c r="O413" s="220"/>
      <x:c r="P413" s="220"/>
      <x:c r="Q413" s="220"/>
      <x:c r="R413" s="220"/>
      <x:c r="S413" s="220"/>
      <x:c r="T413" s="220"/>
      <x:c r="U413" s="220" t="str">
        <x:f>IF(AND(M413="",O413="",Q413="",S413=""),"",IF(S413&lt;&gt;"",S413,IF(Q413&lt;&gt;"",Q413,IF(O413&lt;&gt;"",O413,M413))))</x:f>
      </x:c>
      <x:c r="V413" s="220" t="str">
        <x:f>IF(AND(N413="",P413="",R413="",T413=""),"",IF(T413&lt;&gt;"",T413,IF(R413&lt;&gt;"",R413,IF(P413&lt;&gt;"",P413,N413))))</x:f>
      </x:c>
      <x:c r="W413" s="221"/>
      <x:c r="X413" s="220"/>
      <x:c r="Y413" s="220"/>
      <x:c r="Z413" s="223"/>
      <x:c r="AA413" s="223"/>
      <x:c r="AB413" s="221"/>
      <x:c r="AC413" s="220"/>
      <x:c r="AD413" s="220"/>
      <x:c r="AE413" s="222"/>
      <x:c r="AF413" s="220"/>
      <x:c r="AG413" s="221"/>
      <x:c r="AH413" s="220"/>
      <x:c r="AI413" s="220"/>
      <x:c r="AJ413" s="222"/>
      <x:c r="AK413" s="220"/>
      <x:c r="AL413" s="220"/>
      <x:c r="AM413" s="220"/>
      <x:c r="AN413" s="220"/>
      <x:c r="AO413" s="220"/>
      <x:c r="AP413" s="220"/>
      <x:c r="AQ413" s="220"/>
      <x:c r="AR413" s="222"/>
      <x:c r="AS413" s="220"/>
      <x:c r="AT413" s="220"/>
      <x:c r="AU413" s="220"/>
      <x:c r="AV413" s="220"/>
      <x:c r="AW413" s="220"/>
      <x:c r="AX413" s="220"/>
      <x:c r="AY413" s="221"/>
      <x:c r="AZ413" s="220"/>
      <x:c r="BA413" s="220" t="str">
        <x:f>IF(AND(A413="",B413="",F413="",H413="",J413="",AW413="",AY413=""),"",IF(OR(B413="skip",AW413="skip"),"SKIP",IF(OR(B413="to_candidate",AW413="proposed_name"),IF(OR(A413="",AX413="",AY413="",COUNTIF($A$6:$A$505,A413)&gt;1),"REVIEW","TO_PROPOSED"),IF(OR(B413="",A413="",F413="",H413="",J413="",U413="",AW413="",COUNTIF($A$6:$A$505,A413)&gt;1,(COUNTIFS('أرقام التواصل'!$A$6:$A$505,"client",'أرقام التواصل'!$B$6:$B$505,A413,'أرقام التواصل'!$I$6:$I$505,"TRUE")+COUNTIFS('أرقام التواصل'!$A$6:$A$505,"client",'أرقام التواصل'!$B$6:$B$505,A413,'أرقام التواصل'!$C$6:$C$505,1))=0),"REVIEW","READY"))))</x:f>
      </x:c>
      <x:c r="BB413" s="224" t="str">
        <x:f>IF(BA413="","",IF(OR(BA413="READY",BA413="TO_PROPOSED"),"",IF(BA413="SKIP","Skipped by decision",TRIM(IF(B413="","missing import_action; ","")&amp;IF(A413="","missing migration_customer_key; ","")&amp;IF(AND(A413&lt;&gt;"",COUNTIF($A$6:$A$505,A413)&gt;1),"duplicate migration_customer_key; ","")&amp;IF(AND(NOT(OR(B413="to_candidate",AW413="proposed_name")),F413=""),"missing branch_id; ","")&amp;IF(AND(NOT(OR(B413="to_candidate",AW413="proposed_name")),H413=""),"missing first_name; ","")&amp;IF(AND(NOT(OR(B413="to_candidate",AW413="proposed_name")),J413=""),"missing last_name; ","")&amp;IF(AND(NOT(OR(B413="to_candidate",AW413="proposed_name")),U413=""),"missing final_geo_unit_id; ","")&amp;IF(AW413="","missing final_destination; ","")&amp;IF(AND(NOT(OR(B413="to_candidate",AW413="proposed_name")),(COUNTIFS('أرقام التواصل'!$A$6:$A$505,"client",'أرقام التواصل'!$B$6:$B$505,A413,'أرقام التواصل'!$I$6:$I$505,"TRUE")+COUNTIFS('أرقام التواصل'!$A$6:$A$505,"client",'أرقام التواصل'!$B$6:$B$505,A413,'أرقام التواصل'!$C$6:$C$505,1))=0),"missing primary contact in أرقام التواصل; ","")&amp;IF(OR(B413="to_candidate",AW413="proposed_name"),IF(AX413="","missing proposed_move_reason; ","")&amp;IF(AY413="","missing proposed_name_key; ",""),"")))))</x:f>
      </x:c>
    </x:row>
    <x:row r="414">
      <x:c r="A414" s="219"/>
      <x:c r="B414" s="220"/>
      <x:c r="C414" s="221"/>
      <x:c r="D414" s="220"/>
      <x:c r="E414" s="222"/>
      <x:c r="F414" s="220"/>
      <x:c r="G414" s="220"/>
      <x:c r="H414" s="220"/>
      <x:c r="I414" s="220"/>
      <x:c r="J414" s="220"/>
      <x:c r="K414" s="220"/>
      <x:c r="L414" s="220" t="str">
        <x:f>IF(TRIM(H414&amp;" "&amp;I414&amp;" "&amp;J414&amp;IF(K414&lt;&gt;""," ("&amp;K414&amp;")",""))="","",TRIM(H414&amp;" "&amp;I414&amp;" "&amp;J414&amp;IF(K414&lt;&gt;""," ("&amp;K414&amp;")","")))</x:f>
      </x:c>
      <x:c r="M414" s="220"/>
      <x:c r="N414" s="220"/>
      <x:c r="O414" s="220"/>
      <x:c r="P414" s="220"/>
      <x:c r="Q414" s="220"/>
      <x:c r="R414" s="220"/>
      <x:c r="S414" s="220"/>
      <x:c r="T414" s="220"/>
      <x:c r="U414" s="220" t="str">
        <x:f>IF(AND(M414="",O414="",Q414="",S414=""),"",IF(S414&lt;&gt;"",S414,IF(Q414&lt;&gt;"",Q414,IF(O414&lt;&gt;"",O414,M414))))</x:f>
      </x:c>
      <x:c r="V414" s="220" t="str">
        <x:f>IF(AND(N414="",P414="",R414="",T414=""),"",IF(T414&lt;&gt;"",T414,IF(R414&lt;&gt;"",R414,IF(P414&lt;&gt;"",P414,N414))))</x:f>
      </x:c>
      <x:c r="W414" s="221"/>
      <x:c r="X414" s="220"/>
      <x:c r="Y414" s="220"/>
      <x:c r="Z414" s="223"/>
      <x:c r="AA414" s="223"/>
      <x:c r="AB414" s="221"/>
      <x:c r="AC414" s="220"/>
      <x:c r="AD414" s="220"/>
      <x:c r="AE414" s="222"/>
      <x:c r="AF414" s="220"/>
      <x:c r="AG414" s="221"/>
      <x:c r="AH414" s="220"/>
      <x:c r="AI414" s="220"/>
      <x:c r="AJ414" s="222"/>
      <x:c r="AK414" s="220"/>
      <x:c r="AL414" s="220"/>
      <x:c r="AM414" s="220"/>
      <x:c r="AN414" s="220"/>
      <x:c r="AO414" s="220"/>
      <x:c r="AP414" s="220"/>
      <x:c r="AQ414" s="220"/>
      <x:c r="AR414" s="222"/>
      <x:c r="AS414" s="220"/>
      <x:c r="AT414" s="220"/>
      <x:c r="AU414" s="220"/>
      <x:c r="AV414" s="220"/>
      <x:c r="AW414" s="220"/>
      <x:c r="AX414" s="220"/>
      <x:c r="AY414" s="221"/>
      <x:c r="AZ414" s="220"/>
      <x:c r="BA414" s="220" t="str">
        <x:f>IF(AND(A414="",B414="",F414="",H414="",J414="",AW414="",AY414=""),"",IF(OR(B414="skip",AW414="skip"),"SKIP",IF(OR(B414="to_candidate",AW414="proposed_name"),IF(OR(A414="",AX414="",AY414="",COUNTIF($A$6:$A$505,A414)&gt;1),"REVIEW","TO_PROPOSED"),IF(OR(B414="",A414="",F414="",H414="",J414="",U414="",AW414="",COUNTIF($A$6:$A$505,A414)&gt;1,(COUNTIFS('أرقام التواصل'!$A$6:$A$505,"client",'أرقام التواصل'!$B$6:$B$505,A414,'أرقام التواصل'!$I$6:$I$505,"TRUE")+COUNTIFS('أرقام التواصل'!$A$6:$A$505,"client",'أرقام التواصل'!$B$6:$B$505,A414,'أرقام التواصل'!$C$6:$C$505,1))=0),"REVIEW","READY"))))</x:f>
      </x:c>
      <x:c r="BB414" s="224" t="str">
        <x:f>IF(BA414="","",IF(OR(BA414="READY",BA414="TO_PROPOSED"),"",IF(BA414="SKIP","Skipped by decision",TRIM(IF(B414="","missing import_action; ","")&amp;IF(A414="","missing migration_customer_key; ","")&amp;IF(AND(A414&lt;&gt;"",COUNTIF($A$6:$A$505,A414)&gt;1),"duplicate migration_customer_key; ","")&amp;IF(AND(NOT(OR(B414="to_candidate",AW414="proposed_name")),F414=""),"missing branch_id; ","")&amp;IF(AND(NOT(OR(B414="to_candidate",AW414="proposed_name")),H414=""),"missing first_name; ","")&amp;IF(AND(NOT(OR(B414="to_candidate",AW414="proposed_name")),J414=""),"missing last_name; ","")&amp;IF(AND(NOT(OR(B414="to_candidate",AW414="proposed_name")),U414=""),"missing final_geo_unit_id; ","")&amp;IF(AW414="","missing final_destination; ","")&amp;IF(AND(NOT(OR(B414="to_candidate",AW414="proposed_name")),(COUNTIFS('أرقام التواصل'!$A$6:$A$505,"client",'أرقام التواصل'!$B$6:$B$505,A414,'أرقام التواصل'!$I$6:$I$505,"TRUE")+COUNTIFS('أرقام التواصل'!$A$6:$A$505,"client",'أرقام التواصل'!$B$6:$B$505,A414,'أرقام التواصل'!$C$6:$C$505,1))=0),"missing primary contact in أرقام التواصل; ","")&amp;IF(OR(B414="to_candidate",AW414="proposed_name"),IF(AX414="","missing proposed_move_reason; ","")&amp;IF(AY414="","missing proposed_name_key; ",""),"")))))</x:f>
      </x:c>
    </x:row>
    <x:row r="415">
      <x:c r="A415" s="219"/>
      <x:c r="B415" s="220"/>
      <x:c r="C415" s="221"/>
      <x:c r="D415" s="220"/>
      <x:c r="E415" s="222"/>
      <x:c r="F415" s="220"/>
      <x:c r="G415" s="220"/>
      <x:c r="H415" s="220"/>
      <x:c r="I415" s="220"/>
      <x:c r="J415" s="220"/>
      <x:c r="K415" s="220"/>
      <x:c r="L415" s="220" t="str">
        <x:f>IF(TRIM(H415&amp;" "&amp;I415&amp;" "&amp;J415&amp;IF(K415&lt;&gt;""," ("&amp;K415&amp;")",""))="","",TRIM(H415&amp;" "&amp;I415&amp;" "&amp;J415&amp;IF(K415&lt;&gt;""," ("&amp;K415&amp;")","")))</x:f>
      </x:c>
      <x:c r="M415" s="220"/>
      <x:c r="N415" s="220"/>
      <x:c r="O415" s="220"/>
      <x:c r="P415" s="220"/>
      <x:c r="Q415" s="220"/>
      <x:c r="R415" s="220"/>
      <x:c r="S415" s="220"/>
      <x:c r="T415" s="220"/>
      <x:c r="U415" s="220" t="str">
        <x:f>IF(AND(M415="",O415="",Q415="",S415=""),"",IF(S415&lt;&gt;"",S415,IF(Q415&lt;&gt;"",Q415,IF(O415&lt;&gt;"",O415,M415))))</x:f>
      </x:c>
      <x:c r="V415" s="220" t="str">
        <x:f>IF(AND(N415="",P415="",R415="",T415=""),"",IF(T415&lt;&gt;"",T415,IF(R415&lt;&gt;"",R415,IF(P415&lt;&gt;"",P415,N415))))</x:f>
      </x:c>
      <x:c r="W415" s="221"/>
      <x:c r="X415" s="220"/>
      <x:c r="Y415" s="220"/>
      <x:c r="Z415" s="223"/>
      <x:c r="AA415" s="223"/>
      <x:c r="AB415" s="221"/>
      <x:c r="AC415" s="220"/>
      <x:c r="AD415" s="220"/>
      <x:c r="AE415" s="222"/>
      <x:c r="AF415" s="220"/>
      <x:c r="AG415" s="221"/>
      <x:c r="AH415" s="220"/>
      <x:c r="AI415" s="220"/>
      <x:c r="AJ415" s="222"/>
      <x:c r="AK415" s="220"/>
      <x:c r="AL415" s="220"/>
      <x:c r="AM415" s="220"/>
      <x:c r="AN415" s="220"/>
      <x:c r="AO415" s="220"/>
      <x:c r="AP415" s="220"/>
      <x:c r="AQ415" s="220"/>
      <x:c r="AR415" s="222"/>
      <x:c r="AS415" s="220"/>
      <x:c r="AT415" s="220"/>
      <x:c r="AU415" s="220"/>
      <x:c r="AV415" s="220"/>
      <x:c r="AW415" s="220"/>
      <x:c r="AX415" s="220"/>
      <x:c r="AY415" s="221"/>
      <x:c r="AZ415" s="220"/>
      <x:c r="BA415" s="220" t="str">
        <x:f>IF(AND(A415="",B415="",F415="",H415="",J415="",AW415="",AY415=""),"",IF(OR(B415="skip",AW415="skip"),"SKIP",IF(OR(B415="to_candidate",AW415="proposed_name"),IF(OR(A415="",AX415="",AY415="",COUNTIF($A$6:$A$505,A415)&gt;1),"REVIEW","TO_PROPOSED"),IF(OR(B415="",A415="",F415="",H415="",J415="",U415="",AW415="",COUNTIF($A$6:$A$505,A415)&gt;1,(COUNTIFS('أرقام التواصل'!$A$6:$A$505,"client",'أرقام التواصل'!$B$6:$B$505,A415,'أرقام التواصل'!$I$6:$I$505,"TRUE")+COUNTIFS('أرقام التواصل'!$A$6:$A$505,"client",'أرقام التواصل'!$B$6:$B$505,A415,'أرقام التواصل'!$C$6:$C$505,1))=0),"REVIEW","READY"))))</x:f>
      </x:c>
      <x:c r="BB415" s="224" t="str">
        <x:f>IF(BA415="","",IF(OR(BA415="READY",BA415="TO_PROPOSED"),"",IF(BA415="SKIP","Skipped by decision",TRIM(IF(B415="","missing import_action; ","")&amp;IF(A415="","missing migration_customer_key; ","")&amp;IF(AND(A415&lt;&gt;"",COUNTIF($A$6:$A$505,A415)&gt;1),"duplicate migration_customer_key; ","")&amp;IF(AND(NOT(OR(B415="to_candidate",AW415="proposed_name")),F415=""),"missing branch_id; ","")&amp;IF(AND(NOT(OR(B415="to_candidate",AW415="proposed_name")),H415=""),"missing first_name; ","")&amp;IF(AND(NOT(OR(B415="to_candidate",AW415="proposed_name")),J415=""),"missing last_name; ","")&amp;IF(AND(NOT(OR(B415="to_candidate",AW415="proposed_name")),U415=""),"missing final_geo_unit_id; ","")&amp;IF(AW415="","missing final_destination; ","")&amp;IF(AND(NOT(OR(B415="to_candidate",AW415="proposed_name")),(COUNTIFS('أرقام التواصل'!$A$6:$A$505,"client",'أرقام التواصل'!$B$6:$B$505,A415,'أرقام التواصل'!$I$6:$I$505,"TRUE")+COUNTIFS('أرقام التواصل'!$A$6:$A$505,"client",'أرقام التواصل'!$B$6:$B$505,A415,'أرقام التواصل'!$C$6:$C$505,1))=0),"missing primary contact in أرقام التواصل; ","")&amp;IF(OR(B415="to_candidate",AW415="proposed_name"),IF(AX415="","missing proposed_move_reason; ","")&amp;IF(AY415="","missing proposed_name_key; ",""),"")))))</x:f>
      </x:c>
    </x:row>
    <x:row r="416">
      <x:c r="A416" s="219"/>
      <x:c r="B416" s="220"/>
      <x:c r="C416" s="221"/>
      <x:c r="D416" s="220"/>
      <x:c r="E416" s="222"/>
      <x:c r="F416" s="220"/>
      <x:c r="G416" s="220"/>
      <x:c r="H416" s="220"/>
      <x:c r="I416" s="220"/>
      <x:c r="J416" s="220"/>
      <x:c r="K416" s="220"/>
      <x:c r="L416" s="220" t="str">
        <x:f>IF(TRIM(H416&amp;" "&amp;I416&amp;" "&amp;J416&amp;IF(K416&lt;&gt;""," ("&amp;K416&amp;")",""))="","",TRIM(H416&amp;" "&amp;I416&amp;" "&amp;J416&amp;IF(K416&lt;&gt;""," ("&amp;K416&amp;")","")))</x:f>
      </x:c>
      <x:c r="M416" s="220"/>
      <x:c r="N416" s="220"/>
      <x:c r="O416" s="220"/>
      <x:c r="P416" s="220"/>
      <x:c r="Q416" s="220"/>
      <x:c r="R416" s="220"/>
      <x:c r="S416" s="220"/>
      <x:c r="T416" s="220"/>
      <x:c r="U416" s="220" t="str">
        <x:f>IF(AND(M416="",O416="",Q416="",S416=""),"",IF(S416&lt;&gt;"",S416,IF(Q416&lt;&gt;"",Q416,IF(O416&lt;&gt;"",O416,M416))))</x:f>
      </x:c>
      <x:c r="V416" s="220" t="str">
        <x:f>IF(AND(N416="",P416="",R416="",T416=""),"",IF(T416&lt;&gt;"",T416,IF(R416&lt;&gt;"",R416,IF(P416&lt;&gt;"",P416,N416))))</x:f>
      </x:c>
      <x:c r="W416" s="221"/>
      <x:c r="X416" s="220"/>
      <x:c r="Y416" s="220"/>
      <x:c r="Z416" s="223"/>
      <x:c r="AA416" s="223"/>
      <x:c r="AB416" s="221"/>
      <x:c r="AC416" s="220"/>
      <x:c r="AD416" s="220"/>
      <x:c r="AE416" s="222"/>
      <x:c r="AF416" s="220"/>
      <x:c r="AG416" s="221"/>
      <x:c r="AH416" s="220"/>
      <x:c r="AI416" s="220"/>
      <x:c r="AJ416" s="222"/>
      <x:c r="AK416" s="220"/>
      <x:c r="AL416" s="220"/>
      <x:c r="AM416" s="220"/>
      <x:c r="AN416" s="220"/>
      <x:c r="AO416" s="220"/>
      <x:c r="AP416" s="220"/>
      <x:c r="AQ416" s="220"/>
      <x:c r="AR416" s="222"/>
      <x:c r="AS416" s="220"/>
      <x:c r="AT416" s="220"/>
      <x:c r="AU416" s="220"/>
      <x:c r="AV416" s="220"/>
      <x:c r="AW416" s="220"/>
      <x:c r="AX416" s="220"/>
      <x:c r="AY416" s="221"/>
      <x:c r="AZ416" s="220"/>
      <x:c r="BA416" s="220" t="str">
        <x:f>IF(AND(A416="",B416="",F416="",H416="",J416="",AW416="",AY416=""),"",IF(OR(B416="skip",AW416="skip"),"SKIP",IF(OR(B416="to_candidate",AW416="proposed_name"),IF(OR(A416="",AX416="",AY416="",COUNTIF($A$6:$A$505,A416)&gt;1),"REVIEW","TO_PROPOSED"),IF(OR(B416="",A416="",F416="",H416="",J416="",U416="",AW416="",COUNTIF($A$6:$A$505,A416)&gt;1,(COUNTIFS('أرقام التواصل'!$A$6:$A$505,"client",'أرقام التواصل'!$B$6:$B$505,A416,'أرقام التواصل'!$I$6:$I$505,"TRUE")+COUNTIFS('أرقام التواصل'!$A$6:$A$505,"client",'أرقام التواصل'!$B$6:$B$505,A416,'أرقام التواصل'!$C$6:$C$505,1))=0),"REVIEW","READY"))))</x:f>
      </x:c>
      <x:c r="BB416" s="224" t="str">
        <x:f>IF(BA416="","",IF(OR(BA416="READY",BA416="TO_PROPOSED"),"",IF(BA416="SKIP","Skipped by decision",TRIM(IF(B416="","missing import_action; ","")&amp;IF(A416="","missing migration_customer_key; ","")&amp;IF(AND(A416&lt;&gt;"",COUNTIF($A$6:$A$505,A416)&gt;1),"duplicate migration_customer_key; ","")&amp;IF(AND(NOT(OR(B416="to_candidate",AW416="proposed_name")),F416=""),"missing branch_id; ","")&amp;IF(AND(NOT(OR(B416="to_candidate",AW416="proposed_name")),H416=""),"missing first_name; ","")&amp;IF(AND(NOT(OR(B416="to_candidate",AW416="proposed_name")),J416=""),"missing last_name; ","")&amp;IF(AND(NOT(OR(B416="to_candidate",AW416="proposed_name")),U416=""),"missing final_geo_unit_id; ","")&amp;IF(AW416="","missing final_destination; ","")&amp;IF(AND(NOT(OR(B416="to_candidate",AW416="proposed_name")),(COUNTIFS('أرقام التواصل'!$A$6:$A$505,"client",'أرقام التواصل'!$B$6:$B$505,A416,'أرقام التواصل'!$I$6:$I$505,"TRUE")+COUNTIFS('أرقام التواصل'!$A$6:$A$505,"client",'أرقام التواصل'!$B$6:$B$505,A416,'أرقام التواصل'!$C$6:$C$505,1))=0),"missing primary contact in أرقام التواصل; ","")&amp;IF(OR(B416="to_candidate",AW416="proposed_name"),IF(AX416="","missing proposed_move_reason; ","")&amp;IF(AY416="","missing proposed_name_key; ",""),"")))))</x:f>
      </x:c>
    </x:row>
    <x:row r="417">
      <x:c r="A417" s="219"/>
      <x:c r="B417" s="220"/>
      <x:c r="C417" s="221"/>
      <x:c r="D417" s="220"/>
      <x:c r="E417" s="222"/>
      <x:c r="F417" s="220"/>
      <x:c r="G417" s="220"/>
      <x:c r="H417" s="220"/>
      <x:c r="I417" s="220"/>
      <x:c r="J417" s="220"/>
      <x:c r="K417" s="220"/>
      <x:c r="L417" s="220" t="str">
        <x:f>IF(TRIM(H417&amp;" "&amp;I417&amp;" "&amp;J417&amp;IF(K417&lt;&gt;""," ("&amp;K417&amp;")",""))="","",TRIM(H417&amp;" "&amp;I417&amp;" "&amp;J417&amp;IF(K417&lt;&gt;""," ("&amp;K417&amp;")","")))</x:f>
      </x:c>
      <x:c r="M417" s="220"/>
      <x:c r="N417" s="220"/>
      <x:c r="O417" s="220"/>
      <x:c r="P417" s="220"/>
      <x:c r="Q417" s="220"/>
      <x:c r="R417" s="220"/>
      <x:c r="S417" s="220"/>
      <x:c r="T417" s="220"/>
      <x:c r="U417" s="220" t="str">
        <x:f>IF(AND(M417="",O417="",Q417="",S417=""),"",IF(S417&lt;&gt;"",S417,IF(Q417&lt;&gt;"",Q417,IF(O417&lt;&gt;"",O417,M417))))</x:f>
      </x:c>
      <x:c r="V417" s="220" t="str">
        <x:f>IF(AND(N417="",P417="",R417="",T417=""),"",IF(T417&lt;&gt;"",T417,IF(R417&lt;&gt;"",R417,IF(P417&lt;&gt;"",P417,N417))))</x:f>
      </x:c>
      <x:c r="W417" s="221"/>
      <x:c r="X417" s="220"/>
      <x:c r="Y417" s="220"/>
      <x:c r="Z417" s="223"/>
      <x:c r="AA417" s="223"/>
      <x:c r="AB417" s="221"/>
      <x:c r="AC417" s="220"/>
      <x:c r="AD417" s="220"/>
      <x:c r="AE417" s="222"/>
      <x:c r="AF417" s="220"/>
      <x:c r="AG417" s="221"/>
      <x:c r="AH417" s="220"/>
      <x:c r="AI417" s="220"/>
      <x:c r="AJ417" s="222"/>
      <x:c r="AK417" s="220"/>
      <x:c r="AL417" s="220"/>
      <x:c r="AM417" s="220"/>
      <x:c r="AN417" s="220"/>
      <x:c r="AO417" s="220"/>
      <x:c r="AP417" s="220"/>
      <x:c r="AQ417" s="220"/>
      <x:c r="AR417" s="222"/>
      <x:c r="AS417" s="220"/>
      <x:c r="AT417" s="220"/>
      <x:c r="AU417" s="220"/>
      <x:c r="AV417" s="220"/>
      <x:c r="AW417" s="220"/>
      <x:c r="AX417" s="220"/>
      <x:c r="AY417" s="221"/>
      <x:c r="AZ417" s="220"/>
      <x:c r="BA417" s="220" t="str">
        <x:f>IF(AND(A417="",B417="",F417="",H417="",J417="",AW417="",AY417=""),"",IF(OR(B417="skip",AW417="skip"),"SKIP",IF(OR(B417="to_candidate",AW417="proposed_name"),IF(OR(A417="",AX417="",AY417="",COUNTIF($A$6:$A$505,A417)&gt;1),"REVIEW","TO_PROPOSED"),IF(OR(B417="",A417="",F417="",H417="",J417="",U417="",AW417="",COUNTIF($A$6:$A$505,A417)&gt;1,(COUNTIFS('أرقام التواصل'!$A$6:$A$505,"client",'أرقام التواصل'!$B$6:$B$505,A417,'أرقام التواصل'!$I$6:$I$505,"TRUE")+COUNTIFS('أرقام التواصل'!$A$6:$A$505,"client",'أرقام التواصل'!$B$6:$B$505,A417,'أرقام التواصل'!$C$6:$C$505,1))=0),"REVIEW","READY"))))</x:f>
      </x:c>
      <x:c r="BB417" s="224" t="str">
        <x:f>IF(BA417="","",IF(OR(BA417="READY",BA417="TO_PROPOSED"),"",IF(BA417="SKIP","Skipped by decision",TRIM(IF(B417="","missing import_action; ","")&amp;IF(A417="","missing migration_customer_key; ","")&amp;IF(AND(A417&lt;&gt;"",COUNTIF($A$6:$A$505,A417)&gt;1),"duplicate migration_customer_key; ","")&amp;IF(AND(NOT(OR(B417="to_candidate",AW417="proposed_name")),F417=""),"missing branch_id; ","")&amp;IF(AND(NOT(OR(B417="to_candidate",AW417="proposed_name")),H417=""),"missing first_name; ","")&amp;IF(AND(NOT(OR(B417="to_candidate",AW417="proposed_name")),J417=""),"missing last_name; ","")&amp;IF(AND(NOT(OR(B417="to_candidate",AW417="proposed_name")),U417=""),"missing final_geo_unit_id; ","")&amp;IF(AW417="","missing final_destination; ","")&amp;IF(AND(NOT(OR(B417="to_candidate",AW417="proposed_name")),(COUNTIFS('أرقام التواصل'!$A$6:$A$505,"client",'أرقام التواصل'!$B$6:$B$505,A417,'أرقام التواصل'!$I$6:$I$505,"TRUE")+COUNTIFS('أرقام التواصل'!$A$6:$A$505,"client",'أرقام التواصل'!$B$6:$B$505,A417,'أرقام التواصل'!$C$6:$C$505,1))=0),"missing primary contact in أرقام التواصل; ","")&amp;IF(OR(B417="to_candidate",AW417="proposed_name"),IF(AX417="","missing proposed_move_reason; ","")&amp;IF(AY417="","missing proposed_name_key; ",""),"")))))</x:f>
      </x:c>
    </x:row>
    <x:row r="418">
      <x:c r="A418" s="219"/>
      <x:c r="B418" s="220"/>
      <x:c r="C418" s="221"/>
      <x:c r="D418" s="220"/>
      <x:c r="E418" s="222"/>
      <x:c r="F418" s="220"/>
      <x:c r="G418" s="220"/>
      <x:c r="H418" s="220"/>
      <x:c r="I418" s="220"/>
      <x:c r="J418" s="220"/>
      <x:c r="K418" s="220"/>
      <x:c r="L418" s="220" t="str">
        <x:f>IF(TRIM(H418&amp;" "&amp;I418&amp;" "&amp;J418&amp;IF(K418&lt;&gt;""," ("&amp;K418&amp;")",""))="","",TRIM(H418&amp;" "&amp;I418&amp;" "&amp;J418&amp;IF(K418&lt;&gt;""," ("&amp;K418&amp;")","")))</x:f>
      </x:c>
      <x:c r="M418" s="220"/>
      <x:c r="N418" s="220"/>
      <x:c r="O418" s="220"/>
      <x:c r="P418" s="220"/>
      <x:c r="Q418" s="220"/>
      <x:c r="R418" s="220"/>
      <x:c r="S418" s="220"/>
      <x:c r="T418" s="220"/>
      <x:c r="U418" s="220" t="str">
        <x:f>IF(AND(M418="",O418="",Q418="",S418=""),"",IF(S418&lt;&gt;"",S418,IF(Q418&lt;&gt;"",Q418,IF(O418&lt;&gt;"",O418,M418))))</x:f>
      </x:c>
      <x:c r="V418" s="220" t="str">
        <x:f>IF(AND(N418="",P418="",R418="",T418=""),"",IF(T418&lt;&gt;"",T418,IF(R418&lt;&gt;"",R418,IF(P418&lt;&gt;"",P418,N418))))</x:f>
      </x:c>
      <x:c r="W418" s="221"/>
      <x:c r="X418" s="220"/>
      <x:c r="Y418" s="220"/>
      <x:c r="Z418" s="223"/>
      <x:c r="AA418" s="223"/>
      <x:c r="AB418" s="221"/>
      <x:c r="AC418" s="220"/>
      <x:c r="AD418" s="220"/>
      <x:c r="AE418" s="222"/>
      <x:c r="AF418" s="220"/>
      <x:c r="AG418" s="221"/>
      <x:c r="AH418" s="220"/>
      <x:c r="AI418" s="220"/>
      <x:c r="AJ418" s="222"/>
      <x:c r="AK418" s="220"/>
      <x:c r="AL418" s="220"/>
      <x:c r="AM418" s="220"/>
      <x:c r="AN418" s="220"/>
      <x:c r="AO418" s="220"/>
      <x:c r="AP418" s="220"/>
      <x:c r="AQ418" s="220"/>
      <x:c r="AR418" s="222"/>
      <x:c r="AS418" s="220"/>
      <x:c r="AT418" s="220"/>
      <x:c r="AU418" s="220"/>
      <x:c r="AV418" s="220"/>
      <x:c r="AW418" s="220"/>
      <x:c r="AX418" s="220"/>
      <x:c r="AY418" s="221"/>
      <x:c r="AZ418" s="220"/>
      <x:c r="BA418" s="220" t="str">
        <x:f>IF(AND(A418="",B418="",F418="",H418="",J418="",AW418="",AY418=""),"",IF(OR(B418="skip",AW418="skip"),"SKIP",IF(OR(B418="to_candidate",AW418="proposed_name"),IF(OR(A418="",AX418="",AY418="",COUNTIF($A$6:$A$505,A418)&gt;1),"REVIEW","TO_PROPOSED"),IF(OR(B418="",A418="",F418="",H418="",J418="",U418="",AW418="",COUNTIF($A$6:$A$505,A418)&gt;1,(COUNTIFS('أرقام التواصل'!$A$6:$A$505,"client",'أرقام التواصل'!$B$6:$B$505,A418,'أرقام التواصل'!$I$6:$I$505,"TRUE")+COUNTIFS('أرقام التواصل'!$A$6:$A$505,"client",'أرقام التواصل'!$B$6:$B$505,A418,'أرقام التواصل'!$C$6:$C$505,1))=0),"REVIEW","READY"))))</x:f>
      </x:c>
      <x:c r="BB418" s="224" t="str">
        <x:f>IF(BA418="","",IF(OR(BA418="READY",BA418="TO_PROPOSED"),"",IF(BA418="SKIP","Skipped by decision",TRIM(IF(B418="","missing import_action; ","")&amp;IF(A418="","missing migration_customer_key; ","")&amp;IF(AND(A418&lt;&gt;"",COUNTIF($A$6:$A$505,A418)&gt;1),"duplicate migration_customer_key; ","")&amp;IF(AND(NOT(OR(B418="to_candidate",AW418="proposed_name")),F418=""),"missing branch_id; ","")&amp;IF(AND(NOT(OR(B418="to_candidate",AW418="proposed_name")),H418=""),"missing first_name; ","")&amp;IF(AND(NOT(OR(B418="to_candidate",AW418="proposed_name")),J418=""),"missing last_name; ","")&amp;IF(AND(NOT(OR(B418="to_candidate",AW418="proposed_name")),U418=""),"missing final_geo_unit_id; ","")&amp;IF(AW418="","missing final_destination; ","")&amp;IF(AND(NOT(OR(B418="to_candidate",AW418="proposed_name")),(COUNTIFS('أرقام التواصل'!$A$6:$A$505,"client",'أرقام التواصل'!$B$6:$B$505,A418,'أرقام التواصل'!$I$6:$I$505,"TRUE")+COUNTIFS('أرقام التواصل'!$A$6:$A$505,"client",'أرقام التواصل'!$B$6:$B$505,A418,'أرقام التواصل'!$C$6:$C$505,1))=0),"missing primary contact in أرقام التواصل; ","")&amp;IF(OR(B418="to_candidate",AW418="proposed_name"),IF(AX418="","missing proposed_move_reason; ","")&amp;IF(AY418="","missing proposed_name_key; ",""),"")))))</x:f>
      </x:c>
    </x:row>
    <x:row r="419">
      <x:c r="A419" s="219"/>
      <x:c r="B419" s="220"/>
      <x:c r="C419" s="221"/>
      <x:c r="D419" s="220"/>
      <x:c r="E419" s="222"/>
      <x:c r="F419" s="220"/>
      <x:c r="G419" s="220"/>
      <x:c r="H419" s="220"/>
      <x:c r="I419" s="220"/>
      <x:c r="J419" s="220"/>
      <x:c r="K419" s="220"/>
      <x:c r="L419" s="220" t="str">
        <x:f>IF(TRIM(H419&amp;" "&amp;I419&amp;" "&amp;J419&amp;IF(K419&lt;&gt;""," ("&amp;K419&amp;")",""))="","",TRIM(H419&amp;" "&amp;I419&amp;" "&amp;J419&amp;IF(K419&lt;&gt;""," ("&amp;K419&amp;")","")))</x:f>
      </x:c>
      <x:c r="M419" s="220"/>
      <x:c r="N419" s="220"/>
      <x:c r="O419" s="220"/>
      <x:c r="P419" s="220"/>
      <x:c r="Q419" s="220"/>
      <x:c r="R419" s="220"/>
      <x:c r="S419" s="220"/>
      <x:c r="T419" s="220"/>
      <x:c r="U419" s="220" t="str">
        <x:f>IF(AND(M419="",O419="",Q419="",S419=""),"",IF(S419&lt;&gt;"",S419,IF(Q419&lt;&gt;"",Q419,IF(O419&lt;&gt;"",O419,M419))))</x:f>
      </x:c>
      <x:c r="V419" s="220" t="str">
        <x:f>IF(AND(N419="",P419="",R419="",T419=""),"",IF(T419&lt;&gt;"",T419,IF(R419&lt;&gt;"",R419,IF(P419&lt;&gt;"",P419,N419))))</x:f>
      </x:c>
      <x:c r="W419" s="221"/>
      <x:c r="X419" s="220"/>
      <x:c r="Y419" s="220"/>
      <x:c r="Z419" s="223"/>
      <x:c r="AA419" s="223"/>
      <x:c r="AB419" s="221"/>
      <x:c r="AC419" s="220"/>
      <x:c r="AD419" s="220"/>
      <x:c r="AE419" s="222"/>
      <x:c r="AF419" s="220"/>
      <x:c r="AG419" s="221"/>
      <x:c r="AH419" s="220"/>
      <x:c r="AI419" s="220"/>
      <x:c r="AJ419" s="222"/>
      <x:c r="AK419" s="220"/>
      <x:c r="AL419" s="220"/>
      <x:c r="AM419" s="220"/>
      <x:c r="AN419" s="220"/>
      <x:c r="AO419" s="220"/>
      <x:c r="AP419" s="220"/>
      <x:c r="AQ419" s="220"/>
      <x:c r="AR419" s="222"/>
      <x:c r="AS419" s="220"/>
      <x:c r="AT419" s="220"/>
      <x:c r="AU419" s="220"/>
      <x:c r="AV419" s="220"/>
      <x:c r="AW419" s="220"/>
      <x:c r="AX419" s="220"/>
      <x:c r="AY419" s="221"/>
      <x:c r="AZ419" s="220"/>
      <x:c r="BA419" s="220" t="str">
        <x:f>IF(AND(A419="",B419="",F419="",H419="",J419="",AW419="",AY419=""),"",IF(OR(B419="skip",AW419="skip"),"SKIP",IF(OR(B419="to_candidate",AW419="proposed_name"),IF(OR(A419="",AX419="",AY419="",COUNTIF($A$6:$A$505,A419)&gt;1),"REVIEW","TO_PROPOSED"),IF(OR(B419="",A419="",F419="",H419="",J419="",U419="",AW419="",COUNTIF($A$6:$A$505,A419)&gt;1,(COUNTIFS('أرقام التواصل'!$A$6:$A$505,"client",'أرقام التواصل'!$B$6:$B$505,A419,'أرقام التواصل'!$I$6:$I$505,"TRUE")+COUNTIFS('أرقام التواصل'!$A$6:$A$505,"client",'أرقام التواصل'!$B$6:$B$505,A419,'أرقام التواصل'!$C$6:$C$505,1))=0),"REVIEW","READY"))))</x:f>
      </x:c>
      <x:c r="BB419" s="224" t="str">
        <x:f>IF(BA419="","",IF(OR(BA419="READY",BA419="TO_PROPOSED"),"",IF(BA419="SKIP","Skipped by decision",TRIM(IF(B419="","missing import_action; ","")&amp;IF(A419="","missing migration_customer_key; ","")&amp;IF(AND(A419&lt;&gt;"",COUNTIF($A$6:$A$505,A419)&gt;1),"duplicate migration_customer_key; ","")&amp;IF(AND(NOT(OR(B419="to_candidate",AW419="proposed_name")),F419=""),"missing branch_id; ","")&amp;IF(AND(NOT(OR(B419="to_candidate",AW419="proposed_name")),H419=""),"missing first_name; ","")&amp;IF(AND(NOT(OR(B419="to_candidate",AW419="proposed_name")),J419=""),"missing last_name; ","")&amp;IF(AND(NOT(OR(B419="to_candidate",AW419="proposed_name")),U419=""),"missing final_geo_unit_id; ","")&amp;IF(AW419="","missing final_destination; ","")&amp;IF(AND(NOT(OR(B419="to_candidate",AW419="proposed_name")),(COUNTIFS('أرقام التواصل'!$A$6:$A$505,"client",'أرقام التواصل'!$B$6:$B$505,A419,'أرقام التواصل'!$I$6:$I$505,"TRUE")+COUNTIFS('أرقام التواصل'!$A$6:$A$505,"client",'أرقام التواصل'!$B$6:$B$505,A419,'أرقام التواصل'!$C$6:$C$505,1))=0),"missing primary contact in أرقام التواصل; ","")&amp;IF(OR(B419="to_candidate",AW419="proposed_name"),IF(AX419="","missing proposed_move_reason; ","")&amp;IF(AY419="","missing proposed_name_key; ",""),"")))))</x:f>
      </x:c>
    </x:row>
    <x:row r="420">
      <x:c r="A420" s="219"/>
      <x:c r="B420" s="220"/>
      <x:c r="C420" s="221"/>
      <x:c r="D420" s="220"/>
      <x:c r="E420" s="222"/>
      <x:c r="F420" s="220"/>
      <x:c r="G420" s="220"/>
      <x:c r="H420" s="220"/>
      <x:c r="I420" s="220"/>
      <x:c r="J420" s="220"/>
      <x:c r="K420" s="220"/>
      <x:c r="L420" s="220" t="str">
        <x:f>IF(TRIM(H420&amp;" "&amp;I420&amp;" "&amp;J420&amp;IF(K420&lt;&gt;""," ("&amp;K420&amp;")",""))="","",TRIM(H420&amp;" "&amp;I420&amp;" "&amp;J420&amp;IF(K420&lt;&gt;""," ("&amp;K420&amp;")","")))</x:f>
      </x:c>
      <x:c r="M420" s="220"/>
      <x:c r="N420" s="220"/>
      <x:c r="O420" s="220"/>
      <x:c r="P420" s="220"/>
      <x:c r="Q420" s="220"/>
      <x:c r="R420" s="220"/>
      <x:c r="S420" s="220"/>
      <x:c r="T420" s="220"/>
      <x:c r="U420" s="220" t="str">
        <x:f>IF(AND(M420="",O420="",Q420="",S420=""),"",IF(S420&lt;&gt;"",S420,IF(Q420&lt;&gt;"",Q420,IF(O420&lt;&gt;"",O420,M420))))</x:f>
      </x:c>
      <x:c r="V420" s="220" t="str">
        <x:f>IF(AND(N420="",P420="",R420="",T420=""),"",IF(T420&lt;&gt;"",T420,IF(R420&lt;&gt;"",R420,IF(P420&lt;&gt;"",P420,N420))))</x:f>
      </x:c>
      <x:c r="W420" s="221"/>
      <x:c r="X420" s="220"/>
      <x:c r="Y420" s="220"/>
      <x:c r="Z420" s="223"/>
      <x:c r="AA420" s="223"/>
      <x:c r="AB420" s="221"/>
      <x:c r="AC420" s="220"/>
      <x:c r="AD420" s="220"/>
      <x:c r="AE420" s="222"/>
      <x:c r="AF420" s="220"/>
      <x:c r="AG420" s="221"/>
      <x:c r="AH420" s="220"/>
      <x:c r="AI420" s="220"/>
      <x:c r="AJ420" s="222"/>
      <x:c r="AK420" s="220"/>
      <x:c r="AL420" s="220"/>
      <x:c r="AM420" s="220"/>
      <x:c r="AN420" s="220"/>
      <x:c r="AO420" s="220"/>
      <x:c r="AP420" s="220"/>
      <x:c r="AQ420" s="220"/>
      <x:c r="AR420" s="222"/>
      <x:c r="AS420" s="220"/>
      <x:c r="AT420" s="220"/>
      <x:c r="AU420" s="220"/>
      <x:c r="AV420" s="220"/>
      <x:c r="AW420" s="220"/>
      <x:c r="AX420" s="220"/>
      <x:c r="AY420" s="221"/>
      <x:c r="AZ420" s="220"/>
      <x:c r="BA420" s="220" t="str">
        <x:f>IF(AND(A420="",B420="",F420="",H420="",J420="",AW420="",AY420=""),"",IF(OR(B420="skip",AW420="skip"),"SKIP",IF(OR(B420="to_candidate",AW420="proposed_name"),IF(OR(A420="",AX420="",AY420="",COUNTIF($A$6:$A$505,A420)&gt;1),"REVIEW","TO_PROPOSED"),IF(OR(B420="",A420="",F420="",H420="",J420="",U420="",AW420="",COUNTIF($A$6:$A$505,A420)&gt;1,(COUNTIFS('أرقام التواصل'!$A$6:$A$505,"client",'أرقام التواصل'!$B$6:$B$505,A420,'أرقام التواصل'!$I$6:$I$505,"TRUE")+COUNTIFS('أرقام التواصل'!$A$6:$A$505,"client",'أرقام التواصل'!$B$6:$B$505,A420,'أرقام التواصل'!$C$6:$C$505,1))=0),"REVIEW","READY"))))</x:f>
      </x:c>
      <x:c r="BB420" s="224" t="str">
        <x:f>IF(BA420="","",IF(OR(BA420="READY",BA420="TO_PROPOSED"),"",IF(BA420="SKIP","Skipped by decision",TRIM(IF(B420="","missing import_action; ","")&amp;IF(A420="","missing migration_customer_key; ","")&amp;IF(AND(A420&lt;&gt;"",COUNTIF($A$6:$A$505,A420)&gt;1),"duplicate migration_customer_key; ","")&amp;IF(AND(NOT(OR(B420="to_candidate",AW420="proposed_name")),F420=""),"missing branch_id; ","")&amp;IF(AND(NOT(OR(B420="to_candidate",AW420="proposed_name")),H420=""),"missing first_name; ","")&amp;IF(AND(NOT(OR(B420="to_candidate",AW420="proposed_name")),J420=""),"missing last_name; ","")&amp;IF(AND(NOT(OR(B420="to_candidate",AW420="proposed_name")),U420=""),"missing final_geo_unit_id; ","")&amp;IF(AW420="","missing final_destination; ","")&amp;IF(AND(NOT(OR(B420="to_candidate",AW420="proposed_name")),(COUNTIFS('أرقام التواصل'!$A$6:$A$505,"client",'أرقام التواصل'!$B$6:$B$505,A420,'أرقام التواصل'!$I$6:$I$505,"TRUE")+COUNTIFS('أرقام التواصل'!$A$6:$A$505,"client",'أرقام التواصل'!$B$6:$B$505,A420,'أرقام التواصل'!$C$6:$C$505,1))=0),"missing primary contact in أرقام التواصل; ","")&amp;IF(OR(B420="to_candidate",AW420="proposed_name"),IF(AX420="","missing proposed_move_reason; ","")&amp;IF(AY420="","missing proposed_name_key; ",""),"")))))</x:f>
      </x:c>
    </x:row>
    <x:row r="421">
      <x:c r="A421" s="219"/>
      <x:c r="B421" s="220"/>
      <x:c r="C421" s="221"/>
      <x:c r="D421" s="220"/>
      <x:c r="E421" s="222"/>
      <x:c r="F421" s="220"/>
      <x:c r="G421" s="220"/>
      <x:c r="H421" s="220"/>
      <x:c r="I421" s="220"/>
      <x:c r="J421" s="220"/>
      <x:c r="K421" s="220"/>
      <x:c r="L421" s="220" t="str">
        <x:f>IF(TRIM(H421&amp;" "&amp;I421&amp;" "&amp;J421&amp;IF(K421&lt;&gt;""," ("&amp;K421&amp;")",""))="","",TRIM(H421&amp;" "&amp;I421&amp;" "&amp;J421&amp;IF(K421&lt;&gt;""," ("&amp;K421&amp;")","")))</x:f>
      </x:c>
      <x:c r="M421" s="220"/>
      <x:c r="N421" s="220"/>
      <x:c r="O421" s="220"/>
      <x:c r="P421" s="220"/>
      <x:c r="Q421" s="220"/>
      <x:c r="R421" s="220"/>
      <x:c r="S421" s="220"/>
      <x:c r="T421" s="220"/>
      <x:c r="U421" s="220" t="str">
        <x:f>IF(AND(M421="",O421="",Q421="",S421=""),"",IF(S421&lt;&gt;"",S421,IF(Q421&lt;&gt;"",Q421,IF(O421&lt;&gt;"",O421,M421))))</x:f>
      </x:c>
      <x:c r="V421" s="220" t="str">
        <x:f>IF(AND(N421="",P421="",R421="",T421=""),"",IF(T421&lt;&gt;"",T421,IF(R421&lt;&gt;"",R421,IF(P421&lt;&gt;"",P421,N421))))</x:f>
      </x:c>
      <x:c r="W421" s="221"/>
      <x:c r="X421" s="220"/>
      <x:c r="Y421" s="220"/>
      <x:c r="Z421" s="223"/>
      <x:c r="AA421" s="223"/>
      <x:c r="AB421" s="221"/>
      <x:c r="AC421" s="220"/>
      <x:c r="AD421" s="220"/>
      <x:c r="AE421" s="222"/>
      <x:c r="AF421" s="220"/>
      <x:c r="AG421" s="221"/>
      <x:c r="AH421" s="220"/>
      <x:c r="AI421" s="220"/>
      <x:c r="AJ421" s="222"/>
      <x:c r="AK421" s="220"/>
      <x:c r="AL421" s="220"/>
      <x:c r="AM421" s="220"/>
      <x:c r="AN421" s="220"/>
      <x:c r="AO421" s="220"/>
      <x:c r="AP421" s="220"/>
      <x:c r="AQ421" s="220"/>
      <x:c r="AR421" s="222"/>
      <x:c r="AS421" s="220"/>
      <x:c r="AT421" s="220"/>
      <x:c r="AU421" s="220"/>
      <x:c r="AV421" s="220"/>
      <x:c r="AW421" s="220"/>
      <x:c r="AX421" s="220"/>
      <x:c r="AY421" s="221"/>
      <x:c r="AZ421" s="220"/>
      <x:c r="BA421" s="220" t="str">
        <x:f>IF(AND(A421="",B421="",F421="",H421="",J421="",AW421="",AY421=""),"",IF(OR(B421="skip",AW421="skip"),"SKIP",IF(OR(B421="to_candidate",AW421="proposed_name"),IF(OR(A421="",AX421="",AY421="",COUNTIF($A$6:$A$505,A421)&gt;1),"REVIEW","TO_PROPOSED"),IF(OR(B421="",A421="",F421="",H421="",J421="",U421="",AW421="",COUNTIF($A$6:$A$505,A421)&gt;1,(COUNTIFS('أرقام التواصل'!$A$6:$A$505,"client",'أرقام التواصل'!$B$6:$B$505,A421,'أرقام التواصل'!$I$6:$I$505,"TRUE")+COUNTIFS('أرقام التواصل'!$A$6:$A$505,"client",'أرقام التواصل'!$B$6:$B$505,A421,'أرقام التواصل'!$C$6:$C$505,1))=0),"REVIEW","READY"))))</x:f>
      </x:c>
      <x:c r="BB421" s="224" t="str">
        <x:f>IF(BA421="","",IF(OR(BA421="READY",BA421="TO_PROPOSED"),"",IF(BA421="SKIP","Skipped by decision",TRIM(IF(B421="","missing import_action; ","")&amp;IF(A421="","missing migration_customer_key; ","")&amp;IF(AND(A421&lt;&gt;"",COUNTIF($A$6:$A$505,A421)&gt;1),"duplicate migration_customer_key; ","")&amp;IF(AND(NOT(OR(B421="to_candidate",AW421="proposed_name")),F421=""),"missing branch_id; ","")&amp;IF(AND(NOT(OR(B421="to_candidate",AW421="proposed_name")),H421=""),"missing first_name; ","")&amp;IF(AND(NOT(OR(B421="to_candidate",AW421="proposed_name")),J421=""),"missing last_name; ","")&amp;IF(AND(NOT(OR(B421="to_candidate",AW421="proposed_name")),U421=""),"missing final_geo_unit_id; ","")&amp;IF(AW421="","missing final_destination; ","")&amp;IF(AND(NOT(OR(B421="to_candidate",AW421="proposed_name")),(COUNTIFS('أرقام التواصل'!$A$6:$A$505,"client",'أرقام التواصل'!$B$6:$B$505,A421,'أرقام التواصل'!$I$6:$I$505,"TRUE")+COUNTIFS('أرقام التواصل'!$A$6:$A$505,"client",'أرقام التواصل'!$B$6:$B$505,A421,'أرقام التواصل'!$C$6:$C$505,1))=0),"missing primary contact in أرقام التواصل; ","")&amp;IF(OR(B421="to_candidate",AW421="proposed_name"),IF(AX421="","missing proposed_move_reason; ","")&amp;IF(AY421="","missing proposed_name_key; ",""),"")))))</x:f>
      </x:c>
    </x:row>
    <x:row r="422">
      <x:c r="A422" s="219"/>
      <x:c r="B422" s="220"/>
      <x:c r="C422" s="221"/>
      <x:c r="D422" s="220"/>
      <x:c r="E422" s="222"/>
      <x:c r="F422" s="220"/>
      <x:c r="G422" s="220"/>
      <x:c r="H422" s="220"/>
      <x:c r="I422" s="220"/>
      <x:c r="J422" s="220"/>
      <x:c r="K422" s="220"/>
      <x:c r="L422" s="220" t="str">
        <x:f>IF(TRIM(H422&amp;" "&amp;I422&amp;" "&amp;J422&amp;IF(K422&lt;&gt;""," ("&amp;K422&amp;")",""))="","",TRIM(H422&amp;" "&amp;I422&amp;" "&amp;J422&amp;IF(K422&lt;&gt;""," ("&amp;K422&amp;")","")))</x:f>
      </x:c>
      <x:c r="M422" s="220"/>
      <x:c r="N422" s="220"/>
      <x:c r="O422" s="220"/>
      <x:c r="P422" s="220"/>
      <x:c r="Q422" s="220"/>
      <x:c r="R422" s="220"/>
      <x:c r="S422" s="220"/>
      <x:c r="T422" s="220"/>
      <x:c r="U422" s="220" t="str">
        <x:f>IF(AND(M422="",O422="",Q422="",S422=""),"",IF(S422&lt;&gt;"",S422,IF(Q422&lt;&gt;"",Q422,IF(O422&lt;&gt;"",O422,M422))))</x:f>
      </x:c>
      <x:c r="V422" s="220" t="str">
        <x:f>IF(AND(N422="",P422="",R422="",T422=""),"",IF(T422&lt;&gt;"",T422,IF(R422&lt;&gt;"",R422,IF(P422&lt;&gt;"",P422,N422))))</x:f>
      </x:c>
      <x:c r="W422" s="221"/>
      <x:c r="X422" s="220"/>
      <x:c r="Y422" s="220"/>
      <x:c r="Z422" s="223"/>
      <x:c r="AA422" s="223"/>
      <x:c r="AB422" s="221"/>
      <x:c r="AC422" s="220"/>
      <x:c r="AD422" s="220"/>
      <x:c r="AE422" s="222"/>
      <x:c r="AF422" s="220"/>
      <x:c r="AG422" s="221"/>
      <x:c r="AH422" s="220"/>
      <x:c r="AI422" s="220"/>
      <x:c r="AJ422" s="222"/>
      <x:c r="AK422" s="220"/>
      <x:c r="AL422" s="220"/>
      <x:c r="AM422" s="220"/>
      <x:c r="AN422" s="220"/>
      <x:c r="AO422" s="220"/>
      <x:c r="AP422" s="220"/>
      <x:c r="AQ422" s="220"/>
      <x:c r="AR422" s="222"/>
      <x:c r="AS422" s="220"/>
      <x:c r="AT422" s="220"/>
      <x:c r="AU422" s="220"/>
      <x:c r="AV422" s="220"/>
      <x:c r="AW422" s="220"/>
      <x:c r="AX422" s="220"/>
      <x:c r="AY422" s="221"/>
      <x:c r="AZ422" s="220"/>
      <x:c r="BA422" s="220" t="str">
        <x:f>IF(AND(A422="",B422="",F422="",H422="",J422="",AW422="",AY422=""),"",IF(OR(B422="skip",AW422="skip"),"SKIP",IF(OR(B422="to_candidate",AW422="proposed_name"),IF(OR(A422="",AX422="",AY422="",COUNTIF($A$6:$A$505,A422)&gt;1),"REVIEW","TO_PROPOSED"),IF(OR(B422="",A422="",F422="",H422="",J422="",U422="",AW422="",COUNTIF($A$6:$A$505,A422)&gt;1,(COUNTIFS('أرقام التواصل'!$A$6:$A$505,"client",'أرقام التواصل'!$B$6:$B$505,A422,'أرقام التواصل'!$I$6:$I$505,"TRUE")+COUNTIFS('أرقام التواصل'!$A$6:$A$505,"client",'أرقام التواصل'!$B$6:$B$505,A422,'أرقام التواصل'!$C$6:$C$505,1))=0),"REVIEW","READY"))))</x:f>
      </x:c>
      <x:c r="BB422" s="224" t="str">
        <x:f>IF(BA422="","",IF(OR(BA422="READY",BA422="TO_PROPOSED"),"",IF(BA422="SKIP","Skipped by decision",TRIM(IF(B422="","missing import_action; ","")&amp;IF(A422="","missing migration_customer_key; ","")&amp;IF(AND(A422&lt;&gt;"",COUNTIF($A$6:$A$505,A422)&gt;1),"duplicate migration_customer_key; ","")&amp;IF(AND(NOT(OR(B422="to_candidate",AW422="proposed_name")),F422=""),"missing branch_id; ","")&amp;IF(AND(NOT(OR(B422="to_candidate",AW422="proposed_name")),H422=""),"missing first_name; ","")&amp;IF(AND(NOT(OR(B422="to_candidate",AW422="proposed_name")),J422=""),"missing last_name; ","")&amp;IF(AND(NOT(OR(B422="to_candidate",AW422="proposed_name")),U422=""),"missing final_geo_unit_id; ","")&amp;IF(AW422="","missing final_destination; ","")&amp;IF(AND(NOT(OR(B422="to_candidate",AW422="proposed_name")),(COUNTIFS('أرقام التواصل'!$A$6:$A$505,"client",'أرقام التواصل'!$B$6:$B$505,A422,'أرقام التواصل'!$I$6:$I$505,"TRUE")+COUNTIFS('أرقام التواصل'!$A$6:$A$505,"client",'أرقام التواصل'!$B$6:$B$505,A422,'أرقام التواصل'!$C$6:$C$505,1))=0),"missing primary contact in أرقام التواصل; ","")&amp;IF(OR(B422="to_candidate",AW422="proposed_name"),IF(AX422="","missing proposed_move_reason; ","")&amp;IF(AY422="","missing proposed_name_key; ",""),"")))))</x:f>
      </x:c>
    </x:row>
    <x:row r="423">
      <x:c r="A423" s="219"/>
      <x:c r="B423" s="220"/>
      <x:c r="C423" s="221"/>
      <x:c r="D423" s="220"/>
      <x:c r="E423" s="222"/>
      <x:c r="F423" s="220"/>
      <x:c r="G423" s="220"/>
      <x:c r="H423" s="220"/>
      <x:c r="I423" s="220"/>
      <x:c r="J423" s="220"/>
      <x:c r="K423" s="220"/>
      <x:c r="L423" s="220" t="str">
        <x:f>IF(TRIM(H423&amp;" "&amp;I423&amp;" "&amp;J423&amp;IF(K423&lt;&gt;""," ("&amp;K423&amp;")",""))="","",TRIM(H423&amp;" "&amp;I423&amp;" "&amp;J423&amp;IF(K423&lt;&gt;""," ("&amp;K423&amp;")","")))</x:f>
      </x:c>
      <x:c r="M423" s="220"/>
      <x:c r="N423" s="220"/>
      <x:c r="O423" s="220"/>
      <x:c r="P423" s="220"/>
      <x:c r="Q423" s="220"/>
      <x:c r="R423" s="220"/>
      <x:c r="S423" s="220"/>
      <x:c r="T423" s="220"/>
      <x:c r="U423" s="220" t="str">
        <x:f>IF(AND(M423="",O423="",Q423="",S423=""),"",IF(S423&lt;&gt;"",S423,IF(Q423&lt;&gt;"",Q423,IF(O423&lt;&gt;"",O423,M423))))</x:f>
      </x:c>
      <x:c r="V423" s="220" t="str">
        <x:f>IF(AND(N423="",P423="",R423="",T423=""),"",IF(T423&lt;&gt;"",T423,IF(R423&lt;&gt;"",R423,IF(P423&lt;&gt;"",P423,N423))))</x:f>
      </x:c>
      <x:c r="W423" s="221"/>
      <x:c r="X423" s="220"/>
      <x:c r="Y423" s="220"/>
      <x:c r="Z423" s="223"/>
      <x:c r="AA423" s="223"/>
      <x:c r="AB423" s="221"/>
      <x:c r="AC423" s="220"/>
      <x:c r="AD423" s="220"/>
      <x:c r="AE423" s="222"/>
      <x:c r="AF423" s="220"/>
      <x:c r="AG423" s="221"/>
      <x:c r="AH423" s="220"/>
      <x:c r="AI423" s="220"/>
      <x:c r="AJ423" s="222"/>
      <x:c r="AK423" s="220"/>
      <x:c r="AL423" s="220"/>
      <x:c r="AM423" s="220"/>
      <x:c r="AN423" s="220"/>
      <x:c r="AO423" s="220"/>
      <x:c r="AP423" s="220"/>
      <x:c r="AQ423" s="220"/>
      <x:c r="AR423" s="222"/>
      <x:c r="AS423" s="220"/>
      <x:c r="AT423" s="220"/>
      <x:c r="AU423" s="220"/>
      <x:c r="AV423" s="220"/>
      <x:c r="AW423" s="220"/>
      <x:c r="AX423" s="220"/>
      <x:c r="AY423" s="221"/>
      <x:c r="AZ423" s="220"/>
      <x:c r="BA423" s="220" t="str">
        <x:f>IF(AND(A423="",B423="",F423="",H423="",J423="",AW423="",AY423=""),"",IF(OR(B423="skip",AW423="skip"),"SKIP",IF(OR(B423="to_candidate",AW423="proposed_name"),IF(OR(A423="",AX423="",AY423="",COUNTIF($A$6:$A$505,A423)&gt;1),"REVIEW","TO_PROPOSED"),IF(OR(B423="",A423="",F423="",H423="",J423="",U423="",AW423="",COUNTIF($A$6:$A$505,A423)&gt;1,(COUNTIFS('أرقام التواصل'!$A$6:$A$505,"client",'أرقام التواصل'!$B$6:$B$505,A423,'أرقام التواصل'!$I$6:$I$505,"TRUE")+COUNTIFS('أرقام التواصل'!$A$6:$A$505,"client",'أرقام التواصل'!$B$6:$B$505,A423,'أرقام التواصل'!$C$6:$C$505,1))=0),"REVIEW","READY"))))</x:f>
      </x:c>
      <x:c r="BB423" s="224" t="str">
        <x:f>IF(BA423="","",IF(OR(BA423="READY",BA423="TO_PROPOSED"),"",IF(BA423="SKIP","Skipped by decision",TRIM(IF(B423="","missing import_action; ","")&amp;IF(A423="","missing migration_customer_key; ","")&amp;IF(AND(A423&lt;&gt;"",COUNTIF($A$6:$A$505,A423)&gt;1),"duplicate migration_customer_key; ","")&amp;IF(AND(NOT(OR(B423="to_candidate",AW423="proposed_name")),F423=""),"missing branch_id; ","")&amp;IF(AND(NOT(OR(B423="to_candidate",AW423="proposed_name")),H423=""),"missing first_name; ","")&amp;IF(AND(NOT(OR(B423="to_candidate",AW423="proposed_name")),J423=""),"missing last_name; ","")&amp;IF(AND(NOT(OR(B423="to_candidate",AW423="proposed_name")),U423=""),"missing final_geo_unit_id; ","")&amp;IF(AW423="","missing final_destination; ","")&amp;IF(AND(NOT(OR(B423="to_candidate",AW423="proposed_name")),(COUNTIFS('أرقام التواصل'!$A$6:$A$505,"client",'أرقام التواصل'!$B$6:$B$505,A423,'أرقام التواصل'!$I$6:$I$505,"TRUE")+COUNTIFS('أرقام التواصل'!$A$6:$A$505,"client",'أرقام التواصل'!$B$6:$B$505,A423,'أرقام التواصل'!$C$6:$C$505,1))=0),"missing primary contact in أرقام التواصل; ","")&amp;IF(OR(B423="to_candidate",AW423="proposed_name"),IF(AX423="","missing proposed_move_reason; ","")&amp;IF(AY423="","missing proposed_name_key; ",""),"")))))</x:f>
      </x:c>
    </x:row>
    <x:row r="424">
      <x:c r="A424" s="219"/>
      <x:c r="B424" s="220"/>
      <x:c r="C424" s="221"/>
      <x:c r="D424" s="220"/>
      <x:c r="E424" s="222"/>
      <x:c r="F424" s="220"/>
      <x:c r="G424" s="220"/>
      <x:c r="H424" s="220"/>
      <x:c r="I424" s="220"/>
      <x:c r="J424" s="220"/>
      <x:c r="K424" s="220"/>
      <x:c r="L424" s="220" t="str">
        <x:f>IF(TRIM(H424&amp;" "&amp;I424&amp;" "&amp;J424&amp;IF(K424&lt;&gt;""," ("&amp;K424&amp;")",""))="","",TRIM(H424&amp;" "&amp;I424&amp;" "&amp;J424&amp;IF(K424&lt;&gt;""," ("&amp;K424&amp;")","")))</x:f>
      </x:c>
      <x:c r="M424" s="220"/>
      <x:c r="N424" s="220"/>
      <x:c r="O424" s="220"/>
      <x:c r="P424" s="220"/>
      <x:c r="Q424" s="220"/>
      <x:c r="R424" s="220"/>
      <x:c r="S424" s="220"/>
      <x:c r="T424" s="220"/>
      <x:c r="U424" s="220" t="str">
        <x:f>IF(AND(M424="",O424="",Q424="",S424=""),"",IF(S424&lt;&gt;"",S424,IF(Q424&lt;&gt;"",Q424,IF(O424&lt;&gt;"",O424,M424))))</x:f>
      </x:c>
      <x:c r="V424" s="220" t="str">
        <x:f>IF(AND(N424="",P424="",R424="",T424=""),"",IF(T424&lt;&gt;"",T424,IF(R424&lt;&gt;"",R424,IF(P424&lt;&gt;"",P424,N424))))</x:f>
      </x:c>
      <x:c r="W424" s="221"/>
      <x:c r="X424" s="220"/>
      <x:c r="Y424" s="220"/>
      <x:c r="Z424" s="223"/>
      <x:c r="AA424" s="223"/>
      <x:c r="AB424" s="221"/>
      <x:c r="AC424" s="220"/>
      <x:c r="AD424" s="220"/>
      <x:c r="AE424" s="222"/>
      <x:c r="AF424" s="220"/>
      <x:c r="AG424" s="221"/>
      <x:c r="AH424" s="220"/>
      <x:c r="AI424" s="220"/>
      <x:c r="AJ424" s="222"/>
      <x:c r="AK424" s="220"/>
      <x:c r="AL424" s="220"/>
      <x:c r="AM424" s="220"/>
      <x:c r="AN424" s="220"/>
      <x:c r="AO424" s="220"/>
      <x:c r="AP424" s="220"/>
      <x:c r="AQ424" s="220"/>
      <x:c r="AR424" s="222"/>
      <x:c r="AS424" s="220"/>
      <x:c r="AT424" s="220"/>
      <x:c r="AU424" s="220"/>
      <x:c r="AV424" s="220"/>
      <x:c r="AW424" s="220"/>
      <x:c r="AX424" s="220"/>
      <x:c r="AY424" s="221"/>
      <x:c r="AZ424" s="220"/>
      <x:c r="BA424" s="220" t="str">
        <x:f>IF(AND(A424="",B424="",F424="",H424="",J424="",AW424="",AY424=""),"",IF(OR(B424="skip",AW424="skip"),"SKIP",IF(OR(B424="to_candidate",AW424="proposed_name"),IF(OR(A424="",AX424="",AY424="",COUNTIF($A$6:$A$505,A424)&gt;1),"REVIEW","TO_PROPOSED"),IF(OR(B424="",A424="",F424="",H424="",J424="",U424="",AW424="",COUNTIF($A$6:$A$505,A424)&gt;1,(COUNTIFS('أرقام التواصل'!$A$6:$A$505,"client",'أرقام التواصل'!$B$6:$B$505,A424,'أرقام التواصل'!$I$6:$I$505,"TRUE")+COUNTIFS('أرقام التواصل'!$A$6:$A$505,"client",'أرقام التواصل'!$B$6:$B$505,A424,'أرقام التواصل'!$C$6:$C$505,1))=0),"REVIEW","READY"))))</x:f>
      </x:c>
      <x:c r="BB424" s="224" t="str">
        <x:f>IF(BA424="","",IF(OR(BA424="READY",BA424="TO_PROPOSED"),"",IF(BA424="SKIP","Skipped by decision",TRIM(IF(B424="","missing import_action; ","")&amp;IF(A424="","missing migration_customer_key; ","")&amp;IF(AND(A424&lt;&gt;"",COUNTIF($A$6:$A$505,A424)&gt;1),"duplicate migration_customer_key; ","")&amp;IF(AND(NOT(OR(B424="to_candidate",AW424="proposed_name")),F424=""),"missing branch_id; ","")&amp;IF(AND(NOT(OR(B424="to_candidate",AW424="proposed_name")),H424=""),"missing first_name; ","")&amp;IF(AND(NOT(OR(B424="to_candidate",AW424="proposed_name")),J424=""),"missing last_name; ","")&amp;IF(AND(NOT(OR(B424="to_candidate",AW424="proposed_name")),U424=""),"missing final_geo_unit_id; ","")&amp;IF(AW424="","missing final_destination; ","")&amp;IF(AND(NOT(OR(B424="to_candidate",AW424="proposed_name")),(COUNTIFS('أرقام التواصل'!$A$6:$A$505,"client",'أرقام التواصل'!$B$6:$B$505,A424,'أرقام التواصل'!$I$6:$I$505,"TRUE")+COUNTIFS('أرقام التواصل'!$A$6:$A$505,"client",'أرقام التواصل'!$B$6:$B$505,A424,'أرقام التواصل'!$C$6:$C$505,1))=0),"missing primary contact in أرقام التواصل; ","")&amp;IF(OR(B424="to_candidate",AW424="proposed_name"),IF(AX424="","missing proposed_move_reason; ","")&amp;IF(AY424="","missing proposed_name_key; ",""),"")))))</x:f>
      </x:c>
    </x:row>
    <x:row r="425">
      <x:c r="A425" s="219"/>
      <x:c r="B425" s="220"/>
      <x:c r="C425" s="221"/>
      <x:c r="D425" s="220"/>
      <x:c r="E425" s="222"/>
      <x:c r="F425" s="220"/>
      <x:c r="G425" s="220"/>
      <x:c r="H425" s="220"/>
      <x:c r="I425" s="220"/>
      <x:c r="J425" s="220"/>
      <x:c r="K425" s="220"/>
      <x:c r="L425" s="220" t="str">
        <x:f>IF(TRIM(H425&amp;" "&amp;I425&amp;" "&amp;J425&amp;IF(K425&lt;&gt;""," ("&amp;K425&amp;")",""))="","",TRIM(H425&amp;" "&amp;I425&amp;" "&amp;J425&amp;IF(K425&lt;&gt;""," ("&amp;K425&amp;")","")))</x:f>
      </x:c>
      <x:c r="M425" s="220"/>
      <x:c r="N425" s="220"/>
      <x:c r="O425" s="220"/>
      <x:c r="P425" s="220"/>
      <x:c r="Q425" s="220"/>
      <x:c r="R425" s="220"/>
      <x:c r="S425" s="220"/>
      <x:c r="T425" s="220"/>
      <x:c r="U425" s="220" t="str">
        <x:f>IF(AND(M425="",O425="",Q425="",S425=""),"",IF(S425&lt;&gt;"",S425,IF(Q425&lt;&gt;"",Q425,IF(O425&lt;&gt;"",O425,M425))))</x:f>
      </x:c>
      <x:c r="V425" s="220" t="str">
        <x:f>IF(AND(N425="",P425="",R425="",T425=""),"",IF(T425&lt;&gt;"",T425,IF(R425&lt;&gt;"",R425,IF(P425&lt;&gt;"",P425,N425))))</x:f>
      </x:c>
      <x:c r="W425" s="221"/>
      <x:c r="X425" s="220"/>
      <x:c r="Y425" s="220"/>
      <x:c r="Z425" s="223"/>
      <x:c r="AA425" s="223"/>
      <x:c r="AB425" s="221"/>
      <x:c r="AC425" s="220"/>
      <x:c r="AD425" s="220"/>
      <x:c r="AE425" s="222"/>
      <x:c r="AF425" s="220"/>
      <x:c r="AG425" s="221"/>
      <x:c r="AH425" s="220"/>
      <x:c r="AI425" s="220"/>
      <x:c r="AJ425" s="222"/>
      <x:c r="AK425" s="220"/>
      <x:c r="AL425" s="220"/>
      <x:c r="AM425" s="220"/>
      <x:c r="AN425" s="220"/>
      <x:c r="AO425" s="220"/>
      <x:c r="AP425" s="220"/>
      <x:c r="AQ425" s="220"/>
      <x:c r="AR425" s="222"/>
      <x:c r="AS425" s="220"/>
      <x:c r="AT425" s="220"/>
      <x:c r="AU425" s="220"/>
      <x:c r="AV425" s="220"/>
      <x:c r="AW425" s="220"/>
      <x:c r="AX425" s="220"/>
      <x:c r="AY425" s="221"/>
      <x:c r="AZ425" s="220"/>
      <x:c r="BA425" s="220" t="str">
        <x:f>IF(AND(A425="",B425="",F425="",H425="",J425="",AW425="",AY425=""),"",IF(OR(B425="skip",AW425="skip"),"SKIP",IF(OR(B425="to_candidate",AW425="proposed_name"),IF(OR(A425="",AX425="",AY425="",COUNTIF($A$6:$A$505,A425)&gt;1),"REVIEW","TO_PROPOSED"),IF(OR(B425="",A425="",F425="",H425="",J425="",U425="",AW425="",COUNTIF($A$6:$A$505,A425)&gt;1,(COUNTIFS('أرقام التواصل'!$A$6:$A$505,"client",'أرقام التواصل'!$B$6:$B$505,A425,'أرقام التواصل'!$I$6:$I$505,"TRUE")+COUNTIFS('أرقام التواصل'!$A$6:$A$505,"client",'أرقام التواصل'!$B$6:$B$505,A425,'أرقام التواصل'!$C$6:$C$505,1))=0),"REVIEW","READY"))))</x:f>
      </x:c>
      <x:c r="BB425" s="224" t="str">
        <x:f>IF(BA425="","",IF(OR(BA425="READY",BA425="TO_PROPOSED"),"",IF(BA425="SKIP","Skipped by decision",TRIM(IF(B425="","missing import_action; ","")&amp;IF(A425="","missing migration_customer_key; ","")&amp;IF(AND(A425&lt;&gt;"",COUNTIF($A$6:$A$505,A425)&gt;1),"duplicate migration_customer_key; ","")&amp;IF(AND(NOT(OR(B425="to_candidate",AW425="proposed_name")),F425=""),"missing branch_id; ","")&amp;IF(AND(NOT(OR(B425="to_candidate",AW425="proposed_name")),H425=""),"missing first_name; ","")&amp;IF(AND(NOT(OR(B425="to_candidate",AW425="proposed_name")),J425=""),"missing last_name; ","")&amp;IF(AND(NOT(OR(B425="to_candidate",AW425="proposed_name")),U425=""),"missing final_geo_unit_id; ","")&amp;IF(AW425="","missing final_destination; ","")&amp;IF(AND(NOT(OR(B425="to_candidate",AW425="proposed_name")),(COUNTIFS('أرقام التواصل'!$A$6:$A$505,"client",'أرقام التواصل'!$B$6:$B$505,A425,'أرقام التواصل'!$I$6:$I$505,"TRUE")+COUNTIFS('أرقام التواصل'!$A$6:$A$505,"client",'أرقام التواصل'!$B$6:$B$505,A425,'أرقام التواصل'!$C$6:$C$505,1))=0),"missing primary contact in أرقام التواصل; ","")&amp;IF(OR(B425="to_candidate",AW425="proposed_name"),IF(AX425="","missing proposed_move_reason; ","")&amp;IF(AY425="","missing proposed_name_key; ",""),"")))))</x:f>
      </x:c>
    </x:row>
    <x:row r="426">
      <x:c r="A426" s="219"/>
      <x:c r="B426" s="220"/>
      <x:c r="C426" s="221"/>
      <x:c r="D426" s="220"/>
      <x:c r="E426" s="222"/>
      <x:c r="F426" s="220"/>
      <x:c r="G426" s="220"/>
      <x:c r="H426" s="220"/>
      <x:c r="I426" s="220"/>
      <x:c r="J426" s="220"/>
      <x:c r="K426" s="220"/>
      <x:c r="L426" s="220" t="str">
        <x:f>IF(TRIM(H426&amp;" "&amp;I426&amp;" "&amp;J426&amp;IF(K426&lt;&gt;""," ("&amp;K426&amp;")",""))="","",TRIM(H426&amp;" "&amp;I426&amp;" "&amp;J426&amp;IF(K426&lt;&gt;""," ("&amp;K426&amp;")","")))</x:f>
      </x:c>
      <x:c r="M426" s="220"/>
      <x:c r="N426" s="220"/>
      <x:c r="O426" s="220"/>
      <x:c r="P426" s="220"/>
      <x:c r="Q426" s="220"/>
      <x:c r="R426" s="220"/>
      <x:c r="S426" s="220"/>
      <x:c r="T426" s="220"/>
      <x:c r="U426" s="220" t="str">
        <x:f>IF(AND(M426="",O426="",Q426="",S426=""),"",IF(S426&lt;&gt;"",S426,IF(Q426&lt;&gt;"",Q426,IF(O426&lt;&gt;"",O426,M426))))</x:f>
      </x:c>
      <x:c r="V426" s="220" t="str">
        <x:f>IF(AND(N426="",P426="",R426="",T426=""),"",IF(T426&lt;&gt;"",T426,IF(R426&lt;&gt;"",R426,IF(P426&lt;&gt;"",P426,N426))))</x:f>
      </x:c>
      <x:c r="W426" s="221"/>
      <x:c r="X426" s="220"/>
      <x:c r="Y426" s="220"/>
      <x:c r="Z426" s="223"/>
      <x:c r="AA426" s="223"/>
      <x:c r="AB426" s="221"/>
      <x:c r="AC426" s="220"/>
      <x:c r="AD426" s="220"/>
      <x:c r="AE426" s="222"/>
      <x:c r="AF426" s="220"/>
      <x:c r="AG426" s="221"/>
      <x:c r="AH426" s="220"/>
      <x:c r="AI426" s="220"/>
      <x:c r="AJ426" s="222"/>
      <x:c r="AK426" s="220"/>
      <x:c r="AL426" s="220"/>
      <x:c r="AM426" s="220"/>
      <x:c r="AN426" s="220"/>
      <x:c r="AO426" s="220"/>
      <x:c r="AP426" s="220"/>
      <x:c r="AQ426" s="220"/>
      <x:c r="AR426" s="222"/>
      <x:c r="AS426" s="220"/>
      <x:c r="AT426" s="220"/>
      <x:c r="AU426" s="220"/>
      <x:c r="AV426" s="220"/>
      <x:c r="AW426" s="220"/>
      <x:c r="AX426" s="220"/>
      <x:c r="AY426" s="221"/>
      <x:c r="AZ426" s="220"/>
      <x:c r="BA426" s="220" t="str">
        <x:f>IF(AND(A426="",B426="",F426="",H426="",J426="",AW426="",AY426=""),"",IF(OR(B426="skip",AW426="skip"),"SKIP",IF(OR(B426="to_candidate",AW426="proposed_name"),IF(OR(A426="",AX426="",AY426="",COUNTIF($A$6:$A$505,A426)&gt;1),"REVIEW","TO_PROPOSED"),IF(OR(B426="",A426="",F426="",H426="",J426="",U426="",AW426="",COUNTIF($A$6:$A$505,A426)&gt;1,(COUNTIFS('أرقام التواصل'!$A$6:$A$505,"client",'أرقام التواصل'!$B$6:$B$505,A426,'أرقام التواصل'!$I$6:$I$505,"TRUE")+COUNTIFS('أرقام التواصل'!$A$6:$A$505,"client",'أرقام التواصل'!$B$6:$B$505,A426,'أرقام التواصل'!$C$6:$C$505,1))=0),"REVIEW","READY"))))</x:f>
      </x:c>
      <x:c r="BB426" s="224" t="str">
        <x:f>IF(BA426="","",IF(OR(BA426="READY",BA426="TO_PROPOSED"),"",IF(BA426="SKIP","Skipped by decision",TRIM(IF(B426="","missing import_action; ","")&amp;IF(A426="","missing migration_customer_key; ","")&amp;IF(AND(A426&lt;&gt;"",COUNTIF($A$6:$A$505,A426)&gt;1),"duplicate migration_customer_key; ","")&amp;IF(AND(NOT(OR(B426="to_candidate",AW426="proposed_name")),F426=""),"missing branch_id; ","")&amp;IF(AND(NOT(OR(B426="to_candidate",AW426="proposed_name")),H426=""),"missing first_name; ","")&amp;IF(AND(NOT(OR(B426="to_candidate",AW426="proposed_name")),J426=""),"missing last_name; ","")&amp;IF(AND(NOT(OR(B426="to_candidate",AW426="proposed_name")),U426=""),"missing final_geo_unit_id; ","")&amp;IF(AW426="","missing final_destination; ","")&amp;IF(AND(NOT(OR(B426="to_candidate",AW426="proposed_name")),(COUNTIFS('أرقام التواصل'!$A$6:$A$505,"client",'أرقام التواصل'!$B$6:$B$505,A426,'أرقام التواصل'!$I$6:$I$505,"TRUE")+COUNTIFS('أرقام التواصل'!$A$6:$A$505,"client",'أرقام التواصل'!$B$6:$B$505,A426,'أرقام التواصل'!$C$6:$C$505,1))=0),"missing primary contact in أرقام التواصل; ","")&amp;IF(OR(B426="to_candidate",AW426="proposed_name"),IF(AX426="","missing proposed_move_reason; ","")&amp;IF(AY426="","missing proposed_name_key; ",""),"")))))</x:f>
      </x:c>
    </x:row>
    <x:row r="427">
      <x:c r="A427" s="219"/>
      <x:c r="B427" s="220"/>
      <x:c r="C427" s="221"/>
      <x:c r="D427" s="220"/>
      <x:c r="E427" s="222"/>
      <x:c r="F427" s="220"/>
      <x:c r="G427" s="220"/>
      <x:c r="H427" s="220"/>
      <x:c r="I427" s="220"/>
      <x:c r="J427" s="220"/>
      <x:c r="K427" s="220"/>
      <x:c r="L427" s="220" t="str">
        <x:f>IF(TRIM(H427&amp;" "&amp;I427&amp;" "&amp;J427&amp;IF(K427&lt;&gt;""," ("&amp;K427&amp;")",""))="","",TRIM(H427&amp;" "&amp;I427&amp;" "&amp;J427&amp;IF(K427&lt;&gt;""," ("&amp;K427&amp;")","")))</x:f>
      </x:c>
      <x:c r="M427" s="220"/>
      <x:c r="N427" s="220"/>
      <x:c r="O427" s="220"/>
      <x:c r="P427" s="220"/>
      <x:c r="Q427" s="220"/>
      <x:c r="R427" s="220"/>
      <x:c r="S427" s="220"/>
      <x:c r="T427" s="220"/>
      <x:c r="U427" s="220" t="str">
        <x:f>IF(AND(M427="",O427="",Q427="",S427=""),"",IF(S427&lt;&gt;"",S427,IF(Q427&lt;&gt;"",Q427,IF(O427&lt;&gt;"",O427,M427))))</x:f>
      </x:c>
      <x:c r="V427" s="220" t="str">
        <x:f>IF(AND(N427="",P427="",R427="",T427=""),"",IF(T427&lt;&gt;"",T427,IF(R427&lt;&gt;"",R427,IF(P427&lt;&gt;"",P427,N427))))</x:f>
      </x:c>
      <x:c r="W427" s="221"/>
      <x:c r="X427" s="220"/>
      <x:c r="Y427" s="220"/>
      <x:c r="Z427" s="223"/>
      <x:c r="AA427" s="223"/>
      <x:c r="AB427" s="221"/>
      <x:c r="AC427" s="220"/>
      <x:c r="AD427" s="220"/>
      <x:c r="AE427" s="222"/>
      <x:c r="AF427" s="220"/>
      <x:c r="AG427" s="221"/>
      <x:c r="AH427" s="220"/>
      <x:c r="AI427" s="220"/>
      <x:c r="AJ427" s="222"/>
      <x:c r="AK427" s="220"/>
      <x:c r="AL427" s="220"/>
      <x:c r="AM427" s="220"/>
      <x:c r="AN427" s="220"/>
      <x:c r="AO427" s="220"/>
      <x:c r="AP427" s="220"/>
      <x:c r="AQ427" s="220"/>
      <x:c r="AR427" s="222"/>
      <x:c r="AS427" s="220"/>
      <x:c r="AT427" s="220"/>
      <x:c r="AU427" s="220"/>
      <x:c r="AV427" s="220"/>
      <x:c r="AW427" s="220"/>
      <x:c r="AX427" s="220"/>
      <x:c r="AY427" s="221"/>
      <x:c r="AZ427" s="220"/>
      <x:c r="BA427" s="220" t="str">
        <x:f>IF(AND(A427="",B427="",F427="",H427="",J427="",AW427="",AY427=""),"",IF(OR(B427="skip",AW427="skip"),"SKIP",IF(OR(B427="to_candidate",AW427="proposed_name"),IF(OR(A427="",AX427="",AY427="",COUNTIF($A$6:$A$505,A427)&gt;1),"REVIEW","TO_PROPOSED"),IF(OR(B427="",A427="",F427="",H427="",J427="",U427="",AW427="",COUNTIF($A$6:$A$505,A427)&gt;1,(COUNTIFS('أرقام التواصل'!$A$6:$A$505,"client",'أرقام التواصل'!$B$6:$B$505,A427,'أرقام التواصل'!$I$6:$I$505,"TRUE")+COUNTIFS('أرقام التواصل'!$A$6:$A$505,"client",'أرقام التواصل'!$B$6:$B$505,A427,'أرقام التواصل'!$C$6:$C$505,1))=0),"REVIEW","READY"))))</x:f>
      </x:c>
      <x:c r="BB427" s="224" t="str">
        <x:f>IF(BA427="","",IF(OR(BA427="READY",BA427="TO_PROPOSED"),"",IF(BA427="SKIP","Skipped by decision",TRIM(IF(B427="","missing import_action; ","")&amp;IF(A427="","missing migration_customer_key; ","")&amp;IF(AND(A427&lt;&gt;"",COUNTIF($A$6:$A$505,A427)&gt;1),"duplicate migration_customer_key; ","")&amp;IF(AND(NOT(OR(B427="to_candidate",AW427="proposed_name")),F427=""),"missing branch_id; ","")&amp;IF(AND(NOT(OR(B427="to_candidate",AW427="proposed_name")),H427=""),"missing first_name; ","")&amp;IF(AND(NOT(OR(B427="to_candidate",AW427="proposed_name")),J427=""),"missing last_name; ","")&amp;IF(AND(NOT(OR(B427="to_candidate",AW427="proposed_name")),U427=""),"missing final_geo_unit_id; ","")&amp;IF(AW427="","missing final_destination; ","")&amp;IF(AND(NOT(OR(B427="to_candidate",AW427="proposed_name")),(COUNTIFS('أرقام التواصل'!$A$6:$A$505,"client",'أرقام التواصل'!$B$6:$B$505,A427,'أرقام التواصل'!$I$6:$I$505,"TRUE")+COUNTIFS('أرقام التواصل'!$A$6:$A$505,"client",'أرقام التواصل'!$B$6:$B$505,A427,'أرقام التواصل'!$C$6:$C$505,1))=0),"missing primary contact in أرقام التواصل; ","")&amp;IF(OR(B427="to_candidate",AW427="proposed_name"),IF(AX427="","missing proposed_move_reason; ","")&amp;IF(AY427="","missing proposed_name_key; ",""),"")))))</x:f>
      </x:c>
    </x:row>
    <x:row r="428">
      <x:c r="A428" s="219"/>
      <x:c r="B428" s="220"/>
      <x:c r="C428" s="221"/>
      <x:c r="D428" s="220"/>
      <x:c r="E428" s="222"/>
      <x:c r="F428" s="220"/>
      <x:c r="G428" s="220"/>
      <x:c r="H428" s="220"/>
      <x:c r="I428" s="220"/>
      <x:c r="J428" s="220"/>
      <x:c r="K428" s="220"/>
      <x:c r="L428" s="220" t="str">
        <x:f>IF(TRIM(H428&amp;" "&amp;I428&amp;" "&amp;J428&amp;IF(K428&lt;&gt;""," ("&amp;K428&amp;")",""))="","",TRIM(H428&amp;" "&amp;I428&amp;" "&amp;J428&amp;IF(K428&lt;&gt;""," ("&amp;K428&amp;")","")))</x:f>
      </x:c>
      <x:c r="M428" s="220"/>
      <x:c r="N428" s="220"/>
      <x:c r="O428" s="220"/>
      <x:c r="P428" s="220"/>
      <x:c r="Q428" s="220"/>
      <x:c r="R428" s="220"/>
      <x:c r="S428" s="220"/>
      <x:c r="T428" s="220"/>
      <x:c r="U428" s="220" t="str">
        <x:f>IF(AND(M428="",O428="",Q428="",S428=""),"",IF(S428&lt;&gt;"",S428,IF(Q428&lt;&gt;"",Q428,IF(O428&lt;&gt;"",O428,M428))))</x:f>
      </x:c>
      <x:c r="V428" s="220" t="str">
        <x:f>IF(AND(N428="",P428="",R428="",T428=""),"",IF(T428&lt;&gt;"",T428,IF(R428&lt;&gt;"",R428,IF(P428&lt;&gt;"",P428,N428))))</x:f>
      </x:c>
      <x:c r="W428" s="221"/>
      <x:c r="X428" s="220"/>
      <x:c r="Y428" s="220"/>
      <x:c r="Z428" s="223"/>
      <x:c r="AA428" s="223"/>
      <x:c r="AB428" s="221"/>
      <x:c r="AC428" s="220"/>
      <x:c r="AD428" s="220"/>
      <x:c r="AE428" s="222"/>
      <x:c r="AF428" s="220"/>
      <x:c r="AG428" s="221"/>
      <x:c r="AH428" s="220"/>
      <x:c r="AI428" s="220"/>
      <x:c r="AJ428" s="222"/>
      <x:c r="AK428" s="220"/>
      <x:c r="AL428" s="220"/>
      <x:c r="AM428" s="220"/>
      <x:c r="AN428" s="220"/>
      <x:c r="AO428" s="220"/>
      <x:c r="AP428" s="220"/>
      <x:c r="AQ428" s="220"/>
      <x:c r="AR428" s="222"/>
      <x:c r="AS428" s="220"/>
      <x:c r="AT428" s="220"/>
      <x:c r="AU428" s="220"/>
      <x:c r="AV428" s="220"/>
      <x:c r="AW428" s="220"/>
      <x:c r="AX428" s="220"/>
      <x:c r="AY428" s="221"/>
      <x:c r="AZ428" s="220"/>
      <x:c r="BA428" s="220" t="str">
        <x:f>IF(AND(A428="",B428="",F428="",H428="",J428="",AW428="",AY428=""),"",IF(OR(B428="skip",AW428="skip"),"SKIP",IF(OR(B428="to_candidate",AW428="proposed_name"),IF(OR(A428="",AX428="",AY428="",COUNTIF($A$6:$A$505,A428)&gt;1),"REVIEW","TO_PROPOSED"),IF(OR(B428="",A428="",F428="",H428="",J428="",U428="",AW428="",COUNTIF($A$6:$A$505,A428)&gt;1,(COUNTIFS('أرقام التواصل'!$A$6:$A$505,"client",'أرقام التواصل'!$B$6:$B$505,A428,'أرقام التواصل'!$I$6:$I$505,"TRUE")+COUNTIFS('أرقام التواصل'!$A$6:$A$505,"client",'أرقام التواصل'!$B$6:$B$505,A428,'أرقام التواصل'!$C$6:$C$505,1))=0),"REVIEW","READY"))))</x:f>
      </x:c>
      <x:c r="BB428" s="224" t="str">
        <x:f>IF(BA428="","",IF(OR(BA428="READY",BA428="TO_PROPOSED"),"",IF(BA428="SKIP","Skipped by decision",TRIM(IF(B428="","missing import_action; ","")&amp;IF(A428="","missing migration_customer_key; ","")&amp;IF(AND(A428&lt;&gt;"",COUNTIF($A$6:$A$505,A428)&gt;1),"duplicate migration_customer_key; ","")&amp;IF(AND(NOT(OR(B428="to_candidate",AW428="proposed_name")),F428=""),"missing branch_id; ","")&amp;IF(AND(NOT(OR(B428="to_candidate",AW428="proposed_name")),H428=""),"missing first_name; ","")&amp;IF(AND(NOT(OR(B428="to_candidate",AW428="proposed_name")),J428=""),"missing last_name; ","")&amp;IF(AND(NOT(OR(B428="to_candidate",AW428="proposed_name")),U428=""),"missing final_geo_unit_id; ","")&amp;IF(AW428="","missing final_destination; ","")&amp;IF(AND(NOT(OR(B428="to_candidate",AW428="proposed_name")),(COUNTIFS('أرقام التواصل'!$A$6:$A$505,"client",'أرقام التواصل'!$B$6:$B$505,A428,'أرقام التواصل'!$I$6:$I$505,"TRUE")+COUNTIFS('أرقام التواصل'!$A$6:$A$505,"client",'أرقام التواصل'!$B$6:$B$505,A428,'أرقام التواصل'!$C$6:$C$505,1))=0),"missing primary contact in أرقام التواصل; ","")&amp;IF(OR(B428="to_candidate",AW428="proposed_name"),IF(AX428="","missing proposed_move_reason; ","")&amp;IF(AY428="","missing proposed_name_key; ",""),"")))))</x:f>
      </x:c>
    </x:row>
    <x:row r="429">
      <x:c r="A429" s="219"/>
      <x:c r="B429" s="220"/>
      <x:c r="C429" s="221"/>
      <x:c r="D429" s="220"/>
      <x:c r="E429" s="222"/>
      <x:c r="F429" s="220"/>
      <x:c r="G429" s="220"/>
      <x:c r="H429" s="220"/>
      <x:c r="I429" s="220"/>
      <x:c r="J429" s="220"/>
      <x:c r="K429" s="220"/>
      <x:c r="L429" s="220" t="str">
        <x:f>IF(TRIM(H429&amp;" "&amp;I429&amp;" "&amp;J429&amp;IF(K429&lt;&gt;""," ("&amp;K429&amp;")",""))="","",TRIM(H429&amp;" "&amp;I429&amp;" "&amp;J429&amp;IF(K429&lt;&gt;""," ("&amp;K429&amp;")","")))</x:f>
      </x:c>
      <x:c r="M429" s="220"/>
      <x:c r="N429" s="220"/>
      <x:c r="O429" s="220"/>
      <x:c r="P429" s="220"/>
      <x:c r="Q429" s="220"/>
      <x:c r="R429" s="220"/>
      <x:c r="S429" s="220"/>
      <x:c r="T429" s="220"/>
      <x:c r="U429" s="220" t="str">
        <x:f>IF(AND(M429="",O429="",Q429="",S429=""),"",IF(S429&lt;&gt;"",S429,IF(Q429&lt;&gt;"",Q429,IF(O429&lt;&gt;"",O429,M429))))</x:f>
      </x:c>
      <x:c r="V429" s="220" t="str">
        <x:f>IF(AND(N429="",P429="",R429="",T429=""),"",IF(T429&lt;&gt;"",T429,IF(R429&lt;&gt;"",R429,IF(P429&lt;&gt;"",P429,N429))))</x:f>
      </x:c>
      <x:c r="W429" s="221"/>
      <x:c r="X429" s="220"/>
      <x:c r="Y429" s="220"/>
      <x:c r="Z429" s="223"/>
      <x:c r="AA429" s="223"/>
      <x:c r="AB429" s="221"/>
      <x:c r="AC429" s="220"/>
      <x:c r="AD429" s="220"/>
      <x:c r="AE429" s="222"/>
      <x:c r="AF429" s="220"/>
      <x:c r="AG429" s="221"/>
      <x:c r="AH429" s="220"/>
      <x:c r="AI429" s="220"/>
      <x:c r="AJ429" s="222"/>
      <x:c r="AK429" s="220"/>
      <x:c r="AL429" s="220"/>
      <x:c r="AM429" s="220"/>
      <x:c r="AN429" s="220"/>
      <x:c r="AO429" s="220"/>
      <x:c r="AP429" s="220"/>
      <x:c r="AQ429" s="220"/>
      <x:c r="AR429" s="222"/>
      <x:c r="AS429" s="220"/>
      <x:c r="AT429" s="220"/>
      <x:c r="AU429" s="220"/>
      <x:c r="AV429" s="220"/>
      <x:c r="AW429" s="220"/>
      <x:c r="AX429" s="220"/>
      <x:c r="AY429" s="221"/>
      <x:c r="AZ429" s="220"/>
      <x:c r="BA429" s="220" t="str">
        <x:f>IF(AND(A429="",B429="",F429="",H429="",J429="",AW429="",AY429=""),"",IF(OR(B429="skip",AW429="skip"),"SKIP",IF(OR(B429="to_candidate",AW429="proposed_name"),IF(OR(A429="",AX429="",AY429="",COUNTIF($A$6:$A$505,A429)&gt;1),"REVIEW","TO_PROPOSED"),IF(OR(B429="",A429="",F429="",H429="",J429="",U429="",AW429="",COUNTIF($A$6:$A$505,A429)&gt;1,(COUNTIFS('أرقام التواصل'!$A$6:$A$505,"client",'أرقام التواصل'!$B$6:$B$505,A429,'أرقام التواصل'!$I$6:$I$505,"TRUE")+COUNTIFS('أرقام التواصل'!$A$6:$A$505,"client",'أرقام التواصل'!$B$6:$B$505,A429,'أرقام التواصل'!$C$6:$C$505,1))=0),"REVIEW","READY"))))</x:f>
      </x:c>
      <x:c r="BB429" s="224" t="str">
        <x:f>IF(BA429="","",IF(OR(BA429="READY",BA429="TO_PROPOSED"),"",IF(BA429="SKIP","Skipped by decision",TRIM(IF(B429="","missing import_action; ","")&amp;IF(A429="","missing migration_customer_key; ","")&amp;IF(AND(A429&lt;&gt;"",COUNTIF($A$6:$A$505,A429)&gt;1),"duplicate migration_customer_key; ","")&amp;IF(AND(NOT(OR(B429="to_candidate",AW429="proposed_name")),F429=""),"missing branch_id; ","")&amp;IF(AND(NOT(OR(B429="to_candidate",AW429="proposed_name")),H429=""),"missing first_name; ","")&amp;IF(AND(NOT(OR(B429="to_candidate",AW429="proposed_name")),J429=""),"missing last_name; ","")&amp;IF(AND(NOT(OR(B429="to_candidate",AW429="proposed_name")),U429=""),"missing final_geo_unit_id; ","")&amp;IF(AW429="","missing final_destination; ","")&amp;IF(AND(NOT(OR(B429="to_candidate",AW429="proposed_name")),(COUNTIFS('أرقام التواصل'!$A$6:$A$505,"client",'أرقام التواصل'!$B$6:$B$505,A429,'أرقام التواصل'!$I$6:$I$505,"TRUE")+COUNTIFS('أرقام التواصل'!$A$6:$A$505,"client",'أرقام التواصل'!$B$6:$B$505,A429,'أرقام التواصل'!$C$6:$C$505,1))=0),"missing primary contact in أرقام التواصل; ","")&amp;IF(OR(B429="to_candidate",AW429="proposed_name"),IF(AX429="","missing proposed_move_reason; ","")&amp;IF(AY429="","missing proposed_name_key; ",""),"")))))</x:f>
      </x:c>
    </x:row>
    <x:row r="430">
      <x:c r="A430" s="219"/>
      <x:c r="B430" s="220"/>
      <x:c r="C430" s="221"/>
      <x:c r="D430" s="220"/>
      <x:c r="E430" s="222"/>
      <x:c r="F430" s="220"/>
      <x:c r="G430" s="220"/>
      <x:c r="H430" s="220"/>
      <x:c r="I430" s="220"/>
      <x:c r="J430" s="220"/>
      <x:c r="K430" s="220"/>
      <x:c r="L430" s="220" t="str">
        <x:f>IF(TRIM(H430&amp;" "&amp;I430&amp;" "&amp;J430&amp;IF(K430&lt;&gt;""," ("&amp;K430&amp;")",""))="","",TRIM(H430&amp;" "&amp;I430&amp;" "&amp;J430&amp;IF(K430&lt;&gt;""," ("&amp;K430&amp;")","")))</x:f>
      </x:c>
      <x:c r="M430" s="220"/>
      <x:c r="N430" s="220"/>
      <x:c r="O430" s="220"/>
      <x:c r="P430" s="220"/>
      <x:c r="Q430" s="220"/>
      <x:c r="R430" s="220"/>
      <x:c r="S430" s="220"/>
      <x:c r="T430" s="220"/>
      <x:c r="U430" s="220" t="str">
        <x:f>IF(AND(M430="",O430="",Q430="",S430=""),"",IF(S430&lt;&gt;"",S430,IF(Q430&lt;&gt;"",Q430,IF(O430&lt;&gt;"",O430,M430))))</x:f>
      </x:c>
      <x:c r="V430" s="220" t="str">
        <x:f>IF(AND(N430="",P430="",R430="",T430=""),"",IF(T430&lt;&gt;"",T430,IF(R430&lt;&gt;"",R430,IF(P430&lt;&gt;"",P430,N430))))</x:f>
      </x:c>
      <x:c r="W430" s="221"/>
      <x:c r="X430" s="220"/>
      <x:c r="Y430" s="220"/>
      <x:c r="Z430" s="223"/>
      <x:c r="AA430" s="223"/>
      <x:c r="AB430" s="221"/>
      <x:c r="AC430" s="220"/>
      <x:c r="AD430" s="220"/>
      <x:c r="AE430" s="222"/>
      <x:c r="AF430" s="220"/>
      <x:c r="AG430" s="221"/>
      <x:c r="AH430" s="220"/>
      <x:c r="AI430" s="220"/>
      <x:c r="AJ430" s="222"/>
      <x:c r="AK430" s="220"/>
      <x:c r="AL430" s="220"/>
      <x:c r="AM430" s="220"/>
      <x:c r="AN430" s="220"/>
      <x:c r="AO430" s="220"/>
      <x:c r="AP430" s="220"/>
      <x:c r="AQ430" s="220"/>
      <x:c r="AR430" s="222"/>
      <x:c r="AS430" s="220"/>
      <x:c r="AT430" s="220"/>
      <x:c r="AU430" s="220"/>
      <x:c r="AV430" s="220"/>
      <x:c r="AW430" s="220"/>
      <x:c r="AX430" s="220"/>
      <x:c r="AY430" s="221"/>
      <x:c r="AZ430" s="220"/>
      <x:c r="BA430" s="220" t="str">
        <x:f>IF(AND(A430="",B430="",F430="",H430="",J430="",AW430="",AY430=""),"",IF(OR(B430="skip",AW430="skip"),"SKIP",IF(OR(B430="to_candidate",AW430="proposed_name"),IF(OR(A430="",AX430="",AY430="",COUNTIF($A$6:$A$505,A430)&gt;1),"REVIEW","TO_PROPOSED"),IF(OR(B430="",A430="",F430="",H430="",J430="",U430="",AW430="",COUNTIF($A$6:$A$505,A430)&gt;1,(COUNTIFS('أرقام التواصل'!$A$6:$A$505,"client",'أرقام التواصل'!$B$6:$B$505,A430,'أرقام التواصل'!$I$6:$I$505,"TRUE")+COUNTIFS('أرقام التواصل'!$A$6:$A$505,"client",'أرقام التواصل'!$B$6:$B$505,A430,'أرقام التواصل'!$C$6:$C$505,1))=0),"REVIEW","READY"))))</x:f>
      </x:c>
      <x:c r="BB430" s="224" t="str">
        <x:f>IF(BA430="","",IF(OR(BA430="READY",BA430="TO_PROPOSED"),"",IF(BA430="SKIP","Skipped by decision",TRIM(IF(B430="","missing import_action; ","")&amp;IF(A430="","missing migration_customer_key; ","")&amp;IF(AND(A430&lt;&gt;"",COUNTIF($A$6:$A$505,A430)&gt;1),"duplicate migration_customer_key; ","")&amp;IF(AND(NOT(OR(B430="to_candidate",AW430="proposed_name")),F430=""),"missing branch_id; ","")&amp;IF(AND(NOT(OR(B430="to_candidate",AW430="proposed_name")),H430=""),"missing first_name; ","")&amp;IF(AND(NOT(OR(B430="to_candidate",AW430="proposed_name")),J430=""),"missing last_name; ","")&amp;IF(AND(NOT(OR(B430="to_candidate",AW430="proposed_name")),U430=""),"missing final_geo_unit_id; ","")&amp;IF(AW430="","missing final_destination; ","")&amp;IF(AND(NOT(OR(B430="to_candidate",AW430="proposed_name")),(COUNTIFS('أرقام التواصل'!$A$6:$A$505,"client",'أرقام التواصل'!$B$6:$B$505,A430,'أرقام التواصل'!$I$6:$I$505,"TRUE")+COUNTIFS('أرقام التواصل'!$A$6:$A$505,"client",'أرقام التواصل'!$B$6:$B$505,A430,'أرقام التواصل'!$C$6:$C$505,1))=0),"missing primary contact in أرقام التواصل; ","")&amp;IF(OR(B430="to_candidate",AW430="proposed_name"),IF(AX430="","missing proposed_move_reason; ","")&amp;IF(AY430="","missing proposed_name_key; ",""),"")))))</x:f>
      </x:c>
    </x:row>
    <x:row r="431">
      <x:c r="A431" s="219"/>
      <x:c r="B431" s="220"/>
      <x:c r="C431" s="221"/>
      <x:c r="D431" s="220"/>
      <x:c r="E431" s="222"/>
      <x:c r="F431" s="220"/>
      <x:c r="G431" s="220"/>
      <x:c r="H431" s="220"/>
      <x:c r="I431" s="220"/>
      <x:c r="J431" s="220"/>
      <x:c r="K431" s="220"/>
      <x:c r="L431" s="220" t="str">
        <x:f>IF(TRIM(H431&amp;" "&amp;I431&amp;" "&amp;J431&amp;IF(K431&lt;&gt;""," ("&amp;K431&amp;")",""))="","",TRIM(H431&amp;" "&amp;I431&amp;" "&amp;J431&amp;IF(K431&lt;&gt;""," ("&amp;K431&amp;")","")))</x:f>
      </x:c>
      <x:c r="M431" s="220"/>
      <x:c r="N431" s="220"/>
      <x:c r="O431" s="220"/>
      <x:c r="P431" s="220"/>
      <x:c r="Q431" s="220"/>
      <x:c r="R431" s="220"/>
      <x:c r="S431" s="220"/>
      <x:c r="T431" s="220"/>
      <x:c r="U431" s="220" t="str">
        <x:f>IF(AND(M431="",O431="",Q431="",S431=""),"",IF(S431&lt;&gt;"",S431,IF(Q431&lt;&gt;"",Q431,IF(O431&lt;&gt;"",O431,M431))))</x:f>
      </x:c>
      <x:c r="V431" s="220" t="str">
        <x:f>IF(AND(N431="",P431="",R431="",T431=""),"",IF(T431&lt;&gt;"",T431,IF(R431&lt;&gt;"",R431,IF(P431&lt;&gt;"",P431,N431))))</x:f>
      </x:c>
      <x:c r="W431" s="221"/>
      <x:c r="X431" s="220"/>
      <x:c r="Y431" s="220"/>
      <x:c r="Z431" s="223"/>
      <x:c r="AA431" s="223"/>
      <x:c r="AB431" s="221"/>
      <x:c r="AC431" s="220"/>
      <x:c r="AD431" s="220"/>
      <x:c r="AE431" s="222"/>
      <x:c r="AF431" s="220"/>
      <x:c r="AG431" s="221"/>
      <x:c r="AH431" s="220"/>
      <x:c r="AI431" s="220"/>
      <x:c r="AJ431" s="222"/>
      <x:c r="AK431" s="220"/>
      <x:c r="AL431" s="220"/>
      <x:c r="AM431" s="220"/>
      <x:c r="AN431" s="220"/>
      <x:c r="AO431" s="220"/>
      <x:c r="AP431" s="220"/>
      <x:c r="AQ431" s="220"/>
      <x:c r="AR431" s="222"/>
      <x:c r="AS431" s="220"/>
      <x:c r="AT431" s="220"/>
      <x:c r="AU431" s="220"/>
      <x:c r="AV431" s="220"/>
      <x:c r="AW431" s="220"/>
      <x:c r="AX431" s="220"/>
      <x:c r="AY431" s="221"/>
      <x:c r="AZ431" s="220"/>
      <x:c r="BA431" s="220" t="str">
        <x:f>IF(AND(A431="",B431="",F431="",H431="",J431="",AW431="",AY431=""),"",IF(OR(B431="skip",AW431="skip"),"SKIP",IF(OR(B431="to_candidate",AW431="proposed_name"),IF(OR(A431="",AX431="",AY431="",COUNTIF($A$6:$A$505,A431)&gt;1),"REVIEW","TO_PROPOSED"),IF(OR(B431="",A431="",F431="",H431="",J431="",U431="",AW431="",COUNTIF($A$6:$A$505,A431)&gt;1,(COUNTIFS('أرقام التواصل'!$A$6:$A$505,"client",'أرقام التواصل'!$B$6:$B$505,A431,'أرقام التواصل'!$I$6:$I$505,"TRUE")+COUNTIFS('أرقام التواصل'!$A$6:$A$505,"client",'أرقام التواصل'!$B$6:$B$505,A431,'أرقام التواصل'!$C$6:$C$505,1))=0),"REVIEW","READY"))))</x:f>
      </x:c>
      <x:c r="BB431" s="224" t="str">
        <x:f>IF(BA431="","",IF(OR(BA431="READY",BA431="TO_PROPOSED"),"",IF(BA431="SKIP","Skipped by decision",TRIM(IF(B431="","missing import_action; ","")&amp;IF(A431="","missing migration_customer_key; ","")&amp;IF(AND(A431&lt;&gt;"",COUNTIF($A$6:$A$505,A431)&gt;1),"duplicate migration_customer_key; ","")&amp;IF(AND(NOT(OR(B431="to_candidate",AW431="proposed_name")),F431=""),"missing branch_id; ","")&amp;IF(AND(NOT(OR(B431="to_candidate",AW431="proposed_name")),H431=""),"missing first_name; ","")&amp;IF(AND(NOT(OR(B431="to_candidate",AW431="proposed_name")),J431=""),"missing last_name; ","")&amp;IF(AND(NOT(OR(B431="to_candidate",AW431="proposed_name")),U431=""),"missing final_geo_unit_id; ","")&amp;IF(AW431="","missing final_destination; ","")&amp;IF(AND(NOT(OR(B431="to_candidate",AW431="proposed_name")),(COUNTIFS('أرقام التواصل'!$A$6:$A$505,"client",'أرقام التواصل'!$B$6:$B$505,A431,'أرقام التواصل'!$I$6:$I$505,"TRUE")+COUNTIFS('أرقام التواصل'!$A$6:$A$505,"client",'أرقام التواصل'!$B$6:$B$505,A431,'أرقام التواصل'!$C$6:$C$505,1))=0),"missing primary contact in أرقام التواصل; ","")&amp;IF(OR(B431="to_candidate",AW431="proposed_name"),IF(AX431="","missing proposed_move_reason; ","")&amp;IF(AY431="","missing proposed_name_key; ",""),"")))))</x:f>
      </x:c>
    </x:row>
    <x:row r="432">
      <x:c r="A432" s="219"/>
      <x:c r="B432" s="220"/>
      <x:c r="C432" s="221"/>
      <x:c r="D432" s="220"/>
      <x:c r="E432" s="222"/>
      <x:c r="F432" s="220"/>
      <x:c r="G432" s="220"/>
      <x:c r="H432" s="220"/>
      <x:c r="I432" s="220"/>
      <x:c r="J432" s="220"/>
      <x:c r="K432" s="220"/>
      <x:c r="L432" s="220" t="str">
        <x:f>IF(TRIM(H432&amp;" "&amp;I432&amp;" "&amp;J432&amp;IF(K432&lt;&gt;""," ("&amp;K432&amp;")",""))="","",TRIM(H432&amp;" "&amp;I432&amp;" "&amp;J432&amp;IF(K432&lt;&gt;""," ("&amp;K432&amp;")","")))</x:f>
      </x:c>
      <x:c r="M432" s="220"/>
      <x:c r="N432" s="220"/>
      <x:c r="O432" s="220"/>
      <x:c r="P432" s="220"/>
      <x:c r="Q432" s="220"/>
      <x:c r="R432" s="220"/>
      <x:c r="S432" s="220"/>
      <x:c r="T432" s="220"/>
      <x:c r="U432" s="220" t="str">
        <x:f>IF(AND(M432="",O432="",Q432="",S432=""),"",IF(S432&lt;&gt;"",S432,IF(Q432&lt;&gt;"",Q432,IF(O432&lt;&gt;"",O432,M432))))</x:f>
      </x:c>
      <x:c r="V432" s="220" t="str">
        <x:f>IF(AND(N432="",P432="",R432="",T432=""),"",IF(T432&lt;&gt;"",T432,IF(R432&lt;&gt;"",R432,IF(P432&lt;&gt;"",P432,N432))))</x:f>
      </x:c>
      <x:c r="W432" s="221"/>
      <x:c r="X432" s="220"/>
      <x:c r="Y432" s="220"/>
      <x:c r="Z432" s="223"/>
      <x:c r="AA432" s="223"/>
      <x:c r="AB432" s="221"/>
      <x:c r="AC432" s="220"/>
      <x:c r="AD432" s="220"/>
      <x:c r="AE432" s="222"/>
      <x:c r="AF432" s="220"/>
      <x:c r="AG432" s="221"/>
      <x:c r="AH432" s="220"/>
      <x:c r="AI432" s="220"/>
      <x:c r="AJ432" s="222"/>
      <x:c r="AK432" s="220"/>
      <x:c r="AL432" s="220"/>
      <x:c r="AM432" s="220"/>
      <x:c r="AN432" s="220"/>
      <x:c r="AO432" s="220"/>
      <x:c r="AP432" s="220"/>
      <x:c r="AQ432" s="220"/>
      <x:c r="AR432" s="222"/>
      <x:c r="AS432" s="220"/>
      <x:c r="AT432" s="220"/>
      <x:c r="AU432" s="220"/>
      <x:c r="AV432" s="220"/>
      <x:c r="AW432" s="220"/>
      <x:c r="AX432" s="220"/>
      <x:c r="AY432" s="221"/>
      <x:c r="AZ432" s="220"/>
      <x:c r="BA432" s="220" t="str">
        <x:f>IF(AND(A432="",B432="",F432="",H432="",J432="",AW432="",AY432=""),"",IF(OR(B432="skip",AW432="skip"),"SKIP",IF(OR(B432="to_candidate",AW432="proposed_name"),IF(OR(A432="",AX432="",AY432="",COUNTIF($A$6:$A$505,A432)&gt;1),"REVIEW","TO_PROPOSED"),IF(OR(B432="",A432="",F432="",H432="",J432="",U432="",AW432="",COUNTIF($A$6:$A$505,A432)&gt;1,(COUNTIFS('أرقام التواصل'!$A$6:$A$505,"client",'أرقام التواصل'!$B$6:$B$505,A432,'أرقام التواصل'!$I$6:$I$505,"TRUE")+COUNTIFS('أرقام التواصل'!$A$6:$A$505,"client",'أرقام التواصل'!$B$6:$B$505,A432,'أرقام التواصل'!$C$6:$C$505,1))=0),"REVIEW","READY"))))</x:f>
      </x:c>
      <x:c r="BB432" s="224" t="str">
        <x:f>IF(BA432="","",IF(OR(BA432="READY",BA432="TO_PROPOSED"),"",IF(BA432="SKIP","Skipped by decision",TRIM(IF(B432="","missing import_action; ","")&amp;IF(A432="","missing migration_customer_key; ","")&amp;IF(AND(A432&lt;&gt;"",COUNTIF($A$6:$A$505,A432)&gt;1),"duplicate migration_customer_key; ","")&amp;IF(AND(NOT(OR(B432="to_candidate",AW432="proposed_name")),F432=""),"missing branch_id; ","")&amp;IF(AND(NOT(OR(B432="to_candidate",AW432="proposed_name")),H432=""),"missing first_name; ","")&amp;IF(AND(NOT(OR(B432="to_candidate",AW432="proposed_name")),J432=""),"missing last_name; ","")&amp;IF(AND(NOT(OR(B432="to_candidate",AW432="proposed_name")),U432=""),"missing final_geo_unit_id; ","")&amp;IF(AW432="","missing final_destination; ","")&amp;IF(AND(NOT(OR(B432="to_candidate",AW432="proposed_name")),(COUNTIFS('أرقام التواصل'!$A$6:$A$505,"client",'أرقام التواصل'!$B$6:$B$505,A432,'أرقام التواصل'!$I$6:$I$505,"TRUE")+COUNTIFS('أرقام التواصل'!$A$6:$A$505,"client",'أرقام التواصل'!$B$6:$B$505,A432,'أرقام التواصل'!$C$6:$C$505,1))=0),"missing primary contact in أرقام التواصل; ","")&amp;IF(OR(B432="to_candidate",AW432="proposed_name"),IF(AX432="","missing proposed_move_reason; ","")&amp;IF(AY432="","missing proposed_name_key; ",""),"")))))</x:f>
      </x:c>
    </x:row>
    <x:row r="433">
      <x:c r="A433" s="219"/>
      <x:c r="B433" s="220"/>
      <x:c r="C433" s="221"/>
      <x:c r="D433" s="220"/>
      <x:c r="E433" s="222"/>
      <x:c r="F433" s="220"/>
      <x:c r="G433" s="220"/>
      <x:c r="H433" s="220"/>
      <x:c r="I433" s="220"/>
      <x:c r="J433" s="220"/>
      <x:c r="K433" s="220"/>
      <x:c r="L433" s="220" t="str">
        <x:f>IF(TRIM(H433&amp;" "&amp;I433&amp;" "&amp;J433&amp;IF(K433&lt;&gt;""," ("&amp;K433&amp;")",""))="","",TRIM(H433&amp;" "&amp;I433&amp;" "&amp;J433&amp;IF(K433&lt;&gt;""," ("&amp;K433&amp;")","")))</x:f>
      </x:c>
      <x:c r="M433" s="220"/>
      <x:c r="N433" s="220"/>
      <x:c r="O433" s="220"/>
      <x:c r="P433" s="220"/>
      <x:c r="Q433" s="220"/>
      <x:c r="R433" s="220"/>
      <x:c r="S433" s="220"/>
      <x:c r="T433" s="220"/>
      <x:c r="U433" s="220" t="str">
        <x:f>IF(AND(M433="",O433="",Q433="",S433=""),"",IF(S433&lt;&gt;"",S433,IF(Q433&lt;&gt;"",Q433,IF(O433&lt;&gt;"",O433,M433))))</x:f>
      </x:c>
      <x:c r="V433" s="220" t="str">
        <x:f>IF(AND(N433="",P433="",R433="",T433=""),"",IF(T433&lt;&gt;"",T433,IF(R433&lt;&gt;"",R433,IF(P433&lt;&gt;"",P433,N433))))</x:f>
      </x:c>
      <x:c r="W433" s="221"/>
      <x:c r="X433" s="220"/>
      <x:c r="Y433" s="220"/>
      <x:c r="Z433" s="223"/>
      <x:c r="AA433" s="223"/>
      <x:c r="AB433" s="221"/>
      <x:c r="AC433" s="220"/>
      <x:c r="AD433" s="220"/>
      <x:c r="AE433" s="222"/>
      <x:c r="AF433" s="220"/>
      <x:c r="AG433" s="221"/>
      <x:c r="AH433" s="220"/>
      <x:c r="AI433" s="220"/>
      <x:c r="AJ433" s="222"/>
      <x:c r="AK433" s="220"/>
      <x:c r="AL433" s="220"/>
      <x:c r="AM433" s="220"/>
      <x:c r="AN433" s="220"/>
      <x:c r="AO433" s="220"/>
      <x:c r="AP433" s="220"/>
      <x:c r="AQ433" s="220"/>
      <x:c r="AR433" s="222"/>
      <x:c r="AS433" s="220"/>
      <x:c r="AT433" s="220"/>
      <x:c r="AU433" s="220"/>
      <x:c r="AV433" s="220"/>
      <x:c r="AW433" s="220"/>
      <x:c r="AX433" s="220"/>
      <x:c r="AY433" s="221"/>
      <x:c r="AZ433" s="220"/>
      <x:c r="BA433" s="220" t="str">
        <x:f>IF(AND(A433="",B433="",F433="",H433="",J433="",AW433="",AY433=""),"",IF(OR(B433="skip",AW433="skip"),"SKIP",IF(OR(B433="to_candidate",AW433="proposed_name"),IF(OR(A433="",AX433="",AY433="",COUNTIF($A$6:$A$505,A433)&gt;1),"REVIEW","TO_PROPOSED"),IF(OR(B433="",A433="",F433="",H433="",J433="",U433="",AW433="",COUNTIF($A$6:$A$505,A433)&gt;1,(COUNTIFS('أرقام التواصل'!$A$6:$A$505,"client",'أرقام التواصل'!$B$6:$B$505,A433,'أرقام التواصل'!$I$6:$I$505,"TRUE")+COUNTIFS('أرقام التواصل'!$A$6:$A$505,"client",'أرقام التواصل'!$B$6:$B$505,A433,'أرقام التواصل'!$C$6:$C$505,1))=0),"REVIEW","READY"))))</x:f>
      </x:c>
      <x:c r="BB433" s="224" t="str">
        <x:f>IF(BA433="","",IF(OR(BA433="READY",BA433="TO_PROPOSED"),"",IF(BA433="SKIP","Skipped by decision",TRIM(IF(B433="","missing import_action; ","")&amp;IF(A433="","missing migration_customer_key; ","")&amp;IF(AND(A433&lt;&gt;"",COUNTIF($A$6:$A$505,A433)&gt;1),"duplicate migration_customer_key; ","")&amp;IF(AND(NOT(OR(B433="to_candidate",AW433="proposed_name")),F433=""),"missing branch_id; ","")&amp;IF(AND(NOT(OR(B433="to_candidate",AW433="proposed_name")),H433=""),"missing first_name; ","")&amp;IF(AND(NOT(OR(B433="to_candidate",AW433="proposed_name")),J433=""),"missing last_name; ","")&amp;IF(AND(NOT(OR(B433="to_candidate",AW433="proposed_name")),U433=""),"missing final_geo_unit_id; ","")&amp;IF(AW433="","missing final_destination; ","")&amp;IF(AND(NOT(OR(B433="to_candidate",AW433="proposed_name")),(COUNTIFS('أرقام التواصل'!$A$6:$A$505,"client",'أرقام التواصل'!$B$6:$B$505,A433,'أرقام التواصل'!$I$6:$I$505,"TRUE")+COUNTIFS('أرقام التواصل'!$A$6:$A$505,"client",'أرقام التواصل'!$B$6:$B$505,A433,'أرقام التواصل'!$C$6:$C$505,1))=0),"missing primary contact in أرقام التواصل; ","")&amp;IF(OR(B433="to_candidate",AW433="proposed_name"),IF(AX433="","missing proposed_move_reason; ","")&amp;IF(AY433="","missing proposed_name_key; ",""),"")))))</x:f>
      </x:c>
    </x:row>
    <x:row r="434">
      <x:c r="A434" s="219"/>
      <x:c r="B434" s="220"/>
      <x:c r="C434" s="221"/>
      <x:c r="D434" s="220"/>
      <x:c r="E434" s="222"/>
      <x:c r="F434" s="220"/>
      <x:c r="G434" s="220"/>
      <x:c r="H434" s="220"/>
      <x:c r="I434" s="220"/>
      <x:c r="J434" s="220"/>
      <x:c r="K434" s="220"/>
      <x:c r="L434" s="220" t="str">
        <x:f>IF(TRIM(H434&amp;" "&amp;I434&amp;" "&amp;J434&amp;IF(K434&lt;&gt;""," ("&amp;K434&amp;")",""))="","",TRIM(H434&amp;" "&amp;I434&amp;" "&amp;J434&amp;IF(K434&lt;&gt;""," ("&amp;K434&amp;")","")))</x:f>
      </x:c>
      <x:c r="M434" s="220"/>
      <x:c r="N434" s="220"/>
      <x:c r="O434" s="220"/>
      <x:c r="P434" s="220"/>
      <x:c r="Q434" s="220"/>
      <x:c r="R434" s="220"/>
      <x:c r="S434" s="220"/>
      <x:c r="T434" s="220"/>
      <x:c r="U434" s="220" t="str">
        <x:f>IF(AND(M434="",O434="",Q434="",S434=""),"",IF(S434&lt;&gt;"",S434,IF(Q434&lt;&gt;"",Q434,IF(O434&lt;&gt;"",O434,M434))))</x:f>
      </x:c>
      <x:c r="V434" s="220" t="str">
        <x:f>IF(AND(N434="",P434="",R434="",T434=""),"",IF(T434&lt;&gt;"",T434,IF(R434&lt;&gt;"",R434,IF(P434&lt;&gt;"",P434,N434))))</x:f>
      </x:c>
      <x:c r="W434" s="221"/>
      <x:c r="X434" s="220"/>
      <x:c r="Y434" s="220"/>
      <x:c r="Z434" s="223"/>
      <x:c r="AA434" s="223"/>
      <x:c r="AB434" s="221"/>
      <x:c r="AC434" s="220"/>
      <x:c r="AD434" s="220"/>
      <x:c r="AE434" s="222"/>
      <x:c r="AF434" s="220"/>
      <x:c r="AG434" s="221"/>
      <x:c r="AH434" s="220"/>
      <x:c r="AI434" s="220"/>
      <x:c r="AJ434" s="222"/>
      <x:c r="AK434" s="220"/>
      <x:c r="AL434" s="220"/>
      <x:c r="AM434" s="220"/>
      <x:c r="AN434" s="220"/>
      <x:c r="AO434" s="220"/>
      <x:c r="AP434" s="220"/>
      <x:c r="AQ434" s="220"/>
      <x:c r="AR434" s="222"/>
      <x:c r="AS434" s="220"/>
      <x:c r="AT434" s="220"/>
      <x:c r="AU434" s="220"/>
      <x:c r="AV434" s="220"/>
      <x:c r="AW434" s="220"/>
      <x:c r="AX434" s="220"/>
      <x:c r="AY434" s="221"/>
      <x:c r="AZ434" s="220"/>
      <x:c r="BA434" s="220" t="str">
        <x:f>IF(AND(A434="",B434="",F434="",H434="",J434="",AW434="",AY434=""),"",IF(OR(B434="skip",AW434="skip"),"SKIP",IF(OR(B434="to_candidate",AW434="proposed_name"),IF(OR(A434="",AX434="",AY434="",COUNTIF($A$6:$A$505,A434)&gt;1),"REVIEW","TO_PROPOSED"),IF(OR(B434="",A434="",F434="",H434="",J434="",U434="",AW434="",COUNTIF($A$6:$A$505,A434)&gt;1,(COUNTIFS('أرقام التواصل'!$A$6:$A$505,"client",'أرقام التواصل'!$B$6:$B$505,A434,'أرقام التواصل'!$I$6:$I$505,"TRUE")+COUNTIFS('أرقام التواصل'!$A$6:$A$505,"client",'أرقام التواصل'!$B$6:$B$505,A434,'أرقام التواصل'!$C$6:$C$505,1))=0),"REVIEW","READY"))))</x:f>
      </x:c>
      <x:c r="BB434" s="224" t="str">
        <x:f>IF(BA434="","",IF(OR(BA434="READY",BA434="TO_PROPOSED"),"",IF(BA434="SKIP","Skipped by decision",TRIM(IF(B434="","missing import_action; ","")&amp;IF(A434="","missing migration_customer_key; ","")&amp;IF(AND(A434&lt;&gt;"",COUNTIF($A$6:$A$505,A434)&gt;1),"duplicate migration_customer_key; ","")&amp;IF(AND(NOT(OR(B434="to_candidate",AW434="proposed_name")),F434=""),"missing branch_id; ","")&amp;IF(AND(NOT(OR(B434="to_candidate",AW434="proposed_name")),H434=""),"missing first_name; ","")&amp;IF(AND(NOT(OR(B434="to_candidate",AW434="proposed_name")),J434=""),"missing last_name; ","")&amp;IF(AND(NOT(OR(B434="to_candidate",AW434="proposed_name")),U434=""),"missing final_geo_unit_id; ","")&amp;IF(AW434="","missing final_destination; ","")&amp;IF(AND(NOT(OR(B434="to_candidate",AW434="proposed_name")),(COUNTIFS('أرقام التواصل'!$A$6:$A$505,"client",'أرقام التواصل'!$B$6:$B$505,A434,'أرقام التواصل'!$I$6:$I$505,"TRUE")+COUNTIFS('أرقام التواصل'!$A$6:$A$505,"client",'أرقام التواصل'!$B$6:$B$505,A434,'أرقام التواصل'!$C$6:$C$505,1))=0),"missing primary contact in أرقام التواصل; ","")&amp;IF(OR(B434="to_candidate",AW434="proposed_name"),IF(AX434="","missing proposed_move_reason; ","")&amp;IF(AY434="","missing proposed_name_key; ",""),"")))))</x:f>
      </x:c>
    </x:row>
    <x:row r="435">
      <x:c r="A435" s="219"/>
      <x:c r="B435" s="220"/>
      <x:c r="C435" s="221"/>
      <x:c r="D435" s="220"/>
      <x:c r="E435" s="222"/>
      <x:c r="F435" s="220"/>
      <x:c r="G435" s="220"/>
      <x:c r="H435" s="220"/>
      <x:c r="I435" s="220"/>
      <x:c r="J435" s="220"/>
      <x:c r="K435" s="220"/>
      <x:c r="L435" s="220" t="str">
        <x:f>IF(TRIM(H435&amp;" "&amp;I435&amp;" "&amp;J435&amp;IF(K435&lt;&gt;""," ("&amp;K435&amp;")",""))="","",TRIM(H435&amp;" "&amp;I435&amp;" "&amp;J435&amp;IF(K435&lt;&gt;""," ("&amp;K435&amp;")","")))</x:f>
      </x:c>
      <x:c r="M435" s="220"/>
      <x:c r="N435" s="220"/>
      <x:c r="O435" s="220"/>
      <x:c r="P435" s="220"/>
      <x:c r="Q435" s="220"/>
      <x:c r="R435" s="220"/>
      <x:c r="S435" s="220"/>
      <x:c r="T435" s="220"/>
      <x:c r="U435" s="220" t="str">
        <x:f>IF(AND(M435="",O435="",Q435="",S435=""),"",IF(S435&lt;&gt;"",S435,IF(Q435&lt;&gt;"",Q435,IF(O435&lt;&gt;"",O435,M435))))</x:f>
      </x:c>
      <x:c r="V435" s="220" t="str">
        <x:f>IF(AND(N435="",P435="",R435="",T435=""),"",IF(T435&lt;&gt;"",T435,IF(R435&lt;&gt;"",R435,IF(P435&lt;&gt;"",P435,N435))))</x:f>
      </x:c>
      <x:c r="W435" s="221"/>
      <x:c r="X435" s="220"/>
      <x:c r="Y435" s="220"/>
      <x:c r="Z435" s="223"/>
      <x:c r="AA435" s="223"/>
      <x:c r="AB435" s="221"/>
      <x:c r="AC435" s="220"/>
      <x:c r="AD435" s="220"/>
      <x:c r="AE435" s="222"/>
      <x:c r="AF435" s="220"/>
      <x:c r="AG435" s="221"/>
      <x:c r="AH435" s="220"/>
      <x:c r="AI435" s="220"/>
      <x:c r="AJ435" s="222"/>
      <x:c r="AK435" s="220"/>
      <x:c r="AL435" s="220"/>
      <x:c r="AM435" s="220"/>
      <x:c r="AN435" s="220"/>
      <x:c r="AO435" s="220"/>
      <x:c r="AP435" s="220"/>
      <x:c r="AQ435" s="220"/>
      <x:c r="AR435" s="222"/>
      <x:c r="AS435" s="220"/>
      <x:c r="AT435" s="220"/>
      <x:c r="AU435" s="220"/>
      <x:c r="AV435" s="220"/>
      <x:c r="AW435" s="220"/>
      <x:c r="AX435" s="220"/>
      <x:c r="AY435" s="221"/>
      <x:c r="AZ435" s="220"/>
      <x:c r="BA435" s="220" t="str">
        <x:f>IF(AND(A435="",B435="",F435="",H435="",J435="",AW435="",AY435=""),"",IF(OR(B435="skip",AW435="skip"),"SKIP",IF(OR(B435="to_candidate",AW435="proposed_name"),IF(OR(A435="",AX435="",AY435="",COUNTIF($A$6:$A$505,A435)&gt;1),"REVIEW","TO_PROPOSED"),IF(OR(B435="",A435="",F435="",H435="",J435="",U435="",AW435="",COUNTIF($A$6:$A$505,A435)&gt;1,(COUNTIFS('أرقام التواصل'!$A$6:$A$505,"client",'أرقام التواصل'!$B$6:$B$505,A435,'أرقام التواصل'!$I$6:$I$505,"TRUE")+COUNTIFS('أرقام التواصل'!$A$6:$A$505,"client",'أرقام التواصل'!$B$6:$B$505,A435,'أرقام التواصل'!$C$6:$C$505,1))=0),"REVIEW","READY"))))</x:f>
      </x:c>
      <x:c r="BB435" s="224" t="str">
        <x:f>IF(BA435="","",IF(OR(BA435="READY",BA435="TO_PROPOSED"),"",IF(BA435="SKIP","Skipped by decision",TRIM(IF(B435="","missing import_action; ","")&amp;IF(A435="","missing migration_customer_key; ","")&amp;IF(AND(A435&lt;&gt;"",COUNTIF($A$6:$A$505,A435)&gt;1),"duplicate migration_customer_key; ","")&amp;IF(AND(NOT(OR(B435="to_candidate",AW435="proposed_name")),F435=""),"missing branch_id; ","")&amp;IF(AND(NOT(OR(B435="to_candidate",AW435="proposed_name")),H435=""),"missing first_name; ","")&amp;IF(AND(NOT(OR(B435="to_candidate",AW435="proposed_name")),J435=""),"missing last_name; ","")&amp;IF(AND(NOT(OR(B435="to_candidate",AW435="proposed_name")),U435=""),"missing final_geo_unit_id; ","")&amp;IF(AW435="","missing final_destination; ","")&amp;IF(AND(NOT(OR(B435="to_candidate",AW435="proposed_name")),(COUNTIFS('أرقام التواصل'!$A$6:$A$505,"client",'أرقام التواصل'!$B$6:$B$505,A435,'أرقام التواصل'!$I$6:$I$505,"TRUE")+COUNTIFS('أرقام التواصل'!$A$6:$A$505,"client",'أرقام التواصل'!$B$6:$B$505,A435,'أرقام التواصل'!$C$6:$C$505,1))=0),"missing primary contact in أرقام التواصل; ","")&amp;IF(OR(B435="to_candidate",AW435="proposed_name"),IF(AX435="","missing proposed_move_reason; ","")&amp;IF(AY435="","missing proposed_name_key; ",""),"")))))</x:f>
      </x:c>
    </x:row>
    <x:row r="436">
      <x:c r="A436" s="219"/>
      <x:c r="B436" s="220"/>
      <x:c r="C436" s="221"/>
      <x:c r="D436" s="220"/>
      <x:c r="E436" s="222"/>
      <x:c r="F436" s="220"/>
      <x:c r="G436" s="220"/>
      <x:c r="H436" s="220"/>
      <x:c r="I436" s="220"/>
      <x:c r="J436" s="220"/>
      <x:c r="K436" s="220"/>
      <x:c r="L436" s="220" t="str">
        <x:f>IF(TRIM(H436&amp;" "&amp;I436&amp;" "&amp;J436&amp;IF(K436&lt;&gt;""," ("&amp;K436&amp;")",""))="","",TRIM(H436&amp;" "&amp;I436&amp;" "&amp;J436&amp;IF(K436&lt;&gt;""," ("&amp;K436&amp;")","")))</x:f>
      </x:c>
      <x:c r="M436" s="220"/>
      <x:c r="N436" s="220"/>
      <x:c r="O436" s="220"/>
      <x:c r="P436" s="220"/>
      <x:c r="Q436" s="220"/>
      <x:c r="R436" s="220"/>
      <x:c r="S436" s="220"/>
      <x:c r="T436" s="220"/>
      <x:c r="U436" s="220" t="str">
        <x:f>IF(AND(M436="",O436="",Q436="",S436=""),"",IF(S436&lt;&gt;"",S436,IF(Q436&lt;&gt;"",Q436,IF(O436&lt;&gt;"",O436,M436))))</x:f>
      </x:c>
      <x:c r="V436" s="220" t="str">
        <x:f>IF(AND(N436="",P436="",R436="",T436=""),"",IF(T436&lt;&gt;"",T436,IF(R436&lt;&gt;"",R436,IF(P436&lt;&gt;"",P436,N436))))</x:f>
      </x:c>
      <x:c r="W436" s="221"/>
      <x:c r="X436" s="220"/>
      <x:c r="Y436" s="220"/>
      <x:c r="Z436" s="223"/>
      <x:c r="AA436" s="223"/>
      <x:c r="AB436" s="221"/>
      <x:c r="AC436" s="220"/>
      <x:c r="AD436" s="220"/>
      <x:c r="AE436" s="222"/>
      <x:c r="AF436" s="220"/>
      <x:c r="AG436" s="221"/>
      <x:c r="AH436" s="220"/>
      <x:c r="AI436" s="220"/>
      <x:c r="AJ436" s="222"/>
      <x:c r="AK436" s="220"/>
      <x:c r="AL436" s="220"/>
      <x:c r="AM436" s="220"/>
      <x:c r="AN436" s="220"/>
      <x:c r="AO436" s="220"/>
      <x:c r="AP436" s="220"/>
      <x:c r="AQ436" s="220"/>
      <x:c r="AR436" s="222"/>
      <x:c r="AS436" s="220"/>
      <x:c r="AT436" s="220"/>
      <x:c r="AU436" s="220"/>
      <x:c r="AV436" s="220"/>
      <x:c r="AW436" s="220"/>
      <x:c r="AX436" s="220"/>
      <x:c r="AY436" s="221"/>
      <x:c r="AZ436" s="220"/>
      <x:c r="BA436" s="220" t="str">
        <x:f>IF(AND(A436="",B436="",F436="",H436="",J436="",AW436="",AY436=""),"",IF(OR(B436="skip",AW436="skip"),"SKIP",IF(OR(B436="to_candidate",AW436="proposed_name"),IF(OR(A436="",AX436="",AY436="",COUNTIF($A$6:$A$505,A436)&gt;1),"REVIEW","TO_PROPOSED"),IF(OR(B436="",A436="",F436="",H436="",J436="",U436="",AW436="",COUNTIF($A$6:$A$505,A436)&gt;1,(COUNTIFS('أرقام التواصل'!$A$6:$A$505,"client",'أرقام التواصل'!$B$6:$B$505,A436,'أرقام التواصل'!$I$6:$I$505,"TRUE")+COUNTIFS('أرقام التواصل'!$A$6:$A$505,"client",'أرقام التواصل'!$B$6:$B$505,A436,'أرقام التواصل'!$C$6:$C$505,1))=0),"REVIEW","READY"))))</x:f>
      </x:c>
      <x:c r="BB436" s="224" t="str">
        <x:f>IF(BA436="","",IF(OR(BA436="READY",BA436="TO_PROPOSED"),"",IF(BA436="SKIP","Skipped by decision",TRIM(IF(B436="","missing import_action; ","")&amp;IF(A436="","missing migration_customer_key; ","")&amp;IF(AND(A436&lt;&gt;"",COUNTIF($A$6:$A$505,A436)&gt;1),"duplicate migration_customer_key; ","")&amp;IF(AND(NOT(OR(B436="to_candidate",AW436="proposed_name")),F436=""),"missing branch_id; ","")&amp;IF(AND(NOT(OR(B436="to_candidate",AW436="proposed_name")),H436=""),"missing first_name; ","")&amp;IF(AND(NOT(OR(B436="to_candidate",AW436="proposed_name")),J436=""),"missing last_name; ","")&amp;IF(AND(NOT(OR(B436="to_candidate",AW436="proposed_name")),U436=""),"missing final_geo_unit_id; ","")&amp;IF(AW436="","missing final_destination; ","")&amp;IF(AND(NOT(OR(B436="to_candidate",AW436="proposed_name")),(COUNTIFS('أرقام التواصل'!$A$6:$A$505,"client",'أرقام التواصل'!$B$6:$B$505,A436,'أرقام التواصل'!$I$6:$I$505,"TRUE")+COUNTIFS('أرقام التواصل'!$A$6:$A$505,"client",'أرقام التواصل'!$B$6:$B$505,A436,'أرقام التواصل'!$C$6:$C$505,1))=0),"missing primary contact in أرقام التواصل; ","")&amp;IF(OR(B436="to_candidate",AW436="proposed_name"),IF(AX436="","missing proposed_move_reason; ","")&amp;IF(AY436="","missing proposed_name_key; ",""),"")))))</x:f>
      </x:c>
    </x:row>
    <x:row r="437">
      <x:c r="A437" s="219"/>
      <x:c r="B437" s="220"/>
      <x:c r="C437" s="221"/>
      <x:c r="D437" s="220"/>
      <x:c r="E437" s="222"/>
      <x:c r="F437" s="220"/>
      <x:c r="G437" s="220"/>
      <x:c r="H437" s="220"/>
      <x:c r="I437" s="220"/>
      <x:c r="J437" s="220"/>
      <x:c r="K437" s="220"/>
      <x:c r="L437" s="220" t="str">
        <x:f>IF(TRIM(H437&amp;" "&amp;I437&amp;" "&amp;J437&amp;IF(K437&lt;&gt;""," ("&amp;K437&amp;")",""))="","",TRIM(H437&amp;" "&amp;I437&amp;" "&amp;J437&amp;IF(K437&lt;&gt;""," ("&amp;K437&amp;")","")))</x:f>
      </x:c>
      <x:c r="M437" s="220"/>
      <x:c r="N437" s="220"/>
      <x:c r="O437" s="220"/>
      <x:c r="P437" s="220"/>
      <x:c r="Q437" s="220"/>
      <x:c r="R437" s="220"/>
      <x:c r="S437" s="220"/>
      <x:c r="T437" s="220"/>
      <x:c r="U437" s="220" t="str">
        <x:f>IF(AND(M437="",O437="",Q437="",S437=""),"",IF(S437&lt;&gt;"",S437,IF(Q437&lt;&gt;"",Q437,IF(O437&lt;&gt;"",O437,M437))))</x:f>
      </x:c>
      <x:c r="V437" s="220" t="str">
        <x:f>IF(AND(N437="",P437="",R437="",T437=""),"",IF(T437&lt;&gt;"",T437,IF(R437&lt;&gt;"",R437,IF(P437&lt;&gt;"",P437,N437))))</x:f>
      </x:c>
      <x:c r="W437" s="221"/>
      <x:c r="X437" s="220"/>
      <x:c r="Y437" s="220"/>
      <x:c r="Z437" s="223"/>
      <x:c r="AA437" s="223"/>
      <x:c r="AB437" s="221"/>
      <x:c r="AC437" s="220"/>
      <x:c r="AD437" s="220"/>
      <x:c r="AE437" s="222"/>
      <x:c r="AF437" s="220"/>
      <x:c r="AG437" s="221"/>
      <x:c r="AH437" s="220"/>
      <x:c r="AI437" s="220"/>
      <x:c r="AJ437" s="222"/>
      <x:c r="AK437" s="220"/>
      <x:c r="AL437" s="220"/>
      <x:c r="AM437" s="220"/>
      <x:c r="AN437" s="220"/>
      <x:c r="AO437" s="220"/>
      <x:c r="AP437" s="220"/>
      <x:c r="AQ437" s="220"/>
      <x:c r="AR437" s="222"/>
      <x:c r="AS437" s="220"/>
      <x:c r="AT437" s="220"/>
      <x:c r="AU437" s="220"/>
      <x:c r="AV437" s="220"/>
      <x:c r="AW437" s="220"/>
      <x:c r="AX437" s="220"/>
      <x:c r="AY437" s="221"/>
      <x:c r="AZ437" s="220"/>
      <x:c r="BA437" s="220" t="str">
        <x:f>IF(AND(A437="",B437="",F437="",H437="",J437="",AW437="",AY437=""),"",IF(OR(B437="skip",AW437="skip"),"SKIP",IF(OR(B437="to_candidate",AW437="proposed_name"),IF(OR(A437="",AX437="",AY437="",COUNTIF($A$6:$A$505,A437)&gt;1),"REVIEW","TO_PROPOSED"),IF(OR(B437="",A437="",F437="",H437="",J437="",U437="",AW437="",COUNTIF($A$6:$A$505,A437)&gt;1,(COUNTIFS('أرقام التواصل'!$A$6:$A$505,"client",'أرقام التواصل'!$B$6:$B$505,A437,'أرقام التواصل'!$I$6:$I$505,"TRUE")+COUNTIFS('أرقام التواصل'!$A$6:$A$505,"client",'أرقام التواصل'!$B$6:$B$505,A437,'أرقام التواصل'!$C$6:$C$505,1))=0),"REVIEW","READY"))))</x:f>
      </x:c>
      <x:c r="BB437" s="224" t="str">
        <x:f>IF(BA437="","",IF(OR(BA437="READY",BA437="TO_PROPOSED"),"",IF(BA437="SKIP","Skipped by decision",TRIM(IF(B437="","missing import_action; ","")&amp;IF(A437="","missing migration_customer_key; ","")&amp;IF(AND(A437&lt;&gt;"",COUNTIF($A$6:$A$505,A437)&gt;1),"duplicate migration_customer_key; ","")&amp;IF(AND(NOT(OR(B437="to_candidate",AW437="proposed_name")),F437=""),"missing branch_id; ","")&amp;IF(AND(NOT(OR(B437="to_candidate",AW437="proposed_name")),H437=""),"missing first_name; ","")&amp;IF(AND(NOT(OR(B437="to_candidate",AW437="proposed_name")),J437=""),"missing last_name; ","")&amp;IF(AND(NOT(OR(B437="to_candidate",AW437="proposed_name")),U437=""),"missing final_geo_unit_id; ","")&amp;IF(AW437="","missing final_destination; ","")&amp;IF(AND(NOT(OR(B437="to_candidate",AW437="proposed_name")),(COUNTIFS('أرقام التواصل'!$A$6:$A$505,"client",'أرقام التواصل'!$B$6:$B$505,A437,'أرقام التواصل'!$I$6:$I$505,"TRUE")+COUNTIFS('أرقام التواصل'!$A$6:$A$505,"client",'أرقام التواصل'!$B$6:$B$505,A437,'أرقام التواصل'!$C$6:$C$505,1))=0),"missing primary contact in أرقام التواصل; ","")&amp;IF(OR(B437="to_candidate",AW437="proposed_name"),IF(AX437="","missing proposed_move_reason; ","")&amp;IF(AY437="","missing proposed_name_key; ",""),"")))))</x:f>
      </x:c>
    </x:row>
    <x:row r="438">
      <x:c r="A438" s="219"/>
      <x:c r="B438" s="220"/>
      <x:c r="C438" s="221"/>
      <x:c r="D438" s="220"/>
      <x:c r="E438" s="222"/>
      <x:c r="F438" s="220"/>
      <x:c r="G438" s="220"/>
      <x:c r="H438" s="220"/>
      <x:c r="I438" s="220"/>
      <x:c r="J438" s="220"/>
      <x:c r="K438" s="220"/>
      <x:c r="L438" s="220" t="str">
        <x:f>IF(TRIM(H438&amp;" "&amp;I438&amp;" "&amp;J438&amp;IF(K438&lt;&gt;""," ("&amp;K438&amp;")",""))="","",TRIM(H438&amp;" "&amp;I438&amp;" "&amp;J438&amp;IF(K438&lt;&gt;""," ("&amp;K438&amp;")","")))</x:f>
      </x:c>
      <x:c r="M438" s="220"/>
      <x:c r="N438" s="220"/>
      <x:c r="O438" s="220"/>
      <x:c r="P438" s="220"/>
      <x:c r="Q438" s="220"/>
      <x:c r="R438" s="220"/>
      <x:c r="S438" s="220"/>
      <x:c r="T438" s="220"/>
      <x:c r="U438" s="220" t="str">
        <x:f>IF(AND(M438="",O438="",Q438="",S438=""),"",IF(S438&lt;&gt;"",S438,IF(Q438&lt;&gt;"",Q438,IF(O438&lt;&gt;"",O438,M438))))</x:f>
      </x:c>
      <x:c r="V438" s="220" t="str">
        <x:f>IF(AND(N438="",P438="",R438="",T438=""),"",IF(T438&lt;&gt;"",T438,IF(R438&lt;&gt;"",R438,IF(P438&lt;&gt;"",P438,N438))))</x:f>
      </x:c>
      <x:c r="W438" s="221"/>
      <x:c r="X438" s="220"/>
      <x:c r="Y438" s="220"/>
      <x:c r="Z438" s="223"/>
      <x:c r="AA438" s="223"/>
      <x:c r="AB438" s="221"/>
      <x:c r="AC438" s="220"/>
      <x:c r="AD438" s="220"/>
      <x:c r="AE438" s="222"/>
      <x:c r="AF438" s="220"/>
      <x:c r="AG438" s="221"/>
      <x:c r="AH438" s="220"/>
      <x:c r="AI438" s="220"/>
      <x:c r="AJ438" s="222"/>
      <x:c r="AK438" s="220"/>
      <x:c r="AL438" s="220"/>
      <x:c r="AM438" s="220"/>
      <x:c r="AN438" s="220"/>
      <x:c r="AO438" s="220"/>
      <x:c r="AP438" s="220"/>
      <x:c r="AQ438" s="220"/>
      <x:c r="AR438" s="222"/>
      <x:c r="AS438" s="220"/>
      <x:c r="AT438" s="220"/>
      <x:c r="AU438" s="220"/>
      <x:c r="AV438" s="220"/>
      <x:c r="AW438" s="220"/>
      <x:c r="AX438" s="220"/>
      <x:c r="AY438" s="221"/>
      <x:c r="AZ438" s="220"/>
      <x:c r="BA438" s="220" t="str">
        <x:f>IF(AND(A438="",B438="",F438="",H438="",J438="",AW438="",AY438=""),"",IF(OR(B438="skip",AW438="skip"),"SKIP",IF(OR(B438="to_candidate",AW438="proposed_name"),IF(OR(A438="",AX438="",AY438="",COUNTIF($A$6:$A$505,A438)&gt;1),"REVIEW","TO_PROPOSED"),IF(OR(B438="",A438="",F438="",H438="",J438="",U438="",AW438="",COUNTIF($A$6:$A$505,A438)&gt;1,(COUNTIFS('أرقام التواصل'!$A$6:$A$505,"client",'أرقام التواصل'!$B$6:$B$505,A438,'أرقام التواصل'!$I$6:$I$505,"TRUE")+COUNTIFS('أرقام التواصل'!$A$6:$A$505,"client",'أرقام التواصل'!$B$6:$B$505,A438,'أرقام التواصل'!$C$6:$C$505,1))=0),"REVIEW","READY"))))</x:f>
      </x:c>
      <x:c r="BB438" s="224" t="str">
        <x:f>IF(BA438="","",IF(OR(BA438="READY",BA438="TO_PROPOSED"),"",IF(BA438="SKIP","Skipped by decision",TRIM(IF(B438="","missing import_action; ","")&amp;IF(A438="","missing migration_customer_key; ","")&amp;IF(AND(A438&lt;&gt;"",COUNTIF($A$6:$A$505,A438)&gt;1),"duplicate migration_customer_key; ","")&amp;IF(AND(NOT(OR(B438="to_candidate",AW438="proposed_name")),F438=""),"missing branch_id; ","")&amp;IF(AND(NOT(OR(B438="to_candidate",AW438="proposed_name")),H438=""),"missing first_name; ","")&amp;IF(AND(NOT(OR(B438="to_candidate",AW438="proposed_name")),J438=""),"missing last_name; ","")&amp;IF(AND(NOT(OR(B438="to_candidate",AW438="proposed_name")),U438=""),"missing final_geo_unit_id; ","")&amp;IF(AW438="","missing final_destination; ","")&amp;IF(AND(NOT(OR(B438="to_candidate",AW438="proposed_name")),(COUNTIFS('أرقام التواصل'!$A$6:$A$505,"client",'أرقام التواصل'!$B$6:$B$505,A438,'أرقام التواصل'!$I$6:$I$505,"TRUE")+COUNTIFS('أرقام التواصل'!$A$6:$A$505,"client",'أرقام التواصل'!$B$6:$B$505,A438,'أرقام التواصل'!$C$6:$C$505,1))=0),"missing primary contact in أرقام التواصل; ","")&amp;IF(OR(B438="to_candidate",AW438="proposed_name"),IF(AX438="","missing proposed_move_reason; ","")&amp;IF(AY438="","missing proposed_name_key; ",""),"")))))</x:f>
      </x:c>
    </x:row>
    <x:row r="439">
      <x:c r="A439" s="219"/>
      <x:c r="B439" s="220"/>
      <x:c r="C439" s="221"/>
      <x:c r="D439" s="220"/>
      <x:c r="E439" s="222"/>
      <x:c r="F439" s="220"/>
      <x:c r="G439" s="220"/>
      <x:c r="H439" s="220"/>
      <x:c r="I439" s="220"/>
      <x:c r="J439" s="220"/>
      <x:c r="K439" s="220"/>
      <x:c r="L439" s="220" t="str">
        <x:f>IF(TRIM(H439&amp;" "&amp;I439&amp;" "&amp;J439&amp;IF(K439&lt;&gt;""," ("&amp;K439&amp;")",""))="","",TRIM(H439&amp;" "&amp;I439&amp;" "&amp;J439&amp;IF(K439&lt;&gt;""," ("&amp;K439&amp;")","")))</x:f>
      </x:c>
      <x:c r="M439" s="220"/>
      <x:c r="N439" s="220"/>
      <x:c r="O439" s="220"/>
      <x:c r="P439" s="220"/>
      <x:c r="Q439" s="220"/>
      <x:c r="R439" s="220"/>
      <x:c r="S439" s="220"/>
      <x:c r="T439" s="220"/>
      <x:c r="U439" s="220" t="str">
        <x:f>IF(AND(M439="",O439="",Q439="",S439=""),"",IF(S439&lt;&gt;"",S439,IF(Q439&lt;&gt;"",Q439,IF(O439&lt;&gt;"",O439,M439))))</x:f>
      </x:c>
      <x:c r="V439" s="220" t="str">
        <x:f>IF(AND(N439="",P439="",R439="",T439=""),"",IF(T439&lt;&gt;"",T439,IF(R439&lt;&gt;"",R439,IF(P439&lt;&gt;"",P439,N439))))</x:f>
      </x:c>
      <x:c r="W439" s="221"/>
      <x:c r="X439" s="220"/>
      <x:c r="Y439" s="220"/>
      <x:c r="Z439" s="223"/>
      <x:c r="AA439" s="223"/>
      <x:c r="AB439" s="221"/>
      <x:c r="AC439" s="220"/>
      <x:c r="AD439" s="220"/>
      <x:c r="AE439" s="222"/>
      <x:c r="AF439" s="220"/>
      <x:c r="AG439" s="221"/>
      <x:c r="AH439" s="220"/>
      <x:c r="AI439" s="220"/>
      <x:c r="AJ439" s="222"/>
      <x:c r="AK439" s="220"/>
      <x:c r="AL439" s="220"/>
      <x:c r="AM439" s="220"/>
      <x:c r="AN439" s="220"/>
      <x:c r="AO439" s="220"/>
      <x:c r="AP439" s="220"/>
      <x:c r="AQ439" s="220"/>
      <x:c r="AR439" s="222"/>
      <x:c r="AS439" s="220"/>
      <x:c r="AT439" s="220"/>
      <x:c r="AU439" s="220"/>
      <x:c r="AV439" s="220"/>
      <x:c r="AW439" s="220"/>
      <x:c r="AX439" s="220"/>
      <x:c r="AY439" s="221"/>
      <x:c r="AZ439" s="220"/>
      <x:c r="BA439" s="220" t="str">
        <x:f>IF(AND(A439="",B439="",F439="",H439="",J439="",AW439="",AY439=""),"",IF(OR(B439="skip",AW439="skip"),"SKIP",IF(OR(B439="to_candidate",AW439="proposed_name"),IF(OR(A439="",AX439="",AY439="",COUNTIF($A$6:$A$505,A439)&gt;1),"REVIEW","TO_PROPOSED"),IF(OR(B439="",A439="",F439="",H439="",J439="",U439="",AW439="",COUNTIF($A$6:$A$505,A439)&gt;1,(COUNTIFS('أرقام التواصل'!$A$6:$A$505,"client",'أرقام التواصل'!$B$6:$B$505,A439,'أرقام التواصل'!$I$6:$I$505,"TRUE")+COUNTIFS('أرقام التواصل'!$A$6:$A$505,"client",'أرقام التواصل'!$B$6:$B$505,A439,'أرقام التواصل'!$C$6:$C$505,1))=0),"REVIEW","READY"))))</x:f>
      </x:c>
      <x:c r="BB439" s="224" t="str">
        <x:f>IF(BA439="","",IF(OR(BA439="READY",BA439="TO_PROPOSED"),"",IF(BA439="SKIP","Skipped by decision",TRIM(IF(B439="","missing import_action; ","")&amp;IF(A439="","missing migration_customer_key; ","")&amp;IF(AND(A439&lt;&gt;"",COUNTIF($A$6:$A$505,A439)&gt;1),"duplicate migration_customer_key; ","")&amp;IF(AND(NOT(OR(B439="to_candidate",AW439="proposed_name")),F439=""),"missing branch_id; ","")&amp;IF(AND(NOT(OR(B439="to_candidate",AW439="proposed_name")),H439=""),"missing first_name; ","")&amp;IF(AND(NOT(OR(B439="to_candidate",AW439="proposed_name")),J439=""),"missing last_name; ","")&amp;IF(AND(NOT(OR(B439="to_candidate",AW439="proposed_name")),U439=""),"missing final_geo_unit_id; ","")&amp;IF(AW439="","missing final_destination; ","")&amp;IF(AND(NOT(OR(B439="to_candidate",AW439="proposed_name")),(COUNTIFS('أرقام التواصل'!$A$6:$A$505,"client",'أرقام التواصل'!$B$6:$B$505,A439,'أرقام التواصل'!$I$6:$I$505,"TRUE")+COUNTIFS('أرقام التواصل'!$A$6:$A$505,"client",'أرقام التواصل'!$B$6:$B$505,A439,'أرقام التواصل'!$C$6:$C$505,1))=0),"missing primary contact in أرقام التواصل; ","")&amp;IF(OR(B439="to_candidate",AW439="proposed_name"),IF(AX439="","missing proposed_move_reason; ","")&amp;IF(AY439="","missing proposed_name_key; ",""),"")))))</x:f>
      </x:c>
    </x:row>
    <x:row r="440">
      <x:c r="A440" s="219"/>
      <x:c r="B440" s="220"/>
      <x:c r="C440" s="221"/>
      <x:c r="D440" s="220"/>
      <x:c r="E440" s="222"/>
      <x:c r="F440" s="220"/>
      <x:c r="G440" s="220"/>
      <x:c r="H440" s="220"/>
      <x:c r="I440" s="220"/>
      <x:c r="J440" s="220"/>
      <x:c r="K440" s="220"/>
      <x:c r="L440" s="220" t="str">
        <x:f>IF(TRIM(H440&amp;" "&amp;I440&amp;" "&amp;J440&amp;IF(K440&lt;&gt;""," ("&amp;K440&amp;")",""))="","",TRIM(H440&amp;" "&amp;I440&amp;" "&amp;J440&amp;IF(K440&lt;&gt;""," ("&amp;K440&amp;")","")))</x:f>
      </x:c>
      <x:c r="M440" s="220"/>
      <x:c r="N440" s="220"/>
      <x:c r="O440" s="220"/>
      <x:c r="P440" s="220"/>
      <x:c r="Q440" s="220"/>
      <x:c r="R440" s="220"/>
      <x:c r="S440" s="220"/>
      <x:c r="T440" s="220"/>
      <x:c r="U440" s="220" t="str">
        <x:f>IF(AND(M440="",O440="",Q440="",S440=""),"",IF(S440&lt;&gt;"",S440,IF(Q440&lt;&gt;"",Q440,IF(O440&lt;&gt;"",O440,M440))))</x:f>
      </x:c>
      <x:c r="V440" s="220" t="str">
        <x:f>IF(AND(N440="",P440="",R440="",T440=""),"",IF(T440&lt;&gt;"",T440,IF(R440&lt;&gt;"",R440,IF(P440&lt;&gt;"",P440,N440))))</x:f>
      </x:c>
      <x:c r="W440" s="221"/>
      <x:c r="X440" s="220"/>
      <x:c r="Y440" s="220"/>
      <x:c r="Z440" s="223"/>
      <x:c r="AA440" s="223"/>
      <x:c r="AB440" s="221"/>
      <x:c r="AC440" s="220"/>
      <x:c r="AD440" s="220"/>
      <x:c r="AE440" s="222"/>
      <x:c r="AF440" s="220"/>
      <x:c r="AG440" s="221"/>
      <x:c r="AH440" s="220"/>
      <x:c r="AI440" s="220"/>
      <x:c r="AJ440" s="222"/>
      <x:c r="AK440" s="220"/>
      <x:c r="AL440" s="220"/>
      <x:c r="AM440" s="220"/>
      <x:c r="AN440" s="220"/>
      <x:c r="AO440" s="220"/>
      <x:c r="AP440" s="220"/>
      <x:c r="AQ440" s="220"/>
      <x:c r="AR440" s="222"/>
      <x:c r="AS440" s="220"/>
      <x:c r="AT440" s="220"/>
      <x:c r="AU440" s="220"/>
      <x:c r="AV440" s="220"/>
      <x:c r="AW440" s="220"/>
      <x:c r="AX440" s="220"/>
      <x:c r="AY440" s="221"/>
      <x:c r="AZ440" s="220"/>
      <x:c r="BA440" s="220" t="str">
        <x:f>IF(AND(A440="",B440="",F440="",H440="",J440="",AW440="",AY440=""),"",IF(OR(B440="skip",AW440="skip"),"SKIP",IF(OR(B440="to_candidate",AW440="proposed_name"),IF(OR(A440="",AX440="",AY440="",COUNTIF($A$6:$A$505,A440)&gt;1),"REVIEW","TO_PROPOSED"),IF(OR(B440="",A440="",F440="",H440="",J440="",U440="",AW440="",COUNTIF($A$6:$A$505,A440)&gt;1,(COUNTIFS('أرقام التواصل'!$A$6:$A$505,"client",'أرقام التواصل'!$B$6:$B$505,A440,'أرقام التواصل'!$I$6:$I$505,"TRUE")+COUNTIFS('أرقام التواصل'!$A$6:$A$505,"client",'أرقام التواصل'!$B$6:$B$505,A440,'أرقام التواصل'!$C$6:$C$505,1))=0),"REVIEW","READY"))))</x:f>
      </x:c>
      <x:c r="BB440" s="224" t="str">
        <x:f>IF(BA440="","",IF(OR(BA440="READY",BA440="TO_PROPOSED"),"",IF(BA440="SKIP","Skipped by decision",TRIM(IF(B440="","missing import_action; ","")&amp;IF(A440="","missing migration_customer_key; ","")&amp;IF(AND(A440&lt;&gt;"",COUNTIF($A$6:$A$505,A440)&gt;1),"duplicate migration_customer_key; ","")&amp;IF(AND(NOT(OR(B440="to_candidate",AW440="proposed_name")),F440=""),"missing branch_id; ","")&amp;IF(AND(NOT(OR(B440="to_candidate",AW440="proposed_name")),H440=""),"missing first_name; ","")&amp;IF(AND(NOT(OR(B440="to_candidate",AW440="proposed_name")),J440=""),"missing last_name; ","")&amp;IF(AND(NOT(OR(B440="to_candidate",AW440="proposed_name")),U440=""),"missing final_geo_unit_id; ","")&amp;IF(AW440="","missing final_destination; ","")&amp;IF(AND(NOT(OR(B440="to_candidate",AW440="proposed_name")),(COUNTIFS('أرقام التواصل'!$A$6:$A$505,"client",'أرقام التواصل'!$B$6:$B$505,A440,'أرقام التواصل'!$I$6:$I$505,"TRUE")+COUNTIFS('أرقام التواصل'!$A$6:$A$505,"client",'أرقام التواصل'!$B$6:$B$505,A440,'أرقام التواصل'!$C$6:$C$505,1))=0),"missing primary contact in أرقام التواصل; ","")&amp;IF(OR(B440="to_candidate",AW440="proposed_name"),IF(AX440="","missing proposed_move_reason; ","")&amp;IF(AY440="","missing proposed_name_key; ",""),"")))))</x:f>
      </x:c>
    </x:row>
    <x:row r="441">
      <x:c r="A441" s="219"/>
      <x:c r="B441" s="220"/>
      <x:c r="C441" s="221"/>
      <x:c r="D441" s="220"/>
      <x:c r="E441" s="222"/>
      <x:c r="F441" s="220"/>
      <x:c r="G441" s="220"/>
      <x:c r="H441" s="220"/>
      <x:c r="I441" s="220"/>
      <x:c r="J441" s="220"/>
      <x:c r="K441" s="220"/>
      <x:c r="L441" s="220" t="str">
        <x:f>IF(TRIM(H441&amp;" "&amp;I441&amp;" "&amp;J441&amp;IF(K441&lt;&gt;""," ("&amp;K441&amp;")",""))="","",TRIM(H441&amp;" "&amp;I441&amp;" "&amp;J441&amp;IF(K441&lt;&gt;""," ("&amp;K441&amp;")","")))</x:f>
      </x:c>
      <x:c r="M441" s="220"/>
      <x:c r="N441" s="220"/>
      <x:c r="O441" s="220"/>
      <x:c r="P441" s="220"/>
      <x:c r="Q441" s="220"/>
      <x:c r="R441" s="220"/>
      <x:c r="S441" s="220"/>
      <x:c r="T441" s="220"/>
      <x:c r="U441" s="220" t="str">
        <x:f>IF(AND(M441="",O441="",Q441="",S441=""),"",IF(S441&lt;&gt;"",S441,IF(Q441&lt;&gt;"",Q441,IF(O441&lt;&gt;"",O441,M441))))</x:f>
      </x:c>
      <x:c r="V441" s="220" t="str">
        <x:f>IF(AND(N441="",P441="",R441="",T441=""),"",IF(T441&lt;&gt;"",T441,IF(R441&lt;&gt;"",R441,IF(P441&lt;&gt;"",P441,N441))))</x:f>
      </x:c>
      <x:c r="W441" s="221"/>
      <x:c r="X441" s="220"/>
      <x:c r="Y441" s="220"/>
      <x:c r="Z441" s="223"/>
      <x:c r="AA441" s="223"/>
      <x:c r="AB441" s="221"/>
      <x:c r="AC441" s="220"/>
      <x:c r="AD441" s="220"/>
      <x:c r="AE441" s="222"/>
      <x:c r="AF441" s="220"/>
      <x:c r="AG441" s="221"/>
      <x:c r="AH441" s="220"/>
      <x:c r="AI441" s="220"/>
      <x:c r="AJ441" s="222"/>
      <x:c r="AK441" s="220"/>
      <x:c r="AL441" s="220"/>
      <x:c r="AM441" s="220"/>
      <x:c r="AN441" s="220"/>
      <x:c r="AO441" s="220"/>
      <x:c r="AP441" s="220"/>
      <x:c r="AQ441" s="220"/>
      <x:c r="AR441" s="222"/>
      <x:c r="AS441" s="220"/>
      <x:c r="AT441" s="220"/>
      <x:c r="AU441" s="220"/>
      <x:c r="AV441" s="220"/>
      <x:c r="AW441" s="220"/>
      <x:c r="AX441" s="220"/>
      <x:c r="AY441" s="221"/>
      <x:c r="AZ441" s="220"/>
      <x:c r="BA441" s="220" t="str">
        <x:f>IF(AND(A441="",B441="",F441="",H441="",J441="",AW441="",AY441=""),"",IF(OR(B441="skip",AW441="skip"),"SKIP",IF(OR(B441="to_candidate",AW441="proposed_name"),IF(OR(A441="",AX441="",AY441="",COUNTIF($A$6:$A$505,A441)&gt;1),"REVIEW","TO_PROPOSED"),IF(OR(B441="",A441="",F441="",H441="",J441="",U441="",AW441="",COUNTIF($A$6:$A$505,A441)&gt;1,(COUNTIFS('أرقام التواصل'!$A$6:$A$505,"client",'أرقام التواصل'!$B$6:$B$505,A441,'أرقام التواصل'!$I$6:$I$505,"TRUE")+COUNTIFS('أرقام التواصل'!$A$6:$A$505,"client",'أرقام التواصل'!$B$6:$B$505,A441,'أرقام التواصل'!$C$6:$C$505,1))=0),"REVIEW","READY"))))</x:f>
      </x:c>
      <x:c r="BB441" s="224" t="str">
        <x:f>IF(BA441="","",IF(OR(BA441="READY",BA441="TO_PROPOSED"),"",IF(BA441="SKIP","Skipped by decision",TRIM(IF(B441="","missing import_action; ","")&amp;IF(A441="","missing migration_customer_key; ","")&amp;IF(AND(A441&lt;&gt;"",COUNTIF($A$6:$A$505,A441)&gt;1),"duplicate migration_customer_key; ","")&amp;IF(AND(NOT(OR(B441="to_candidate",AW441="proposed_name")),F441=""),"missing branch_id; ","")&amp;IF(AND(NOT(OR(B441="to_candidate",AW441="proposed_name")),H441=""),"missing first_name; ","")&amp;IF(AND(NOT(OR(B441="to_candidate",AW441="proposed_name")),J441=""),"missing last_name; ","")&amp;IF(AND(NOT(OR(B441="to_candidate",AW441="proposed_name")),U441=""),"missing final_geo_unit_id; ","")&amp;IF(AW441="","missing final_destination; ","")&amp;IF(AND(NOT(OR(B441="to_candidate",AW441="proposed_name")),(COUNTIFS('أرقام التواصل'!$A$6:$A$505,"client",'أرقام التواصل'!$B$6:$B$505,A441,'أرقام التواصل'!$I$6:$I$505,"TRUE")+COUNTIFS('أرقام التواصل'!$A$6:$A$505,"client",'أرقام التواصل'!$B$6:$B$505,A441,'أرقام التواصل'!$C$6:$C$505,1))=0),"missing primary contact in أرقام التواصل; ","")&amp;IF(OR(B441="to_candidate",AW441="proposed_name"),IF(AX441="","missing proposed_move_reason; ","")&amp;IF(AY441="","missing proposed_name_key; ",""),"")))))</x:f>
      </x:c>
    </x:row>
    <x:row r="442">
      <x:c r="A442" s="219"/>
      <x:c r="B442" s="220"/>
      <x:c r="C442" s="221"/>
      <x:c r="D442" s="220"/>
      <x:c r="E442" s="222"/>
      <x:c r="F442" s="220"/>
      <x:c r="G442" s="220"/>
      <x:c r="H442" s="220"/>
      <x:c r="I442" s="220"/>
      <x:c r="J442" s="220"/>
      <x:c r="K442" s="220"/>
      <x:c r="L442" s="220" t="str">
        <x:f>IF(TRIM(H442&amp;" "&amp;I442&amp;" "&amp;J442&amp;IF(K442&lt;&gt;""," ("&amp;K442&amp;")",""))="","",TRIM(H442&amp;" "&amp;I442&amp;" "&amp;J442&amp;IF(K442&lt;&gt;""," ("&amp;K442&amp;")","")))</x:f>
      </x:c>
      <x:c r="M442" s="220"/>
      <x:c r="N442" s="220"/>
      <x:c r="O442" s="220"/>
      <x:c r="P442" s="220"/>
      <x:c r="Q442" s="220"/>
      <x:c r="R442" s="220"/>
      <x:c r="S442" s="220"/>
      <x:c r="T442" s="220"/>
      <x:c r="U442" s="220" t="str">
        <x:f>IF(AND(M442="",O442="",Q442="",S442=""),"",IF(S442&lt;&gt;"",S442,IF(Q442&lt;&gt;"",Q442,IF(O442&lt;&gt;"",O442,M442))))</x:f>
      </x:c>
      <x:c r="V442" s="220" t="str">
        <x:f>IF(AND(N442="",P442="",R442="",T442=""),"",IF(T442&lt;&gt;"",T442,IF(R442&lt;&gt;"",R442,IF(P442&lt;&gt;"",P442,N442))))</x:f>
      </x:c>
      <x:c r="W442" s="221"/>
      <x:c r="X442" s="220"/>
      <x:c r="Y442" s="220"/>
      <x:c r="Z442" s="223"/>
      <x:c r="AA442" s="223"/>
      <x:c r="AB442" s="221"/>
      <x:c r="AC442" s="220"/>
      <x:c r="AD442" s="220"/>
      <x:c r="AE442" s="222"/>
      <x:c r="AF442" s="220"/>
      <x:c r="AG442" s="221"/>
      <x:c r="AH442" s="220"/>
      <x:c r="AI442" s="220"/>
      <x:c r="AJ442" s="222"/>
      <x:c r="AK442" s="220"/>
      <x:c r="AL442" s="220"/>
      <x:c r="AM442" s="220"/>
      <x:c r="AN442" s="220"/>
      <x:c r="AO442" s="220"/>
      <x:c r="AP442" s="220"/>
      <x:c r="AQ442" s="220"/>
      <x:c r="AR442" s="222"/>
      <x:c r="AS442" s="220"/>
      <x:c r="AT442" s="220"/>
      <x:c r="AU442" s="220"/>
      <x:c r="AV442" s="220"/>
      <x:c r="AW442" s="220"/>
      <x:c r="AX442" s="220"/>
      <x:c r="AY442" s="221"/>
      <x:c r="AZ442" s="220"/>
      <x:c r="BA442" s="220" t="str">
        <x:f>IF(AND(A442="",B442="",F442="",H442="",J442="",AW442="",AY442=""),"",IF(OR(B442="skip",AW442="skip"),"SKIP",IF(OR(B442="to_candidate",AW442="proposed_name"),IF(OR(A442="",AX442="",AY442="",COUNTIF($A$6:$A$505,A442)&gt;1),"REVIEW","TO_PROPOSED"),IF(OR(B442="",A442="",F442="",H442="",J442="",U442="",AW442="",COUNTIF($A$6:$A$505,A442)&gt;1,(COUNTIFS('أرقام التواصل'!$A$6:$A$505,"client",'أرقام التواصل'!$B$6:$B$505,A442,'أرقام التواصل'!$I$6:$I$505,"TRUE")+COUNTIFS('أرقام التواصل'!$A$6:$A$505,"client",'أرقام التواصل'!$B$6:$B$505,A442,'أرقام التواصل'!$C$6:$C$505,1))=0),"REVIEW","READY"))))</x:f>
      </x:c>
      <x:c r="BB442" s="224" t="str">
        <x:f>IF(BA442="","",IF(OR(BA442="READY",BA442="TO_PROPOSED"),"",IF(BA442="SKIP","Skipped by decision",TRIM(IF(B442="","missing import_action; ","")&amp;IF(A442="","missing migration_customer_key; ","")&amp;IF(AND(A442&lt;&gt;"",COUNTIF($A$6:$A$505,A442)&gt;1),"duplicate migration_customer_key; ","")&amp;IF(AND(NOT(OR(B442="to_candidate",AW442="proposed_name")),F442=""),"missing branch_id; ","")&amp;IF(AND(NOT(OR(B442="to_candidate",AW442="proposed_name")),H442=""),"missing first_name; ","")&amp;IF(AND(NOT(OR(B442="to_candidate",AW442="proposed_name")),J442=""),"missing last_name; ","")&amp;IF(AND(NOT(OR(B442="to_candidate",AW442="proposed_name")),U442=""),"missing final_geo_unit_id; ","")&amp;IF(AW442="","missing final_destination; ","")&amp;IF(AND(NOT(OR(B442="to_candidate",AW442="proposed_name")),(COUNTIFS('أرقام التواصل'!$A$6:$A$505,"client",'أرقام التواصل'!$B$6:$B$505,A442,'أرقام التواصل'!$I$6:$I$505,"TRUE")+COUNTIFS('أرقام التواصل'!$A$6:$A$505,"client",'أرقام التواصل'!$B$6:$B$505,A442,'أرقام التواصل'!$C$6:$C$505,1))=0),"missing primary contact in أرقام التواصل; ","")&amp;IF(OR(B442="to_candidate",AW442="proposed_name"),IF(AX442="","missing proposed_move_reason; ","")&amp;IF(AY442="","missing proposed_name_key; ",""),"")))))</x:f>
      </x:c>
    </x:row>
    <x:row r="443">
      <x:c r="A443" s="219"/>
      <x:c r="B443" s="220"/>
      <x:c r="C443" s="221"/>
      <x:c r="D443" s="220"/>
      <x:c r="E443" s="222"/>
      <x:c r="F443" s="220"/>
      <x:c r="G443" s="220"/>
      <x:c r="H443" s="220"/>
      <x:c r="I443" s="220"/>
      <x:c r="J443" s="220"/>
      <x:c r="K443" s="220"/>
      <x:c r="L443" s="220" t="str">
        <x:f>IF(TRIM(H443&amp;" "&amp;I443&amp;" "&amp;J443&amp;IF(K443&lt;&gt;""," ("&amp;K443&amp;")",""))="","",TRIM(H443&amp;" "&amp;I443&amp;" "&amp;J443&amp;IF(K443&lt;&gt;""," ("&amp;K443&amp;")","")))</x:f>
      </x:c>
      <x:c r="M443" s="220"/>
      <x:c r="N443" s="220"/>
      <x:c r="O443" s="220"/>
      <x:c r="P443" s="220"/>
      <x:c r="Q443" s="220"/>
      <x:c r="R443" s="220"/>
      <x:c r="S443" s="220"/>
      <x:c r="T443" s="220"/>
      <x:c r="U443" s="220" t="str">
        <x:f>IF(AND(M443="",O443="",Q443="",S443=""),"",IF(S443&lt;&gt;"",S443,IF(Q443&lt;&gt;"",Q443,IF(O443&lt;&gt;"",O443,M443))))</x:f>
      </x:c>
      <x:c r="V443" s="220" t="str">
        <x:f>IF(AND(N443="",P443="",R443="",T443=""),"",IF(T443&lt;&gt;"",T443,IF(R443&lt;&gt;"",R443,IF(P443&lt;&gt;"",P443,N443))))</x:f>
      </x:c>
      <x:c r="W443" s="221"/>
      <x:c r="X443" s="220"/>
      <x:c r="Y443" s="220"/>
      <x:c r="Z443" s="223"/>
      <x:c r="AA443" s="223"/>
      <x:c r="AB443" s="221"/>
      <x:c r="AC443" s="220"/>
      <x:c r="AD443" s="220"/>
      <x:c r="AE443" s="222"/>
      <x:c r="AF443" s="220"/>
      <x:c r="AG443" s="221"/>
      <x:c r="AH443" s="220"/>
      <x:c r="AI443" s="220"/>
      <x:c r="AJ443" s="222"/>
      <x:c r="AK443" s="220"/>
      <x:c r="AL443" s="220"/>
      <x:c r="AM443" s="220"/>
      <x:c r="AN443" s="220"/>
      <x:c r="AO443" s="220"/>
      <x:c r="AP443" s="220"/>
      <x:c r="AQ443" s="220"/>
      <x:c r="AR443" s="222"/>
      <x:c r="AS443" s="220"/>
      <x:c r="AT443" s="220"/>
      <x:c r="AU443" s="220"/>
      <x:c r="AV443" s="220"/>
      <x:c r="AW443" s="220"/>
      <x:c r="AX443" s="220"/>
      <x:c r="AY443" s="221"/>
      <x:c r="AZ443" s="220"/>
      <x:c r="BA443" s="220" t="str">
        <x:f>IF(AND(A443="",B443="",F443="",H443="",J443="",AW443="",AY443=""),"",IF(OR(B443="skip",AW443="skip"),"SKIP",IF(OR(B443="to_candidate",AW443="proposed_name"),IF(OR(A443="",AX443="",AY443="",COUNTIF($A$6:$A$505,A443)&gt;1),"REVIEW","TO_PROPOSED"),IF(OR(B443="",A443="",F443="",H443="",J443="",U443="",AW443="",COUNTIF($A$6:$A$505,A443)&gt;1,(COUNTIFS('أرقام التواصل'!$A$6:$A$505,"client",'أرقام التواصل'!$B$6:$B$505,A443,'أرقام التواصل'!$I$6:$I$505,"TRUE")+COUNTIFS('أرقام التواصل'!$A$6:$A$505,"client",'أرقام التواصل'!$B$6:$B$505,A443,'أرقام التواصل'!$C$6:$C$505,1))=0),"REVIEW","READY"))))</x:f>
      </x:c>
      <x:c r="BB443" s="224" t="str">
        <x:f>IF(BA443="","",IF(OR(BA443="READY",BA443="TO_PROPOSED"),"",IF(BA443="SKIP","Skipped by decision",TRIM(IF(B443="","missing import_action; ","")&amp;IF(A443="","missing migration_customer_key; ","")&amp;IF(AND(A443&lt;&gt;"",COUNTIF($A$6:$A$505,A443)&gt;1),"duplicate migration_customer_key; ","")&amp;IF(AND(NOT(OR(B443="to_candidate",AW443="proposed_name")),F443=""),"missing branch_id; ","")&amp;IF(AND(NOT(OR(B443="to_candidate",AW443="proposed_name")),H443=""),"missing first_name; ","")&amp;IF(AND(NOT(OR(B443="to_candidate",AW443="proposed_name")),J443=""),"missing last_name; ","")&amp;IF(AND(NOT(OR(B443="to_candidate",AW443="proposed_name")),U443=""),"missing final_geo_unit_id; ","")&amp;IF(AW443="","missing final_destination; ","")&amp;IF(AND(NOT(OR(B443="to_candidate",AW443="proposed_name")),(COUNTIFS('أرقام التواصل'!$A$6:$A$505,"client",'أرقام التواصل'!$B$6:$B$505,A443,'أرقام التواصل'!$I$6:$I$505,"TRUE")+COUNTIFS('أرقام التواصل'!$A$6:$A$505,"client",'أرقام التواصل'!$B$6:$B$505,A443,'أرقام التواصل'!$C$6:$C$505,1))=0),"missing primary contact in أرقام التواصل; ","")&amp;IF(OR(B443="to_candidate",AW443="proposed_name"),IF(AX443="","missing proposed_move_reason; ","")&amp;IF(AY443="","missing proposed_name_key; ",""),"")))))</x:f>
      </x:c>
    </x:row>
    <x:row r="444">
      <x:c r="A444" s="219"/>
      <x:c r="B444" s="220"/>
      <x:c r="C444" s="221"/>
      <x:c r="D444" s="220"/>
      <x:c r="E444" s="222"/>
      <x:c r="F444" s="220"/>
      <x:c r="G444" s="220"/>
      <x:c r="H444" s="220"/>
      <x:c r="I444" s="220"/>
      <x:c r="J444" s="220"/>
      <x:c r="K444" s="220"/>
      <x:c r="L444" s="220" t="str">
        <x:f>IF(TRIM(H444&amp;" "&amp;I444&amp;" "&amp;J444&amp;IF(K444&lt;&gt;""," ("&amp;K444&amp;")",""))="","",TRIM(H444&amp;" "&amp;I444&amp;" "&amp;J444&amp;IF(K444&lt;&gt;""," ("&amp;K444&amp;")","")))</x:f>
      </x:c>
      <x:c r="M444" s="220"/>
      <x:c r="N444" s="220"/>
      <x:c r="O444" s="220"/>
      <x:c r="P444" s="220"/>
      <x:c r="Q444" s="220"/>
      <x:c r="R444" s="220"/>
      <x:c r="S444" s="220"/>
      <x:c r="T444" s="220"/>
      <x:c r="U444" s="220" t="str">
        <x:f>IF(AND(M444="",O444="",Q444="",S444=""),"",IF(S444&lt;&gt;"",S444,IF(Q444&lt;&gt;"",Q444,IF(O444&lt;&gt;"",O444,M444))))</x:f>
      </x:c>
      <x:c r="V444" s="220" t="str">
        <x:f>IF(AND(N444="",P444="",R444="",T444=""),"",IF(T444&lt;&gt;"",T444,IF(R444&lt;&gt;"",R444,IF(P444&lt;&gt;"",P444,N444))))</x:f>
      </x:c>
      <x:c r="W444" s="221"/>
      <x:c r="X444" s="220"/>
      <x:c r="Y444" s="220"/>
      <x:c r="Z444" s="223"/>
      <x:c r="AA444" s="223"/>
      <x:c r="AB444" s="221"/>
      <x:c r="AC444" s="220"/>
      <x:c r="AD444" s="220"/>
      <x:c r="AE444" s="222"/>
      <x:c r="AF444" s="220"/>
      <x:c r="AG444" s="221"/>
      <x:c r="AH444" s="220"/>
      <x:c r="AI444" s="220"/>
      <x:c r="AJ444" s="222"/>
      <x:c r="AK444" s="220"/>
      <x:c r="AL444" s="220"/>
      <x:c r="AM444" s="220"/>
      <x:c r="AN444" s="220"/>
      <x:c r="AO444" s="220"/>
      <x:c r="AP444" s="220"/>
      <x:c r="AQ444" s="220"/>
      <x:c r="AR444" s="222"/>
      <x:c r="AS444" s="220"/>
      <x:c r="AT444" s="220"/>
      <x:c r="AU444" s="220"/>
      <x:c r="AV444" s="220"/>
      <x:c r="AW444" s="220"/>
      <x:c r="AX444" s="220"/>
      <x:c r="AY444" s="221"/>
      <x:c r="AZ444" s="220"/>
      <x:c r="BA444" s="220" t="str">
        <x:f>IF(AND(A444="",B444="",F444="",H444="",J444="",AW444="",AY444=""),"",IF(OR(B444="skip",AW444="skip"),"SKIP",IF(OR(B444="to_candidate",AW444="proposed_name"),IF(OR(A444="",AX444="",AY444="",COUNTIF($A$6:$A$505,A444)&gt;1),"REVIEW","TO_PROPOSED"),IF(OR(B444="",A444="",F444="",H444="",J444="",U444="",AW444="",COUNTIF($A$6:$A$505,A444)&gt;1,(COUNTIFS('أرقام التواصل'!$A$6:$A$505,"client",'أرقام التواصل'!$B$6:$B$505,A444,'أرقام التواصل'!$I$6:$I$505,"TRUE")+COUNTIFS('أرقام التواصل'!$A$6:$A$505,"client",'أرقام التواصل'!$B$6:$B$505,A444,'أرقام التواصل'!$C$6:$C$505,1))=0),"REVIEW","READY"))))</x:f>
      </x:c>
      <x:c r="BB444" s="224" t="str">
        <x:f>IF(BA444="","",IF(OR(BA444="READY",BA444="TO_PROPOSED"),"",IF(BA444="SKIP","Skipped by decision",TRIM(IF(B444="","missing import_action; ","")&amp;IF(A444="","missing migration_customer_key; ","")&amp;IF(AND(A444&lt;&gt;"",COUNTIF($A$6:$A$505,A444)&gt;1),"duplicate migration_customer_key; ","")&amp;IF(AND(NOT(OR(B444="to_candidate",AW444="proposed_name")),F444=""),"missing branch_id; ","")&amp;IF(AND(NOT(OR(B444="to_candidate",AW444="proposed_name")),H444=""),"missing first_name; ","")&amp;IF(AND(NOT(OR(B444="to_candidate",AW444="proposed_name")),J444=""),"missing last_name; ","")&amp;IF(AND(NOT(OR(B444="to_candidate",AW444="proposed_name")),U444=""),"missing final_geo_unit_id; ","")&amp;IF(AW444="","missing final_destination; ","")&amp;IF(AND(NOT(OR(B444="to_candidate",AW444="proposed_name")),(COUNTIFS('أرقام التواصل'!$A$6:$A$505,"client",'أرقام التواصل'!$B$6:$B$505,A444,'أرقام التواصل'!$I$6:$I$505,"TRUE")+COUNTIFS('أرقام التواصل'!$A$6:$A$505,"client",'أرقام التواصل'!$B$6:$B$505,A444,'أرقام التواصل'!$C$6:$C$505,1))=0),"missing primary contact in أرقام التواصل; ","")&amp;IF(OR(B444="to_candidate",AW444="proposed_name"),IF(AX444="","missing proposed_move_reason; ","")&amp;IF(AY444="","missing proposed_name_key; ",""),"")))))</x:f>
      </x:c>
    </x:row>
    <x:row r="445">
      <x:c r="A445" s="219"/>
      <x:c r="B445" s="220"/>
      <x:c r="C445" s="221"/>
      <x:c r="D445" s="220"/>
      <x:c r="E445" s="222"/>
      <x:c r="F445" s="220"/>
      <x:c r="G445" s="220"/>
      <x:c r="H445" s="220"/>
      <x:c r="I445" s="220"/>
      <x:c r="J445" s="220"/>
      <x:c r="K445" s="220"/>
      <x:c r="L445" s="220" t="str">
        <x:f>IF(TRIM(H445&amp;" "&amp;I445&amp;" "&amp;J445&amp;IF(K445&lt;&gt;""," ("&amp;K445&amp;")",""))="","",TRIM(H445&amp;" "&amp;I445&amp;" "&amp;J445&amp;IF(K445&lt;&gt;""," ("&amp;K445&amp;")","")))</x:f>
      </x:c>
      <x:c r="M445" s="220"/>
      <x:c r="N445" s="220"/>
      <x:c r="O445" s="220"/>
      <x:c r="P445" s="220"/>
      <x:c r="Q445" s="220"/>
      <x:c r="R445" s="220"/>
      <x:c r="S445" s="220"/>
      <x:c r="T445" s="220"/>
      <x:c r="U445" s="220" t="str">
        <x:f>IF(AND(M445="",O445="",Q445="",S445=""),"",IF(S445&lt;&gt;"",S445,IF(Q445&lt;&gt;"",Q445,IF(O445&lt;&gt;"",O445,M445))))</x:f>
      </x:c>
      <x:c r="V445" s="220" t="str">
        <x:f>IF(AND(N445="",P445="",R445="",T445=""),"",IF(T445&lt;&gt;"",T445,IF(R445&lt;&gt;"",R445,IF(P445&lt;&gt;"",P445,N445))))</x:f>
      </x:c>
      <x:c r="W445" s="221"/>
      <x:c r="X445" s="220"/>
      <x:c r="Y445" s="220"/>
      <x:c r="Z445" s="223"/>
      <x:c r="AA445" s="223"/>
      <x:c r="AB445" s="221"/>
      <x:c r="AC445" s="220"/>
      <x:c r="AD445" s="220"/>
      <x:c r="AE445" s="222"/>
      <x:c r="AF445" s="220"/>
      <x:c r="AG445" s="221"/>
      <x:c r="AH445" s="220"/>
      <x:c r="AI445" s="220"/>
      <x:c r="AJ445" s="222"/>
      <x:c r="AK445" s="220"/>
      <x:c r="AL445" s="220"/>
      <x:c r="AM445" s="220"/>
      <x:c r="AN445" s="220"/>
      <x:c r="AO445" s="220"/>
      <x:c r="AP445" s="220"/>
      <x:c r="AQ445" s="220"/>
      <x:c r="AR445" s="222"/>
      <x:c r="AS445" s="220"/>
      <x:c r="AT445" s="220"/>
      <x:c r="AU445" s="220"/>
      <x:c r="AV445" s="220"/>
      <x:c r="AW445" s="220"/>
      <x:c r="AX445" s="220"/>
      <x:c r="AY445" s="221"/>
      <x:c r="AZ445" s="220"/>
      <x:c r="BA445" s="220" t="str">
        <x:f>IF(AND(A445="",B445="",F445="",H445="",J445="",AW445="",AY445=""),"",IF(OR(B445="skip",AW445="skip"),"SKIP",IF(OR(B445="to_candidate",AW445="proposed_name"),IF(OR(A445="",AX445="",AY445="",COUNTIF($A$6:$A$505,A445)&gt;1),"REVIEW","TO_PROPOSED"),IF(OR(B445="",A445="",F445="",H445="",J445="",U445="",AW445="",COUNTIF($A$6:$A$505,A445)&gt;1,(COUNTIFS('أرقام التواصل'!$A$6:$A$505,"client",'أرقام التواصل'!$B$6:$B$505,A445,'أرقام التواصل'!$I$6:$I$505,"TRUE")+COUNTIFS('أرقام التواصل'!$A$6:$A$505,"client",'أرقام التواصل'!$B$6:$B$505,A445,'أرقام التواصل'!$C$6:$C$505,1))=0),"REVIEW","READY"))))</x:f>
      </x:c>
      <x:c r="BB445" s="224" t="str">
        <x:f>IF(BA445="","",IF(OR(BA445="READY",BA445="TO_PROPOSED"),"",IF(BA445="SKIP","Skipped by decision",TRIM(IF(B445="","missing import_action; ","")&amp;IF(A445="","missing migration_customer_key; ","")&amp;IF(AND(A445&lt;&gt;"",COUNTIF($A$6:$A$505,A445)&gt;1),"duplicate migration_customer_key; ","")&amp;IF(AND(NOT(OR(B445="to_candidate",AW445="proposed_name")),F445=""),"missing branch_id; ","")&amp;IF(AND(NOT(OR(B445="to_candidate",AW445="proposed_name")),H445=""),"missing first_name; ","")&amp;IF(AND(NOT(OR(B445="to_candidate",AW445="proposed_name")),J445=""),"missing last_name; ","")&amp;IF(AND(NOT(OR(B445="to_candidate",AW445="proposed_name")),U445=""),"missing final_geo_unit_id; ","")&amp;IF(AW445="","missing final_destination; ","")&amp;IF(AND(NOT(OR(B445="to_candidate",AW445="proposed_name")),(COUNTIFS('أرقام التواصل'!$A$6:$A$505,"client",'أرقام التواصل'!$B$6:$B$505,A445,'أرقام التواصل'!$I$6:$I$505,"TRUE")+COUNTIFS('أرقام التواصل'!$A$6:$A$505,"client",'أرقام التواصل'!$B$6:$B$505,A445,'أرقام التواصل'!$C$6:$C$505,1))=0),"missing primary contact in أرقام التواصل; ","")&amp;IF(OR(B445="to_candidate",AW445="proposed_name"),IF(AX445="","missing proposed_move_reason; ","")&amp;IF(AY445="","missing proposed_name_key; ",""),"")))))</x:f>
      </x:c>
    </x:row>
    <x:row r="446">
      <x:c r="A446" s="219"/>
      <x:c r="B446" s="220"/>
      <x:c r="C446" s="221"/>
      <x:c r="D446" s="220"/>
      <x:c r="E446" s="222"/>
      <x:c r="F446" s="220"/>
      <x:c r="G446" s="220"/>
      <x:c r="H446" s="220"/>
      <x:c r="I446" s="220"/>
      <x:c r="J446" s="220"/>
      <x:c r="K446" s="220"/>
      <x:c r="L446" s="220" t="str">
        <x:f>IF(TRIM(H446&amp;" "&amp;I446&amp;" "&amp;J446&amp;IF(K446&lt;&gt;""," ("&amp;K446&amp;")",""))="","",TRIM(H446&amp;" "&amp;I446&amp;" "&amp;J446&amp;IF(K446&lt;&gt;""," ("&amp;K446&amp;")","")))</x:f>
      </x:c>
      <x:c r="M446" s="220"/>
      <x:c r="N446" s="220"/>
      <x:c r="O446" s="220"/>
      <x:c r="P446" s="220"/>
      <x:c r="Q446" s="220"/>
      <x:c r="R446" s="220"/>
      <x:c r="S446" s="220"/>
      <x:c r="T446" s="220"/>
      <x:c r="U446" s="220" t="str">
        <x:f>IF(AND(M446="",O446="",Q446="",S446=""),"",IF(S446&lt;&gt;"",S446,IF(Q446&lt;&gt;"",Q446,IF(O446&lt;&gt;"",O446,M446))))</x:f>
      </x:c>
      <x:c r="V446" s="220" t="str">
        <x:f>IF(AND(N446="",P446="",R446="",T446=""),"",IF(T446&lt;&gt;"",T446,IF(R446&lt;&gt;"",R446,IF(P446&lt;&gt;"",P446,N446))))</x:f>
      </x:c>
      <x:c r="W446" s="221"/>
      <x:c r="X446" s="220"/>
      <x:c r="Y446" s="220"/>
      <x:c r="Z446" s="223"/>
      <x:c r="AA446" s="223"/>
      <x:c r="AB446" s="221"/>
      <x:c r="AC446" s="220"/>
      <x:c r="AD446" s="220"/>
      <x:c r="AE446" s="222"/>
      <x:c r="AF446" s="220"/>
      <x:c r="AG446" s="221"/>
      <x:c r="AH446" s="220"/>
      <x:c r="AI446" s="220"/>
      <x:c r="AJ446" s="222"/>
      <x:c r="AK446" s="220"/>
      <x:c r="AL446" s="220"/>
      <x:c r="AM446" s="220"/>
      <x:c r="AN446" s="220"/>
      <x:c r="AO446" s="220"/>
      <x:c r="AP446" s="220"/>
      <x:c r="AQ446" s="220"/>
      <x:c r="AR446" s="222"/>
      <x:c r="AS446" s="220"/>
      <x:c r="AT446" s="220"/>
      <x:c r="AU446" s="220"/>
      <x:c r="AV446" s="220"/>
      <x:c r="AW446" s="220"/>
      <x:c r="AX446" s="220"/>
      <x:c r="AY446" s="221"/>
      <x:c r="AZ446" s="220"/>
      <x:c r="BA446" s="220" t="str">
        <x:f>IF(AND(A446="",B446="",F446="",H446="",J446="",AW446="",AY446=""),"",IF(OR(B446="skip",AW446="skip"),"SKIP",IF(OR(B446="to_candidate",AW446="proposed_name"),IF(OR(A446="",AX446="",AY446="",COUNTIF($A$6:$A$505,A446)&gt;1),"REVIEW","TO_PROPOSED"),IF(OR(B446="",A446="",F446="",H446="",J446="",U446="",AW446="",COUNTIF($A$6:$A$505,A446)&gt;1,(COUNTIFS('أرقام التواصل'!$A$6:$A$505,"client",'أرقام التواصل'!$B$6:$B$505,A446,'أرقام التواصل'!$I$6:$I$505,"TRUE")+COUNTIFS('أرقام التواصل'!$A$6:$A$505,"client",'أرقام التواصل'!$B$6:$B$505,A446,'أرقام التواصل'!$C$6:$C$505,1))=0),"REVIEW","READY"))))</x:f>
      </x:c>
      <x:c r="BB446" s="224" t="str">
        <x:f>IF(BA446="","",IF(OR(BA446="READY",BA446="TO_PROPOSED"),"",IF(BA446="SKIP","Skipped by decision",TRIM(IF(B446="","missing import_action; ","")&amp;IF(A446="","missing migration_customer_key; ","")&amp;IF(AND(A446&lt;&gt;"",COUNTIF($A$6:$A$505,A446)&gt;1),"duplicate migration_customer_key; ","")&amp;IF(AND(NOT(OR(B446="to_candidate",AW446="proposed_name")),F446=""),"missing branch_id; ","")&amp;IF(AND(NOT(OR(B446="to_candidate",AW446="proposed_name")),H446=""),"missing first_name; ","")&amp;IF(AND(NOT(OR(B446="to_candidate",AW446="proposed_name")),J446=""),"missing last_name; ","")&amp;IF(AND(NOT(OR(B446="to_candidate",AW446="proposed_name")),U446=""),"missing final_geo_unit_id; ","")&amp;IF(AW446="","missing final_destination; ","")&amp;IF(AND(NOT(OR(B446="to_candidate",AW446="proposed_name")),(COUNTIFS('أرقام التواصل'!$A$6:$A$505,"client",'أرقام التواصل'!$B$6:$B$505,A446,'أرقام التواصل'!$I$6:$I$505,"TRUE")+COUNTIFS('أرقام التواصل'!$A$6:$A$505,"client",'أرقام التواصل'!$B$6:$B$505,A446,'أرقام التواصل'!$C$6:$C$505,1))=0),"missing primary contact in أرقام التواصل; ","")&amp;IF(OR(B446="to_candidate",AW446="proposed_name"),IF(AX446="","missing proposed_move_reason; ","")&amp;IF(AY446="","missing proposed_name_key; ",""),"")))))</x:f>
      </x:c>
    </x:row>
    <x:row r="447">
      <x:c r="A447" s="219"/>
      <x:c r="B447" s="220"/>
      <x:c r="C447" s="221"/>
      <x:c r="D447" s="220"/>
      <x:c r="E447" s="222"/>
      <x:c r="F447" s="220"/>
      <x:c r="G447" s="220"/>
      <x:c r="H447" s="220"/>
      <x:c r="I447" s="220"/>
      <x:c r="J447" s="220"/>
      <x:c r="K447" s="220"/>
      <x:c r="L447" s="220" t="str">
        <x:f>IF(TRIM(H447&amp;" "&amp;I447&amp;" "&amp;J447&amp;IF(K447&lt;&gt;""," ("&amp;K447&amp;")",""))="","",TRIM(H447&amp;" "&amp;I447&amp;" "&amp;J447&amp;IF(K447&lt;&gt;""," ("&amp;K447&amp;")","")))</x:f>
      </x:c>
      <x:c r="M447" s="220"/>
      <x:c r="N447" s="220"/>
      <x:c r="O447" s="220"/>
      <x:c r="P447" s="220"/>
      <x:c r="Q447" s="220"/>
      <x:c r="R447" s="220"/>
      <x:c r="S447" s="220"/>
      <x:c r="T447" s="220"/>
      <x:c r="U447" s="220" t="str">
        <x:f>IF(AND(M447="",O447="",Q447="",S447=""),"",IF(S447&lt;&gt;"",S447,IF(Q447&lt;&gt;"",Q447,IF(O447&lt;&gt;"",O447,M447))))</x:f>
      </x:c>
      <x:c r="V447" s="220" t="str">
        <x:f>IF(AND(N447="",P447="",R447="",T447=""),"",IF(T447&lt;&gt;"",T447,IF(R447&lt;&gt;"",R447,IF(P447&lt;&gt;"",P447,N447))))</x:f>
      </x:c>
      <x:c r="W447" s="221"/>
      <x:c r="X447" s="220"/>
      <x:c r="Y447" s="220"/>
      <x:c r="Z447" s="223"/>
      <x:c r="AA447" s="223"/>
      <x:c r="AB447" s="221"/>
      <x:c r="AC447" s="220"/>
      <x:c r="AD447" s="220"/>
      <x:c r="AE447" s="222"/>
      <x:c r="AF447" s="220"/>
      <x:c r="AG447" s="221"/>
      <x:c r="AH447" s="220"/>
      <x:c r="AI447" s="220"/>
      <x:c r="AJ447" s="222"/>
      <x:c r="AK447" s="220"/>
      <x:c r="AL447" s="220"/>
      <x:c r="AM447" s="220"/>
      <x:c r="AN447" s="220"/>
      <x:c r="AO447" s="220"/>
      <x:c r="AP447" s="220"/>
      <x:c r="AQ447" s="220"/>
      <x:c r="AR447" s="222"/>
      <x:c r="AS447" s="220"/>
      <x:c r="AT447" s="220"/>
      <x:c r="AU447" s="220"/>
      <x:c r="AV447" s="220"/>
      <x:c r="AW447" s="220"/>
      <x:c r="AX447" s="220"/>
      <x:c r="AY447" s="221"/>
      <x:c r="AZ447" s="220"/>
      <x:c r="BA447" s="220" t="str">
        <x:f>IF(AND(A447="",B447="",F447="",H447="",J447="",AW447="",AY447=""),"",IF(OR(B447="skip",AW447="skip"),"SKIP",IF(OR(B447="to_candidate",AW447="proposed_name"),IF(OR(A447="",AX447="",AY447="",COUNTIF($A$6:$A$505,A447)&gt;1),"REVIEW","TO_PROPOSED"),IF(OR(B447="",A447="",F447="",H447="",J447="",U447="",AW447="",COUNTIF($A$6:$A$505,A447)&gt;1,(COUNTIFS('أرقام التواصل'!$A$6:$A$505,"client",'أرقام التواصل'!$B$6:$B$505,A447,'أرقام التواصل'!$I$6:$I$505,"TRUE")+COUNTIFS('أرقام التواصل'!$A$6:$A$505,"client",'أرقام التواصل'!$B$6:$B$505,A447,'أرقام التواصل'!$C$6:$C$505,1))=0),"REVIEW","READY"))))</x:f>
      </x:c>
      <x:c r="BB447" s="224" t="str">
        <x:f>IF(BA447="","",IF(OR(BA447="READY",BA447="TO_PROPOSED"),"",IF(BA447="SKIP","Skipped by decision",TRIM(IF(B447="","missing import_action; ","")&amp;IF(A447="","missing migration_customer_key; ","")&amp;IF(AND(A447&lt;&gt;"",COUNTIF($A$6:$A$505,A447)&gt;1),"duplicate migration_customer_key; ","")&amp;IF(AND(NOT(OR(B447="to_candidate",AW447="proposed_name")),F447=""),"missing branch_id; ","")&amp;IF(AND(NOT(OR(B447="to_candidate",AW447="proposed_name")),H447=""),"missing first_name; ","")&amp;IF(AND(NOT(OR(B447="to_candidate",AW447="proposed_name")),J447=""),"missing last_name; ","")&amp;IF(AND(NOT(OR(B447="to_candidate",AW447="proposed_name")),U447=""),"missing final_geo_unit_id; ","")&amp;IF(AW447="","missing final_destination; ","")&amp;IF(AND(NOT(OR(B447="to_candidate",AW447="proposed_name")),(COUNTIFS('أرقام التواصل'!$A$6:$A$505,"client",'أرقام التواصل'!$B$6:$B$505,A447,'أرقام التواصل'!$I$6:$I$505,"TRUE")+COUNTIFS('أرقام التواصل'!$A$6:$A$505,"client",'أرقام التواصل'!$B$6:$B$505,A447,'أرقام التواصل'!$C$6:$C$505,1))=0),"missing primary contact in أرقام التواصل; ","")&amp;IF(OR(B447="to_candidate",AW447="proposed_name"),IF(AX447="","missing proposed_move_reason; ","")&amp;IF(AY447="","missing proposed_name_key; ",""),"")))))</x:f>
      </x:c>
    </x:row>
    <x:row r="448">
      <x:c r="A448" s="219"/>
      <x:c r="B448" s="220"/>
      <x:c r="C448" s="221"/>
      <x:c r="D448" s="220"/>
      <x:c r="E448" s="222"/>
      <x:c r="F448" s="220"/>
      <x:c r="G448" s="220"/>
      <x:c r="H448" s="220"/>
      <x:c r="I448" s="220"/>
      <x:c r="J448" s="220"/>
      <x:c r="K448" s="220"/>
      <x:c r="L448" s="220" t="str">
        <x:f>IF(TRIM(H448&amp;" "&amp;I448&amp;" "&amp;J448&amp;IF(K448&lt;&gt;""," ("&amp;K448&amp;")",""))="","",TRIM(H448&amp;" "&amp;I448&amp;" "&amp;J448&amp;IF(K448&lt;&gt;""," ("&amp;K448&amp;")","")))</x:f>
      </x:c>
      <x:c r="M448" s="220"/>
      <x:c r="N448" s="220"/>
      <x:c r="O448" s="220"/>
      <x:c r="P448" s="220"/>
      <x:c r="Q448" s="220"/>
      <x:c r="R448" s="220"/>
      <x:c r="S448" s="220"/>
      <x:c r="T448" s="220"/>
      <x:c r="U448" s="220" t="str">
        <x:f>IF(AND(M448="",O448="",Q448="",S448=""),"",IF(S448&lt;&gt;"",S448,IF(Q448&lt;&gt;"",Q448,IF(O448&lt;&gt;"",O448,M448))))</x:f>
      </x:c>
      <x:c r="V448" s="220" t="str">
        <x:f>IF(AND(N448="",P448="",R448="",T448=""),"",IF(T448&lt;&gt;"",T448,IF(R448&lt;&gt;"",R448,IF(P448&lt;&gt;"",P448,N448))))</x:f>
      </x:c>
      <x:c r="W448" s="221"/>
      <x:c r="X448" s="220"/>
      <x:c r="Y448" s="220"/>
      <x:c r="Z448" s="223"/>
      <x:c r="AA448" s="223"/>
      <x:c r="AB448" s="221"/>
      <x:c r="AC448" s="220"/>
      <x:c r="AD448" s="220"/>
      <x:c r="AE448" s="222"/>
      <x:c r="AF448" s="220"/>
      <x:c r="AG448" s="221"/>
      <x:c r="AH448" s="220"/>
      <x:c r="AI448" s="220"/>
      <x:c r="AJ448" s="222"/>
      <x:c r="AK448" s="220"/>
      <x:c r="AL448" s="220"/>
      <x:c r="AM448" s="220"/>
      <x:c r="AN448" s="220"/>
      <x:c r="AO448" s="220"/>
      <x:c r="AP448" s="220"/>
      <x:c r="AQ448" s="220"/>
      <x:c r="AR448" s="222"/>
      <x:c r="AS448" s="220"/>
      <x:c r="AT448" s="220"/>
      <x:c r="AU448" s="220"/>
      <x:c r="AV448" s="220"/>
      <x:c r="AW448" s="220"/>
      <x:c r="AX448" s="220"/>
      <x:c r="AY448" s="221"/>
      <x:c r="AZ448" s="220"/>
      <x:c r="BA448" s="220" t="str">
        <x:f>IF(AND(A448="",B448="",F448="",H448="",J448="",AW448="",AY448=""),"",IF(OR(B448="skip",AW448="skip"),"SKIP",IF(OR(B448="to_candidate",AW448="proposed_name"),IF(OR(A448="",AX448="",AY448="",COUNTIF($A$6:$A$505,A448)&gt;1),"REVIEW","TO_PROPOSED"),IF(OR(B448="",A448="",F448="",H448="",J448="",U448="",AW448="",COUNTIF($A$6:$A$505,A448)&gt;1,(COUNTIFS('أرقام التواصل'!$A$6:$A$505,"client",'أرقام التواصل'!$B$6:$B$505,A448,'أرقام التواصل'!$I$6:$I$505,"TRUE")+COUNTIFS('أرقام التواصل'!$A$6:$A$505,"client",'أرقام التواصل'!$B$6:$B$505,A448,'أرقام التواصل'!$C$6:$C$505,1))=0),"REVIEW","READY"))))</x:f>
      </x:c>
      <x:c r="BB448" s="224" t="str">
        <x:f>IF(BA448="","",IF(OR(BA448="READY",BA448="TO_PROPOSED"),"",IF(BA448="SKIP","Skipped by decision",TRIM(IF(B448="","missing import_action; ","")&amp;IF(A448="","missing migration_customer_key; ","")&amp;IF(AND(A448&lt;&gt;"",COUNTIF($A$6:$A$505,A448)&gt;1),"duplicate migration_customer_key; ","")&amp;IF(AND(NOT(OR(B448="to_candidate",AW448="proposed_name")),F448=""),"missing branch_id; ","")&amp;IF(AND(NOT(OR(B448="to_candidate",AW448="proposed_name")),H448=""),"missing first_name; ","")&amp;IF(AND(NOT(OR(B448="to_candidate",AW448="proposed_name")),J448=""),"missing last_name; ","")&amp;IF(AND(NOT(OR(B448="to_candidate",AW448="proposed_name")),U448=""),"missing final_geo_unit_id; ","")&amp;IF(AW448="","missing final_destination; ","")&amp;IF(AND(NOT(OR(B448="to_candidate",AW448="proposed_name")),(COUNTIFS('أرقام التواصل'!$A$6:$A$505,"client",'أرقام التواصل'!$B$6:$B$505,A448,'أرقام التواصل'!$I$6:$I$505,"TRUE")+COUNTIFS('أرقام التواصل'!$A$6:$A$505,"client",'أرقام التواصل'!$B$6:$B$505,A448,'أرقام التواصل'!$C$6:$C$505,1))=0),"missing primary contact in أرقام التواصل; ","")&amp;IF(OR(B448="to_candidate",AW448="proposed_name"),IF(AX448="","missing proposed_move_reason; ","")&amp;IF(AY448="","missing proposed_name_key; ",""),"")))))</x:f>
      </x:c>
    </x:row>
    <x:row r="449">
      <x:c r="A449" s="219"/>
      <x:c r="B449" s="220"/>
      <x:c r="C449" s="221"/>
      <x:c r="D449" s="220"/>
      <x:c r="E449" s="222"/>
      <x:c r="F449" s="220"/>
      <x:c r="G449" s="220"/>
      <x:c r="H449" s="220"/>
      <x:c r="I449" s="220"/>
      <x:c r="J449" s="220"/>
      <x:c r="K449" s="220"/>
      <x:c r="L449" s="220" t="str">
        <x:f>IF(TRIM(H449&amp;" "&amp;I449&amp;" "&amp;J449&amp;IF(K449&lt;&gt;""," ("&amp;K449&amp;")",""))="","",TRIM(H449&amp;" "&amp;I449&amp;" "&amp;J449&amp;IF(K449&lt;&gt;""," ("&amp;K449&amp;")","")))</x:f>
      </x:c>
      <x:c r="M449" s="220"/>
      <x:c r="N449" s="220"/>
      <x:c r="O449" s="220"/>
      <x:c r="P449" s="220"/>
      <x:c r="Q449" s="220"/>
      <x:c r="R449" s="220"/>
      <x:c r="S449" s="220"/>
      <x:c r="T449" s="220"/>
      <x:c r="U449" s="220" t="str">
        <x:f>IF(AND(M449="",O449="",Q449="",S449=""),"",IF(S449&lt;&gt;"",S449,IF(Q449&lt;&gt;"",Q449,IF(O449&lt;&gt;"",O449,M449))))</x:f>
      </x:c>
      <x:c r="V449" s="220" t="str">
        <x:f>IF(AND(N449="",P449="",R449="",T449=""),"",IF(T449&lt;&gt;"",T449,IF(R449&lt;&gt;"",R449,IF(P449&lt;&gt;"",P449,N449))))</x:f>
      </x:c>
      <x:c r="W449" s="221"/>
      <x:c r="X449" s="220"/>
      <x:c r="Y449" s="220"/>
      <x:c r="Z449" s="223"/>
      <x:c r="AA449" s="223"/>
      <x:c r="AB449" s="221"/>
      <x:c r="AC449" s="220"/>
      <x:c r="AD449" s="220"/>
      <x:c r="AE449" s="222"/>
      <x:c r="AF449" s="220"/>
      <x:c r="AG449" s="221"/>
      <x:c r="AH449" s="220"/>
      <x:c r="AI449" s="220"/>
      <x:c r="AJ449" s="222"/>
      <x:c r="AK449" s="220"/>
      <x:c r="AL449" s="220"/>
      <x:c r="AM449" s="220"/>
      <x:c r="AN449" s="220"/>
      <x:c r="AO449" s="220"/>
      <x:c r="AP449" s="220"/>
      <x:c r="AQ449" s="220"/>
      <x:c r="AR449" s="222"/>
      <x:c r="AS449" s="220"/>
      <x:c r="AT449" s="220"/>
      <x:c r="AU449" s="220"/>
      <x:c r="AV449" s="220"/>
      <x:c r="AW449" s="220"/>
      <x:c r="AX449" s="220"/>
      <x:c r="AY449" s="221"/>
      <x:c r="AZ449" s="220"/>
      <x:c r="BA449" s="220" t="str">
        <x:f>IF(AND(A449="",B449="",F449="",H449="",J449="",AW449="",AY449=""),"",IF(OR(B449="skip",AW449="skip"),"SKIP",IF(OR(B449="to_candidate",AW449="proposed_name"),IF(OR(A449="",AX449="",AY449="",COUNTIF($A$6:$A$505,A449)&gt;1),"REVIEW","TO_PROPOSED"),IF(OR(B449="",A449="",F449="",H449="",J449="",U449="",AW449="",COUNTIF($A$6:$A$505,A449)&gt;1,(COUNTIFS('أرقام التواصل'!$A$6:$A$505,"client",'أرقام التواصل'!$B$6:$B$505,A449,'أرقام التواصل'!$I$6:$I$505,"TRUE")+COUNTIFS('أرقام التواصل'!$A$6:$A$505,"client",'أرقام التواصل'!$B$6:$B$505,A449,'أرقام التواصل'!$C$6:$C$505,1))=0),"REVIEW","READY"))))</x:f>
      </x:c>
      <x:c r="BB449" s="224" t="str">
        <x:f>IF(BA449="","",IF(OR(BA449="READY",BA449="TO_PROPOSED"),"",IF(BA449="SKIP","Skipped by decision",TRIM(IF(B449="","missing import_action; ","")&amp;IF(A449="","missing migration_customer_key; ","")&amp;IF(AND(A449&lt;&gt;"",COUNTIF($A$6:$A$505,A449)&gt;1),"duplicate migration_customer_key; ","")&amp;IF(AND(NOT(OR(B449="to_candidate",AW449="proposed_name")),F449=""),"missing branch_id; ","")&amp;IF(AND(NOT(OR(B449="to_candidate",AW449="proposed_name")),H449=""),"missing first_name; ","")&amp;IF(AND(NOT(OR(B449="to_candidate",AW449="proposed_name")),J449=""),"missing last_name; ","")&amp;IF(AND(NOT(OR(B449="to_candidate",AW449="proposed_name")),U449=""),"missing final_geo_unit_id; ","")&amp;IF(AW449="","missing final_destination; ","")&amp;IF(AND(NOT(OR(B449="to_candidate",AW449="proposed_name")),(COUNTIFS('أرقام التواصل'!$A$6:$A$505,"client",'أرقام التواصل'!$B$6:$B$505,A449,'أرقام التواصل'!$I$6:$I$505,"TRUE")+COUNTIFS('أرقام التواصل'!$A$6:$A$505,"client",'أرقام التواصل'!$B$6:$B$505,A449,'أرقام التواصل'!$C$6:$C$505,1))=0),"missing primary contact in أرقام التواصل; ","")&amp;IF(OR(B449="to_candidate",AW449="proposed_name"),IF(AX449="","missing proposed_move_reason; ","")&amp;IF(AY449="","missing proposed_name_key; ",""),"")))))</x:f>
      </x:c>
    </x:row>
    <x:row r="450">
      <x:c r="A450" s="219"/>
      <x:c r="B450" s="220"/>
      <x:c r="C450" s="221"/>
      <x:c r="D450" s="220"/>
      <x:c r="E450" s="222"/>
      <x:c r="F450" s="220"/>
      <x:c r="G450" s="220"/>
      <x:c r="H450" s="220"/>
      <x:c r="I450" s="220"/>
      <x:c r="J450" s="220"/>
      <x:c r="K450" s="220"/>
      <x:c r="L450" s="220" t="str">
        <x:f>IF(TRIM(H450&amp;" "&amp;I450&amp;" "&amp;J450&amp;IF(K450&lt;&gt;""," ("&amp;K450&amp;")",""))="","",TRIM(H450&amp;" "&amp;I450&amp;" "&amp;J450&amp;IF(K450&lt;&gt;""," ("&amp;K450&amp;")","")))</x:f>
      </x:c>
      <x:c r="M450" s="220"/>
      <x:c r="N450" s="220"/>
      <x:c r="O450" s="220"/>
      <x:c r="P450" s="220"/>
      <x:c r="Q450" s="220"/>
      <x:c r="R450" s="220"/>
      <x:c r="S450" s="220"/>
      <x:c r="T450" s="220"/>
      <x:c r="U450" s="220" t="str">
        <x:f>IF(AND(M450="",O450="",Q450="",S450=""),"",IF(S450&lt;&gt;"",S450,IF(Q450&lt;&gt;"",Q450,IF(O450&lt;&gt;"",O450,M450))))</x:f>
      </x:c>
      <x:c r="V450" s="220" t="str">
        <x:f>IF(AND(N450="",P450="",R450="",T450=""),"",IF(T450&lt;&gt;"",T450,IF(R450&lt;&gt;"",R450,IF(P450&lt;&gt;"",P450,N450))))</x:f>
      </x:c>
      <x:c r="W450" s="221"/>
      <x:c r="X450" s="220"/>
      <x:c r="Y450" s="220"/>
      <x:c r="Z450" s="223"/>
      <x:c r="AA450" s="223"/>
      <x:c r="AB450" s="221"/>
      <x:c r="AC450" s="220"/>
      <x:c r="AD450" s="220"/>
      <x:c r="AE450" s="222"/>
      <x:c r="AF450" s="220"/>
      <x:c r="AG450" s="221"/>
      <x:c r="AH450" s="220"/>
      <x:c r="AI450" s="220"/>
      <x:c r="AJ450" s="222"/>
      <x:c r="AK450" s="220"/>
      <x:c r="AL450" s="220"/>
      <x:c r="AM450" s="220"/>
      <x:c r="AN450" s="220"/>
      <x:c r="AO450" s="220"/>
      <x:c r="AP450" s="220"/>
      <x:c r="AQ450" s="220"/>
      <x:c r="AR450" s="222"/>
      <x:c r="AS450" s="220"/>
      <x:c r="AT450" s="220"/>
      <x:c r="AU450" s="220"/>
      <x:c r="AV450" s="220"/>
      <x:c r="AW450" s="220"/>
      <x:c r="AX450" s="220"/>
      <x:c r="AY450" s="221"/>
      <x:c r="AZ450" s="220"/>
      <x:c r="BA450" s="220" t="str">
        <x:f>IF(AND(A450="",B450="",F450="",H450="",J450="",AW450="",AY450=""),"",IF(OR(B450="skip",AW450="skip"),"SKIP",IF(OR(B450="to_candidate",AW450="proposed_name"),IF(OR(A450="",AX450="",AY450="",COUNTIF($A$6:$A$505,A450)&gt;1),"REVIEW","TO_PROPOSED"),IF(OR(B450="",A450="",F450="",H450="",J450="",U450="",AW450="",COUNTIF($A$6:$A$505,A450)&gt;1,(COUNTIFS('أرقام التواصل'!$A$6:$A$505,"client",'أرقام التواصل'!$B$6:$B$505,A450,'أرقام التواصل'!$I$6:$I$505,"TRUE")+COUNTIFS('أرقام التواصل'!$A$6:$A$505,"client",'أرقام التواصل'!$B$6:$B$505,A450,'أرقام التواصل'!$C$6:$C$505,1))=0),"REVIEW","READY"))))</x:f>
      </x:c>
      <x:c r="BB450" s="224" t="str">
        <x:f>IF(BA450="","",IF(OR(BA450="READY",BA450="TO_PROPOSED"),"",IF(BA450="SKIP","Skipped by decision",TRIM(IF(B450="","missing import_action; ","")&amp;IF(A450="","missing migration_customer_key; ","")&amp;IF(AND(A450&lt;&gt;"",COUNTIF($A$6:$A$505,A450)&gt;1),"duplicate migration_customer_key; ","")&amp;IF(AND(NOT(OR(B450="to_candidate",AW450="proposed_name")),F450=""),"missing branch_id; ","")&amp;IF(AND(NOT(OR(B450="to_candidate",AW450="proposed_name")),H450=""),"missing first_name; ","")&amp;IF(AND(NOT(OR(B450="to_candidate",AW450="proposed_name")),J450=""),"missing last_name; ","")&amp;IF(AND(NOT(OR(B450="to_candidate",AW450="proposed_name")),U450=""),"missing final_geo_unit_id; ","")&amp;IF(AW450="","missing final_destination; ","")&amp;IF(AND(NOT(OR(B450="to_candidate",AW450="proposed_name")),(COUNTIFS('أرقام التواصل'!$A$6:$A$505,"client",'أرقام التواصل'!$B$6:$B$505,A450,'أرقام التواصل'!$I$6:$I$505,"TRUE")+COUNTIFS('أرقام التواصل'!$A$6:$A$505,"client",'أرقام التواصل'!$B$6:$B$505,A450,'أرقام التواصل'!$C$6:$C$505,1))=0),"missing primary contact in أرقام التواصل; ","")&amp;IF(OR(B450="to_candidate",AW450="proposed_name"),IF(AX450="","missing proposed_move_reason; ","")&amp;IF(AY450="","missing proposed_name_key; ",""),"")))))</x:f>
      </x:c>
    </x:row>
    <x:row r="451">
      <x:c r="A451" s="219"/>
      <x:c r="B451" s="220"/>
      <x:c r="C451" s="221"/>
      <x:c r="D451" s="220"/>
      <x:c r="E451" s="222"/>
      <x:c r="F451" s="220"/>
      <x:c r="G451" s="220"/>
      <x:c r="H451" s="220"/>
      <x:c r="I451" s="220"/>
      <x:c r="J451" s="220"/>
      <x:c r="K451" s="220"/>
      <x:c r="L451" s="220" t="str">
        <x:f>IF(TRIM(H451&amp;" "&amp;I451&amp;" "&amp;J451&amp;IF(K451&lt;&gt;""," ("&amp;K451&amp;")",""))="","",TRIM(H451&amp;" "&amp;I451&amp;" "&amp;J451&amp;IF(K451&lt;&gt;""," ("&amp;K451&amp;")","")))</x:f>
      </x:c>
      <x:c r="M451" s="220"/>
      <x:c r="N451" s="220"/>
      <x:c r="O451" s="220"/>
      <x:c r="P451" s="220"/>
      <x:c r="Q451" s="220"/>
      <x:c r="R451" s="220"/>
      <x:c r="S451" s="220"/>
      <x:c r="T451" s="220"/>
      <x:c r="U451" s="220" t="str">
        <x:f>IF(AND(M451="",O451="",Q451="",S451=""),"",IF(S451&lt;&gt;"",S451,IF(Q451&lt;&gt;"",Q451,IF(O451&lt;&gt;"",O451,M451))))</x:f>
      </x:c>
      <x:c r="V451" s="220" t="str">
        <x:f>IF(AND(N451="",P451="",R451="",T451=""),"",IF(T451&lt;&gt;"",T451,IF(R451&lt;&gt;"",R451,IF(P451&lt;&gt;"",P451,N451))))</x:f>
      </x:c>
      <x:c r="W451" s="221"/>
      <x:c r="X451" s="220"/>
      <x:c r="Y451" s="220"/>
      <x:c r="Z451" s="223"/>
      <x:c r="AA451" s="223"/>
      <x:c r="AB451" s="221"/>
      <x:c r="AC451" s="220"/>
      <x:c r="AD451" s="220"/>
      <x:c r="AE451" s="222"/>
      <x:c r="AF451" s="220"/>
      <x:c r="AG451" s="221"/>
      <x:c r="AH451" s="220"/>
      <x:c r="AI451" s="220"/>
      <x:c r="AJ451" s="222"/>
      <x:c r="AK451" s="220"/>
      <x:c r="AL451" s="220"/>
      <x:c r="AM451" s="220"/>
      <x:c r="AN451" s="220"/>
      <x:c r="AO451" s="220"/>
      <x:c r="AP451" s="220"/>
      <x:c r="AQ451" s="220"/>
      <x:c r="AR451" s="222"/>
      <x:c r="AS451" s="220"/>
      <x:c r="AT451" s="220"/>
      <x:c r="AU451" s="220"/>
      <x:c r="AV451" s="220"/>
      <x:c r="AW451" s="220"/>
      <x:c r="AX451" s="220"/>
      <x:c r="AY451" s="221"/>
      <x:c r="AZ451" s="220"/>
      <x:c r="BA451" s="220" t="str">
        <x:f>IF(AND(A451="",B451="",F451="",H451="",J451="",AW451="",AY451=""),"",IF(OR(B451="skip",AW451="skip"),"SKIP",IF(OR(B451="to_candidate",AW451="proposed_name"),IF(OR(A451="",AX451="",AY451="",COUNTIF($A$6:$A$505,A451)&gt;1),"REVIEW","TO_PROPOSED"),IF(OR(B451="",A451="",F451="",H451="",J451="",U451="",AW451="",COUNTIF($A$6:$A$505,A451)&gt;1,(COUNTIFS('أرقام التواصل'!$A$6:$A$505,"client",'أرقام التواصل'!$B$6:$B$505,A451,'أرقام التواصل'!$I$6:$I$505,"TRUE")+COUNTIFS('أرقام التواصل'!$A$6:$A$505,"client",'أرقام التواصل'!$B$6:$B$505,A451,'أرقام التواصل'!$C$6:$C$505,1))=0),"REVIEW","READY"))))</x:f>
      </x:c>
      <x:c r="BB451" s="224" t="str">
        <x:f>IF(BA451="","",IF(OR(BA451="READY",BA451="TO_PROPOSED"),"",IF(BA451="SKIP","Skipped by decision",TRIM(IF(B451="","missing import_action; ","")&amp;IF(A451="","missing migration_customer_key; ","")&amp;IF(AND(A451&lt;&gt;"",COUNTIF($A$6:$A$505,A451)&gt;1),"duplicate migration_customer_key; ","")&amp;IF(AND(NOT(OR(B451="to_candidate",AW451="proposed_name")),F451=""),"missing branch_id; ","")&amp;IF(AND(NOT(OR(B451="to_candidate",AW451="proposed_name")),H451=""),"missing first_name; ","")&amp;IF(AND(NOT(OR(B451="to_candidate",AW451="proposed_name")),J451=""),"missing last_name; ","")&amp;IF(AND(NOT(OR(B451="to_candidate",AW451="proposed_name")),U451=""),"missing final_geo_unit_id; ","")&amp;IF(AW451="","missing final_destination; ","")&amp;IF(AND(NOT(OR(B451="to_candidate",AW451="proposed_name")),(COUNTIFS('أرقام التواصل'!$A$6:$A$505,"client",'أرقام التواصل'!$B$6:$B$505,A451,'أرقام التواصل'!$I$6:$I$505,"TRUE")+COUNTIFS('أرقام التواصل'!$A$6:$A$505,"client",'أرقام التواصل'!$B$6:$B$505,A451,'أرقام التواصل'!$C$6:$C$505,1))=0),"missing primary contact in أرقام التواصل; ","")&amp;IF(OR(B451="to_candidate",AW451="proposed_name"),IF(AX451="","missing proposed_move_reason; ","")&amp;IF(AY451="","missing proposed_name_key; ",""),"")))))</x:f>
      </x:c>
    </x:row>
    <x:row r="452">
      <x:c r="A452" s="219"/>
      <x:c r="B452" s="220"/>
      <x:c r="C452" s="221"/>
      <x:c r="D452" s="220"/>
      <x:c r="E452" s="222"/>
      <x:c r="F452" s="220"/>
      <x:c r="G452" s="220"/>
      <x:c r="H452" s="220"/>
      <x:c r="I452" s="220"/>
      <x:c r="J452" s="220"/>
      <x:c r="K452" s="220"/>
      <x:c r="L452" s="220" t="str">
        <x:f>IF(TRIM(H452&amp;" "&amp;I452&amp;" "&amp;J452&amp;IF(K452&lt;&gt;""," ("&amp;K452&amp;")",""))="","",TRIM(H452&amp;" "&amp;I452&amp;" "&amp;J452&amp;IF(K452&lt;&gt;""," ("&amp;K452&amp;")","")))</x:f>
      </x:c>
      <x:c r="M452" s="220"/>
      <x:c r="N452" s="220"/>
      <x:c r="O452" s="220"/>
      <x:c r="P452" s="220"/>
      <x:c r="Q452" s="220"/>
      <x:c r="R452" s="220"/>
      <x:c r="S452" s="220"/>
      <x:c r="T452" s="220"/>
      <x:c r="U452" s="220" t="str">
        <x:f>IF(AND(M452="",O452="",Q452="",S452=""),"",IF(S452&lt;&gt;"",S452,IF(Q452&lt;&gt;"",Q452,IF(O452&lt;&gt;"",O452,M452))))</x:f>
      </x:c>
      <x:c r="V452" s="220" t="str">
        <x:f>IF(AND(N452="",P452="",R452="",T452=""),"",IF(T452&lt;&gt;"",T452,IF(R452&lt;&gt;"",R452,IF(P452&lt;&gt;"",P452,N452))))</x:f>
      </x:c>
      <x:c r="W452" s="221"/>
      <x:c r="X452" s="220"/>
      <x:c r="Y452" s="220"/>
      <x:c r="Z452" s="223"/>
      <x:c r="AA452" s="223"/>
      <x:c r="AB452" s="221"/>
      <x:c r="AC452" s="220"/>
      <x:c r="AD452" s="220"/>
      <x:c r="AE452" s="222"/>
      <x:c r="AF452" s="220"/>
      <x:c r="AG452" s="221"/>
      <x:c r="AH452" s="220"/>
      <x:c r="AI452" s="220"/>
      <x:c r="AJ452" s="222"/>
      <x:c r="AK452" s="220"/>
      <x:c r="AL452" s="220"/>
      <x:c r="AM452" s="220"/>
      <x:c r="AN452" s="220"/>
      <x:c r="AO452" s="220"/>
      <x:c r="AP452" s="220"/>
      <x:c r="AQ452" s="220"/>
      <x:c r="AR452" s="222"/>
      <x:c r="AS452" s="220"/>
      <x:c r="AT452" s="220"/>
      <x:c r="AU452" s="220"/>
      <x:c r="AV452" s="220"/>
      <x:c r="AW452" s="220"/>
      <x:c r="AX452" s="220"/>
      <x:c r="AY452" s="221"/>
      <x:c r="AZ452" s="220"/>
      <x:c r="BA452" s="220" t="str">
        <x:f>IF(AND(A452="",B452="",F452="",H452="",J452="",AW452="",AY452=""),"",IF(OR(B452="skip",AW452="skip"),"SKIP",IF(OR(B452="to_candidate",AW452="proposed_name"),IF(OR(A452="",AX452="",AY452="",COUNTIF($A$6:$A$505,A452)&gt;1),"REVIEW","TO_PROPOSED"),IF(OR(B452="",A452="",F452="",H452="",J452="",U452="",AW452="",COUNTIF($A$6:$A$505,A452)&gt;1,(COUNTIFS('أرقام التواصل'!$A$6:$A$505,"client",'أرقام التواصل'!$B$6:$B$505,A452,'أرقام التواصل'!$I$6:$I$505,"TRUE")+COUNTIFS('أرقام التواصل'!$A$6:$A$505,"client",'أرقام التواصل'!$B$6:$B$505,A452,'أرقام التواصل'!$C$6:$C$505,1))=0),"REVIEW","READY"))))</x:f>
      </x:c>
      <x:c r="BB452" s="224" t="str">
        <x:f>IF(BA452="","",IF(OR(BA452="READY",BA452="TO_PROPOSED"),"",IF(BA452="SKIP","Skipped by decision",TRIM(IF(B452="","missing import_action; ","")&amp;IF(A452="","missing migration_customer_key; ","")&amp;IF(AND(A452&lt;&gt;"",COUNTIF($A$6:$A$505,A452)&gt;1),"duplicate migration_customer_key; ","")&amp;IF(AND(NOT(OR(B452="to_candidate",AW452="proposed_name")),F452=""),"missing branch_id; ","")&amp;IF(AND(NOT(OR(B452="to_candidate",AW452="proposed_name")),H452=""),"missing first_name; ","")&amp;IF(AND(NOT(OR(B452="to_candidate",AW452="proposed_name")),J452=""),"missing last_name; ","")&amp;IF(AND(NOT(OR(B452="to_candidate",AW452="proposed_name")),U452=""),"missing final_geo_unit_id; ","")&amp;IF(AW452="","missing final_destination; ","")&amp;IF(AND(NOT(OR(B452="to_candidate",AW452="proposed_name")),(COUNTIFS('أرقام التواصل'!$A$6:$A$505,"client",'أرقام التواصل'!$B$6:$B$505,A452,'أرقام التواصل'!$I$6:$I$505,"TRUE")+COUNTIFS('أرقام التواصل'!$A$6:$A$505,"client",'أرقام التواصل'!$B$6:$B$505,A452,'أرقام التواصل'!$C$6:$C$505,1))=0),"missing primary contact in أرقام التواصل; ","")&amp;IF(OR(B452="to_candidate",AW452="proposed_name"),IF(AX452="","missing proposed_move_reason; ","")&amp;IF(AY452="","missing proposed_name_key; ",""),"")))))</x:f>
      </x:c>
    </x:row>
    <x:row r="453">
      <x:c r="A453" s="219"/>
      <x:c r="B453" s="220"/>
      <x:c r="C453" s="221"/>
      <x:c r="D453" s="220"/>
      <x:c r="E453" s="222"/>
      <x:c r="F453" s="220"/>
      <x:c r="G453" s="220"/>
      <x:c r="H453" s="220"/>
      <x:c r="I453" s="220"/>
      <x:c r="J453" s="220"/>
      <x:c r="K453" s="220"/>
      <x:c r="L453" s="220" t="str">
        <x:f>IF(TRIM(H453&amp;" "&amp;I453&amp;" "&amp;J453&amp;IF(K453&lt;&gt;""," ("&amp;K453&amp;")",""))="","",TRIM(H453&amp;" "&amp;I453&amp;" "&amp;J453&amp;IF(K453&lt;&gt;""," ("&amp;K453&amp;")","")))</x:f>
      </x:c>
      <x:c r="M453" s="220"/>
      <x:c r="N453" s="220"/>
      <x:c r="O453" s="220"/>
      <x:c r="P453" s="220"/>
      <x:c r="Q453" s="220"/>
      <x:c r="R453" s="220"/>
      <x:c r="S453" s="220"/>
      <x:c r="T453" s="220"/>
      <x:c r="U453" s="220" t="str">
        <x:f>IF(AND(M453="",O453="",Q453="",S453=""),"",IF(S453&lt;&gt;"",S453,IF(Q453&lt;&gt;"",Q453,IF(O453&lt;&gt;"",O453,M453))))</x:f>
      </x:c>
      <x:c r="V453" s="220" t="str">
        <x:f>IF(AND(N453="",P453="",R453="",T453=""),"",IF(T453&lt;&gt;"",T453,IF(R453&lt;&gt;"",R453,IF(P453&lt;&gt;"",P453,N453))))</x:f>
      </x:c>
      <x:c r="W453" s="221"/>
      <x:c r="X453" s="220"/>
      <x:c r="Y453" s="220"/>
      <x:c r="Z453" s="223"/>
      <x:c r="AA453" s="223"/>
      <x:c r="AB453" s="221"/>
      <x:c r="AC453" s="220"/>
      <x:c r="AD453" s="220"/>
      <x:c r="AE453" s="222"/>
      <x:c r="AF453" s="220"/>
      <x:c r="AG453" s="221"/>
      <x:c r="AH453" s="220"/>
      <x:c r="AI453" s="220"/>
      <x:c r="AJ453" s="222"/>
      <x:c r="AK453" s="220"/>
      <x:c r="AL453" s="220"/>
      <x:c r="AM453" s="220"/>
      <x:c r="AN453" s="220"/>
      <x:c r="AO453" s="220"/>
      <x:c r="AP453" s="220"/>
      <x:c r="AQ453" s="220"/>
      <x:c r="AR453" s="222"/>
      <x:c r="AS453" s="220"/>
      <x:c r="AT453" s="220"/>
      <x:c r="AU453" s="220"/>
      <x:c r="AV453" s="220"/>
      <x:c r="AW453" s="220"/>
      <x:c r="AX453" s="220"/>
      <x:c r="AY453" s="221"/>
      <x:c r="AZ453" s="220"/>
      <x:c r="BA453" s="220" t="str">
        <x:f>IF(AND(A453="",B453="",F453="",H453="",J453="",AW453="",AY453=""),"",IF(OR(B453="skip",AW453="skip"),"SKIP",IF(OR(B453="to_candidate",AW453="proposed_name"),IF(OR(A453="",AX453="",AY453="",COUNTIF($A$6:$A$505,A453)&gt;1),"REVIEW","TO_PROPOSED"),IF(OR(B453="",A453="",F453="",H453="",J453="",U453="",AW453="",COUNTIF($A$6:$A$505,A453)&gt;1,(COUNTIFS('أرقام التواصل'!$A$6:$A$505,"client",'أرقام التواصل'!$B$6:$B$505,A453,'أرقام التواصل'!$I$6:$I$505,"TRUE")+COUNTIFS('أرقام التواصل'!$A$6:$A$505,"client",'أرقام التواصل'!$B$6:$B$505,A453,'أرقام التواصل'!$C$6:$C$505,1))=0),"REVIEW","READY"))))</x:f>
      </x:c>
      <x:c r="BB453" s="224" t="str">
        <x:f>IF(BA453="","",IF(OR(BA453="READY",BA453="TO_PROPOSED"),"",IF(BA453="SKIP","Skipped by decision",TRIM(IF(B453="","missing import_action; ","")&amp;IF(A453="","missing migration_customer_key; ","")&amp;IF(AND(A453&lt;&gt;"",COUNTIF($A$6:$A$505,A453)&gt;1),"duplicate migration_customer_key; ","")&amp;IF(AND(NOT(OR(B453="to_candidate",AW453="proposed_name")),F453=""),"missing branch_id; ","")&amp;IF(AND(NOT(OR(B453="to_candidate",AW453="proposed_name")),H453=""),"missing first_name; ","")&amp;IF(AND(NOT(OR(B453="to_candidate",AW453="proposed_name")),J453=""),"missing last_name; ","")&amp;IF(AND(NOT(OR(B453="to_candidate",AW453="proposed_name")),U453=""),"missing final_geo_unit_id; ","")&amp;IF(AW453="","missing final_destination; ","")&amp;IF(AND(NOT(OR(B453="to_candidate",AW453="proposed_name")),(COUNTIFS('أرقام التواصل'!$A$6:$A$505,"client",'أرقام التواصل'!$B$6:$B$505,A453,'أرقام التواصل'!$I$6:$I$505,"TRUE")+COUNTIFS('أرقام التواصل'!$A$6:$A$505,"client",'أرقام التواصل'!$B$6:$B$505,A453,'أرقام التواصل'!$C$6:$C$505,1))=0),"missing primary contact in أرقام التواصل; ","")&amp;IF(OR(B453="to_candidate",AW453="proposed_name"),IF(AX453="","missing proposed_move_reason; ","")&amp;IF(AY453="","missing proposed_name_key; ",""),"")))))</x:f>
      </x:c>
    </x:row>
    <x:row r="454">
      <x:c r="A454" s="219"/>
      <x:c r="B454" s="220"/>
      <x:c r="C454" s="221"/>
      <x:c r="D454" s="220"/>
      <x:c r="E454" s="222"/>
      <x:c r="F454" s="220"/>
      <x:c r="G454" s="220"/>
      <x:c r="H454" s="220"/>
      <x:c r="I454" s="220"/>
      <x:c r="J454" s="220"/>
      <x:c r="K454" s="220"/>
      <x:c r="L454" s="220" t="str">
        <x:f>IF(TRIM(H454&amp;" "&amp;I454&amp;" "&amp;J454&amp;IF(K454&lt;&gt;""," ("&amp;K454&amp;")",""))="","",TRIM(H454&amp;" "&amp;I454&amp;" "&amp;J454&amp;IF(K454&lt;&gt;""," ("&amp;K454&amp;")","")))</x:f>
      </x:c>
      <x:c r="M454" s="220"/>
      <x:c r="N454" s="220"/>
      <x:c r="O454" s="220"/>
      <x:c r="P454" s="220"/>
      <x:c r="Q454" s="220"/>
      <x:c r="R454" s="220"/>
      <x:c r="S454" s="220"/>
      <x:c r="T454" s="220"/>
      <x:c r="U454" s="220" t="str">
        <x:f>IF(AND(M454="",O454="",Q454="",S454=""),"",IF(S454&lt;&gt;"",S454,IF(Q454&lt;&gt;"",Q454,IF(O454&lt;&gt;"",O454,M454))))</x:f>
      </x:c>
      <x:c r="V454" s="220" t="str">
        <x:f>IF(AND(N454="",P454="",R454="",T454=""),"",IF(T454&lt;&gt;"",T454,IF(R454&lt;&gt;"",R454,IF(P454&lt;&gt;"",P454,N454))))</x:f>
      </x:c>
      <x:c r="W454" s="221"/>
      <x:c r="X454" s="220"/>
      <x:c r="Y454" s="220"/>
      <x:c r="Z454" s="223"/>
      <x:c r="AA454" s="223"/>
      <x:c r="AB454" s="221"/>
      <x:c r="AC454" s="220"/>
      <x:c r="AD454" s="220"/>
      <x:c r="AE454" s="222"/>
      <x:c r="AF454" s="220"/>
      <x:c r="AG454" s="221"/>
      <x:c r="AH454" s="220"/>
      <x:c r="AI454" s="220"/>
      <x:c r="AJ454" s="222"/>
      <x:c r="AK454" s="220"/>
      <x:c r="AL454" s="220"/>
      <x:c r="AM454" s="220"/>
      <x:c r="AN454" s="220"/>
      <x:c r="AO454" s="220"/>
      <x:c r="AP454" s="220"/>
      <x:c r="AQ454" s="220"/>
      <x:c r="AR454" s="222"/>
      <x:c r="AS454" s="220"/>
      <x:c r="AT454" s="220"/>
      <x:c r="AU454" s="220"/>
      <x:c r="AV454" s="220"/>
      <x:c r="AW454" s="220"/>
      <x:c r="AX454" s="220"/>
      <x:c r="AY454" s="221"/>
      <x:c r="AZ454" s="220"/>
      <x:c r="BA454" s="220" t="str">
        <x:f>IF(AND(A454="",B454="",F454="",H454="",J454="",AW454="",AY454=""),"",IF(OR(B454="skip",AW454="skip"),"SKIP",IF(OR(B454="to_candidate",AW454="proposed_name"),IF(OR(A454="",AX454="",AY454="",COUNTIF($A$6:$A$505,A454)&gt;1),"REVIEW","TO_PROPOSED"),IF(OR(B454="",A454="",F454="",H454="",J454="",U454="",AW454="",COUNTIF($A$6:$A$505,A454)&gt;1,(COUNTIFS('أرقام التواصل'!$A$6:$A$505,"client",'أرقام التواصل'!$B$6:$B$505,A454,'أرقام التواصل'!$I$6:$I$505,"TRUE")+COUNTIFS('أرقام التواصل'!$A$6:$A$505,"client",'أرقام التواصل'!$B$6:$B$505,A454,'أرقام التواصل'!$C$6:$C$505,1))=0),"REVIEW","READY"))))</x:f>
      </x:c>
      <x:c r="BB454" s="224" t="str">
        <x:f>IF(BA454="","",IF(OR(BA454="READY",BA454="TO_PROPOSED"),"",IF(BA454="SKIP","Skipped by decision",TRIM(IF(B454="","missing import_action; ","")&amp;IF(A454="","missing migration_customer_key; ","")&amp;IF(AND(A454&lt;&gt;"",COUNTIF($A$6:$A$505,A454)&gt;1),"duplicate migration_customer_key; ","")&amp;IF(AND(NOT(OR(B454="to_candidate",AW454="proposed_name")),F454=""),"missing branch_id; ","")&amp;IF(AND(NOT(OR(B454="to_candidate",AW454="proposed_name")),H454=""),"missing first_name; ","")&amp;IF(AND(NOT(OR(B454="to_candidate",AW454="proposed_name")),J454=""),"missing last_name; ","")&amp;IF(AND(NOT(OR(B454="to_candidate",AW454="proposed_name")),U454=""),"missing final_geo_unit_id; ","")&amp;IF(AW454="","missing final_destination; ","")&amp;IF(AND(NOT(OR(B454="to_candidate",AW454="proposed_name")),(COUNTIFS('أرقام التواصل'!$A$6:$A$505,"client",'أرقام التواصل'!$B$6:$B$505,A454,'أرقام التواصل'!$I$6:$I$505,"TRUE")+COUNTIFS('أرقام التواصل'!$A$6:$A$505,"client",'أرقام التواصل'!$B$6:$B$505,A454,'أرقام التواصل'!$C$6:$C$505,1))=0),"missing primary contact in أرقام التواصل; ","")&amp;IF(OR(B454="to_candidate",AW454="proposed_name"),IF(AX454="","missing proposed_move_reason; ","")&amp;IF(AY454="","missing proposed_name_key; ",""),"")))))</x:f>
      </x:c>
    </x:row>
    <x:row r="455">
      <x:c r="A455" s="219"/>
      <x:c r="B455" s="220"/>
      <x:c r="C455" s="221"/>
      <x:c r="D455" s="220"/>
      <x:c r="E455" s="222"/>
      <x:c r="F455" s="220"/>
      <x:c r="G455" s="220"/>
      <x:c r="H455" s="220"/>
      <x:c r="I455" s="220"/>
      <x:c r="J455" s="220"/>
      <x:c r="K455" s="220"/>
      <x:c r="L455" s="220" t="str">
        <x:f>IF(TRIM(H455&amp;" "&amp;I455&amp;" "&amp;J455&amp;IF(K455&lt;&gt;""," ("&amp;K455&amp;")",""))="","",TRIM(H455&amp;" "&amp;I455&amp;" "&amp;J455&amp;IF(K455&lt;&gt;""," ("&amp;K455&amp;")","")))</x:f>
      </x:c>
      <x:c r="M455" s="220"/>
      <x:c r="N455" s="220"/>
      <x:c r="O455" s="220"/>
      <x:c r="P455" s="220"/>
      <x:c r="Q455" s="220"/>
      <x:c r="R455" s="220"/>
      <x:c r="S455" s="220"/>
      <x:c r="T455" s="220"/>
      <x:c r="U455" s="220" t="str">
        <x:f>IF(AND(M455="",O455="",Q455="",S455=""),"",IF(S455&lt;&gt;"",S455,IF(Q455&lt;&gt;"",Q455,IF(O455&lt;&gt;"",O455,M455))))</x:f>
      </x:c>
      <x:c r="V455" s="220" t="str">
        <x:f>IF(AND(N455="",P455="",R455="",T455=""),"",IF(T455&lt;&gt;"",T455,IF(R455&lt;&gt;"",R455,IF(P455&lt;&gt;"",P455,N455))))</x:f>
      </x:c>
      <x:c r="W455" s="221"/>
      <x:c r="X455" s="220"/>
      <x:c r="Y455" s="220"/>
      <x:c r="Z455" s="223"/>
      <x:c r="AA455" s="223"/>
      <x:c r="AB455" s="221"/>
      <x:c r="AC455" s="220"/>
      <x:c r="AD455" s="220"/>
      <x:c r="AE455" s="222"/>
      <x:c r="AF455" s="220"/>
      <x:c r="AG455" s="221"/>
      <x:c r="AH455" s="220"/>
      <x:c r="AI455" s="220"/>
      <x:c r="AJ455" s="222"/>
      <x:c r="AK455" s="220"/>
      <x:c r="AL455" s="220"/>
      <x:c r="AM455" s="220"/>
      <x:c r="AN455" s="220"/>
      <x:c r="AO455" s="220"/>
      <x:c r="AP455" s="220"/>
      <x:c r="AQ455" s="220"/>
      <x:c r="AR455" s="222"/>
      <x:c r="AS455" s="220"/>
      <x:c r="AT455" s="220"/>
      <x:c r="AU455" s="220"/>
      <x:c r="AV455" s="220"/>
      <x:c r="AW455" s="220"/>
      <x:c r="AX455" s="220"/>
      <x:c r="AY455" s="221"/>
      <x:c r="AZ455" s="220"/>
      <x:c r="BA455" s="220" t="str">
        <x:f>IF(AND(A455="",B455="",F455="",H455="",J455="",AW455="",AY455=""),"",IF(OR(B455="skip",AW455="skip"),"SKIP",IF(OR(B455="to_candidate",AW455="proposed_name"),IF(OR(A455="",AX455="",AY455="",COUNTIF($A$6:$A$505,A455)&gt;1),"REVIEW","TO_PROPOSED"),IF(OR(B455="",A455="",F455="",H455="",J455="",U455="",AW455="",COUNTIF($A$6:$A$505,A455)&gt;1,(COUNTIFS('أرقام التواصل'!$A$6:$A$505,"client",'أرقام التواصل'!$B$6:$B$505,A455,'أرقام التواصل'!$I$6:$I$505,"TRUE")+COUNTIFS('أرقام التواصل'!$A$6:$A$505,"client",'أرقام التواصل'!$B$6:$B$505,A455,'أرقام التواصل'!$C$6:$C$505,1))=0),"REVIEW","READY"))))</x:f>
      </x:c>
      <x:c r="BB455" s="224" t="str">
        <x:f>IF(BA455="","",IF(OR(BA455="READY",BA455="TO_PROPOSED"),"",IF(BA455="SKIP","Skipped by decision",TRIM(IF(B455="","missing import_action; ","")&amp;IF(A455="","missing migration_customer_key; ","")&amp;IF(AND(A455&lt;&gt;"",COUNTIF($A$6:$A$505,A455)&gt;1),"duplicate migration_customer_key; ","")&amp;IF(AND(NOT(OR(B455="to_candidate",AW455="proposed_name")),F455=""),"missing branch_id; ","")&amp;IF(AND(NOT(OR(B455="to_candidate",AW455="proposed_name")),H455=""),"missing first_name; ","")&amp;IF(AND(NOT(OR(B455="to_candidate",AW455="proposed_name")),J455=""),"missing last_name; ","")&amp;IF(AND(NOT(OR(B455="to_candidate",AW455="proposed_name")),U455=""),"missing final_geo_unit_id; ","")&amp;IF(AW455="","missing final_destination; ","")&amp;IF(AND(NOT(OR(B455="to_candidate",AW455="proposed_name")),(COUNTIFS('أرقام التواصل'!$A$6:$A$505,"client",'أرقام التواصل'!$B$6:$B$505,A455,'أرقام التواصل'!$I$6:$I$505,"TRUE")+COUNTIFS('أرقام التواصل'!$A$6:$A$505,"client",'أرقام التواصل'!$B$6:$B$505,A455,'أرقام التواصل'!$C$6:$C$505,1))=0),"missing primary contact in أرقام التواصل; ","")&amp;IF(OR(B455="to_candidate",AW455="proposed_name"),IF(AX455="","missing proposed_move_reason; ","")&amp;IF(AY455="","missing proposed_name_key; ",""),"")))))</x:f>
      </x:c>
    </x:row>
    <x:row r="456">
      <x:c r="A456" s="219"/>
      <x:c r="B456" s="220"/>
      <x:c r="C456" s="221"/>
      <x:c r="D456" s="220"/>
      <x:c r="E456" s="222"/>
      <x:c r="F456" s="220"/>
      <x:c r="G456" s="220"/>
      <x:c r="H456" s="220"/>
      <x:c r="I456" s="220"/>
      <x:c r="J456" s="220"/>
      <x:c r="K456" s="220"/>
      <x:c r="L456" s="220" t="str">
        <x:f>IF(TRIM(H456&amp;" "&amp;I456&amp;" "&amp;J456&amp;IF(K456&lt;&gt;""," ("&amp;K456&amp;")",""))="","",TRIM(H456&amp;" "&amp;I456&amp;" "&amp;J456&amp;IF(K456&lt;&gt;""," ("&amp;K456&amp;")","")))</x:f>
      </x:c>
      <x:c r="M456" s="220"/>
      <x:c r="N456" s="220"/>
      <x:c r="O456" s="220"/>
      <x:c r="P456" s="220"/>
      <x:c r="Q456" s="220"/>
      <x:c r="R456" s="220"/>
      <x:c r="S456" s="220"/>
      <x:c r="T456" s="220"/>
      <x:c r="U456" s="220" t="str">
        <x:f>IF(AND(M456="",O456="",Q456="",S456=""),"",IF(S456&lt;&gt;"",S456,IF(Q456&lt;&gt;"",Q456,IF(O456&lt;&gt;"",O456,M456))))</x:f>
      </x:c>
      <x:c r="V456" s="220" t="str">
        <x:f>IF(AND(N456="",P456="",R456="",T456=""),"",IF(T456&lt;&gt;"",T456,IF(R456&lt;&gt;"",R456,IF(P456&lt;&gt;"",P456,N456))))</x:f>
      </x:c>
      <x:c r="W456" s="221"/>
      <x:c r="X456" s="220"/>
      <x:c r="Y456" s="220"/>
      <x:c r="Z456" s="223"/>
      <x:c r="AA456" s="223"/>
      <x:c r="AB456" s="221"/>
      <x:c r="AC456" s="220"/>
      <x:c r="AD456" s="220"/>
      <x:c r="AE456" s="222"/>
      <x:c r="AF456" s="220"/>
      <x:c r="AG456" s="221"/>
      <x:c r="AH456" s="220"/>
      <x:c r="AI456" s="220"/>
      <x:c r="AJ456" s="222"/>
      <x:c r="AK456" s="220"/>
      <x:c r="AL456" s="220"/>
      <x:c r="AM456" s="220"/>
      <x:c r="AN456" s="220"/>
      <x:c r="AO456" s="220"/>
      <x:c r="AP456" s="220"/>
      <x:c r="AQ456" s="220"/>
      <x:c r="AR456" s="222"/>
      <x:c r="AS456" s="220"/>
      <x:c r="AT456" s="220"/>
      <x:c r="AU456" s="220"/>
      <x:c r="AV456" s="220"/>
      <x:c r="AW456" s="220"/>
      <x:c r="AX456" s="220"/>
      <x:c r="AY456" s="221"/>
      <x:c r="AZ456" s="220"/>
      <x:c r="BA456" s="220" t="str">
        <x:f>IF(AND(A456="",B456="",F456="",H456="",J456="",AW456="",AY456=""),"",IF(OR(B456="skip",AW456="skip"),"SKIP",IF(OR(B456="to_candidate",AW456="proposed_name"),IF(OR(A456="",AX456="",AY456="",COUNTIF($A$6:$A$505,A456)&gt;1),"REVIEW","TO_PROPOSED"),IF(OR(B456="",A456="",F456="",H456="",J456="",U456="",AW456="",COUNTIF($A$6:$A$505,A456)&gt;1,(COUNTIFS('أرقام التواصل'!$A$6:$A$505,"client",'أرقام التواصل'!$B$6:$B$505,A456,'أرقام التواصل'!$I$6:$I$505,"TRUE")+COUNTIFS('أرقام التواصل'!$A$6:$A$505,"client",'أرقام التواصل'!$B$6:$B$505,A456,'أرقام التواصل'!$C$6:$C$505,1))=0),"REVIEW","READY"))))</x:f>
      </x:c>
      <x:c r="BB456" s="224" t="str">
        <x:f>IF(BA456="","",IF(OR(BA456="READY",BA456="TO_PROPOSED"),"",IF(BA456="SKIP","Skipped by decision",TRIM(IF(B456="","missing import_action; ","")&amp;IF(A456="","missing migration_customer_key; ","")&amp;IF(AND(A456&lt;&gt;"",COUNTIF($A$6:$A$505,A456)&gt;1),"duplicate migration_customer_key; ","")&amp;IF(AND(NOT(OR(B456="to_candidate",AW456="proposed_name")),F456=""),"missing branch_id; ","")&amp;IF(AND(NOT(OR(B456="to_candidate",AW456="proposed_name")),H456=""),"missing first_name; ","")&amp;IF(AND(NOT(OR(B456="to_candidate",AW456="proposed_name")),J456=""),"missing last_name; ","")&amp;IF(AND(NOT(OR(B456="to_candidate",AW456="proposed_name")),U456=""),"missing final_geo_unit_id; ","")&amp;IF(AW456="","missing final_destination; ","")&amp;IF(AND(NOT(OR(B456="to_candidate",AW456="proposed_name")),(COUNTIFS('أرقام التواصل'!$A$6:$A$505,"client",'أرقام التواصل'!$B$6:$B$505,A456,'أرقام التواصل'!$I$6:$I$505,"TRUE")+COUNTIFS('أرقام التواصل'!$A$6:$A$505,"client",'أرقام التواصل'!$B$6:$B$505,A456,'أرقام التواصل'!$C$6:$C$505,1))=0),"missing primary contact in أرقام التواصل; ","")&amp;IF(OR(B456="to_candidate",AW456="proposed_name"),IF(AX456="","missing proposed_move_reason; ","")&amp;IF(AY456="","missing proposed_name_key; ",""),"")))))</x:f>
      </x:c>
    </x:row>
    <x:row r="457">
      <x:c r="A457" s="219"/>
      <x:c r="B457" s="220"/>
      <x:c r="C457" s="221"/>
      <x:c r="D457" s="220"/>
      <x:c r="E457" s="222"/>
      <x:c r="F457" s="220"/>
      <x:c r="G457" s="220"/>
      <x:c r="H457" s="220"/>
      <x:c r="I457" s="220"/>
      <x:c r="J457" s="220"/>
      <x:c r="K457" s="220"/>
      <x:c r="L457" s="220" t="str">
        <x:f>IF(TRIM(H457&amp;" "&amp;I457&amp;" "&amp;J457&amp;IF(K457&lt;&gt;""," ("&amp;K457&amp;")",""))="","",TRIM(H457&amp;" "&amp;I457&amp;" "&amp;J457&amp;IF(K457&lt;&gt;""," ("&amp;K457&amp;")","")))</x:f>
      </x:c>
      <x:c r="M457" s="220"/>
      <x:c r="N457" s="220"/>
      <x:c r="O457" s="220"/>
      <x:c r="P457" s="220"/>
      <x:c r="Q457" s="220"/>
      <x:c r="R457" s="220"/>
      <x:c r="S457" s="220"/>
      <x:c r="T457" s="220"/>
      <x:c r="U457" s="220" t="str">
        <x:f>IF(AND(M457="",O457="",Q457="",S457=""),"",IF(S457&lt;&gt;"",S457,IF(Q457&lt;&gt;"",Q457,IF(O457&lt;&gt;"",O457,M457))))</x:f>
      </x:c>
      <x:c r="V457" s="220" t="str">
        <x:f>IF(AND(N457="",P457="",R457="",T457=""),"",IF(T457&lt;&gt;"",T457,IF(R457&lt;&gt;"",R457,IF(P457&lt;&gt;"",P457,N457))))</x:f>
      </x:c>
      <x:c r="W457" s="221"/>
      <x:c r="X457" s="220"/>
      <x:c r="Y457" s="220"/>
      <x:c r="Z457" s="223"/>
      <x:c r="AA457" s="223"/>
      <x:c r="AB457" s="221"/>
      <x:c r="AC457" s="220"/>
      <x:c r="AD457" s="220"/>
      <x:c r="AE457" s="222"/>
      <x:c r="AF457" s="220"/>
      <x:c r="AG457" s="221"/>
      <x:c r="AH457" s="220"/>
      <x:c r="AI457" s="220"/>
      <x:c r="AJ457" s="222"/>
      <x:c r="AK457" s="220"/>
      <x:c r="AL457" s="220"/>
      <x:c r="AM457" s="220"/>
      <x:c r="AN457" s="220"/>
      <x:c r="AO457" s="220"/>
      <x:c r="AP457" s="220"/>
      <x:c r="AQ457" s="220"/>
      <x:c r="AR457" s="222"/>
      <x:c r="AS457" s="220"/>
      <x:c r="AT457" s="220"/>
      <x:c r="AU457" s="220"/>
      <x:c r="AV457" s="220"/>
      <x:c r="AW457" s="220"/>
      <x:c r="AX457" s="220"/>
      <x:c r="AY457" s="221"/>
      <x:c r="AZ457" s="220"/>
      <x:c r="BA457" s="220" t="str">
        <x:f>IF(AND(A457="",B457="",F457="",H457="",J457="",AW457="",AY457=""),"",IF(OR(B457="skip",AW457="skip"),"SKIP",IF(OR(B457="to_candidate",AW457="proposed_name"),IF(OR(A457="",AX457="",AY457="",COUNTIF($A$6:$A$505,A457)&gt;1),"REVIEW","TO_PROPOSED"),IF(OR(B457="",A457="",F457="",H457="",J457="",U457="",AW457="",COUNTIF($A$6:$A$505,A457)&gt;1,(COUNTIFS('أرقام التواصل'!$A$6:$A$505,"client",'أرقام التواصل'!$B$6:$B$505,A457,'أرقام التواصل'!$I$6:$I$505,"TRUE")+COUNTIFS('أرقام التواصل'!$A$6:$A$505,"client",'أرقام التواصل'!$B$6:$B$505,A457,'أرقام التواصل'!$C$6:$C$505,1))=0),"REVIEW","READY"))))</x:f>
      </x:c>
      <x:c r="BB457" s="224" t="str">
        <x:f>IF(BA457="","",IF(OR(BA457="READY",BA457="TO_PROPOSED"),"",IF(BA457="SKIP","Skipped by decision",TRIM(IF(B457="","missing import_action; ","")&amp;IF(A457="","missing migration_customer_key; ","")&amp;IF(AND(A457&lt;&gt;"",COUNTIF($A$6:$A$505,A457)&gt;1),"duplicate migration_customer_key; ","")&amp;IF(AND(NOT(OR(B457="to_candidate",AW457="proposed_name")),F457=""),"missing branch_id; ","")&amp;IF(AND(NOT(OR(B457="to_candidate",AW457="proposed_name")),H457=""),"missing first_name; ","")&amp;IF(AND(NOT(OR(B457="to_candidate",AW457="proposed_name")),J457=""),"missing last_name; ","")&amp;IF(AND(NOT(OR(B457="to_candidate",AW457="proposed_name")),U457=""),"missing final_geo_unit_id; ","")&amp;IF(AW457="","missing final_destination; ","")&amp;IF(AND(NOT(OR(B457="to_candidate",AW457="proposed_name")),(COUNTIFS('أرقام التواصل'!$A$6:$A$505,"client",'أرقام التواصل'!$B$6:$B$505,A457,'أرقام التواصل'!$I$6:$I$505,"TRUE")+COUNTIFS('أرقام التواصل'!$A$6:$A$505,"client",'أرقام التواصل'!$B$6:$B$505,A457,'أرقام التواصل'!$C$6:$C$505,1))=0),"missing primary contact in أرقام التواصل; ","")&amp;IF(OR(B457="to_candidate",AW457="proposed_name"),IF(AX457="","missing proposed_move_reason; ","")&amp;IF(AY457="","missing proposed_name_key; ",""),"")))))</x:f>
      </x:c>
    </x:row>
    <x:row r="458">
      <x:c r="A458" s="219"/>
      <x:c r="B458" s="220"/>
      <x:c r="C458" s="221"/>
      <x:c r="D458" s="220"/>
      <x:c r="E458" s="222"/>
      <x:c r="F458" s="220"/>
      <x:c r="G458" s="220"/>
      <x:c r="H458" s="220"/>
      <x:c r="I458" s="220"/>
      <x:c r="J458" s="220"/>
      <x:c r="K458" s="220"/>
      <x:c r="L458" s="220" t="str">
        <x:f>IF(TRIM(H458&amp;" "&amp;I458&amp;" "&amp;J458&amp;IF(K458&lt;&gt;""," ("&amp;K458&amp;")",""))="","",TRIM(H458&amp;" "&amp;I458&amp;" "&amp;J458&amp;IF(K458&lt;&gt;""," ("&amp;K458&amp;")","")))</x:f>
      </x:c>
      <x:c r="M458" s="220"/>
      <x:c r="N458" s="220"/>
      <x:c r="O458" s="220"/>
      <x:c r="P458" s="220"/>
      <x:c r="Q458" s="220"/>
      <x:c r="R458" s="220"/>
      <x:c r="S458" s="220"/>
      <x:c r="T458" s="220"/>
      <x:c r="U458" s="220" t="str">
        <x:f>IF(AND(M458="",O458="",Q458="",S458=""),"",IF(S458&lt;&gt;"",S458,IF(Q458&lt;&gt;"",Q458,IF(O458&lt;&gt;"",O458,M458))))</x:f>
      </x:c>
      <x:c r="V458" s="220" t="str">
        <x:f>IF(AND(N458="",P458="",R458="",T458=""),"",IF(T458&lt;&gt;"",T458,IF(R458&lt;&gt;"",R458,IF(P458&lt;&gt;"",P458,N458))))</x:f>
      </x:c>
      <x:c r="W458" s="221"/>
      <x:c r="X458" s="220"/>
      <x:c r="Y458" s="220"/>
      <x:c r="Z458" s="223"/>
      <x:c r="AA458" s="223"/>
      <x:c r="AB458" s="221"/>
      <x:c r="AC458" s="220"/>
      <x:c r="AD458" s="220"/>
      <x:c r="AE458" s="222"/>
      <x:c r="AF458" s="220"/>
      <x:c r="AG458" s="221"/>
      <x:c r="AH458" s="220"/>
      <x:c r="AI458" s="220"/>
      <x:c r="AJ458" s="222"/>
      <x:c r="AK458" s="220"/>
      <x:c r="AL458" s="220"/>
      <x:c r="AM458" s="220"/>
      <x:c r="AN458" s="220"/>
      <x:c r="AO458" s="220"/>
      <x:c r="AP458" s="220"/>
      <x:c r="AQ458" s="220"/>
      <x:c r="AR458" s="222"/>
      <x:c r="AS458" s="220"/>
      <x:c r="AT458" s="220"/>
      <x:c r="AU458" s="220"/>
      <x:c r="AV458" s="220"/>
      <x:c r="AW458" s="220"/>
      <x:c r="AX458" s="220"/>
      <x:c r="AY458" s="221"/>
      <x:c r="AZ458" s="220"/>
      <x:c r="BA458" s="220" t="str">
        <x:f>IF(AND(A458="",B458="",F458="",H458="",J458="",AW458="",AY458=""),"",IF(OR(B458="skip",AW458="skip"),"SKIP",IF(OR(B458="to_candidate",AW458="proposed_name"),IF(OR(A458="",AX458="",AY458="",COUNTIF($A$6:$A$505,A458)&gt;1),"REVIEW","TO_PROPOSED"),IF(OR(B458="",A458="",F458="",H458="",J458="",U458="",AW458="",COUNTIF($A$6:$A$505,A458)&gt;1,(COUNTIFS('أرقام التواصل'!$A$6:$A$505,"client",'أرقام التواصل'!$B$6:$B$505,A458,'أرقام التواصل'!$I$6:$I$505,"TRUE")+COUNTIFS('أرقام التواصل'!$A$6:$A$505,"client",'أرقام التواصل'!$B$6:$B$505,A458,'أرقام التواصل'!$C$6:$C$505,1))=0),"REVIEW","READY"))))</x:f>
      </x:c>
      <x:c r="BB458" s="224" t="str">
        <x:f>IF(BA458="","",IF(OR(BA458="READY",BA458="TO_PROPOSED"),"",IF(BA458="SKIP","Skipped by decision",TRIM(IF(B458="","missing import_action; ","")&amp;IF(A458="","missing migration_customer_key; ","")&amp;IF(AND(A458&lt;&gt;"",COUNTIF($A$6:$A$505,A458)&gt;1),"duplicate migration_customer_key; ","")&amp;IF(AND(NOT(OR(B458="to_candidate",AW458="proposed_name")),F458=""),"missing branch_id; ","")&amp;IF(AND(NOT(OR(B458="to_candidate",AW458="proposed_name")),H458=""),"missing first_name; ","")&amp;IF(AND(NOT(OR(B458="to_candidate",AW458="proposed_name")),J458=""),"missing last_name; ","")&amp;IF(AND(NOT(OR(B458="to_candidate",AW458="proposed_name")),U458=""),"missing final_geo_unit_id; ","")&amp;IF(AW458="","missing final_destination; ","")&amp;IF(AND(NOT(OR(B458="to_candidate",AW458="proposed_name")),(COUNTIFS('أرقام التواصل'!$A$6:$A$505,"client",'أرقام التواصل'!$B$6:$B$505,A458,'أرقام التواصل'!$I$6:$I$505,"TRUE")+COUNTIFS('أرقام التواصل'!$A$6:$A$505,"client",'أرقام التواصل'!$B$6:$B$505,A458,'أرقام التواصل'!$C$6:$C$505,1))=0),"missing primary contact in أرقام التواصل; ","")&amp;IF(OR(B458="to_candidate",AW458="proposed_name"),IF(AX458="","missing proposed_move_reason; ","")&amp;IF(AY458="","missing proposed_name_key; ",""),"")))))</x:f>
      </x:c>
    </x:row>
    <x:row r="459">
      <x:c r="A459" s="219"/>
      <x:c r="B459" s="220"/>
      <x:c r="C459" s="221"/>
      <x:c r="D459" s="220"/>
      <x:c r="E459" s="222"/>
      <x:c r="F459" s="220"/>
      <x:c r="G459" s="220"/>
      <x:c r="H459" s="220"/>
      <x:c r="I459" s="220"/>
      <x:c r="J459" s="220"/>
      <x:c r="K459" s="220"/>
      <x:c r="L459" s="220" t="str">
        <x:f>IF(TRIM(H459&amp;" "&amp;I459&amp;" "&amp;J459&amp;IF(K459&lt;&gt;""," ("&amp;K459&amp;")",""))="","",TRIM(H459&amp;" "&amp;I459&amp;" "&amp;J459&amp;IF(K459&lt;&gt;""," ("&amp;K459&amp;")","")))</x:f>
      </x:c>
      <x:c r="M459" s="220"/>
      <x:c r="N459" s="220"/>
      <x:c r="O459" s="220"/>
      <x:c r="P459" s="220"/>
      <x:c r="Q459" s="220"/>
      <x:c r="R459" s="220"/>
      <x:c r="S459" s="220"/>
      <x:c r="T459" s="220"/>
      <x:c r="U459" s="220" t="str">
        <x:f>IF(AND(M459="",O459="",Q459="",S459=""),"",IF(S459&lt;&gt;"",S459,IF(Q459&lt;&gt;"",Q459,IF(O459&lt;&gt;"",O459,M459))))</x:f>
      </x:c>
      <x:c r="V459" s="220" t="str">
        <x:f>IF(AND(N459="",P459="",R459="",T459=""),"",IF(T459&lt;&gt;"",T459,IF(R459&lt;&gt;"",R459,IF(P459&lt;&gt;"",P459,N459))))</x:f>
      </x:c>
      <x:c r="W459" s="221"/>
      <x:c r="X459" s="220"/>
      <x:c r="Y459" s="220"/>
      <x:c r="Z459" s="223"/>
      <x:c r="AA459" s="223"/>
      <x:c r="AB459" s="221"/>
      <x:c r="AC459" s="220"/>
      <x:c r="AD459" s="220"/>
      <x:c r="AE459" s="222"/>
      <x:c r="AF459" s="220"/>
      <x:c r="AG459" s="221"/>
      <x:c r="AH459" s="220"/>
      <x:c r="AI459" s="220"/>
      <x:c r="AJ459" s="222"/>
      <x:c r="AK459" s="220"/>
      <x:c r="AL459" s="220"/>
      <x:c r="AM459" s="220"/>
      <x:c r="AN459" s="220"/>
      <x:c r="AO459" s="220"/>
      <x:c r="AP459" s="220"/>
      <x:c r="AQ459" s="220"/>
      <x:c r="AR459" s="222"/>
      <x:c r="AS459" s="220"/>
      <x:c r="AT459" s="220"/>
      <x:c r="AU459" s="220"/>
      <x:c r="AV459" s="220"/>
      <x:c r="AW459" s="220"/>
      <x:c r="AX459" s="220"/>
      <x:c r="AY459" s="221"/>
      <x:c r="AZ459" s="220"/>
      <x:c r="BA459" s="220" t="str">
        <x:f>IF(AND(A459="",B459="",F459="",H459="",J459="",AW459="",AY459=""),"",IF(OR(B459="skip",AW459="skip"),"SKIP",IF(OR(B459="to_candidate",AW459="proposed_name"),IF(OR(A459="",AX459="",AY459="",COUNTIF($A$6:$A$505,A459)&gt;1),"REVIEW","TO_PROPOSED"),IF(OR(B459="",A459="",F459="",H459="",J459="",U459="",AW459="",COUNTIF($A$6:$A$505,A459)&gt;1,(COUNTIFS('أرقام التواصل'!$A$6:$A$505,"client",'أرقام التواصل'!$B$6:$B$505,A459,'أرقام التواصل'!$I$6:$I$505,"TRUE")+COUNTIFS('أرقام التواصل'!$A$6:$A$505,"client",'أرقام التواصل'!$B$6:$B$505,A459,'أرقام التواصل'!$C$6:$C$505,1))=0),"REVIEW","READY"))))</x:f>
      </x:c>
      <x:c r="BB459" s="224" t="str">
        <x:f>IF(BA459="","",IF(OR(BA459="READY",BA459="TO_PROPOSED"),"",IF(BA459="SKIP","Skipped by decision",TRIM(IF(B459="","missing import_action; ","")&amp;IF(A459="","missing migration_customer_key; ","")&amp;IF(AND(A459&lt;&gt;"",COUNTIF($A$6:$A$505,A459)&gt;1),"duplicate migration_customer_key; ","")&amp;IF(AND(NOT(OR(B459="to_candidate",AW459="proposed_name")),F459=""),"missing branch_id; ","")&amp;IF(AND(NOT(OR(B459="to_candidate",AW459="proposed_name")),H459=""),"missing first_name; ","")&amp;IF(AND(NOT(OR(B459="to_candidate",AW459="proposed_name")),J459=""),"missing last_name; ","")&amp;IF(AND(NOT(OR(B459="to_candidate",AW459="proposed_name")),U459=""),"missing final_geo_unit_id; ","")&amp;IF(AW459="","missing final_destination; ","")&amp;IF(AND(NOT(OR(B459="to_candidate",AW459="proposed_name")),(COUNTIFS('أرقام التواصل'!$A$6:$A$505,"client",'أرقام التواصل'!$B$6:$B$505,A459,'أرقام التواصل'!$I$6:$I$505,"TRUE")+COUNTIFS('أرقام التواصل'!$A$6:$A$505,"client",'أرقام التواصل'!$B$6:$B$505,A459,'أرقام التواصل'!$C$6:$C$505,1))=0),"missing primary contact in أرقام التواصل; ","")&amp;IF(OR(B459="to_candidate",AW459="proposed_name"),IF(AX459="","missing proposed_move_reason; ","")&amp;IF(AY459="","missing proposed_name_key; ",""),"")))))</x:f>
      </x:c>
    </x:row>
    <x:row r="460">
      <x:c r="A460" s="219"/>
      <x:c r="B460" s="220"/>
      <x:c r="C460" s="221"/>
      <x:c r="D460" s="220"/>
      <x:c r="E460" s="222"/>
      <x:c r="F460" s="220"/>
      <x:c r="G460" s="220"/>
      <x:c r="H460" s="220"/>
      <x:c r="I460" s="220"/>
      <x:c r="J460" s="220"/>
      <x:c r="K460" s="220"/>
      <x:c r="L460" s="220" t="str">
        <x:f>IF(TRIM(H460&amp;" "&amp;I460&amp;" "&amp;J460&amp;IF(K460&lt;&gt;""," ("&amp;K460&amp;")",""))="","",TRIM(H460&amp;" "&amp;I460&amp;" "&amp;J460&amp;IF(K460&lt;&gt;""," ("&amp;K460&amp;")","")))</x:f>
      </x:c>
      <x:c r="M460" s="220"/>
      <x:c r="N460" s="220"/>
      <x:c r="O460" s="220"/>
      <x:c r="P460" s="220"/>
      <x:c r="Q460" s="220"/>
      <x:c r="R460" s="220"/>
      <x:c r="S460" s="220"/>
      <x:c r="T460" s="220"/>
      <x:c r="U460" s="220" t="str">
        <x:f>IF(AND(M460="",O460="",Q460="",S460=""),"",IF(S460&lt;&gt;"",S460,IF(Q460&lt;&gt;"",Q460,IF(O460&lt;&gt;"",O460,M460))))</x:f>
      </x:c>
      <x:c r="V460" s="220" t="str">
        <x:f>IF(AND(N460="",P460="",R460="",T460=""),"",IF(T460&lt;&gt;"",T460,IF(R460&lt;&gt;"",R460,IF(P460&lt;&gt;"",P460,N460))))</x:f>
      </x:c>
      <x:c r="W460" s="221"/>
      <x:c r="X460" s="220"/>
      <x:c r="Y460" s="220"/>
      <x:c r="Z460" s="223"/>
      <x:c r="AA460" s="223"/>
      <x:c r="AB460" s="221"/>
      <x:c r="AC460" s="220"/>
      <x:c r="AD460" s="220"/>
      <x:c r="AE460" s="222"/>
      <x:c r="AF460" s="220"/>
      <x:c r="AG460" s="221"/>
      <x:c r="AH460" s="220"/>
      <x:c r="AI460" s="220"/>
      <x:c r="AJ460" s="222"/>
      <x:c r="AK460" s="220"/>
      <x:c r="AL460" s="220"/>
      <x:c r="AM460" s="220"/>
      <x:c r="AN460" s="220"/>
      <x:c r="AO460" s="220"/>
      <x:c r="AP460" s="220"/>
      <x:c r="AQ460" s="220"/>
      <x:c r="AR460" s="222"/>
      <x:c r="AS460" s="220"/>
      <x:c r="AT460" s="220"/>
      <x:c r="AU460" s="220"/>
      <x:c r="AV460" s="220"/>
      <x:c r="AW460" s="220"/>
      <x:c r="AX460" s="220"/>
      <x:c r="AY460" s="221"/>
      <x:c r="AZ460" s="220"/>
      <x:c r="BA460" s="220" t="str">
        <x:f>IF(AND(A460="",B460="",F460="",H460="",J460="",AW460="",AY460=""),"",IF(OR(B460="skip",AW460="skip"),"SKIP",IF(OR(B460="to_candidate",AW460="proposed_name"),IF(OR(A460="",AX460="",AY460="",COUNTIF($A$6:$A$505,A460)&gt;1),"REVIEW","TO_PROPOSED"),IF(OR(B460="",A460="",F460="",H460="",J460="",U460="",AW460="",COUNTIF($A$6:$A$505,A460)&gt;1,(COUNTIFS('أرقام التواصل'!$A$6:$A$505,"client",'أرقام التواصل'!$B$6:$B$505,A460,'أرقام التواصل'!$I$6:$I$505,"TRUE")+COUNTIFS('أرقام التواصل'!$A$6:$A$505,"client",'أرقام التواصل'!$B$6:$B$505,A460,'أرقام التواصل'!$C$6:$C$505,1))=0),"REVIEW","READY"))))</x:f>
      </x:c>
      <x:c r="BB460" s="224" t="str">
        <x:f>IF(BA460="","",IF(OR(BA460="READY",BA460="TO_PROPOSED"),"",IF(BA460="SKIP","Skipped by decision",TRIM(IF(B460="","missing import_action; ","")&amp;IF(A460="","missing migration_customer_key; ","")&amp;IF(AND(A460&lt;&gt;"",COUNTIF($A$6:$A$505,A460)&gt;1),"duplicate migration_customer_key; ","")&amp;IF(AND(NOT(OR(B460="to_candidate",AW460="proposed_name")),F460=""),"missing branch_id; ","")&amp;IF(AND(NOT(OR(B460="to_candidate",AW460="proposed_name")),H460=""),"missing first_name; ","")&amp;IF(AND(NOT(OR(B460="to_candidate",AW460="proposed_name")),J460=""),"missing last_name; ","")&amp;IF(AND(NOT(OR(B460="to_candidate",AW460="proposed_name")),U460=""),"missing final_geo_unit_id; ","")&amp;IF(AW460="","missing final_destination; ","")&amp;IF(AND(NOT(OR(B460="to_candidate",AW460="proposed_name")),(COUNTIFS('أرقام التواصل'!$A$6:$A$505,"client",'أرقام التواصل'!$B$6:$B$505,A460,'أرقام التواصل'!$I$6:$I$505,"TRUE")+COUNTIFS('أرقام التواصل'!$A$6:$A$505,"client",'أرقام التواصل'!$B$6:$B$505,A460,'أرقام التواصل'!$C$6:$C$505,1))=0),"missing primary contact in أرقام التواصل; ","")&amp;IF(OR(B460="to_candidate",AW460="proposed_name"),IF(AX460="","missing proposed_move_reason; ","")&amp;IF(AY460="","missing proposed_name_key; ",""),"")))))</x:f>
      </x:c>
    </x:row>
    <x:row r="461">
      <x:c r="A461" s="219"/>
      <x:c r="B461" s="220"/>
      <x:c r="C461" s="221"/>
      <x:c r="D461" s="220"/>
      <x:c r="E461" s="222"/>
      <x:c r="F461" s="220"/>
      <x:c r="G461" s="220"/>
      <x:c r="H461" s="220"/>
      <x:c r="I461" s="220"/>
      <x:c r="J461" s="220"/>
      <x:c r="K461" s="220"/>
      <x:c r="L461" s="220" t="str">
        <x:f>IF(TRIM(H461&amp;" "&amp;I461&amp;" "&amp;J461&amp;IF(K461&lt;&gt;""," ("&amp;K461&amp;")",""))="","",TRIM(H461&amp;" "&amp;I461&amp;" "&amp;J461&amp;IF(K461&lt;&gt;""," ("&amp;K461&amp;")","")))</x:f>
      </x:c>
      <x:c r="M461" s="220"/>
      <x:c r="N461" s="220"/>
      <x:c r="O461" s="220"/>
      <x:c r="P461" s="220"/>
      <x:c r="Q461" s="220"/>
      <x:c r="R461" s="220"/>
      <x:c r="S461" s="220"/>
      <x:c r="T461" s="220"/>
      <x:c r="U461" s="220" t="str">
        <x:f>IF(AND(M461="",O461="",Q461="",S461=""),"",IF(S461&lt;&gt;"",S461,IF(Q461&lt;&gt;"",Q461,IF(O461&lt;&gt;"",O461,M461))))</x:f>
      </x:c>
      <x:c r="V461" s="220" t="str">
        <x:f>IF(AND(N461="",P461="",R461="",T461=""),"",IF(T461&lt;&gt;"",T461,IF(R461&lt;&gt;"",R461,IF(P461&lt;&gt;"",P461,N461))))</x:f>
      </x:c>
      <x:c r="W461" s="221"/>
      <x:c r="X461" s="220"/>
      <x:c r="Y461" s="220"/>
      <x:c r="Z461" s="223"/>
      <x:c r="AA461" s="223"/>
      <x:c r="AB461" s="221"/>
      <x:c r="AC461" s="220"/>
      <x:c r="AD461" s="220"/>
      <x:c r="AE461" s="222"/>
      <x:c r="AF461" s="220"/>
      <x:c r="AG461" s="221"/>
      <x:c r="AH461" s="220"/>
      <x:c r="AI461" s="220"/>
      <x:c r="AJ461" s="222"/>
      <x:c r="AK461" s="220"/>
      <x:c r="AL461" s="220"/>
      <x:c r="AM461" s="220"/>
      <x:c r="AN461" s="220"/>
      <x:c r="AO461" s="220"/>
      <x:c r="AP461" s="220"/>
      <x:c r="AQ461" s="220"/>
      <x:c r="AR461" s="222"/>
      <x:c r="AS461" s="220"/>
      <x:c r="AT461" s="220"/>
      <x:c r="AU461" s="220"/>
      <x:c r="AV461" s="220"/>
      <x:c r="AW461" s="220"/>
      <x:c r="AX461" s="220"/>
      <x:c r="AY461" s="221"/>
      <x:c r="AZ461" s="220"/>
      <x:c r="BA461" s="220" t="str">
        <x:f>IF(AND(A461="",B461="",F461="",H461="",J461="",AW461="",AY461=""),"",IF(OR(B461="skip",AW461="skip"),"SKIP",IF(OR(B461="to_candidate",AW461="proposed_name"),IF(OR(A461="",AX461="",AY461="",COUNTIF($A$6:$A$505,A461)&gt;1),"REVIEW","TO_PROPOSED"),IF(OR(B461="",A461="",F461="",H461="",J461="",U461="",AW461="",COUNTIF($A$6:$A$505,A461)&gt;1,(COUNTIFS('أرقام التواصل'!$A$6:$A$505,"client",'أرقام التواصل'!$B$6:$B$505,A461,'أرقام التواصل'!$I$6:$I$505,"TRUE")+COUNTIFS('أرقام التواصل'!$A$6:$A$505,"client",'أرقام التواصل'!$B$6:$B$505,A461,'أرقام التواصل'!$C$6:$C$505,1))=0),"REVIEW","READY"))))</x:f>
      </x:c>
      <x:c r="BB461" s="224" t="str">
        <x:f>IF(BA461="","",IF(OR(BA461="READY",BA461="TO_PROPOSED"),"",IF(BA461="SKIP","Skipped by decision",TRIM(IF(B461="","missing import_action; ","")&amp;IF(A461="","missing migration_customer_key; ","")&amp;IF(AND(A461&lt;&gt;"",COUNTIF($A$6:$A$505,A461)&gt;1),"duplicate migration_customer_key; ","")&amp;IF(AND(NOT(OR(B461="to_candidate",AW461="proposed_name")),F461=""),"missing branch_id; ","")&amp;IF(AND(NOT(OR(B461="to_candidate",AW461="proposed_name")),H461=""),"missing first_name; ","")&amp;IF(AND(NOT(OR(B461="to_candidate",AW461="proposed_name")),J461=""),"missing last_name; ","")&amp;IF(AND(NOT(OR(B461="to_candidate",AW461="proposed_name")),U461=""),"missing final_geo_unit_id; ","")&amp;IF(AW461="","missing final_destination; ","")&amp;IF(AND(NOT(OR(B461="to_candidate",AW461="proposed_name")),(COUNTIFS('أرقام التواصل'!$A$6:$A$505,"client",'أرقام التواصل'!$B$6:$B$505,A461,'أرقام التواصل'!$I$6:$I$505,"TRUE")+COUNTIFS('أرقام التواصل'!$A$6:$A$505,"client",'أرقام التواصل'!$B$6:$B$505,A461,'أرقام التواصل'!$C$6:$C$505,1))=0),"missing primary contact in أرقام التواصل; ","")&amp;IF(OR(B461="to_candidate",AW461="proposed_name"),IF(AX461="","missing proposed_move_reason; ","")&amp;IF(AY461="","missing proposed_name_key; ",""),"")))))</x:f>
      </x:c>
    </x:row>
    <x:row r="462">
      <x:c r="A462" s="219"/>
      <x:c r="B462" s="220"/>
      <x:c r="C462" s="221"/>
      <x:c r="D462" s="220"/>
      <x:c r="E462" s="222"/>
      <x:c r="F462" s="220"/>
      <x:c r="G462" s="220"/>
      <x:c r="H462" s="220"/>
      <x:c r="I462" s="220"/>
      <x:c r="J462" s="220"/>
      <x:c r="K462" s="220"/>
      <x:c r="L462" s="220" t="str">
        <x:f>IF(TRIM(H462&amp;" "&amp;I462&amp;" "&amp;J462&amp;IF(K462&lt;&gt;""," ("&amp;K462&amp;")",""))="","",TRIM(H462&amp;" "&amp;I462&amp;" "&amp;J462&amp;IF(K462&lt;&gt;""," ("&amp;K462&amp;")","")))</x:f>
      </x:c>
      <x:c r="M462" s="220"/>
      <x:c r="N462" s="220"/>
      <x:c r="O462" s="220"/>
      <x:c r="P462" s="220"/>
      <x:c r="Q462" s="220"/>
      <x:c r="R462" s="220"/>
      <x:c r="S462" s="220"/>
      <x:c r="T462" s="220"/>
      <x:c r="U462" s="220" t="str">
        <x:f>IF(AND(M462="",O462="",Q462="",S462=""),"",IF(S462&lt;&gt;"",S462,IF(Q462&lt;&gt;"",Q462,IF(O462&lt;&gt;"",O462,M462))))</x:f>
      </x:c>
      <x:c r="V462" s="220" t="str">
        <x:f>IF(AND(N462="",P462="",R462="",T462=""),"",IF(T462&lt;&gt;"",T462,IF(R462&lt;&gt;"",R462,IF(P462&lt;&gt;"",P462,N462))))</x:f>
      </x:c>
      <x:c r="W462" s="221"/>
      <x:c r="X462" s="220"/>
      <x:c r="Y462" s="220"/>
      <x:c r="Z462" s="223"/>
      <x:c r="AA462" s="223"/>
      <x:c r="AB462" s="221"/>
      <x:c r="AC462" s="220"/>
      <x:c r="AD462" s="220"/>
      <x:c r="AE462" s="222"/>
      <x:c r="AF462" s="220"/>
      <x:c r="AG462" s="221"/>
      <x:c r="AH462" s="220"/>
      <x:c r="AI462" s="220"/>
      <x:c r="AJ462" s="222"/>
      <x:c r="AK462" s="220"/>
      <x:c r="AL462" s="220"/>
      <x:c r="AM462" s="220"/>
      <x:c r="AN462" s="220"/>
      <x:c r="AO462" s="220"/>
      <x:c r="AP462" s="220"/>
      <x:c r="AQ462" s="220"/>
      <x:c r="AR462" s="222"/>
      <x:c r="AS462" s="220"/>
      <x:c r="AT462" s="220"/>
      <x:c r="AU462" s="220"/>
      <x:c r="AV462" s="220"/>
      <x:c r="AW462" s="220"/>
      <x:c r="AX462" s="220"/>
      <x:c r="AY462" s="221"/>
      <x:c r="AZ462" s="220"/>
      <x:c r="BA462" s="220" t="str">
        <x:f>IF(AND(A462="",B462="",F462="",H462="",J462="",AW462="",AY462=""),"",IF(OR(B462="skip",AW462="skip"),"SKIP",IF(OR(B462="to_candidate",AW462="proposed_name"),IF(OR(A462="",AX462="",AY462="",COUNTIF($A$6:$A$505,A462)&gt;1),"REVIEW","TO_PROPOSED"),IF(OR(B462="",A462="",F462="",H462="",J462="",U462="",AW462="",COUNTIF($A$6:$A$505,A462)&gt;1,(COUNTIFS('أرقام التواصل'!$A$6:$A$505,"client",'أرقام التواصل'!$B$6:$B$505,A462,'أرقام التواصل'!$I$6:$I$505,"TRUE")+COUNTIFS('أرقام التواصل'!$A$6:$A$505,"client",'أرقام التواصل'!$B$6:$B$505,A462,'أرقام التواصل'!$C$6:$C$505,1))=0),"REVIEW","READY"))))</x:f>
      </x:c>
      <x:c r="BB462" s="224" t="str">
        <x:f>IF(BA462="","",IF(OR(BA462="READY",BA462="TO_PROPOSED"),"",IF(BA462="SKIP","Skipped by decision",TRIM(IF(B462="","missing import_action; ","")&amp;IF(A462="","missing migration_customer_key; ","")&amp;IF(AND(A462&lt;&gt;"",COUNTIF($A$6:$A$505,A462)&gt;1),"duplicate migration_customer_key; ","")&amp;IF(AND(NOT(OR(B462="to_candidate",AW462="proposed_name")),F462=""),"missing branch_id; ","")&amp;IF(AND(NOT(OR(B462="to_candidate",AW462="proposed_name")),H462=""),"missing first_name; ","")&amp;IF(AND(NOT(OR(B462="to_candidate",AW462="proposed_name")),J462=""),"missing last_name; ","")&amp;IF(AND(NOT(OR(B462="to_candidate",AW462="proposed_name")),U462=""),"missing final_geo_unit_id; ","")&amp;IF(AW462="","missing final_destination; ","")&amp;IF(AND(NOT(OR(B462="to_candidate",AW462="proposed_name")),(COUNTIFS('أرقام التواصل'!$A$6:$A$505,"client",'أرقام التواصل'!$B$6:$B$505,A462,'أرقام التواصل'!$I$6:$I$505,"TRUE")+COUNTIFS('أرقام التواصل'!$A$6:$A$505,"client",'أرقام التواصل'!$B$6:$B$505,A462,'أرقام التواصل'!$C$6:$C$505,1))=0),"missing primary contact in أرقام التواصل; ","")&amp;IF(OR(B462="to_candidate",AW462="proposed_name"),IF(AX462="","missing proposed_move_reason; ","")&amp;IF(AY462="","missing proposed_name_key; ",""),"")))))</x:f>
      </x:c>
    </x:row>
    <x:row r="463">
      <x:c r="A463" s="219"/>
      <x:c r="B463" s="220"/>
      <x:c r="C463" s="221"/>
      <x:c r="D463" s="220"/>
      <x:c r="E463" s="222"/>
      <x:c r="F463" s="220"/>
      <x:c r="G463" s="220"/>
      <x:c r="H463" s="220"/>
      <x:c r="I463" s="220"/>
      <x:c r="J463" s="220"/>
      <x:c r="K463" s="220"/>
      <x:c r="L463" s="220" t="str">
        <x:f>IF(TRIM(H463&amp;" "&amp;I463&amp;" "&amp;J463&amp;IF(K463&lt;&gt;""," ("&amp;K463&amp;")",""))="","",TRIM(H463&amp;" "&amp;I463&amp;" "&amp;J463&amp;IF(K463&lt;&gt;""," ("&amp;K463&amp;")","")))</x:f>
      </x:c>
      <x:c r="M463" s="220"/>
      <x:c r="N463" s="220"/>
      <x:c r="O463" s="220"/>
      <x:c r="P463" s="220"/>
      <x:c r="Q463" s="220"/>
      <x:c r="R463" s="220"/>
      <x:c r="S463" s="220"/>
      <x:c r="T463" s="220"/>
      <x:c r="U463" s="220" t="str">
        <x:f>IF(AND(M463="",O463="",Q463="",S463=""),"",IF(S463&lt;&gt;"",S463,IF(Q463&lt;&gt;"",Q463,IF(O463&lt;&gt;"",O463,M463))))</x:f>
      </x:c>
      <x:c r="V463" s="220" t="str">
        <x:f>IF(AND(N463="",P463="",R463="",T463=""),"",IF(T463&lt;&gt;"",T463,IF(R463&lt;&gt;"",R463,IF(P463&lt;&gt;"",P463,N463))))</x:f>
      </x:c>
      <x:c r="W463" s="221"/>
      <x:c r="X463" s="220"/>
      <x:c r="Y463" s="220"/>
      <x:c r="Z463" s="223"/>
      <x:c r="AA463" s="223"/>
      <x:c r="AB463" s="221"/>
      <x:c r="AC463" s="220"/>
      <x:c r="AD463" s="220"/>
      <x:c r="AE463" s="222"/>
      <x:c r="AF463" s="220"/>
      <x:c r="AG463" s="221"/>
      <x:c r="AH463" s="220"/>
      <x:c r="AI463" s="220"/>
      <x:c r="AJ463" s="222"/>
      <x:c r="AK463" s="220"/>
      <x:c r="AL463" s="220"/>
      <x:c r="AM463" s="220"/>
      <x:c r="AN463" s="220"/>
      <x:c r="AO463" s="220"/>
      <x:c r="AP463" s="220"/>
      <x:c r="AQ463" s="220"/>
      <x:c r="AR463" s="222"/>
      <x:c r="AS463" s="220"/>
      <x:c r="AT463" s="220"/>
      <x:c r="AU463" s="220"/>
      <x:c r="AV463" s="220"/>
      <x:c r="AW463" s="220"/>
      <x:c r="AX463" s="220"/>
      <x:c r="AY463" s="221"/>
      <x:c r="AZ463" s="220"/>
      <x:c r="BA463" s="220" t="str">
        <x:f>IF(AND(A463="",B463="",F463="",H463="",J463="",AW463="",AY463=""),"",IF(OR(B463="skip",AW463="skip"),"SKIP",IF(OR(B463="to_candidate",AW463="proposed_name"),IF(OR(A463="",AX463="",AY463="",COUNTIF($A$6:$A$505,A463)&gt;1),"REVIEW","TO_PROPOSED"),IF(OR(B463="",A463="",F463="",H463="",J463="",U463="",AW463="",COUNTIF($A$6:$A$505,A463)&gt;1,(COUNTIFS('أرقام التواصل'!$A$6:$A$505,"client",'أرقام التواصل'!$B$6:$B$505,A463,'أرقام التواصل'!$I$6:$I$505,"TRUE")+COUNTIFS('أرقام التواصل'!$A$6:$A$505,"client",'أرقام التواصل'!$B$6:$B$505,A463,'أرقام التواصل'!$C$6:$C$505,1))=0),"REVIEW","READY"))))</x:f>
      </x:c>
      <x:c r="BB463" s="224" t="str">
        <x:f>IF(BA463="","",IF(OR(BA463="READY",BA463="TO_PROPOSED"),"",IF(BA463="SKIP","Skipped by decision",TRIM(IF(B463="","missing import_action; ","")&amp;IF(A463="","missing migration_customer_key; ","")&amp;IF(AND(A463&lt;&gt;"",COUNTIF($A$6:$A$505,A463)&gt;1),"duplicate migration_customer_key; ","")&amp;IF(AND(NOT(OR(B463="to_candidate",AW463="proposed_name")),F463=""),"missing branch_id; ","")&amp;IF(AND(NOT(OR(B463="to_candidate",AW463="proposed_name")),H463=""),"missing first_name; ","")&amp;IF(AND(NOT(OR(B463="to_candidate",AW463="proposed_name")),J463=""),"missing last_name; ","")&amp;IF(AND(NOT(OR(B463="to_candidate",AW463="proposed_name")),U463=""),"missing final_geo_unit_id; ","")&amp;IF(AW463="","missing final_destination; ","")&amp;IF(AND(NOT(OR(B463="to_candidate",AW463="proposed_name")),(COUNTIFS('أرقام التواصل'!$A$6:$A$505,"client",'أرقام التواصل'!$B$6:$B$505,A463,'أرقام التواصل'!$I$6:$I$505,"TRUE")+COUNTIFS('أرقام التواصل'!$A$6:$A$505,"client",'أرقام التواصل'!$B$6:$B$505,A463,'أرقام التواصل'!$C$6:$C$505,1))=0),"missing primary contact in أرقام التواصل; ","")&amp;IF(OR(B463="to_candidate",AW463="proposed_name"),IF(AX463="","missing proposed_move_reason; ","")&amp;IF(AY463="","missing proposed_name_key; ",""),"")))))</x:f>
      </x:c>
    </x:row>
    <x:row r="464">
      <x:c r="A464" s="219"/>
      <x:c r="B464" s="220"/>
      <x:c r="C464" s="221"/>
      <x:c r="D464" s="220"/>
      <x:c r="E464" s="222"/>
      <x:c r="F464" s="220"/>
      <x:c r="G464" s="220"/>
      <x:c r="H464" s="220"/>
      <x:c r="I464" s="220"/>
      <x:c r="J464" s="220"/>
      <x:c r="K464" s="220"/>
      <x:c r="L464" s="220" t="str">
        <x:f>IF(TRIM(H464&amp;" "&amp;I464&amp;" "&amp;J464&amp;IF(K464&lt;&gt;""," ("&amp;K464&amp;")",""))="","",TRIM(H464&amp;" "&amp;I464&amp;" "&amp;J464&amp;IF(K464&lt;&gt;""," ("&amp;K464&amp;")","")))</x:f>
      </x:c>
      <x:c r="M464" s="220"/>
      <x:c r="N464" s="220"/>
      <x:c r="O464" s="220"/>
      <x:c r="P464" s="220"/>
      <x:c r="Q464" s="220"/>
      <x:c r="R464" s="220"/>
      <x:c r="S464" s="220"/>
      <x:c r="T464" s="220"/>
      <x:c r="U464" s="220" t="str">
        <x:f>IF(AND(M464="",O464="",Q464="",S464=""),"",IF(S464&lt;&gt;"",S464,IF(Q464&lt;&gt;"",Q464,IF(O464&lt;&gt;"",O464,M464))))</x:f>
      </x:c>
      <x:c r="V464" s="220" t="str">
        <x:f>IF(AND(N464="",P464="",R464="",T464=""),"",IF(T464&lt;&gt;"",T464,IF(R464&lt;&gt;"",R464,IF(P464&lt;&gt;"",P464,N464))))</x:f>
      </x:c>
      <x:c r="W464" s="221"/>
      <x:c r="X464" s="220"/>
      <x:c r="Y464" s="220"/>
      <x:c r="Z464" s="223"/>
      <x:c r="AA464" s="223"/>
      <x:c r="AB464" s="221"/>
      <x:c r="AC464" s="220"/>
      <x:c r="AD464" s="220"/>
      <x:c r="AE464" s="222"/>
      <x:c r="AF464" s="220"/>
      <x:c r="AG464" s="221"/>
      <x:c r="AH464" s="220"/>
      <x:c r="AI464" s="220"/>
      <x:c r="AJ464" s="222"/>
      <x:c r="AK464" s="220"/>
      <x:c r="AL464" s="220"/>
      <x:c r="AM464" s="220"/>
      <x:c r="AN464" s="220"/>
      <x:c r="AO464" s="220"/>
      <x:c r="AP464" s="220"/>
      <x:c r="AQ464" s="220"/>
      <x:c r="AR464" s="222"/>
      <x:c r="AS464" s="220"/>
      <x:c r="AT464" s="220"/>
      <x:c r="AU464" s="220"/>
      <x:c r="AV464" s="220"/>
      <x:c r="AW464" s="220"/>
      <x:c r="AX464" s="220"/>
      <x:c r="AY464" s="221"/>
      <x:c r="AZ464" s="220"/>
      <x:c r="BA464" s="220" t="str">
        <x:f>IF(AND(A464="",B464="",F464="",H464="",J464="",AW464="",AY464=""),"",IF(OR(B464="skip",AW464="skip"),"SKIP",IF(OR(B464="to_candidate",AW464="proposed_name"),IF(OR(A464="",AX464="",AY464="",COUNTIF($A$6:$A$505,A464)&gt;1),"REVIEW","TO_PROPOSED"),IF(OR(B464="",A464="",F464="",H464="",J464="",U464="",AW464="",COUNTIF($A$6:$A$505,A464)&gt;1,(COUNTIFS('أرقام التواصل'!$A$6:$A$505,"client",'أرقام التواصل'!$B$6:$B$505,A464,'أرقام التواصل'!$I$6:$I$505,"TRUE")+COUNTIFS('أرقام التواصل'!$A$6:$A$505,"client",'أرقام التواصل'!$B$6:$B$505,A464,'أرقام التواصل'!$C$6:$C$505,1))=0),"REVIEW","READY"))))</x:f>
      </x:c>
      <x:c r="BB464" s="224" t="str">
        <x:f>IF(BA464="","",IF(OR(BA464="READY",BA464="TO_PROPOSED"),"",IF(BA464="SKIP","Skipped by decision",TRIM(IF(B464="","missing import_action; ","")&amp;IF(A464="","missing migration_customer_key; ","")&amp;IF(AND(A464&lt;&gt;"",COUNTIF($A$6:$A$505,A464)&gt;1),"duplicate migration_customer_key; ","")&amp;IF(AND(NOT(OR(B464="to_candidate",AW464="proposed_name")),F464=""),"missing branch_id; ","")&amp;IF(AND(NOT(OR(B464="to_candidate",AW464="proposed_name")),H464=""),"missing first_name; ","")&amp;IF(AND(NOT(OR(B464="to_candidate",AW464="proposed_name")),J464=""),"missing last_name; ","")&amp;IF(AND(NOT(OR(B464="to_candidate",AW464="proposed_name")),U464=""),"missing final_geo_unit_id; ","")&amp;IF(AW464="","missing final_destination; ","")&amp;IF(AND(NOT(OR(B464="to_candidate",AW464="proposed_name")),(COUNTIFS('أرقام التواصل'!$A$6:$A$505,"client",'أرقام التواصل'!$B$6:$B$505,A464,'أرقام التواصل'!$I$6:$I$505,"TRUE")+COUNTIFS('أرقام التواصل'!$A$6:$A$505,"client",'أرقام التواصل'!$B$6:$B$505,A464,'أرقام التواصل'!$C$6:$C$505,1))=0),"missing primary contact in أرقام التواصل; ","")&amp;IF(OR(B464="to_candidate",AW464="proposed_name"),IF(AX464="","missing proposed_move_reason; ","")&amp;IF(AY464="","missing proposed_name_key; ",""),"")))))</x:f>
      </x:c>
    </x:row>
    <x:row r="465">
      <x:c r="A465" s="219"/>
      <x:c r="B465" s="220"/>
      <x:c r="C465" s="221"/>
      <x:c r="D465" s="220"/>
      <x:c r="E465" s="222"/>
      <x:c r="F465" s="220"/>
      <x:c r="G465" s="220"/>
      <x:c r="H465" s="220"/>
      <x:c r="I465" s="220"/>
      <x:c r="J465" s="220"/>
      <x:c r="K465" s="220"/>
      <x:c r="L465" s="220" t="str">
        <x:f>IF(TRIM(H465&amp;" "&amp;I465&amp;" "&amp;J465&amp;IF(K465&lt;&gt;""," ("&amp;K465&amp;")",""))="","",TRIM(H465&amp;" "&amp;I465&amp;" "&amp;J465&amp;IF(K465&lt;&gt;""," ("&amp;K465&amp;")","")))</x:f>
      </x:c>
      <x:c r="M465" s="220"/>
      <x:c r="N465" s="220"/>
      <x:c r="O465" s="220"/>
      <x:c r="P465" s="220"/>
      <x:c r="Q465" s="220"/>
      <x:c r="R465" s="220"/>
      <x:c r="S465" s="220"/>
      <x:c r="T465" s="220"/>
      <x:c r="U465" s="220" t="str">
        <x:f>IF(AND(M465="",O465="",Q465="",S465=""),"",IF(S465&lt;&gt;"",S465,IF(Q465&lt;&gt;"",Q465,IF(O465&lt;&gt;"",O465,M465))))</x:f>
      </x:c>
      <x:c r="V465" s="220" t="str">
        <x:f>IF(AND(N465="",P465="",R465="",T465=""),"",IF(T465&lt;&gt;"",T465,IF(R465&lt;&gt;"",R465,IF(P465&lt;&gt;"",P465,N465))))</x:f>
      </x:c>
      <x:c r="W465" s="221"/>
      <x:c r="X465" s="220"/>
      <x:c r="Y465" s="220"/>
      <x:c r="Z465" s="223"/>
      <x:c r="AA465" s="223"/>
      <x:c r="AB465" s="221"/>
      <x:c r="AC465" s="220"/>
      <x:c r="AD465" s="220"/>
      <x:c r="AE465" s="222"/>
      <x:c r="AF465" s="220"/>
      <x:c r="AG465" s="221"/>
      <x:c r="AH465" s="220"/>
      <x:c r="AI465" s="220"/>
      <x:c r="AJ465" s="222"/>
      <x:c r="AK465" s="220"/>
      <x:c r="AL465" s="220"/>
      <x:c r="AM465" s="220"/>
      <x:c r="AN465" s="220"/>
      <x:c r="AO465" s="220"/>
      <x:c r="AP465" s="220"/>
      <x:c r="AQ465" s="220"/>
      <x:c r="AR465" s="222"/>
      <x:c r="AS465" s="220"/>
      <x:c r="AT465" s="220"/>
      <x:c r="AU465" s="220"/>
      <x:c r="AV465" s="220"/>
      <x:c r="AW465" s="220"/>
      <x:c r="AX465" s="220"/>
      <x:c r="AY465" s="221"/>
      <x:c r="AZ465" s="220"/>
      <x:c r="BA465" s="220" t="str">
        <x:f>IF(AND(A465="",B465="",F465="",H465="",J465="",AW465="",AY465=""),"",IF(OR(B465="skip",AW465="skip"),"SKIP",IF(OR(B465="to_candidate",AW465="proposed_name"),IF(OR(A465="",AX465="",AY465="",COUNTIF($A$6:$A$505,A465)&gt;1),"REVIEW","TO_PROPOSED"),IF(OR(B465="",A465="",F465="",H465="",J465="",U465="",AW465="",COUNTIF($A$6:$A$505,A465)&gt;1,(COUNTIFS('أرقام التواصل'!$A$6:$A$505,"client",'أرقام التواصل'!$B$6:$B$505,A465,'أرقام التواصل'!$I$6:$I$505,"TRUE")+COUNTIFS('أرقام التواصل'!$A$6:$A$505,"client",'أرقام التواصل'!$B$6:$B$505,A465,'أرقام التواصل'!$C$6:$C$505,1))=0),"REVIEW","READY"))))</x:f>
      </x:c>
      <x:c r="BB465" s="224" t="str">
        <x:f>IF(BA465="","",IF(OR(BA465="READY",BA465="TO_PROPOSED"),"",IF(BA465="SKIP","Skipped by decision",TRIM(IF(B465="","missing import_action; ","")&amp;IF(A465="","missing migration_customer_key; ","")&amp;IF(AND(A465&lt;&gt;"",COUNTIF($A$6:$A$505,A465)&gt;1),"duplicate migration_customer_key; ","")&amp;IF(AND(NOT(OR(B465="to_candidate",AW465="proposed_name")),F465=""),"missing branch_id; ","")&amp;IF(AND(NOT(OR(B465="to_candidate",AW465="proposed_name")),H465=""),"missing first_name; ","")&amp;IF(AND(NOT(OR(B465="to_candidate",AW465="proposed_name")),J465=""),"missing last_name; ","")&amp;IF(AND(NOT(OR(B465="to_candidate",AW465="proposed_name")),U465=""),"missing final_geo_unit_id; ","")&amp;IF(AW465="","missing final_destination; ","")&amp;IF(AND(NOT(OR(B465="to_candidate",AW465="proposed_name")),(COUNTIFS('أرقام التواصل'!$A$6:$A$505,"client",'أرقام التواصل'!$B$6:$B$505,A465,'أرقام التواصل'!$I$6:$I$505,"TRUE")+COUNTIFS('أرقام التواصل'!$A$6:$A$505,"client",'أرقام التواصل'!$B$6:$B$505,A465,'أرقام التواصل'!$C$6:$C$505,1))=0),"missing primary contact in أرقام التواصل; ","")&amp;IF(OR(B465="to_candidate",AW465="proposed_name"),IF(AX465="","missing proposed_move_reason; ","")&amp;IF(AY465="","missing proposed_name_key; ",""),"")))))</x:f>
      </x:c>
    </x:row>
    <x:row r="466">
      <x:c r="A466" s="219"/>
      <x:c r="B466" s="220"/>
      <x:c r="C466" s="221"/>
      <x:c r="D466" s="220"/>
      <x:c r="E466" s="222"/>
      <x:c r="F466" s="220"/>
      <x:c r="G466" s="220"/>
      <x:c r="H466" s="220"/>
      <x:c r="I466" s="220"/>
      <x:c r="J466" s="220"/>
      <x:c r="K466" s="220"/>
      <x:c r="L466" s="220" t="str">
        <x:f>IF(TRIM(H466&amp;" "&amp;I466&amp;" "&amp;J466&amp;IF(K466&lt;&gt;""," ("&amp;K466&amp;")",""))="","",TRIM(H466&amp;" "&amp;I466&amp;" "&amp;J466&amp;IF(K466&lt;&gt;""," ("&amp;K466&amp;")","")))</x:f>
      </x:c>
      <x:c r="M466" s="220"/>
      <x:c r="N466" s="220"/>
      <x:c r="O466" s="220"/>
      <x:c r="P466" s="220"/>
      <x:c r="Q466" s="220"/>
      <x:c r="R466" s="220"/>
      <x:c r="S466" s="220"/>
      <x:c r="T466" s="220"/>
      <x:c r="U466" s="220" t="str">
        <x:f>IF(AND(M466="",O466="",Q466="",S466=""),"",IF(S466&lt;&gt;"",S466,IF(Q466&lt;&gt;"",Q466,IF(O466&lt;&gt;"",O466,M466))))</x:f>
      </x:c>
      <x:c r="V466" s="220" t="str">
        <x:f>IF(AND(N466="",P466="",R466="",T466=""),"",IF(T466&lt;&gt;"",T466,IF(R466&lt;&gt;"",R466,IF(P466&lt;&gt;"",P466,N466))))</x:f>
      </x:c>
      <x:c r="W466" s="221"/>
      <x:c r="X466" s="220"/>
      <x:c r="Y466" s="220"/>
      <x:c r="Z466" s="223"/>
      <x:c r="AA466" s="223"/>
      <x:c r="AB466" s="221"/>
      <x:c r="AC466" s="220"/>
      <x:c r="AD466" s="220"/>
      <x:c r="AE466" s="222"/>
      <x:c r="AF466" s="220"/>
      <x:c r="AG466" s="221"/>
      <x:c r="AH466" s="220"/>
      <x:c r="AI466" s="220"/>
      <x:c r="AJ466" s="222"/>
      <x:c r="AK466" s="220"/>
      <x:c r="AL466" s="220"/>
      <x:c r="AM466" s="220"/>
      <x:c r="AN466" s="220"/>
      <x:c r="AO466" s="220"/>
      <x:c r="AP466" s="220"/>
      <x:c r="AQ466" s="220"/>
      <x:c r="AR466" s="222"/>
      <x:c r="AS466" s="220"/>
      <x:c r="AT466" s="220"/>
      <x:c r="AU466" s="220"/>
      <x:c r="AV466" s="220"/>
      <x:c r="AW466" s="220"/>
      <x:c r="AX466" s="220"/>
      <x:c r="AY466" s="221"/>
      <x:c r="AZ466" s="220"/>
      <x:c r="BA466" s="220" t="str">
        <x:f>IF(AND(A466="",B466="",F466="",H466="",J466="",AW466="",AY466=""),"",IF(OR(B466="skip",AW466="skip"),"SKIP",IF(OR(B466="to_candidate",AW466="proposed_name"),IF(OR(A466="",AX466="",AY466="",COUNTIF($A$6:$A$505,A466)&gt;1),"REVIEW","TO_PROPOSED"),IF(OR(B466="",A466="",F466="",H466="",J466="",U466="",AW466="",COUNTIF($A$6:$A$505,A466)&gt;1,(COUNTIFS('أرقام التواصل'!$A$6:$A$505,"client",'أرقام التواصل'!$B$6:$B$505,A466,'أرقام التواصل'!$I$6:$I$505,"TRUE")+COUNTIFS('أرقام التواصل'!$A$6:$A$505,"client",'أرقام التواصل'!$B$6:$B$505,A466,'أرقام التواصل'!$C$6:$C$505,1))=0),"REVIEW","READY"))))</x:f>
      </x:c>
      <x:c r="BB466" s="224" t="str">
        <x:f>IF(BA466="","",IF(OR(BA466="READY",BA466="TO_PROPOSED"),"",IF(BA466="SKIP","Skipped by decision",TRIM(IF(B466="","missing import_action; ","")&amp;IF(A466="","missing migration_customer_key; ","")&amp;IF(AND(A466&lt;&gt;"",COUNTIF($A$6:$A$505,A466)&gt;1),"duplicate migration_customer_key; ","")&amp;IF(AND(NOT(OR(B466="to_candidate",AW466="proposed_name")),F466=""),"missing branch_id; ","")&amp;IF(AND(NOT(OR(B466="to_candidate",AW466="proposed_name")),H466=""),"missing first_name; ","")&amp;IF(AND(NOT(OR(B466="to_candidate",AW466="proposed_name")),J466=""),"missing last_name; ","")&amp;IF(AND(NOT(OR(B466="to_candidate",AW466="proposed_name")),U466=""),"missing final_geo_unit_id; ","")&amp;IF(AW466="","missing final_destination; ","")&amp;IF(AND(NOT(OR(B466="to_candidate",AW466="proposed_name")),(COUNTIFS('أرقام التواصل'!$A$6:$A$505,"client",'أرقام التواصل'!$B$6:$B$505,A466,'أرقام التواصل'!$I$6:$I$505,"TRUE")+COUNTIFS('أرقام التواصل'!$A$6:$A$505,"client",'أرقام التواصل'!$B$6:$B$505,A466,'أرقام التواصل'!$C$6:$C$505,1))=0),"missing primary contact in أرقام التواصل; ","")&amp;IF(OR(B466="to_candidate",AW466="proposed_name"),IF(AX466="","missing proposed_move_reason; ","")&amp;IF(AY466="","missing proposed_name_key; ",""),"")))))</x:f>
      </x:c>
    </x:row>
    <x:row r="467">
      <x:c r="A467" s="219"/>
      <x:c r="B467" s="220"/>
      <x:c r="C467" s="221"/>
      <x:c r="D467" s="220"/>
      <x:c r="E467" s="222"/>
      <x:c r="F467" s="220"/>
      <x:c r="G467" s="220"/>
      <x:c r="H467" s="220"/>
      <x:c r="I467" s="220"/>
      <x:c r="J467" s="220"/>
      <x:c r="K467" s="220"/>
      <x:c r="L467" s="220" t="str">
        <x:f>IF(TRIM(H467&amp;" "&amp;I467&amp;" "&amp;J467&amp;IF(K467&lt;&gt;""," ("&amp;K467&amp;")",""))="","",TRIM(H467&amp;" "&amp;I467&amp;" "&amp;J467&amp;IF(K467&lt;&gt;""," ("&amp;K467&amp;")","")))</x:f>
      </x:c>
      <x:c r="M467" s="220"/>
      <x:c r="N467" s="220"/>
      <x:c r="O467" s="220"/>
      <x:c r="P467" s="220"/>
      <x:c r="Q467" s="220"/>
      <x:c r="R467" s="220"/>
      <x:c r="S467" s="220"/>
      <x:c r="T467" s="220"/>
      <x:c r="U467" s="220" t="str">
        <x:f>IF(AND(M467="",O467="",Q467="",S467=""),"",IF(S467&lt;&gt;"",S467,IF(Q467&lt;&gt;"",Q467,IF(O467&lt;&gt;"",O467,M467))))</x:f>
      </x:c>
      <x:c r="V467" s="220" t="str">
        <x:f>IF(AND(N467="",P467="",R467="",T467=""),"",IF(T467&lt;&gt;"",T467,IF(R467&lt;&gt;"",R467,IF(P467&lt;&gt;"",P467,N467))))</x:f>
      </x:c>
      <x:c r="W467" s="221"/>
      <x:c r="X467" s="220"/>
      <x:c r="Y467" s="220"/>
      <x:c r="Z467" s="223"/>
      <x:c r="AA467" s="223"/>
      <x:c r="AB467" s="221"/>
      <x:c r="AC467" s="220"/>
      <x:c r="AD467" s="220"/>
      <x:c r="AE467" s="222"/>
      <x:c r="AF467" s="220"/>
      <x:c r="AG467" s="221"/>
      <x:c r="AH467" s="220"/>
      <x:c r="AI467" s="220"/>
      <x:c r="AJ467" s="222"/>
      <x:c r="AK467" s="220"/>
      <x:c r="AL467" s="220"/>
      <x:c r="AM467" s="220"/>
      <x:c r="AN467" s="220"/>
      <x:c r="AO467" s="220"/>
      <x:c r="AP467" s="220"/>
      <x:c r="AQ467" s="220"/>
      <x:c r="AR467" s="222"/>
      <x:c r="AS467" s="220"/>
      <x:c r="AT467" s="220"/>
      <x:c r="AU467" s="220"/>
      <x:c r="AV467" s="220"/>
      <x:c r="AW467" s="220"/>
      <x:c r="AX467" s="220"/>
      <x:c r="AY467" s="221"/>
      <x:c r="AZ467" s="220"/>
      <x:c r="BA467" s="220" t="str">
        <x:f>IF(AND(A467="",B467="",F467="",H467="",J467="",AW467="",AY467=""),"",IF(OR(B467="skip",AW467="skip"),"SKIP",IF(OR(B467="to_candidate",AW467="proposed_name"),IF(OR(A467="",AX467="",AY467="",COUNTIF($A$6:$A$505,A467)&gt;1),"REVIEW","TO_PROPOSED"),IF(OR(B467="",A467="",F467="",H467="",J467="",U467="",AW467="",COUNTIF($A$6:$A$505,A467)&gt;1,(COUNTIFS('أرقام التواصل'!$A$6:$A$505,"client",'أرقام التواصل'!$B$6:$B$505,A467,'أرقام التواصل'!$I$6:$I$505,"TRUE")+COUNTIFS('أرقام التواصل'!$A$6:$A$505,"client",'أرقام التواصل'!$B$6:$B$505,A467,'أرقام التواصل'!$C$6:$C$505,1))=0),"REVIEW","READY"))))</x:f>
      </x:c>
      <x:c r="BB467" s="224" t="str">
        <x:f>IF(BA467="","",IF(OR(BA467="READY",BA467="TO_PROPOSED"),"",IF(BA467="SKIP","Skipped by decision",TRIM(IF(B467="","missing import_action; ","")&amp;IF(A467="","missing migration_customer_key; ","")&amp;IF(AND(A467&lt;&gt;"",COUNTIF($A$6:$A$505,A467)&gt;1),"duplicate migration_customer_key; ","")&amp;IF(AND(NOT(OR(B467="to_candidate",AW467="proposed_name")),F467=""),"missing branch_id; ","")&amp;IF(AND(NOT(OR(B467="to_candidate",AW467="proposed_name")),H467=""),"missing first_name; ","")&amp;IF(AND(NOT(OR(B467="to_candidate",AW467="proposed_name")),J467=""),"missing last_name; ","")&amp;IF(AND(NOT(OR(B467="to_candidate",AW467="proposed_name")),U467=""),"missing final_geo_unit_id; ","")&amp;IF(AW467="","missing final_destination; ","")&amp;IF(AND(NOT(OR(B467="to_candidate",AW467="proposed_name")),(COUNTIFS('أرقام التواصل'!$A$6:$A$505,"client",'أرقام التواصل'!$B$6:$B$505,A467,'أرقام التواصل'!$I$6:$I$505,"TRUE")+COUNTIFS('أرقام التواصل'!$A$6:$A$505,"client",'أرقام التواصل'!$B$6:$B$505,A467,'أرقام التواصل'!$C$6:$C$505,1))=0),"missing primary contact in أرقام التواصل; ","")&amp;IF(OR(B467="to_candidate",AW467="proposed_name"),IF(AX467="","missing proposed_move_reason; ","")&amp;IF(AY467="","missing proposed_name_key; ",""),"")))))</x:f>
      </x:c>
    </x:row>
    <x:row r="468">
      <x:c r="A468" s="219"/>
      <x:c r="B468" s="220"/>
      <x:c r="C468" s="221"/>
      <x:c r="D468" s="220"/>
      <x:c r="E468" s="222"/>
      <x:c r="F468" s="220"/>
      <x:c r="G468" s="220"/>
      <x:c r="H468" s="220"/>
      <x:c r="I468" s="220"/>
      <x:c r="J468" s="220"/>
      <x:c r="K468" s="220"/>
      <x:c r="L468" s="220" t="str">
        <x:f>IF(TRIM(H468&amp;" "&amp;I468&amp;" "&amp;J468&amp;IF(K468&lt;&gt;""," ("&amp;K468&amp;")",""))="","",TRIM(H468&amp;" "&amp;I468&amp;" "&amp;J468&amp;IF(K468&lt;&gt;""," ("&amp;K468&amp;")","")))</x:f>
      </x:c>
      <x:c r="M468" s="220"/>
      <x:c r="N468" s="220"/>
      <x:c r="O468" s="220"/>
      <x:c r="P468" s="220"/>
      <x:c r="Q468" s="220"/>
      <x:c r="R468" s="220"/>
      <x:c r="S468" s="220"/>
      <x:c r="T468" s="220"/>
      <x:c r="U468" s="220" t="str">
        <x:f>IF(AND(M468="",O468="",Q468="",S468=""),"",IF(S468&lt;&gt;"",S468,IF(Q468&lt;&gt;"",Q468,IF(O468&lt;&gt;"",O468,M468))))</x:f>
      </x:c>
      <x:c r="V468" s="220" t="str">
        <x:f>IF(AND(N468="",P468="",R468="",T468=""),"",IF(T468&lt;&gt;"",T468,IF(R468&lt;&gt;"",R468,IF(P468&lt;&gt;"",P468,N468))))</x:f>
      </x:c>
      <x:c r="W468" s="221"/>
      <x:c r="X468" s="220"/>
      <x:c r="Y468" s="220"/>
      <x:c r="Z468" s="223"/>
      <x:c r="AA468" s="223"/>
      <x:c r="AB468" s="221"/>
      <x:c r="AC468" s="220"/>
      <x:c r="AD468" s="220"/>
      <x:c r="AE468" s="222"/>
      <x:c r="AF468" s="220"/>
      <x:c r="AG468" s="221"/>
      <x:c r="AH468" s="220"/>
      <x:c r="AI468" s="220"/>
      <x:c r="AJ468" s="222"/>
      <x:c r="AK468" s="220"/>
      <x:c r="AL468" s="220"/>
      <x:c r="AM468" s="220"/>
      <x:c r="AN468" s="220"/>
      <x:c r="AO468" s="220"/>
      <x:c r="AP468" s="220"/>
      <x:c r="AQ468" s="220"/>
      <x:c r="AR468" s="222"/>
      <x:c r="AS468" s="220"/>
      <x:c r="AT468" s="220"/>
      <x:c r="AU468" s="220"/>
      <x:c r="AV468" s="220"/>
      <x:c r="AW468" s="220"/>
      <x:c r="AX468" s="220"/>
      <x:c r="AY468" s="221"/>
      <x:c r="AZ468" s="220"/>
      <x:c r="BA468" s="220" t="str">
        <x:f>IF(AND(A468="",B468="",F468="",H468="",J468="",AW468="",AY468=""),"",IF(OR(B468="skip",AW468="skip"),"SKIP",IF(OR(B468="to_candidate",AW468="proposed_name"),IF(OR(A468="",AX468="",AY468="",COUNTIF($A$6:$A$505,A468)&gt;1),"REVIEW","TO_PROPOSED"),IF(OR(B468="",A468="",F468="",H468="",J468="",U468="",AW468="",COUNTIF($A$6:$A$505,A468)&gt;1,(COUNTIFS('أرقام التواصل'!$A$6:$A$505,"client",'أرقام التواصل'!$B$6:$B$505,A468,'أرقام التواصل'!$I$6:$I$505,"TRUE")+COUNTIFS('أرقام التواصل'!$A$6:$A$505,"client",'أرقام التواصل'!$B$6:$B$505,A468,'أرقام التواصل'!$C$6:$C$505,1))=0),"REVIEW","READY"))))</x:f>
      </x:c>
      <x:c r="BB468" s="224" t="str">
        <x:f>IF(BA468="","",IF(OR(BA468="READY",BA468="TO_PROPOSED"),"",IF(BA468="SKIP","Skipped by decision",TRIM(IF(B468="","missing import_action; ","")&amp;IF(A468="","missing migration_customer_key; ","")&amp;IF(AND(A468&lt;&gt;"",COUNTIF($A$6:$A$505,A468)&gt;1),"duplicate migration_customer_key; ","")&amp;IF(AND(NOT(OR(B468="to_candidate",AW468="proposed_name")),F468=""),"missing branch_id; ","")&amp;IF(AND(NOT(OR(B468="to_candidate",AW468="proposed_name")),H468=""),"missing first_name; ","")&amp;IF(AND(NOT(OR(B468="to_candidate",AW468="proposed_name")),J468=""),"missing last_name; ","")&amp;IF(AND(NOT(OR(B468="to_candidate",AW468="proposed_name")),U468=""),"missing final_geo_unit_id; ","")&amp;IF(AW468="","missing final_destination; ","")&amp;IF(AND(NOT(OR(B468="to_candidate",AW468="proposed_name")),(COUNTIFS('أرقام التواصل'!$A$6:$A$505,"client",'أرقام التواصل'!$B$6:$B$505,A468,'أرقام التواصل'!$I$6:$I$505,"TRUE")+COUNTIFS('أرقام التواصل'!$A$6:$A$505,"client",'أرقام التواصل'!$B$6:$B$505,A468,'أرقام التواصل'!$C$6:$C$505,1))=0),"missing primary contact in أرقام التواصل; ","")&amp;IF(OR(B468="to_candidate",AW468="proposed_name"),IF(AX468="","missing proposed_move_reason; ","")&amp;IF(AY468="","missing proposed_name_key; ",""),"")))))</x:f>
      </x:c>
    </x:row>
    <x:row r="469">
      <x:c r="A469" s="219"/>
      <x:c r="B469" s="220"/>
      <x:c r="C469" s="221"/>
      <x:c r="D469" s="220"/>
      <x:c r="E469" s="222"/>
      <x:c r="F469" s="220"/>
      <x:c r="G469" s="220"/>
      <x:c r="H469" s="220"/>
      <x:c r="I469" s="220"/>
      <x:c r="J469" s="220"/>
      <x:c r="K469" s="220"/>
      <x:c r="L469" s="220" t="str">
        <x:f>IF(TRIM(H469&amp;" "&amp;I469&amp;" "&amp;J469&amp;IF(K469&lt;&gt;""," ("&amp;K469&amp;")",""))="","",TRIM(H469&amp;" "&amp;I469&amp;" "&amp;J469&amp;IF(K469&lt;&gt;""," ("&amp;K469&amp;")","")))</x:f>
      </x:c>
      <x:c r="M469" s="220"/>
      <x:c r="N469" s="220"/>
      <x:c r="O469" s="220"/>
      <x:c r="P469" s="220"/>
      <x:c r="Q469" s="220"/>
      <x:c r="R469" s="220"/>
      <x:c r="S469" s="220"/>
      <x:c r="T469" s="220"/>
      <x:c r="U469" s="220" t="str">
        <x:f>IF(AND(M469="",O469="",Q469="",S469=""),"",IF(S469&lt;&gt;"",S469,IF(Q469&lt;&gt;"",Q469,IF(O469&lt;&gt;"",O469,M469))))</x:f>
      </x:c>
      <x:c r="V469" s="220" t="str">
        <x:f>IF(AND(N469="",P469="",R469="",T469=""),"",IF(T469&lt;&gt;"",T469,IF(R469&lt;&gt;"",R469,IF(P469&lt;&gt;"",P469,N469))))</x:f>
      </x:c>
      <x:c r="W469" s="221"/>
      <x:c r="X469" s="220"/>
      <x:c r="Y469" s="220"/>
      <x:c r="Z469" s="223"/>
      <x:c r="AA469" s="223"/>
      <x:c r="AB469" s="221"/>
      <x:c r="AC469" s="220"/>
      <x:c r="AD469" s="220"/>
      <x:c r="AE469" s="222"/>
      <x:c r="AF469" s="220"/>
      <x:c r="AG469" s="221"/>
      <x:c r="AH469" s="220"/>
      <x:c r="AI469" s="220"/>
      <x:c r="AJ469" s="222"/>
      <x:c r="AK469" s="220"/>
      <x:c r="AL469" s="220"/>
      <x:c r="AM469" s="220"/>
      <x:c r="AN469" s="220"/>
      <x:c r="AO469" s="220"/>
      <x:c r="AP469" s="220"/>
      <x:c r="AQ469" s="220"/>
      <x:c r="AR469" s="222"/>
      <x:c r="AS469" s="220"/>
      <x:c r="AT469" s="220"/>
      <x:c r="AU469" s="220"/>
      <x:c r="AV469" s="220"/>
      <x:c r="AW469" s="220"/>
      <x:c r="AX469" s="220"/>
      <x:c r="AY469" s="221"/>
      <x:c r="AZ469" s="220"/>
      <x:c r="BA469" s="220" t="str">
        <x:f>IF(AND(A469="",B469="",F469="",H469="",J469="",AW469="",AY469=""),"",IF(OR(B469="skip",AW469="skip"),"SKIP",IF(OR(B469="to_candidate",AW469="proposed_name"),IF(OR(A469="",AX469="",AY469="",COUNTIF($A$6:$A$505,A469)&gt;1),"REVIEW","TO_PROPOSED"),IF(OR(B469="",A469="",F469="",H469="",J469="",U469="",AW469="",COUNTIF($A$6:$A$505,A469)&gt;1,(COUNTIFS('أرقام التواصل'!$A$6:$A$505,"client",'أرقام التواصل'!$B$6:$B$505,A469,'أرقام التواصل'!$I$6:$I$505,"TRUE")+COUNTIFS('أرقام التواصل'!$A$6:$A$505,"client",'أرقام التواصل'!$B$6:$B$505,A469,'أرقام التواصل'!$C$6:$C$505,1))=0),"REVIEW","READY"))))</x:f>
      </x:c>
      <x:c r="BB469" s="224" t="str">
        <x:f>IF(BA469="","",IF(OR(BA469="READY",BA469="TO_PROPOSED"),"",IF(BA469="SKIP","Skipped by decision",TRIM(IF(B469="","missing import_action; ","")&amp;IF(A469="","missing migration_customer_key; ","")&amp;IF(AND(A469&lt;&gt;"",COUNTIF($A$6:$A$505,A469)&gt;1),"duplicate migration_customer_key; ","")&amp;IF(AND(NOT(OR(B469="to_candidate",AW469="proposed_name")),F469=""),"missing branch_id; ","")&amp;IF(AND(NOT(OR(B469="to_candidate",AW469="proposed_name")),H469=""),"missing first_name; ","")&amp;IF(AND(NOT(OR(B469="to_candidate",AW469="proposed_name")),J469=""),"missing last_name; ","")&amp;IF(AND(NOT(OR(B469="to_candidate",AW469="proposed_name")),U469=""),"missing final_geo_unit_id; ","")&amp;IF(AW469="","missing final_destination; ","")&amp;IF(AND(NOT(OR(B469="to_candidate",AW469="proposed_name")),(COUNTIFS('أرقام التواصل'!$A$6:$A$505,"client",'أرقام التواصل'!$B$6:$B$505,A469,'أرقام التواصل'!$I$6:$I$505,"TRUE")+COUNTIFS('أرقام التواصل'!$A$6:$A$505,"client",'أرقام التواصل'!$B$6:$B$505,A469,'أرقام التواصل'!$C$6:$C$505,1))=0),"missing primary contact in أرقام التواصل; ","")&amp;IF(OR(B469="to_candidate",AW469="proposed_name"),IF(AX469="","missing proposed_move_reason; ","")&amp;IF(AY469="","missing proposed_name_key; ",""),"")))))</x:f>
      </x:c>
    </x:row>
    <x:row r="470">
      <x:c r="A470" s="219"/>
      <x:c r="B470" s="220"/>
      <x:c r="C470" s="221"/>
      <x:c r="D470" s="220"/>
      <x:c r="E470" s="222"/>
      <x:c r="F470" s="220"/>
      <x:c r="G470" s="220"/>
      <x:c r="H470" s="220"/>
      <x:c r="I470" s="220"/>
      <x:c r="J470" s="220"/>
      <x:c r="K470" s="220"/>
      <x:c r="L470" s="220" t="str">
        <x:f>IF(TRIM(H470&amp;" "&amp;I470&amp;" "&amp;J470&amp;IF(K470&lt;&gt;""," ("&amp;K470&amp;")",""))="","",TRIM(H470&amp;" "&amp;I470&amp;" "&amp;J470&amp;IF(K470&lt;&gt;""," ("&amp;K470&amp;")","")))</x:f>
      </x:c>
      <x:c r="M470" s="220"/>
      <x:c r="N470" s="220"/>
      <x:c r="O470" s="220"/>
      <x:c r="P470" s="220"/>
      <x:c r="Q470" s="220"/>
      <x:c r="R470" s="220"/>
      <x:c r="S470" s="220"/>
      <x:c r="T470" s="220"/>
      <x:c r="U470" s="220" t="str">
        <x:f>IF(AND(M470="",O470="",Q470="",S470=""),"",IF(S470&lt;&gt;"",S470,IF(Q470&lt;&gt;"",Q470,IF(O470&lt;&gt;"",O470,M470))))</x:f>
      </x:c>
      <x:c r="V470" s="220" t="str">
        <x:f>IF(AND(N470="",P470="",R470="",T470=""),"",IF(T470&lt;&gt;"",T470,IF(R470&lt;&gt;"",R470,IF(P470&lt;&gt;"",P470,N470))))</x:f>
      </x:c>
      <x:c r="W470" s="221"/>
      <x:c r="X470" s="220"/>
      <x:c r="Y470" s="220"/>
      <x:c r="Z470" s="223"/>
      <x:c r="AA470" s="223"/>
      <x:c r="AB470" s="221"/>
      <x:c r="AC470" s="220"/>
      <x:c r="AD470" s="220"/>
      <x:c r="AE470" s="222"/>
      <x:c r="AF470" s="220"/>
      <x:c r="AG470" s="221"/>
      <x:c r="AH470" s="220"/>
      <x:c r="AI470" s="220"/>
      <x:c r="AJ470" s="222"/>
      <x:c r="AK470" s="220"/>
      <x:c r="AL470" s="220"/>
      <x:c r="AM470" s="220"/>
      <x:c r="AN470" s="220"/>
      <x:c r="AO470" s="220"/>
      <x:c r="AP470" s="220"/>
      <x:c r="AQ470" s="220"/>
      <x:c r="AR470" s="222"/>
      <x:c r="AS470" s="220"/>
      <x:c r="AT470" s="220"/>
      <x:c r="AU470" s="220"/>
      <x:c r="AV470" s="220"/>
      <x:c r="AW470" s="220"/>
      <x:c r="AX470" s="220"/>
      <x:c r="AY470" s="221"/>
      <x:c r="AZ470" s="220"/>
      <x:c r="BA470" s="220" t="str">
        <x:f>IF(AND(A470="",B470="",F470="",H470="",J470="",AW470="",AY470=""),"",IF(OR(B470="skip",AW470="skip"),"SKIP",IF(OR(B470="to_candidate",AW470="proposed_name"),IF(OR(A470="",AX470="",AY470="",COUNTIF($A$6:$A$505,A470)&gt;1),"REVIEW","TO_PROPOSED"),IF(OR(B470="",A470="",F470="",H470="",J470="",U470="",AW470="",COUNTIF($A$6:$A$505,A470)&gt;1,(COUNTIFS('أرقام التواصل'!$A$6:$A$505,"client",'أرقام التواصل'!$B$6:$B$505,A470,'أرقام التواصل'!$I$6:$I$505,"TRUE")+COUNTIFS('أرقام التواصل'!$A$6:$A$505,"client",'أرقام التواصل'!$B$6:$B$505,A470,'أرقام التواصل'!$C$6:$C$505,1))=0),"REVIEW","READY"))))</x:f>
      </x:c>
      <x:c r="BB470" s="224" t="str">
        <x:f>IF(BA470="","",IF(OR(BA470="READY",BA470="TO_PROPOSED"),"",IF(BA470="SKIP","Skipped by decision",TRIM(IF(B470="","missing import_action; ","")&amp;IF(A470="","missing migration_customer_key; ","")&amp;IF(AND(A470&lt;&gt;"",COUNTIF($A$6:$A$505,A470)&gt;1),"duplicate migration_customer_key; ","")&amp;IF(AND(NOT(OR(B470="to_candidate",AW470="proposed_name")),F470=""),"missing branch_id; ","")&amp;IF(AND(NOT(OR(B470="to_candidate",AW470="proposed_name")),H470=""),"missing first_name; ","")&amp;IF(AND(NOT(OR(B470="to_candidate",AW470="proposed_name")),J470=""),"missing last_name; ","")&amp;IF(AND(NOT(OR(B470="to_candidate",AW470="proposed_name")),U470=""),"missing final_geo_unit_id; ","")&amp;IF(AW470="","missing final_destination; ","")&amp;IF(AND(NOT(OR(B470="to_candidate",AW470="proposed_name")),(COUNTIFS('أرقام التواصل'!$A$6:$A$505,"client",'أرقام التواصل'!$B$6:$B$505,A470,'أرقام التواصل'!$I$6:$I$505,"TRUE")+COUNTIFS('أرقام التواصل'!$A$6:$A$505,"client",'أرقام التواصل'!$B$6:$B$505,A470,'أرقام التواصل'!$C$6:$C$505,1))=0),"missing primary contact in أرقام التواصل; ","")&amp;IF(OR(B470="to_candidate",AW470="proposed_name"),IF(AX470="","missing proposed_move_reason; ","")&amp;IF(AY470="","missing proposed_name_key; ",""),"")))))</x:f>
      </x:c>
    </x:row>
    <x:row r="471">
      <x:c r="A471" s="219"/>
      <x:c r="B471" s="220"/>
      <x:c r="C471" s="221"/>
      <x:c r="D471" s="220"/>
      <x:c r="E471" s="222"/>
      <x:c r="F471" s="220"/>
      <x:c r="G471" s="220"/>
      <x:c r="H471" s="220"/>
      <x:c r="I471" s="220"/>
      <x:c r="J471" s="220"/>
      <x:c r="K471" s="220"/>
      <x:c r="L471" s="220" t="str">
        <x:f>IF(TRIM(H471&amp;" "&amp;I471&amp;" "&amp;J471&amp;IF(K471&lt;&gt;""," ("&amp;K471&amp;")",""))="","",TRIM(H471&amp;" "&amp;I471&amp;" "&amp;J471&amp;IF(K471&lt;&gt;""," ("&amp;K471&amp;")","")))</x:f>
      </x:c>
      <x:c r="M471" s="220"/>
      <x:c r="N471" s="220"/>
      <x:c r="O471" s="220"/>
      <x:c r="P471" s="220"/>
      <x:c r="Q471" s="220"/>
      <x:c r="R471" s="220"/>
      <x:c r="S471" s="220"/>
      <x:c r="T471" s="220"/>
      <x:c r="U471" s="220" t="str">
        <x:f>IF(AND(M471="",O471="",Q471="",S471=""),"",IF(S471&lt;&gt;"",S471,IF(Q471&lt;&gt;"",Q471,IF(O471&lt;&gt;"",O471,M471))))</x:f>
      </x:c>
      <x:c r="V471" s="220" t="str">
        <x:f>IF(AND(N471="",P471="",R471="",T471=""),"",IF(T471&lt;&gt;"",T471,IF(R471&lt;&gt;"",R471,IF(P471&lt;&gt;"",P471,N471))))</x:f>
      </x:c>
      <x:c r="W471" s="221"/>
      <x:c r="X471" s="220"/>
      <x:c r="Y471" s="220"/>
      <x:c r="Z471" s="223"/>
      <x:c r="AA471" s="223"/>
      <x:c r="AB471" s="221"/>
      <x:c r="AC471" s="220"/>
      <x:c r="AD471" s="220"/>
      <x:c r="AE471" s="222"/>
      <x:c r="AF471" s="220"/>
      <x:c r="AG471" s="221"/>
      <x:c r="AH471" s="220"/>
      <x:c r="AI471" s="220"/>
      <x:c r="AJ471" s="222"/>
      <x:c r="AK471" s="220"/>
      <x:c r="AL471" s="220"/>
      <x:c r="AM471" s="220"/>
      <x:c r="AN471" s="220"/>
      <x:c r="AO471" s="220"/>
      <x:c r="AP471" s="220"/>
      <x:c r="AQ471" s="220"/>
      <x:c r="AR471" s="222"/>
      <x:c r="AS471" s="220"/>
      <x:c r="AT471" s="220"/>
      <x:c r="AU471" s="220"/>
      <x:c r="AV471" s="220"/>
      <x:c r="AW471" s="220"/>
      <x:c r="AX471" s="220"/>
      <x:c r="AY471" s="221"/>
      <x:c r="AZ471" s="220"/>
      <x:c r="BA471" s="220" t="str">
        <x:f>IF(AND(A471="",B471="",F471="",H471="",J471="",AW471="",AY471=""),"",IF(OR(B471="skip",AW471="skip"),"SKIP",IF(OR(B471="to_candidate",AW471="proposed_name"),IF(OR(A471="",AX471="",AY471="",COUNTIF($A$6:$A$505,A471)&gt;1),"REVIEW","TO_PROPOSED"),IF(OR(B471="",A471="",F471="",H471="",J471="",U471="",AW471="",COUNTIF($A$6:$A$505,A471)&gt;1,(COUNTIFS('أرقام التواصل'!$A$6:$A$505,"client",'أرقام التواصل'!$B$6:$B$505,A471,'أرقام التواصل'!$I$6:$I$505,"TRUE")+COUNTIFS('أرقام التواصل'!$A$6:$A$505,"client",'أرقام التواصل'!$B$6:$B$505,A471,'أرقام التواصل'!$C$6:$C$505,1))=0),"REVIEW","READY"))))</x:f>
      </x:c>
      <x:c r="BB471" s="224" t="str">
        <x:f>IF(BA471="","",IF(OR(BA471="READY",BA471="TO_PROPOSED"),"",IF(BA471="SKIP","Skipped by decision",TRIM(IF(B471="","missing import_action; ","")&amp;IF(A471="","missing migration_customer_key; ","")&amp;IF(AND(A471&lt;&gt;"",COUNTIF($A$6:$A$505,A471)&gt;1),"duplicate migration_customer_key; ","")&amp;IF(AND(NOT(OR(B471="to_candidate",AW471="proposed_name")),F471=""),"missing branch_id; ","")&amp;IF(AND(NOT(OR(B471="to_candidate",AW471="proposed_name")),H471=""),"missing first_name; ","")&amp;IF(AND(NOT(OR(B471="to_candidate",AW471="proposed_name")),J471=""),"missing last_name; ","")&amp;IF(AND(NOT(OR(B471="to_candidate",AW471="proposed_name")),U471=""),"missing final_geo_unit_id; ","")&amp;IF(AW471="","missing final_destination; ","")&amp;IF(AND(NOT(OR(B471="to_candidate",AW471="proposed_name")),(COUNTIFS('أرقام التواصل'!$A$6:$A$505,"client",'أرقام التواصل'!$B$6:$B$505,A471,'أرقام التواصل'!$I$6:$I$505,"TRUE")+COUNTIFS('أرقام التواصل'!$A$6:$A$505,"client",'أرقام التواصل'!$B$6:$B$505,A471,'أرقام التواصل'!$C$6:$C$505,1))=0),"missing primary contact in أرقام التواصل; ","")&amp;IF(OR(B471="to_candidate",AW471="proposed_name"),IF(AX471="","missing proposed_move_reason; ","")&amp;IF(AY471="","missing proposed_name_key; ",""),"")))))</x:f>
      </x:c>
    </x:row>
    <x:row r="472">
      <x:c r="A472" s="219"/>
      <x:c r="B472" s="220"/>
      <x:c r="C472" s="221"/>
      <x:c r="D472" s="220"/>
      <x:c r="E472" s="222"/>
      <x:c r="F472" s="220"/>
      <x:c r="G472" s="220"/>
      <x:c r="H472" s="220"/>
      <x:c r="I472" s="220"/>
      <x:c r="J472" s="220"/>
      <x:c r="K472" s="220"/>
      <x:c r="L472" s="220" t="str">
        <x:f>IF(TRIM(H472&amp;" "&amp;I472&amp;" "&amp;J472&amp;IF(K472&lt;&gt;""," ("&amp;K472&amp;")",""))="","",TRIM(H472&amp;" "&amp;I472&amp;" "&amp;J472&amp;IF(K472&lt;&gt;""," ("&amp;K472&amp;")","")))</x:f>
      </x:c>
      <x:c r="M472" s="220"/>
      <x:c r="N472" s="220"/>
      <x:c r="O472" s="220"/>
      <x:c r="P472" s="220"/>
      <x:c r="Q472" s="220"/>
      <x:c r="R472" s="220"/>
      <x:c r="S472" s="220"/>
      <x:c r="T472" s="220"/>
      <x:c r="U472" s="220" t="str">
        <x:f>IF(AND(M472="",O472="",Q472="",S472=""),"",IF(S472&lt;&gt;"",S472,IF(Q472&lt;&gt;"",Q472,IF(O472&lt;&gt;"",O472,M472))))</x:f>
      </x:c>
      <x:c r="V472" s="220" t="str">
        <x:f>IF(AND(N472="",P472="",R472="",T472=""),"",IF(T472&lt;&gt;"",T472,IF(R472&lt;&gt;"",R472,IF(P472&lt;&gt;"",P472,N472))))</x:f>
      </x:c>
      <x:c r="W472" s="221"/>
      <x:c r="X472" s="220"/>
      <x:c r="Y472" s="220"/>
      <x:c r="Z472" s="223"/>
      <x:c r="AA472" s="223"/>
      <x:c r="AB472" s="221"/>
      <x:c r="AC472" s="220"/>
      <x:c r="AD472" s="220"/>
      <x:c r="AE472" s="222"/>
      <x:c r="AF472" s="220"/>
      <x:c r="AG472" s="221"/>
      <x:c r="AH472" s="220"/>
      <x:c r="AI472" s="220"/>
      <x:c r="AJ472" s="222"/>
      <x:c r="AK472" s="220"/>
      <x:c r="AL472" s="220"/>
      <x:c r="AM472" s="220"/>
      <x:c r="AN472" s="220"/>
      <x:c r="AO472" s="220"/>
      <x:c r="AP472" s="220"/>
      <x:c r="AQ472" s="220"/>
      <x:c r="AR472" s="222"/>
      <x:c r="AS472" s="220"/>
      <x:c r="AT472" s="220"/>
      <x:c r="AU472" s="220"/>
      <x:c r="AV472" s="220"/>
      <x:c r="AW472" s="220"/>
      <x:c r="AX472" s="220"/>
      <x:c r="AY472" s="221"/>
      <x:c r="AZ472" s="220"/>
      <x:c r="BA472" s="220" t="str">
        <x:f>IF(AND(A472="",B472="",F472="",H472="",J472="",AW472="",AY472=""),"",IF(OR(B472="skip",AW472="skip"),"SKIP",IF(OR(B472="to_candidate",AW472="proposed_name"),IF(OR(A472="",AX472="",AY472="",COUNTIF($A$6:$A$505,A472)&gt;1),"REVIEW","TO_PROPOSED"),IF(OR(B472="",A472="",F472="",H472="",J472="",U472="",AW472="",COUNTIF($A$6:$A$505,A472)&gt;1,(COUNTIFS('أرقام التواصل'!$A$6:$A$505,"client",'أرقام التواصل'!$B$6:$B$505,A472,'أرقام التواصل'!$I$6:$I$505,"TRUE")+COUNTIFS('أرقام التواصل'!$A$6:$A$505,"client",'أرقام التواصل'!$B$6:$B$505,A472,'أرقام التواصل'!$C$6:$C$505,1))=0),"REVIEW","READY"))))</x:f>
      </x:c>
      <x:c r="BB472" s="224" t="str">
        <x:f>IF(BA472="","",IF(OR(BA472="READY",BA472="TO_PROPOSED"),"",IF(BA472="SKIP","Skipped by decision",TRIM(IF(B472="","missing import_action; ","")&amp;IF(A472="","missing migration_customer_key; ","")&amp;IF(AND(A472&lt;&gt;"",COUNTIF($A$6:$A$505,A472)&gt;1),"duplicate migration_customer_key; ","")&amp;IF(AND(NOT(OR(B472="to_candidate",AW472="proposed_name")),F472=""),"missing branch_id; ","")&amp;IF(AND(NOT(OR(B472="to_candidate",AW472="proposed_name")),H472=""),"missing first_name; ","")&amp;IF(AND(NOT(OR(B472="to_candidate",AW472="proposed_name")),J472=""),"missing last_name; ","")&amp;IF(AND(NOT(OR(B472="to_candidate",AW472="proposed_name")),U472=""),"missing final_geo_unit_id; ","")&amp;IF(AW472="","missing final_destination; ","")&amp;IF(AND(NOT(OR(B472="to_candidate",AW472="proposed_name")),(COUNTIFS('أرقام التواصل'!$A$6:$A$505,"client",'أرقام التواصل'!$B$6:$B$505,A472,'أرقام التواصل'!$I$6:$I$505,"TRUE")+COUNTIFS('أرقام التواصل'!$A$6:$A$505,"client",'أرقام التواصل'!$B$6:$B$505,A472,'أرقام التواصل'!$C$6:$C$505,1))=0),"missing primary contact in أرقام التواصل; ","")&amp;IF(OR(B472="to_candidate",AW472="proposed_name"),IF(AX472="","missing proposed_move_reason; ","")&amp;IF(AY472="","missing proposed_name_key; ",""),"")))))</x:f>
      </x:c>
    </x:row>
    <x:row r="473">
      <x:c r="A473" s="219"/>
      <x:c r="B473" s="220"/>
      <x:c r="C473" s="221"/>
      <x:c r="D473" s="220"/>
      <x:c r="E473" s="222"/>
      <x:c r="F473" s="220"/>
      <x:c r="G473" s="220"/>
      <x:c r="H473" s="220"/>
      <x:c r="I473" s="220"/>
      <x:c r="J473" s="220"/>
      <x:c r="K473" s="220"/>
      <x:c r="L473" s="220" t="str">
        <x:f>IF(TRIM(H473&amp;" "&amp;I473&amp;" "&amp;J473&amp;IF(K473&lt;&gt;""," ("&amp;K473&amp;")",""))="","",TRIM(H473&amp;" "&amp;I473&amp;" "&amp;J473&amp;IF(K473&lt;&gt;""," ("&amp;K473&amp;")","")))</x:f>
      </x:c>
      <x:c r="M473" s="220"/>
      <x:c r="N473" s="220"/>
      <x:c r="O473" s="220"/>
      <x:c r="P473" s="220"/>
      <x:c r="Q473" s="220"/>
      <x:c r="R473" s="220"/>
      <x:c r="S473" s="220"/>
      <x:c r="T473" s="220"/>
      <x:c r="U473" s="220" t="str">
        <x:f>IF(AND(M473="",O473="",Q473="",S473=""),"",IF(S473&lt;&gt;"",S473,IF(Q473&lt;&gt;"",Q473,IF(O473&lt;&gt;"",O473,M473))))</x:f>
      </x:c>
      <x:c r="V473" s="220" t="str">
        <x:f>IF(AND(N473="",P473="",R473="",T473=""),"",IF(T473&lt;&gt;"",T473,IF(R473&lt;&gt;"",R473,IF(P473&lt;&gt;"",P473,N473))))</x:f>
      </x:c>
      <x:c r="W473" s="221"/>
      <x:c r="X473" s="220"/>
      <x:c r="Y473" s="220"/>
      <x:c r="Z473" s="223"/>
      <x:c r="AA473" s="223"/>
      <x:c r="AB473" s="221"/>
      <x:c r="AC473" s="220"/>
      <x:c r="AD473" s="220"/>
      <x:c r="AE473" s="222"/>
      <x:c r="AF473" s="220"/>
      <x:c r="AG473" s="221"/>
      <x:c r="AH473" s="220"/>
      <x:c r="AI473" s="220"/>
      <x:c r="AJ473" s="222"/>
      <x:c r="AK473" s="220"/>
      <x:c r="AL473" s="220"/>
      <x:c r="AM473" s="220"/>
      <x:c r="AN473" s="220"/>
      <x:c r="AO473" s="220"/>
      <x:c r="AP473" s="220"/>
      <x:c r="AQ473" s="220"/>
      <x:c r="AR473" s="222"/>
      <x:c r="AS473" s="220"/>
      <x:c r="AT473" s="220"/>
      <x:c r="AU473" s="220"/>
      <x:c r="AV473" s="220"/>
      <x:c r="AW473" s="220"/>
      <x:c r="AX473" s="220"/>
      <x:c r="AY473" s="221"/>
      <x:c r="AZ473" s="220"/>
      <x:c r="BA473" s="220" t="str">
        <x:f>IF(AND(A473="",B473="",F473="",H473="",J473="",AW473="",AY473=""),"",IF(OR(B473="skip",AW473="skip"),"SKIP",IF(OR(B473="to_candidate",AW473="proposed_name"),IF(OR(A473="",AX473="",AY473="",COUNTIF($A$6:$A$505,A473)&gt;1),"REVIEW","TO_PROPOSED"),IF(OR(B473="",A473="",F473="",H473="",J473="",U473="",AW473="",COUNTIF($A$6:$A$505,A473)&gt;1,(COUNTIFS('أرقام التواصل'!$A$6:$A$505,"client",'أرقام التواصل'!$B$6:$B$505,A473,'أرقام التواصل'!$I$6:$I$505,"TRUE")+COUNTIFS('أرقام التواصل'!$A$6:$A$505,"client",'أرقام التواصل'!$B$6:$B$505,A473,'أرقام التواصل'!$C$6:$C$505,1))=0),"REVIEW","READY"))))</x:f>
      </x:c>
      <x:c r="BB473" s="224" t="str">
        <x:f>IF(BA473="","",IF(OR(BA473="READY",BA473="TO_PROPOSED"),"",IF(BA473="SKIP","Skipped by decision",TRIM(IF(B473="","missing import_action; ","")&amp;IF(A473="","missing migration_customer_key; ","")&amp;IF(AND(A473&lt;&gt;"",COUNTIF($A$6:$A$505,A473)&gt;1),"duplicate migration_customer_key; ","")&amp;IF(AND(NOT(OR(B473="to_candidate",AW473="proposed_name")),F473=""),"missing branch_id; ","")&amp;IF(AND(NOT(OR(B473="to_candidate",AW473="proposed_name")),H473=""),"missing first_name; ","")&amp;IF(AND(NOT(OR(B473="to_candidate",AW473="proposed_name")),J473=""),"missing last_name; ","")&amp;IF(AND(NOT(OR(B473="to_candidate",AW473="proposed_name")),U473=""),"missing final_geo_unit_id; ","")&amp;IF(AW473="","missing final_destination; ","")&amp;IF(AND(NOT(OR(B473="to_candidate",AW473="proposed_name")),(COUNTIFS('أرقام التواصل'!$A$6:$A$505,"client",'أرقام التواصل'!$B$6:$B$505,A473,'أرقام التواصل'!$I$6:$I$505,"TRUE")+COUNTIFS('أرقام التواصل'!$A$6:$A$505,"client",'أرقام التواصل'!$B$6:$B$505,A473,'أرقام التواصل'!$C$6:$C$505,1))=0),"missing primary contact in أرقام التواصل; ","")&amp;IF(OR(B473="to_candidate",AW473="proposed_name"),IF(AX473="","missing proposed_move_reason; ","")&amp;IF(AY473="","missing proposed_name_key; ",""),"")))))</x:f>
      </x:c>
    </x:row>
    <x:row r="474">
      <x:c r="A474" s="219"/>
      <x:c r="B474" s="220"/>
      <x:c r="C474" s="221"/>
      <x:c r="D474" s="220"/>
      <x:c r="E474" s="222"/>
      <x:c r="F474" s="220"/>
      <x:c r="G474" s="220"/>
      <x:c r="H474" s="220"/>
      <x:c r="I474" s="220"/>
      <x:c r="J474" s="220"/>
      <x:c r="K474" s="220"/>
      <x:c r="L474" s="220" t="str">
        <x:f>IF(TRIM(H474&amp;" "&amp;I474&amp;" "&amp;J474&amp;IF(K474&lt;&gt;""," ("&amp;K474&amp;")",""))="","",TRIM(H474&amp;" "&amp;I474&amp;" "&amp;J474&amp;IF(K474&lt;&gt;""," ("&amp;K474&amp;")","")))</x:f>
      </x:c>
      <x:c r="M474" s="220"/>
      <x:c r="N474" s="220"/>
      <x:c r="O474" s="220"/>
      <x:c r="P474" s="220"/>
      <x:c r="Q474" s="220"/>
      <x:c r="R474" s="220"/>
      <x:c r="S474" s="220"/>
      <x:c r="T474" s="220"/>
      <x:c r="U474" s="220" t="str">
        <x:f>IF(AND(M474="",O474="",Q474="",S474=""),"",IF(S474&lt;&gt;"",S474,IF(Q474&lt;&gt;"",Q474,IF(O474&lt;&gt;"",O474,M474))))</x:f>
      </x:c>
      <x:c r="V474" s="220" t="str">
        <x:f>IF(AND(N474="",P474="",R474="",T474=""),"",IF(T474&lt;&gt;"",T474,IF(R474&lt;&gt;"",R474,IF(P474&lt;&gt;"",P474,N474))))</x:f>
      </x:c>
      <x:c r="W474" s="221"/>
      <x:c r="X474" s="220"/>
      <x:c r="Y474" s="220"/>
      <x:c r="Z474" s="223"/>
      <x:c r="AA474" s="223"/>
      <x:c r="AB474" s="221"/>
      <x:c r="AC474" s="220"/>
      <x:c r="AD474" s="220"/>
      <x:c r="AE474" s="222"/>
      <x:c r="AF474" s="220"/>
      <x:c r="AG474" s="221"/>
      <x:c r="AH474" s="220"/>
      <x:c r="AI474" s="220"/>
      <x:c r="AJ474" s="222"/>
      <x:c r="AK474" s="220"/>
      <x:c r="AL474" s="220"/>
      <x:c r="AM474" s="220"/>
      <x:c r="AN474" s="220"/>
      <x:c r="AO474" s="220"/>
      <x:c r="AP474" s="220"/>
      <x:c r="AQ474" s="220"/>
      <x:c r="AR474" s="222"/>
      <x:c r="AS474" s="220"/>
      <x:c r="AT474" s="220"/>
      <x:c r="AU474" s="220"/>
      <x:c r="AV474" s="220"/>
      <x:c r="AW474" s="220"/>
      <x:c r="AX474" s="220"/>
      <x:c r="AY474" s="221"/>
      <x:c r="AZ474" s="220"/>
      <x:c r="BA474" s="220" t="str">
        <x:f>IF(AND(A474="",B474="",F474="",H474="",J474="",AW474="",AY474=""),"",IF(OR(B474="skip",AW474="skip"),"SKIP",IF(OR(B474="to_candidate",AW474="proposed_name"),IF(OR(A474="",AX474="",AY474="",COUNTIF($A$6:$A$505,A474)&gt;1),"REVIEW","TO_PROPOSED"),IF(OR(B474="",A474="",F474="",H474="",J474="",U474="",AW474="",COUNTIF($A$6:$A$505,A474)&gt;1,(COUNTIFS('أرقام التواصل'!$A$6:$A$505,"client",'أرقام التواصل'!$B$6:$B$505,A474,'أرقام التواصل'!$I$6:$I$505,"TRUE")+COUNTIFS('أرقام التواصل'!$A$6:$A$505,"client",'أرقام التواصل'!$B$6:$B$505,A474,'أرقام التواصل'!$C$6:$C$505,1))=0),"REVIEW","READY"))))</x:f>
      </x:c>
      <x:c r="BB474" s="224" t="str">
        <x:f>IF(BA474="","",IF(OR(BA474="READY",BA474="TO_PROPOSED"),"",IF(BA474="SKIP","Skipped by decision",TRIM(IF(B474="","missing import_action; ","")&amp;IF(A474="","missing migration_customer_key; ","")&amp;IF(AND(A474&lt;&gt;"",COUNTIF($A$6:$A$505,A474)&gt;1),"duplicate migration_customer_key; ","")&amp;IF(AND(NOT(OR(B474="to_candidate",AW474="proposed_name")),F474=""),"missing branch_id; ","")&amp;IF(AND(NOT(OR(B474="to_candidate",AW474="proposed_name")),H474=""),"missing first_name; ","")&amp;IF(AND(NOT(OR(B474="to_candidate",AW474="proposed_name")),J474=""),"missing last_name; ","")&amp;IF(AND(NOT(OR(B474="to_candidate",AW474="proposed_name")),U474=""),"missing final_geo_unit_id; ","")&amp;IF(AW474="","missing final_destination; ","")&amp;IF(AND(NOT(OR(B474="to_candidate",AW474="proposed_name")),(COUNTIFS('أرقام التواصل'!$A$6:$A$505,"client",'أرقام التواصل'!$B$6:$B$505,A474,'أرقام التواصل'!$I$6:$I$505,"TRUE")+COUNTIFS('أرقام التواصل'!$A$6:$A$505,"client",'أرقام التواصل'!$B$6:$B$505,A474,'أرقام التواصل'!$C$6:$C$505,1))=0),"missing primary contact in أرقام التواصل; ","")&amp;IF(OR(B474="to_candidate",AW474="proposed_name"),IF(AX474="","missing proposed_move_reason; ","")&amp;IF(AY474="","missing proposed_name_key; ",""),"")))))</x:f>
      </x:c>
    </x:row>
    <x:row r="475">
      <x:c r="A475" s="219"/>
      <x:c r="B475" s="220"/>
      <x:c r="C475" s="221"/>
      <x:c r="D475" s="220"/>
      <x:c r="E475" s="222"/>
      <x:c r="F475" s="220"/>
      <x:c r="G475" s="220"/>
      <x:c r="H475" s="220"/>
      <x:c r="I475" s="220"/>
      <x:c r="J475" s="220"/>
      <x:c r="K475" s="220"/>
      <x:c r="L475" s="220" t="str">
        <x:f>IF(TRIM(H475&amp;" "&amp;I475&amp;" "&amp;J475&amp;IF(K475&lt;&gt;""," ("&amp;K475&amp;")",""))="","",TRIM(H475&amp;" "&amp;I475&amp;" "&amp;J475&amp;IF(K475&lt;&gt;""," ("&amp;K475&amp;")","")))</x:f>
      </x:c>
      <x:c r="M475" s="220"/>
      <x:c r="N475" s="220"/>
      <x:c r="O475" s="220"/>
      <x:c r="P475" s="220"/>
      <x:c r="Q475" s="220"/>
      <x:c r="R475" s="220"/>
      <x:c r="S475" s="220"/>
      <x:c r="T475" s="220"/>
      <x:c r="U475" s="220" t="str">
        <x:f>IF(AND(M475="",O475="",Q475="",S475=""),"",IF(S475&lt;&gt;"",S475,IF(Q475&lt;&gt;"",Q475,IF(O475&lt;&gt;"",O475,M475))))</x:f>
      </x:c>
      <x:c r="V475" s="220" t="str">
        <x:f>IF(AND(N475="",P475="",R475="",T475=""),"",IF(T475&lt;&gt;"",T475,IF(R475&lt;&gt;"",R475,IF(P475&lt;&gt;"",P475,N475))))</x:f>
      </x:c>
      <x:c r="W475" s="221"/>
      <x:c r="X475" s="220"/>
      <x:c r="Y475" s="220"/>
      <x:c r="Z475" s="223"/>
      <x:c r="AA475" s="223"/>
      <x:c r="AB475" s="221"/>
      <x:c r="AC475" s="220"/>
      <x:c r="AD475" s="220"/>
      <x:c r="AE475" s="222"/>
      <x:c r="AF475" s="220"/>
      <x:c r="AG475" s="221"/>
      <x:c r="AH475" s="220"/>
      <x:c r="AI475" s="220"/>
      <x:c r="AJ475" s="222"/>
      <x:c r="AK475" s="220"/>
      <x:c r="AL475" s="220"/>
      <x:c r="AM475" s="220"/>
      <x:c r="AN475" s="220"/>
      <x:c r="AO475" s="220"/>
      <x:c r="AP475" s="220"/>
      <x:c r="AQ475" s="220"/>
      <x:c r="AR475" s="222"/>
      <x:c r="AS475" s="220"/>
      <x:c r="AT475" s="220"/>
      <x:c r="AU475" s="220"/>
      <x:c r="AV475" s="220"/>
      <x:c r="AW475" s="220"/>
      <x:c r="AX475" s="220"/>
      <x:c r="AY475" s="221"/>
      <x:c r="AZ475" s="220"/>
      <x:c r="BA475" s="220" t="str">
        <x:f>IF(AND(A475="",B475="",F475="",H475="",J475="",AW475="",AY475=""),"",IF(OR(B475="skip",AW475="skip"),"SKIP",IF(OR(B475="to_candidate",AW475="proposed_name"),IF(OR(A475="",AX475="",AY475="",COUNTIF($A$6:$A$505,A475)&gt;1),"REVIEW","TO_PROPOSED"),IF(OR(B475="",A475="",F475="",H475="",J475="",U475="",AW475="",COUNTIF($A$6:$A$505,A475)&gt;1,(COUNTIFS('أرقام التواصل'!$A$6:$A$505,"client",'أرقام التواصل'!$B$6:$B$505,A475,'أرقام التواصل'!$I$6:$I$505,"TRUE")+COUNTIFS('أرقام التواصل'!$A$6:$A$505,"client",'أرقام التواصل'!$B$6:$B$505,A475,'أرقام التواصل'!$C$6:$C$505,1))=0),"REVIEW","READY"))))</x:f>
      </x:c>
      <x:c r="BB475" s="224" t="str">
        <x:f>IF(BA475="","",IF(OR(BA475="READY",BA475="TO_PROPOSED"),"",IF(BA475="SKIP","Skipped by decision",TRIM(IF(B475="","missing import_action; ","")&amp;IF(A475="","missing migration_customer_key; ","")&amp;IF(AND(A475&lt;&gt;"",COUNTIF($A$6:$A$505,A475)&gt;1),"duplicate migration_customer_key; ","")&amp;IF(AND(NOT(OR(B475="to_candidate",AW475="proposed_name")),F475=""),"missing branch_id; ","")&amp;IF(AND(NOT(OR(B475="to_candidate",AW475="proposed_name")),H475=""),"missing first_name; ","")&amp;IF(AND(NOT(OR(B475="to_candidate",AW475="proposed_name")),J475=""),"missing last_name; ","")&amp;IF(AND(NOT(OR(B475="to_candidate",AW475="proposed_name")),U475=""),"missing final_geo_unit_id; ","")&amp;IF(AW475="","missing final_destination; ","")&amp;IF(AND(NOT(OR(B475="to_candidate",AW475="proposed_name")),(COUNTIFS('أرقام التواصل'!$A$6:$A$505,"client",'أرقام التواصل'!$B$6:$B$505,A475,'أرقام التواصل'!$I$6:$I$505,"TRUE")+COUNTIFS('أرقام التواصل'!$A$6:$A$505,"client",'أرقام التواصل'!$B$6:$B$505,A475,'أرقام التواصل'!$C$6:$C$505,1))=0),"missing primary contact in أرقام التواصل; ","")&amp;IF(OR(B475="to_candidate",AW475="proposed_name"),IF(AX475="","missing proposed_move_reason; ","")&amp;IF(AY475="","missing proposed_name_key; ",""),"")))))</x:f>
      </x:c>
    </x:row>
    <x:row r="476">
      <x:c r="A476" s="219"/>
      <x:c r="B476" s="220"/>
      <x:c r="C476" s="221"/>
      <x:c r="D476" s="220"/>
      <x:c r="E476" s="222"/>
      <x:c r="F476" s="220"/>
      <x:c r="G476" s="220"/>
      <x:c r="H476" s="220"/>
      <x:c r="I476" s="220"/>
      <x:c r="J476" s="220"/>
      <x:c r="K476" s="220"/>
      <x:c r="L476" s="220" t="str">
        <x:f>IF(TRIM(H476&amp;" "&amp;I476&amp;" "&amp;J476&amp;IF(K476&lt;&gt;""," ("&amp;K476&amp;")",""))="","",TRIM(H476&amp;" "&amp;I476&amp;" "&amp;J476&amp;IF(K476&lt;&gt;""," ("&amp;K476&amp;")","")))</x:f>
      </x:c>
      <x:c r="M476" s="220"/>
      <x:c r="N476" s="220"/>
      <x:c r="O476" s="220"/>
      <x:c r="P476" s="220"/>
      <x:c r="Q476" s="220"/>
      <x:c r="R476" s="220"/>
      <x:c r="S476" s="220"/>
      <x:c r="T476" s="220"/>
      <x:c r="U476" s="220" t="str">
        <x:f>IF(AND(M476="",O476="",Q476="",S476=""),"",IF(S476&lt;&gt;"",S476,IF(Q476&lt;&gt;"",Q476,IF(O476&lt;&gt;"",O476,M476))))</x:f>
      </x:c>
      <x:c r="V476" s="220" t="str">
        <x:f>IF(AND(N476="",P476="",R476="",T476=""),"",IF(T476&lt;&gt;"",T476,IF(R476&lt;&gt;"",R476,IF(P476&lt;&gt;"",P476,N476))))</x:f>
      </x:c>
      <x:c r="W476" s="221"/>
      <x:c r="X476" s="220"/>
      <x:c r="Y476" s="220"/>
      <x:c r="Z476" s="223"/>
      <x:c r="AA476" s="223"/>
      <x:c r="AB476" s="221"/>
      <x:c r="AC476" s="220"/>
      <x:c r="AD476" s="220"/>
      <x:c r="AE476" s="222"/>
      <x:c r="AF476" s="220"/>
      <x:c r="AG476" s="221"/>
      <x:c r="AH476" s="220"/>
      <x:c r="AI476" s="220"/>
      <x:c r="AJ476" s="222"/>
      <x:c r="AK476" s="220"/>
      <x:c r="AL476" s="220"/>
      <x:c r="AM476" s="220"/>
      <x:c r="AN476" s="220"/>
      <x:c r="AO476" s="220"/>
      <x:c r="AP476" s="220"/>
      <x:c r="AQ476" s="220"/>
      <x:c r="AR476" s="222"/>
      <x:c r="AS476" s="220"/>
      <x:c r="AT476" s="220"/>
      <x:c r="AU476" s="220"/>
      <x:c r="AV476" s="220"/>
      <x:c r="AW476" s="220"/>
      <x:c r="AX476" s="220"/>
      <x:c r="AY476" s="221"/>
      <x:c r="AZ476" s="220"/>
      <x:c r="BA476" s="220" t="str">
        <x:f>IF(AND(A476="",B476="",F476="",H476="",J476="",AW476="",AY476=""),"",IF(OR(B476="skip",AW476="skip"),"SKIP",IF(OR(B476="to_candidate",AW476="proposed_name"),IF(OR(A476="",AX476="",AY476="",COUNTIF($A$6:$A$505,A476)&gt;1),"REVIEW","TO_PROPOSED"),IF(OR(B476="",A476="",F476="",H476="",J476="",U476="",AW476="",COUNTIF($A$6:$A$505,A476)&gt;1,(COUNTIFS('أرقام التواصل'!$A$6:$A$505,"client",'أرقام التواصل'!$B$6:$B$505,A476,'أرقام التواصل'!$I$6:$I$505,"TRUE")+COUNTIFS('أرقام التواصل'!$A$6:$A$505,"client",'أرقام التواصل'!$B$6:$B$505,A476,'أرقام التواصل'!$C$6:$C$505,1))=0),"REVIEW","READY"))))</x:f>
      </x:c>
      <x:c r="BB476" s="224" t="str">
        <x:f>IF(BA476="","",IF(OR(BA476="READY",BA476="TO_PROPOSED"),"",IF(BA476="SKIP","Skipped by decision",TRIM(IF(B476="","missing import_action; ","")&amp;IF(A476="","missing migration_customer_key; ","")&amp;IF(AND(A476&lt;&gt;"",COUNTIF($A$6:$A$505,A476)&gt;1),"duplicate migration_customer_key; ","")&amp;IF(AND(NOT(OR(B476="to_candidate",AW476="proposed_name")),F476=""),"missing branch_id; ","")&amp;IF(AND(NOT(OR(B476="to_candidate",AW476="proposed_name")),H476=""),"missing first_name; ","")&amp;IF(AND(NOT(OR(B476="to_candidate",AW476="proposed_name")),J476=""),"missing last_name; ","")&amp;IF(AND(NOT(OR(B476="to_candidate",AW476="proposed_name")),U476=""),"missing final_geo_unit_id; ","")&amp;IF(AW476="","missing final_destination; ","")&amp;IF(AND(NOT(OR(B476="to_candidate",AW476="proposed_name")),(COUNTIFS('أرقام التواصل'!$A$6:$A$505,"client",'أرقام التواصل'!$B$6:$B$505,A476,'أرقام التواصل'!$I$6:$I$505,"TRUE")+COUNTIFS('أرقام التواصل'!$A$6:$A$505,"client",'أرقام التواصل'!$B$6:$B$505,A476,'أرقام التواصل'!$C$6:$C$505,1))=0),"missing primary contact in أرقام التواصل; ","")&amp;IF(OR(B476="to_candidate",AW476="proposed_name"),IF(AX476="","missing proposed_move_reason; ","")&amp;IF(AY476="","missing proposed_name_key; ",""),"")))))</x:f>
      </x:c>
    </x:row>
    <x:row r="477">
      <x:c r="A477" s="219"/>
      <x:c r="B477" s="220"/>
      <x:c r="C477" s="221"/>
      <x:c r="D477" s="220"/>
      <x:c r="E477" s="222"/>
      <x:c r="F477" s="220"/>
      <x:c r="G477" s="220"/>
      <x:c r="H477" s="220"/>
      <x:c r="I477" s="220"/>
      <x:c r="J477" s="220"/>
      <x:c r="K477" s="220"/>
      <x:c r="L477" s="220" t="str">
        <x:f>IF(TRIM(H477&amp;" "&amp;I477&amp;" "&amp;J477&amp;IF(K477&lt;&gt;""," ("&amp;K477&amp;")",""))="","",TRIM(H477&amp;" "&amp;I477&amp;" "&amp;J477&amp;IF(K477&lt;&gt;""," ("&amp;K477&amp;")","")))</x:f>
      </x:c>
      <x:c r="M477" s="220"/>
      <x:c r="N477" s="220"/>
      <x:c r="O477" s="220"/>
      <x:c r="P477" s="220"/>
      <x:c r="Q477" s="220"/>
      <x:c r="R477" s="220"/>
      <x:c r="S477" s="220"/>
      <x:c r="T477" s="220"/>
      <x:c r="U477" s="220" t="str">
        <x:f>IF(AND(M477="",O477="",Q477="",S477=""),"",IF(S477&lt;&gt;"",S477,IF(Q477&lt;&gt;"",Q477,IF(O477&lt;&gt;"",O477,M477))))</x:f>
      </x:c>
      <x:c r="V477" s="220" t="str">
        <x:f>IF(AND(N477="",P477="",R477="",T477=""),"",IF(T477&lt;&gt;"",T477,IF(R477&lt;&gt;"",R477,IF(P477&lt;&gt;"",P477,N477))))</x:f>
      </x:c>
      <x:c r="W477" s="221"/>
      <x:c r="X477" s="220"/>
      <x:c r="Y477" s="220"/>
      <x:c r="Z477" s="223"/>
      <x:c r="AA477" s="223"/>
      <x:c r="AB477" s="221"/>
      <x:c r="AC477" s="220"/>
      <x:c r="AD477" s="220"/>
      <x:c r="AE477" s="222"/>
      <x:c r="AF477" s="220"/>
      <x:c r="AG477" s="221"/>
      <x:c r="AH477" s="220"/>
      <x:c r="AI477" s="220"/>
      <x:c r="AJ477" s="222"/>
      <x:c r="AK477" s="220"/>
      <x:c r="AL477" s="220"/>
      <x:c r="AM477" s="220"/>
      <x:c r="AN477" s="220"/>
      <x:c r="AO477" s="220"/>
      <x:c r="AP477" s="220"/>
      <x:c r="AQ477" s="220"/>
      <x:c r="AR477" s="222"/>
      <x:c r="AS477" s="220"/>
      <x:c r="AT477" s="220"/>
      <x:c r="AU477" s="220"/>
      <x:c r="AV477" s="220"/>
      <x:c r="AW477" s="220"/>
      <x:c r="AX477" s="220"/>
      <x:c r="AY477" s="221"/>
      <x:c r="AZ477" s="220"/>
      <x:c r="BA477" s="220" t="str">
        <x:f>IF(AND(A477="",B477="",F477="",H477="",J477="",AW477="",AY477=""),"",IF(OR(B477="skip",AW477="skip"),"SKIP",IF(OR(B477="to_candidate",AW477="proposed_name"),IF(OR(A477="",AX477="",AY477="",COUNTIF($A$6:$A$505,A477)&gt;1),"REVIEW","TO_PROPOSED"),IF(OR(B477="",A477="",F477="",H477="",J477="",U477="",AW477="",COUNTIF($A$6:$A$505,A477)&gt;1,(COUNTIFS('أرقام التواصل'!$A$6:$A$505,"client",'أرقام التواصل'!$B$6:$B$505,A477,'أرقام التواصل'!$I$6:$I$505,"TRUE")+COUNTIFS('أرقام التواصل'!$A$6:$A$505,"client",'أرقام التواصل'!$B$6:$B$505,A477,'أرقام التواصل'!$C$6:$C$505,1))=0),"REVIEW","READY"))))</x:f>
      </x:c>
      <x:c r="BB477" s="224" t="str">
        <x:f>IF(BA477="","",IF(OR(BA477="READY",BA477="TO_PROPOSED"),"",IF(BA477="SKIP","Skipped by decision",TRIM(IF(B477="","missing import_action; ","")&amp;IF(A477="","missing migration_customer_key; ","")&amp;IF(AND(A477&lt;&gt;"",COUNTIF($A$6:$A$505,A477)&gt;1),"duplicate migration_customer_key; ","")&amp;IF(AND(NOT(OR(B477="to_candidate",AW477="proposed_name")),F477=""),"missing branch_id; ","")&amp;IF(AND(NOT(OR(B477="to_candidate",AW477="proposed_name")),H477=""),"missing first_name; ","")&amp;IF(AND(NOT(OR(B477="to_candidate",AW477="proposed_name")),J477=""),"missing last_name; ","")&amp;IF(AND(NOT(OR(B477="to_candidate",AW477="proposed_name")),U477=""),"missing final_geo_unit_id; ","")&amp;IF(AW477="","missing final_destination; ","")&amp;IF(AND(NOT(OR(B477="to_candidate",AW477="proposed_name")),(COUNTIFS('أرقام التواصل'!$A$6:$A$505,"client",'أرقام التواصل'!$B$6:$B$505,A477,'أرقام التواصل'!$I$6:$I$505,"TRUE")+COUNTIFS('أرقام التواصل'!$A$6:$A$505,"client",'أرقام التواصل'!$B$6:$B$505,A477,'أرقام التواصل'!$C$6:$C$505,1))=0),"missing primary contact in أرقام التواصل; ","")&amp;IF(OR(B477="to_candidate",AW477="proposed_name"),IF(AX477="","missing proposed_move_reason; ","")&amp;IF(AY477="","missing proposed_name_key; ",""),"")))))</x:f>
      </x:c>
    </x:row>
    <x:row r="478">
      <x:c r="A478" s="219"/>
      <x:c r="B478" s="220"/>
      <x:c r="C478" s="221"/>
      <x:c r="D478" s="220"/>
      <x:c r="E478" s="222"/>
      <x:c r="F478" s="220"/>
      <x:c r="G478" s="220"/>
      <x:c r="H478" s="220"/>
      <x:c r="I478" s="220"/>
      <x:c r="J478" s="220"/>
      <x:c r="K478" s="220"/>
      <x:c r="L478" s="220" t="str">
        <x:f>IF(TRIM(H478&amp;" "&amp;I478&amp;" "&amp;J478&amp;IF(K478&lt;&gt;""," ("&amp;K478&amp;")",""))="","",TRIM(H478&amp;" "&amp;I478&amp;" "&amp;J478&amp;IF(K478&lt;&gt;""," ("&amp;K478&amp;")","")))</x:f>
      </x:c>
      <x:c r="M478" s="220"/>
      <x:c r="N478" s="220"/>
      <x:c r="O478" s="220"/>
      <x:c r="P478" s="220"/>
      <x:c r="Q478" s="220"/>
      <x:c r="R478" s="220"/>
      <x:c r="S478" s="220"/>
      <x:c r="T478" s="220"/>
      <x:c r="U478" s="220" t="str">
        <x:f>IF(AND(M478="",O478="",Q478="",S478=""),"",IF(S478&lt;&gt;"",S478,IF(Q478&lt;&gt;"",Q478,IF(O478&lt;&gt;"",O478,M478))))</x:f>
      </x:c>
      <x:c r="V478" s="220" t="str">
        <x:f>IF(AND(N478="",P478="",R478="",T478=""),"",IF(T478&lt;&gt;"",T478,IF(R478&lt;&gt;"",R478,IF(P478&lt;&gt;"",P478,N478))))</x:f>
      </x:c>
      <x:c r="W478" s="221"/>
      <x:c r="X478" s="220"/>
      <x:c r="Y478" s="220"/>
      <x:c r="Z478" s="223"/>
      <x:c r="AA478" s="223"/>
      <x:c r="AB478" s="221"/>
      <x:c r="AC478" s="220"/>
      <x:c r="AD478" s="220"/>
      <x:c r="AE478" s="222"/>
      <x:c r="AF478" s="220"/>
      <x:c r="AG478" s="221"/>
      <x:c r="AH478" s="220"/>
      <x:c r="AI478" s="220"/>
      <x:c r="AJ478" s="222"/>
      <x:c r="AK478" s="220"/>
      <x:c r="AL478" s="220"/>
      <x:c r="AM478" s="220"/>
      <x:c r="AN478" s="220"/>
      <x:c r="AO478" s="220"/>
      <x:c r="AP478" s="220"/>
      <x:c r="AQ478" s="220"/>
      <x:c r="AR478" s="222"/>
      <x:c r="AS478" s="220"/>
      <x:c r="AT478" s="220"/>
      <x:c r="AU478" s="220"/>
      <x:c r="AV478" s="220"/>
      <x:c r="AW478" s="220"/>
      <x:c r="AX478" s="220"/>
      <x:c r="AY478" s="221"/>
      <x:c r="AZ478" s="220"/>
      <x:c r="BA478" s="220" t="str">
        <x:f>IF(AND(A478="",B478="",F478="",H478="",J478="",AW478="",AY478=""),"",IF(OR(B478="skip",AW478="skip"),"SKIP",IF(OR(B478="to_candidate",AW478="proposed_name"),IF(OR(A478="",AX478="",AY478="",COUNTIF($A$6:$A$505,A478)&gt;1),"REVIEW","TO_PROPOSED"),IF(OR(B478="",A478="",F478="",H478="",J478="",U478="",AW478="",COUNTIF($A$6:$A$505,A478)&gt;1,(COUNTIFS('أرقام التواصل'!$A$6:$A$505,"client",'أرقام التواصل'!$B$6:$B$505,A478,'أرقام التواصل'!$I$6:$I$505,"TRUE")+COUNTIFS('أرقام التواصل'!$A$6:$A$505,"client",'أرقام التواصل'!$B$6:$B$505,A478,'أرقام التواصل'!$C$6:$C$505,1))=0),"REVIEW","READY"))))</x:f>
      </x:c>
      <x:c r="BB478" s="224" t="str">
        <x:f>IF(BA478="","",IF(OR(BA478="READY",BA478="TO_PROPOSED"),"",IF(BA478="SKIP","Skipped by decision",TRIM(IF(B478="","missing import_action; ","")&amp;IF(A478="","missing migration_customer_key; ","")&amp;IF(AND(A478&lt;&gt;"",COUNTIF($A$6:$A$505,A478)&gt;1),"duplicate migration_customer_key; ","")&amp;IF(AND(NOT(OR(B478="to_candidate",AW478="proposed_name")),F478=""),"missing branch_id; ","")&amp;IF(AND(NOT(OR(B478="to_candidate",AW478="proposed_name")),H478=""),"missing first_name; ","")&amp;IF(AND(NOT(OR(B478="to_candidate",AW478="proposed_name")),J478=""),"missing last_name; ","")&amp;IF(AND(NOT(OR(B478="to_candidate",AW478="proposed_name")),U478=""),"missing final_geo_unit_id; ","")&amp;IF(AW478="","missing final_destination; ","")&amp;IF(AND(NOT(OR(B478="to_candidate",AW478="proposed_name")),(COUNTIFS('أرقام التواصل'!$A$6:$A$505,"client",'أرقام التواصل'!$B$6:$B$505,A478,'أرقام التواصل'!$I$6:$I$505,"TRUE")+COUNTIFS('أرقام التواصل'!$A$6:$A$505,"client",'أرقام التواصل'!$B$6:$B$505,A478,'أرقام التواصل'!$C$6:$C$505,1))=0),"missing primary contact in أرقام التواصل; ","")&amp;IF(OR(B478="to_candidate",AW478="proposed_name"),IF(AX478="","missing proposed_move_reason; ","")&amp;IF(AY478="","missing proposed_name_key; ",""),"")))))</x:f>
      </x:c>
    </x:row>
    <x:row r="479">
      <x:c r="A479" s="219"/>
      <x:c r="B479" s="220"/>
      <x:c r="C479" s="221"/>
      <x:c r="D479" s="220"/>
      <x:c r="E479" s="222"/>
      <x:c r="F479" s="220"/>
      <x:c r="G479" s="220"/>
      <x:c r="H479" s="220"/>
      <x:c r="I479" s="220"/>
      <x:c r="J479" s="220"/>
      <x:c r="K479" s="220"/>
      <x:c r="L479" s="220" t="str">
        <x:f>IF(TRIM(H479&amp;" "&amp;I479&amp;" "&amp;J479&amp;IF(K479&lt;&gt;""," ("&amp;K479&amp;")",""))="","",TRIM(H479&amp;" "&amp;I479&amp;" "&amp;J479&amp;IF(K479&lt;&gt;""," ("&amp;K479&amp;")","")))</x:f>
      </x:c>
      <x:c r="M479" s="220"/>
      <x:c r="N479" s="220"/>
      <x:c r="O479" s="220"/>
      <x:c r="P479" s="220"/>
      <x:c r="Q479" s="220"/>
      <x:c r="R479" s="220"/>
      <x:c r="S479" s="220"/>
      <x:c r="T479" s="220"/>
      <x:c r="U479" s="220" t="str">
        <x:f>IF(AND(M479="",O479="",Q479="",S479=""),"",IF(S479&lt;&gt;"",S479,IF(Q479&lt;&gt;"",Q479,IF(O479&lt;&gt;"",O479,M479))))</x:f>
      </x:c>
      <x:c r="V479" s="220" t="str">
        <x:f>IF(AND(N479="",P479="",R479="",T479=""),"",IF(T479&lt;&gt;"",T479,IF(R479&lt;&gt;"",R479,IF(P479&lt;&gt;"",P479,N479))))</x:f>
      </x:c>
      <x:c r="W479" s="221"/>
      <x:c r="X479" s="220"/>
      <x:c r="Y479" s="220"/>
      <x:c r="Z479" s="223"/>
      <x:c r="AA479" s="223"/>
      <x:c r="AB479" s="221"/>
      <x:c r="AC479" s="220"/>
      <x:c r="AD479" s="220"/>
      <x:c r="AE479" s="222"/>
      <x:c r="AF479" s="220"/>
      <x:c r="AG479" s="221"/>
      <x:c r="AH479" s="220"/>
      <x:c r="AI479" s="220"/>
      <x:c r="AJ479" s="222"/>
      <x:c r="AK479" s="220"/>
      <x:c r="AL479" s="220"/>
      <x:c r="AM479" s="220"/>
      <x:c r="AN479" s="220"/>
      <x:c r="AO479" s="220"/>
      <x:c r="AP479" s="220"/>
      <x:c r="AQ479" s="220"/>
      <x:c r="AR479" s="222"/>
      <x:c r="AS479" s="220"/>
      <x:c r="AT479" s="220"/>
      <x:c r="AU479" s="220"/>
      <x:c r="AV479" s="220"/>
      <x:c r="AW479" s="220"/>
      <x:c r="AX479" s="220"/>
      <x:c r="AY479" s="221"/>
      <x:c r="AZ479" s="220"/>
      <x:c r="BA479" s="220" t="str">
        <x:f>IF(AND(A479="",B479="",F479="",H479="",J479="",AW479="",AY479=""),"",IF(OR(B479="skip",AW479="skip"),"SKIP",IF(OR(B479="to_candidate",AW479="proposed_name"),IF(OR(A479="",AX479="",AY479="",COUNTIF($A$6:$A$505,A479)&gt;1),"REVIEW","TO_PROPOSED"),IF(OR(B479="",A479="",F479="",H479="",J479="",U479="",AW479="",COUNTIF($A$6:$A$505,A479)&gt;1,(COUNTIFS('أرقام التواصل'!$A$6:$A$505,"client",'أرقام التواصل'!$B$6:$B$505,A479,'أرقام التواصل'!$I$6:$I$505,"TRUE")+COUNTIFS('أرقام التواصل'!$A$6:$A$505,"client",'أرقام التواصل'!$B$6:$B$505,A479,'أرقام التواصل'!$C$6:$C$505,1))=0),"REVIEW","READY"))))</x:f>
      </x:c>
      <x:c r="BB479" s="224" t="str">
        <x:f>IF(BA479="","",IF(OR(BA479="READY",BA479="TO_PROPOSED"),"",IF(BA479="SKIP","Skipped by decision",TRIM(IF(B479="","missing import_action; ","")&amp;IF(A479="","missing migration_customer_key; ","")&amp;IF(AND(A479&lt;&gt;"",COUNTIF($A$6:$A$505,A479)&gt;1),"duplicate migration_customer_key; ","")&amp;IF(AND(NOT(OR(B479="to_candidate",AW479="proposed_name")),F479=""),"missing branch_id; ","")&amp;IF(AND(NOT(OR(B479="to_candidate",AW479="proposed_name")),H479=""),"missing first_name; ","")&amp;IF(AND(NOT(OR(B479="to_candidate",AW479="proposed_name")),J479=""),"missing last_name; ","")&amp;IF(AND(NOT(OR(B479="to_candidate",AW479="proposed_name")),U479=""),"missing final_geo_unit_id; ","")&amp;IF(AW479="","missing final_destination; ","")&amp;IF(AND(NOT(OR(B479="to_candidate",AW479="proposed_name")),(COUNTIFS('أرقام التواصل'!$A$6:$A$505,"client",'أرقام التواصل'!$B$6:$B$505,A479,'أرقام التواصل'!$I$6:$I$505,"TRUE")+COUNTIFS('أرقام التواصل'!$A$6:$A$505,"client",'أرقام التواصل'!$B$6:$B$505,A479,'أرقام التواصل'!$C$6:$C$505,1))=0),"missing primary contact in أرقام التواصل; ","")&amp;IF(OR(B479="to_candidate",AW479="proposed_name"),IF(AX479="","missing proposed_move_reason; ","")&amp;IF(AY479="","missing proposed_name_key; ",""),"")))))</x:f>
      </x:c>
    </x:row>
    <x:row r="480">
      <x:c r="A480" s="219"/>
      <x:c r="B480" s="220"/>
      <x:c r="C480" s="221"/>
      <x:c r="D480" s="220"/>
      <x:c r="E480" s="222"/>
      <x:c r="F480" s="220"/>
      <x:c r="G480" s="220"/>
      <x:c r="H480" s="220"/>
      <x:c r="I480" s="220"/>
      <x:c r="J480" s="220"/>
      <x:c r="K480" s="220"/>
      <x:c r="L480" s="220" t="str">
        <x:f>IF(TRIM(H480&amp;" "&amp;I480&amp;" "&amp;J480&amp;IF(K480&lt;&gt;""," ("&amp;K480&amp;")",""))="","",TRIM(H480&amp;" "&amp;I480&amp;" "&amp;J480&amp;IF(K480&lt;&gt;""," ("&amp;K480&amp;")","")))</x:f>
      </x:c>
      <x:c r="M480" s="220"/>
      <x:c r="N480" s="220"/>
      <x:c r="O480" s="220"/>
      <x:c r="P480" s="220"/>
      <x:c r="Q480" s="220"/>
      <x:c r="R480" s="220"/>
      <x:c r="S480" s="220"/>
      <x:c r="T480" s="220"/>
      <x:c r="U480" s="220" t="str">
        <x:f>IF(AND(M480="",O480="",Q480="",S480=""),"",IF(S480&lt;&gt;"",S480,IF(Q480&lt;&gt;"",Q480,IF(O480&lt;&gt;"",O480,M480))))</x:f>
      </x:c>
      <x:c r="V480" s="220" t="str">
        <x:f>IF(AND(N480="",P480="",R480="",T480=""),"",IF(T480&lt;&gt;"",T480,IF(R480&lt;&gt;"",R480,IF(P480&lt;&gt;"",P480,N480))))</x:f>
      </x:c>
      <x:c r="W480" s="221"/>
      <x:c r="X480" s="220"/>
      <x:c r="Y480" s="220"/>
      <x:c r="Z480" s="223"/>
      <x:c r="AA480" s="223"/>
      <x:c r="AB480" s="221"/>
      <x:c r="AC480" s="220"/>
      <x:c r="AD480" s="220"/>
      <x:c r="AE480" s="222"/>
      <x:c r="AF480" s="220"/>
      <x:c r="AG480" s="221"/>
      <x:c r="AH480" s="220"/>
      <x:c r="AI480" s="220"/>
      <x:c r="AJ480" s="222"/>
      <x:c r="AK480" s="220"/>
      <x:c r="AL480" s="220"/>
      <x:c r="AM480" s="220"/>
      <x:c r="AN480" s="220"/>
      <x:c r="AO480" s="220"/>
      <x:c r="AP480" s="220"/>
      <x:c r="AQ480" s="220"/>
      <x:c r="AR480" s="222"/>
      <x:c r="AS480" s="220"/>
      <x:c r="AT480" s="220"/>
      <x:c r="AU480" s="220"/>
      <x:c r="AV480" s="220"/>
      <x:c r="AW480" s="220"/>
      <x:c r="AX480" s="220"/>
      <x:c r="AY480" s="221"/>
      <x:c r="AZ480" s="220"/>
      <x:c r="BA480" s="220" t="str">
        <x:f>IF(AND(A480="",B480="",F480="",H480="",J480="",AW480="",AY480=""),"",IF(OR(B480="skip",AW480="skip"),"SKIP",IF(OR(B480="to_candidate",AW480="proposed_name"),IF(OR(A480="",AX480="",AY480="",COUNTIF($A$6:$A$505,A480)&gt;1),"REVIEW","TO_PROPOSED"),IF(OR(B480="",A480="",F480="",H480="",J480="",U480="",AW480="",COUNTIF($A$6:$A$505,A480)&gt;1,(COUNTIFS('أرقام التواصل'!$A$6:$A$505,"client",'أرقام التواصل'!$B$6:$B$505,A480,'أرقام التواصل'!$I$6:$I$505,"TRUE")+COUNTIFS('أرقام التواصل'!$A$6:$A$505,"client",'أرقام التواصل'!$B$6:$B$505,A480,'أرقام التواصل'!$C$6:$C$505,1))=0),"REVIEW","READY"))))</x:f>
      </x:c>
      <x:c r="BB480" s="224" t="str">
        <x:f>IF(BA480="","",IF(OR(BA480="READY",BA480="TO_PROPOSED"),"",IF(BA480="SKIP","Skipped by decision",TRIM(IF(B480="","missing import_action; ","")&amp;IF(A480="","missing migration_customer_key; ","")&amp;IF(AND(A480&lt;&gt;"",COUNTIF($A$6:$A$505,A480)&gt;1),"duplicate migration_customer_key; ","")&amp;IF(AND(NOT(OR(B480="to_candidate",AW480="proposed_name")),F480=""),"missing branch_id; ","")&amp;IF(AND(NOT(OR(B480="to_candidate",AW480="proposed_name")),H480=""),"missing first_name; ","")&amp;IF(AND(NOT(OR(B480="to_candidate",AW480="proposed_name")),J480=""),"missing last_name; ","")&amp;IF(AND(NOT(OR(B480="to_candidate",AW480="proposed_name")),U480=""),"missing final_geo_unit_id; ","")&amp;IF(AW480="","missing final_destination; ","")&amp;IF(AND(NOT(OR(B480="to_candidate",AW480="proposed_name")),(COUNTIFS('أرقام التواصل'!$A$6:$A$505,"client",'أرقام التواصل'!$B$6:$B$505,A480,'أرقام التواصل'!$I$6:$I$505,"TRUE")+COUNTIFS('أرقام التواصل'!$A$6:$A$505,"client",'أرقام التواصل'!$B$6:$B$505,A480,'أرقام التواصل'!$C$6:$C$505,1))=0),"missing primary contact in أرقام التواصل; ","")&amp;IF(OR(B480="to_candidate",AW480="proposed_name"),IF(AX480="","missing proposed_move_reason; ","")&amp;IF(AY480="","missing proposed_name_key; ",""),"")))))</x:f>
      </x:c>
    </x:row>
    <x:row r="481">
      <x:c r="A481" s="219"/>
      <x:c r="B481" s="220"/>
      <x:c r="C481" s="221"/>
      <x:c r="D481" s="220"/>
      <x:c r="E481" s="222"/>
      <x:c r="F481" s="220"/>
      <x:c r="G481" s="220"/>
      <x:c r="H481" s="220"/>
      <x:c r="I481" s="220"/>
      <x:c r="J481" s="220"/>
      <x:c r="K481" s="220"/>
      <x:c r="L481" s="220" t="str">
        <x:f>IF(TRIM(H481&amp;" "&amp;I481&amp;" "&amp;J481&amp;IF(K481&lt;&gt;""," ("&amp;K481&amp;")",""))="","",TRIM(H481&amp;" "&amp;I481&amp;" "&amp;J481&amp;IF(K481&lt;&gt;""," ("&amp;K481&amp;")","")))</x:f>
      </x:c>
      <x:c r="M481" s="220"/>
      <x:c r="N481" s="220"/>
      <x:c r="O481" s="220"/>
      <x:c r="P481" s="220"/>
      <x:c r="Q481" s="220"/>
      <x:c r="R481" s="220"/>
      <x:c r="S481" s="220"/>
      <x:c r="T481" s="220"/>
      <x:c r="U481" s="220" t="str">
        <x:f>IF(AND(M481="",O481="",Q481="",S481=""),"",IF(S481&lt;&gt;"",S481,IF(Q481&lt;&gt;"",Q481,IF(O481&lt;&gt;"",O481,M481))))</x:f>
      </x:c>
      <x:c r="V481" s="220" t="str">
        <x:f>IF(AND(N481="",P481="",R481="",T481=""),"",IF(T481&lt;&gt;"",T481,IF(R481&lt;&gt;"",R481,IF(P481&lt;&gt;"",P481,N481))))</x:f>
      </x:c>
      <x:c r="W481" s="221"/>
      <x:c r="X481" s="220"/>
      <x:c r="Y481" s="220"/>
      <x:c r="Z481" s="223"/>
      <x:c r="AA481" s="223"/>
      <x:c r="AB481" s="221"/>
      <x:c r="AC481" s="220"/>
      <x:c r="AD481" s="220"/>
      <x:c r="AE481" s="222"/>
      <x:c r="AF481" s="220"/>
      <x:c r="AG481" s="221"/>
      <x:c r="AH481" s="220"/>
      <x:c r="AI481" s="220"/>
      <x:c r="AJ481" s="222"/>
      <x:c r="AK481" s="220"/>
      <x:c r="AL481" s="220"/>
      <x:c r="AM481" s="220"/>
      <x:c r="AN481" s="220"/>
      <x:c r="AO481" s="220"/>
      <x:c r="AP481" s="220"/>
      <x:c r="AQ481" s="220"/>
      <x:c r="AR481" s="222"/>
      <x:c r="AS481" s="220"/>
      <x:c r="AT481" s="220"/>
      <x:c r="AU481" s="220"/>
      <x:c r="AV481" s="220"/>
      <x:c r="AW481" s="220"/>
      <x:c r="AX481" s="220"/>
      <x:c r="AY481" s="221"/>
      <x:c r="AZ481" s="220"/>
      <x:c r="BA481" s="220" t="str">
        <x:f>IF(AND(A481="",B481="",F481="",H481="",J481="",AW481="",AY481=""),"",IF(OR(B481="skip",AW481="skip"),"SKIP",IF(OR(B481="to_candidate",AW481="proposed_name"),IF(OR(A481="",AX481="",AY481="",COUNTIF($A$6:$A$505,A481)&gt;1),"REVIEW","TO_PROPOSED"),IF(OR(B481="",A481="",F481="",H481="",J481="",U481="",AW481="",COUNTIF($A$6:$A$505,A481)&gt;1,(COUNTIFS('أرقام التواصل'!$A$6:$A$505,"client",'أرقام التواصل'!$B$6:$B$505,A481,'أرقام التواصل'!$I$6:$I$505,"TRUE")+COUNTIFS('أرقام التواصل'!$A$6:$A$505,"client",'أرقام التواصل'!$B$6:$B$505,A481,'أرقام التواصل'!$C$6:$C$505,1))=0),"REVIEW","READY"))))</x:f>
      </x:c>
      <x:c r="BB481" s="224" t="str">
        <x:f>IF(BA481="","",IF(OR(BA481="READY",BA481="TO_PROPOSED"),"",IF(BA481="SKIP","Skipped by decision",TRIM(IF(B481="","missing import_action; ","")&amp;IF(A481="","missing migration_customer_key; ","")&amp;IF(AND(A481&lt;&gt;"",COUNTIF($A$6:$A$505,A481)&gt;1),"duplicate migration_customer_key; ","")&amp;IF(AND(NOT(OR(B481="to_candidate",AW481="proposed_name")),F481=""),"missing branch_id; ","")&amp;IF(AND(NOT(OR(B481="to_candidate",AW481="proposed_name")),H481=""),"missing first_name; ","")&amp;IF(AND(NOT(OR(B481="to_candidate",AW481="proposed_name")),J481=""),"missing last_name; ","")&amp;IF(AND(NOT(OR(B481="to_candidate",AW481="proposed_name")),U481=""),"missing final_geo_unit_id; ","")&amp;IF(AW481="","missing final_destination; ","")&amp;IF(AND(NOT(OR(B481="to_candidate",AW481="proposed_name")),(COUNTIFS('أرقام التواصل'!$A$6:$A$505,"client",'أرقام التواصل'!$B$6:$B$505,A481,'أرقام التواصل'!$I$6:$I$505,"TRUE")+COUNTIFS('أرقام التواصل'!$A$6:$A$505,"client",'أرقام التواصل'!$B$6:$B$505,A481,'أرقام التواصل'!$C$6:$C$505,1))=0),"missing primary contact in أرقام التواصل; ","")&amp;IF(OR(B481="to_candidate",AW481="proposed_name"),IF(AX481="","missing proposed_move_reason; ","")&amp;IF(AY481="","missing proposed_name_key; ",""),"")))))</x:f>
      </x:c>
    </x:row>
    <x:row r="482">
      <x:c r="A482" s="219"/>
      <x:c r="B482" s="220"/>
      <x:c r="C482" s="221"/>
      <x:c r="D482" s="220"/>
      <x:c r="E482" s="222"/>
      <x:c r="F482" s="220"/>
      <x:c r="G482" s="220"/>
      <x:c r="H482" s="220"/>
      <x:c r="I482" s="220"/>
      <x:c r="J482" s="220"/>
      <x:c r="K482" s="220"/>
      <x:c r="L482" s="220" t="str">
        <x:f>IF(TRIM(H482&amp;" "&amp;I482&amp;" "&amp;J482&amp;IF(K482&lt;&gt;""," ("&amp;K482&amp;")",""))="","",TRIM(H482&amp;" "&amp;I482&amp;" "&amp;J482&amp;IF(K482&lt;&gt;""," ("&amp;K482&amp;")","")))</x:f>
      </x:c>
      <x:c r="M482" s="220"/>
      <x:c r="N482" s="220"/>
      <x:c r="O482" s="220"/>
      <x:c r="P482" s="220"/>
      <x:c r="Q482" s="220"/>
      <x:c r="R482" s="220"/>
      <x:c r="S482" s="220"/>
      <x:c r="T482" s="220"/>
      <x:c r="U482" s="220" t="str">
        <x:f>IF(AND(M482="",O482="",Q482="",S482=""),"",IF(S482&lt;&gt;"",S482,IF(Q482&lt;&gt;"",Q482,IF(O482&lt;&gt;"",O482,M482))))</x:f>
      </x:c>
      <x:c r="V482" s="220" t="str">
        <x:f>IF(AND(N482="",P482="",R482="",T482=""),"",IF(T482&lt;&gt;"",T482,IF(R482&lt;&gt;"",R482,IF(P482&lt;&gt;"",P482,N482))))</x:f>
      </x:c>
      <x:c r="W482" s="221"/>
      <x:c r="X482" s="220"/>
      <x:c r="Y482" s="220"/>
      <x:c r="Z482" s="223"/>
      <x:c r="AA482" s="223"/>
      <x:c r="AB482" s="221"/>
      <x:c r="AC482" s="220"/>
      <x:c r="AD482" s="220"/>
      <x:c r="AE482" s="222"/>
      <x:c r="AF482" s="220"/>
      <x:c r="AG482" s="221"/>
      <x:c r="AH482" s="220"/>
      <x:c r="AI482" s="220"/>
      <x:c r="AJ482" s="222"/>
      <x:c r="AK482" s="220"/>
      <x:c r="AL482" s="220"/>
      <x:c r="AM482" s="220"/>
      <x:c r="AN482" s="220"/>
      <x:c r="AO482" s="220"/>
      <x:c r="AP482" s="220"/>
      <x:c r="AQ482" s="220"/>
      <x:c r="AR482" s="222"/>
      <x:c r="AS482" s="220"/>
      <x:c r="AT482" s="220"/>
      <x:c r="AU482" s="220"/>
      <x:c r="AV482" s="220"/>
      <x:c r="AW482" s="220"/>
      <x:c r="AX482" s="220"/>
      <x:c r="AY482" s="221"/>
      <x:c r="AZ482" s="220"/>
      <x:c r="BA482" s="220" t="str">
        <x:f>IF(AND(A482="",B482="",F482="",H482="",J482="",AW482="",AY482=""),"",IF(OR(B482="skip",AW482="skip"),"SKIP",IF(OR(B482="to_candidate",AW482="proposed_name"),IF(OR(A482="",AX482="",AY482="",COUNTIF($A$6:$A$505,A482)&gt;1),"REVIEW","TO_PROPOSED"),IF(OR(B482="",A482="",F482="",H482="",J482="",U482="",AW482="",COUNTIF($A$6:$A$505,A482)&gt;1,(COUNTIFS('أرقام التواصل'!$A$6:$A$505,"client",'أرقام التواصل'!$B$6:$B$505,A482,'أرقام التواصل'!$I$6:$I$505,"TRUE")+COUNTIFS('أرقام التواصل'!$A$6:$A$505,"client",'أرقام التواصل'!$B$6:$B$505,A482,'أرقام التواصل'!$C$6:$C$505,1))=0),"REVIEW","READY"))))</x:f>
      </x:c>
      <x:c r="BB482" s="224" t="str">
        <x:f>IF(BA482="","",IF(OR(BA482="READY",BA482="TO_PROPOSED"),"",IF(BA482="SKIP","Skipped by decision",TRIM(IF(B482="","missing import_action; ","")&amp;IF(A482="","missing migration_customer_key; ","")&amp;IF(AND(A482&lt;&gt;"",COUNTIF($A$6:$A$505,A482)&gt;1),"duplicate migration_customer_key; ","")&amp;IF(AND(NOT(OR(B482="to_candidate",AW482="proposed_name")),F482=""),"missing branch_id; ","")&amp;IF(AND(NOT(OR(B482="to_candidate",AW482="proposed_name")),H482=""),"missing first_name; ","")&amp;IF(AND(NOT(OR(B482="to_candidate",AW482="proposed_name")),J482=""),"missing last_name; ","")&amp;IF(AND(NOT(OR(B482="to_candidate",AW482="proposed_name")),U482=""),"missing final_geo_unit_id; ","")&amp;IF(AW482="","missing final_destination; ","")&amp;IF(AND(NOT(OR(B482="to_candidate",AW482="proposed_name")),(COUNTIFS('أرقام التواصل'!$A$6:$A$505,"client",'أرقام التواصل'!$B$6:$B$505,A482,'أرقام التواصل'!$I$6:$I$505,"TRUE")+COUNTIFS('أرقام التواصل'!$A$6:$A$505,"client",'أرقام التواصل'!$B$6:$B$505,A482,'أرقام التواصل'!$C$6:$C$505,1))=0),"missing primary contact in أرقام التواصل; ","")&amp;IF(OR(B482="to_candidate",AW482="proposed_name"),IF(AX482="","missing proposed_move_reason; ","")&amp;IF(AY482="","missing proposed_name_key; ",""),"")))))</x:f>
      </x:c>
    </x:row>
    <x:row r="483">
      <x:c r="A483" s="219"/>
      <x:c r="B483" s="220"/>
      <x:c r="C483" s="221"/>
      <x:c r="D483" s="220"/>
      <x:c r="E483" s="222"/>
      <x:c r="F483" s="220"/>
      <x:c r="G483" s="220"/>
      <x:c r="H483" s="220"/>
      <x:c r="I483" s="220"/>
      <x:c r="J483" s="220"/>
      <x:c r="K483" s="220"/>
      <x:c r="L483" s="220" t="str">
        <x:f>IF(TRIM(H483&amp;" "&amp;I483&amp;" "&amp;J483&amp;IF(K483&lt;&gt;""," ("&amp;K483&amp;")",""))="","",TRIM(H483&amp;" "&amp;I483&amp;" "&amp;J483&amp;IF(K483&lt;&gt;""," ("&amp;K483&amp;")","")))</x:f>
      </x:c>
      <x:c r="M483" s="220"/>
      <x:c r="N483" s="220"/>
      <x:c r="O483" s="220"/>
      <x:c r="P483" s="220"/>
      <x:c r="Q483" s="220"/>
      <x:c r="R483" s="220"/>
      <x:c r="S483" s="220"/>
      <x:c r="T483" s="220"/>
      <x:c r="U483" s="220" t="str">
        <x:f>IF(AND(M483="",O483="",Q483="",S483=""),"",IF(S483&lt;&gt;"",S483,IF(Q483&lt;&gt;"",Q483,IF(O483&lt;&gt;"",O483,M483))))</x:f>
      </x:c>
      <x:c r="V483" s="220" t="str">
        <x:f>IF(AND(N483="",P483="",R483="",T483=""),"",IF(T483&lt;&gt;"",T483,IF(R483&lt;&gt;"",R483,IF(P483&lt;&gt;"",P483,N483))))</x:f>
      </x:c>
      <x:c r="W483" s="221"/>
      <x:c r="X483" s="220"/>
      <x:c r="Y483" s="220"/>
      <x:c r="Z483" s="223"/>
      <x:c r="AA483" s="223"/>
      <x:c r="AB483" s="221"/>
      <x:c r="AC483" s="220"/>
      <x:c r="AD483" s="220"/>
      <x:c r="AE483" s="222"/>
      <x:c r="AF483" s="220"/>
      <x:c r="AG483" s="221"/>
      <x:c r="AH483" s="220"/>
      <x:c r="AI483" s="220"/>
      <x:c r="AJ483" s="222"/>
      <x:c r="AK483" s="220"/>
      <x:c r="AL483" s="220"/>
      <x:c r="AM483" s="220"/>
      <x:c r="AN483" s="220"/>
      <x:c r="AO483" s="220"/>
      <x:c r="AP483" s="220"/>
      <x:c r="AQ483" s="220"/>
      <x:c r="AR483" s="222"/>
      <x:c r="AS483" s="220"/>
      <x:c r="AT483" s="220"/>
      <x:c r="AU483" s="220"/>
      <x:c r="AV483" s="220"/>
      <x:c r="AW483" s="220"/>
      <x:c r="AX483" s="220"/>
      <x:c r="AY483" s="221"/>
      <x:c r="AZ483" s="220"/>
      <x:c r="BA483" s="220" t="str">
        <x:f>IF(AND(A483="",B483="",F483="",H483="",J483="",AW483="",AY483=""),"",IF(OR(B483="skip",AW483="skip"),"SKIP",IF(OR(B483="to_candidate",AW483="proposed_name"),IF(OR(A483="",AX483="",AY483="",COUNTIF($A$6:$A$505,A483)&gt;1),"REVIEW","TO_PROPOSED"),IF(OR(B483="",A483="",F483="",H483="",J483="",U483="",AW483="",COUNTIF($A$6:$A$505,A483)&gt;1,(COUNTIFS('أرقام التواصل'!$A$6:$A$505,"client",'أرقام التواصل'!$B$6:$B$505,A483,'أرقام التواصل'!$I$6:$I$505,"TRUE")+COUNTIFS('أرقام التواصل'!$A$6:$A$505,"client",'أرقام التواصل'!$B$6:$B$505,A483,'أرقام التواصل'!$C$6:$C$505,1))=0),"REVIEW","READY"))))</x:f>
      </x:c>
      <x:c r="BB483" s="224" t="str">
        <x:f>IF(BA483="","",IF(OR(BA483="READY",BA483="TO_PROPOSED"),"",IF(BA483="SKIP","Skipped by decision",TRIM(IF(B483="","missing import_action; ","")&amp;IF(A483="","missing migration_customer_key; ","")&amp;IF(AND(A483&lt;&gt;"",COUNTIF($A$6:$A$505,A483)&gt;1),"duplicate migration_customer_key; ","")&amp;IF(AND(NOT(OR(B483="to_candidate",AW483="proposed_name")),F483=""),"missing branch_id; ","")&amp;IF(AND(NOT(OR(B483="to_candidate",AW483="proposed_name")),H483=""),"missing first_name; ","")&amp;IF(AND(NOT(OR(B483="to_candidate",AW483="proposed_name")),J483=""),"missing last_name; ","")&amp;IF(AND(NOT(OR(B483="to_candidate",AW483="proposed_name")),U483=""),"missing final_geo_unit_id; ","")&amp;IF(AW483="","missing final_destination; ","")&amp;IF(AND(NOT(OR(B483="to_candidate",AW483="proposed_name")),(COUNTIFS('أرقام التواصل'!$A$6:$A$505,"client",'أرقام التواصل'!$B$6:$B$505,A483,'أرقام التواصل'!$I$6:$I$505,"TRUE")+COUNTIFS('أرقام التواصل'!$A$6:$A$505,"client",'أرقام التواصل'!$B$6:$B$505,A483,'أرقام التواصل'!$C$6:$C$505,1))=0),"missing primary contact in أرقام التواصل; ","")&amp;IF(OR(B483="to_candidate",AW483="proposed_name"),IF(AX483="","missing proposed_move_reason; ","")&amp;IF(AY483="","missing proposed_name_key; ",""),"")))))</x:f>
      </x:c>
    </x:row>
    <x:row r="484">
      <x:c r="A484" s="219"/>
      <x:c r="B484" s="220"/>
      <x:c r="C484" s="221"/>
      <x:c r="D484" s="220"/>
      <x:c r="E484" s="222"/>
      <x:c r="F484" s="220"/>
      <x:c r="G484" s="220"/>
      <x:c r="H484" s="220"/>
      <x:c r="I484" s="220"/>
      <x:c r="J484" s="220"/>
      <x:c r="K484" s="220"/>
      <x:c r="L484" s="220" t="str">
        <x:f>IF(TRIM(H484&amp;" "&amp;I484&amp;" "&amp;J484&amp;IF(K484&lt;&gt;""," ("&amp;K484&amp;")",""))="","",TRIM(H484&amp;" "&amp;I484&amp;" "&amp;J484&amp;IF(K484&lt;&gt;""," ("&amp;K484&amp;")","")))</x:f>
      </x:c>
      <x:c r="M484" s="220"/>
      <x:c r="N484" s="220"/>
      <x:c r="O484" s="220"/>
      <x:c r="P484" s="220"/>
      <x:c r="Q484" s="220"/>
      <x:c r="R484" s="220"/>
      <x:c r="S484" s="220"/>
      <x:c r="T484" s="220"/>
      <x:c r="U484" s="220" t="str">
        <x:f>IF(AND(M484="",O484="",Q484="",S484=""),"",IF(S484&lt;&gt;"",S484,IF(Q484&lt;&gt;"",Q484,IF(O484&lt;&gt;"",O484,M484))))</x:f>
      </x:c>
      <x:c r="V484" s="220" t="str">
        <x:f>IF(AND(N484="",P484="",R484="",T484=""),"",IF(T484&lt;&gt;"",T484,IF(R484&lt;&gt;"",R484,IF(P484&lt;&gt;"",P484,N484))))</x:f>
      </x:c>
      <x:c r="W484" s="221"/>
      <x:c r="X484" s="220"/>
      <x:c r="Y484" s="220"/>
      <x:c r="Z484" s="223"/>
      <x:c r="AA484" s="223"/>
      <x:c r="AB484" s="221"/>
      <x:c r="AC484" s="220"/>
      <x:c r="AD484" s="220"/>
      <x:c r="AE484" s="222"/>
      <x:c r="AF484" s="220"/>
      <x:c r="AG484" s="221"/>
      <x:c r="AH484" s="220"/>
      <x:c r="AI484" s="220"/>
      <x:c r="AJ484" s="222"/>
      <x:c r="AK484" s="220"/>
      <x:c r="AL484" s="220"/>
      <x:c r="AM484" s="220"/>
      <x:c r="AN484" s="220"/>
      <x:c r="AO484" s="220"/>
      <x:c r="AP484" s="220"/>
      <x:c r="AQ484" s="220"/>
      <x:c r="AR484" s="222"/>
      <x:c r="AS484" s="220"/>
      <x:c r="AT484" s="220"/>
      <x:c r="AU484" s="220"/>
      <x:c r="AV484" s="220"/>
      <x:c r="AW484" s="220"/>
      <x:c r="AX484" s="220"/>
      <x:c r="AY484" s="221"/>
      <x:c r="AZ484" s="220"/>
      <x:c r="BA484" s="220" t="str">
        <x:f>IF(AND(A484="",B484="",F484="",H484="",J484="",AW484="",AY484=""),"",IF(OR(B484="skip",AW484="skip"),"SKIP",IF(OR(B484="to_candidate",AW484="proposed_name"),IF(OR(A484="",AX484="",AY484="",COUNTIF($A$6:$A$505,A484)&gt;1),"REVIEW","TO_PROPOSED"),IF(OR(B484="",A484="",F484="",H484="",J484="",U484="",AW484="",COUNTIF($A$6:$A$505,A484)&gt;1,(COUNTIFS('أرقام التواصل'!$A$6:$A$505,"client",'أرقام التواصل'!$B$6:$B$505,A484,'أرقام التواصل'!$I$6:$I$505,"TRUE")+COUNTIFS('أرقام التواصل'!$A$6:$A$505,"client",'أرقام التواصل'!$B$6:$B$505,A484,'أرقام التواصل'!$C$6:$C$505,1))=0),"REVIEW","READY"))))</x:f>
      </x:c>
      <x:c r="BB484" s="224" t="str">
        <x:f>IF(BA484="","",IF(OR(BA484="READY",BA484="TO_PROPOSED"),"",IF(BA484="SKIP","Skipped by decision",TRIM(IF(B484="","missing import_action; ","")&amp;IF(A484="","missing migration_customer_key; ","")&amp;IF(AND(A484&lt;&gt;"",COUNTIF($A$6:$A$505,A484)&gt;1),"duplicate migration_customer_key; ","")&amp;IF(AND(NOT(OR(B484="to_candidate",AW484="proposed_name")),F484=""),"missing branch_id; ","")&amp;IF(AND(NOT(OR(B484="to_candidate",AW484="proposed_name")),H484=""),"missing first_name; ","")&amp;IF(AND(NOT(OR(B484="to_candidate",AW484="proposed_name")),J484=""),"missing last_name; ","")&amp;IF(AND(NOT(OR(B484="to_candidate",AW484="proposed_name")),U484=""),"missing final_geo_unit_id; ","")&amp;IF(AW484="","missing final_destination; ","")&amp;IF(AND(NOT(OR(B484="to_candidate",AW484="proposed_name")),(COUNTIFS('أرقام التواصل'!$A$6:$A$505,"client",'أرقام التواصل'!$B$6:$B$505,A484,'أرقام التواصل'!$I$6:$I$505,"TRUE")+COUNTIFS('أرقام التواصل'!$A$6:$A$505,"client",'أرقام التواصل'!$B$6:$B$505,A484,'أرقام التواصل'!$C$6:$C$505,1))=0),"missing primary contact in أرقام التواصل; ","")&amp;IF(OR(B484="to_candidate",AW484="proposed_name"),IF(AX484="","missing proposed_move_reason; ","")&amp;IF(AY484="","missing proposed_name_key; ",""),"")))))</x:f>
      </x:c>
    </x:row>
    <x:row r="485">
      <x:c r="A485" s="219"/>
      <x:c r="B485" s="220"/>
      <x:c r="C485" s="221"/>
      <x:c r="D485" s="220"/>
      <x:c r="E485" s="222"/>
      <x:c r="F485" s="220"/>
      <x:c r="G485" s="220"/>
      <x:c r="H485" s="220"/>
      <x:c r="I485" s="220"/>
      <x:c r="J485" s="220"/>
      <x:c r="K485" s="220"/>
      <x:c r="L485" s="220" t="str">
        <x:f>IF(TRIM(H485&amp;" "&amp;I485&amp;" "&amp;J485&amp;IF(K485&lt;&gt;""," ("&amp;K485&amp;")",""))="","",TRIM(H485&amp;" "&amp;I485&amp;" "&amp;J485&amp;IF(K485&lt;&gt;""," ("&amp;K485&amp;")","")))</x:f>
      </x:c>
      <x:c r="M485" s="220"/>
      <x:c r="N485" s="220"/>
      <x:c r="O485" s="220"/>
      <x:c r="P485" s="220"/>
      <x:c r="Q485" s="220"/>
      <x:c r="R485" s="220"/>
      <x:c r="S485" s="220"/>
      <x:c r="T485" s="220"/>
      <x:c r="U485" s="220" t="str">
        <x:f>IF(AND(M485="",O485="",Q485="",S485=""),"",IF(S485&lt;&gt;"",S485,IF(Q485&lt;&gt;"",Q485,IF(O485&lt;&gt;"",O485,M485))))</x:f>
      </x:c>
      <x:c r="V485" s="220" t="str">
        <x:f>IF(AND(N485="",P485="",R485="",T485=""),"",IF(T485&lt;&gt;"",T485,IF(R485&lt;&gt;"",R485,IF(P485&lt;&gt;"",P485,N485))))</x:f>
      </x:c>
      <x:c r="W485" s="221"/>
      <x:c r="X485" s="220"/>
      <x:c r="Y485" s="220"/>
      <x:c r="Z485" s="223"/>
      <x:c r="AA485" s="223"/>
      <x:c r="AB485" s="221"/>
      <x:c r="AC485" s="220"/>
      <x:c r="AD485" s="220"/>
      <x:c r="AE485" s="222"/>
      <x:c r="AF485" s="220"/>
      <x:c r="AG485" s="221"/>
      <x:c r="AH485" s="220"/>
      <x:c r="AI485" s="220"/>
      <x:c r="AJ485" s="222"/>
      <x:c r="AK485" s="220"/>
      <x:c r="AL485" s="220"/>
      <x:c r="AM485" s="220"/>
      <x:c r="AN485" s="220"/>
      <x:c r="AO485" s="220"/>
      <x:c r="AP485" s="220"/>
      <x:c r="AQ485" s="220"/>
      <x:c r="AR485" s="222"/>
      <x:c r="AS485" s="220"/>
      <x:c r="AT485" s="220"/>
      <x:c r="AU485" s="220"/>
      <x:c r="AV485" s="220"/>
      <x:c r="AW485" s="220"/>
      <x:c r="AX485" s="220"/>
      <x:c r="AY485" s="221"/>
      <x:c r="AZ485" s="220"/>
      <x:c r="BA485" s="220" t="str">
        <x:f>IF(AND(A485="",B485="",F485="",H485="",J485="",AW485="",AY485=""),"",IF(OR(B485="skip",AW485="skip"),"SKIP",IF(OR(B485="to_candidate",AW485="proposed_name"),IF(OR(A485="",AX485="",AY485="",COUNTIF($A$6:$A$505,A485)&gt;1),"REVIEW","TO_PROPOSED"),IF(OR(B485="",A485="",F485="",H485="",J485="",U485="",AW485="",COUNTIF($A$6:$A$505,A485)&gt;1,(COUNTIFS('أرقام التواصل'!$A$6:$A$505,"client",'أرقام التواصل'!$B$6:$B$505,A485,'أرقام التواصل'!$I$6:$I$505,"TRUE")+COUNTIFS('أرقام التواصل'!$A$6:$A$505,"client",'أرقام التواصل'!$B$6:$B$505,A485,'أرقام التواصل'!$C$6:$C$505,1))=0),"REVIEW","READY"))))</x:f>
      </x:c>
      <x:c r="BB485" s="224" t="str">
        <x:f>IF(BA485="","",IF(OR(BA485="READY",BA485="TO_PROPOSED"),"",IF(BA485="SKIP","Skipped by decision",TRIM(IF(B485="","missing import_action; ","")&amp;IF(A485="","missing migration_customer_key; ","")&amp;IF(AND(A485&lt;&gt;"",COUNTIF($A$6:$A$505,A485)&gt;1),"duplicate migration_customer_key; ","")&amp;IF(AND(NOT(OR(B485="to_candidate",AW485="proposed_name")),F485=""),"missing branch_id; ","")&amp;IF(AND(NOT(OR(B485="to_candidate",AW485="proposed_name")),H485=""),"missing first_name; ","")&amp;IF(AND(NOT(OR(B485="to_candidate",AW485="proposed_name")),J485=""),"missing last_name; ","")&amp;IF(AND(NOT(OR(B485="to_candidate",AW485="proposed_name")),U485=""),"missing final_geo_unit_id; ","")&amp;IF(AW485="","missing final_destination; ","")&amp;IF(AND(NOT(OR(B485="to_candidate",AW485="proposed_name")),(COUNTIFS('أرقام التواصل'!$A$6:$A$505,"client",'أرقام التواصل'!$B$6:$B$505,A485,'أرقام التواصل'!$I$6:$I$505,"TRUE")+COUNTIFS('أرقام التواصل'!$A$6:$A$505,"client",'أرقام التواصل'!$B$6:$B$505,A485,'أرقام التواصل'!$C$6:$C$505,1))=0),"missing primary contact in أرقام التواصل; ","")&amp;IF(OR(B485="to_candidate",AW485="proposed_name"),IF(AX485="","missing proposed_move_reason; ","")&amp;IF(AY485="","missing proposed_name_key; ",""),"")))))</x:f>
      </x:c>
    </x:row>
    <x:row r="486">
      <x:c r="A486" s="219"/>
      <x:c r="B486" s="220"/>
      <x:c r="C486" s="221"/>
      <x:c r="D486" s="220"/>
      <x:c r="E486" s="222"/>
      <x:c r="F486" s="220"/>
      <x:c r="G486" s="220"/>
      <x:c r="H486" s="220"/>
      <x:c r="I486" s="220"/>
      <x:c r="J486" s="220"/>
      <x:c r="K486" s="220"/>
      <x:c r="L486" s="220" t="str">
        <x:f>IF(TRIM(H486&amp;" "&amp;I486&amp;" "&amp;J486&amp;IF(K486&lt;&gt;""," ("&amp;K486&amp;")",""))="","",TRIM(H486&amp;" "&amp;I486&amp;" "&amp;J486&amp;IF(K486&lt;&gt;""," ("&amp;K486&amp;")","")))</x:f>
      </x:c>
      <x:c r="M486" s="220"/>
      <x:c r="N486" s="220"/>
      <x:c r="O486" s="220"/>
      <x:c r="P486" s="220"/>
      <x:c r="Q486" s="220"/>
      <x:c r="R486" s="220"/>
      <x:c r="S486" s="220"/>
      <x:c r="T486" s="220"/>
      <x:c r="U486" s="220" t="str">
        <x:f>IF(AND(M486="",O486="",Q486="",S486=""),"",IF(S486&lt;&gt;"",S486,IF(Q486&lt;&gt;"",Q486,IF(O486&lt;&gt;"",O486,M486))))</x:f>
      </x:c>
      <x:c r="V486" s="220" t="str">
        <x:f>IF(AND(N486="",P486="",R486="",T486=""),"",IF(T486&lt;&gt;"",T486,IF(R486&lt;&gt;"",R486,IF(P486&lt;&gt;"",P486,N486))))</x:f>
      </x:c>
      <x:c r="W486" s="221"/>
      <x:c r="X486" s="220"/>
      <x:c r="Y486" s="220"/>
      <x:c r="Z486" s="223"/>
      <x:c r="AA486" s="223"/>
      <x:c r="AB486" s="221"/>
      <x:c r="AC486" s="220"/>
      <x:c r="AD486" s="220"/>
      <x:c r="AE486" s="222"/>
      <x:c r="AF486" s="220"/>
      <x:c r="AG486" s="221"/>
      <x:c r="AH486" s="220"/>
      <x:c r="AI486" s="220"/>
      <x:c r="AJ486" s="222"/>
      <x:c r="AK486" s="220"/>
      <x:c r="AL486" s="220"/>
      <x:c r="AM486" s="220"/>
      <x:c r="AN486" s="220"/>
      <x:c r="AO486" s="220"/>
      <x:c r="AP486" s="220"/>
      <x:c r="AQ486" s="220"/>
      <x:c r="AR486" s="222"/>
      <x:c r="AS486" s="220"/>
      <x:c r="AT486" s="220"/>
      <x:c r="AU486" s="220"/>
      <x:c r="AV486" s="220"/>
      <x:c r="AW486" s="220"/>
      <x:c r="AX486" s="220"/>
      <x:c r="AY486" s="221"/>
      <x:c r="AZ486" s="220"/>
      <x:c r="BA486" s="220" t="str">
        <x:f>IF(AND(A486="",B486="",F486="",H486="",J486="",AW486="",AY486=""),"",IF(OR(B486="skip",AW486="skip"),"SKIP",IF(OR(B486="to_candidate",AW486="proposed_name"),IF(OR(A486="",AX486="",AY486="",COUNTIF($A$6:$A$505,A486)&gt;1),"REVIEW","TO_PROPOSED"),IF(OR(B486="",A486="",F486="",H486="",J486="",U486="",AW486="",COUNTIF($A$6:$A$505,A486)&gt;1,(COUNTIFS('أرقام التواصل'!$A$6:$A$505,"client",'أرقام التواصل'!$B$6:$B$505,A486,'أرقام التواصل'!$I$6:$I$505,"TRUE")+COUNTIFS('أرقام التواصل'!$A$6:$A$505,"client",'أرقام التواصل'!$B$6:$B$505,A486,'أرقام التواصل'!$C$6:$C$505,1))=0),"REVIEW","READY"))))</x:f>
      </x:c>
      <x:c r="BB486" s="224" t="str">
        <x:f>IF(BA486="","",IF(OR(BA486="READY",BA486="TO_PROPOSED"),"",IF(BA486="SKIP","Skipped by decision",TRIM(IF(B486="","missing import_action; ","")&amp;IF(A486="","missing migration_customer_key; ","")&amp;IF(AND(A486&lt;&gt;"",COUNTIF($A$6:$A$505,A486)&gt;1),"duplicate migration_customer_key; ","")&amp;IF(AND(NOT(OR(B486="to_candidate",AW486="proposed_name")),F486=""),"missing branch_id; ","")&amp;IF(AND(NOT(OR(B486="to_candidate",AW486="proposed_name")),H486=""),"missing first_name; ","")&amp;IF(AND(NOT(OR(B486="to_candidate",AW486="proposed_name")),J486=""),"missing last_name; ","")&amp;IF(AND(NOT(OR(B486="to_candidate",AW486="proposed_name")),U486=""),"missing final_geo_unit_id; ","")&amp;IF(AW486="","missing final_destination; ","")&amp;IF(AND(NOT(OR(B486="to_candidate",AW486="proposed_name")),(COUNTIFS('أرقام التواصل'!$A$6:$A$505,"client",'أرقام التواصل'!$B$6:$B$505,A486,'أرقام التواصل'!$I$6:$I$505,"TRUE")+COUNTIFS('أرقام التواصل'!$A$6:$A$505,"client",'أرقام التواصل'!$B$6:$B$505,A486,'أرقام التواصل'!$C$6:$C$505,1))=0),"missing primary contact in أرقام التواصل; ","")&amp;IF(OR(B486="to_candidate",AW486="proposed_name"),IF(AX486="","missing proposed_move_reason; ","")&amp;IF(AY486="","missing proposed_name_key; ",""),"")))))</x:f>
      </x:c>
    </x:row>
    <x:row r="487">
      <x:c r="A487" s="219"/>
      <x:c r="B487" s="220"/>
      <x:c r="C487" s="221"/>
      <x:c r="D487" s="220"/>
      <x:c r="E487" s="222"/>
      <x:c r="F487" s="220"/>
      <x:c r="G487" s="220"/>
      <x:c r="H487" s="220"/>
      <x:c r="I487" s="220"/>
      <x:c r="J487" s="220"/>
      <x:c r="K487" s="220"/>
      <x:c r="L487" s="220" t="str">
        <x:f>IF(TRIM(H487&amp;" "&amp;I487&amp;" "&amp;J487&amp;IF(K487&lt;&gt;""," ("&amp;K487&amp;")",""))="","",TRIM(H487&amp;" "&amp;I487&amp;" "&amp;J487&amp;IF(K487&lt;&gt;""," ("&amp;K487&amp;")","")))</x:f>
      </x:c>
      <x:c r="M487" s="220"/>
      <x:c r="N487" s="220"/>
      <x:c r="O487" s="220"/>
      <x:c r="P487" s="220"/>
      <x:c r="Q487" s="220"/>
      <x:c r="R487" s="220"/>
      <x:c r="S487" s="220"/>
      <x:c r="T487" s="220"/>
      <x:c r="U487" s="220" t="str">
        <x:f>IF(AND(M487="",O487="",Q487="",S487=""),"",IF(S487&lt;&gt;"",S487,IF(Q487&lt;&gt;"",Q487,IF(O487&lt;&gt;"",O487,M487))))</x:f>
      </x:c>
      <x:c r="V487" s="220" t="str">
        <x:f>IF(AND(N487="",P487="",R487="",T487=""),"",IF(T487&lt;&gt;"",T487,IF(R487&lt;&gt;"",R487,IF(P487&lt;&gt;"",P487,N487))))</x:f>
      </x:c>
      <x:c r="W487" s="221"/>
      <x:c r="X487" s="220"/>
      <x:c r="Y487" s="220"/>
      <x:c r="Z487" s="223"/>
      <x:c r="AA487" s="223"/>
      <x:c r="AB487" s="221"/>
      <x:c r="AC487" s="220"/>
      <x:c r="AD487" s="220"/>
      <x:c r="AE487" s="222"/>
      <x:c r="AF487" s="220"/>
      <x:c r="AG487" s="221"/>
      <x:c r="AH487" s="220"/>
      <x:c r="AI487" s="220"/>
      <x:c r="AJ487" s="222"/>
      <x:c r="AK487" s="220"/>
      <x:c r="AL487" s="220"/>
      <x:c r="AM487" s="220"/>
      <x:c r="AN487" s="220"/>
      <x:c r="AO487" s="220"/>
      <x:c r="AP487" s="220"/>
      <x:c r="AQ487" s="220"/>
      <x:c r="AR487" s="222"/>
      <x:c r="AS487" s="220"/>
      <x:c r="AT487" s="220"/>
      <x:c r="AU487" s="220"/>
      <x:c r="AV487" s="220"/>
      <x:c r="AW487" s="220"/>
      <x:c r="AX487" s="220"/>
      <x:c r="AY487" s="221"/>
      <x:c r="AZ487" s="220"/>
      <x:c r="BA487" s="220" t="str">
        <x:f>IF(AND(A487="",B487="",F487="",H487="",J487="",AW487="",AY487=""),"",IF(OR(B487="skip",AW487="skip"),"SKIP",IF(OR(B487="to_candidate",AW487="proposed_name"),IF(OR(A487="",AX487="",AY487="",COUNTIF($A$6:$A$505,A487)&gt;1),"REVIEW","TO_PROPOSED"),IF(OR(B487="",A487="",F487="",H487="",J487="",U487="",AW487="",COUNTIF($A$6:$A$505,A487)&gt;1,(COUNTIFS('أرقام التواصل'!$A$6:$A$505,"client",'أرقام التواصل'!$B$6:$B$505,A487,'أرقام التواصل'!$I$6:$I$505,"TRUE")+COUNTIFS('أرقام التواصل'!$A$6:$A$505,"client",'أرقام التواصل'!$B$6:$B$505,A487,'أرقام التواصل'!$C$6:$C$505,1))=0),"REVIEW","READY"))))</x:f>
      </x:c>
      <x:c r="BB487" s="224" t="str">
        <x:f>IF(BA487="","",IF(OR(BA487="READY",BA487="TO_PROPOSED"),"",IF(BA487="SKIP","Skipped by decision",TRIM(IF(B487="","missing import_action; ","")&amp;IF(A487="","missing migration_customer_key; ","")&amp;IF(AND(A487&lt;&gt;"",COUNTIF($A$6:$A$505,A487)&gt;1),"duplicate migration_customer_key; ","")&amp;IF(AND(NOT(OR(B487="to_candidate",AW487="proposed_name")),F487=""),"missing branch_id; ","")&amp;IF(AND(NOT(OR(B487="to_candidate",AW487="proposed_name")),H487=""),"missing first_name; ","")&amp;IF(AND(NOT(OR(B487="to_candidate",AW487="proposed_name")),J487=""),"missing last_name; ","")&amp;IF(AND(NOT(OR(B487="to_candidate",AW487="proposed_name")),U487=""),"missing final_geo_unit_id; ","")&amp;IF(AW487="","missing final_destination; ","")&amp;IF(AND(NOT(OR(B487="to_candidate",AW487="proposed_name")),(COUNTIFS('أرقام التواصل'!$A$6:$A$505,"client",'أرقام التواصل'!$B$6:$B$505,A487,'أرقام التواصل'!$I$6:$I$505,"TRUE")+COUNTIFS('أرقام التواصل'!$A$6:$A$505,"client",'أرقام التواصل'!$B$6:$B$505,A487,'أرقام التواصل'!$C$6:$C$505,1))=0),"missing primary contact in أرقام التواصل; ","")&amp;IF(OR(B487="to_candidate",AW487="proposed_name"),IF(AX487="","missing proposed_move_reason; ","")&amp;IF(AY487="","missing proposed_name_key; ",""),"")))))</x:f>
      </x:c>
    </x:row>
    <x:row r="488">
      <x:c r="A488" s="219"/>
      <x:c r="B488" s="220"/>
      <x:c r="C488" s="221"/>
      <x:c r="D488" s="220"/>
      <x:c r="E488" s="222"/>
      <x:c r="F488" s="220"/>
      <x:c r="G488" s="220"/>
      <x:c r="H488" s="220"/>
      <x:c r="I488" s="220"/>
      <x:c r="J488" s="220"/>
      <x:c r="K488" s="220"/>
      <x:c r="L488" s="220" t="str">
        <x:f>IF(TRIM(H488&amp;" "&amp;I488&amp;" "&amp;J488&amp;IF(K488&lt;&gt;""," ("&amp;K488&amp;")",""))="","",TRIM(H488&amp;" "&amp;I488&amp;" "&amp;J488&amp;IF(K488&lt;&gt;""," ("&amp;K488&amp;")","")))</x:f>
      </x:c>
      <x:c r="M488" s="220"/>
      <x:c r="N488" s="220"/>
      <x:c r="O488" s="220"/>
      <x:c r="P488" s="220"/>
      <x:c r="Q488" s="220"/>
      <x:c r="R488" s="220"/>
      <x:c r="S488" s="220"/>
      <x:c r="T488" s="220"/>
      <x:c r="U488" s="220" t="str">
        <x:f>IF(AND(M488="",O488="",Q488="",S488=""),"",IF(S488&lt;&gt;"",S488,IF(Q488&lt;&gt;"",Q488,IF(O488&lt;&gt;"",O488,M488))))</x:f>
      </x:c>
      <x:c r="V488" s="220" t="str">
        <x:f>IF(AND(N488="",P488="",R488="",T488=""),"",IF(T488&lt;&gt;"",T488,IF(R488&lt;&gt;"",R488,IF(P488&lt;&gt;"",P488,N488))))</x:f>
      </x:c>
      <x:c r="W488" s="221"/>
      <x:c r="X488" s="220"/>
      <x:c r="Y488" s="220"/>
      <x:c r="Z488" s="223"/>
      <x:c r="AA488" s="223"/>
      <x:c r="AB488" s="221"/>
      <x:c r="AC488" s="220"/>
      <x:c r="AD488" s="220"/>
      <x:c r="AE488" s="222"/>
      <x:c r="AF488" s="220"/>
      <x:c r="AG488" s="221"/>
      <x:c r="AH488" s="220"/>
      <x:c r="AI488" s="220"/>
      <x:c r="AJ488" s="222"/>
      <x:c r="AK488" s="220"/>
      <x:c r="AL488" s="220"/>
      <x:c r="AM488" s="220"/>
      <x:c r="AN488" s="220"/>
      <x:c r="AO488" s="220"/>
      <x:c r="AP488" s="220"/>
      <x:c r="AQ488" s="220"/>
      <x:c r="AR488" s="222"/>
      <x:c r="AS488" s="220"/>
      <x:c r="AT488" s="220"/>
      <x:c r="AU488" s="220"/>
      <x:c r="AV488" s="220"/>
      <x:c r="AW488" s="220"/>
      <x:c r="AX488" s="220"/>
      <x:c r="AY488" s="221"/>
      <x:c r="AZ488" s="220"/>
      <x:c r="BA488" s="220" t="str">
        <x:f>IF(AND(A488="",B488="",F488="",H488="",J488="",AW488="",AY488=""),"",IF(OR(B488="skip",AW488="skip"),"SKIP",IF(OR(B488="to_candidate",AW488="proposed_name"),IF(OR(A488="",AX488="",AY488="",COUNTIF($A$6:$A$505,A488)&gt;1),"REVIEW","TO_PROPOSED"),IF(OR(B488="",A488="",F488="",H488="",J488="",U488="",AW488="",COUNTIF($A$6:$A$505,A488)&gt;1,(COUNTIFS('أرقام التواصل'!$A$6:$A$505,"client",'أرقام التواصل'!$B$6:$B$505,A488,'أرقام التواصل'!$I$6:$I$505,"TRUE")+COUNTIFS('أرقام التواصل'!$A$6:$A$505,"client",'أرقام التواصل'!$B$6:$B$505,A488,'أرقام التواصل'!$C$6:$C$505,1))=0),"REVIEW","READY"))))</x:f>
      </x:c>
      <x:c r="BB488" s="224" t="str">
        <x:f>IF(BA488="","",IF(OR(BA488="READY",BA488="TO_PROPOSED"),"",IF(BA488="SKIP","Skipped by decision",TRIM(IF(B488="","missing import_action; ","")&amp;IF(A488="","missing migration_customer_key; ","")&amp;IF(AND(A488&lt;&gt;"",COUNTIF($A$6:$A$505,A488)&gt;1),"duplicate migration_customer_key; ","")&amp;IF(AND(NOT(OR(B488="to_candidate",AW488="proposed_name")),F488=""),"missing branch_id; ","")&amp;IF(AND(NOT(OR(B488="to_candidate",AW488="proposed_name")),H488=""),"missing first_name; ","")&amp;IF(AND(NOT(OR(B488="to_candidate",AW488="proposed_name")),J488=""),"missing last_name; ","")&amp;IF(AND(NOT(OR(B488="to_candidate",AW488="proposed_name")),U488=""),"missing final_geo_unit_id; ","")&amp;IF(AW488="","missing final_destination; ","")&amp;IF(AND(NOT(OR(B488="to_candidate",AW488="proposed_name")),(COUNTIFS('أرقام التواصل'!$A$6:$A$505,"client",'أرقام التواصل'!$B$6:$B$505,A488,'أرقام التواصل'!$I$6:$I$505,"TRUE")+COUNTIFS('أرقام التواصل'!$A$6:$A$505,"client",'أرقام التواصل'!$B$6:$B$505,A488,'أرقام التواصل'!$C$6:$C$505,1))=0),"missing primary contact in أرقام التواصل; ","")&amp;IF(OR(B488="to_candidate",AW488="proposed_name"),IF(AX488="","missing proposed_move_reason; ","")&amp;IF(AY488="","missing proposed_name_key; ",""),"")))))</x:f>
      </x:c>
    </x:row>
    <x:row r="489">
      <x:c r="A489" s="219"/>
      <x:c r="B489" s="220"/>
      <x:c r="C489" s="221"/>
      <x:c r="D489" s="220"/>
      <x:c r="E489" s="222"/>
      <x:c r="F489" s="220"/>
      <x:c r="G489" s="220"/>
      <x:c r="H489" s="220"/>
      <x:c r="I489" s="220"/>
      <x:c r="J489" s="220"/>
      <x:c r="K489" s="220"/>
      <x:c r="L489" s="220" t="str">
        <x:f>IF(TRIM(H489&amp;" "&amp;I489&amp;" "&amp;J489&amp;IF(K489&lt;&gt;""," ("&amp;K489&amp;")",""))="","",TRIM(H489&amp;" "&amp;I489&amp;" "&amp;J489&amp;IF(K489&lt;&gt;""," ("&amp;K489&amp;")","")))</x:f>
      </x:c>
      <x:c r="M489" s="220"/>
      <x:c r="N489" s="220"/>
      <x:c r="O489" s="220"/>
      <x:c r="P489" s="220"/>
      <x:c r="Q489" s="220"/>
      <x:c r="R489" s="220"/>
      <x:c r="S489" s="220"/>
      <x:c r="T489" s="220"/>
      <x:c r="U489" s="220" t="str">
        <x:f>IF(AND(M489="",O489="",Q489="",S489=""),"",IF(S489&lt;&gt;"",S489,IF(Q489&lt;&gt;"",Q489,IF(O489&lt;&gt;"",O489,M489))))</x:f>
      </x:c>
      <x:c r="V489" s="220" t="str">
        <x:f>IF(AND(N489="",P489="",R489="",T489=""),"",IF(T489&lt;&gt;"",T489,IF(R489&lt;&gt;"",R489,IF(P489&lt;&gt;"",P489,N489))))</x:f>
      </x:c>
      <x:c r="W489" s="221"/>
      <x:c r="X489" s="220"/>
      <x:c r="Y489" s="220"/>
      <x:c r="Z489" s="223"/>
      <x:c r="AA489" s="223"/>
      <x:c r="AB489" s="221"/>
      <x:c r="AC489" s="220"/>
      <x:c r="AD489" s="220"/>
      <x:c r="AE489" s="222"/>
      <x:c r="AF489" s="220"/>
      <x:c r="AG489" s="221"/>
      <x:c r="AH489" s="220"/>
      <x:c r="AI489" s="220"/>
      <x:c r="AJ489" s="222"/>
      <x:c r="AK489" s="220"/>
      <x:c r="AL489" s="220"/>
      <x:c r="AM489" s="220"/>
      <x:c r="AN489" s="220"/>
      <x:c r="AO489" s="220"/>
      <x:c r="AP489" s="220"/>
      <x:c r="AQ489" s="220"/>
      <x:c r="AR489" s="222"/>
      <x:c r="AS489" s="220"/>
      <x:c r="AT489" s="220"/>
      <x:c r="AU489" s="220"/>
      <x:c r="AV489" s="220"/>
      <x:c r="AW489" s="220"/>
      <x:c r="AX489" s="220"/>
      <x:c r="AY489" s="221"/>
      <x:c r="AZ489" s="220"/>
      <x:c r="BA489" s="220" t="str">
        <x:f>IF(AND(A489="",B489="",F489="",H489="",J489="",AW489="",AY489=""),"",IF(OR(B489="skip",AW489="skip"),"SKIP",IF(OR(B489="to_candidate",AW489="proposed_name"),IF(OR(A489="",AX489="",AY489="",COUNTIF($A$6:$A$505,A489)&gt;1),"REVIEW","TO_PROPOSED"),IF(OR(B489="",A489="",F489="",H489="",J489="",U489="",AW489="",COUNTIF($A$6:$A$505,A489)&gt;1,(COUNTIFS('أرقام التواصل'!$A$6:$A$505,"client",'أرقام التواصل'!$B$6:$B$505,A489,'أرقام التواصل'!$I$6:$I$505,"TRUE")+COUNTIFS('أرقام التواصل'!$A$6:$A$505,"client",'أرقام التواصل'!$B$6:$B$505,A489,'أرقام التواصل'!$C$6:$C$505,1))=0),"REVIEW","READY"))))</x:f>
      </x:c>
      <x:c r="BB489" s="224" t="str">
        <x:f>IF(BA489="","",IF(OR(BA489="READY",BA489="TO_PROPOSED"),"",IF(BA489="SKIP","Skipped by decision",TRIM(IF(B489="","missing import_action; ","")&amp;IF(A489="","missing migration_customer_key; ","")&amp;IF(AND(A489&lt;&gt;"",COUNTIF($A$6:$A$505,A489)&gt;1),"duplicate migration_customer_key; ","")&amp;IF(AND(NOT(OR(B489="to_candidate",AW489="proposed_name")),F489=""),"missing branch_id; ","")&amp;IF(AND(NOT(OR(B489="to_candidate",AW489="proposed_name")),H489=""),"missing first_name; ","")&amp;IF(AND(NOT(OR(B489="to_candidate",AW489="proposed_name")),J489=""),"missing last_name; ","")&amp;IF(AND(NOT(OR(B489="to_candidate",AW489="proposed_name")),U489=""),"missing final_geo_unit_id; ","")&amp;IF(AW489="","missing final_destination; ","")&amp;IF(AND(NOT(OR(B489="to_candidate",AW489="proposed_name")),(COUNTIFS('أرقام التواصل'!$A$6:$A$505,"client",'أرقام التواصل'!$B$6:$B$505,A489,'أرقام التواصل'!$I$6:$I$505,"TRUE")+COUNTIFS('أرقام التواصل'!$A$6:$A$505,"client",'أرقام التواصل'!$B$6:$B$505,A489,'أرقام التواصل'!$C$6:$C$505,1))=0),"missing primary contact in أرقام التواصل; ","")&amp;IF(OR(B489="to_candidate",AW489="proposed_name"),IF(AX489="","missing proposed_move_reason; ","")&amp;IF(AY489="","missing proposed_name_key; ",""),"")))))</x:f>
      </x:c>
    </x:row>
    <x:row r="490">
      <x:c r="A490" s="219"/>
      <x:c r="B490" s="220"/>
      <x:c r="C490" s="221"/>
      <x:c r="D490" s="220"/>
      <x:c r="E490" s="222"/>
      <x:c r="F490" s="220"/>
      <x:c r="G490" s="220"/>
      <x:c r="H490" s="220"/>
      <x:c r="I490" s="220"/>
      <x:c r="J490" s="220"/>
      <x:c r="K490" s="220"/>
      <x:c r="L490" s="220" t="str">
        <x:f>IF(TRIM(H490&amp;" "&amp;I490&amp;" "&amp;J490&amp;IF(K490&lt;&gt;""," ("&amp;K490&amp;")",""))="","",TRIM(H490&amp;" "&amp;I490&amp;" "&amp;J490&amp;IF(K490&lt;&gt;""," ("&amp;K490&amp;")","")))</x:f>
      </x:c>
      <x:c r="M490" s="220"/>
      <x:c r="N490" s="220"/>
      <x:c r="O490" s="220"/>
      <x:c r="P490" s="220"/>
      <x:c r="Q490" s="220"/>
      <x:c r="R490" s="220"/>
      <x:c r="S490" s="220"/>
      <x:c r="T490" s="220"/>
      <x:c r="U490" s="220" t="str">
        <x:f>IF(AND(M490="",O490="",Q490="",S490=""),"",IF(S490&lt;&gt;"",S490,IF(Q490&lt;&gt;"",Q490,IF(O490&lt;&gt;"",O490,M490))))</x:f>
      </x:c>
      <x:c r="V490" s="220" t="str">
        <x:f>IF(AND(N490="",P490="",R490="",T490=""),"",IF(T490&lt;&gt;"",T490,IF(R490&lt;&gt;"",R490,IF(P490&lt;&gt;"",P490,N490))))</x:f>
      </x:c>
      <x:c r="W490" s="221"/>
      <x:c r="X490" s="220"/>
      <x:c r="Y490" s="220"/>
      <x:c r="Z490" s="223"/>
      <x:c r="AA490" s="223"/>
      <x:c r="AB490" s="221"/>
      <x:c r="AC490" s="220"/>
      <x:c r="AD490" s="220"/>
      <x:c r="AE490" s="222"/>
      <x:c r="AF490" s="220"/>
      <x:c r="AG490" s="221"/>
      <x:c r="AH490" s="220"/>
      <x:c r="AI490" s="220"/>
      <x:c r="AJ490" s="222"/>
      <x:c r="AK490" s="220"/>
      <x:c r="AL490" s="220"/>
      <x:c r="AM490" s="220"/>
      <x:c r="AN490" s="220"/>
      <x:c r="AO490" s="220"/>
      <x:c r="AP490" s="220"/>
      <x:c r="AQ490" s="220"/>
      <x:c r="AR490" s="222"/>
      <x:c r="AS490" s="220"/>
      <x:c r="AT490" s="220"/>
      <x:c r="AU490" s="220"/>
      <x:c r="AV490" s="220"/>
      <x:c r="AW490" s="220"/>
      <x:c r="AX490" s="220"/>
      <x:c r="AY490" s="221"/>
      <x:c r="AZ490" s="220"/>
      <x:c r="BA490" s="220" t="str">
        <x:f>IF(AND(A490="",B490="",F490="",H490="",J490="",AW490="",AY490=""),"",IF(OR(B490="skip",AW490="skip"),"SKIP",IF(OR(B490="to_candidate",AW490="proposed_name"),IF(OR(A490="",AX490="",AY490="",COUNTIF($A$6:$A$505,A490)&gt;1),"REVIEW","TO_PROPOSED"),IF(OR(B490="",A490="",F490="",H490="",J490="",U490="",AW490="",COUNTIF($A$6:$A$505,A490)&gt;1,(COUNTIFS('أرقام التواصل'!$A$6:$A$505,"client",'أرقام التواصل'!$B$6:$B$505,A490,'أرقام التواصل'!$I$6:$I$505,"TRUE")+COUNTIFS('أرقام التواصل'!$A$6:$A$505,"client",'أرقام التواصل'!$B$6:$B$505,A490,'أرقام التواصل'!$C$6:$C$505,1))=0),"REVIEW","READY"))))</x:f>
      </x:c>
      <x:c r="BB490" s="224" t="str">
        <x:f>IF(BA490="","",IF(OR(BA490="READY",BA490="TO_PROPOSED"),"",IF(BA490="SKIP","Skipped by decision",TRIM(IF(B490="","missing import_action; ","")&amp;IF(A490="","missing migration_customer_key; ","")&amp;IF(AND(A490&lt;&gt;"",COUNTIF($A$6:$A$505,A490)&gt;1),"duplicate migration_customer_key; ","")&amp;IF(AND(NOT(OR(B490="to_candidate",AW490="proposed_name")),F490=""),"missing branch_id; ","")&amp;IF(AND(NOT(OR(B490="to_candidate",AW490="proposed_name")),H490=""),"missing first_name; ","")&amp;IF(AND(NOT(OR(B490="to_candidate",AW490="proposed_name")),J490=""),"missing last_name; ","")&amp;IF(AND(NOT(OR(B490="to_candidate",AW490="proposed_name")),U490=""),"missing final_geo_unit_id; ","")&amp;IF(AW490="","missing final_destination; ","")&amp;IF(AND(NOT(OR(B490="to_candidate",AW490="proposed_name")),(COUNTIFS('أرقام التواصل'!$A$6:$A$505,"client",'أرقام التواصل'!$B$6:$B$505,A490,'أرقام التواصل'!$I$6:$I$505,"TRUE")+COUNTIFS('أرقام التواصل'!$A$6:$A$505,"client",'أرقام التواصل'!$B$6:$B$505,A490,'أرقام التواصل'!$C$6:$C$505,1))=0),"missing primary contact in أرقام التواصل; ","")&amp;IF(OR(B490="to_candidate",AW490="proposed_name"),IF(AX490="","missing proposed_move_reason; ","")&amp;IF(AY490="","missing proposed_name_key; ",""),"")))))</x:f>
      </x:c>
    </x:row>
    <x:row r="491">
      <x:c r="A491" s="219"/>
      <x:c r="B491" s="220"/>
      <x:c r="C491" s="221"/>
      <x:c r="D491" s="220"/>
      <x:c r="E491" s="222"/>
      <x:c r="F491" s="220"/>
      <x:c r="G491" s="220"/>
      <x:c r="H491" s="220"/>
      <x:c r="I491" s="220"/>
      <x:c r="J491" s="220"/>
      <x:c r="K491" s="220"/>
      <x:c r="L491" s="220" t="str">
        <x:f>IF(TRIM(H491&amp;" "&amp;I491&amp;" "&amp;J491&amp;IF(K491&lt;&gt;""," ("&amp;K491&amp;")",""))="","",TRIM(H491&amp;" "&amp;I491&amp;" "&amp;J491&amp;IF(K491&lt;&gt;""," ("&amp;K491&amp;")","")))</x:f>
      </x:c>
      <x:c r="M491" s="220"/>
      <x:c r="N491" s="220"/>
      <x:c r="O491" s="220"/>
      <x:c r="P491" s="220"/>
      <x:c r="Q491" s="220"/>
      <x:c r="R491" s="220"/>
      <x:c r="S491" s="220"/>
      <x:c r="T491" s="220"/>
      <x:c r="U491" s="220" t="str">
        <x:f>IF(AND(M491="",O491="",Q491="",S491=""),"",IF(S491&lt;&gt;"",S491,IF(Q491&lt;&gt;"",Q491,IF(O491&lt;&gt;"",O491,M491))))</x:f>
      </x:c>
      <x:c r="V491" s="220" t="str">
        <x:f>IF(AND(N491="",P491="",R491="",T491=""),"",IF(T491&lt;&gt;"",T491,IF(R491&lt;&gt;"",R491,IF(P491&lt;&gt;"",P491,N491))))</x:f>
      </x:c>
      <x:c r="W491" s="221"/>
      <x:c r="X491" s="220"/>
      <x:c r="Y491" s="220"/>
      <x:c r="Z491" s="223"/>
      <x:c r="AA491" s="223"/>
      <x:c r="AB491" s="221"/>
      <x:c r="AC491" s="220"/>
      <x:c r="AD491" s="220"/>
      <x:c r="AE491" s="222"/>
      <x:c r="AF491" s="220"/>
      <x:c r="AG491" s="221"/>
      <x:c r="AH491" s="220"/>
      <x:c r="AI491" s="220"/>
      <x:c r="AJ491" s="222"/>
      <x:c r="AK491" s="220"/>
      <x:c r="AL491" s="220"/>
      <x:c r="AM491" s="220"/>
      <x:c r="AN491" s="220"/>
      <x:c r="AO491" s="220"/>
      <x:c r="AP491" s="220"/>
      <x:c r="AQ491" s="220"/>
      <x:c r="AR491" s="222"/>
      <x:c r="AS491" s="220"/>
      <x:c r="AT491" s="220"/>
      <x:c r="AU491" s="220"/>
      <x:c r="AV491" s="220"/>
      <x:c r="AW491" s="220"/>
      <x:c r="AX491" s="220"/>
      <x:c r="AY491" s="221"/>
      <x:c r="AZ491" s="220"/>
      <x:c r="BA491" s="220" t="str">
        <x:f>IF(AND(A491="",B491="",F491="",H491="",J491="",AW491="",AY491=""),"",IF(OR(B491="skip",AW491="skip"),"SKIP",IF(OR(B491="to_candidate",AW491="proposed_name"),IF(OR(A491="",AX491="",AY491="",COUNTIF($A$6:$A$505,A491)&gt;1),"REVIEW","TO_PROPOSED"),IF(OR(B491="",A491="",F491="",H491="",J491="",U491="",AW491="",COUNTIF($A$6:$A$505,A491)&gt;1,(COUNTIFS('أرقام التواصل'!$A$6:$A$505,"client",'أرقام التواصل'!$B$6:$B$505,A491,'أرقام التواصل'!$I$6:$I$505,"TRUE")+COUNTIFS('أرقام التواصل'!$A$6:$A$505,"client",'أرقام التواصل'!$B$6:$B$505,A491,'أرقام التواصل'!$C$6:$C$505,1))=0),"REVIEW","READY"))))</x:f>
      </x:c>
      <x:c r="BB491" s="224" t="str">
        <x:f>IF(BA491="","",IF(OR(BA491="READY",BA491="TO_PROPOSED"),"",IF(BA491="SKIP","Skipped by decision",TRIM(IF(B491="","missing import_action; ","")&amp;IF(A491="","missing migration_customer_key; ","")&amp;IF(AND(A491&lt;&gt;"",COUNTIF($A$6:$A$505,A491)&gt;1),"duplicate migration_customer_key; ","")&amp;IF(AND(NOT(OR(B491="to_candidate",AW491="proposed_name")),F491=""),"missing branch_id; ","")&amp;IF(AND(NOT(OR(B491="to_candidate",AW491="proposed_name")),H491=""),"missing first_name; ","")&amp;IF(AND(NOT(OR(B491="to_candidate",AW491="proposed_name")),J491=""),"missing last_name; ","")&amp;IF(AND(NOT(OR(B491="to_candidate",AW491="proposed_name")),U491=""),"missing final_geo_unit_id; ","")&amp;IF(AW491="","missing final_destination; ","")&amp;IF(AND(NOT(OR(B491="to_candidate",AW491="proposed_name")),(COUNTIFS('أرقام التواصل'!$A$6:$A$505,"client",'أرقام التواصل'!$B$6:$B$505,A491,'أرقام التواصل'!$I$6:$I$505,"TRUE")+COUNTIFS('أرقام التواصل'!$A$6:$A$505,"client",'أرقام التواصل'!$B$6:$B$505,A491,'أرقام التواصل'!$C$6:$C$505,1))=0),"missing primary contact in أرقام التواصل; ","")&amp;IF(OR(B491="to_candidate",AW491="proposed_name"),IF(AX491="","missing proposed_move_reason; ","")&amp;IF(AY491="","missing proposed_name_key; ",""),"")))))</x:f>
      </x:c>
    </x:row>
    <x:row r="492">
      <x:c r="A492" s="219"/>
      <x:c r="B492" s="220"/>
      <x:c r="C492" s="221"/>
      <x:c r="D492" s="220"/>
      <x:c r="E492" s="222"/>
      <x:c r="F492" s="220"/>
      <x:c r="G492" s="220"/>
      <x:c r="H492" s="220"/>
      <x:c r="I492" s="220"/>
      <x:c r="J492" s="220"/>
      <x:c r="K492" s="220"/>
      <x:c r="L492" s="220" t="str">
        <x:f>IF(TRIM(H492&amp;" "&amp;I492&amp;" "&amp;J492&amp;IF(K492&lt;&gt;""," ("&amp;K492&amp;")",""))="","",TRIM(H492&amp;" "&amp;I492&amp;" "&amp;J492&amp;IF(K492&lt;&gt;""," ("&amp;K492&amp;")","")))</x:f>
      </x:c>
      <x:c r="M492" s="220"/>
      <x:c r="N492" s="220"/>
      <x:c r="O492" s="220"/>
      <x:c r="P492" s="220"/>
      <x:c r="Q492" s="220"/>
      <x:c r="R492" s="220"/>
      <x:c r="S492" s="220"/>
      <x:c r="T492" s="220"/>
      <x:c r="U492" s="220" t="str">
        <x:f>IF(AND(M492="",O492="",Q492="",S492=""),"",IF(S492&lt;&gt;"",S492,IF(Q492&lt;&gt;"",Q492,IF(O492&lt;&gt;"",O492,M492))))</x:f>
      </x:c>
      <x:c r="V492" s="220" t="str">
        <x:f>IF(AND(N492="",P492="",R492="",T492=""),"",IF(T492&lt;&gt;"",T492,IF(R492&lt;&gt;"",R492,IF(P492&lt;&gt;"",P492,N492))))</x:f>
      </x:c>
      <x:c r="W492" s="221"/>
      <x:c r="X492" s="220"/>
      <x:c r="Y492" s="220"/>
      <x:c r="Z492" s="223"/>
      <x:c r="AA492" s="223"/>
      <x:c r="AB492" s="221"/>
      <x:c r="AC492" s="220"/>
      <x:c r="AD492" s="220"/>
      <x:c r="AE492" s="222"/>
      <x:c r="AF492" s="220"/>
      <x:c r="AG492" s="221"/>
      <x:c r="AH492" s="220"/>
      <x:c r="AI492" s="220"/>
      <x:c r="AJ492" s="222"/>
      <x:c r="AK492" s="220"/>
      <x:c r="AL492" s="220"/>
      <x:c r="AM492" s="220"/>
      <x:c r="AN492" s="220"/>
      <x:c r="AO492" s="220"/>
      <x:c r="AP492" s="220"/>
      <x:c r="AQ492" s="220"/>
      <x:c r="AR492" s="222"/>
      <x:c r="AS492" s="220"/>
      <x:c r="AT492" s="220"/>
      <x:c r="AU492" s="220"/>
      <x:c r="AV492" s="220"/>
      <x:c r="AW492" s="220"/>
      <x:c r="AX492" s="220"/>
      <x:c r="AY492" s="221"/>
      <x:c r="AZ492" s="220"/>
      <x:c r="BA492" s="220" t="str">
        <x:f>IF(AND(A492="",B492="",F492="",H492="",J492="",AW492="",AY492=""),"",IF(OR(B492="skip",AW492="skip"),"SKIP",IF(OR(B492="to_candidate",AW492="proposed_name"),IF(OR(A492="",AX492="",AY492="",COUNTIF($A$6:$A$505,A492)&gt;1),"REVIEW","TO_PROPOSED"),IF(OR(B492="",A492="",F492="",H492="",J492="",U492="",AW492="",COUNTIF($A$6:$A$505,A492)&gt;1,(COUNTIFS('أرقام التواصل'!$A$6:$A$505,"client",'أرقام التواصل'!$B$6:$B$505,A492,'أرقام التواصل'!$I$6:$I$505,"TRUE")+COUNTIFS('أرقام التواصل'!$A$6:$A$505,"client",'أرقام التواصل'!$B$6:$B$505,A492,'أرقام التواصل'!$C$6:$C$505,1))=0),"REVIEW","READY"))))</x:f>
      </x:c>
      <x:c r="BB492" s="224" t="str">
        <x:f>IF(BA492="","",IF(OR(BA492="READY",BA492="TO_PROPOSED"),"",IF(BA492="SKIP","Skipped by decision",TRIM(IF(B492="","missing import_action; ","")&amp;IF(A492="","missing migration_customer_key; ","")&amp;IF(AND(A492&lt;&gt;"",COUNTIF($A$6:$A$505,A492)&gt;1),"duplicate migration_customer_key; ","")&amp;IF(AND(NOT(OR(B492="to_candidate",AW492="proposed_name")),F492=""),"missing branch_id; ","")&amp;IF(AND(NOT(OR(B492="to_candidate",AW492="proposed_name")),H492=""),"missing first_name; ","")&amp;IF(AND(NOT(OR(B492="to_candidate",AW492="proposed_name")),J492=""),"missing last_name; ","")&amp;IF(AND(NOT(OR(B492="to_candidate",AW492="proposed_name")),U492=""),"missing final_geo_unit_id; ","")&amp;IF(AW492="","missing final_destination; ","")&amp;IF(AND(NOT(OR(B492="to_candidate",AW492="proposed_name")),(COUNTIFS('أرقام التواصل'!$A$6:$A$505,"client",'أرقام التواصل'!$B$6:$B$505,A492,'أرقام التواصل'!$I$6:$I$505,"TRUE")+COUNTIFS('أرقام التواصل'!$A$6:$A$505,"client",'أرقام التواصل'!$B$6:$B$505,A492,'أرقام التواصل'!$C$6:$C$505,1))=0),"missing primary contact in أرقام التواصل; ","")&amp;IF(OR(B492="to_candidate",AW492="proposed_name"),IF(AX492="","missing proposed_move_reason; ","")&amp;IF(AY492="","missing proposed_name_key; ",""),"")))))</x:f>
      </x:c>
    </x:row>
    <x:row r="493">
      <x:c r="A493" s="219"/>
      <x:c r="B493" s="220"/>
      <x:c r="C493" s="221"/>
      <x:c r="D493" s="220"/>
      <x:c r="E493" s="222"/>
      <x:c r="F493" s="220"/>
      <x:c r="G493" s="220"/>
      <x:c r="H493" s="220"/>
      <x:c r="I493" s="220"/>
      <x:c r="J493" s="220"/>
      <x:c r="K493" s="220"/>
      <x:c r="L493" s="220" t="str">
        <x:f>IF(TRIM(H493&amp;" "&amp;I493&amp;" "&amp;J493&amp;IF(K493&lt;&gt;""," ("&amp;K493&amp;")",""))="","",TRIM(H493&amp;" "&amp;I493&amp;" "&amp;J493&amp;IF(K493&lt;&gt;""," ("&amp;K493&amp;")","")))</x:f>
      </x:c>
      <x:c r="M493" s="220"/>
      <x:c r="N493" s="220"/>
      <x:c r="O493" s="220"/>
      <x:c r="P493" s="220"/>
      <x:c r="Q493" s="220"/>
      <x:c r="R493" s="220"/>
      <x:c r="S493" s="220"/>
      <x:c r="T493" s="220"/>
      <x:c r="U493" s="220" t="str">
        <x:f>IF(AND(M493="",O493="",Q493="",S493=""),"",IF(S493&lt;&gt;"",S493,IF(Q493&lt;&gt;"",Q493,IF(O493&lt;&gt;"",O493,M493))))</x:f>
      </x:c>
      <x:c r="V493" s="220" t="str">
        <x:f>IF(AND(N493="",P493="",R493="",T493=""),"",IF(T493&lt;&gt;"",T493,IF(R493&lt;&gt;"",R493,IF(P493&lt;&gt;"",P493,N493))))</x:f>
      </x:c>
      <x:c r="W493" s="221"/>
      <x:c r="X493" s="220"/>
      <x:c r="Y493" s="220"/>
      <x:c r="Z493" s="223"/>
      <x:c r="AA493" s="223"/>
      <x:c r="AB493" s="221"/>
      <x:c r="AC493" s="220"/>
      <x:c r="AD493" s="220"/>
      <x:c r="AE493" s="222"/>
      <x:c r="AF493" s="220"/>
      <x:c r="AG493" s="221"/>
      <x:c r="AH493" s="220"/>
      <x:c r="AI493" s="220"/>
      <x:c r="AJ493" s="222"/>
      <x:c r="AK493" s="220"/>
      <x:c r="AL493" s="220"/>
      <x:c r="AM493" s="220"/>
      <x:c r="AN493" s="220"/>
      <x:c r="AO493" s="220"/>
      <x:c r="AP493" s="220"/>
      <x:c r="AQ493" s="220"/>
      <x:c r="AR493" s="222"/>
      <x:c r="AS493" s="220"/>
      <x:c r="AT493" s="220"/>
      <x:c r="AU493" s="220"/>
      <x:c r="AV493" s="220"/>
      <x:c r="AW493" s="220"/>
      <x:c r="AX493" s="220"/>
      <x:c r="AY493" s="221"/>
      <x:c r="AZ493" s="220"/>
      <x:c r="BA493" s="220" t="str">
        <x:f>IF(AND(A493="",B493="",F493="",H493="",J493="",AW493="",AY493=""),"",IF(OR(B493="skip",AW493="skip"),"SKIP",IF(OR(B493="to_candidate",AW493="proposed_name"),IF(OR(A493="",AX493="",AY493="",COUNTIF($A$6:$A$505,A493)&gt;1),"REVIEW","TO_PROPOSED"),IF(OR(B493="",A493="",F493="",H493="",J493="",U493="",AW493="",COUNTIF($A$6:$A$505,A493)&gt;1,(COUNTIFS('أرقام التواصل'!$A$6:$A$505,"client",'أرقام التواصل'!$B$6:$B$505,A493,'أرقام التواصل'!$I$6:$I$505,"TRUE")+COUNTIFS('أرقام التواصل'!$A$6:$A$505,"client",'أرقام التواصل'!$B$6:$B$505,A493,'أرقام التواصل'!$C$6:$C$505,1))=0),"REVIEW","READY"))))</x:f>
      </x:c>
      <x:c r="BB493" s="224" t="str">
        <x:f>IF(BA493="","",IF(OR(BA493="READY",BA493="TO_PROPOSED"),"",IF(BA493="SKIP","Skipped by decision",TRIM(IF(B493="","missing import_action; ","")&amp;IF(A493="","missing migration_customer_key; ","")&amp;IF(AND(A493&lt;&gt;"",COUNTIF($A$6:$A$505,A493)&gt;1),"duplicate migration_customer_key; ","")&amp;IF(AND(NOT(OR(B493="to_candidate",AW493="proposed_name")),F493=""),"missing branch_id; ","")&amp;IF(AND(NOT(OR(B493="to_candidate",AW493="proposed_name")),H493=""),"missing first_name; ","")&amp;IF(AND(NOT(OR(B493="to_candidate",AW493="proposed_name")),J493=""),"missing last_name; ","")&amp;IF(AND(NOT(OR(B493="to_candidate",AW493="proposed_name")),U493=""),"missing final_geo_unit_id; ","")&amp;IF(AW493="","missing final_destination; ","")&amp;IF(AND(NOT(OR(B493="to_candidate",AW493="proposed_name")),(COUNTIFS('أرقام التواصل'!$A$6:$A$505,"client",'أرقام التواصل'!$B$6:$B$505,A493,'أرقام التواصل'!$I$6:$I$505,"TRUE")+COUNTIFS('أرقام التواصل'!$A$6:$A$505,"client",'أرقام التواصل'!$B$6:$B$505,A493,'أرقام التواصل'!$C$6:$C$505,1))=0),"missing primary contact in أرقام التواصل; ","")&amp;IF(OR(B493="to_candidate",AW493="proposed_name"),IF(AX493="","missing proposed_move_reason; ","")&amp;IF(AY493="","missing proposed_name_key; ",""),"")))))</x:f>
      </x:c>
    </x:row>
    <x:row r="494">
      <x:c r="A494" s="219"/>
      <x:c r="B494" s="220"/>
      <x:c r="C494" s="221"/>
      <x:c r="D494" s="220"/>
      <x:c r="E494" s="222"/>
      <x:c r="F494" s="220"/>
      <x:c r="G494" s="220"/>
      <x:c r="H494" s="220"/>
      <x:c r="I494" s="220"/>
      <x:c r="J494" s="220"/>
      <x:c r="K494" s="220"/>
      <x:c r="L494" s="220" t="str">
        <x:f>IF(TRIM(H494&amp;" "&amp;I494&amp;" "&amp;J494&amp;IF(K494&lt;&gt;""," ("&amp;K494&amp;")",""))="","",TRIM(H494&amp;" "&amp;I494&amp;" "&amp;J494&amp;IF(K494&lt;&gt;""," ("&amp;K494&amp;")","")))</x:f>
      </x:c>
      <x:c r="M494" s="220"/>
      <x:c r="N494" s="220"/>
      <x:c r="O494" s="220"/>
      <x:c r="P494" s="220"/>
      <x:c r="Q494" s="220"/>
      <x:c r="R494" s="220"/>
      <x:c r="S494" s="220"/>
      <x:c r="T494" s="220"/>
      <x:c r="U494" s="220" t="str">
        <x:f>IF(AND(M494="",O494="",Q494="",S494=""),"",IF(S494&lt;&gt;"",S494,IF(Q494&lt;&gt;"",Q494,IF(O494&lt;&gt;"",O494,M494))))</x:f>
      </x:c>
      <x:c r="V494" s="220" t="str">
        <x:f>IF(AND(N494="",P494="",R494="",T494=""),"",IF(T494&lt;&gt;"",T494,IF(R494&lt;&gt;"",R494,IF(P494&lt;&gt;"",P494,N494))))</x:f>
      </x:c>
      <x:c r="W494" s="221"/>
      <x:c r="X494" s="220"/>
      <x:c r="Y494" s="220"/>
      <x:c r="Z494" s="223"/>
      <x:c r="AA494" s="223"/>
      <x:c r="AB494" s="221"/>
      <x:c r="AC494" s="220"/>
      <x:c r="AD494" s="220"/>
      <x:c r="AE494" s="222"/>
      <x:c r="AF494" s="220"/>
      <x:c r="AG494" s="221"/>
      <x:c r="AH494" s="220"/>
      <x:c r="AI494" s="220"/>
      <x:c r="AJ494" s="222"/>
      <x:c r="AK494" s="220"/>
      <x:c r="AL494" s="220"/>
      <x:c r="AM494" s="220"/>
      <x:c r="AN494" s="220"/>
      <x:c r="AO494" s="220"/>
      <x:c r="AP494" s="220"/>
      <x:c r="AQ494" s="220"/>
      <x:c r="AR494" s="222"/>
      <x:c r="AS494" s="220"/>
      <x:c r="AT494" s="220"/>
      <x:c r="AU494" s="220"/>
      <x:c r="AV494" s="220"/>
      <x:c r="AW494" s="220"/>
      <x:c r="AX494" s="220"/>
      <x:c r="AY494" s="221"/>
      <x:c r="AZ494" s="220"/>
      <x:c r="BA494" s="220" t="str">
        <x:f>IF(AND(A494="",B494="",F494="",H494="",J494="",AW494="",AY494=""),"",IF(OR(B494="skip",AW494="skip"),"SKIP",IF(OR(B494="to_candidate",AW494="proposed_name"),IF(OR(A494="",AX494="",AY494="",COUNTIF($A$6:$A$505,A494)&gt;1),"REVIEW","TO_PROPOSED"),IF(OR(B494="",A494="",F494="",H494="",J494="",U494="",AW494="",COUNTIF($A$6:$A$505,A494)&gt;1,(COUNTIFS('أرقام التواصل'!$A$6:$A$505,"client",'أرقام التواصل'!$B$6:$B$505,A494,'أرقام التواصل'!$I$6:$I$505,"TRUE")+COUNTIFS('أرقام التواصل'!$A$6:$A$505,"client",'أرقام التواصل'!$B$6:$B$505,A494,'أرقام التواصل'!$C$6:$C$505,1))=0),"REVIEW","READY"))))</x:f>
      </x:c>
      <x:c r="BB494" s="224" t="str">
        <x:f>IF(BA494="","",IF(OR(BA494="READY",BA494="TO_PROPOSED"),"",IF(BA494="SKIP","Skipped by decision",TRIM(IF(B494="","missing import_action; ","")&amp;IF(A494="","missing migration_customer_key; ","")&amp;IF(AND(A494&lt;&gt;"",COUNTIF($A$6:$A$505,A494)&gt;1),"duplicate migration_customer_key; ","")&amp;IF(AND(NOT(OR(B494="to_candidate",AW494="proposed_name")),F494=""),"missing branch_id; ","")&amp;IF(AND(NOT(OR(B494="to_candidate",AW494="proposed_name")),H494=""),"missing first_name; ","")&amp;IF(AND(NOT(OR(B494="to_candidate",AW494="proposed_name")),J494=""),"missing last_name; ","")&amp;IF(AND(NOT(OR(B494="to_candidate",AW494="proposed_name")),U494=""),"missing final_geo_unit_id; ","")&amp;IF(AW494="","missing final_destination; ","")&amp;IF(AND(NOT(OR(B494="to_candidate",AW494="proposed_name")),(COUNTIFS('أرقام التواصل'!$A$6:$A$505,"client",'أرقام التواصل'!$B$6:$B$505,A494,'أرقام التواصل'!$I$6:$I$505,"TRUE")+COUNTIFS('أرقام التواصل'!$A$6:$A$505,"client",'أرقام التواصل'!$B$6:$B$505,A494,'أرقام التواصل'!$C$6:$C$505,1))=0),"missing primary contact in أرقام التواصل; ","")&amp;IF(OR(B494="to_candidate",AW494="proposed_name"),IF(AX494="","missing proposed_move_reason; ","")&amp;IF(AY494="","missing proposed_name_key; ",""),"")))))</x:f>
      </x:c>
    </x:row>
    <x:row r="495">
      <x:c r="A495" s="219"/>
      <x:c r="B495" s="220"/>
      <x:c r="C495" s="221"/>
      <x:c r="D495" s="220"/>
      <x:c r="E495" s="222"/>
      <x:c r="F495" s="220"/>
      <x:c r="G495" s="220"/>
      <x:c r="H495" s="220"/>
      <x:c r="I495" s="220"/>
      <x:c r="J495" s="220"/>
      <x:c r="K495" s="220"/>
      <x:c r="L495" s="220" t="str">
        <x:f>IF(TRIM(H495&amp;" "&amp;I495&amp;" "&amp;J495&amp;IF(K495&lt;&gt;""," ("&amp;K495&amp;")",""))="","",TRIM(H495&amp;" "&amp;I495&amp;" "&amp;J495&amp;IF(K495&lt;&gt;""," ("&amp;K495&amp;")","")))</x:f>
      </x:c>
      <x:c r="M495" s="220"/>
      <x:c r="N495" s="220"/>
      <x:c r="O495" s="220"/>
      <x:c r="P495" s="220"/>
      <x:c r="Q495" s="220"/>
      <x:c r="R495" s="220"/>
      <x:c r="S495" s="220"/>
      <x:c r="T495" s="220"/>
      <x:c r="U495" s="220" t="str">
        <x:f>IF(AND(M495="",O495="",Q495="",S495=""),"",IF(S495&lt;&gt;"",S495,IF(Q495&lt;&gt;"",Q495,IF(O495&lt;&gt;"",O495,M495))))</x:f>
      </x:c>
      <x:c r="V495" s="220" t="str">
        <x:f>IF(AND(N495="",P495="",R495="",T495=""),"",IF(T495&lt;&gt;"",T495,IF(R495&lt;&gt;"",R495,IF(P495&lt;&gt;"",P495,N495))))</x:f>
      </x:c>
      <x:c r="W495" s="221"/>
      <x:c r="X495" s="220"/>
      <x:c r="Y495" s="220"/>
      <x:c r="Z495" s="223"/>
      <x:c r="AA495" s="223"/>
      <x:c r="AB495" s="221"/>
      <x:c r="AC495" s="220"/>
      <x:c r="AD495" s="220"/>
      <x:c r="AE495" s="222"/>
      <x:c r="AF495" s="220"/>
      <x:c r="AG495" s="221"/>
      <x:c r="AH495" s="220"/>
      <x:c r="AI495" s="220"/>
      <x:c r="AJ495" s="222"/>
      <x:c r="AK495" s="220"/>
      <x:c r="AL495" s="220"/>
      <x:c r="AM495" s="220"/>
      <x:c r="AN495" s="220"/>
      <x:c r="AO495" s="220"/>
      <x:c r="AP495" s="220"/>
      <x:c r="AQ495" s="220"/>
      <x:c r="AR495" s="222"/>
      <x:c r="AS495" s="220"/>
      <x:c r="AT495" s="220"/>
      <x:c r="AU495" s="220"/>
      <x:c r="AV495" s="220"/>
      <x:c r="AW495" s="220"/>
      <x:c r="AX495" s="220"/>
      <x:c r="AY495" s="221"/>
      <x:c r="AZ495" s="220"/>
      <x:c r="BA495" s="220" t="str">
        <x:f>IF(AND(A495="",B495="",F495="",H495="",J495="",AW495="",AY495=""),"",IF(OR(B495="skip",AW495="skip"),"SKIP",IF(OR(B495="to_candidate",AW495="proposed_name"),IF(OR(A495="",AX495="",AY495="",COUNTIF($A$6:$A$505,A495)&gt;1),"REVIEW","TO_PROPOSED"),IF(OR(B495="",A495="",F495="",H495="",J495="",U495="",AW495="",COUNTIF($A$6:$A$505,A495)&gt;1,(COUNTIFS('أرقام التواصل'!$A$6:$A$505,"client",'أرقام التواصل'!$B$6:$B$505,A495,'أرقام التواصل'!$I$6:$I$505,"TRUE")+COUNTIFS('أرقام التواصل'!$A$6:$A$505,"client",'أرقام التواصل'!$B$6:$B$505,A495,'أرقام التواصل'!$C$6:$C$505,1))=0),"REVIEW","READY"))))</x:f>
      </x:c>
      <x:c r="BB495" s="224" t="str">
        <x:f>IF(BA495="","",IF(OR(BA495="READY",BA495="TO_PROPOSED"),"",IF(BA495="SKIP","Skipped by decision",TRIM(IF(B495="","missing import_action; ","")&amp;IF(A495="","missing migration_customer_key; ","")&amp;IF(AND(A495&lt;&gt;"",COUNTIF($A$6:$A$505,A495)&gt;1),"duplicate migration_customer_key; ","")&amp;IF(AND(NOT(OR(B495="to_candidate",AW495="proposed_name")),F495=""),"missing branch_id; ","")&amp;IF(AND(NOT(OR(B495="to_candidate",AW495="proposed_name")),H495=""),"missing first_name; ","")&amp;IF(AND(NOT(OR(B495="to_candidate",AW495="proposed_name")),J495=""),"missing last_name; ","")&amp;IF(AND(NOT(OR(B495="to_candidate",AW495="proposed_name")),U495=""),"missing final_geo_unit_id; ","")&amp;IF(AW495="","missing final_destination; ","")&amp;IF(AND(NOT(OR(B495="to_candidate",AW495="proposed_name")),(COUNTIFS('أرقام التواصل'!$A$6:$A$505,"client",'أرقام التواصل'!$B$6:$B$505,A495,'أرقام التواصل'!$I$6:$I$505,"TRUE")+COUNTIFS('أرقام التواصل'!$A$6:$A$505,"client",'أرقام التواصل'!$B$6:$B$505,A495,'أرقام التواصل'!$C$6:$C$505,1))=0),"missing primary contact in أرقام التواصل; ","")&amp;IF(OR(B495="to_candidate",AW495="proposed_name"),IF(AX495="","missing proposed_move_reason; ","")&amp;IF(AY495="","missing proposed_name_key; ",""),"")))))</x:f>
      </x:c>
    </x:row>
    <x:row r="496">
      <x:c r="A496" s="219"/>
      <x:c r="B496" s="220"/>
      <x:c r="C496" s="221"/>
      <x:c r="D496" s="220"/>
      <x:c r="E496" s="222"/>
      <x:c r="F496" s="220"/>
      <x:c r="G496" s="220"/>
      <x:c r="H496" s="220"/>
      <x:c r="I496" s="220"/>
      <x:c r="J496" s="220"/>
      <x:c r="K496" s="220"/>
      <x:c r="L496" s="220" t="str">
        <x:f>IF(TRIM(H496&amp;" "&amp;I496&amp;" "&amp;J496&amp;IF(K496&lt;&gt;""," ("&amp;K496&amp;")",""))="","",TRIM(H496&amp;" "&amp;I496&amp;" "&amp;J496&amp;IF(K496&lt;&gt;""," ("&amp;K496&amp;")","")))</x:f>
      </x:c>
      <x:c r="M496" s="220"/>
      <x:c r="N496" s="220"/>
      <x:c r="O496" s="220"/>
      <x:c r="P496" s="220"/>
      <x:c r="Q496" s="220"/>
      <x:c r="R496" s="220"/>
      <x:c r="S496" s="220"/>
      <x:c r="T496" s="220"/>
      <x:c r="U496" s="220" t="str">
        <x:f>IF(AND(M496="",O496="",Q496="",S496=""),"",IF(S496&lt;&gt;"",S496,IF(Q496&lt;&gt;"",Q496,IF(O496&lt;&gt;"",O496,M496))))</x:f>
      </x:c>
      <x:c r="V496" s="220" t="str">
        <x:f>IF(AND(N496="",P496="",R496="",T496=""),"",IF(T496&lt;&gt;"",T496,IF(R496&lt;&gt;"",R496,IF(P496&lt;&gt;"",P496,N496))))</x:f>
      </x:c>
      <x:c r="W496" s="221"/>
      <x:c r="X496" s="220"/>
      <x:c r="Y496" s="220"/>
      <x:c r="Z496" s="223"/>
      <x:c r="AA496" s="223"/>
      <x:c r="AB496" s="221"/>
      <x:c r="AC496" s="220"/>
      <x:c r="AD496" s="220"/>
      <x:c r="AE496" s="222"/>
      <x:c r="AF496" s="220"/>
      <x:c r="AG496" s="221"/>
      <x:c r="AH496" s="220"/>
      <x:c r="AI496" s="220"/>
      <x:c r="AJ496" s="222"/>
      <x:c r="AK496" s="220"/>
      <x:c r="AL496" s="220"/>
      <x:c r="AM496" s="220"/>
      <x:c r="AN496" s="220"/>
      <x:c r="AO496" s="220"/>
      <x:c r="AP496" s="220"/>
      <x:c r="AQ496" s="220"/>
      <x:c r="AR496" s="222"/>
      <x:c r="AS496" s="220"/>
      <x:c r="AT496" s="220"/>
      <x:c r="AU496" s="220"/>
      <x:c r="AV496" s="220"/>
      <x:c r="AW496" s="220"/>
      <x:c r="AX496" s="220"/>
      <x:c r="AY496" s="221"/>
      <x:c r="AZ496" s="220"/>
      <x:c r="BA496" s="220" t="str">
        <x:f>IF(AND(A496="",B496="",F496="",H496="",J496="",AW496="",AY496=""),"",IF(OR(B496="skip",AW496="skip"),"SKIP",IF(OR(B496="to_candidate",AW496="proposed_name"),IF(OR(A496="",AX496="",AY496="",COUNTIF($A$6:$A$505,A496)&gt;1),"REVIEW","TO_PROPOSED"),IF(OR(B496="",A496="",F496="",H496="",J496="",U496="",AW496="",COUNTIF($A$6:$A$505,A496)&gt;1,(COUNTIFS('أرقام التواصل'!$A$6:$A$505,"client",'أرقام التواصل'!$B$6:$B$505,A496,'أرقام التواصل'!$I$6:$I$505,"TRUE")+COUNTIFS('أرقام التواصل'!$A$6:$A$505,"client",'أرقام التواصل'!$B$6:$B$505,A496,'أرقام التواصل'!$C$6:$C$505,1))=0),"REVIEW","READY"))))</x:f>
      </x:c>
      <x:c r="BB496" s="224" t="str">
        <x:f>IF(BA496="","",IF(OR(BA496="READY",BA496="TO_PROPOSED"),"",IF(BA496="SKIP","Skipped by decision",TRIM(IF(B496="","missing import_action; ","")&amp;IF(A496="","missing migration_customer_key; ","")&amp;IF(AND(A496&lt;&gt;"",COUNTIF($A$6:$A$505,A496)&gt;1),"duplicate migration_customer_key; ","")&amp;IF(AND(NOT(OR(B496="to_candidate",AW496="proposed_name")),F496=""),"missing branch_id; ","")&amp;IF(AND(NOT(OR(B496="to_candidate",AW496="proposed_name")),H496=""),"missing first_name; ","")&amp;IF(AND(NOT(OR(B496="to_candidate",AW496="proposed_name")),J496=""),"missing last_name; ","")&amp;IF(AND(NOT(OR(B496="to_candidate",AW496="proposed_name")),U496=""),"missing final_geo_unit_id; ","")&amp;IF(AW496="","missing final_destination; ","")&amp;IF(AND(NOT(OR(B496="to_candidate",AW496="proposed_name")),(COUNTIFS('أرقام التواصل'!$A$6:$A$505,"client",'أرقام التواصل'!$B$6:$B$505,A496,'أرقام التواصل'!$I$6:$I$505,"TRUE")+COUNTIFS('أرقام التواصل'!$A$6:$A$505,"client",'أرقام التواصل'!$B$6:$B$505,A496,'أرقام التواصل'!$C$6:$C$505,1))=0),"missing primary contact in أرقام التواصل; ","")&amp;IF(OR(B496="to_candidate",AW496="proposed_name"),IF(AX496="","missing proposed_move_reason; ","")&amp;IF(AY496="","missing proposed_name_key; ",""),"")))))</x:f>
      </x:c>
    </x:row>
    <x:row r="497">
      <x:c r="A497" s="219"/>
      <x:c r="B497" s="220"/>
      <x:c r="C497" s="221"/>
      <x:c r="D497" s="220"/>
      <x:c r="E497" s="222"/>
      <x:c r="F497" s="220"/>
      <x:c r="G497" s="220"/>
      <x:c r="H497" s="220"/>
      <x:c r="I497" s="220"/>
      <x:c r="J497" s="220"/>
      <x:c r="K497" s="220"/>
      <x:c r="L497" s="220" t="str">
        <x:f>IF(TRIM(H497&amp;" "&amp;I497&amp;" "&amp;J497&amp;IF(K497&lt;&gt;""," ("&amp;K497&amp;")",""))="","",TRIM(H497&amp;" "&amp;I497&amp;" "&amp;J497&amp;IF(K497&lt;&gt;""," ("&amp;K497&amp;")","")))</x:f>
      </x:c>
      <x:c r="M497" s="220"/>
      <x:c r="N497" s="220"/>
      <x:c r="O497" s="220"/>
      <x:c r="P497" s="220"/>
      <x:c r="Q497" s="220"/>
      <x:c r="R497" s="220"/>
      <x:c r="S497" s="220"/>
      <x:c r="T497" s="220"/>
      <x:c r="U497" s="220" t="str">
        <x:f>IF(AND(M497="",O497="",Q497="",S497=""),"",IF(S497&lt;&gt;"",S497,IF(Q497&lt;&gt;"",Q497,IF(O497&lt;&gt;"",O497,M497))))</x:f>
      </x:c>
      <x:c r="V497" s="220" t="str">
        <x:f>IF(AND(N497="",P497="",R497="",T497=""),"",IF(T497&lt;&gt;"",T497,IF(R497&lt;&gt;"",R497,IF(P497&lt;&gt;"",P497,N497))))</x:f>
      </x:c>
      <x:c r="W497" s="221"/>
      <x:c r="X497" s="220"/>
      <x:c r="Y497" s="220"/>
      <x:c r="Z497" s="223"/>
      <x:c r="AA497" s="223"/>
      <x:c r="AB497" s="221"/>
      <x:c r="AC497" s="220"/>
      <x:c r="AD497" s="220"/>
      <x:c r="AE497" s="222"/>
      <x:c r="AF497" s="220"/>
      <x:c r="AG497" s="221"/>
      <x:c r="AH497" s="220"/>
      <x:c r="AI497" s="220"/>
      <x:c r="AJ497" s="222"/>
      <x:c r="AK497" s="220"/>
      <x:c r="AL497" s="220"/>
      <x:c r="AM497" s="220"/>
      <x:c r="AN497" s="220"/>
      <x:c r="AO497" s="220"/>
      <x:c r="AP497" s="220"/>
      <x:c r="AQ497" s="220"/>
      <x:c r="AR497" s="222"/>
      <x:c r="AS497" s="220"/>
      <x:c r="AT497" s="220"/>
      <x:c r="AU497" s="220"/>
      <x:c r="AV497" s="220"/>
      <x:c r="AW497" s="220"/>
      <x:c r="AX497" s="220"/>
      <x:c r="AY497" s="221"/>
      <x:c r="AZ497" s="220"/>
      <x:c r="BA497" s="220" t="str">
        <x:f>IF(AND(A497="",B497="",F497="",H497="",J497="",AW497="",AY497=""),"",IF(OR(B497="skip",AW497="skip"),"SKIP",IF(OR(B497="to_candidate",AW497="proposed_name"),IF(OR(A497="",AX497="",AY497="",COUNTIF($A$6:$A$505,A497)&gt;1),"REVIEW","TO_PROPOSED"),IF(OR(B497="",A497="",F497="",H497="",J497="",U497="",AW497="",COUNTIF($A$6:$A$505,A497)&gt;1,(COUNTIFS('أرقام التواصل'!$A$6:$A$505,"client",'أرقام التواصل'!$B$6:$B$505,A497,'أرقام التواصل'!$I$6:$I$505,"TRUE")+COUNTIFS('أرقام التواصل'!$A$6:$A$505,"client",'أرقام التواصل'!$B$6:$B$505,A497,'أرقام التواصل'!$C$6:$C$505,1))=0),"REVIEW","READY"))))</x:f>
      </x:c>
      <x:c r="BB497" s="224" t="str">
        <x:f>IF(BA497="","",IF(OR(BA497="READY",BA497="TO_PROPOSED"),"",IF(BA497="SKIP","Skipped by decision",TRIM(IF(B497="","missing import_action; ","")&amp;IF(A497="","missing migration_customer_key; ","")&amp;IF(AND(A497&lt;&gt;"",COUNTIF($A$6:$A$505,A497)&gt;1),"duplicate migration_customer_key; ","")&amp;IF(AND(NOT(OR(B497="to_candidate",AW497="proposed_name")),F497=""),"missing branch_id; ","")&amp;IF(AND(NOT(OR(B497="to_candidate",AW497="proposed_name")),H497=""),"missing first_name; ","")&amp;IF(AND(NOT(OR(B497="to_candidate",AW497="proposed_name")),J497=""),"missing last_name; ","")&amp;IF(AND(NOT(OR(B497="to_candidate",AW497="proposed_name")),U497=""),"missing final_geo_unit_id; ","")&amp;IF(AW497="","missing final_destination; ","")&amp;IF(AND(NOT(OR(B497="to_candidate",AW497="proposed_name")),(COUNTIFS('أرقام التواصل'!$A$6:$A$505,"client",'أرقام التواصل'!$B$6:$B$505,A497,'أرقام التواصل'!$I$6:$I$505,"TRUE")+COUNTIFS('أرقام التواصل'!$A$6:$A$505,"client",'أرقام التواصل'!$B$6:$B$505,A497,'أرقام التواصل'!$C$6:$C$505,1))=0),"missing primary contact in أرقام التواصل; ","")&amp;IF(OR(B497="to_candidate",AW497="proposed_name"),IF(AX497="","missing proposed_move_reason; ","")&amp;IF(AY497="","missing proposed_name_key; ",""),"")))))</x:f>
      </x:c>
    </x:row>
    <x:row r="498">
      <x:c r="A498" s="219"/>
      <x:c r="B498" s="220"/>
      <x:c r="C498" s="221"/>
      <x:c r="D498" s="220"/>
      <x:c r="E498" s="222"/>
      <x:c r="F498" s="220"/>
      <x:c r="G498" s="220"/>
      <x:c r="H498" s="220"/>
      <x:c r="I498" s="220"/>
      <x:c r="J498" s="220"/>
      <x:c r="K498" s="220"/>
      <x:c r="L498" s="220" t="str">
        <x:f>IF(TRIM(H498&amp;" "&amp;I498&amp;" "&amp;J498&amp;IF(K498&lt;&gt;""," ("&amp;K498&amp;")",""))="","",TRIM(H498&amp;" "&amp;I498&amp;" "&amp;J498&amp;IF(K498&lt;&gt;""," ("&amp;K498&amp;")","")))</x:f>
      </x:c>
      <x:c r="M498" s="220"/>
      <x:c r="N498" s="220"/>
      <x:c r="O498" s="220"/>
      <x:c r="P498" s="220"/>
      <x:c r="Q498" s="220"/>
      <x:c r="R498" s="220"/>
      <x:c r="S498" s="220"/>
      <x:c r="T498" s="220"/>
      <x:c r="U498" s="220" t="str">
        <x:f>IF(AND(M498="",O498="",Q498="",S498=""),"",IF(S498&lt;&gt;"",S498,IF(Q498&lt;&gt;"",Q498,IF(O498&lt;&gt;"",O498,M498))))</x:f>
      </x:c>
      <x:c r="V498" s="220" t="str">
        <x:f>IF(AND(N498="",P498="",R498="",T498=""),"",IF(T498&lt;&gt;"",T498,IF(R498&lt;&gt;"",R498,IF(P498&lt;&gt;"",P498,N498))))</x:f>
      </x:c>
      <x:c r="W498" s="221"/>
      <x:c r="X498" s="220"/>
      <x:c r="Y498" s="220"/>
      <x:c r="Z498" s="223"/>
      <x:c r="AA498" s="223"/>
      <x:c r="AB498" s="221"/>
      <x:c r="AC498" s="220"/>
      <x:c r="AD498" s="220"/>
      <x:c r="AE498" s="222"/>
      <x:c r="AF498" s="220"/>
      <x:c r="AG498" s="221"/>
      <x:c r="AH498" s="220"/>
      <x:c r="AI498" s="220"/>
      <x:c r="AJ498" s="222"/>
      <x:c r="AK498" s="220"/>
      <x:c r="AL498" s="220"/>
      <x:c r="AM498" s="220"/>
      <x:c r="AN498" s="220"/>
      <x:c r="AO498" s="220"/>
      <x:c r="AP498" s="220"/>
      <x:c r="AQ498" s="220"/>
      <x:c r="AR498" s="222"/>
      <x:c r="AS498" s="220"/>
      <x:c r="AT498" s="220"/>
      <x:c r="AU498" s="220"/>
      <x:c r="AV498" s="220"/>
      <x:c r="AW498" s="220"/>
      <x:c r="AX498" s="220"/>
      <x:c r="AY498" s="221"/>
      <x:c r="AZ498" s="220"/>
      <x:c r="BA498" s="220" t="str">
        <x:f>IF(AND(A498="",B498="",F498="",H498="",J498="",AW498="",AY498=""),"",IF(OR(B498="skip",AW498="skip"),"SKIP",IF(OR(B498="to_candidate",AW498="proposed_name"),IF(OR(A498="",AX498="",AY498="",COUNTIF($A$6:$A$505,A498)&gt;1),"REVIEW","TO_PROPOSED"),IF(OR(B498="",A498="",F498="",H498="",J498="",U498="",AW498="",COUNTIF($A$6:$A$505,A498)&gt;1,(COUNTIFS('أرقام التواصل'!$A$6:$A$505,"client",'أرقام التواصل'!$B$6:$B$505,A498,'أرقام التواصل'!$I$6:$I$505,"TRUE")+COUNTIFS('أرقام التواصل'!$A$6:$A$505,"client",'أرقام التواصل'!$B$6:$B$505,A498,'أرقام التواصل'!$C$6:$C$505,1))=0),"REVIEW","READY"))))</x:f>
      </x:c>
      <x:c r="BB498" s="224" t="str">
        <x:f>IF(BA498="","",IF(OR(BA498="READY",BA498="TO_PROPOSED"),"",IF(BA498="SKIP","Skipped by decision",TRIM(IF(B498="","missing import_action; ","")&amp;IF(A498="","missing migration_customer_key; ","")&amp;IF(AND(A498&lt;&gt;"",COUNTIF($A$6:$A$505,A498)&gt;1),"duplicate migration_customer_key; ","")&amp;IF(AND(NOT(OR(B498="to_candidate",AW498="proposed_name")),F498=""),"missing branch_id; ","")&amp;IF(AND(NOT(OR(B498="to_candidate",AW498="proposed_name")),H498=""),"missing first_name; ","")&amp;IF(AND(NOT(OR(B498="to_candidate",AW498="proposed_name")),J498=""),"missing last_name; ","")&amp;IF(AND(NOT(OR(B498="to_candidate",AW498="proposed_name")),U498=""),"missing final_geo_unit_id; ","")&amp;IF(AW498="","missing final_destination; ","")&amp;IF(AND(NOT(OR(B498="to_candidate",AW498="proposed_name")),(COUNTIFS('أرقام التواصل'!$A$6:$A$505,"client",'أرقام التواصل'!$B$6:$B$505,A498,'أرقام التواصل'!$I$6:$I$505,"TRUE")+COUNTIFS('أرقام التواصل'!$A$6:$A$505,"client",'أرقام التواصل'!$B$6:$B$505,A498,'أرقام التواصل'!$C$6:$C$505,1))=0),"missing primary contact in أرقام التواصل; ","")&amp;IF(OR(B498="to_candidate",AW498="proposed_name"),IF(AX498="","missing proposed_move_reason; ","")&amp;IF(AY498="","missing proposed_name_key; ",""),"")))))</x:f>
      </x:c>
    </x:row>
    <x:row r="499">
      <x:c r="A499" s="219"/>
      <x:c r="B499" s="220"/>
      <x:c r="C499" s="221"/>
      <x:c r="D499" s="220"/>
      <x:c r="E499" s="222"/>
      <x:c r="F499" s="220"/>
      <x:c r="G499" s="220"/>
      <x:c r="H499" s="220"/>
      <x:c r="I499" s="220"/>
      <x:c r="J499" s="220"/>
      <x:c r="K499" s="220"/>
      <x:c r="L499" s="220" t="str">
        <x:f>IF(TRIM(H499&amp;" "&amp;I499&amp;" "&amp;J499&amp;IF(K499&lt;&gt;""," ("&amp;K499&amp;")",""))="","",TRIM(H499&amp;" "&amp;I499&amp;" "&amp;J499&amp;IF(K499&lt;&gt;""," ("&amp;K499&amp;")","")))</x:f>
      </x:c>
      <x:c r="M499" s="220"/>
      <x:c r="N499" s="220"/>
      <x:c r="O499" s="220"/>
      <x:c r="P499" s="220"/>
      <x:c r="Q499" s="220"/>
      <x:c r="R499" s="220"/>
      <x:c r="S499" s="220"/>
      <x:c r="T499" s="220"/>
      <x:c r="U499" s="220" t="str">
        <x:f>IF(AND(M499="",O499="",Q499="",S499=""),"",IF(S499&lt;&gt;"",S499,IF(Q499&lt;&gt;"",Q499,IF(O499&lt;&gt;"",O499,M499))))</x:f>
      </x:c>
      <x:c r="V499" s="220" t="str">
        <x:f>IF(AND(N499="",P499="",R499="",T499=""),"",IF(T499&lt;&gt;"",T499,IF(R499&lt;&gt;"",R499,IF(P499&lt;&gt;"",P499,N499))))</x:f>
      </x:c>
      <x:c r="W499" s="221"/>
      <x:c r="X499" s="220"/>
      <x:c r="Y499" s="220"/>
      <x:c r="Z499" s="223"/>
      <x:c r="AA499" s="223"/>
      <x:c r="AB499" s="221"/>
      <x:c r="AC499" s="220"/>
      <x:c r="AD499" s="220"/>
      <x:c r="AE499" s="222"/>
      <x:c r="AF499" s="220"/>
      <x:c r="AG499" s="221"/>
      <x:c r="AH499" s="220"/>
      <x:c r="AI499" s="220"/>
      <x:c r="AJ499" s="222"/>
      <x:c r="AK499" s="220"/>
      <x:c r="AL499" s="220"/>
      <x:c r="AM499" s="220"/>
      <x:c r="AN499" s="220"/>
      <x:c r="AO499" s="220"/>
      <x:c r="AP499" s="220"/>
      <x:c r="AQ499" s="220"/>
      <x:c r="AR499" s="222"/>
      <x:c r="AS499" s="220"/>
      <x:c r="AT499" s="220"/>
      <x:c r="AU499" s="220"/>
      <x:c r="AV499" s="220"/>
      <x:c r="AW499" s="220"/>
      <x:c r="AX499" s="220"/>
      <x:c r="AY499" s="221"/>
      <x:c r="AZ499" s="220"/>
      <x:c r="BA499" s="220" t="str">
        <x:f>IF(AND(A499="",B499="",F499="",H499="",J499="",AW499="",AY499=""),"",IF(OR(B499="skip",AW499="skip"),"SKIP",IF(OR(B499="to_candidate",AW499="proposed_name"),IF(OR(A499="",AX499="",AY499="",COUNTIF($A$6:$A$505,A499)&gt;1),"REVIEW","TO_PROPOSED"),IF(OR(B499="",A499="",F499="",H499="",J499="",U499="",AW499="",COUNTIF($A$6:$A$505,A499)&gt;1,(COUNTIFS('أرقام التواصل'!$A$6:$A$505,"client",'أرقام التواصل'!$B$6:$B$505,A499,'أرقام التواصل'!$I$6:$I$505,"TRUE")+COUNTIFS('أرقام التواصل'!$A$6:$A$505,"client",'أرقام التواصل'!$B$6:$B$505,A499,'أرقام التواصل'!$C$6:$C$505,1))=0),"REVIEW","READY"))))</x:f>
      </x:c>
      <x:c r="BB499" s="224" t="str">
        <x:f>IF(BA499="","",IF(OR(BA499="READY",BA499="TO_PROPOSED"),"",IF(BA499="SKIP","Skipped by decision",TRIM(IF(B499="","missing import_action; ","")&amp;IF(A499="","missing migration_customer_key; ","")&amp;IF(AND(A499&lt;&gt;"",COUNTIF($A$6:$A$505,A499)&gt;1),"duplicate migration_customer_key; ","")&amp;IF(AND(NOT(OR(B499="to_candidate",AW499="proposed_name")),F499=""),"missing branch_id; ","")&amp;IF(AND(NOT(OR(B499="to_candidate",AW499="proposed_name")),H499=""),"missing first_name; ","")&amp;IF(AND(NOT(OR(B499="to_candidate",AW499="proposed_name")),J499=""),"missing last_name; ","")&amp;IF(AND(NOT(OR(B499="to_candidate",AW499="proposed_name")),U499=""),"missing final_geo_unit_id; ","")&amp;IF(AW499="","missing final_destination; ","")&amp;IF(AND(NOT(OR(B499="to_candidate",AW499="proposed_name")),(COUNTIFS('أرقام التواصل'!$A$6:$A$505,"client",'أرقام التواصل'!$B$6:$B$505,A499,'أرقام التواصل'!$I$6:$I$505,"TRUE")+COUNTIFS('أرقام التواصل'!$A$6:$A$505,"client",'أرقام التواصل'!$B$6:$B$505,A499,'أرقام التواصل'!$C$6:$C$505,1))=0),"missing primary contact in أرقام التواصل; ","")&amp;IF(OR(B499="to_candidate",AW499="proposed_name"),IF(AX499="","missing proposed_move_reason; ","")&amp;IF(AY499="","missing proposed_name_key; ",""),"")))))</x:f>
      </x:c>
    </x:row>
    <x:row r="500">
      <x:c r="A500" s="219"/>
      <x:c r="B500" s="220"/>
      <x:c r="C500" s="221"/>
      <x:c r="D500" s="220"/>
      <x:c r="E500" s="222"/>
      <x:c r="F500" s="220"/>
      <x:c r="G500" s="220"/>
      <x:c r="H500" s="220"/>
      <x:c r="I500" s="220"/>
      <x:c r="J500" s="220"/>
      <x:c r="K500" s="220"/>
      <x:c r="L500" s="220" t="str">
        <x:f>IF(TRIM(H500&amp;" "&amp;I500&amp;" "&amp;J500&amp;IF(K500&lt;&gt;""," ("&amp;K500&amp;")",""))="","",TRIM(H500&amp;" "&amp;I500&amp;" "&amp;J500&amp;IF(K500&lt;&gt;""," ("&amp;K500&amp;")","")))</x:f>
      </x:c>
      <x:c r="M500" s="220"/>
      <x:c r="N500" s="220"/>
      <x:c r="O500" s="220"/>
      <x:c r="P500" s="220"/>
      <x:c r="Q500" s="220"/>
      <x:c r="R500" s="220"/>
      <x:c r="S500" s="220"/>
      <x:c r="T500" s="220"/>
      <x:c r="U500" s="220" t="str">
        <x:f>IF(AND(M500="",O500="",Q500="",S500=""),"",IF(S500&lt;&gt;"",S500,IF(Q500&lt;&gt;"",Q500,IF(O500&lt;&gt;"",O500,M500))))</x:f>
      </x:c>
      <x:c r="V500" s="220" t="str">
        <x:f>IF(AND(N500="",P500="",R500="",T500=""),"",IF(T500&lt;&gt;"",T500,IF(R500&lt;&gt;"",R500,IF(P500&lt;&gt;"",P500,N500))))</x:f>
      </x:c>
      <x:c r="W500" s="221"/>
      <x:c r="X500" s="220"/>
      <x:c r="Y500" s="220"/>
      <x:c r="Z500" s="223"/>
      <x:c r="AA500" s="223"/>
      <x:c r="AB500" s="221"/>
      <x:c r="AC500" s="220"/>
      <x:c r="AD500" s="220"/>
      <x:c r="AE500" s="222"/>
      <x:c r="AF500" s="220"/>
      <x:c r="AG500" s="221"/>
      <x:c r="AH500" s="220"/>
      <x:c r="AI500" s="220"/>
      <x:c r="AJ500" s="222"/>
      <x:c r="AK500" s="220"/>
      <x:c r="AL500" s="220"/>
      <x:c r="AM500" s="220"/>
      <x:c r="AN500" s="220"/>
      <x:c r="AO500" s="220"/>
      <x:c r="AP500" s="220"/>
      <x:c r="AQ500" s="220"/>
      <x:c r="AR500" s="222"/>
      <x:c r="AS500" s="220"/>
      <x:c r="AT500" s="220"/>
      <x:c r="AU500" s="220"/>
      <x:c r="AV500" s="220"/>
      <x:c r="AW500" s="220"/>
      <x:c r="AX500" s="220"/>
      <x:c r="AY500" s="221"/>
      <x:c r="AZ500" s="220"/>
      <x:c r="BA500" s="220" t="str">
        <x:f>IF(AND(A500="",B500="",F500="",H500="",J500="",AW500="",AY500=""),"",IF(OR(B500="skip",AW500="skip"),"SKIP",IF(OR(B500="to_candidate",AW500="proposed_name"),IF(OR(A500="",AX500="",AY500="",COUNTIF($A$6:$A$505,A500)&gt;1),"REVIEW","TO_PROPOSED"),IF(OR(B500="",A500="",F500="",H500="",J500="",U500="",AW500="",COUNTIF($A$6:$A$505,A500)&gt;1,(COUNTIFS('أرقام التواصل'!$A$6:$A$505,"client",'أرقام التواصل'!$B$6:$B$505,A500,'أرقام التواصل'!$I$6:$I$505,"TRUE")+COUNTIFS('أرقام التواصل'!$A$6:$A$505,"client",'أرقام التواصل'!$B$6:$B$505,A500,'أرقام التواصل'!$C$6:$C$505,1))=0),"REVIEW","READY"))))</x:f>
      </x:c>
      <x:c r="BB500" s="224" t="str">
        <x:f>IF(BA500="","",IF(OR(BA500="READY",BA500="TO_PROPOSED"),"",IF(BA500="SKIP","Skipped by decision",TRIM(IF(B500="","missing import_action; ","")&amp;IF(A500="","missing migration_customer_key; ","")&amp;IF(AND(A500&lt;&gt;"",COUNTIF($A$6:$A$505,A500)&gt;1),"duplicate migration_customer_key; ","")&amp;IF(AND(NOT(OR(B500="to_candidate",AW500="proposed_name")),F500=""),"missing branch_id; ","")&amp;IF(AND(NOT(OR(B500="to_candidate",AW500="proposed_name")),H500=""),"missing first_name; ","")&amp;IF(AND(NOT(OR(B500="to_candidate",AW500="proposed_name")),J500=""),"missing last_name; ","")&amp;IF(AND(NOT(OR(B500="to_candidate",AW500="proposed_name")),U500=""),"missing final_geo_unit_id; ","")&amp;IF(AW500="","missing final_destination; ","")&amp;IF(AND(NOT(OR(B500="to_candidate",AW500="proposed_name")),(COUNTIFS('أرقام التواصل'!$A$6:$A$505,"client",'أرقام التواصل'!$B$6:$B$505,A500,'أرقام التواصل'!$I$6:$I$505,"TRUE")+COUNTIFS('أرقام التواصل'!$A$6:$A$505,"client",'أرقام التواصل'!$B$6:$B$505,A500,'أرقام التواصل'!$C$6:$C$505,1))=0),"missing primary contact in أرقام التواصل; ","")&amp;IF(OR(B500="to_candidate",AW500="proposed_name"),IF(AX500="","missing proposed_move_reason; ","")&amp;IF(AY500="","missing proposed_name_key; ",""),"")))))</x:f>
      </x:c>
    </x:row>
    <x:row r="501">
      <x:c r="A501" s="219"/>
      <x:c r="B501" s="220"/>
      <x:c r="C501" s="221"/>
      <x:c r="D501" s="220"/>
      <x:c r="E501" s="222"/>
      <x:c r="F501" s="220"/>
      <x:c r="G501" s="220"/>
      <x:c r="H501" s="220"/>
      <x:c r="I501" s="220"/>
      <x:c r="J501" s="220"/>
      <x:c r="K501" s="220"/>
      <x:c r="L501" s="220" t="str">
        <x:f>IF(TRIM(H501&amp;" "&amp;I501&amp;" "&amp;J501&amp;IF(K501&lt;&gt;""," ("&amp;K501&amp;")",""))="","",TRIM(H501&amp;" "&amp;I501&amp;" "&amp;J501&amp;IF(K501&lt;&gt;""," ("&amp;K501&amp;")","")))</x:f>
      </x:c>
      <x:c r="M501" s="220"/>
      <x:c r="N501" s="220"/>
      <x:c r="O501" s="220"/>
      <x:c r="P501" s="220"/>
      <x:c r="Q501" s="220"/>
      <x:c r="R501" s="220"/>
      <x:c r="S501" s="220"/>
      <x:c r="T501" s="220"/>
      <x:c r="U501" s="220" t="str">
        <x:f>IF(AND(M501="",O501="",Q501="",S501=""),"",IF(S501&lt;&gt;"",S501,IF(Q501&lt;&gt;"",Q501,IF(O501&lt;&gt;"",O501,M501))))</x:f>
      </x:c>
      <x:c r="V501" s="220" t="str">
        <x:f>IF(AND(N501="",P501="",R501="",T501=""),"",IF(T501&lt;&gt;"",T501,IF(R501&lt;&gt;"",R501,IF(P501&lt;&gt;"",P501,N501))))</x:f>
      </x:c>
      <x:c r="W501" s="221"/>
      <x:c r="X501" s="220"/>
      <x:c r="Y501" s="220"/>
      <x:c r="Z501" s="223"/>
      <x:c r="AA501" s="223"/>
      <x:c r="AB501" s="221"/>
      <x:c r="AC501" s="220"/>
      <x:c r="AD501" s="220"/>
      <x:c r="AE501" s="222"/>
      <x:c r="AF501" s="220"/>
      <x:c r="AG501" s="221"/>
      <x:c r="AH501" s="220"/>
      <x:c r="AI501" s="220"/>
      <x:c r="AJ501" s="222"/>
      <x:c r="AK501" s="220"/>
      <x:c r="AL501" s="220"/>
      <x:c r="AM501" s="220"/>
      <x:c r="AN501" s="220"/>
      <x:c r="AO501" s="220"/>
      <x:c r="AP501" s="220"/>
      <x:c r="AQ501" s="220"/>
      <x:c r="AR501" s="222"/>
      <x:c r="AS501" s="220"/>
      <x:c r="AT501" s="220"/>
      <x:c r="AU501" s="220"/>
      <x:c r="AV501" s="220"/>
      <x:c r="AW501" s="220"/>
      <x:c r="AX501" s="220"/>
      <x:c r="AY501" s="221"/>
      <x:c r="AZ501" s="220"/>
      <x:c r="BA501" s="220" t="str">
        <x:f>IF(AND(A501="",B501="",F501="",H501="",J501="",AW501="",AY501=""),"",IF(OR(B501="skip",AW501="skip"),"SKIP",IF(OR(B501="to_candidate",AW501="proposed_name"),IF(OR(A501="",AX501="",AY501="",COUNTIF($A$6:$A$505,A501)&gt;1),"REVIEW","TO_PROPOSED"),IF(OR(B501="",A501="",F501="",H501="",J501="",U501="",AW501="",COUNTIF($A$6:$A$505,A501)&gt;1,(COUNTIFS('أرقام التواصل'!$A$6:$A$505,"client",'أرقام التواصل'!$B$6:$B$505,A501,'أرقام التواصل'!$I$6:$I$505,"TRUE")+COUNTIFS('أرقام التواصل'!$A$6:$A$505,"client",'أرقام التواصل'!$B$6:$B$505,A501,'أرقام التواصل'!$C$6:$C$505,1))=0),"REVIEW","READY"))))</x:f>
      </x:c>
      <x:c r="BB501" s="224" t="str">
        <x:f>IF(BA501="","",IF(OR(BA501="READY",BA501="TO_PROPOSED"),"",IF(BA501="SKIP","Skipped by decision",TRIM(IF(B501="","missing import_action; ","")&amp;IF(A501="","missing migration_customer_key; ","")&amp;IF(AND(A501&lt;&gt;"",COUNTIF($A$6:$A$505,A501)&gt;1),"duplicate migration_customer_key; ","")&amp;IF(AND(NOT(OR(B501="to_candidate",AW501="proposed_name")),F501=""),"missing branch_id; ","")&amp;IF(AND(NOT(OR(B501="to_candidate",AW501="proposed_name")),H501=""),"missing first_name; ","")&amp;IF(AND(NOT(OR(B501="to_candidate",AW501="proposed_name")),J501=""),"missing last_name; ","")&amp;IF(AND(NOT(OR(B501="to_candidate",AW501="proposed_name")),U501=""),"missing final_geo_unit_id; ","")&amp;IF(AW501="","missing final_destination; ","")&amp;IF(AND(NOT(OR(B501="to_candidate",AW501="proposed_name")),(COUNTIFS('أرقام التواصل'!$A$6:$A$505,"client",'أرقام التواصل'!$B$6:$B$505,A501,'أرقام التواصل'!$I$6:$I$505,"TRUE")+COUNTIFS('أرقام التواصل'!$A$6:$A$505,"client",'أرقام التواصل'!$B$6:$B$505,A501,'أرقام التواصل'!$C$6:$C$505,1))=0),"missing primary contact in أرقام التواصل; ","")&amp;IF(OR(B501="to_candidate",AW501="proposed_name"),IF(AX501="","missing proposed_move_reason; ","")&amp;IF(AY501="","missing proposed_name_key; ",""),"")))))</x:f>
      </x:c>
    </x:row>
    <x:row r="502">
      <x:c r="A502" s="219"/>
      <x:c r="B502" s="220"/>
      <x:c r="C502" s="221"/>
      <x:c r="D502" s="220"/>
      <x:c r="E502" s="222"/>
      <x:c r="F502" s="220"/>
      <x:c r="G502" s="220"/>
      <x:c r="H502" s="220"/>
      <x:c r="I502" s="220"/>
      <x:c r="J502" s="220"/>
      <x:c r="K502" s="220"/>
      <x:c r="L502" s="220" t="str">
        <x:f>IF(TRIM(H502&amp;" "&amp;I502&amp;" "&amp;J502&amp;IF(K502&lt;&gt;""," ("&amp;K502&amp;")",""))="","",TRIM(H502&amp;" "&amp;I502&amp;" "&amp;J502&amp;IF(K502&lt;&gt;""," ("&amp;K502&amp;")","")))</x:f>
      </x:c>
      <x:c r="M502" s="220"/>
      <x:c r="N502" s="220"/>
      <x:c r="O502" s="220"/>
      <x:c r="P502" s="220"/>
      <x:c r="Q502" s="220"/>
      <x:c r="R502" s="220"/>
      <x:c r="S502" s="220"/>
      <x:c r="T502" s="220"/>
      <x:c r="U502" s="220" t="str">
        <x:f>IF(AND(M502="",O502="",Q502="",S502=""),"",IF(S502&lt;&gt;"",S502,IF(Q502&lt;&gt;"",Q502,IF(O502&lt;&gt;"",O502,M502))))</x:f>
      </x:c>
      <x:c r="V502" s="220" t="str">
        <x:f>IF(AND(N502="",P502="",R502="",T502=""),"",IF(T502&lt;&gt;"",T502,IF(R502&lt;&gt;"",R502,IF(P502&lt;&gt;"",P502,N502))))</x:f>
      </x:c>
      <x:c r="W502" s="221"/>
      <x:c r="X502" s="220"/>
      <x:c r="Y502" s="220"/>
      <x:c r="Z502" s="223"/>
      <x:c r="AA502" s="223"/>
      <x:c r="AB502" s="221"/>
      <x:c r="AC502" s="220"/>
      <x:c r="AD502" s="220"/>
      <x:c r="AE502" s="222"/>
      <x:c r="AF502" s="220"/>
      <x:c r="AG502" s="221"/>
      <x:c r="AH502" s="220"/>
      <x:c r="AI502" s="220"/>
      <x:c r="AJ502" s="222"/>
      <x:c r="AK502" s="220"/>
      <x:c r="AL502" s="220"/>
      <x:c r="AM502" s="220"/>
      <x:c r="AN502" s="220"/>
      <x:c r="AO502" s="220"/>
      <x:c r="AP502" s="220"/>
      <x:c r="AQ502" s="220"/>
      <x:c r="AR502" s="222"/>
      <x:c r="AS502" s="220"/>
      <x:c r="AT502" s="220"/>
      <x:c r="AU502" s="220"/>
      <x:c r="AV502" s="220"/>
      <x:c r="AW502" s="220"/>
      <x:c r="AX502" s="220"/>
      <x:c r="AY502" s="221"/>
      <x:c r="AZ502" s="220"/>
      <x:c r="BA502" s="220" t="str">
        <x:f>IF(AND(A502="",B502="",F502="",H502="",J502="",AW502="",AY502=""),"",IF(OR(B502="skip",AW502="skip"),"SKIP",IF(OR(B502="to_candidate",AW502="proposed_name"),IF(OR(A502="",AX502="",AY502="",COUNTIF($A$6:$A$505,A502)&gt;1),"REVIEW","TO_PROPOSED"),IF(OR(B502="",A502="",F502="",H502="",J502="",U502="",AW502="",COUNTIF($A$6:$A$505,A502)&gt;1,(COUNTIFS('أرقام التواصل'!$A$6:$A$505,"client",'أرقام التواصل'!$B$6:$B$505,A502,'أرقام التواصل'!$I$6:$I$505,"TRUE")+COUNTIFS('أرقام التواصل'!$A$6:$A$505,"client",'أرقام التواصل'!$B$6:$B$505,A502,'أرقام التواصل'!$C$6:$C$505,1))=0),"REVIEW","READY"))))</x:f>
      </x:c>
      <x:c r="BB502" s="224" t="str">
        <x:f>IF(BA502="","",IF(OR(BA502="READY",BA502="TO_PROPOSED"),"",IF(BA502="SKIP","Skipped by decision",TRIM(IF(B502="","missing import_action; ","")&amp;IF(A502="","missing migration_customer_key; ","")&amp;IF(AND(A502&lt;&gt;"",COUNTIF($A$6:$A$505,A502)&gt;1),"duplicate migration_customer_key; ","")&amp;IF(AND(NOT(OR(B502="to_candidate",AW502="proposed_name")),F502=""),"missing branch_id; ","")&amp;IF(AND(NOT(OR(B502="to_candidate",AW502="proposed_name")),H502=""),"missing first_name; ","")&amp;IF(AND(NOT(OR(B502="to_candidate",AW502="proposed_name")),J502=""),"missing last_name; ","")&amp;IF(AND(NOT(OR(B502="to_candidate",AW502="proposed_name")),U502=""),"missing final_geo_unit_id; ","")&amp;IF(AW502="","missing final_destination; ","")&amp;IF(AND(NOT(OR(B502="to_candidate",AW502="proposed_name")),(COUNTIFS('أرقام التواصل'!$A$6:$A$505,"client",'أرقام التواصل'!$B$6:$B$505,A502,'أرقام التواصل'!$I$6:$I$505,"TRUE")+COUNTIFS('أرقام التواصل'!$A$6:$A$505,"client",'أرقام التواصل'!$B$6:$B$505,A502,'أرقام التواصل'!$C$6:$C$505,1))=0),"missing primary contact in أرقام التواصل; ","")&amp;IF(OR(B502="to_candidate",AW502="proposed_name"),IF(AX502="","missing proposed_move_reason; ","")&amp;IF(AY502="","missing proposed_name_key; ",""),"")))))</x:f>
      </x:c>
    </x:row>
    <x:row r="503">
      <x:c r="A503" s="219"/>
      <x:c r="B503" s="220"/>
      <x:c r="C503" s="221"/>
      <x:c r="D503" s="220"/>
      <x:c r="E503" s="222"/>
      <x:c r="F503" s="220"/>
      <x:c r="G503" s="220"/>
      <x:c r="H503" s="220"/>
      <x:c r="I503" s="220"/>
      <x:c r="J503" s="220"/>
      <x:c r="K503" s="220"/>
      <x:c r="L503" s="220" t="str">
        <x:f>IF(TRIM(H503&amp;" "&amp;I503&amp;" "&amp;J503&amp;IF(K503&lt;&gt;""," ("&amp;K503&amp;")",""))="","",TRIM(H503&amp;" "&amp;I503&amp;" "&amp;J503&amp;IF(K503&lt;&gt;""," ("&amp;K503&amp;")","")))</x:f>
      </x:c>
      <x:c r="M503" s="220"/>
      <x:c r="N503" s="220"/>
      <x:c r="O503" s="220"/>
      <x:c r="P503" s="220"/>
      <x:c r="Q503" s="220"/>
      <x:c r="R503" s="220"/>
      <x:c r="S503" s="220"/>
      <x:c r="T503" s="220"/>
      <x:c r="U503" s="220" t="str">
        <x:f>IF(AND(M503="",O503="",Q503="",S503=""),"",IF(S503&lt;&gt;"",S503,IF(Q503&lt;&gt;"",Q503,IF(O503&lt;&gt;"",O503,M503))))</x:f>
      </x:c>
      <x:c r="V503" s="220" t="str">
        <x:f>IF(AND(N503="",P503="",R503="",T503=""),"",IF(T503&lt;&gt;"",T503,IF(R503&lt;&gt;"",R503,IF(P503&lt;&gt;"",P503,N503))))</x:f>
      </x:c>
      <x:c r="W503" s="221"/>
      <x:c r="X503" s="220"/>
      <x:c r="Y503" s="220"/>
      <x:c r="Z503" s="223"/>
      <x:c r="AA503" s="223"/>
      <x:c r="AB503" s="221"/>
      <x:c r="AC503" s="220"/>
      <x:c r="AD503" s="220"/>
      <x:c r="AE503" s="222"/>
      <x:c r="AF503" s="220"/>
      <x:c r="AG503" s="221"/>
      <x:c r="AH503" s="220"/>
      <x:c r="AI503" s="220"/>
      <x:c r="AJ503" s="222"/>
      <x:c r="AK503" s="220"/>
      <x:c r="AL503" s="220"/>
      <x:c r="AM503" s="220"/>
      <x:c r="AN503" s="220"/>
      <x:c r="AO503" s="220"/>
      <x:c r="AP503" s="220"/>
      <x:c r="AQ503" s="220"/>
      <x:c r="AR503" s="222"/>
      <x:c r="AS503" s="220"/>
      <x:c r="AT503" s="220"/>
      <x:c r="AU503" s="220"/>
      <x:c r="AV503" s="220"/>
      <x:c r="AW503" s="220"/>
      <x:c r="AX503" s="220"/>
      <x:c r="AY503" s="221"/>
      <x:c r="AZ503" s="220"/>
      <x:c r="BA503" s="220" t="str">
        <x:f>IF(AND(A503="",B503="",F503="",H503="",J503="",AW503="",AY503=""),"",IF(OR(B503="skip",AW503="skip"),"SKIP",IF(OR(B503="to_candidate",AW503="proposed_name"),IF(OR(A503="",AX503="",AY503="",COUNTIF($A$6:$A$505,A503)&gt;1),"REVIEW","TO_PROPOSED"),IF(OR(B503="",A503="",F503="",H503="",J503="",U503="",AW503="",COUNTIF($A$6:$A$505,A503)&gt;1,(COUNTIFS('أرقام التواصل'!$A$6:$A$505,"client",'أرقام التواصل'!$B$6:$B$505,A503,'أرقام التواصل'!$I$6:$I$505,"TRUE")+COUNTIFS('أرقام التواصل'!$A$6:$A$505,"client",'أرقام التواصل'!$B$6:$B$505,A503,'أرقام التواصل'!$C$6:$C$505,1))=0),"REVIEW","READY"))))</x:f>
      </x:c>
      <x:c r="BB503" s="224" t="str">
        <x:f>IF(BA503="","",IF(OR(BA503="READY",BA503="TO_PROPOSED"),"",IF(BA503="SKIP","Skipped by decision",TRIM(IF(B503="","missing import_action; ","")&amp;IF(A503="","missing migration_customer_key; ","")&amp;IF(AND(A503&lt;&gt;"",COUNTIF($A$6:$A$505,A503)&gt;1),"duplicate migration_customer_key; ","")&amp;IF(AND(NOT(OR(B503="to_candidate",AW503="proposed_name")),F503=""),"missing branch_id; ","")&amp;IF(AND(NOT(OR(B503="to_candidate",AW503="proposed_name")),H503=""),"missing first_name; ","")&amp;IF(AND(NOT(OR(B503="to_candidate",AW503="proposed_name")),J503=""),"missing last_name; ","")&amp;IF(AND(NOT(OR(B503="to_candidate",AW503="proposed_name")),U503=""),"missing final_geo_unit_id; ","")&amp;IF(AW503="","missing final_destination; ","")&amp;IF(AND(NOT(OR(B503="to_candidate",AW503="proposed_name")),(COUNTIFS('أرقام التواصل'!$A$6:$A$505,"client",'أرقام التواصل'!$B$6:$B$505,A503,'أرقام التواصل'!$I$6:$I$505,"TRUE")+COUNTIFS('أرقام التواصل'!$A$6:$A$505,"client",'أرقام التواصل'!$B$6:$B$505,A503,'أرقام التواصل'!$C$6:$C$505,1))=0),"missing primary contact in أرقام التواصل; ","")&amp;IF(OR(B503="to_candidate",AW503="proposed_name"),IF(AX503="","missing proposed_move_reason; ","")&amp;IF(AY503="","missing proposed_name_key; ",""),"")))))</x:f>
      </x:c>
    </x:row>
    <x:row r="504">
      <x:c r="A504" s="219"/>
      <x:c r="B504" s="220"/>
      <x:c r="C504" s="221"/>
      <x:c r="D504" s="220"/>
      <x:c r="E504" s="222"/>
      <x:c r="F504" s="220"/>
      <x:c r="G504" s="220"/>
      <x:c r="H504" s="220"/>
      <x:c r="I504" s="220"/>
      <x:c r="J504" s="220"/>
      <x:c r="K504" s="220"/>
      <x:c r="L504" s="220" t="str">
        <x:f>IF(TRIM(H504&amp;" "&amp;I504&amp;" "&amp;J504&amp;IF(K504&lt;&gt;""," ("&amp;K504&amp;")",""))="","",TRIM(H504&amp;" "&amp;I504&amp;" "&amp;J504&amp;IF(K504&lt;&gt;""," ("&amp;K504&amp;")","")))</x:f>
      </x:c>
      <x:c r="M504" s="220"/>
      <x:c r="N504" s="220"/>
      <x:c r="O504" s="220"/>
      <x:c r="P504" s="220"/>
      <x:c r="Q504" s="220"/>
      <x:c r="R504" s="220"/>
      <x:c r="S504" s="220"/>
      <x:c r="T504" s="220"/>
      <x:c r="U504" s="220" t="str">
        <x:f>IF(AND(M504="",O504="",Q504="",S504=""),"",IF(S504&lt;&gt;"",S504,IF(Q504&lt;&gt;"",Q504,IF(O504&lt;&gt;"",O504,M504))))</x:f>
      </x:c>
      <x:c r="V504" s="220" t="str">
        <x:f>IF(AND(N504="",P504="",R504="",T504=""),"",IF(T504&lt;&gt;"",T504,IF(R504&lt;&gt;"",R504,IF(P504&lt;&gt;"",P504,N504))))</x:f>
      </x:c>
      <x:c r="W504" s="221"/>
      <x:c r="X504" s="220"/>
      <x:c r="Y504" s="220"/>
      <x:c r="Z504" s="223"/>
      <x:c r="AA504" s="223"/>
      <x:c r="AB504" s="221"/>
      <x:c r="AC504" s="220"/>
      <x:c r="AD504" s="220"/>
      <x:c r="AE504" s="222"/>
      <x:c r="AF504" s="220"/>
      <x:c r="AG504" s="221"/>
      <x:c r="AH504" s="220"/>
      <x:c r="AI504" s="220"/>
      <x:c r="AJ504" s="222"/>
      <x:c r="AK504" s="220"/>
      <x:c r="AL504" s="220"/>
      <x:c r="AM504" s="220"/>
      <x:c r="AN504" s="220"/>
      <x:c r="AO504" s="220"/>
      <x:c r="AP504" s="220"/>
      <x:c r="AQ504" s="220"/>
      <x:c r="AR504" s="222"/>
      <x:c r="AS504" s="220"/>
      <x:c r="AT504" s="220"/>
      <x:c r="AU504" s="220"/>
      <x:c r="AV504" s="220"/>
      <x:c r="AW504" s="220"/>
      <x:c r="AX504" s="220"/>
      <x:c r="AY504" s="221"/>
      <x:c r="AZ504" s="220"/>
      <x:c r="BA504" s="220" t="str">
        <x:f>IF(AND(A504="",B504="",F504="",H504="",J504="",AW504="",AY504=""),"",IF(OR(B504="skip",AW504="skip"),"SKIP",IF(OR(B504="to_candidate",AW504="proposed_name"),IF(OR(A504="",AX504="",AY504="",COUNTIF($A$6:$A$505,A504)&gt;1),"REVIEW","TO_PROPOSED"),IF(OR(B504="",A504="",F504="",H504="",J504="",U504="",AW504="",COUNTIF($A$6:$A$505,A504)&gt;1,(COUNTIFS('أرقام التواصل'!$A$6:$A$505,"client",'أرقام التواصل'!$B$6:$B$505,A504,'أرقام التواصل'!$I$6:$I$505,"TRUE")+COUNTIFS('أرقام التواصل'!$A$6:$A$505,"client",'أرقام التواصل'!$B$6:$B$505,A504,'أرقام التواصل'!$C$6:$C$505,1))=0),"REVIEW","READY"))))</x:f>
      </x:c>
      <x:c r="BB504" s="224" t="str">
        <x:f>IF(BA504="","",IF(OR(BA504="READY",BA504="TO_PROPOSED"),"",IF(BA504="SKIP","Skipped by decision",TRIM(IF(B504="","missing import_action; ","")&amp;IF(A504="","missing migration_customer_key; ","")&amp;IF(AND(A504&lt;&gt;"",COUNTIF($A$6:$A$505,A504)&gt;1),"duplicate migration_customer_key; ","")&amp;IF(AND(NOT(OR(B504="to_candidate",AW504="proposed_name")),F504=""),"missing branch_id; ","")&amp;IF(AND(NOT(OR(B504="to_candidate",AW504="proposed_name")),H504=""),"missing first_name; ","")&amp;IF(AND(NOT(OR(B504="to_candidate",AW504="proposed_name")),J504=""),"missing last_name; ","")&amp;IF(AND(NOT(OR(B504="to_candidate",AW504="proposed_name")),U504=""),"missing final_geo_unit_id; ","")&amp;IF(AW504="","missing final_destination; ","")&amp;IF(AND(NOT(OR(B504="to_candidate",AW504="proposed_name")),(COUNTIFS('أرقام التواصل'!$A$6:$A$505,"client",'أرقام التواصل'!$B$6:$B$505,A504,'أرقام التواصل'!$I$6:$I$505,"TRUE")+COUNTIFS('أرقام التواصل'!$A$6:$A$505,"client",'أرقام التواصل'!$B$6:$B$505,A504,'أرقام التواصل'!$C$6:$C$505,1))=0),"missing primary contact in أرقام التواصل; ","")&amp;IF(OR(B504="to_candidate",AW504="proposed_name"),IF(AX504="","missing proposed_move_reason; ","")&amp;IF(AY504="","missing proposed_name_key; ",""),"")))))</x:f>
      </x:c>
    </x:row>
    <x:row r="505">
      <x:c r="A505" s="225"/>
      <x:c r="B505" s="226"/>
      <x:c r="C505" s="227"/>
      <x:c r="D505" s="226"/>
      <x:c r="E505" s="228"/>
      <x:c r="F505" s="226"/>
      <x:c r="G505" s="226"/>
      <x:c r="H505" s="226"/>
      <x:c r="I505" s="226"/>
      <x:c r="J505" s="226"/>
      <x:c r="K505" s="226"/>
      <x:c r="L505" s="226" t="str">
        <x:f>IF(TRIM(H505&amp;" "&amp;I505&amp;" "&amp;J505&amp;IF(K505&lt;&gt;""," ("&amp;K505&amp;")",""))="","",TRIM(H505&amp;" "&amp;I505&amp;" "&amp;J505&amp;IF(K505&lt;&gt;""," ("&amp;K505&amp;")","")))</x:f>
      </x:c>
      <x:c r="M505" s="226"/>
      <x:c r="N505" s="226"/>
      <x:c r="O505" s="226"/>
      <x:c r="P505" s="226"/>
      <x:c r="Q505" s="226"/>
      <x:c r="R505" s="226"/>
      <x:c r="S505" s="226"/>
      <x:c r="T505" s="226"/>
      <x:c r="U505" s="226" t="str">
        <x:f>IF(AND(M505="",O505="",Q505="",S505=""),"",IF(S505&lt;&gt;"",S505,IF(Q505&lt;&gt;"",Q505,IF(O505&lt;&gt;"",O505,M505))))</x:f>
      </x:c>
      <x:c r="V505" s="226" t="str">
        <x:f>IF(AND(N505="",P505="",R505="",T505=""),"",IF(T505&lt;&gt;"",T505,IF(R505&lt;&gt;"",R505,IF(P505&lt;&gt;"",P505,N505))))</x:f>
      </x:c>
      <x:c r="W505" s="227"/>
      <x:c r="X505" s="226"/>
      <x:c r="Y505" s="226"/>
      <x:c r="Z505" s="229"/>
      <x:c r="AA505" s="229"/>
      <x:c r="AB505" s="227"/>
      <x:c r="AC505" s="226"/>
      <x:c r="AD505" s="226"/>
      <x:c r="AE505" s="228"/>
      <x:c r="AF505" s="226"/>
      <x:c r="AG505" s="227"/>
      <x:c r="AH505" s="226"/>
      <x:c r="AI505" s="226"/>
      <x:c r="AJ505" s="228"/>
      <x:c r="AK505" s="226"/>
      <x:c r="AL505" s="226"/>
      <x:c r="AM505" s="226"/>
      <x:c r="AN505" s="226"/>
      <x:c r="AO505" s="226"/>
      <x:c r="AP505" s="226"/>
      <x:c r="AQ505" s="226"/>
      <x:c r="AR505" s="228"/>
      <x:c r="AS505" s="226"/>
      <x:c r="AT505" s="226"/>
      <x:c r="AU505" s="226"/>
      <x:c r="AV505" s="226"/>
      <x:c r="AW505" s="226"/>
      <x:c r="AX505" s="226"/>
      <x:c r="AY505" s="227"/>
      <x:c r="AZ505" s="226"/>
      <x:c r="BA505" s="226" t="str">
        <x:f>IF(AND(A505="",B505="",F505="",H505="",J505="",AW505="",AY505=""),"",IF(OR(B505="skip",AW505="skip"),"SKIP",IF(OR(B505="to_candidate",AW505="proposed_name"),IF(OR(A505="",AX505="",AY505="",COUNTIF($A$6:$A$505,A505)&gt;1),"REVIEW","TO_PROPOSED"),IF(OR(B505="",A505="",F505="",H505="",J505="",U505="",AW505="",COUNTIF($A$6:$A$505,A505)&gt;1,(COUNTIFS('أرقام التواصل'!$A$6:$A$505,"client",'أرقام التواصل'!$B$6:$B$505,A505,'أرقام التواصل'!$I$6:$I$505,"TRUE")+COUNTIFS('أرقام التواصل'!$A$6:$A$505,"client",'أرقام التواصل'!$B$6:$B$505,A505,'أرقام التواصل'!$C$6:$C$505,1))=0),"REVIEW","READY"))))</x:f>
      </x:c>
      <x:c r="BB505" s="230" t="str">
        <x:f>IF(BA505="","",IF(OR(BA505="READY",BA505="TO_PROPOSED"),"",IF(BA505="SKIP","Skipped by decision",TRIM(IF(B505="","missing import_action; ","")&amp;IF(A505="","missing migration_customer_key; ","")&amp;IF(AND(A505&lt;&gt;"",COUNTIF($A$6:$A$505,A505)&gt;1),"duplicate migration_customer_key; ","")&amp;IF(AND(NOT(OR(B505="to_candidate",AW505="proposed_name")),F505=""),"missing branch_id; ","")&amp;IF(AND(NOT(OR(B505="to_candidate",AW505="proposed_name")),H505=""),"missing first_name; ","")&amp;IF(AND(NOT(OR(B505="to_candidate",AW505="proposed_name")),J505=""),"missing last_name; ","")&amp;IF(AND(NOT(OR(B505="to_candidate",AW505="proposed_name")),U505=""),"missing final_geo_unit_id; ","")&amp;IF(AW505="","missing final_destination; ","")&amp;IF(AND(NOT(OR(B505="to_candidate",AW505="proposed_name")),(COUNTIFS('أرقام التواصل'!$A$6:$A$505,"client",'أرقام التواصل'!$B$6:$B$505,A505,'أرقام التواصل'!$I$6:$I$505,"TRUE")+COUNTIFS('أرقام التواصل'!$A$6:$A$505,"client",'أرقام التواصل'!$B$6:$B$505,A505,'أرقام التواصل'!$C$6:$C$505,1))=0),"missing primary contact in أرقام التواصل; ","")&amp;IF(OR(B505="to_candidate",AW505="proposed_name"),IF(AX505="","missing proposed_move_reason; ","")&amp;IF(AY505="","missing proposed_name_key; ",""),"")))))</x:f>
      </x:c>
    </x:row>
  </x:sheetData>
  <x:mergeCells>
    <x:mergeCell ref="A1:BB1"/>
    <x:mergeCell ref="A2:BB2"/>
    <x:mergeCell ref="A4:E4"/>
    <x:mergeCell ref="F4:G4"/>
    <x:mergeCell ref="H4:L4"/>
    <x:mergeCell ref="M4:V4"/>
    <x:mergeCell ref="W4:AA4"/>
    <x:mergeCell ref="AD4:AK4"/>
    <x:mergeCell ref="AL4:AN4"/>
    <x:mergeCell ref="AO4:AS4"/>
    <x:mergeCell ref="AT4:AV4"/>
    <x:mergeCell ref="AW4:AZ4"/>
    <x:mergeCell ref="BA4:BB4"/>
  </x:mergeCells>
  <x:conditionalFormatting sqref="BA6:BA505">
    <x:cfRule type="containsText" dxfId="0" priority="1" operator="containsText" text="READY"/>
    <x:cfRule type="containsText" dxfId="1" priority="2" operator="containsText" text="TO_PROPOSED"/>
    <x:cfRule type="containsText" dxfId="2" priority="3" operator="containsText" text="REVIEW"/>
    <x:cfRule type="containsText" dxfId="3" priority="4" operator="containsText" text="SKIP"/>
  </x:conditionalFormatting>
  <x:dataValidations count="10">
    <x:dataValidation type="list" sqref="B6:B505">
      <x:formula1>"create,update,skip,to_candidate"</x:formula1>
    </x:dataValidation>
    <x:dataValidation type="list" sqref="Y6:Y505">
      <x:formula1>"clear,unclear,unknown"</x:formula1>
    </x:dataValidation>
    <x:dataValidation type="list" sqref="AC6:AC505">
      <x:formula1>"Lead,FOP,OP"</x:formula1>
    </x:dataValidation>
    <x:dataValidation type="list" sqref="AD6:AD505">
      <x:formula1>"male,female"</x:formula1>
    </x:dataValidation>
    <x:dataValidation type="list" sqref="AO6:AO505">
      <x:formula1>"correct,incorrect,needs_edit"</x:formula1>
    </x:dataValidation>
    <x:dataValidation type="list" sqref="AP6:AP505">
      <x:formula1>"Undefined,Committed,NotCommitted"</x:formula1>
    </x:dataValidation>
    <x:dataValidation type="list" sqref="AQ6:AQ505">
      <x:formula1>"TRUE,FALSE"</x:formula1>
    </x:dataValidation>
    <x:dataValidation type="list" sqref="AU6:AU505">
      <x:formula1>"raw,cleaned,review_needed,blocked"</x:formula1>
    </x:dataValidation>
    <x:dataValidation type="list" sqref="AW6:AW505">
      <x:formula1>"client,proposed_name,skip,review_later"</x:formula1>
    </x:dataValidation>
    <x:dataValidation type="list" sqref="AX6:AX505">
      <x:formula1>"uncertain_identity,duplicate,missing_required_data,missing_or_invalid_phone,unclear_address,unknown_branch,outside_coverage,needs_manual_review"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c2266e586a4e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22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38" hidden="0" customWidth="1"/>
    <x:col min="13" max="13" width="14" hidden="0" customWidth="1"/>
    <x:col min="14" max="14" width="52" hidden="0" customWidth="1"/>
  </x:cols>
  <x:sheetData>
    <x:row r="1" ht="34" customHeight="1">
      <x:c r="A1" s="24" t="str">
        <x:v>أرقام التواصل</x:v>
      </x:c>
      <x:c r="B1" s="24" t="str">
        <x:v>أرقام التواصل</x:v>
      </x:c>
      <x:c r="C1" s="24" t="str">
        <x:v>أرقام التواصل</x:v>
      </x:c>
      <x:c r="D1" s="24" t="str">
        <x:v>أرقام التواصل</x:v>
      </x:c>
      <x:c r="E1" s="24" t="str">
        <x:v>أرقام التواصل</x:v>
      </x:c>
      <x:c r="F1" s="24" t="str">
        <x:v>أرقام التواصل</x:v>
      </x:c>
      <x:c r="G1" s="24" t="str">
        <x:v>أرقام التواصل</x:v>
      </x:c>
      <x:c r="H1" s="24" t="str">
        <x:v>أرقام التواصل</x:v>
      </x:c>
      <x:c r="I1" s="24" t="str">
        <x:v>أرقام التواصل</x:v>
      </x:c>
      <x:c r="J1" s="24" t="str">
        <x:v>أرقام التواصل</x:v>
      </x:c>
      <x:c r="K1" s="24" t="str">
        <x:v>أرقام التواصل</x:v>
      </x:c>
      <x:c r="L1" s="24" t="str">
        <x:v>أرقام التواصل</x:v>
      </x:c>
      <x:c r="M1" s="24" t="str">
        <x:v>أرقام التواصل</x:v>
      </x:c>
      <x:c r="N1" s="24" t="str">
        <x:v>أرقام التواصل</x:v>
      </x:c>
    </x:row>
    <x:row r="2" ht="28" customHeight="1">
      <x:c r="A2" s="25" t="str">
        <x:v>كل الأرقام هنا للزبائن والأسماء المقترحة المستقلة. استخدم entity_type=client مع migration_customer_key أو entity_type=proposed_name مع proposed_name_key.</x:v>
      </x:c>
      <x:c r="B2" s="25" t="str">
        <x:v>كل الأرقام هنا للزبائن والأسماء المقترحة المستقلة. استخدم entity_type=client مع migration_customer_key أو entity_type=proposed_name مع proposed_name_key.</x:v>
      </x:c>
      <x:c r="C2" s="25" t="str">
        <x:v>كل الأرقام هنا للزبائن والأسماء المقترحة المستقلة. استخدم entity_type=client مع migration_customer_key أو entity_type=proposed_name مع proposed_name_key.</x:v>
      </x:c>
      <x:c r="D2" s="25" t="str">
        <x:v>كل الأرقام هنا للزبائن والأسماء المقترحة المستقلة. استخدم entity_type=client مع migration_customer_key أو entity_type=proposed_name مع proposed_name_key.</x:v>
      </x:c>
      <x:c r="E2" s="25" t="str">
        <x:v>كل الأرقام هنا للزبائن والأسماء المقترحة المستقلة. استخدم entity_type=client مع migration_customer_key أو entity_type=proposed_name مع proposed_name_key.</x:v>
      </x:c>
      <x:c r="F2" s="25" t="str">
        <x:v>كل الأرقام هنا للزبائن والأسماء المقترحة المستقلة. استخدم entity_type=client مع migration_customer_key أو entity_type=proposed_name مع proposed_name_key.</x:v>
      </x:c>
      <x:c r="G2" s="25" t="str">
        <x:v>كل الأرقام هنا للزبائن والأسماء المقترحة المستقلة. استخدم entity_type=client مع migration_customer_key أو entity_type=proposed_name مع proposed_name_key.</x:v>
      </x:c>
      <x:c r="H2" s="25" t="str">
        <x:v>كل الأرقام هنا للزبائن والأسماء المقترحة المستقلة. استخدم entity_type=client مع migration_customer_key أو entity_type=proposed_name مع proposed_name_key.</x:v>
      </x:c>
      <x:c r="I2" s="25" t="str">
        <x:v>كل الأرقام هنا للزبائن والأسماء المقترحة المستقلة. استخدم entity_type=client مع migration_customer_key أو entity_type=proposed_name مع proposed_name_key.</x:v>
      </x:c>
      <x:c r="J2" s="25" t="str">
        <x:v>كل الأرقام هنا للزبائن والأسماء المقترحة المستقلة. استخدم entity_type=client مع migration_customer_key أو entity_type=proposed_name مع proposed_name_key.</x:v>
      </x:c>
      <x:c r="K2" s="25" t="str">
        <x:v>كل الأرقام هنا للزبائن والأسماء المقترحة المستقلة. استخدم entity_type=client مع migration_customer_key أو entity_type=proposed_name مع proposed_name_key.</x:v>
      </x:c>
      <x:c r="L2" s="25" t="str">
        <x:v>كل الأرقام هنا للزبائن والأسماء المقترحة المستقلة. استخدم entity_type=client مع migration_customer_key أو entity_type=proposed_name مع proposed_name_key.</x:v>
      </x:c>
      <x:c r="M2" s="25" t="str">
        <x:v>كل الأرقام هنا للزبائن والأسماء المقترحة المستقلة. استخدم entity_type=client مع migration_customer_key أو entity_type=proposed_name مع proposed_name_key.</x:v>
      </x:c>
      <x:c r="N2" s="25" t="str">
        <x:v>كل الأرقام هنا للزبائن والأسماء المقترحة المستقلة. استخدم entity_type=client مع migration_customer_key أو entity_type=proposed_name مع proposed_name_key.</x:v>
      </x:c>
    </x:row>
    <x:row r="3">
      <x:c r="A3" s="186" t="str">
        <x:v>entity_type</x:v>
      </x:c>
      <x:c r="B3" s="186" t="str">
        <x:v>entity_key</x:v>
      </x:c>
      <x:c r="C3" s="186" t="str">
        <x:v>contact_order</x:v>
      </x:c>
      <x:c r="D3" s="186" t="str">
        <x:v>contact_type</x:v>
      </x:c>
      <x:c r="E3" s="186" t="str">
        <x:v>number</x:v>
      </x:c>
      <x:c r="F3" s="186" t="str">
        <x:v>area_code</x:v>
      </x:c>
      <x:c r="G3" s="186" t="str">
        <x:v>label</x:v>
      </x:c>
      <x:c r="H3" s="186" t="str">
        <x:v>has_whatsapp</x:v>
      </x:c>
      <x:c r="I3" s="186" t="str">
        <x:v>is_primary</x:v>
      </x:c>
      <x:c r="J3" s="186" t="str">
        <x:v>status</x:v>
      </x:c>
      <x:c r="K3" s="186" t="str">
        <x:v>cleanup_status</x:v>
      </x:c>
      <x:c r="L3" s="186" t="str">
        <x:v>notes</x:v>
      </x:c>
      <x:c r="M3" s="186" t="str">
        <x:v>row_status</x:v>
      </x:c>
      <x:c r="N3" s="186" t="str">
        <x:v>row_issues</x:v>
      </x:c>
    </x:row>
    <x:row r="4">
      <x:c r="A4" s="187" t="str">
        <x:v>ربط</x:v>
      </x:c>
      <x:c r="B4" s="189" t="str">
        <x:v>ربط</x:v>
      </x:c>
      <x:c r="C4" s="248" t="str">
        <x:v>التواصل</x:v>
      </x:c>
      <x:c r="D4" s="249" t="str">
        <x:v>التواصل</x:v>
      </x:c>
      <x:c r="E4" s="249" t="str">
        <x:v>التواصل</x:v>
      </x:c>
      <x:c r="F4" s="249" t="str">
        <x:v>التواصل</x:v>
      </x:c>
      <x:c r="G4" s="249" t="str">
        <x:v>التواصل</x:v>
      </x:c>
      <x:c r="H4" s="249" t="str">
        <x:v>التواصل</x:v>
      </x:c>
      <x:c r="I4" s="249" t="str">
        <x:v>التواصل</x:v>
      </x:c>
      <x:c r="J4" s="250" t="str">
        <x:v>التواصل</x:v>
      </x:c>
      <x:c r="K4" s="209" t="str">
        <x:v>مراجعة</x:v>
      </x:c>
      <x:c r="L4" s="210" t="str">
        <x:v>مراجعة</x:v>
      </x:c>
      <x:c r="M4" s="210" t="str">
        <x:v>مراجعة</x:v>
      </x:c>
      <x:c r="N4" s="211" t="str">
        <x:v>مراجعة</x:v>
      </x:c>
    </x:row>
    <x:row r="5" ht="42" customHeight="1">
      <x:c r="A5" s="215" t="str">
        <x:v>نوع السجل</x:v>
      </x:c>
      <x:c r="B5" s="216" t="str">
        <x:v>مفتاح السجل</x:v>
      </x:c>
      <x:c r="C5" s="216" t="str">
        <x:v>ترتيب الرقم</x:v>
      </x:c>
      <x:c r="D5" s="216" t="str">
        <x:v>نوع الرقم</x:v>
      </x:c>
      <x:c r="E5" s="216" t="str">
        <x:v>الرقم</x:v>
      </x:c>
      <x:c r="F5" s="217" t="str">
        <x:v>رمز المنطقة</x:v>
      </x:c>
      <x:c r="G5" s="217" t="str">
        <x:v>وصف الرقم</x:v>
      </x:c>
      <x:c r="H5" s="217" t="str">
        <x:v>واتساب</x:v>
      </x:c>
      <x:c r="I5" s="217" t="str">
        <x:v>أساسي؟</x:v>
      </x:c>
      <x:c r="J5" s="216" t="str">
        <x:v>حالة الرقم</x:v>
      </x:c>
      <x:c r="K5" s="217" t="str">
        <x:v>حالة التنظيف</x:v>
      </x:c>
      <x:c r="L5" s="217" t="str">
        <x:v>ملاحظات</x:v>
      </x:c>
      <x:c r="M5" s="217" t="str">
        <x:v>حالة الصف - تلقائي</x:v>
      </x:c>
      <x:c r="N5" s="218" t="str">
        <x:v>مشاكل الصف - تلقائي</x:v>
      </x:c>
    </x:row>
    <x:row r="6">
      <x:c r="A6" s="251" t="str">
        <x:v>client</x:v>
      </x:c>
      <x:c r="B6" s="252" t="str">
        <x:v>CUST-0001</x:v>
      </x:c>
      <x:c r="C6" s="253" t="n">
        <x:v>1</x:v>
      </x:c>
      <x:c r="D6" s="253" t="str">
        <x:v>mobile</x:v>
      </x:c>
      <x:c r="E6" s="254" t="n">
        <x:v>912345678</x:v>
      </x:c>
      <x:c r="F6" s="252"/>
      <x:c r="G6" s="253" t="str">
        <x:v>أساسي</x:v>
      </x:c>
      <x:c r="H6" s="253" t="str">
        <x:v>TRUE</x:v>
      </x:c>
      <x:c r="I6" s="253" t="str">
        <x:v>TRUE</x:v>
      </x:c>
      <x:c r="J6" s="253" t="str">
        <x:v>active</x:v>
      </x:c>
      <x:c r="K6" s="253" t="str">
        <x:v>cleaned</x:v>
      </x:c>
      <x:c r="L6" s="253" t="str">
        <x:v>الرقم الأساسي للزبون</x:v>
      </x:c>
      <x:c r="M6" s="253" t="str">
        <x:f>IF(AND(A6="",B6="",E6=""),"",IF(OR(A6="",B6="",C6="",D6="",E6="",J6="",AND(A6="client",COUNTIF('الزبائن'!$A$6:$A$505,B6)=0),AND(A6="proposed_name",COUNTIF('أسماء مقترحة'!$A$6:$A$505,B6)=0),AND(D6="mobile",J6&lt;&gt;"invalid",NOT(OR(AND(LEN(E6&amp;"")=10,LEFT(E6&amp;"",2)="09"),AND(LEN(E6&amp;"")=9,LEFT(E6&amp;"",1)="9")))),COUNTIFS($A$6:$A$505,A6,$B$6:$B$505,B6,$E$6:$E$505,E6)&gt;1),"REVIEW","READY"))</x:f>
        <x:v>READY</x:v>
      </x:c>
      <x:c r="N6" s="255" t="str">
        <x:f>IF(M6="","",IF(M6="READY","",TRIM(IF(A6="","missing entity_type; ","")&amp;IF(B6="","missing entity_key; ","")&amp;IF(C6="","missing contact_order; ","")&amp;IF(D6="","missing contact_type; ","")&amp;IF(E6="","missing number; ","")&amp;IF(J6="","missing status; ","")&amp;IF(AND(A6="client",COUNTIF('الزبائن'!$A$6:$A$505,B6)=0),"client key not found; ","")&amp;IF(AND(A6="proposed_name",COUNTIF('أسماء مقترحة'!$A$6:$A$505,B6)=0),"proposed_name key not found; ","")&amp;IF(AND(D6="mobile",J6&lt;&gt;"invalid",NOT(OR(AND(LEN(E6&amp;"")=10,LEFT(E6&amp;"",2)="09"),AND(LEN(E6&amp;"")=9,LEFT(E6&amp;"",1)="9")))),"mobile must be 09XXXXXXXX or status invalid; ","")&amp;IF(COUNTIFS($A$6:$A$505,A6,$B$6:$B$505,B6,$E$6:$E$505,E6)&gt;1,"duplicate number for same entity; ",""))))</x:f>
      </x:c>
    </x:row>
    <x:row r="7">
      <x:c r="A7" s="251" t="str">
        <x:v>client</x:v>
      </x:c>
      <x:c r="B7" s="252" t="str">
        <x:v>CUST-0001</x:v>
      </x:c>
      <x:c r="C7" s="253" t="n">
        <x:v>2</x:v>
      </x:c>
      <x:c r="D7" s="253" t="str">
        <x:v>landline</x:v>
      </x:c>
      <x:c r="E7" s="252" t="str">
        <x:v>1234567</x:v>
      </x:c>
      <x:c r="F7" s="252" t="str">
        <x:v>011</x:v>
      </x:c>
      <x:c r="G7" s="253" t="str">
        <x:v>منزل</x:v>
      </x:c>
      <x:c r="H7" s="253" t="str">
        <x:v>FALSE</x:v>
      </x:c>
      <x:c r="I7" s="253" t="str">
        <x:v>FALSE</x:v>
      </x:c>
      <x:c r="J7" s="253" t="str">
        <x:v>active</x:v>
      </x:c>
      <x:c r="K7" s="253" t="str">
        <x:v>cleaned</x:v>
      </x:c>
      <x:c r="L7" s="253"/>
      <x:c r="M7" s="253" t="str">
        <x:f>IF(AND(A7="",B7="",E7=""),"",IF(OR(A7="",B7="",C7="",D7="",E7="",J7="",AND(A7="client",COUNTIF('الزبائن'!$A$6:$A$505,B7)=0),AND(A7="proposed_name",COUNTIF('أسماء مقترحة'!$A$6:$A$505,B7)=0),AND(D7="mobile",J7&lt;&gt;"invalid",NOT(OR(AND(LEN(E7&amp;"")=10,LEFT(E7&amp;"",2)="09"),AND(LEN(E7&amp;"")=9,LEFT(E7&amp;"",1)="9")))),COUNTIFS($A$6:$A$505,A7,$B$6:$B$505,B7,$E$6:$E$505,E7)&gt;1),"REVIEW","READY"))</x:f>
        <x:v>READY</x:v>
      </x:c>
      <x:c r="N7" s="255" t="str">
        <x:f>IF(M7="","",IF(M7="READY","",TRIM(IF(A7="","missing entity_type; ","")&amp;IF(B7="","missing entity_key; ","")&amp;IF(C7="","missing contact_order; ","")&amp;IF(D7="","missing contact_type; ","")&amp;IF(E7="","missing number; ","")&amp;IF(J7="","missing status; ","")&amp;IF(AND(A7="client",COUNTIF('الزبائن'!$A$6:$A$505,B7)=0),"client key not found; ","")&amp;IF(AND(A7="proposed_name",COUNTIF('أسماء مقترحة'!$A$6:$A$505,B7)=0),"proposed_name key not found; ","")&amp;IF(AND(D7="mobile",J7&lt;&gt;"invalid",NOT(OR(AND(LEN(E7&amp;"")=10,LEFT(E7&amp;"",2)="09"),AND(LEN(E7&amp;"")=9,LEFT(E7&amp;"",1)="9")))),"mobile must be 09XXXXXXXX or status invalid; ","")&amp;IF(COUNTIFS($A$6:$A$505,A7,$B$6:$B$505,B7,$E$6:$E$505,E7)&gt;1,"duplicate number for same entity; ",""))))</x:f>
      </x:c>
    </x:row>
    <x:row r="8">
      <x:c r="A8" s="251" t="str">
        <x:v>proposed_name</x:v>
      </x:c>
      <x:c r="B8" s="252" t="str">
        <x:v>PN-CUST-0002</x:v>
      </x:c>
      <x:c r="C8" s="253" t="n">
        <x:v>1</x:v>
      </x:c>
      <x:c r="D8" s="253" t="str">
        <x:v>mobile</x:v>
      </x:c>
      <x:c r="E8" s="254" t="n">
        <x:v>998765432</x:v>
      </x:c>
      <x:c r="F8" s="252"/>
      <x:c r="G8" s="253" t="str">
        <x:v>رقم من النظام القديم</x:v>
      </x:c>
      <x:c r="H8" s="253" t="str">
        <x:v>FALSE</x:v>
      </x:c>
      <x:c r="I8" s="253" t="str">
        <x:v>TRUE</x:v>
      </x:c>
      <x:c r="J8" s="253" t="str">
        <x:v>preferred</x:v>
      </x:c>
      <x:c r="K8" s="253" t="str">
        <x:v>review_needed</x:v>
      </x:c>
      <x:c r="L8" s="253" t="str">
        <x:v>يتأكد قبل التحويل لزبون</x:v>
      </x:c>
      <x:c r="M8" s="253" t="str">
        <x:f>IF(AND(A8="",B8="",E8=""),"",IF(OR(A8="",B8="",C8="",D8="",E8="",J8="",AND(A8="client",COUNTIF('الزبائن'!$A$6:$A$505,B8)=0),AND(A8="proposed_name",COUNTIF('أسماء مقترحة'!$A$6:$A$505,B8)=0),AND(D8="mobile",J8&lt;&gt;"invalid",NOT(OR(AND(LEN(E8&amp;"")=10,LEFT(E8&amp;"",2)="09"),AND(LEN(E8&amp;"")=9,LEFT(E8&amp;"",1)="9")))),COUNTIFS($A$6:$A$505,A8,$B$6:$B$505,B8,$E$6:$E$505,E8)&gt;1),"REVIEW","READY"))</x:f>
        <x:v>READY</x:v>
      </x:c>
      <x:c r="N8" s="255" t="str">
        <x:f>IF(M8="","",IF(M8="READY","",TRIM(IF(A8="","missing entity_type; ","")&amp;IF(B8="","missing entity_key; ","")&amp;IF(C8="","missing contact_order; ","")&amp;IF(D8="","missing contact_type; ","")&amp;IF(E8="","missing number; ","")&amp;IF(J8="","missing status; ","")&amp;IF(AND(A8="client",COUNTIF('الزبائن'!$A$6:$A$505,B8)=0),"client key not found; ","")&amp;IF(AND(A8="proposed_name",COUNTIF('أسماء مقترحة'!$A$6:$A$505,B8)=0),"proposed_name key not found; ","")&amp;IF(AND(D8="mobile",J8&lt;&gt;"invalid",NOT(OR(AND(LEN(E8&amp;"")=10,LEFT(E8&amp;"",2)="09"),AND(LEN(E8&amp;"")=9,LEFT(E8&amp;"",1)="9")))),"mobile must be 09XXXXXXXX or status invalid; ","")&amp;IF(COUNTIFS($A$6:$A$505,A8,$B$6:$B$505,B8,$E$6:$E$505,E8)&gt;1,"duplicate number for same entity; ",""))))</x:f>
      </x:c>
    </x:row>
    <x:row r="9">
      <x:c r="A9" s="251"/>
      <x:c r="B9" s="252"/>
      <x:c r="C9" s="253"/>
      <x:c r="D9" s="253"/>
      <x:c r="E9" s="252"/>
      <x:c r="F9" s="252"/>
      <x:c r="G9" s="253"/>
      <x:c r="H9" s="253"/>
      <x:c r="I9" s="253"/>
      <x:c r="J9" s="253"/>
      <x:c r="K9" s="253"/>
      <x:c r="L9" s="253"/>
      <x:c r="M9" s="253" t="str">
        <x:f>IF(AND(A9="",B9="",E9=""),"",IF(OR(A9="",B9="",C9="",D9="",E9="",J9="",AND(A9="client",COUNTIF('الزبائن'!$A$6:$A$505,B9)=0),AND(A9="proposed_name",COUNTIF('أسماء مقترحة'!$A$6:$A$505,B9)=0),AND(D9="mobile",J9&lt;&gt;"invalid",NOT(OR(AND(LEN(E9&amp;"")=10,LEFT(E9&amp;"",2)="09"),AND(LEN(E9&amp;"")=9,LEFT(E9&amp;"",1)="9")))),COUNTIFS($A$6:$A$505,A9,$B$6:$B$505,B9,$E$6:$E$505,E9)&gt;1),"REVIEW","READY"))</x:f>
      </x:c>
      <x:c r="N9" s="255" t="str">
        <x:f>IF(M9="","",IF(M9="READY","",TRIM(IF(A9="","missing entity_type; ","")&amp;IF(B9="","missing entity_key; ","")&amp;IF(C9="","missing contact_order; ","")&amp;IF(D9="","missing contact_type; ","")&amp;IF(E9="","missing number; ","")&amp;IF(J9="","missing status; ","")&amp;IF(AND(A9="client",COUNTIF('الزبائن'!$A$6:$A$505,B9)=0),"client key not found; ","")&amp;IF(AND(A9="proposed_name",COUNTIF('أسماء مقترحة'!$A$6:$A$505,B9)=0),"proposed_name key not found; ","")&amp;IF(AND(D9="mobile",J9&lt;&gt;"invalid",NOT(OR(AND(LEN(E9&amp;"")=10,LEFT(E9&amp;"",2)="09"),AND(LEN(E9&amp;"")=9,LEFT(E9&amp;"",1)="9")))),"mobile must be 09XXXXXXXX or status invalid; ","")&amp;IF(COUNTIFS($A$6:$A$505,A9,$B$6:$B$505,B9,$E$6:$E$505,E9)&gt;1,"duplicate number for same entity; ",""))))</x:f>
      </x:c>
    </x:row>
    <x:row r="10">
      <x:c r="A10" s="251"/>
      <x:c r="B10" s="252"/>
      <x:c r="C10" s="253"/>
      <x:c r="D10" s="253"/>
      <x:c r="E10" s="252"/>
      <x:c r="F10" s="252"/>
      <x:c r="G10" s="253"/>
      <x:c r="H10" s="253"/>
      <x:c r="I10" s="253"/>
      <x:c r="J10" s="253"/>
      <x:c r="K10" s="253"/>
      <x:c r="L10" s="253"/>
      <x:c r="M10" s="253" t="str">
        <x:f>IF(AND(A10="",B10="",E10=""),"",IF(OR(A10="",B10="",C10="",D10="",E10="",J10="",AND(A10="client",COUNTIF('الزبائن'!$A$6:$A$505,B10)=0),AND(A10="proposed_name",COUNTIF('أسماء مقترحة'!$A$6:$A$505,B10)=0),AND(D10="mobile",J10&lt;&gt;"invalid",NOT(OR(AND(LEN(E10&amp;"")=10,LEFT(E10&amp;"",2)="09"),AND(LEN(E10&amp;"")=9,LEFT(E10&amp;"",1)="9")))),COUNTIFS($A$6:$A$505,A10,$B$6:$B$505,B10,$E$6:$E$505,E10)&gt;1),"REVIEW","READY"))</x:f>
      </x:c>
      <x:c r="N10" s="255" t="str">
        <x:f>IF(M10="","",IF(M10="READY","",TRIM(IF(A10="","missing entity_type; ","")&amp;IF(B10="","missing entity_key; ","")&amp;IF(C10="","missing contact_order; ","")&amp;IF(D10="","missing contact_type; ","")&amp;IF(E10="","missing number; ","")&amp;IF(J10="","missing status; ","")&amp;IF(AND(A10="client",COUNTIF('الزبائن'!$A$6:$A$505,B10)=0),"client key not found; ","")&amp;IF(AND(A10="proposed_name",COUNTIF('أسماء مقترحة'!$A$6:$A$505,B10)=0),"proposed_name key not found; ","")&amp;IF(AND(D10="mobile",J10&lt;&gt;"invalid",NOT(OR(AND(LEN(E10&amp;"")=10,LEFT(E10&amp;"",2)="09"),AND(LEN(E10&amp;"")=9,LEFT(E10&amp;"",1)="9")))),"mobile must be 09XXXXXXXX or status invalid; ","")&amp;IF(COUNTIFS($A$6:$A$505,A10,$B$6:$B$505,B10,$E$6:$E$505,E10)&gt;1,"duplicate number for same entity; ",""))))</x:f>
      </x:c>
    </x:row>
    <x:row r="11">
      <x:c r="A11" s="251"/>
      <x:c r="B11" s="252"/>
      <x:c r="C11" s="253"/>
      <x:c r="D11" s="253"/>
      <x:c r="E11" s="252"/>
      <x:c r="F11" s="252"/>
      <x:c r="G11" s="253"/>
      <x:c r="H11" s="253"/>
      <x:c r="I11" s="253"/>
      <x:c r="J11" s="253"/>
      <x:c r="K11" s="253"/>
      <x:c r="L11" s="253"/>
      <x:c r="M11" s="253" t="str">
        <x:f>IF(AND(A11="",B11="",E11=""),"",IF(OR(A11="",B11="",C11="",D11="",E11="",J11="",AND(A11="client",COUNTIF('الزبائن'!$A$6:$A$505,B11)=0),AND(A11="proposed_name",COUNTIF('أسماء مقترحة'!$A$6:$A$505,B11)=0),AND(D11="mobile",J11&lt;&gt;"invalid",NOT(OR(AND(LEN(E11&amp;"")=10,LEFT(E11&amp;"",2)="09"),AND(LEN(E11&amp;"")=9,LEFT(E11&amp;"",1)="9")))),COUNTIFS($A$6:$A$505,A11,$B$6:$B$505,B11,$E$6:$E$505,E11)&gt;1),"REVIEW","READY"))</x:f>
      </x:c>
      <x:c r="N11" s="255" t="str">
        <x:f>IF(M11="","",IF(M11="READY","",TRIM(IF(A11="","missing entity_type; ","")&amp;IF(B11="","missing entity_key; ","")&amp;IF(C11="","missing contact_order; ","")&amp;IF(D11="","missing contact_type; ","")&amp;IF(E11="","missing number; ","")&amp;IF(J11="","missing status; ","")&amp;IF(AND(A11="client",COUNTIF('الزبائن'!$A$6:$A$505,B11)=0),"client key not found; ","")&amp;IF(AND(A11="proposed_name",COUNTIF('أسماء مقترحة'!$A$6:$A$505,B11)=0),"proposed_name key not found; ","")&amp;IF(AND(D11="mobile",J11&lt;&gt;"invalid",NOT(OR(AND(LEN(E11&amp;"")=10,LEFT(E11&amp;"",2)="09"),AND(LEN(E11&amp;"")=9,LEFT(E11&amp;"",1)="9")))),"mobile must be 09XXXXXXXX or status invalid; ","")&amp;IF(COUNTIFS($A$6:$A$505,A11,$B$6:$B$505,B11,$E$6:$E$505,E11)&gt;1,"duplicate number for same entity; ",""))))</x:f>
      </x:c>
    </x:row>
    <x:row r="12">
      <x:c r="A12" s="251"/>
      <x:c r="B12" s="252"/>
      <x:c r="C12" s="253"/>
      <x:c r="D12" s="253"/>
      <x:c r="E12" s="252"/>
      <x:c r="F12" s="252"/>
      <x:c r="G12" s="253"/>
      <x:c r="H12" s="253"/>
      <x:c r="I12" s="253"/>
      <x:c r="J12" s="253"/>
      <x:c r="K12" s="253"/>
      <x:c r="L12" s="253"/>
      <x:c r="M12" s="253" t="str">
        <x:f>IF(AND(A12="",B12="",E12=""),"",IF(OR(A12="",B12="",C12="",D12="",E12="",J12="",AND(A12="client",COUNTIF('الزبائن'!$A$6:$A$505,B12)=0),AND(A12="proposed_name",COUNTIF('أسماء مقترحة'!$A$6:$A$505,B12)=0),AND(D12="mobile",J12&lt;&gt;"invalid",NOT(OR(AND(LEN(E12&amp;"")=10,LEFT(E12&amp;"",2)="09"),AND(LEN(E12&amp;"")=9,LEFT(E12&amp;"",1)="9")))),COUNTIFS($A$6:$A$505,A12,$B$6:$B$505,B12,$E$6:$E$505,E12)&gt;1),"REVIEW","READY"))</x:f>
      </x:c>
      <x:c r="N12" s="255" t="str">
        <x:f>IF(M12="","",IF(M12="READY","",TRIM(IF(A12="","missing entity_type; ","")&amp;IF(B12="","missing entity_key; ","")&amp;IF(C12="","missing contact_order; ","")&amp;IF(D12="","missing contact_type; ","")&amp;IF(E12="","missing number; ","")&amp;IF(J12="","missing status; ","")&amp;IF(AND(A12="client",COUNTIF('الزبائن'!$A$6:$A$505,B12)=0),"client key not found; ","")&amp;IF(AND(A12="proposed_name",COUNTIF('أسماء مقترحة'!$A$6:$A$505,B12)=0),"proposed_name key not found; ","")&amp;IF(AND(D12="mobile",J12&lt;&gt;"invalid",NOT(OR(AND(LEN(E12&amp;"")=10,LEFT(E12&amp;"",2)="09"),AND(LEN(E12&amp;"")=9,LEFT(E12&amp;"",1)="9")))),"mobile must be 09XXXXXXXX or status invalid; ","")&amp;IF(COUNTIFS($A$6:$A$505,A12,$B$6:$B$505,B12,$E$6:$E$505,E12)&gt;1,"duplicate number for same entity; ",""))))</x:f>
      </x:c>
    </x:row>
    <x:row r="13">
      <x:c r="A13" s="251"/>
      <x:c r="B13" s="252"/>
      <x:c r="C13" s="253"/>
      <x:c r="D13" s="253"/>
      <x:c r="E13" s="252"/>
      <x:c r="F13" s="252"/>
      <x:c r="G13" s="253"/>
      <x:c r="H13" s="253"/>
      <x:c r="I13" s="253"/>
      <x:c r="J13" s="253"/>
      <x:c r="K13" s="253"/>
      <x:c r="L13" s="253"/>
      <x:c r="M13" s="253" t="str">
        <x:f>IF(AND(A13="",B13="",E13=""),"",IF(OR(A13="",B13="",C13="",D13="",E13="",J13="",AND(A13="client",COUNTIF('الزبائن'!$A$6:$A$505,B13)=0),AND(A13="proposed_name",COUNTIF('أسماء مقترحة'!$A$6:$A$505,B13)=0),AND(D13="mobile",J13&lt;&gt;"invalid",NOT(OR(AND(LEN(E13&amp;"")=10,LEFT(E13&amp;"",2)="09"),AND(LEN(E13&amp;"")=9,LEFT(E13&amp;"",1)="9")))),COUNTIFS($A$6:$A$505,A13,$B$6:$B$505,B13,$E$6:$E$505,E13)&gt;1),"REVIEW","READY"))</x:f>
      </x:c>
      <x:c r="N13" s="255" t="str">
        <x:f>IF(M13="","",IF(M13="READY","",TRIM(IF(A13="","missing entity_type; ","")&amp;IF(B13="","missing entity_key; ","")&amp;IF(C13="","missing contact_order; ","")&amp;IF(D13="","missing contact_type; ","")&amp;IF(E13="","missing number; ","")&amp;IF(J13="","missing status; ","")&amp;IF(AND(A13="client",COUNTIF('الزبائن'!$A$6:$A$505,B13)=0),"client key not found; ","")&amp;IF(AND(A13="proposed_name",COUNTIF('أسماء مقترحة'!$A$6:$A$505,B13)=0),"proposed_name key not found; ","")&amp;IF(AND(D13="mobile",J13&lt;&gt;"invalid",NOT(OR(AND(LEN(E13&amp;"")=10,LEFT(E13&amp;"",2)="09"),AND(LEN(E13&amp;"")=9,LEFT(E13&amp;"",1)="9")))),"mobile must be 09XXXXXXXX or status invalid; ","")&amp;IF(COUNTIFS($A$6:$A$505,A13,$B$6:$B$505,B13,$E$6:$E$505,E13)&gt;1,"duplicate number for same entity; ",""))))</x:f>
      </x:c>
    </x:row>
    <x:row r="14">
      <x:c r="A14" s="251"/>
      <x:c r="B14" s="252"/>
      <x:c r="C14" s="253"/>
      <x:c r="D14" s="253"/>
      <x:c r="E14" s="252"/>
      <x:c r="F14" s="252"/>
      <x:c r="G14" s="253"/>
      <x:c r="H14" s="253"/>
      <x:c r="I14" s="253"/>
      <x:c r="J14" s="253"/>
      <x:c r="K14" s="253"/>
      <x:c r="L14" s="253"/>
      <x:c r="M14" s="253" t="str">
        <x:f>IF(AND(A14="",B14="",E14=""),"",IF(OR(A14="",B14="",C14="",D14="",E14="",J14="",AND(A14="client",COUNTIF('الزبائن'!$A$6:$A$505,B14)=0),AND(A14="proposed_name",COUNTIF('أسماء مقترحة'!$A$6:$A$505,B14)=0),AND(D14="mobile",J14&lt;&gt;"invalid",NOT(OR(AND(LEN(E14&amp;"")=10,LEFT(E14&amp;"",2)="09"),AND(LEN(E14&amp;"")=9,LEFT(E14&amp;"",1)="9")))),COUNTIFS($A$6:$A$505,A14,$B$6:$B$505,B14,$E$6:$E$505,E14)&gt;1),"REVIEW","READY"))</x:f>
      </x:c>
      <x:c r="N14" s="255" t="str">
        <x:f>IF(M14="","",IF(M14="READY","",TRIM(IF(A14="","missing entity_type; ","")&amp;IF(B14="","missing entity_key; ","")&amp;IF(C14="","missing contact_order; ","")&amp;IF(D14="","missing contact_type; ","")&amp;IF(E14="","missing number; ","")&amp;IF(J14="","missing status; ","")&amp;IF(AND(A14="client",COUNTIF('الزبائن'!$A$6:$A$505,B14)=0),"client key not found; ","")&amp;IF(AND(A14="proposed_name",COUNTIF('أسماء مقترحة'!$A$6:$A$505,B14)=0),"proposed_name key not found; ","")&amp;IF(AND(D14="mobile",J14&lt;&gt;"invalid",NOT(OR(AND(LEN(E14&amp;"")=10,LEFT(E14&amp;"",2)="09"),AND(LEN(E14&amp;"")=9,LEFT(E14&amp;"",1)="9")))),"mobile must be 09XXXXXXXX or status invalid; ","")&amp;IF(COUNTIFS($A$6:$A$505,A14,$B$6:$B$505,B14,$E$6:$E$505,E14)&gt;1,"duplicate number for same entity; ",""))))</x:f>
      </x:c>
    </x:row>
    <x:row r="15">
      <x:c r="A15" s="251"/>
      <x:c r="B15" s="252"/>
      <x:c r="C15" s="253"/>
      <x:c r="D15" s="253"/>
      <x:c r="E15" s="252"/>
      <x:c r="F15" s="252"/>
      <x:c r="G15" s="253"/>
      <x:c r="H15" s="253"/>
      <x:c r="I15" s="253"/>
      <x:c r="J15" s="253"/>
      <x:c r="K15" s="253"/>
      <x:c r="L15" s="253"/>
      <x:c r="M15" s="253" t="str">
        <x:f>IF(AND(A15="",B15="",E15=""),"",IF(OR(A15="",B15="",C15="",D15="",E15="",J15="",AND(A15="client",COUNTIF('الزبائن'!$A$6:$A$505,B15)=0),AND(A15="proposed_name",COUNTIF('أسماء مقترحة'!$A$6:$A$505,B15)=0),AND(D15="mobile",J15&lt;&gt;"invalid",NOT(OR(AND(LEN(E15&amp;"")=10,LEFT(E15&amp;"",2)="09"),AND(LEN(E15&amp;"")=9,LEFT(E15&amp;"",1)="9")))),COUNTIFS($A$6:$A$505,A15,$B$6:$B$505,B15,$E$6:$E$505,E15)&gt;1),"REVIEW","READY"))</x:f>
      </x:c>
      <x:c r="N15" s="255" t="str">
        <x:f>IF(M15="","",IF(M15="READY","",TRIM(IF(A15="","missing entity_type; ","")&amp;IF(B15="","missing entity_key; ","")&amp;IF(C15="","missing contact_order; ","")&amp;IF(D15="","missing contact_type; ","")&amp;IF(E15="","missing number; ","")&amp;IF(J15="","missing status; ","")&amp;IF(AND(A15="client",COUNTIF('الزبائن'!$A$6:$A$505,B15)=0),"client key not found; ","")&amp;IF(AND(A15="proposed_name",COUNTIF('أسماء مقترحة'!$A$6:$A$505,B15)=0),"proposed_name key not found; ","")&amp;IF(AND(D15="mobile",J15&lt;&gt;"invalid",NOT(OR(AND(LEN(E15&amp;"")=10,LEFT(E15&amp;"",2)="09"),AND(LEN(E15&amp;"")=9,LEFT(E15&amp;"",1)="9")))),"mobile must be 09XXXXXXXX or status invalid; ","")&amp;IF(COUNTIFS($A$6:$A$505,A15,$B$6:$B$505,B15,$E$6:$E$505,E15)&gt;1,"duplicate number for same entity; ",""))))</x:f>
      </x:c>
    </x:row>
    <x:row r="16">
      <x:c r="A16" s="251"/>
      <x:c r="B16" s="252"/>
      <x:c r="C16" s="253"/>
      <x:c r="D16" s="253"/>
      <x:c r="E16" s="252"/>
      <x:c r="F16" s="252"/>
      <x:c r="G16" s="253"/>
      <x:c r="H16" s="253"/>
      <x:c r="I16" s="253"/>
      <x:c r="J16" s="253"/>
      <x:c r="K16" s="253"/>
      <x:c r="L16" s="253"/>
      <x:c r="M16" s="253" t="str">
        <x:f>IF(AND(A16="",B16="",E16=""),"",IF(OR(A16="",B16="",C16="",D16="",E16="",J16="",AND(A16="client",COUNTIF('الزبائن'!$A$6:$A$505,B16)=0),AND(A16="proposed_name",COUNTIF('أسماء مقترحة'!$A$6:$A$505,B16)=0),AND(D16="mobile",J16&lt;&gt;"invalid",NOT(OR(AND(LEN(E16&amp;"")=10,LEFT(E16&amp;"",2)="09"),AND(LEN(E16&amp;"")=9,LEFT(E16&amp;"",1)="9")))),COUNTIFS($A$6:$A$505,A16,$B$6:$B$505,B16,$E$6:$E$505,E16)&gt;1),"REVIEW","READY"))</x:f>
      </x:c>
      <x:c r="N16" s="255" t="str">
        <x:f>IF(M16="","",IF(M16="READY","",TRIM(IF(A16="","missing entity_type; ","")&amp;IF(B16="","missing entity_key; ","")&amp;IF(C16="","missing contact_order; ","")&amp;IF(D16="","missing contact_type; ","")&amp;IF(E16="","missing number; ","")&amp;IF(J16="","missing status; ","")&amp;IF(AND(A16="client",COUNTIF('الزبائن'!$A$6:$A$505,B16)=0),"client key not found; ","")&amp;IF(AND(A16="proposed_name",COUNTIF('أسماء مقترحة'!$A$6:$A$505,B16)=0),"proposed_name key not found; ","")&amp;IF(AND(D16="mobile",J16&lt;&gt;"invalid",NOT(OR(AND(LEN(E16&amp;"")=10,LEFT(E16&amp;"",2)="09"),AND(LEN(E16&amp;"")=9,LEFT(E16&amp;"",1)="9")))),"mobile must be 09XXXXXXXX or status invalid; ","")&amp;IF(COUNTIFS($A$6:$A$505,A16,$B$6:$B$505,B16,$E$6:$E$505,E16)&gt;1,"duplicate number for same entity; ",""))))</x:f>
      </x:c>
    </x:row>
    <x:row r="17">
      <x:c r="A17" s="251"/>
      <x:c r="B17" s="252"/>
      <x:c r="C17" s="253"/>
      <x:c r="D17" s="253"/>
      <x:c r="E17" s="252"/>
      <x:c r="F17" s="252"/>
      <x:c r="G17" s="253"/>
      <x:c r="H17" s="253"/>
      <x:c r="I17" s="253"/>
      <x:c r="J17" s="253"/>
      <x:c r="K17" s="253"/>
      <x:c r="L17" s="253"/>
      <x:c r="M17" s="253" t="str">
        <x:f>IF(AND(A17="",B17="",E17=""),"",IF(OR(A17="",B17="",C17="",D17="",E17="",J17="",AND(A17="client",COUNTIF('الزبائن'!$A$6:$A$505,B17)=0),AND(A17="proposed_name",COUNTIF('أسماء مقترحة'!$A$6:$A$505,B17)=0),AND(D17="mobile",J17&lt;&gt;"invalid",NOT(OR(AND(LEN(E17&amp;"")=10,LEFT(E17&amp;"",2)="09"),AND(LEN(E17&amp;"")=9,LEFT(E17&amp;"",1)="9")))),COUNTIFS($A$6:$A$505,A17,$B$6:$B$505,B17,$E$6:$E$505,E17)&gt;1),"REVIEW","READY"))</x:f>
      </x:c>
      <x:c r="N17" s="255" t="str">
        <x:f>IF(M17="","",IF(M17="READY","",TRIM(IF(A17="","missing entity_type; ","")&amp;IF(B17="","missing entity_key; ","")&amp;IF(C17="","missing contact_order; ","")&amp;IF(D17="","missing contact_type; ","")&amp;IF(E17="","missing number; ","")&amp;IF(J17="","missing status; ","")&amp;IF(AND(A17="client",COUNTIF('الزبائن'!$A$6:$A$505,B17)=0),"client key not found; ","")&amp;IF(AND(A17="proposed_name",COUNTIF('أسماء مقترحة'!$A$6:$A$505,B17)=0),"proposed_name key not found; ","")&amp;IF(AND(D17="mobile",J17&lt;&gt;"invalid",NOT(OR(AND(LEN(E17&amp;"")=10,LEFT(E17&amp;"",2)="09"),AND(LEN(E17&amp;"")=9,LEFT(E17&amp;"",1)="9")))),"mobile must be 09XXXXXXXX or status invalid; ","")&amp;IF(COUNTIFS($A$6:$A$505,A17,$B$6:$B$505,B17,$E$6:$E$505,E17)&gt;1,"duplicate number for same entity; ",""))))</x:f>
      </x:c>
    </x:row>
    <x:row r="18">
      <x:c r="A18" s="251"/>
      <x:c r="B18" s="252"/>
      <x:c r="C18" s="253"/>
      <x:c r="D18" s="253"/>
      <x:c r="E18" s="252"/>
      <x:c r="F18" s="252"/>
      <x:c r="G18" s="253"/>
      <x:c r="H18" s="253"/>
      <x:c r="I18" s="253"/>
      <x:c r="J18" s="253"/>
      <x:c r="K18" s="253"/>
      <x:c r="L18" s="253"/>
      <x:c r="M18" s="253" t="str">
        <x:f>IF(AND(A18="",B18="",E18=""),"",IF(OR(A18="",B18="",C18="",D18="",E18="",J18="",AND(A18="client",COUNTIF('الزبائن'!$A$6:$A$505,B18)=0),AND(A18="proposed_name",COUNTIF('أسماء مقترحة'!$A$6:$A$505,B18)=0),AND(D18="mobile",J18&lt;&gt;"invalid",NOT(OR(AND(LEN(E18&amp;"")=10,LEFT(E18&amp;"",2)="09"),AND(LEN(E18&amp;"")=9,LEFT(E18&amp;"",1)="9")))),COUNTIFS($A$6:$A$505,A18,$B$6:$B$505,B18,$E$6:$E$505,E18)&gt;1),"REVIEW","READY"))</x:f>
      </x:c>
      <x:c r="N18" s="255" t="str">
        <x:f>IF(M18="","",IF(M18="READY","",TRIM(IF(A18="","missing entity_type; ","")&amp;IF(B18="","missing entity_key; ","")&amp;IF(C18="","missing contact_order; ","")&amp;IF(D18="","missing contact_type; ","")&amp;IF(E18="","missing number; ","")&amp;IF(J18="","missing status; ","")&amp;IF(AND(A18="client",COUNTIF('الزبائن'!$A$6:$A$505,B18)=0),"client key not found; ","")&amp;IF(AND(A18="proposed_name",COUNTIF('أسماء مقترحة'!$A$6:$A$505,B18)=0),"proposed_name key not found; ","")&amp;IF(AND(D18="mobile",J18&lt;&gt;"invalid",NOT(OR(AND(LEN(E18&amp;"")=10,LEFT(E18&amp;"",2)="09"),AND(LEN(E18&amp;"")=9,LEFT(E18&amp;"",1)="9")))),"mobile must be 09XXXXXXXX or status invalid; ","")&amp;IF(COUNTIFS($A$6:$A$505,A18,$B$6:$B$505,B18,$E$6:$E$505,E18)&gt;1,"duplicate number for same entity; ",""))))</x:f>
      </x:c>
    </x:row>
    <x:row r="19">
      <x:c r="A19" s="251"/>
      <x:c r="B19" s="252"/>
      <x:c r="C19" s="253"/>
      <x:c r="D19" s="253"/>
      <x:c r="E19" s="252"/>
      <x:c r="F19" s="252"/>
      <x:c r="G19" s="253"/>
      <x:c r="H19" s="253"/>
      <x:c r="I19" s="253"/>
      <x:c r="J19" s="253"/>
      <x:c r="K19" s="253"/>
      <x:c r="L19" s="253"/>
      <x:c r="M19" s="253" t="str">
        <x:f>IF(AND(A19="",B19="",E19=""),"",IF(OR(A19="",B19="",C19="",D19="",E19="",J19="",AND(A19="client",COUNTIF('الزبائن'!$A$6:$A$505,B19)=0),AND(A19="proposed_name",COUNTIF('أسماء مقترحة'!$A$6:$A$505,B19)=0),AND(D19="mobile",J19&lt;&gt;"invalid",NOT(OR(AND(LEN(E19&amp;"")=10,LEFT(E19&amp;"",2)="09"),AND(LEN(E19&amp;"")=9,LEFT(E19&amp;"",1)="9")))),COUNTIFS($A$6:$A$505,A19,$B$6:$B$505,B19,$E$6:$E$505,E19)&gt;1),"REVIEW","READY"))</x:f>
      </x:c>
      <x:c r="N19" s="255" t="str">
        <x:f>IF(M19="","",IF(M19="READY","",TRIM(IF(A19="","missing entity_type; ","")&amp;IF(B19="","missing entity_key; ","")&amp;IF(C19="","missing contact_order; ","")&amp;IF(D19="","missing contact_type; ","")&amp;IF(E19="","missing number; ","")&amp;IF(J19="","missing status; ","")&amp;IF(AND(A19="client",COUNTIF('الزبائن'!$A$6:$A$505,B19)=0),"client key not found; ","")&amp;IF(AND(A19="proposed_name",COUNTIF('أسماء مقترحة'!$A$6:$A$505,B19)=0),"proposed_name key not found; ","")&amp;IF(AND(D19="mobile",J19&lt;&gt;"invalid",NOT(OR(AND(LEN(E19&amp;"")=10,LEFT(E19&amp;"",2)="09"),AND(LEN(E19&amp;"")=9,LEFT(E19&amp;"",1)="9")))),"mobile must be 09XXXXXXXX or status invalid; ","")&amp;IF(COUNTIFS($A$6:$A$505,A19,$B$6:$B$505,B19,$E$6:$E$505,E19)&gt;1,"duplicate number for same entity; ",""))))</x:f>
      </x:c>
    </x:row>
    <x:row r="20">
      <x:c r="A20" s="251"/>
      <x:c r="B20" s="252"/>
      <x:c r="C20" s="253"/>
      <x:c r="D20" s="253"/>
      <x:c r="E20" s="252"/>
      <x:c r="F20" s="252"/>
      <x:c r="G20" s="253"/>
      <x:c r="H20" s="253"/>
      <x:c r="I20" s="253"/>
      <x:c r="J20" s="253"/>
      <x:c r="K20" s="253"/>
      <x:c r="L20" s="253"/>
      <x:c r="M20" s="253" t="str">
        <x:f>IF(AND(A20="",B20="",E20=""),"",IF(OR(A20="",B20="",C20="",D20="",E20="",J20="",AND(A20="client",COUNTIF('الزبائن'!$A$6:$A$505,B20)=0),AND(A20="proposed_name",COUNTIF('أسماء مقترحة'!$A$6:$A$505,B20)=0),AND(D20="mobile",J20&lt;&gt;"invalid",NOT(OR(AND(LEN(E20&amp;"")=10,LEFT(E20&amp;"",2)="09"),AND(LEN(E20&amp;"")=9,LEFT(E20&amp;"",1)="9")))),COUNTIFS($A$6:$A$505,A20,$B$6:$B$505,B20,$E$6:$E$505,E20)&gt;1),"REVIEW","READY"))</x:f>
      </x:c>
      <x:c r="N20" s="255" t="str">
        <x:f>IF(M20="","",IF(M20="READY","",TRIM(IF(A20="","missing entity_type; ","")&amp;IF(B20="","missing entity_key; ","")&amp;IF(C20="","missing contact_order; ","")&amp;IF(D20="","missing contact_type; ","")&amp;IF(E20="","missing number; ","")&amp;IF(J20="","missing status; ","")&amp;IF(AND(A20="client",COUNTIF('الزبائن'!$A$6:$A$505,B20)=0),"client key not found; ","")&amp;IF(AND(A20="proposed_name",COUNTIF('أسماء مقترحة'!$A$6:$A$505,B20)=0),"proposed_name key not found; ","")&amp;IF(AND(D20="mobile",J20&lt;&gt;"invalid",NOT(OR(AND(LEN(E20&amp;"")=10,LEFT(E20&amp;"",2)="09"),AND(LEN(E20&amp;"")=9,LEFT(E20&amp;"",1)="9")))),"mobile must be 09XXXXXXXX or status invalid; ","")&amp;IF(COUNTIFS($A$6:$A$505,A20,$B$6:$B$505,B20,$E$6:$E$505,E20)&gt;1,"duplicate number for same entity; ",""))))</x:f>
      </x:c>
    </x:row>
    <x:row r="21">
      <x:c r="A21" s="251"/>
      <x:c r="B21" s="252"/>
      <x:c r="C21" s="253"/>
      <x:c r="D21" s="253"/>
      <x:c r="E21" s="252"/>
      <x:c r="F21" s="252"/>
      <x:c r="G21" s="253"/>
      <x:c r="H21" s="253"/>
      <x:c r="I21" s="253"/>
      <x:c r="J21" s="253"/>
      <x:c r="K21" s="253"/>
      <x:c r="L21" s="253"/>
      <x:c r="M21" s="253" t="str">
        <x:f>IF(AND(A21="",B21="",E21=""),"",IF(OR(A21="",B21="",C21="",D21="",E21="",J21="",AND(A21="client",COUNTIF('الزبائن'!$A$6:$A$505,B21)=0),AND(A21="proposed_name",COUNTIF('أسماء مقترحة'!$A$6:$A$505,B21)=0),AND(D21="mobile",J21&lt;&gt;"invalid",NOT(OR(AND(LEN(E21&amp;"")=10,LEFT(E21&amp;"",2)="09"),AND(LEN(E21&amp;"")=9,LEFT(E21&amp;"",1)="9")))),COUNTIFS($A$6:$A$505,A21,$B$6:$B$505,B21,$E$6:$E$505,E21)&gt;1),"REVIEW","READY"))</x:f>
      </x:c>
      <x:c r="N21" s="255" t="str">
        <x:f>IF(M21="","",IF(M21="READY","",TRIM(IF(A21="","missing entity_type; ","")&amp;IF(B21="","missing entity_key; ","")&amp;IF(C21="","missing contact_order; ","")&amp;IF(D21="","missing contact_type; ","")&amp;IF(E21="","missing number; ","")&amp;IF(J21="","missing status; ","")&amp;IF(AND(A21="client",COUNTIF('الزبائن'!$A$6:$A$505,B21)=0),"client key not found; ","")&amp;IF(AND(A21="proposed_name",COUNTIF('أسماء مقترحة'!$A$6:$A$505,B21)=0),"proposed_name key not found; ","")&amp;IF(AND(D21="mobile",J21&lt;&gt;"invalid",NOT(OR(AND(LEN(E21&amp;"")=10,LEFT(E21&amp;"",2)="09"),AND(LEN(E21&amp;"")=9,LEFT(E21&amp;"",1)="9")))),"mobile must be 09XXXXXXXX or status invalid; ","")&amp;IF(COUNTIFS($A$6:$A$505,A21,$B$6:$B$505,B21,$E$6:$E$505,E21)&gt;1,"duplicate number for same entity; ",""))))</x:f>
      </x:c>
    </x:row>
    <x:row r="22">
      <x:c r="A22" s="251"/>
      <x:c r="B22" s="252"/>
      <x:c r="C22" s="253"/>
      <x:c r="D22" s="253"/>
      <x:c r="E22" s="252"/>
      <x:c r="F22" s="252"/>
      <x:c r="G22" s="253"/>
      <x:c r="H22" s="253"/>
      <x:c r="I22" s="253"/>
      <x:c r="J22" s="253"/>
      <x:c r="K22" s="253"/>
      <x:c r="L22" s="253"/>
      <x:c r="M22" s="253" t="str">
        <x:f>IF(AND(A22="",B22="",E22=""),"",IF(OR(A22="",B22="",C22="",D22="",E22="",J22="",AND(A22="client",COUNTIF('الزبائن'!$A$6:$A$505,B22)=0),AND(A22="proposed_name",COUNTIF('أسماء مقترحة'!$A$6:$A$505,B22)=0),AND(D22="mobile",J22&lt;&gt;"invalid",NOT(OR(AND(LEN(E22&amp;"")=10,LEFT(E22&amp;"",2)="09"),AND(LEN(E22&amp;"")=9,LEFT(E22&amp;"",1)="9")))),COUNTIFS($A$6:$A$505,A22,$B$6:$B$505,B22,$E$6:$E$505,E22)&gt;1),"REVIEW","READY"))</x:f>
      </x:c>
      <x:c r="N22" s="255" t="str">
        <x:f>IF(M22="","",IF(M22="READY","",TRIM(IF(A22="","missing entity_type; ","")&amp;IF(B22="","missing entity_key; ","")&amp;IF(C22="","missing contact_order; ","")&amp;IF(D22="","missing contact_type; ","")&amp;IF(E22="","missing number; ","")&amp;IF(J22="","missing status; ","")&amp;IF(AND(A22="client",COUNTIF('الزبائن'!$A$6:$A$505,B22)=0),"client key not found; ","")&amp;IF(AND(A22="proposed_name",COUNTIF('أسماء مقترحة'!$A$6:$A$505,B22)=0),"proposed_name key not found; ","")&amp;IF(AND(D22="mobile",J22&lt;&gt;"invalid",NOT(OR(AND(LEN(E22&amp;"")=10,LEFT(E22&amp;"",2)="09"),AND(LEN(E22&amp;"")=9,LEFT(E22&amp;"",1)="9")))),"mobile must be 09XXXXXXXX or status invalid; ","")&amp;IF(COUNTIFS($A$6:$A$505,A22,$B$6:$B$505,B22,$E$6:$E$505,E22)&gt;1,"duplicate number for same entity; ",""))))</x:f>
      </x:c>
    </x:row>
    <x:row r="23">
      <x:c r="A23" s="251"/>
      <x:c r="B23" s="252"/>
      <x:c r="C23" s="253"/>
      <x:c r="D23" s="253"/>
      <x:c r="E23" s="252"/>
      <x:c r="F23" s="252"/>
      <x:c r="G23" s="253"/>
      <x:c r="H23" s="253"/>
      <x:c r="I23" s="253"/>
      <x:c r="J23" s="253"/>
      <x:c r="K23" s="253"/>
      <x:c r="L23" s="253"/>
      <x:c r="M23" s="253" t="str">
        <x:f>IF(AND(A23="",B23="",E23=""),"",IF(OR(A23="",B23="",C23="",D23="",E23="",J23="",AND(A23="client",COUNTIF('الزبائن'!$A$6:$A$505,B23)=0),AND(A23="proposed_name",COUNTIF('أسماء مقترحة'!$A$6:$A$505,B23)=0),AND(D23="mobile",J23&lt;&gt;"invalid",NOT(OR(AND(LEN(E23&amp;"")=10,LEFT(E23&amp;"",2)="09"),AND(LEN(E23&amp;"")=9,LEFT(E23&amp;"",1)="9")))),COUNTIFS($A$6:$A$505,A23,$B$6:$B$505,B23,$E$6:$E$505,E23)&gt;1),"REVIEW","READY"))</x:f>
      </x:c>
      <x:c r="N23" s="255" t="str">
        <x:f>IF(M23="","",IF(M23="READY","",TRIM(IF(A23="","missing entity_type; ","")&amp;IF(B23="","missing entity_key; ","")&amp;IF(C23="","missing contact_order; ","")&amp;IF(D23="","missing contact_type; ","")&amp;IF(E23="","missing number; ","")&amp;IF(J23="","missing status; ","")&amp;IF(AND(A23="client",COUNTIF('الزبائن'!$A$6:$A$505,B23)=0),"client key not found; ","")&amp;IF(AND(A23="proposed_name",COUNTIF('أسماء مقترحة'!$A$6:$A$505,B23)=0),"proposed_name key not found; ","")&amp;IF(AND(D23="mobile",J23&lt;&gt;"invalid",NOT(OR(AND(LEN(E23&amp;"")=10,LEFT(E23&amp;"",2)="09"),AND(LEN(E23&amp;"")=9,LEFT(E23&amp;"",1)="9")))),"mobile must be 09XXXXXXXX or status invalid; ","")&amp;IF(COUNTIFS($A$6:$A$505,A23,$B$6:$B$505,B23,$E$6:$E$505,E23)&gt;1,"duplicate number for same entity; ",""))))</x:f>
      </x:c>
    </x:row>
    <x:row r="24">
      <x:c r="A24" s="251"/>
      <x:c r="B24" s="252"/>
      <x:c r="C24" s="253"/>
      <x:c r="D24" s="253"/>
      <x:c r="E24" s="252"/>
      <x:c r="F24" s="252"/>
      <x:c r="G24" s="253"/>
      <x:c r="H24" s="253"/>
      <x:c r="I24" s="253"/>
      <x:c r="J24" s="253"/>
      <x:c r="K24" s="253"/>
      <x:c r="L24" s="253"/>
      <x:c r="M24" s="253" t="str">
        <x:f>IF(AND(A24="",B24="",E24=""),"",IF(OR(A24="",B24="",C24="",D24="",E24="",J24="",AND(A24="client",COUNTIF('الزبائن'!$A$6:$A$505,B24)=0),AND(A24="proposed_name",COUNTIF('أسماء مقترحة'!$A$6:$A$505,B24)=0),AND(D24="mobile",J24&lt;&gt;"invalid",NOT(OR(AND(LEN(E24&amp;"")=10,LEFT(E24&amp;"",2)="09"),AND(LEN(E24&amp;"")=9,LEFT(E24&amp;"",1)="9")))),COUNTIFS($A$6:$A$505,A24,$B$6:$B$505,B24,$E$6:$E$505,E24)&gt;1),"REVIEW","READY"))</x:f>
      </x:c>
      <x:c r="N24" s="255" t="str">
        <x:f>IF(M24="","",IF(M24="READY","",TRIM(IF(A24="","missing entity_type; ","")&amp;IF(B24="","missing entity_key; ","")&amp;IF(C24="","missing contact_order; ","")&amp;IF(D24="","missing contact_type; ","")&amp;IF(E24="","missing number; ","")&amp;IF(J24="","missing status; ","")&amp;IF(AND(A24="client",COUNTIF('الزبائن'!$A$6:$A$505,B24)=0),"client key not found; ","")&amp;IF(AND(A24="proposed_name",COUNTIF('أسماء مقترحة'!$A$6:$A$505,B24)=0),"proposed_name key not found; ","")&amp;IF(AND(D24="mobile",J24&lt;&gt;"invalid",NOT(OR(AND(LEN(E24&amp;"")=10,LEFT(E24&amp;"",2)="09"),AND(LEN(E24&amp;"")=9,LEFT(E24&amp;"",1)="9")))),"mobile must be 09XXXXXXXX or status invalid; ","")&amp;IF(COUNTIFS($A$6:$A$505,A24,$B$6:$B$505,B24,$E$6:$E$505,E24)&gt;1,"duplicate number for same entity; ",""))))</x:f>
      </x:c>
    </x:row>
    <x:row r="25">
      <x:c r="A25" s="251"/>
      <x:c r="B25" s="252"/>
      <x:c r="C25" s="253"/>
      <x:c r="D25" s="253"/>
      <x:c r="E25" s="252"/>
      <x:c r="F25" s="252"/>
      <x:c r="G25" s="253"/>
      <x:c r="H25" s="253"/>
      <x:c r="I25" s="253"/>
      <x:c r="J25" s="253"/>
      <x:c r="K25" s="253"/>
      <x:c r="L25" s="253"/>
      <x:c r="M25" s="253" t="str">
        <x:f>IF(AND(A25="",B25="",E25=""),"",IF(OR(A25="",B25="",C25="",D25="",E25="",J25="",AND(A25="client",COUNTIF('الزبائن'!$A$6:$A$505,B25)=0),AND(A25="proposed_name",COUNTIF('أسماء مقترحة'!$A$6:$A$505,B25)=0),AND(D25="mobile",J25&lt;&gt;"invalid",NOT(OR(AND(LEN(E25&amp;"")=10,LEFT(E25&amp;"",2)="09"),AND(LEN(E25&amp;"")=9,LEFT(E25&amp;"",1)="9")))),COUNTIFS($A$6:$A$505,A25,$B$6:$B$505,B25,$E$6:$E$505,E25)&gt;1),"REVIEW","READY"))</x:f>
      </x:c>
      <x:c r="N25" s="255" t="str">
        <x:f>IF(M25="","",IF(M25="READY","",TRIM(IF(A25="","missing entity_type; ","")&amp;IF(B25="","missing entity_key; ","")&amp;IF(C25="","missing contact_order; ","")&amp;IF(D25="","missing contact_type; ","")&amp;IF(E25="","missing number; ","")&amp;IF(J25="","missing status; ","")&amp;IF(AND(A25="client",COUNTIF('الزبائن'!$A$6:$A$505,B25)=0),"client key not found; ","")&amp;IF(AND(A25="proposed_name",COUNTIF('أسماء مقترحة'!$A$6:$A$505,B25)=0),"proposed_name key not found; ","")&amp;IF(AND(D25="mobile",J25&lt;&gt;"invalid",NOT(OR(AND(LEN(E25&amp;"")=10,LEFT(E25&amp;"",2)="09"),AND(LEN(E25&amp;"")=9,LEFT(E25&amp;"",1)="9")))),"mobile must be 09XXXXXXXX or status invalid; ","")&amp;IF(COUNTIFS($A$6:$A$505,A25,$B$6:$B$505,B25,$E$6:$E$505,E25)&gt;1,"duplicate number for same entity; ",""))))</x:f>
      </x:c>
    </x:row>
    <x:row r="26">
      <x:c r="A26" s="251"/>
      <x:c r="B26" s="252"/>
      <x:c r="C26" s="253"/>
      <x:c r="D26" s="253"/>
      <x:c r="E26" s="252"/>
      <x:c r="F26" s="252"/>
      <x:c r="G26" s="253"/>
      <x:c r="H26" s="253"/>
      <x:c r="I26" s="253"/>
      <x:c r="J26" s="253"/>
      <x:c r="K26" s="253"/>
      <x:c r="L26" s="253"/>
      <x:c r="M26" s="253" t="str">
        <x:f>IF(AND(A26="",B26="",E26=""),"",IF(OR(A26="",B26="",C26="",D26="",E26="",J26="",AND(A26="client",COUNTIF('الزبائن'!$A$6:$A$505,B26)=0),AND(A26="proposed_name",COUNTIF('أسماء مقترحة'!$A$6:$A$505,B26)=0),AND(D26="mobile",J26&lt;&gt;"invalid",NOT(OR(AND(LEN(E26&amp;"")=10,LEFT(E26&amp;"",2)="09"),AND(LEN(E26&amp;"")=9,LEFT(E26&amp;"",1)="9")))),COUNTIFS($A$6:$A$505,A26,$B$6:$B$505,B26,$E$6:$E$505,E26)&gt;1),"REVIEW","READY"))</x:f>
      </x:c>
      <x:c r="N26" s="255" t="str">
        <x:f>IF(M26="","",IF(M26="READY","",TRIM(IF(A26="","missing entity_type; ","")&amp;IF(B26="","missing entity_key; ","")&amp;IF(C26="","missing contact_order; ","")&amp;IF(D26="","missing contact_type; ","")&amp;IF(E26="","missing number; ","")&amp;IF(J26="","missing status; ","")&amp;IF(AND(A26="client",COUNTIF('الزبائن'!$A$6:$A$505,B26)=0),"client key not found; ","")&amp;IF(AND(A26="proposed_name",COUNTIF('أسماء مقترحة'!$A$6:$A$505,B26)=0),"proposed_name key not found; ","")&amp;IF(AND(D26="mobile",J26&lt;&gt;"invalid",NOT(OR(AND(LEN(E26&amp;"")=10,LEFT(E26&amp;"",2)="09"),AND(LEN(E26&amp;"")=9,LEFT(E26&amp;"",1)="9")))),"mobile must be 09XXXXXXXX or status invalid; ","")&amp;IF(COUNTIFS($A$6:$A$505,A26,$B$6:$B$505,B26,$E$6:$E$505,E26)&gt;1,"duplicate number for same entity; ",""))))</x:f>
      </x:c>
    </x:row>
    <x:row r="27">
      <x:c r="A27" s="251"/>
      <x:c r="B27" s="252"/>
      <x:c r="C27" s="253"/>
      <x:c r="D27" s="253"/>
      <x:c r="E27" s="252"/>
      <x:c r="F27" s="252"/>
      <x:c r="G27" s="253"/>
      <x:c r="H27" s="253"/>
      <x:c r="I27" s="253"/>
      <x:c r="J27" s="253"/>
      <x:c r="K27" s="253"/>
      <x:c r="L27" s="253"/>
      <x:c r="M27" s="253" t="str">
        <x:f>IF(AND(A27="",B27="",E27=""),"",IF(OR(A27="",B27="",C27="",D27="",E27="",J27="",AND(A27="client",COUNTIF('الزبائن'!$A$6:$A$505,B27)=0),AND(A27="proposed_name",COUNTIF('أسماء مقترحة'!$A$6:$A$505,B27)=0),AND(D27="mobile",J27&lt;&gt;"invalid",NOT(OR(AND(LEN(E27&amp;"")=10,LEFT(E27&amp;"",2)="09"),AND(LEN(E27&amp;"")=9,LEFT(E27&amp;"",1)="9")))),COUNTIFS($A$6:$A$505,A27,$B$6:$B$505,B27,$E$6:$E$505,E27)&gt;1),"REVIEW","READY"))</x:f>
      </x:c>
      <x:c r="N27" s="255" t="str">
        <x:f>IF(M27="","",IF(M27="READY","",TRIM(IF(A27="","missing entity_type; ","")&amp;IF(B27="","missing entity_key; ","")&amp;IF(C27="","missing contact_order; ","")&amp;IF(D27="","missing contact_type; ","")&amp;IF(E27="","missing number; ","")&amp;IF(J27="","missing status; ","")&amp;IF(AND(A27="client",COUNTIF('الزبائن'!$A$6:$A$505,B27)=0),"client key not found; ","")&amp;IF(AND(A27="proposed_name",COUNTIF('أسماء مقترحة'!$A$6:$A$505,B27)=0),"proposed_name key not found; ","")&amp;IF(AND(D27="mobile",J27&lt;&gt;"invalid",NOT(OR(AND(LEN(E27&amp;"")=10,LEFT(E27&amp;"",2)="09"),AND(LEN(E27&amp;"")=9,LEFT(E27&amp;"",1)="9")))),"mobile must be 09XXXXXXXX or status invalid; ","")&amp;IF(COUNTIFS($A$6:$A$505,A27,$B$6:$B$505,B27,$E$6:$E$505,E27)&gt;1,"duplicate number for same entity; ",""))))</x:f>
      </x:c>
    </x:row>
    <x:row r="28">
      <x:c r="A28" s="251"/>
      <x:c r="B28" s="252"/>
      <x:c r="C28" s="253"/>
      <x:c r="D28" s="253"/>
      <x:c r="E28" s="252"/>
      <x:c r="F28" s="252"/>
      <x:c r="G28" s="253"/>
      <x:c r="H28" s="253"/>
      <x:c r="I28" s="253"/>
      <x:c r="J28" s="253"/>
      <x:c r="K28" s="253"/>
      <x:c r="L28" s="253"/>
      <x:c r="M28" s="253" t="str">
        <x:f>IF(AND(A28="",B28="",E28=""),"",IF(OR(A28="",B28="",C28="",D28="",E28="",J28="",AND(A28="client",COUNTIF('الزبائن'!$A$6:$A$505,B28)=0),AND(A28="proposed_name",COUNTIF('أسماء مقترحة'!$A$6:$A$505,B28)=0),AND(D28="mobile",J28&lt;&gt;"invalid",NOT(OR(AND(LEN(E28&amp;"")=10,LEFT(E28&amp;"",2)="09"),AND(LEN(E28&amp;"")=9,LEFT(E28&amp;"",1)="9")))),COUNTIFS($A$6:$A$505,A28,$B$6:$B$505,B28,$E$6:$E$505,E28)&gt;1),"REVIEW","READY"))</x:f>
      </x:c>
      <x:c r="N28" s="255" t="str">
        <x:f>IF(M28="","",IF(M28="READY","",TRIM(IF(A28="","missing entity_type; ","")&amp;IF(B28="","missing entity_key; ","")&amp;IF(C28="","missing contact_order; ","")&amp;IF(D28="","missing contact_type; ","")&amp;IF(E28="","missing number; ","")&amp;IF(J28="","missing status; ","")&amp;IF(AND(A28="client",COUNTIF('الزبائن'!$A$6:$A$505,B28)=0),"client key not found; ","")&amp;IF(AND(A28="proposed_name",COUNTIF('أسماء مقترحة'!$A$6:$A$505,B28)=0),"proposed_name key not found; ","")&amp;IF(AND(D28="mobile",J28&lt;&gt;"invalid",NOT(OR(AND(LEN(E28&amp;"")=10,LEFT(E28&amp;"",2)="09"),AND(LEN(E28&amp;"")=9,LEFT(E28&amp;"",1)="9")))),"mobile must be 09XXXXXXXX or status invalid; ","")&amp;IF(COUNTIFS($A$6:$A$505,A28,$B$6:$B$505,B28,$E$6:$E$505,E28)&gt;1,"duplicate number for same entity; ",""))))</x:f>
      </x:c>
    </x:row>
    <x:row r="29">
      <x:c r="A29" s="251"/>
      <x:c r="B29" s="252"/>
      <x:c r="C29" s="253"/>
      <x:c r="D29" s="253"/>
      <x:c r="E29" s="252"/>
      <x:c r="F29" s="252"/>
      <x:c r="G29" s="253"/>
      <x:c r="H29" s="253"/>
      <x:c r="I29" s="253"/>
      <x:c r="J29" s="253"/>
      <x:c r="K29" s="253"/>
      <x:c r="L29" s="253"/>
      <x:c r="M29" s="253" t="str">
        <x:f>IF(AND(A29="",B29="",E29=""),"",IF(OR(A29="",B29="",C29="",D29="",E29="",J29="",AND(A29="client",COUNTIF('الزبائن'!$A$6:$A$505,B29)=0),AND(A29="proposed_name",COUNTIF('أسماء مقترحة'!$A$6:$A$505,B29)=0),AND(D29="mobile",J29&lt;&gt;"invalid",NOT(OR(AND(LEN(E29&amp;"")=10,LEFT(E29&amp;"",2)="09"),AND(LEN(E29&amp;"")=9,LEFT(E29&amp;"",1)="9")))),COUNTIFS($A$6:$A$505,A29,$B$6:$B$505,B29,$E$6:$E$505,E29)&gt;1),"REVIEW","READY"))</x:f>
      </x:c>
      <x:c r="N29" s="255" t="str">
        <x:f>IF(M29="","",IF(M29="READY","",TRIM(IF(A29="","missing entity_type; ","")&amp;IF(B29="","missing entity_key; ","")&amp;IF(C29="","missing contact_order; ","")&amp;IF(D29="","missing contact_type; ","")&amp;IF(E29="","missing number; ","")&amp;IF(J29="","missing status; ","")&amp;IF(AND(A29="client",COUNTIF('الزبائن'!$A$6:$A$505,B29)=0),"client key not found; ","")&amp;IF(AND(A29="proposed_name",COUNTIF('أسماء مقترحة'!$A$6:$A$505,B29)=0),"proposed_name key not found; ","")&amp;IF(AND(D29="mobile",J29&lt;&gt;"invalid",NOT(OR(AND(LEN(E29&amp;"")=10,LEFT(E29&amp;"",2)="09"),AND(LEN(E29&amp;"")=9,LEFT(E29&amp;"",1)="9")))),"mobile must be 09XXXXXXXX or status invalid; ","")&amp;IF(COUNTIFS($A$6:$A$505,A29,$B$6:$B$505,B29,$E$6:$E$505,E29)&gt;1,"duplicate number for same entity; ",""))))</x:f>
      </x:c>
    </x:row>
    <x:row r="30">
      <x:c r="A30" s="251"/>
      <x:c r="B30" s="252"/>
      <x:c r="C30" s="253"/>
      <x:c r="D30" s="253"/>
      <x:c r="E30" s="252"/>
      <x:c r="F30" s="252"/>
      <x:c r="G30" s="253"/>
      <x:c r="H30" s="253"/>
      <x:c r="I30" s="253"/>
      <x:c r="J30" s="253"/>
      <x:c r="K30" s="253"/>
      <x:c r="L30" s="253"/>
      <x:c r="M30" s="253" t="str">
        <x:f>IF(AND(A30="",B30="",E30=""),"",IF(OR(A30="",B30="",C30="",D30="",E30="",J30="",AND(A30="client",COUNTIF('الزبائن'!$A$6:$A$505,B30)=0),AND(A30="proposed_name",COUNTIF('أسماء مقترحة'!$A$6:$A$505,B30)=0),AND(D30="mobile",J30&lt;&gt;"invalid",NOT(OR(AND(LEN(E30&amp;"")=10,LEFT(E30&amp;"",2)="09"),AND(LEN(E30&amp;"")=9,LEFT(E30&amp;"",1)="9")))),COUNTIFS($A$6:$A$505,A30,$B$6:$B$505,B30,$E$6:$E$505,E30)&gt;1),"REVIEW","READY"))</x:f>
      </x:c>
      <x:c r="N30" s="255" t="str">
        <x:f>IF(M30="","",IF(M30="READY","",TRIM(IF(A30="","missing entity_type; ","")&amp;IF(B30="","missing entity_key; ","")&amp;IF(C30="","missing contact_order; ","")&amp;IF(D30="","missing contact_type; ","")&amp;IF(E30="","missing number; ","")&amp;IF(J30="","missing status; ","")&amp;IF(AND(A30="client",COUNTIF('الزبائن'!$A$6:$A$505,B30)=0),"client key not found; ","")&amp;IF(AND(A30="proposed_name",COUNTIF('أسماء مقترحة'!$A$6:$A$505,B30)=0),"proposed_name key not found; ","")&amp;IF(AND(D30="mobile",J30&lt;&gt;"invalid",NOT(OR(AND(LEN(E30&amp;"")=10,LEFT(E30&amp;"",2)="09"),AND(LEN(E30&amp;"")=9,LEFT(E30&amp;"",1)="9")))),"mobile must be 09XXXXXXXX or status invalid; ","")&amp;IF(COUNTIFS($A$6:$A$505,A30,$B$6:$B$505,B30,$E$6:$E$505,E30)&gt;1,"duplicate number for same entity; ",""))))</x:f>
      </x:c>
    </x:row>
    <x:row r="31">
      <x:c r="A31" s="251"/>
      <x:c r="B31" s="252"/>
      <x:c r="C31" s="253"/>
      <x:c r="D31" s="253"/>
      <x:c r="E31" s="252"/>
      <x:c r="F31" s="252"/>
      <x:c r="G31" s="253"/>
      <x:c r="H31" s="253"/>
      <x:c r="I31" s="253"/>
      <x:c r="J31" s="253"/>
      <x:c r="K31" s="253"/>
      <x:c r="L31" s="253"/>
      <x:c r="M31" s="253" t="str">
        <x:f>IF(AND(A31="",B31="",E31=""),"",IF(OR(A31="",B31="",C31="",D31="",E31="",J31="",AND(A31="client",COUNTIF('الزبائن'!$A$6:$A$505,B31)=0),AND(A31="proposed_name",COUNTIF('أسماء مقترحة'!$A$6:$A$505,B31)=0),AND(D31="mobile",J31&lt;&gt;"invalid",NOT(OR(AND(LEN(E31&amp;"")=10,LEFT(E31&amp;"",2)="09"),AND(LEN(E31&amp;"")=9,LEFT(E31&amp;"",1)="9")))),COUNTIFS($A$6:$A$505,A31,$B$6:$B$505,B31,$E$6:$E$505,E31)&gt;1),"REVIEW","READY"))</x:f>
      </x:c>
      <x:c r="N31" s="255" t="str">
        <x:f>IF(M31="","",IF(M31="READY","",TRIM(IF(A31="","missing entity_type; ","")&amp;IF(B31="","missing entity_key; ","")&amp;IF(C31="","missing contact_order; ","")&amp;IF(D31="","missing contact_type; ","")&amp;IF(E31="","missing number; ","")&amp;IF(J31="","missing status; ","")&amp;IF(AND(A31="client",COUNTIF('الزبائن'!$A$6:$A$505,B31)=0),"client key not found; ","")&amp;IF(AND(A31="proposed_name",COUNTIF('أسماء مقترحة'!$A$6:$A$505,B31)=0),"proposed_name key not found; ","")&amp;IF(AND(D31="mobile",J31&lt;&gt;"invalid",NOT(OR(AND(LEN(E31&amp;"")=10,LEFT(E31&amp;"",2)="09"),AND(LEN(E31&amp;"")=9,LEFT(E31&amp;"",1)="9")))),"mobile must be 09XXXXXXXX or status invalid; ","")&amp;IF(COUNTIFS($A$6:$A$505,A31,$B$6:$B$505,B31,$E$6:$E$505,E31)&gt;1,"duplicate number for same entity; ",""))))</x:f>
      </x:c>
    </x:row>
    <x:row r="32">
      <x:c r="A32" s="251"/>
      <x:c r="B32" s="252"/>
      <x:c r="C32" s="253"/>
      <x:c r="D32" s="253"/>
      <x:c r="E32" s="252"/>
      <x:c r="F32" s="252"/>
      <x:c r="G32" s="253"/>
      <x:c r="H32" s="253"/>
      <x:c r="I32" s="253"/>
      <x:c r="J32" s="253"/>
      <x:c r="K32" s="253"/>
      <x:c r="L32" s="253"/>
      <x:c r="M32" s="253" t="str">
        <x:f>IF(AND(A32="",B32="",E32=""),"",IF(OR(A32="",B32="",C32="",D32="",E32="",J32="",AND(A32="client",COUNTIF('الزبائن'!$A$6:$A$505,B32)=0),AND(A32="proposed_name",COUNTIF('أسماء مقترحة'!$A$6:$A$505,B32)=0),AND(D32="mobile",J32&lt;&gt;"invalid",NOT(OR(AND(LEN(E32&amp;"")=10,LEFT(E32&amp;"",2)="09"),AND(LEN(E32&amp;"")=9,LEFT(E32&amp;"",1)="9")))),COUNTIFS($A$6:$A$505,A32,$B$6:$B$505,B32,$E$6:$E$505,E32)&gt;1),"REVIEW","READY"))</x:f>
      </x:c>
      <x:c r="N32" s="255" t="str">
        <x:f>IF(M32="","",IF(M32="READY","",TRIM(IF(A32="","missing entity_type; ","")&amp;IF(B32="","missing entity_key; ","")&amp;IF(C32="","missing contact_order; ","")&amp;IF(D32="","missing contact_type; ","")&amp;IF(E32="","missing number; ","")&amp;IF(J32="","missing status; ","")&amp;IF(AND(A32="client",COUNTIF('الزبائن'!$A$6:$A$505,B32)=0),"client key not found; ","")&amp;IF(AND(A32="proposed_name",COUNTIF('أسماء مقترحة'!$A$6:$A$505,B32)=0),"proposed_name key not found; ","")&amp;IF(AND(D32="mobile",J32&lt;&gt;"invalid",NOT(OR(AND(LEN(E32&amp;"")=10,LEFT(E32&amp;"",2)="09"),AND(LEN(E32&amp;"")=9,LEFT(E32&amp;"",1)="9")))),"mobile must be 09XXXXXXXX or status invalid; ","")&amp;IF(COUNTIFS($A$6:$A$505,A32,$B$6:$B$505,B32,$E$6:$E$505,E32)&gt;1,"duplicate number for same entity; ",""))))</x:f>
      </x:c>
    </x:row>
    <x:row r="33">
      <x:c r="A33" s="251"/>
      <x:c r="B33" s="252"/>
      <x:c r="C33" s="253"/>
      <x:c r="D33" s="253"/>
      <x:c r="E33" s="252"/>
      <x:c r="F33" s="252"/>
      <x:c r="G33" s="253"/>
      <x:c r="H33" s="253"/>
      <x:c r="I33" s="253"/>
      <x:c r="J33" s="253"/>
      <x:c r="K33" s="253"/>
      <x:c r="L33" s="253"/>
      <x:c r="M33" s="253" t="str">
        <x:f>IF(AND(A33="",B33="",E33=""),"",IF(OR(A33="",B33="",C33="",D33="",E33="",J33="",AND(A33="client",COUNTIF('الزبائن'!$A$6:$A$505,B33)=0),AND(A33="proposed_name",COUNTIF('أسماء مقترحة'!$A$6:$A$505,B33)=0),AND(D33="mobile",J33&lt;&gt;"invalid",NOT(OR(AND(LEN(E33&amp;"")=10,LEFT(E33&amp;"",2)="09"),AND(LEN(E33&amp;"")=9,LEFT(E33&amp;"",1)="9")))),COUNTIFS($A$6:$A$505,A33,$B$6:$B$505,B33,$E$6:$E$505,E33)&gt;1),"REVIEW","READY"))</x:f>
      </x:c>
      <x:c r="N33" s="255" t="str">
        <x:f>IF(M33="","",IF(M33="READY","",TRIM(IF(A33="","missing entity_type; ","")&amp;IF(B33="","missing entity_key; ","")&amp;IF(C33="","missing contact_order; ","")&amp;IF(D33="","missing contact_type; ","")&amp;IF(E33="","missing number; ","")&amp;IF(J33="","missing status; ","")&amp;IF(AND(A33="client",COUNTIF('الزبائن'!$A$6:$A$505,B33)=0),"client key not found; ","")&amp;IF(AND(A33="proposed_name",COUNTIF('أسماء مقترحة'!$A$6:$A$505,B33)=0),"proposed_name key not found; ","")&amp;IF(AND(D33="mobile",J33&lt;&gt;"invalid",NOT(OR(AND(LEN(E33&amp;"")=10,LEFT(E33&amp;"",2)="09"),AND(LEN(E33&amp;"")=9,LEFT(E33&amp;"",1)="9")))),"mobile must be 09XXXXXXXX or status invalid; ","")&amp;IF(COUNTIFS($A$6:$A$505,A33,$B$6:$B$505,B33,$E$6:$E$505,E33)&gt;1,"duplicate number for same entity; ",""))))</x:f>
      </x:c>
    </x:row>
    <x:row r="34">
      <x:c r="A34" s="251"/>
      <x:c r="B34" s="252"/>
      <x:c r="C34" s="253"/>
      <x:c r="D34" s="253"/>
      <x:c r="E34" s="252"/>
      <x:c r="F34" s="252"/>
      <x:c r="G34" s="253"/>
      <x:c r="H34" s="253"/>
      <x:c r="I34" s="253"/>
      <x:c r="J34" s="253"/>
      <x:c r="K34" s="253"/>
      <x:c r="L34" s="253"/>
      <x:c r="M34" s="253" t="str">
        <x:f>IF(AND(A34="",B34="",E34=""),"",IF(OR(A34="",B34="",C34="",D34="",E34="",J34="",AND(A34="client",COUNTIF('الزبائن'!$A$6:$A$505,B34)=0),AND(A34="proposed_name",COUNTIF('أسماء مقترحة'!$A$6:$A$505,B34)=0),AND(D34="mobile",J34&lt;&gt;"invalid",NOT(OR(AND(LEN(E34&amp;"")=10,LEFT(E34&amp;"",2)="09"),AND(LEN(E34&amp;"")=9,LEFT(E34&amp;"",1)="9")))),COUNTIFS($A$6:$A$505,A34,$B$6:$B$505,B34,$E$6:$E$505,E34)&gt;1),"REVIEW","READY"))</x:f>
      </x:c>
      <x:c r="N34" s="255" t="str">
        <x:f>IF(M34="","",IF(M34="READY","",TRIM(IF(A34="","missing entity_type; ","")&amp;IF(B34="","missing entity_key; ","")&amp;IF(C34="","missing contact_order; ","")&amp;IF(D34="","missing contact_type; ","")&amp;IF(E34="","missing number; ","")&amp;IF(J34="","missing status; ","")&amp;IF(AND(A34="client",COUNTIF('الزبائن'!$A$6:$A$505,B34)=0),"client key not found; ","")&amp;IF(AND(A34="proposed_name",COUNTIF('أسماء مقترحة'!$A$6:$A$505,B34)=0),"proposed_name key not found; ","")&amp;IF(AND(D34="mobile",J34&lt;&gt;"invalid",NOT(OR(AND(LEN(E34&amp;"")=10,LEFT(E34&amp;"",2)="09"),AND(LEN(E34&amp;"")=9,LEFT(E34&amp;"",1)="9")))),"mobile must be 09XXXXXXXX or status invalid; ","")&amp;IF(COUNTIFS($A$6:$A$505,A34,$B$6:$B$505,B34,$E$6:$E$505,E34)&gt;1,"duplicate number for same entity; ",""))))</x:f>
      </x:c>
    </x:row>
    <x:row r="35">
      <x:c r="A35" s="251"/>
      <x:c r="B35" s="252"/>
      <x:c r="C35" s="253"/>
      <x:c r="D35" s="253"/>
      <x:c r="E35" s="252"/>
      <x:c r="F35" s="252"/>
      <x:c r="G35" s="253"/>
      <x:c r="H35" s="253"/>
      <x:c r="I35" s="253"/>
      <x:c r="J35" s="253"/>
      <x:c r="K35" s="253"/>
      <x:c r="L35" s="253"/>
      <x:c r="M35" s="253" t="str">
        <x:f>IF(AND(A35="",B35="",E35=""),"",IF(OR(A35="",B35="",C35="",D35="",E35="",J35="",AND(A35="client",COUNTIF('الزبائن'!$A$6:$A$505,B35)=0),AND(A35="proposed_name",COUNTIF('أسماء مقترحة'!$A$6:$A$505,B35)=0),AND(D35="mobile",J35&lt;&gt;"invalid",NOT(OR(AND(LEN(E35&amp;"")=10,LEFT(E35&amp;"",2)="09"),AND(LEN(E35&amp;"")=9,LEFT(E35&amp;"",1)="9")))),COUNTIFS($A$6:$A$505,A35,$B$6:$B$505,B35,$E$6:$E$505,E35)&gt;1),"REVIEW","READY"))</x:f>
      </x:c>
      <x:c r="N35" s="255" t="str">
        <x:f>IF(M35="","",IF(M35="READY","",TRIM(IF(A35="","missing entity_type; ","")&amp;IF(B35="","missing entity_key; ","")&amp;IF(C35="","missing contact_order; ","")&amp;IF(D35="","missing contact_type; ","")&amp;IF(E35="","missing number; ","")&amp;IF(J35="","missing status; ","")&amp;IF(AND(A35="client",COUNTIF('الزبائن'!$A$6:$A$505,B35)=0),"client key not found; ","")&amp;IF(AND(A35="proposed_name",COUNTIF('أسماء مقترحة'!$A$6:$A$505,B35)=0),"proposed_name key not found; ","")&amp;IF(AND(D35="mobile",J35&lt;&gt;"invalid",NOT(OR(AND(LEN(E35&amp;"")=10,LEFT(E35&amp;"",2)="09"),AND(LEN(E35&amp;"")=9,LEFT(E35&amp;"",1)="9")))),"mobile must be 09XXXXXXXX or status invalid; ","")&amp;IF(COUNTIFS($A$6:$A$505,A35,$B$6:$B$505,B35,$E$6:$E$505,E35)&gt;1,"duplicate number for same entity; ",""))))</x:f>
      </x:c>
    </x:row>
    <x:row r="36">
      <x:c r="A36" s="251"/>
      <x:c r="B36" s="252"/>
      <x:c r="C36" s="253"/>
      <x:c r="D36" s="253"/>
      <x:c r="E36" s="252"/>
      <x:c r="F36" s="252"/>
      <x:c r="G36" s="253"/>
      <x:c r="H36" s="253"/>
      <x:c r="I36" s="253"/>
      <x:c r="J36" s="253"/>
      <x:c r="K36" s="253"/>
      <x:c r="L36" s="253"/>
      <x:c r="M36" s="253" t="str">
        <x:f>IF(AND(A36="",B36="",E36=""),"",IF(OR(A36="",B36="",C36="",D36="",E36="",J36="",AND(A36="client",COUNTIF('الزبائن'!$A$6:$A$505,B36)=0),AND(A36="proposed_name",COUNTIF('أسماء مقترحة'!$A$6:$A$505,B36)=0),AND(D36="mobile",J36&lt;&gt;"invalid",NOT(OR(AND(LEN(E36&amp;"")=10,LEFT(E36&amp;"",2)="09"),AND(LEN(E36&amp;"")=9,LEFT(E36&amp;"",1)="9")))),COUNTIFS($A$6:$A$505,A36,$B$6:$B$505,B36,$E$6:$E$505,E36)&gt;1),"REVIEW","READY"))</x:f>
      </x:c>
      <x:c r="N36" s="255" t="str">
        <x:f>IF(M36="","",IF(M36="READY","",TRIM(IF(A36="","missing entity_type; ","")&amp;IF(B36="","missing entity_key; ","")&amp;IF(C36="","missing contact_order; ","")&amp;IF(D36="","missing contact_type; ","")&amp;IF(E36="","missing number; ","")&amp;IF(J36="","missing status; ","")&amp;IF(AND(A36="client",COUNTIF('الزبائن'!$A$6:$A$505,B36)=0),"client key not found; ","")&amp;IF(AND(A36="proposed_name",COUNTIF('أسماء مقترحة'!$A$6:$A$505,B36)=0),"proposed_name key not found; ","")&amp;IF(AND(D36="mobile",J36&lt;&gt;"invalid",NOT(OR(AND(LEN(E36&amp;"")=10,LEFT(E36&amp;"",2)="09"),AND(LEN(E36&amp;"")=9,LEFT(E36&amp;"",1)="9")))),"mobile must be 09XXXXXXXX or status invalid; ","")&amp;IF(COUNTIFS($A$6:$A$505,A36,$B$6:$B$505,B36,$E$6:$E$505,E36)&gt;1,"duplicate number for same entity; ",""))))</x:f>
      </x:c>
    </x:row>
    <x:row r="37">
      <x:c r="A37" s="251"/>
      <x:c r="B37" s="252"/>
      <x:c r="C37" s="253"/>
      <x:c r="D37" s="253"/>
      <x:c r="E37" s="252"/>
      <x:c r="F37" s="252"/>
      <x:c r="G37" s="253"/>
      <x:c r="H37" s="253"/>
      <x:c r="I37" s="253"/>
      <x:c r="J37" s="253"/>
      <x:c r="K37" s="253"/>
      <x:c r="L37" s="253"/>
      <x:c r="M37" s="253" t="str">
        <x:f>IF(AND(A37="",B37="",E37=""),"",IF(OR(A37="",B37="",C37="",D37="",E37="",J37="",AND(A37="client",COUNTIF('الزبائن'!$A$6:$A$505,B37)=0),AND(A37="proposed_name",COUNTIF('أسماء مقترحة'!$A$6:$A$505,B37)=0),AND(D37="mobile",J37&lt;&gt;"invalid",NOT(OR(AND(LEN(E37&amp;"")=10,LEFT(E37&amp;"",2)="09"),AND(LEN(E37&amp;"")=9,LEFT(E37&amp;"",1)="9")))),COUNTIFS($A$6:$A$505,A37,$B$6:$B$505,B37,$E$6:$E$505,E37)&gt;1),"REVIEW","READY"))</x:f>
      </x:c>
      <x:c r="N37" s="255" t="str">
        <x:f>IF(M37="","",IF(M37="READY","",TRIM(IF(A37="","missing entity_type; ","")&amp;IF(B37="","missing entity_key; ","")&amp;IF(C37="","missing contact_order; ","")&amp;IF(D37="","missing contact_type; ","")&amp;IF(E37="","missing number; ","")&amp;IF(J37="","missing status; ","")&amp;IF(AND(A37="client",COUNTIF('الزبائن'!$A$6:$A$505,B37)=0),"client key not found; ","")&amp;IF(AND(A37="proposed_name",COUNTIF('أسماء مقترحة'!$A$6:$A$505,B37)=0),"proposed_name key not found; ","")&amp;IF(AND(D37="mobile",J37&lt;&gt;"invalid",NOT(OR(AND(LEN(E37&amp;"")=10,LEFT(E37&amp;"",2)="09"),AND(LEN(E37&amp;"")=9,LEFT(E37&amp;"",1)="9")))),"mobile must be 09XXXXXXXX or status invalid; ","")&amp;IF(COUNTIFS($A$6:$A$505,A37,$B$6:$B$505,B37,$E$6:$E$505,E37)&gt;1,"duplicate number for same entity; ",""))))</x:f>
      </x:c>
    </x:row>
    <x:row r="38">
      <x:c r="A38" s="251"/>
      <x:c r="B38" s="252"/>
      <x:c r="C38" s="253"/>
      <x:c r="D38" s="253"/>
      <x:c r="E38" s="252"/>
      <x:c r="F38" s="252"/>
      <x:c r="G38" s="253"/>
      <x:c r="H38" s="253"/>
      <x:c r="I38" s="253"/>
      <x:c r="J38" s="253"/>
      <x:c r="K38" s="253"/>
      <x:c r="L38" s="253"/>
      <x:c r="M38" s="253" t="str">
        <x:f>IF(AND(A38="",B38="",E38=""),"",IF(OR(A38="",B38="",C38="",D38="",E38="",J38="",AND(A38="client",COUNTIF('الزبائن'!$A$6:$A$505,B38)=0),AND(A38="proposed_name",COUNTIF('أسماء مقترحة'!$A$6:$A$505,B38)=0),AND(D38="mobile",J38&lt;&gt;"invalid",NOT(OR(AND(LEN(E38&amp;"")=10,LEFT(E38&amp;"",2)="09"),AND(LEN(E38&amp;"")=9,LEFT(E38&amp;"",1)="9")))),COUNTIFS($A$6:$A$505,A38,$B$6:$B$505,B38,$E$6:$E$505,E38)&gt;1),"REVIEW","READY"))</x:f>
      </x:c>
      <x:c r="N38" s="255" t="str">
        <x:f>IF(M38="","",IF(M38="READY","",TRIM(IF(A38="","missing entity_type; ","")&amp;IF(B38="","missing entity_key; ","")&amp;IF(C38="","missing contact_order; ","")&amp;IF(D38="","missing contact_type; ","")&amp;IF(E38="","missing number; ","")&amp;IF(J38="","missing status; ","")&amp;IF(AND(A38="client",COUNTIF('الزبائن'!$A$6:$A$505,B38)=0),"client key not found; ","")&amp;IF(AND(A38="proposed_name",COUNTIF('أسماء مقترحة'!$A$6:$A$505,B38)=0),"proposed_name key not found; ","")&amp;IF(AND(D38="mobile",J38&lt;&gt;"invalid",NOT(OR(AND(LEN(E38&amp;"")=10,LEFT(E38&amp;"",2)="09"),AND(LEN(E38&amp;"")=9,LEFT(E38&amp;"",1)="9")))),"mobile must be 09XXXXXXXX or status invalid; ","")&amp;IF(COUNTIFS($A$6:$A$505,A38,$B$6:$B$505,B38,$E$6:$E$505,E38)&gt;1,"duplicate number for same entity; ",""))))</x:f>
      </x:c>
    </x:row>
    <x:row r="39">
      <x:c r="A39" s="251"/>
      <x:c r="B39" s="252"/>
      <x:c r="C39" s="253"/>
      <x:c r="D39" s="253"/>
      <x:c r="E39" s="252"/>
      <x:c r="F39" s="252"/>
      <x:c r="G39" s="253"/>
      <x:c r="H39" s="253"/>
      <x:c r="I39" s="253"/>
      <x:c r="J39" s="253"/>
      <x:c r="K39" s="253"/>
      <x:c r="L39" s="253"/>
      <x:c r="M39" s="253" t="str">
        <x:f>IF(AND(A39="",B39="",E39=""),"",IF(OR(A39="",B39="",C39="",D39="",E39="",J39="",AND(A39="client",COUNTIF('الزبائن'!$A$6:$A$505,B39)=0),AND(A39="proposed_name",COUNTIF('أسماء مقترحة'!$A$6:$A$505,B39)=0),AND(D39="mobile",J39&lt;&gt;"invalid",NOT(OR(AND(LEN(E39&amp;"")=10,LEFT(E39&amp;"",2)="09"),AND(LEN(E39&amp;"")=9,LEFT(E39&amp;"",1)="9")))),COUNTIFS($A$6:$A$505,A39,$B$6:$B$505,B39,$E$6:$E$505,E39)&gt;1),"REVIEW","READY"))</x:f>
      </x:c>
      <x:c r="N39" s="255" t="str">
        <x:f>IF(M39="","",IF(M39="READY","",TRIM(IF(A39="","missing entity_type; ","")&amp;IF(B39="","missing entity_key; ","")&amp;IF(C39="","missing contact_order; ","")&amp;IF(D39="","missing contact_type; ","")&amp;IF(E39="","missing number; ","")&amp;IF(J39="","missing status; ","")&amp;IF(AND(A39="client",COUNTIF('الزبائن'!$A$6:$A$505,B39)=0),"client key not found; ","")&amp;IF(AND(A39="proposed_name",COUNTIF('أسماء مقترحة'!$A$6:$A$505,B39)=0),"proposed_name key not found; ","")&amp;IF(AND(D39="mobile",J39&lt;&gt;"invalid",NOT(OR(AND(LEN(E39&amp;"")=10,LEFT(E39&amp;"",2)="09"),AND(LEN(E39&amp;"")=9,LEFT(E39&amp;"",1)="9")))),"mobile must be 09XXXXXXXX or status invalid; ","")&amp;IF(COUNTIFS($A$6:$A$505,A39,$B$6:$B$505,B39,$E$6:$E$505,E39)&gt;1,"duplicate number for same entity; ",""))))</x:f>
      </x:c>
    </x:row>
    <x:row r="40">
      <x:c r="A40" s="251"/>
      <x:c r="B40" s="252"/>
      <x:c r="C40" s="253"/>
      <x:c r="D40" s="253"/>
      <x:c r="E40" s="252"/>
      <x:c r="F40" s="252"/>
      <x:c r="G40" s="253"/>
      <x:c r="H40" s="253"/>
      <x:c r="I40" s="253"/>
      <x:c r="J40" s="253"/>
      <x:c r="K40" s="253"/>
      <x:c r="L40" s="253"/>
      <x:c r="M40" s="253" t="str">
        <x:f>IF(AND(A40="",B40="",E40=""),"",IF(OR(A40="",B40="",C40="",D40="",E40="",J40="",AND(A40="client",COUNTIF('الزبائن'!$A$6:$A$505,B40)=0),AND(A40="proposed_name",COUNTIF('أسماء مقترحة'!$A$6:$A$505,B40)=0),AND(D40="mobile",J40&lt;&gt;"invalid",NOT(OR(AND(LEN(E40&amp;"")=10,LEFT(E40&amp;"",2)="09"),AND(LEN(E40&amp;"")=9,LEFT(E40&amp;"",1)="9")))),COUNTIFS($A$6:$A$505,A40,$B$6:$B$505,B40,$E$6:$E$505,E40)&gt;1),"REVIEW","READY"))</x:f>
      </x:c>
      <x:c r="N40" s="255" t="str">
        <x:f>IF(M40="","",IF(M40="READY","",TRIM(IF(A40="","missing entity_type; ","")&amp;IF(B40="","missing entity_key; ","")&amp;IF(C40="","missing contact_order; ","")&amp;IF(D40="","missing contact_type; ","")&amp;IF(E40="","missing number; ","")&amp;IF(J40="","missing status; ","")&amp;IF(AND(A40="client",COUNTIF('الزبائن'!$A$6:$A$505,B40)=0),"client key not found; ","")&amp;IF(AND(A40="proposed_name",COUNTIF('أسماء مقترحة'!$A$6:$A$505,B40)=0),"proposed_name key not found; ","")&amp;IF(AND(D40="mobile",J40&lt;&gt;"invalid",NOT(OR(AND(LEN(E40&amp;"")=10,LEFT(E40&amp;"",2)="09"),AND(LEN(E40&amp;"")=9,LEFT(E40&amp;"",1)="9")))),"mobile must be 09XXXXXXXX or status invalid; ","")&amp;IF(COUNTIFS($A$6:$A$505,A40,$B$6:$B$505,B40,$E$6:$E$505,E40)&gt;1,"duplicate number for same entity; ",""))))</x:f>
      </x:c>
    </x:row>
    <x:row r="41">
      <x:c r="A41" s="251"/>
      <x:c r="B41" s="252"/>
      <x:c r="C41" s="253"/>
      <x:c r="D41" s="253"/>
      <x:c r="E41" s="252"/>
      <x:c r="F41" s="252"/>
      <x:c r="G41" s="253"/>
      <x:c r="H41" s="253"/>
      <x:c r="I41" s="253"/>
      <x:c r="J41" s="253"/>
      <x:c r="K41" s="253"/>
      <x:c r="L41" s="253"/>
      <x:c r="M41" s="253" t="str">
        <x:f>IF(AND(A41="",B41="",E41=""),"",IF(OR(A41="",B41="",C41="",D41="",E41="",J41="",AND(A41="client",COUNTIF('الزبائن'!$A$6:$A$505,B41)=0),AND(A41="proposed_name",COUNTIF('أسماء مقترحة'!$A$6:$A$505,B41)=0),AND(D41="mobile",J41&lt;&gt;"invalid",NOT(OR(AND(LEN(E41&amp;"")=10,LEFT(E41&amp;"",2)="09"),AND(LEN(E41&amp;"")=9,LEFT(E41&amp;"",1)="9")))),COUNTIFS($A$6:$A$505,A41,$B$6:$B$505,B41,$E$6:$E$505,E41)&gt;1),"REVIEW","READY"))</x:f>
      </x:c>
      <x:c r="N41" s="255" t="str">
        <x:f>IF(M41="","",IF(M41="READY","",TRIM(IF(A41="","missing entity_type; ","")&amp;IF(B41="","missing entity_key; ","")&amp;IF(C41="","missing contact_order; ","")&amp;IF(D41="","missing contact_type; ","")&amp;IF(E41="","missing number; ","")&amp;IF(J41="","missing status; ","")&amp;IF(AND(A41="client",COUNTIF('الزبائن'!$A$6:$A$505,B41)=0),"client key not found; ","")&amp;IF(AND(A41="proposed_name",COUNTIF('أسماء مقترحة'!$A$6:$A$505,B41)=0),"proposed_name key not found; ","")&amp;IF(AND(D41="mobile",J41&lt;&gt;"invalid",NOT(OR(AND(LEN(E41&amp;"")=10,LEFT(E41&amp;"",2)="09"),AND(LEN(E41&amp;"")=9,LEFT(E41&amp;"",1)="9")))),"mobile must be 09XXXXXXXX or status invalid; ","")&amp;IF(COUNTIFS($A$6:$A$505,A41,$B$6:$B$505,B41,$E$6:$E$505,E41)&gt;1,"duplicate number for same entity; ",""))))</x:f>
      </x:c>
    </x:row>
    <x:row r="42">
      <x:c r="A42" s="251"/>
      <x:c r="B42" s="252"/>
      <x:c r="C42" s="253"/>
      <x:c r="D42" s="253"/>
      <x:c r="E42" s="252"/>
      <x:c r="F42" s="252"/>
      <x:c r="G42" s="253"/>
      <x:c r="H42" s="253"/>
      <x:c r="I42" s="253"/>
      <x:c r="J42" s="253"/>
      <x:c r="K42" s="253"/>
      <x:c r="L42" s="253"/>
      <x:c r="M42" s="253" t="str">
        <x:f>IF(AND(A42="",B42="",E42=""),"",IF(OR(A42="",B42="",C42="",D42="",E42="",J42="",AND(A42="client",COUNTIF('الزبائن'!$A$6:$A$505,B42)=0),AND(A42="proposed_name",COUNTIF('أسماء مقترحة'!$A$6:$A$505,B42)=0),AND(D42="mobile",J42&lt;&gt;"invalid",NOT(OR(AND(LEN(E42&amp;"")=10,LEFT(E42&amp;"",2)="09"),AND(LEN(E42&amp;"")=9,LEFT(E42&amp;"",1)="9")))),COUNTIFS($A$6:$A$505,A42,$B$6:$B$505,B42,$E$6:$E$505,E42)&gt;1),"REVIEW","READY"))</x:f>
      </x:c>
      <x:c r="N42" s="255" t="str">
        <x:f>IF(M42="","",IF(M42="READY","",TRIM(IF(A42="","missing entity_type; ","")&amp;IF(B42="","missing entity_key; ","")&amp;IF(C42="","missing contact_order; ","")&amp;IF(D42="","missing contact_type; ","")&amp;IF(E42="","missing number; ","")&amp;IF(J42="","missing status; ","")&amp;IF(AND(A42="client",COUNTIF('الزبائن'!$A$6:$A$505,B42)=0),"client key not found; ","")&amp;IF(AND(A42="proposed_name",COUNTIF('أسماء مقترحة'!$A$6:$A$505,B42)=0),"proposed_name key not found; ","")&amp;IF(AND(D42="mobile",J42&lt;&gt;"invalid",NOT(OR(AND(LEN(E42&amp;"")=10,LEFT(E42&amp;"",2)="09"),AND(LEN(E42&amp;"")=9,LEFT(E42&amp;"",1)="9")))),"mobile must be 09XXXXXXXX or status invalid; ","")&amp;IF(COUNTIFS($A$6:$A$505,A42,$B$6:$B$505,B42,$E$6:$E$505,E42)&gt;1,"duplicate number for same entity; ",""))))</x:f>
      </x:c>
    </x:row>
    <x:row r="43">
      <x:c r="A43" s="251"/>
      <x:c r="B43" s="252"/>
      <x:c r="C43" s="253"/>
      <x:c r="D43" s="253"/>
      <x:c r="E43" s="252"/>
      <x:c r="F43" s="252"/>
      <x:c r="G43" s="253"/>
      <x:c r="H43" s="253"/>
      <x:c r="I43" s="253"/>
      <x:c r="J43" s="253"/>
      <x:c r="K43" s="253"/>
      <x:c r="L43" s="253"/>
      <x:c r="M43" s="253" t="str">
        <x:f>IF(AND(A43="",B43="",E43=""),"",IF(OR(A43="",B43="",C43="",D43="",E43="",J43="",AND(A43="client",COUNTIF('الزبائن'!$A$6:$A$505,B43)=0),AND(A43="proposed_name",COUNTIF('أسماء مقترحة'!$A$6:$A$505,B43)=0),AND(D43="mobile",J43&lt;&gt;"invalid",NOT(OR(AND(LEN(E43&amp;"")=10,LEFT(E43&amp;"",2)="09"),AND(LEN(E43&amp;"")=9,LEFT(E43&amp;"",1)="9")))),COUNTIFS($A$6:$A$505,A43,$B$6:$B$505,B43,$E$6:$E$505,E43)&gt;1),"REVIEW","READY"))</x:f>
      </x:c>
      <x:c r="N43" s="255" t="str">
        <x:f>IF(M43="","",IF(M43="READY","",TRIM(IF(A43="","missing entity_type; ","")&amp;IF(B43="","missing entity_key; ","")&amp;IF(C43="","missing contact_order; ","")&amp;IF(D43="","missing contact_type; ","")&amp;IF(E43="","missing number; ","")&amp;IF(J43="","missing status; ","")&amp;IF(AND(A43="client",COUNTIF('الزبائن'!$A$6:$A$505,B43)=0),"client key not found; ","")&amp;IF(AND(A43="proposed_name",COUNTIF('أسماء مقترحة'!$A$6:$A$505,B43)=0),"proposed_name key not found; ","")&amp;IF(AND(D43="mobile",J43&lt;&gt;"invalid",NOT(OR(AND(LEN(E43&amp;"")=10,LEFT(E43&amp;"",2)="09"),AND(LEN(E43&amp;"")=9,LEFT(E43&amp;"",1)="9")))),"mobile must be 09XXXXXXXX or status invalid; ","")&amp;IF(COUNTIFS($A$6:$A$505,A43,$B$6:$B$505,B43,$E$6:$E$505,E43)&gt;1,"duplicate number for same entity; ",""))))</x:f>
      </x:c>
    </x:row>
    <x:row r="44">
      <x:c r="A44" s="251"/>
      <x:c r="B44" s="252"/>
      <x:c r="C44" s="253"/>
      <x:c r="D44" s="253"/>
      <x:c r="E44" s="252"/>
      <x:c r="F44" s="252"/>
      <x:c r="G44" s="253"/>
      <x:c r="H44" s="253"/>
      <x:c r="I44" s="253"/>
      <x:c r="J44" s="253"/>
      <x:c r="K44" s="253"/>
      <x:c r="L44" s="253"/>
      <x:c r="M44" s="253" t="str">
        <x:f>IF(AND(A44="",B44="",E44=""),"",IF(OR(A44="",B44="",C44="",D44="",E44="",J44="",AND(A44="client",COUNTIF('الزبائن'!$A$6:$A$505,B44)=0),AND(A44="proposed_name",COUNTIF('أسماء مقترحة'!$A$6:$A$505,B44)=0),AND(D44="mobile",J44&lt;&gt;"invalid",NOT(OR(AND(LEN(E44&amp;"")=10,LEFT(E44&amp;"",2)="09"),AND(LEN(E44&amp;"")=9,LEFT(E44&amp;"",1)="9")))),COUNTIFS($A$6:$A$505,A44,$B$6:$B$505,B44,$E$6:$E$505,E44)&gt;1),"REVIEW","READY"))</x:f>
      </x:c>
      <x:c r="N44" s="255" t="str">
        <x:f>IF(M44="","",IF(M44="READY","",TRIM(IF(A44="","missing entity_type; ","")&amp;IF(B44="","missing entity_key; ","")&amp;IF(C44="","missing contact_order; ","")&amp;IF(D44="","missing contact_type; ","")&amp;IF(E44="","missing number; ","")&amp;IF(J44="","missing status; ","")&amp;IF(AND(A44="client",COUNTIF('الزبائن'!$A$6:$A$505,B44)=0),"client key not found; ","")&amp;IF(AND(A44="proposed_name",COUNTIF('أسماء مقترحة'!$A$6:$A$505,B44)=0),"proposed_name key not found; ","")&amp;IF(AND(D44="mobile",J44&lt;&gt;"invalid",NOT(OR(AND(LEN(E44&amp;"")=10,LEFT(E44&amp;"",2)="09"),AND(LEN(E44&amp;"")=9,LEFT(E44&amp;"",1)="9")))),"mobile must be 09XXXXXXXX or status invalid; ","")&amp;IF(COUNTIFS($A$6:$A$505,A44,$B$6:$B$505,B44,$E$6:$E$505,E44)&gt;1,"duplicate number for same entity; ",""))))</x:f>
      </x:c>
    </x:row>
    <x:row r="45">
      <x:c r="A45" s="251"/>
      <x:c r="B45" s="252"/>
      <x:c r="C45" s="253"/>
      <x:c r="D45" s="253"/>
      <x:c r="E45" s="252"/>
      <x:c r="F45" s="252"/>
      <x:c r="G45" s="253"/>
      <x:c r="H45" s="253"/>
      <x:c r="I45" s="253"/>
      <x:c r="J45" s="253"/>
      <x:c r="K45" s="253"/>
      <x:c r="L45" s="253"/>
      <x:c r="M45" s="253" t="str">
        <x:f>IF(AND(A45="",B45="",E45=""),"",IF(OR(A45="",B45="",C45="",D45="",E45="",J45="",AND(A45="client",COUNTIF('الزبائن'!$A$6:$A$505,B45)=0),AND(A45="proposed_name",COUNTIF('أسماء مقترحة'!$A$6:$A$505,B45)=0),AND(D45="mobile",J45&lt;&gt;"invalid",NOT(OR(AND(LEN(E45&amp;"")=10,LEFT(E45&amp;"",2)="09"),AND(LEN(E45&amp;"")=9,LEFT(E45&amp;"",1)="9")))),COUNTIFS($A$6:$A$505,A45,$B$6:$B$505,B45,$E$6:$E$505,E45)&gt;1),"REVIEW","READY"))</x:f>
      </x:c>
      <x:c r="N45" s="255" t="str">
        <x:f>IF(M45="","",IF(M45="READY","",TRIM(IF(A45="","missing entity_type; ","")&amp;IF(B45="","missing entity_key; ","")&amp;IF(C45="","missing contact_order; ","")&amp;IF(D45="","missing contact_type; ","")&amp;IF(E45="","missing number; ","")&amp;IF(J45="","missing status; ","")&amp;IF(AND(A45="client",COUNTIF('الزبائن'!$A$6:$A$505,B45)=0),"client key not found; ","")&amp;IF(AND(A45="proposed_name",COUNTIF('أسماء مقترحة'!$A$6:$A$505,B45)=0),"proposed_name key not found; ","")&amp;IF(AND(D45="mobile",J45&lt;&gt;"invalid",NOT(OR(AND(LEN(E45&amp;"")=10,LEFT(E45&amp;"",2)="09"),AND(LEN(E45&amp;"")=9,LEFT(E45&amp;"",1)="9")))),"mobile must be 09XXXXXXXX or status invalid; ","")&amp;IF(COUNTIFS($A$6:$A$505,A45,$B$6:$B$505,B45,$E$6:$E$505,E45)&gt;1,"duplicate number for same entity; ",""))))</x:f>
      </x:c>
    </x:row>
    <x:row r="46">
      <x:c r="A46" s="251"/>
      <x:c r="B46" s="252"/>
      <x:c r="C46" s="253"/>
      <x:c r="D46" s="253"/>
      <x:c r="E46" s="252"/>
      <x:c r="F46" s="252"/>
      <x:c r="G46" s="253"/>
      <x:c r="H46" s="253"/>
      <x:c r="I46" s="253"/>
      <x:c r="J46" s="253"/>
      <x:c r="K46" s="253"/>
      <x:c r="L46" s="253"/>
      <x:c r="M46" s="253" t="str">
        <x:f>IF(AND(A46="",B46="",E46=""),"",IF(OR(A46="",B46="",C46="",D46="",E46="",J46="",AND(A46="client",COUNTIF('الزبائن'!$A$6:$A$505,B46)=0),AND(A46="proposed_name",COUNTIF('أسماء مقترحة'!$A$6:$A$505,B46)=0),AND(D46="mobile",J46&lt;&gt;"invalid",NOT(OR(AND(LEN(E46&amp;"")=10,LEFT(E46&amp;"",2)="09"),AND(LEN(E46&amp;"")=9,LEFT(E46&amp;"",1)="9")))),COUNTIFS($A$6:$A$505,A46,$B$6:$B$505,B46,$E$6:$E$505,E46)&gt;1),"REVIEW","READY"))</x:f>
      </x:c>
      <x:c r="N46" s="255" t="str">
        <x:f>IF(M46="","",IF(M46="READY","",TRIM(IF(A46="","missing entity_type; ","")&amp;IF(B46="","missing entity_key; ","")&amp;IF(C46="","missing contact_order; ","")&amp;IF(D46="","missing contact_type; ","")&amp;IF(E46="","missing number; ","")&amp;IF(J46="","missing status; ","")&amp;IF(AND(A46="client",COUNTIF('الزبائن'!$A$6:$A$505,B46)=0),"client key not found; ","")&amp;IF(AND(A46="proposed_name",COUNTIF('أسماء مقترحة'!$A$6:$A$505,B46)=0),"proposed_name key not found; ","")&amp;IF(AND(D46="mobile",J46&lt;&gt;"invalid",NOT(OR(AND(LEN(E46&amp;"")=10,LEFT(E46&amp;"",2)="09"),AND(LEN(E46&amp;"")=9,LEFT(E46&amp;"",1)="9")))),"mobile must be 09XXXXXXXX or status invalid; ","")&amp;IF(COUNTIFS($A$6:$A$505,A46,$B$6:$B$505,B46,$E$6:$E$505,E46)&gt;1,"duplicate number for same entity; ",""))))</x:f>
      </x:c>
    </x:row>
    <x:row r="47">
      <x:c r="A47" s="251"/>
      <x:c r="B47" s="252"/>
      <x:c r="C47" s="253"/>
      <x:c r="D47" s="253"/>
      <x:c r="E47" s="252"/>
      <x:c r="F47" s="252"/>
      <x:c r="G47" s="253"/>
      <x:c r="H47" s="253"/>
      <x:c r="I47" s="253"/>
      <x:c r="J47" s="253"/>
      <x:c r="K47" s="253"/>
      <x:c r="L47" s="253"/>
      <x:c r="M47" s="253" t="str">
        <x:f>IF(AND(A47="",B47="",E47=""),"",IF(OR(A47="",B47="",C47="",D47="",E47="",J47="",AND(A47="client",COUNTIF('الزبائن'!$A$6:$A$505,B47)=0),AND(A47="proposed_name",COUNTIF('أسماء مقترحة'!$A$6:$A$505,B47)=0),AND(D47="mobile",J47&lt;&gt;"invalid",NOT(OR(AND(LEN(E47&amp;"")=10,LEFT(E47&amp;"",2)="09"),AND(LEN(E47&amp;"")=9,LEFT(E47&amp;"",1)="9")))),COUNTIFS($A$6:$A$505,A47,$B$6:$B$505,B47,$E$6:$E$505,E47)&gt;1),"REVIEW","READY"))</x:f>
      </x:c>
      <x:c r="N47" s="255" t="str">
        <x:f>IF(M47="","",IF(M47="READY","",TRIM(IF(A47="","missing entity_type; ","")&amp;IF(B47="","missing entity_key; ","")&amp;IF(C47="","missing contact_order; ","")&amp;IF(D47="","missing contact_type; ","")&amp;IF(E47="","missing number; ","")&amp;IF(J47="","missing status; ","")&amp;IF(AND(A47="client",COUNTIF('الزبائن'!$A$6:$A$505,B47)=0),"client key not found; ","")&amp;IF(AND(A47="proposed_name",COUNTIF('أسماء مقترحة'!$A$6:$A$505,B47)=0),"proposed_name key not found; ","")&amp;IF(AND(D47="mobile",J47&lt;&gt;"invalid",NOT(OR(AND(LEN(E47&amp;"")=10,LEFT(E47&amp;"",2)="09"),AND(LEN(E47&amp;"")=9,LEFT(E47&amp;"",1)="9")))),"mobile must be 09XXXXXXXX or status invalid; ","")&amp;IF(COUNTIFS($A$6:$A$505,A47,$B$6:$B$505,B47,$E$6:$E$505,E47)&gt;1,"duplicate number for same entity; ",""))))</x:f>
      </x:c>
    </x:row>
    <x:row r="48">
      <x:c r="A48" s="251"/>
      <x:c r="B48" s="252"/>
      <x:c r="C48" s="253"/>
      <x:c r="D48" s="253"/>
      <x:c r="E48" s="252"/>
      <x:c r="F48" s="252"/>
      <x:c r="G48" s="253"/>
      <x:c r="H48" s="253"/>
      <x:c r="I48" s="253"/>
      <x:c r="J48" s="253"/>
      <x:c r="K48" s="253"/>
      <x:c r="L48" s="253"/>
      <x:c r="M48" s="253" t="str">
        <x:f>IF(AND(A48="",B48="",E48=""),"",IF(OR(A48="",B48="",C48="",D48="",E48="",J48="",AND(A48="client",COUNTIF('الزبائن'!$A$6:$A$505,B48)=0),AND(A48="proposed_name",COUNTIF('أسماء مقترحة'!$A$6:$A$505,B48)=0),AND(D48="mobile",J48&lt;&gt;"invalid",NOT(OR(AND(LEN(E48&amp;"")=10,LEFT(E48&amp;"",2)="09"),AND(LEN(E48&amp;"")=9,LEFT(E48&amp;"",1)="9")))),COUNTIFS($A$6:$A$505,A48,$B$6:$B$505,B48,$E$6:$E$505,E48)&gt;1),"REVIEW","READY"))</x:f>
      </x:c>
      <x:c r="N48" s="255" t="str">
        <x:f>IF(M48="","",IF(M48="READY","",TRIM(IF(A48="","missing entity_type; ","")&amp;IF(B48="","missing entity_key; ","")&amp;IF(C48="","missing contact_order; ","")&amp;IF(D48="","missing contact_type; ","")&amp;IF(E48="","missing number; ","")&amp;IF(J48="","missing status; ","")&amp;IF(AND(A48="client",COUNTIF('الزبائن'!$A$6:$A$505,B48)=0),"client key not found; ","")&amp;IF(AND(A48="proposed_name",COUNTIF('أسماء مقترحة'!$A$6:$A$505,B48)=0),"proposed_name key not found; ","")&amp;IF(AND(D48="mobile",J48&lt;&gt;"invalid",NOT(OR(AND(LEN(E48&amp;"")=10,LEFT(E48&amp;"",2)="09"),AND(LEN(E48&amp;"")=9,LEFT(E48&amp;"",1)="9")))),"mobile must be 09XXXXXXXX or status invalid; ","")&amp;IF(COUNTIFS($A$6:$A$505,A48,$B$6:$B$505,B48,$E$6:$E$505,E48)&gt;1,"duplicate number for same entity; ",""))))</x:f>
      </x:c>
    </x:row>
    <x:row r="49">
      <x:c r="A49" s="251"/>
      <x:c r="B49" s="252"/>
      <x:c r="C49" s="253"/>
      <x:c r="D49" s="253"/>
      <x:c r="E49" s="252"/>
      <x:c r="F49" s="252"/>
      <x:c r="G49" s="253"/>
      <x:c r="H49" s="253"/>
      <x:c r="I49" s="253"/>
      <x:c r="J49" s="253"/>
      <x:c r="K49" s="253"/>
      <x:c r="L49" s="253"/>
      <x:c r="M49" s="253" t="str">
        <x:f>IF(AND(A49="",B49="",E49=""),"",IF(OR(A49="",B49="",C49="",D49="",E49="",J49="",AND(A49="client",COUNTIF('الزبائن'!$A$6:$A$505,B49)=0),AND(A49="proposed_name",COUNTIF('أسماء مقترحة'!$A$6:$A$505,B49)=0),AND(D49="mobile",J49&lt;&gt;"invalid",NOT(OR(AND(LEN(E49&amp;"")=10,LEFT(E49&amp;"",2)="09"),AND(LEN(E49&amp;"")=9,LEFT(E49&amp;"",1)="9")))),COUNTIFS($A$6:$A$505,A49,$B$6:$B$505,B49,$E$6:$E$505,E49)&gt;1),"REVIEW","READY"))</x:f>
      </x:c>
      <x:c r="N49" s="255" t="str">
        <x:f>IF(M49="","",IF(M49="READY","",TRIM(IF(A49="","missing entity_type; ","")&amp;IF(B49="","missing entity_key; ","")&amp;IF(C49="","missing contact_order; ","")&amp;IF(D49="","missing contact_type; ","")&amp;IF(E49="","missing number; ","")&amp;IF(J49="","missing status; ","")&amp;IF(AND(A49="client",COUNTIF('الزبائن'!$A$6:$A$505,B49)=0),"client key not found; ","")&amp;IF(AND(A49="proposed_name",COUNTIF('أسماء مقترحة'!$A$6:$A$505,B49)=0),"proposed_name key not found; ","")&amp;IF(AND(D49="mobile",J49&lt;&gt;"invalid",NOT(OR(AND(LEN(E49&amp;"")=10,LEFT(E49&amp;"",2)="09"),AND(LEN(E49&amp;"")=9,LEFT(E49&amp;"",1)="9")))),"mobile must be 09XXXXXXXX or status invalid; ","")&amp;IF(COUNTIFS($A$6:$A$505,A49,$B$6:$B$505,B49,$E$6:$E$505,E49)&gt;1,"duplicate number for same entity; ",""))))</x:f>
      </x:c>
    </x:row>
    <x:row r="50">
      <x:c r="A50" s="251"/>
      <x:c r="B50" s="252"/>
      <x:c r="C50" s="253"/>
      <x:c r="D50" s="253"/>
      <x:c r="E50" s="252"/>
      <x:c r="F50" s="252"/>
      <x:c r="G50" s="253"/>
      <x:c r="H50" s="253"/>
      <x:c r="I50" s="253"/>
      <x:c r="J50" s="253"/>
      <x:c r="K50" s="253"/>
      <x:c r="L50" s="253"/>
      <x:c r="M50" s="253" t="str">
        <x:f>IF(AND(A50="",B50="",E50=""),"",IF(OR(A50="",B50="",C50="",D50="",E50="",J50="",AND(A50="client",COUNTIF('الزبائن'!$A$6:$A$505,B50)=0),AND(A50="proposed_name",COUNTIF('أسماء مقترحة'!$A$6:$A$505,B50)=0),AND(D50="mobile",J50&lt;&gt;"invalid",NOT(OR(AND(LEN(E50&amp;"")=10,LEFT(E50&amp;"",2)="09"),AND(LEN(E50&amp;"")=9,LEFT(E50&amp;"",1)="9")))),COUNTIFS($A$6:$A$505,A50,$B$6:$B$505,B50,$E$6:$E$505,E50)&gt;1),"REVIEW","READY"))</x:f>
      </x:c>
      <x:c r="N50" s="255" t="str">
        <x:f>IF(M50="","",IF(M50="READY","",TRIM(IF(A50="","missing entity_type; ","")&amp;IF(B50="","missing entity_key; ","")&amp;IF(C50="","missing contact_order; ","")&amp;IF(D50="","missing contact_type; ","")&amp;IF(E50="","missing number; ","")&amp;IF(J50="","missing status; ","")&amp;IF(AND(A50="client",COUNTIF('الزبائن'!$A$6:$A$505,B50)=0),"client key not found; ","")&amp;IF(AND(A50="proposed_name",COUNTIF('أسماء مقترحة'!$A$6:$A$505,B50)=0),"proposed_name key not found; ","")&amp;IF(AND(D50="mobile",J50&lt;&gt;"invalid",NOT(OR(AND(LEN(E50&amp;"")=10,LEFT(E50&amp;"",2)="09"),AND(LEN(E50&amp;"")=9,LEFT(E50&amp;"",1)="9")))),"mobile must be 09XXXXXXXX or status invalid; ","")&amp;IF(COUNTIFS($A$6:$A$505,A50,$B$6:$B$505,B50,$E$6:$E$505,E50)&gt;1,"duplicate number for same entity; ",""))))</x:f>
      </x:c>
    </x:row>
    <x:row r="51">
      <x:c r="A51" s="251"/>
      <x:c r="B51" s="252"/>
      <x:c r="C51" s="253"/>
      <x:c r="D51" s="253"/>
      <x:c r="E51" s="252"/>
      <x:c r="F51" s="252"/>
      <x:c r="G51" s="253"/>
      <x:c r="H51" s="253"/>
      <x:c r="I51" s="253"/>
      <x:c r="J51" s="253"/>
      <x:c r="K51" s="253"/>
      <x:c r="L51" s="253"/>
      <x:c r="M51" s="253" t="str">
        <x:f>IF(AND(A51="",B51="",E51=""),"",IF(OR(A51="",B51="",C51="",D51="",E51="",J51="",AND(A51="client",COUNTIF('الزبائن'!$A$6:$A$505,B51)=0),AND(A51="proposed_name",COUNTIF('أسماء مقترحة'!$A$6:$A$505,B51)=0),AND(D51="mobile",J51&lt;&gt;"invalid",NOT(OR(AND(LEN(E51&amp;"")=10,LEFT(E51&amp;"",2)="09"),AND(LEN(E51&amp;"")=9,LEFT(E51&amp;"",1)="9")))),COUNTIFS($A$6:$A$505,A51,$B$6:$B$505,B51,$E$6:$E$505,E51)&gt;1),"REVIEW","READY"))</x:f>
      </x:c>
      <x:c r="N51" s="255" t="str">
        <x:f>IF(M51="","",IF(M51="READY","",TRIM(IF(A51="","missing entity_type; ","")&amp;IF(B51="","missing entity_key; ","")&amp;IF(C51="","missing contact_order; ","")&amp;IF(D51="","missing contact_type; ","")&amp;IF(E51="","missing number; ","")&amp;IF(J51="","missing status; ","")&amp;IF(AND(A51="client",COUNTIF('الزبائن'!$A$6:$A$505,B51)=0),"client key not found; ","")&amp;IF(AND(A51="proposed_name",COUNTIF('أسماء مقترحة'!$A$6:$A$505,B51)=0),"proposed_name key not found; ","")&amp;IF(AND(D51="mobile",J51&lt;&gt;"invalid",NOT(OR(AND(LEN(E51&amp;"")=10,LEFT(E51&amp;"",2)="09"),AND(LEN(E51&amp;"")=9,LEFT(E51&amp;"",1)="9")))),"mobile must be 09XXXXXXXX or status invalid; ","")&amp;IF(COUNTIFS($A$6:$A$505,A51,$B$6:$B$505,B51,$E$6:$E$505,E51)&gt;1,"duplicate number for same entity; ",""))))</x:f>
      </x:c>
    </x:row>
    <x:row r="52">
      <x:c r="A52" s="251"/>
      <x:c r="B52" s="252"/>
      <x:c r="C52" s="253"/>
      <x:c r="D52" s="253"/>
      <x:c r="E52" s="252"/>
      <x:c r="F52" s="252"/>
      <x:c r="G52" s="253"/>
      <x:c r="H52" s="253"/>
      <x:c r="I52" s="253"/>
      <x:c r="J52" s="253"/>
      <x:c r="K52" s="253"/>
      <x:c r="L52" s="253"/>
      <x:c r="M52" s="253" t="str">
        <x:f>IF(AND(A52="",B52="",E52=""),"",IF(OR(A52="",B52="",C52="",D52="",E52="",J52="",AND(A52="client",COUNTIF('الزبائن'!$A$6:$A$505,B52)=0),AND(A52="proposed_name",COUNTIF('أسماء مقترحة'!$A$6:$A$505,B52)=0),AND(D52="mobile",J52&lt;&gt;"invalid",NOT(OR(AND(LEN(E52&amp;"")=10,LEFT(E52&amp;"",2)="09"),AND(LEN(E52&amp;"")=9,LEFT(E52&amp;"",1)="9")))),COUNTIFS($A$6:$A$505,A52,$B$6:$B$505,B52,$E$6:$E$505,E52)&gt;1),"REVIEW","READY"))</x:f>
      </x:c>
      <x:c r="N52" s="255" t="str">
        <x:f>IF(M52="","",IF(M52="READY","",TRIM(IF(A52="","missing entity_type; ","")&amp;IF(B52="","missing entity_key; ","")&amp;IF(C52="","missing contact_order; ","")&amp;IF(D52="","missing contact_type; ","")&amp;IF(E52="","missing number; ","")&amp;IF(J52="","missing status; ","")&amp;IF(AND(A52="client",COUNTIF('الزبائن'!$A$6:$A$505,B52)=0),"client key not found; ","")&amp;IF(AND(A52="proposed_name",COUNTIF('أسماء مقترحة'!$A$6:$A$505,B52)=0),"proposed_name key not found; ","")&amp;IF(AND(D52="mobile",J52&lt;&gt;"invalid",NOT(OR(AND(LEN(E52&amp;"")=10,LEFT(E52&amp;"",2)="09"),AND(LEN(E52&amp;"")=9,LEFT(E52&amp;"",1)="9")))),"mobile must be 09XXXXXXXX or status invalid; ","")&amp;IF(COUNTIFS($A$6:$A$505,A52,$B$6:$B$505,B52,$E$6:$E$505,E52)&gt;1,"duplicate number for same entity; ",""))))</x:f>
      </x:c>
    </x:row>
    <x:row r="53">
      <x:c r="A53" s="251"/>
      <x:c r="B53" s="252"/>
      <x:c r="C53" s="253"/>
      <x:c r="D53" s="253"/>
      <x:c r="E53" s="252"/>
      <x:c r="F53" s="252"/>
      <x:c r="G53" s="253"/>
      <x:c r="H53" s="253"/>
      <x:c r="I53" s="253"/>
      <x:c r="J53" s="253"/>
      <x:c r="K53" s="253"/>
      <x:c r="L53" s="253"/>
      <x:c r="M53" s="253" t="str">
        <x:f>IF(AND(A53="",B53="",E53=""),"",IF(OR(A53="",B53="",C53="",D53="",E53="",J53="",AND(A53="client",COUNTIF('الزبائن'!$A$6:$A$505,B53)=0),AND(A53="proposed_name",COUNTIF('أسماء مقترحة'!$A$6:$A$505,B53)=0),AND(D53="mobile",J53&lt;&gt;"invalid",NOT(OR(AND(LEN(E53&amp;"")=10,LEFT(E53&amp;"",2)="09"),AND(LEN(E53&amp;"")=9,LEFT(E53&amp;"",1)="9")))),COUNTIFS($A$6:$A$505,A53,$B$6:$B$505,B53,$E$6:$E$505,E53)&gt;1),"REVIEW","READY"))</x:f>
      </x:c>
      <x:c r="N53" s="255" t="str">
        <x:f>IF(M53="","",IF(M53="READY","",TRIM(IF(A53="","missing entity_type; ","")&amp;IF(B53="","missing entity_key; ","")&amp;IF(C53="","missing contact_order; ","")&amp;IF(D53="","missing contact_type; ","")&amp;IF(E53="","missing number; ","")&amp;IF(J53="","missing status; ","")&amp;IF(AND(A53="client",COUNTIF('الزبائن'!$A$6:$A$505,B53)=0),"client key not found; ","")&amp;IF(AND(A53="proposed_name",COUNTIF('أسماء مقترحة'!$A$6:$A$505,B53)=0),"proposed_name key not found; ","")&amp;IF(AND(D53="mobile",J53&lt;&gt;"invalid",NOT(OR(AND(LEN(E53&amp;"")=10,LEFT(E53&amp;"",2)="09"),AND(LEN(E53&amp;"")=9,LEFT(E53&amp;"",1)="9")))),"mobile must be 09XXXXXXXX or status invalid; ","")&amp;IF(COUNTIFS($A$6:$A$505,A53,$B$6:$B$505,B53,$E$6:$E$505,E53)&gt;1,"duplicate number for same entity; ",""))))</x:f>
      </x:c>
    </x:row>
    <x:row r="54">
      <x:c r="A54" s="251"/>
      <x:c r="B54" s="252"/>
      <x:c r="C54" s="253"/>
      <x:c r="D54" s="253"/>
      <x:c r="E54" s="252"/>
      <x:c r="F54" s="252"/>
      <x:c r="G54" s="253"/>
      <x:c r="H54" s="253"/>
      <x:c r="I54" s="253"/>
      <x:c r="J54" s="253"/>
      <x:c r="K54" s="253"/>
      <x:c r="L54" s="253"/>
      <x:c r="M54" s="253" t="str">
        <x:f>IF(AND(A54="",B54="",E54=""),"",IF(OR(A54="",B54="",C54="",D54="",E54="",J54="",AND(A54="client",COUNTIF('الزبائن'!$A$6:$A$505,B54)=0),AND(A54="proposed_name",COUNTIF('أسماء مقترحة'!$A$6:$A$505,B54)=0),AND(D54="mobile",J54&lt;&gt;"invalid",NOT(OR(AND(LEN(E54&amp;"")=10,LEFT(E54&amp;"",2)="09"),AND(LEN(E54&amp;"")=9,LEFT(E54&amp;"",1)="9")))),COUNTIFS($A$6:$A$505,A54,$B$6:$B$505,B54,$E$6:$E$505,E54)&gt;1),"REVIEW","READY"))</x:f>
      </x:c>
      <x:c r="N54" s="255" t="str">
        <x:f>IF(M54="","",IF(M54="READY","",TRIM(IF(A54="","missing entity_type; ","")&amp;IF(B54="","missing entity_key; ","")&amp;IF(C54="","missing contact_order; ","")&amp;IF(D54="","missing contact_type; ","")&amp;IF(E54="","missing number; ","")&amp;IF(J54="","missing status; ","")&amp;IF(AND(A54="client",COUNTIF('الزبائن'!$A$6:$A$505,B54)=0),"client key not found; ","")&amp;IF(AND(A54="proposed_name",COUNTIF('أسماء مقترحة'!$A$6:$A$505,B54)=0),"proposed_name key not found; ","")&amp;IF(AND(D54="mobile",J54&lt;&gt;"invalid",NOT(OR(AND(LEN(E54&amp;"")=10,LEFT(E54&amp;"",2)="09"),AND(LEN(E54&amp;"")=9,LEFT(E54&amp;"",1)="9")))),"mobile must be 09XXXXXXXX or status invalid; ","")&amp;IF(COUNTIFS($A$6:$A$505,A54,$B$6:$B$505,B54,$E$6:$E$505,E54)&gt;1,"duplicate number for same entity; ",""))))</x:f>
      </x:c>
    </x:row>
    <x:row r="55">
      <x:c r="A55" s="251"/>
      <x:c r="B55" s="252"/>
      <x:c r="C55" s="253"/>
      <x:c r="D55" s="253"/>
      <x:c r="E55" s="252"/>
      <x:c r="F55" s="252"/>
      <x:c r="G55" s="253"/>
      <x:c r="H55" s="253"/>
      <x:c r="I55" s="253"/>
      <x:c r="J55" s="253"/>
      <x:c r="K55" s="253"/>
      <x:c r="L55" s="253"/>
      <x:c r="M55" s="253" t="str">
        <x:f>IF(AND(A55="",B55="",E55=""),"",IF(OR(A55="",B55="",C55="",D55="",E55="",J55="",AND(A55="client",COUNTIF('الزبائن'!$A$6:$A$505,B55)=0),AND(A55="proposed_name",COUNTIF('أسماء مقترحة'!$A$6:$A$505,B55)=0),AND(D55="mobile",J55&lt;&gt;"invalid",NOT(OR(AND(LEN(E55&amp;"")=10,LEFT(E55&amp;"",2)="09"),AND(LEN(E55&amp;"")=9,LEFT(E55&amp;"",1)="9")))),COUNTIFS($A$6:$A$505,A55,$B$6:$B$505,B55,$E$6:$E$505,E55)&gt;1),"REVIEW","READY"))</x:f>
      </x:c>
      <x:c r="N55" s="255" t="str">
        <x:f>IF(M55="","",IF(M55="READY","",TRIM(IF(A55="","missing entity_type; ","")&amp;IF(B55="","missing entity_key; ","")&amp;IF(C55="","missing contact_order; ","")&amp;IF(D55="","missing contact_type; ","")&amp;IF(E55="","missing number; ","")&amp;IF(J55="","missing status; ","")&amp;IF(AND(A55="client",COUNTIF('الزبائن'!$A$6:$A$505,B55)=0),"client key not found; ","")&amp;IF(AND(A55="proposed_name",COUNTIF('أسماء مقترحة'!$A$6:$A$505,B55)=0),"proposed_name key not found; ","")&amp;IF(AND(D55="mobile",J55&lt;&gt;"invalid",NOT(OR(AND(LEN(E55&amp;"")=10,LEFT(E55&amp;"",2)="09"),AND(LEN(E55&amp;"")=9,LEFT(E55&amp;"",1)="9")))),"mobile must be 09XXXXXXXX or status invalid; ","")&amp;IF(COUNTIFS($A$6:$A$505,A55,$B$6:$B$505,B55,$E$6:$E$505,E55)&gt;1,"duplicate number for same entity; ",""))))</x:f>
      </x:c>
    </x:row>
    <x:row r="56">
      <x:c r="A56" s="251"/>
      <x:c r="B56" s="252"/>
      <x:c r="C56" s="253"/>
      <x:c r="D56" s="253"/>
      <x:c r="E56" s="252"/>
      <x:c r="F56" s="252"/>
      <x:c r="G56" s="253"/>
      <x:c r="H56" s="253"/>
      <x:c r="I56" s="253"/>
      <x:c r="J56" s="253"/>
      <x:c r="K56" s="253"/>
      <x:c r="L56" s="253"/>
      <x:c r="M56" s="253" t="str">
        <x:f>IF(AND(A56="",B56="",E56=""),"",IF(OR(A56="",B56="",C56="",D56="",E56="",J56="",AND(A56="client",COUNTIF('الزبائن'!$A$6:$A$505,B56)=0),AND(A56="proposed_name",COUNTIF('أسماء مقترحة'!$A$6:$A$505,B56)=0),AND(D56="mobile",J56&lt;&gt;"invalid",NOT(OR(AND(LEN(E56&amp;"")=10,LEFT(E56&amp;"",2)="09"),AND(LEN(E56&amp;"")=9,LEFT(E56&amp;"",1)="9")))),COUNTIFS($A$6:$A$505,A56,$B$6:$B$505,B56,$E$6:$E$505,E56)&gt;1),"REVIEW","READY"))</x:f>
      </x:c>
      <x:c r="N56" s="255" t="str">
        <x:f>IF(M56="","",IF(M56="READY","",TRIM(IF(A56="","missing entity_type; ","")&amp;IF(B56="","missing entity_key; ","")&amp;IF(C56="","missing contact_order; ","")&amp;IF(D56="","missing contact_type; ","")&amp;IF(E56="","missing number; ","")&amp;IF(J56="","missing status; ","")&amp;IF(AND(A56="client",COUNTIF('الزبائن'!$A$6:$A$505,B56)=0),"client key not found; ","")&amp;IF(AND(A56="proposed_name",COUNTIF('أسماء مقترحة'!$A$6:$A$505,B56)=0),"proposed_name key not found; ","")&amp;IF(AND(D56="mobile",J56&lt;&gt;"invalid",NOT(OR(AND(LEN(E56&amp;"")=10,LEFT(E56&amp;"",2)="09"),AND(LEN(E56&amp;"")=9,LEFT(E56&amp;"",1)="9")))),"mobile must be 09XXXXXXXX or status invalid; ","")&amp;IF(COUNTIFS($A$6:$A$505,A56,$B$6:$B$505,B56,$E$6:$E$505,E56)&gt;1,"duplicate number for same entity; ",""))))</x:f>
      </x:c>
    </x:row>
    <x:row r="57">
      <x:c r="A57" s="251"/>
      <x:c r="B57" s="252"/>
      <x:c r="C57" s="253"/>
      <x:c r="D57" s="253"/>
      <x:c r="E57" s="252"/>
      <x:c r="F57" s="252"/>
      <x:c r="G57" s="253"/>
      <x:c r="H57" s="253"/>
      <x:c r="I57" s="253"/>
      <x:c r="J57" s="253"/>
      <x:c r="K57" s="253"/>
      <x:c r="L57" s="253"/>
      <x:c r="M57" s="253" t="str">
        <x:f>IF(AND(A57="",B57="",E57=""),"",IF(OR(A57="",B57="",C57="",D57="",E57="",J57="",AND(A57="client",COUNTIF('الزبائن'!$A$6:$A$505,B57)=0),AND(A57="proposed_name",COUNTIF('أسماء مقترحة'!$A$6:$A$505,B57)=0),AND(D57="mobile",J57&lt;&gt;"invalid",NOT(OR(AND(LEN(E57&amp;"")=10,LEFT(E57&amp;"",2)="09"),AND(LEN(E57&amp;"")=9,LEFT(E57&amp;"",1)="9")))),COUNTIFS($A$6:$A$505,A57,$B$6:$B$505,B57,$E$6:$E$505,E57)&gt;1),"REVIEW","READY"))</x:f>
      </x:c>
      <x:c r="N57" s="255" t="str">
        <x:f>IF(M57="","",IF(M57="READY","",TRIM(IF(A57="","missing entity_type; ","")&amp;IF(B57="","missing entity_key; ","")&amp;IF(C57="","missing contact_order; ","")&amp;IF(D57="","missing contact_type; ","")&amp;IF(E57="","missing number; ","")&amp;IF(J57="","missing status; ","")&amp;IF(AND(A57="client",COUNTIF('الزبائن'!$A$6:$A$505,B57)=0),"client key not found; ","")&amp;IF(AND(A57="proposed_name",COUNTIF('أسماء مقترحة'!$A$6:$A$505,B57)=0),"proposed_name key not found; ","")&amp;IF(AND(D57="mobile",J57&lt;&gt;"invalid",NOT(OR(AND(LEN(E57&amp;"")=10,LEFT(E57&amp;"",2)="09"),AND(LEN(E57&amp;"")=9,LEFT(E57&amp;"",1)="9")))),"mobile must be 09XXXXXXXX or status invalid; ","")&amp;IF(COUNTIFS($A$6:$A$505,A57,$B$6:$B$505,B57,$E$6:$E$505,E57)&gt;1,"duplicate number for same entity; ",""))))</x:f>
      </x:c>
    </x:row>
    <x:row r="58">
      <x:c r="A58" s="251"/>
      <x:c r="B58" s="252"/>
      <x:c r="C58" s="253"/>
      <x:c r="D58" s="253"/>
      <x:c r="E58" s="252"/>
      <x:c r="F58" s="252"/>
      <x:c r="G58" s="253"/>
      <x:c r="H58" s="253"/>
      <x:c r="I58" s="253"/>
      <x:c r="J58" s="253"/>
      <x:c r="K58" s="253"/>
      <x:c r="L58" s="253"/>
      <x:c r="M58" s="253" t="str">
        <x:f>IF(AND(A58="",B58="",E58=""),"",IF(OR(A58="",B58="",C58="",D58="",E58="",J58="",AND(A58="client",COUNTIF('الزبائن'!$A$6:$A$505,B58)=0),AND(A58="proposed_name",COUNTIF('أسماء مقترحة'!$A$6:$A$505,B58)=0),AND(D58="mobile",J58&lt;&gt;"invalid",NOT(OR(AND(LEN(E58&amp;"")=10,LEFT(E58&amp;"",2)="09"),AND(LEN(E58&amp;"")=9,LEFT(E58&amp;"",1)="9")))),COUNTIFS($A$6:$A$505,A58,$B$6:$B$505,B58,$E$6:$E$505,E58)&gt;1),"REVIEW","READY"))</x:f>
      </x:c>
      <x:c r="N58" s="255" t="str">
        <x:f>IF(M58="","",IF(M58="READY","",TRIM(IF(A58="","missing entity_type; ","")&amp;IF(B58="","missing entity_key; ","")&amp;IF(C58="","missing contact_order; ","")&amp;IF(D58="","missing contact_type; ","")&amp;IF(E58="","missing number; ","")&amp;IF(J58="","missing status; ","")&amp;IF(AND(A58="client",COUNTIF('الزبائن'!$A$6:$A$505,B58)=0),"client key not found; ","")&amp;IF(AND(A58="proposed_name",COUNTIF('أسماء مقترحة'!$A$6:$A$505,B58)=0),"proposed_name key not found; ","")&amp;IF(AND(D58="mobile",J58&lt;&gt;"invalid",NOT(OR(AND(LEN(E58&amp;"")=10,LEFT(E58&amp;"",2)="09"),AND(LEN(E58&amp;"")=9,LEFT(E58&amp;"",1)="9")))),"mobile must be 09XXXXXXXX or status invalid; ","")&amp;IF(COUNTIFS($A$6:$A$505,A58,$B$6:$B$505,B58,$E$6:$E$505,E58)&gt;1,"duplicate number for same entity; ",""))))</x:f>
      </x:c>
    </x:row>
    <x:row r="59">
      <x:c r="A59" s="251"/>
      <x:c r="B59" s="252"/>
      <x:c r="C59" s="253"/>
      <x:c r="D59" s="253"/>
      <x:c r="E59" s="252"/>
      <x:c r="F59" s="252"/>
      <x:c r="G59" s="253"/>
      <x:c r="H59" s="253"/>
      <x:c r="I59" s="253"/>
      <x:c r="J59" s="253"/>
      <x:c r="K59" s="253"/>
      <x:c r="L59" s="253"/>
      <x:c r="M59" s="253" t="str">
        <x:f>IF(AND(A59="",B59="",E59=""),"",IF(OR(A59="",B59="",C59="",D59="",E59="",J59="",AND(A59="client",COUNTIF('الزبائن'!$A$6:$A$505,B59)=0),AND(A59="proposed_name",COUNTIF('أسماء مقترحة'!$A$6:$A$505,B59)=0),AND(D59="mobile",J59&lt;&gt;"invalid",NOT(OR(AND(LEN(E59&amp;"")=10,LEFT(E59&amp;"",2)="09"),AND(LEN(E59&amp;"")=9,LEFT(E59&amp;"",1)="9")))),COUNTIFS($A$6:$A$505,A59,$B$6:$B$505,B59,$E$6:$E$505,E59)&gt;1),"REVIEW","READY"))</x:f>
      </x:c>
      <x:c r="N59" s="255" t="str">
        <x:f>IF(M59="","",IF(M59="READY","",TRIM(IF(A59="","missing entity_type; ","")&amp;IF(B59="","missing entity_key; ","")&amp;IF(C59="","missing contact_order; ","")&amp;IF(D59="","missing contact_type; ","")&amp;IF(E59="","missing number; ","")&amp;IF(J59="","missing status; ","")&amp;IF(AND(A59="client",COUNTIF('الزبائن'!$A$6:$A$505,B59)=0),"client key not found; ","")&amp;IF(AND(A59="proposed_name",COUNTIF('أسماء مقترحة'!$A$6:$A$505,B59)=0),"proposed_name key not found; ","")&amp;IF(AND(D59="mobile",J59&lt;&gt;"invalid",NOT(OR(AND(LEN(E59&amp;"")=10,LEFT(E59&amp;"",2)="09"),AND(LEN(E59&amp;"")=9,LEFT(E59&amp;"",1)="9")))),"mobile must be 09XXXXXXXX or status invalid; ","")&amp;IF(COUNTIFS($A$6:$A$505,A59,$B$6:$B$505,B59,$E$6:$E$505,E59)&gt;1,"duplicate number for same entity; ",""))))</x:f>
      </x:c>
    </x:row>
    <x:row r="60">
      <x:c r="A60" s="251"/>
      <x:c r="B60" s="252"/>
      <x:c r="C60" s="253"/>
      <x:c r="D60" s="253"/>
      <x:c r="E60" s="252"/>
      <x:c r="F60" s="252"/>
      <x:c r="G60" s="253"/>
      <x:c r="H60" s="253"/>
      <x:c r="I60" s="253"/>
      <x:c r="J60" s="253"/>
      <x:c r="K60" s="253"/>
      <x:c r="L60" s="253"/>
      <x:c r="M60" s="253" t="str">
        <x:f>IF(AND(A60="",B60="",E60=""),"",IF(OR(A60="",B60="",C60="",D60="",E60="",J60="",AND(A60="client",COUNTIF('الزبائن'!$A$6:$A$505,B60)=0),AND(A60="proposed_name",COUNTIF('أسماء مقترحة'!$A$6:$A$505,B60)=0),AND(D60="mobile",J60&lt;&gt;"invalid",NOT(OR(AND(LEN(E60&amp;"")=10,LEFT(E60&amp;"",2)="09"),AND(LEN(E60&amp;"")=9,LEFT(E60&amp;"",1)="9")))),COUNTIFS($A$6:$A$505,A60,$B$6:$B$505,B60,$E$6:$E$505,E60)&gt;1),"REVIEW","READY"))</x:f>
      </x:c>
      <x:c r="N60" s="255" t="str">
        <x:f>IF(M60="","",IF(M60="READY","",TRIM(IF(A60="","missing entity_type; ","")&amp;IF(B60="","missing entity_key; ","")&amp;IF(C60="","missing contact_order; ","")&amp;IF(D60="","missing contact_type; ","")&amp;IF(E60="","missing number; ","")&amp;IF(J60="","missing status; ","")&amp;IF(AND(A60="client",COUNTIF('الزبائن'!$A$6:$A$505,B60)=0),"client key not found; ","")&amp;IF(AND(A60="proposed_name",COUNTIF('أسماء مقترحة'!$A$6:$A$505,B60)=0),"proposed_name key not found; ","")&amp;IF(AND(D60="mobile",J60&lt;&gt;"invalid",NOT(OR(AND(LEN(E60&amp;"")=10,LEFT(E60&amp;"",2)="09"),AND(LEN(E60&amp;"")=9,LEFT(E60&amp;"",1)="9")))),"mobile must be 09XXXXXXXX or status invalid; ","")&amp;IF(COUNTIFS($A$6:$A$505,A60,$B$6:$B$505,B60,$E$6:$E$505,E60)&gt;1,"duplicate number for same entity; ",""))))</x:f>
      </x:c>
    </x:row>
    <x:row r="61">
      <x:c r="A61" s="251"/>
      <x:c r="B61" s="252"/>
      <x:c r="C61" s="253"/>
      <x:c r="D61" s="253"/>
      <x:c r="E61" s="252"/>
      <x:c r="F61" s="252"/>
      <x:c r="G61" s="253"/>
      <x:c r="H61" s="253"/>
      <x:c r="I61" s="253"/>
      <x:c r="J61" s="253"/>
      <x:c r="K61" s="253"/>
      <x:c r="L61" s="253"/>
      <x:c r="M61" s="253" t="str">
        <x:f>IF(AND(A61="",B61="",E61=""),"",IF(OR(A61="",B61="",C61="",D61="",E61="",J61="",AND(A61="client",COUNTIF('الزبائن'!$A$6:$A$505,B61)=0),AND(A61="proposed_name",COUNTIF('أسماء مقترحة'!$A$6:$A$505,B61)=0),AND(D61="mobile",J61&lt;&gt;"invalid",NOT(OR(AND(LEN(E61&amp;"")=10,LEFT(E61&amp;"",2)="09"),AND(LEN(E61&amp;"")=9,LEFT(E61&amp;"",1)="9")))),COUNTIFS($A$6:$A$505,A61,$B$6:$B$505,B61,$E$6:$E$505,E61)&gt;1),"REVIEW","READY"))</x:f>
      </x:c>
      <x:c r="N61" s="255" t="str">
        <x:f>IF(M61="","",IF(M61="READY","",TRIM(IF(A61="","missing entity_type; ","")&amp;IF(B61="","missing entity_key; ","")&amp;IF(C61="","missing contact_order; ","")&amp;IF(D61="","missing contact_type; ","")&amp;IF(E61="","missing number; ","")&amp;IF(J61="","missing status; ","")&amp;IF(AND(A61="client",COUNTIF('الزبائن'!$A$6:$A$505,B61)=0),"client key not found; ","")&amp;IF(AND(A61="proposed_name",COUNTIF('أسماء مقترحة'!$A$6:$A$505,B61)=0),"proposed_name key not found; ","")&amp;IF(AND(D61="mobile",J61&lt;&gt;"invalid",NOT(OR(AND(LEN(E61&amp;"")=10,LEFT(E61&amp;"",2)="09"),AND(LEN(E61&amp;"")=9,LEFT(E61&amp;"",1)="9")))),"mobile must be 09XXXXXXXX or status invalid; ","")&amp;IF(COUNTIFS($A$6:$A$505,A61,$B$6:$B$505,B61,$E$6:$E$505,E61)&gt;1,"duplicate number for same entity; ",""))))</x:f>
      </x:c>
    </x:row>
    <x:row r="62">
      <x:c r="A62" s="251"/>
      <x:c r="B62" s="252"/>
      <x:c r="C62" s="253"/>
      <x:c r="D62" s="253"/>
      <x:c r="E62" s="252"/>
      <x:c r="F62" s="252"/>
      <x:c r="G62" s="253"/>
      <x:c r="H62" s="253"/>
      <x:c r="I62" s="253"/>
      <x:c r="J62" s="253"/>
      <x:c r="K62" s="253"/>
      <x:c r="L62" s="253"/>
      <x:c r="M62" s="253" t="str">
        <x:f>IF(AND(A62="",B62="",E62=""),"",IF(OR(A62="",B62="",C62="",D62="",E62="",J62="",AND(A62="client",COUNTIF('الزبائن'!$A$6:$A$505,B62)=0),AND(A62="proposed_name",COUNTIF('أسماء مقترحة'!$A$6:$A$505,B62)=0),AND(D62="mobile",J62&lt;&gt;"invalid",NOT(OR(AND(LEN(E62&amp;"")=10,LEFT(E62&amp;"",2)="09"),AND(LEN(E62&amp;"")=9,LEFT(E62&amp;"",1)="9")))),COUNTIFS($A$6:$A$505,A62,$B$6:$B$505,B62,$E$6:$E$505,E62)&gt;1),"REVIEW","READY"))</x:f>
      </x:c>
      <x:c r="N62" s="255" t="str">
        <x:f>IF(M62="","",IF(M62="READY","",TRIM(IF(A62="","missing entity_type; ","")&amp;IF(B62="","missing entity_key; ","")&amp;IF(C62="","missing contact_order; ","")&amp;IF(D62="","missing contact_type; ","")&amp;IF(E62="","missing number; ","")&amp;IF(J62="","missing status; ","")&amp;IF(AND(A62="client",COUNTIF('الزبائن'!$A$6:$A$505,B62)=0),"client key not found; ","")&amp;IF(AND(A62="proposed_name",COUNTIF('أسماء مقترحة'!$A$6:$A$505,B62)=0),"proposed_name key not found; ","")&amp;IF(AND(D62="mobile",J62&lt;&gt;"invalid",NOT(OR(AND(LEN(E62&amp;"")=10,LEFT(E62&amp;"",2)="09"),AND(LEN(E62&amp;"")=9,LEFT(E62&amp;"",1)="9")))),"mobile must be 09XXXXXXXX or status invalid; ","")&amp;IF(COUNTIFS($A$6:$A$505,A62,$B$6:$B$505,B62,$E$6:$E$505,E62)&gt;1,"duplicate number for same entity; ",""))))</x:f>
      </x:c>
    </x:row>
    <x:row r="63">
      <x:c r="A63" s="251"/>
      <x:c r="B63" s="252"/>
      <x:c r="C63" s="253"/>
      <x:c r="D63" s="253"/>
      <x:c r="E63" s="252"/>
      <x:c r="F63" s="252"/>
      <x:c r="G63" s="253"/>
      <x:c r="H63" s="253"/>
      <x:c r="I63" s="253"/>
      <x:c r="J63" s="253"/>
      <x:c r="K63" s="253"/>
      <x:c r="L63" s="253"/>
      <x:c r="M63" s="253" t="str">
        <x:f>IF(AND(A63="",B63="",E63=""),"",IF(OR(A63="",B63="",C63="",D63="",E63="",J63="",AND(A63="client",COUNTIF('الزبائن'!$A$6:$A$505,B63)=0),AND(A63="proposed_name",COUNTIF('أسماء مقترحة'!$A$6:$A$505,B63)=0),AND(D63="mobile",J63&lt;&gt;"invalid",NOT(OR(AND(LEN(E63&amp;"")=10,LEFT(E63&amp;"",2)="09"),AND(LEN(E63&amp;"")=9,LEFT(E63&amp;"",1)="9")))),COUNTIFS($A$6:$A$505,A63,$B$6:$B$505,B63,$E$6:$E$505,E63)&gt;1),"REVIEW","READY"))</x:f>
      </x:c>
      <x:c r="N63" s="255" t="str">
        <x:f>IF(M63="","",IF(M63="READY","",TRIM(IF(A63="","missing entity_type; ","")&amp;IF(B63="","missing entity_key; ","")&amp;IF(C63="","missing contact_order; ","")&amp;IF(D63="","missing contact_type; ","")&amp;IF(E63="","missing number; ","")&amp;IF(J63="","missing status; ","")&amp;IF(AND(A63="client",COUNTIF('الزبائن'!$A$6:$A$505,B63)=0),"client key not found; ","")&amp;IF(AND(A63="proposed_name",COUNTIF('أسماء مقترحة'!$A$6:$A$505,B63)=0),"proposed_name key not found; ","")&amp;IF(AND(D63="mobile",J63&lt;&gt;"invalid",NOT(OR(AND(LEN(E63&amp;"")=10,LEFT(E63&amp;"",2)="09"),AND(LEN(E63&amp;"")=9,LEFT(E63&amp;"",1)="9")))),"mobile must be 09XXXXXXXX or status invalid; ","")&amp;IF(COUNTIFS($A$6:$A$505,A63,$B$6:$B$505,B63,$E$6:$E$505,E63)&gt;1,"duplicate number for same entity; ",""))))</x:f>
      </x:c>
    </x:row>
    <x:row r="64">
      <x:c r="A64" s="251"/>
      <x:c r="B64" s="252"/>
      <x:c r="C64" s="253"/>
      <x:c r="D64" s="253"/>
      <x:c r="E64" s="252"/>
      <x:c r="F64" s="252"/>
      <x:c r="G64" s="253"/>
      <x:c r="H64" s="253"/>
      <x:c r="I64" s="253"/>
      <x:c r="J64" s="253"/>
      <x:c r="K64" s="253"/>
      <x:c r="L64" s="253"/>
      <x:c r="M64" s="253" t="str">
        <x:f>IF(AND(A64="",B64="",E64=""),"",IF(OR(A64="",B64="",C64="",D64="",E64="",J64="",AND(A64="client",COUNTIF('الزبائن'!$A$6:$A$505,B64)=0),AND(A64="proposed_name",COUNTIF('أسماء مقترحة'!$A$6:$A$505,B64)=0),AND(D64="mobile",J64&lt;&gt;"invalid",NOT(OR(AND(LEN(E64&amp;"")=10,LEFT(E64&amp;"",2)="09"),AND(LEN(E64&amp;"")=9,LEFT(E64&amp;"",1)="9")))),COUNTIFS($A$6:$A$505,A64,$B$6:$B$505,B64,$E$6:$E$505,E64)&gt;1),"REVIEW","READY"))</x:f>
      </x:c>
      <x:c r="N64" s="255" t="str">
        <x:f>IF(M64="","",IF(M64="READY","",TRIM(IF(A64="","missing entity_type; ","")&amp;IF(B64="","missing entity_key; ","")&amp;IF(C64="","missing contact_order; ","")&amp;IF(D64="","missing contact_type; ","")&amp;IF(E64="","missing number; ","")&amp;IF(J64="","missing status; ","")&amp;IF(AND(A64="client",COUNTIF('الزبائن'!$A$6:$A$505,B64)=0),"client key not found; ","")&amp;IF(AND(A64="proposed_name",COUNTIF('أسماء مقترحة'!$A$6:$A$505,B64)=0),"proposed_name key not found; ","")&amp;IF(AND(D64="mobile",J64&lt;&gt;"invalid",NOT(OR(AND(LEN(E64&amp;"")=10,LEFT(E64&amp;"",2)="09"),AND(LEN(E64&amp;"")=9,LEFT(E64&amp;"",1)="9")))),"mobile must be 09XXXXXXXX or status invalid; ","")&amp;IF(COUNTIFS($A$6:$A$505,A64,$B$6:$B$505,B64,$E$6:$E$505,E64)&gt;1,"duplicate number for same entity; ",""))))</x:f>
      </x:c>
    </x:row>
    <x:row r="65">
      <x:c r="A65" s="251"/>
      <x:c r="B65" s="252"/>
      <x:c r="C65" s="253"/>
      <x:c r="D65" s="253"/>
      <x:c r="E65" s="252"/>
      <x:c r="F65" s="252"/>
      <x:c r="G65" s="253"/>
      <x:c r="H65" s="253"/>
      <x:c r="I65" s="253"/>
      <x:c r="J65" s="253"/>
      <x:c r="K65" s="253"/>
      <x:c r="L65" s="253"/>
      <x:c r="M65" s="253" t="str">
        <x:f>IF(AND(A65="",B65="",E65=""),"",IF(OR(A65="",B65="",C65="",D65="",E65="",J65="",AND(A65="client",COUNTIF('الزبائن'!$A$6:$A$505,B65)=0),AND(A65="proposed_name",COUNTIF('أسماء مقترحة'!$A$6:$A$505,B65)=0),AND(D65="mobile",J65&lt;&gt;"invalid",NOT(OR(AND(LEN(E65&amp;"")=10,LEFT(E65&amp;"",2)="09"),AND(LEN(E65&amp;"")=9,LEFT(E65&amp;"",1)="9")))),COUNTIFS($A$6:$A$505,A65,$B$6:$B$505,B65,$E$6:$E$505,E65)&gt;1),"REVIEW","READY"))</x:f>
      </x:c>
      <x:c r="N65" s="255" t="str">
        <x:f>IF(M65="","",IF(M65="READY","",TRIM(IF(A65="","missing entity_type; ","")&amp;IF(B65="","missing entity_key; ","")&amp;IF(C65="","missing contact_order; ","")&amp;IF(D65="","missing contact_type; ","")&amp;IF(E65="","missing number; ","")&amp;IF(J65="","missing status; ","")&amp;IF(AND(A65="client",COUNTIF('الزبائن'!$A$6:$A$505,B65)=0),"client key not found; ","")&amp;IF(AND(A65="proposed_name",COUNTIF('أسماء مقترحة'!$A$6:$A$505,B65)=0),"proposed_name key not found; ","")&amp;IF(AND(D65="mobile",J65&lt;&gt;"invalid",NOT(OR(AND(LEN(E65&amp;"")=10,LEFT(E65&amp;"",2)="09"),AND(LEN(E65&amp;"")=9,LEFT(E65&amp;"",1)="9")))),"mobile must be 09XXXXXXXX or status invalid; ","")&amp;IF(COUNTIFS($A$6:$A$505,A65,$B$6:$B$505,B65,$E$6:$E$505,E65)&gt;1,"duplicate number for same entity; ",""))))</x:f>
      </x:c>
    </x:row>
    <x:row r="66">
      <x:c r="A66" s="251"/>
      <x:c r="B66" s="252"/>
      <x:c r="C66" s="253"/>
      <x:c r="D66" s="253"/>
      <x:c r="E66" s="252"/>
      <x:c r="F66" s="252"/>
      <x:c r="G66" s="253"/>
      <x:c r="H66" s="253"/>
      <x:c r="I66" s="253"/>
      <x:c r="J66" s="253"/>
      <x:c r="K66" s="253"/>
      <x:c r="L66" s="253"/>
      <x:c r="M66" s="253" t="str">
        <x:f>IF(AND(A66="",B66="",E66=""),"",IF(OR(A66="",B66="",C66="",D66="",E66="",J66="",AND(A66="client",COUNTIF('الزبائن'!$A$6:$A$505,B66)=0),AND(A66="proposed_name",COUNTIF('أسماء مقترحة'!$A$6:$A$505,B66)=0),AND(D66="mobile",J66&lt;&gt;"invalid",NOT(OR(AND(LEN(E66&amp;"")=10,LEFT(E66&amp;"",2)="09"),AND(LEN(E66&amp;"")=9,LEFT(E66&amp;"",1)="9")))),COUNTIFS($A$6:$A$505,A66,$B$6:$B$505,B66,$E$6:$E$505,E66)&gt;1),"REVIEW","READY"))</x:f>
      </x:c>
      <x:c r="N66" s="255" t="str">
        <x:f>IF(M66="","",IF(M66="READY","",TRIM(IF(A66="","missing entity_type; ","")&amp;IF(B66="","missing entity_key; ","")&amp;IF(C66="","missing contact_order; ","")&amp;IF(D66="","missing contact_type; ","")&amp;IF(E66="","missing number; ","")&amp;IF(J66="","missing status; ","")&amp;IF(AND(A66="client",COUNTIF('الزبائن'!$A$6:$A$505,B66)=0),"client key not found; ","")&amp;IF(AND(A66="proposed_name",COUNTIF('أسماء مقترحة'!$A$6:$A$505,B66)=0),"proposed_name key not found; ","")&amp;IF(AND(D66="mobile",J66&lt;&gt;"invalid",NOT(OR(AND(LEN(E66&amp;"")=10,LEFT(E66&amp;"",2)="09"),AND(LEN(E66&amp;"")=9,LEFT(E66&amp;"",1)="9")))),"mobile must be 09XXXXXXXX or status invalid; ","")&amp;IF(COUNTIFS($A$6:$A$505,A66,$B$6:$B$505,B66,$E$6:$E$505,E66)&gt;1,"duplicate number for same entity; ",""))))</x:f>
      </x:c>
    </x:row>
    <x:row r="67">
      <x:c r="A67" s="251"/>
      <x:c r="B67" s="252"/>
      <x:c r="C67" s="253"/>
      <x:c r="D67" s="253"/>
      <x:c r="E67" s="252"/>
      <x:c r="F67" s="252"/>
      <x:c r="G67" s="253"/>
      <x:c r="H67" s="253"/>
      <x:c r="I67" s="253"/>
      <x:c r="J67" s="253"/>
      <x:c r="K67" s="253"/>
      <x:c r="L67" s="253"/>
      <x:c r="M67" s="253" t="str">
        <x:f>IF(AND(A67="",B67="",E67=""),"",IF(OR(A67="",B67="",C67="",D67="",E67="",J67="",AND(A67="client",COUNTIF('الزبائن'!$A$6:$A$505,B67)=0),AND(A67="proposed_name",COUNTIF('أسماء مقترحة'!$A$6:$A$505,B67)=0),AND(D67="mobile",J67&lt;&gt;"invalid",NOT(OR(AND(LEN(E67&amp;"")=10,LEFT(E67&amp;"",2)="09"),AND(LEN(E67&amp;"")=9,LEFT(E67&amp;"",1)="9")))),COUNTIFS($A$6:$A$505,A67,$B$6:$B$505,B67,$E$6:$E$505,E67)&gt;1),"REVIEW","READY"))</x:f>
      </x:c>
      <x:c r="N67" s="255" t="str">
        <x:f>IF(M67="","",IF(M67="READY","",TRIM(IF(A67="","missing entity_type; ","")&amp;IF(B67="","missing entity_key; ","")&amp;IF(C67="","missing contact_order; ","")&amp;IF(D67="","missing contact_type; ","")&amp;IF(E67="","missing number; ","")&amp;IF(J67="","missing status; ","")&amp;IF(AND(A67="client",COUNTIF('الزبائن'!$A$6:$A$505,B67)=0),"client key not found; ","")&amp;IF(AND(A67="proposed_name",COUNTIF('أسماء مقترحة'!$A$6:$A$505,B67)=0),"proposed_name key not found; ","")&amp;IF(AND(D67="mobile",J67&lt;&gt;"invalid",NOT(OR(AND(LEN(E67&amp;"")=10,LEFT(E67&amp;"",2)="09"),AND(LEN(E67&amp;"")=9,LEFT(E67&amp;"",1)="9")))),"mobile must be 09XXXXXXXX or status invalid; ","")&amp;IF(COUNTIFS($A$6:$A$505,A67,$B$6:$B$505,B67,$E$6:$E$505,E67)&gt;1,"duplicate number for same entity; ",""))))</x:f>
      </x:c>
    </x:row>
    <x:row r="68">
      <x:c r="A68" s="251"/>
      <x:c r="B68" s="252"/>
      <x:c r="C68" s="253"/>
      <x:c r="D68" s="253"/>
      <x:c r="E68" s="252"/>
      <x:c r="F68" s="252"/>
      <x:c r="G68" s="253"/>
      <x:c r="H68" s="253"/>
      <x:c r="I68" s="253"/>
      <x:c r="J68" s="253"/>
      <x:c r="K68" s="253"/>
      <x:c r="L68" s="253"/>
      <x:c r="M68" s="253" t="str">
        <x:f>IF(AND(A68="",B68="",E68=""),"",IF(OR(A68="",B68="",C68="",D68="",E68="",J68="",AND(A68="client",COUNTIF('الزبائن'!$A$6:$A$505,B68)=0),AND(A68="proposed_name",COUNTIF('أسماء مقترحة'!$A$6:$A$505,B68)=0),AND(D68="mobile",J68&lt;&gt;"invalid",NOT(OR(AND(LEN(E68&amp;"")=10,LEFT(E68&amp;"",2)="09"),AND(LEN(E68&amp;"")=9,LEFT(E68&amp;"",1)="9")))),COUNTIFS($A$6:$A$505,A68,$B$6:$B$505,B68,$E$6:$E$505,E68)&gt;1),"REVIEW","READY"))</x:f>
      </x:c>
      <x:c r="N68" s="255" t="str">
        <x:f>IF(M68="","",IF(M68="READY","",TRIM(IF(A68="","missing entity_type; ","")&amp;IF(B68="","missing entity_key; ","")&amp;IF(C68="","missing contact_order; ","")&amp;IF(D68="","missing contact_type; ","")&amp;IF(E68="","missing number; ","")&amp;IF(J68="","missing status; ","")&amp;IF(AND(A68="client",COUNTIF('الزبائن'!$A$6:$A$505,B68)=0),"client key not found; ","")&amp;IF(AND(A68="proposed_name",COUNTIF('أسماء مقترحة'!$A$6:$A$505,B68)=0),"proposed_name key not found; ","")&amp;IF(AND(D68="mobile",J68&lt;&gt;"invalid",NOT(OR(AND(LEN(E68&amp;"")=10,LEFT(E68&amp;"",2)="09"),AND(LEN(E68&amp;"")=9,LEFT(E68&amp;"",1)="9")))),"mobile must be 09XXXXXXXX or status invalid; ","")&amp;IF(COUNTIFS($A$6:$A$505,A68,$B$6:$B$505,B68,$E$6:$E$505,E68)&gt;1,"duplicate number for same entity; ",""))))</x:f>
      </x:c>
    </x:row>
    <x:row r="69">
      <x:c r="A69" s="251"/>
      <x:c r="B69" s="252"/>
      <x:c r="C69" s="253"/>
      <x:c r="D69" s="253"/>
      <x:c r="E69" s="252"/>
      <x:c r="F69" s="252"/>
      <x:c r="G69" s="253"/>
      <x:c r="H69" s="253"/>
      <x:c r="I69" s="253"/>
      <x:c r="J69" s="253"/>
      <x:c r="K69" s="253"/>
      <x:c r="L69" s="253"/>
      <x:c r="M69" s="253" t="str">
        <x:f>IF(AND(A69="",B69="",E69=""),"",IF(OR(A69="",B69="",C69="",D69="",E69="",J69="",AND(A69="client",COUNTIF('الزبائن'!$A$6:$A$505,B69)=0),AND(A69="proposed_name",COUNTIF('أسماء مقترحة'!$A$6:$A$505,B69)=0),AND(D69="mobile",J69&lt;&gt;"invalid",NOT(OR(AND(LEN(E69&amp;"")=10,LEFT(E69&amp;"",2)="09"),AND(LEN(E69&amp;"")=9,LEFT(E69&amp;"",1)="9")))),COUNTIFS($A$6:$A$505,A69,$B$6:$B$505,B69,$E$6:$E$505,E69)&gt;1),"REVIEW","READY"))</x:f>
      </x:c>
      <x:c r="N69" s="255" t="str">
        <x:f>IF(M69="","",IF(M69="READY","",TRIM(IF(A69="","missing entity_type; ","")&amp;IF(B69="","missing entity_key; ","")&amp;IF(C69="","missing contact_order; ","")&amp;IF(D69="","missing contact_type; ","")&amp;IF(E69="","missing number; ","")&amp;IF(J69="","missing status; ","")&amp;IF(AND(A69="client",COUNTIF('الزبائن'!$A$6:$A$505,B69)=0),"client key not found; ","")&amp;IF(AND(A69="proposed_name",COUNTIF('أسماء مقترحة'!$A$6:$A$505,B69)=0),"proposed_name key not found; ","")&amp;IF(AND(D69="mobile",J69&lt;&gt;"invalid",NOT(OR(AND(LEN(E69&amp;"")=10,LEFT(E69&amp;"",2)="09"),AND(LEN(E69&amp;"")=9,LEFT(E69&amp;"",1)="9")))),"mobile must be 09XXXXXXXX or status invalid; ","")&amp;IF(COUNTIFS($A$6:$A$505,A69,$B$6:$B$505,B69,$E$6:$E$505,E69)&gt;1,"duplicate number for same entity; ",""))))</x:f>
      </x:c>
    </x:row>
    <x:row r="70">
      <x:c r="A70" s="251"/>
      <x:c r="B70" s="252"/>
      <x:c r="C70" s="253"/>
      <x:c r="D70" s="253"/>
      <x:c r="E70" s="252"/>
      <x:c r="F70" s="252"/>
      <x:c r="G70" s="253"/>
      <x:c r="H70" s="253"/>
      <x:c r="I70" s="253"/>
      <x:c r="J70" s="253"/>
      <x:c r="K70" s="253"/>
      <x:c r="L70" s="253"/>
      <x:c r="M70" s="253" t="str">
        <x:f>IF(AND(A70="",B70="",E70=""),"",IF(OR(A70="",B70="",C70="",D70="",E70="",J70="",AND(A70="client",COUNTIF('الزبائن'!$A$6:$A$505,B70)=0),AND(A70="proposed_name",COUNTIF('أسماء مقترحة'!$A$6:$A$505,B70)=0),AND(D70="mobile",J70&lt;&gt;"invalid",NOT(OR(AND(LEN(E70&amp;"")=10,LEFT(E70&amp;"",2)="09"),AND(LEN(E70&amp;"")=9,LEFT(E70&amp;"",1)="9")))),COUNTIFS($A$6:$A$505,A70,$B$6:$B$505,B70,$E$6:$E$505,E70)&gt;1),"REVIEW","READY"))</x:f>
      </x:c>
      <x:c r="N70" s="255" t="str">
        <x:f>IF(M70="","",IF(M70="READY","",TRIM(IF(A70="","missing entity_type; ","")&amp;IF(B70="","missing entity_key; ","")&amp;IF(C70="","missing contact_order; ","")&amp;IF(D70="","missing contact_type; ","")&amp;IF(E70="","missing number; ","")&amp;IF(J70="","missing status; ","")&amp;IF(AND(A70="client",COUNTIF('الزبائن'!$A$6:$A$505,B70)=0),"client key not found; ","")&amp;IF(AND(A70="proposed_name",COUNTIF('أسماء مقترحة'!$A$6:$A$505,B70)=0),"proposed_name key not found; ","")&amp;IF(AND(D70="mobile",J70&lt;&gt;"invalid",NOT(OR(AND(LEN(E70&amp;"")=10,LEFT(E70&amp;"",2)="09"),AND(LEN(E70&amp;"")=9,LEFT(E70&amp;"",1)="9")))),"mobile must be 09XXXXXXXX or status invalid; ","")&amp;IF(COUNTIFS($A$6:$A$505,A70,$B$6:$B$505,B70,$E$6:$E$505,E70)&gt;1,"duplicate number for same entity; ",""))))</x:f>
      </x:c>
    </x:row>
    <x:row r="71">
      <x:c r="A71" s="251"/>
      <x:c r="B71" s="252"/>
      <x:c r="C71" s="253"/>
      <x:c r="D71" s="253"/>
      <x:c r="E71" s="252"/>
      <x:c r="F71" s="252"/>
      <x:c r="G71" s="253"/>
      <x:c r="H71" s="253"/>
      <x:c r="I71" s="253"/>
      <x:c r="J71" s="253"/>
      <x:c r="K71" s="253"/>
      <x:c r="L71" s="253"/>
      <x:c r="M71" s="253" t="str">
        <x:f>IF(AND(A71="",B71="",E71=""),"",IF(OR(A71="",B71="",C71="",D71="",E71="",J71="",AND(A71="client",COUNTIF('الزبائن'!$A$6:$A$505,B71)=0),AND(A71="proposed_name",COUNTIF('أسماء مقترحة'!$A$6:$A$505,B71)=0),AND(D71="mobile",J71&lt;&gt;"invalid",NOT(OR(AND(LEN(E71&amp;"")=10,LEFT(E71&amp;"",2)="09"),AND(LEN(E71&amp;"")=9,LEFT(E71&amp;"",1)="9")))),COUNTIFS($A$6:$A$505,A71,$B$6:$B$505,B71,$E$6:$E$505,E71)&gt;1),"REVIEW","READY"))</x:f>
      </x:c>
      <x:c r="N71" s="255" t="str">
        <x:f>IF(M71="","",IF(M71="READY","",TRIM(IF(A71="","missing entity_type; ","")&amp;IF(B71="","missing entity_key; ","")&amp;IF(C71="","missing contact_order; ","")&amp;IF(D71="","missing contact_type; ","")&amp;IF(E71="","missing number; ","")&amp;IF(J71="","missing status; ","")&amp;IF(AND(A71="client",COUNTIF('الزبائن'!$A$6:$A$505,B71)=0),"client key not found; ","")&amp;IF(AND(A71="proposed_name",COUNTIF('أسماء مقترحة'!$A$6:$A$505,B71)=0),"proposed_name key not found; ","")&amp;IF(AND(D71="mobile",J71&lt;&gt;"invalid",NOT(OR(AND(LEN(E71&amp;"")=10,LEFT(E71&amp;"",2)="09"),AND(LEN(E71&amp;"")=9,LEFT(E71&amp;"",1)="9")))),"mobile must be 09XXXXXXXX or status invalid; ","")&amp;IF(COUNTIFS($A$6:$A$505,A71,$B$6:$B$505,B71,$E$6:$E$505,E71)&gt;1,"duplicate number for same entity; ",""))))</x:f>
      </x:c>
    </x:row>
    <x:row r="72">
      <x:c r="A72" s="251"/>
      <x:c r="B72" s="252"/>
      <x:c r="C72" s="253"/>
      <x:c r="D72" s="253"/>
      <x:c r="E72" s="252"/>
      <x:c r="F72" s="252"/>
      <x:c r="G72" s="253"/>
      <x:c r="H72" s="253"/>
      <x:c r="I72" s="253"/>
      <x:c r="J72" s="253"/>
      <x:c r="K72" s="253"/>
      <x:c r="L72" s="253"/>
      <x:c r="M72" s="253" t="str">
        <x:f>IF(AND(A72="",B72="",E72=""),"",IF(OR(A72="",B72="",C72="",D72="",E72="",J72="",AND(A72="client",COUNTIF('الزبائن'!$A$6:$A$505,B72)=0),AND(A72="proposed_name",COUNTIF('أسماء مقترحة'!$A$6:$A$505,B72)=0),AND(D72="mobile",J72&lt;&gt;"invalid",NOT(OR(AND(LEN(E72&amp;"")=10,LEFT(E72&amp;"",2)="09"),AND(LEN(E72&amp;"")=9,LEFT(E72&amp;"",1)="9")))),COUNTIFS($A$6:$A$505,A72,$B$6:$B$505,B72,$E$6:$E$505,E72)&gt;1),"REVIEW","READY"))</x:f>
      </x:c>
      <x:c r="N72" s="255" t="str">
        <x:f>IF(M72="","",IF(M72="READY","",TRIM(IF(A72="","missing entity_type; ","")&amp;IF(B72="","missing entity_key; ","")&amp;IF(C72="","missing contact_order; ","")&amp;IF(D72="","missing contact_type; ","")&amp;IF(E72="","missing number; ","")&amp;IF(J72="","missing status; ","")&amp;IF(AND(A72="client",COUNTIF('الزبائن'!$A$6:$A$505,B72)=0),"client key not found; ","")&amp;IF(AND(A72="proposed_name",COUNTIF('أسماء مقترحة'!$A$6:$A$505,B72)=0),"proposed_name key not found; ","")&amp;IF(AND(D72="mobile",J72&lt;&gt;"invalid",NOT(OR(AND(LEN(E72&amp;"")=10,LEFT(E72&amp;"",2)="09"),AND(LEN(E72&amp;"")=9,LEFT(E72&amp;"",1)="9")))),"mobile must be 09XXXXXXXX or status invalid; ","")&amp;IF(COUNTIFS($A$6:$A$505,A72,$B$6:$B$505,B72,$E$6:$E$505,E72)&gt;1,"duplicate number for same entity; ",""))))</x:f>
      </x:c>
    </x:row>
    <x:row r="73">
      <x:c r="A73" s="251"/>
      <x:c r="B73" s="252"/>
      <x:c r="C73" s="253"/>
      <x:c r="D73" s="253"/>
      <x:c r="E73" s="252"/>
      <x:c r="F73" s="252"/>
      <x:c r="G73" s="253"/>
      <x:c r="H73" s="253"/>
      <x:c r="I73" s="253"/>
      <x:c r="J73" s="253"/>
      <x:c r="K73" s="253"/>
      <x:c r="L73" s="253"/>
      <x:c r="M73" s="253" t="str">
        <x:f>IF(AND(A73="",B73="",E73=""),"",IF(OR(A73="",B73="",C73="",D73="",E73="",J73="",AND(A73="client",COUNTIF('الزبائن'!$A$6:$A$505,B73)=0),AND(A73="proposed_name",COUNTIF('أسماء مقترحة'!$A$6:$A$505,B73)=0),AND(D73="mobile",J73&lt;&gt;"invalid",NOT(OR(AND(LEN(E73&amp;"")=10,LEFT(E73&amp;"",2)="09"),AND(LEN(E73&amp;"")=9,LEFT(E73&amp;"",1)="9")))),COUNTIFS($A$6:$A$505,A73,$B$6:$B$505,B73,$E$6:$E$505,E73)&gt;1),"REVIEW","READY"))</x:f>
      </x:c>
      <x:c r="N73" s="255" t="str">
        <x:f>IF(M73="","",IF(M73="READY","",TRIM(IF(A73="","missing entity_type; ","")&amp;IF(B73="","missing entity_key; ","")&amp;IF(C73="","missing contact_order; ","")&amp;IF(D73="","missing contact_type; ","")&amp;IF(E73="","missing number; ","")&amp;IF(J73="","missing status; ","")&amp;IF(AND(A73="client",COUNTIF('الزبائن'!$A$6:$A$505,B73)=0),"client key not found; ","")&amp;IF(AND(A73="proposed_name",COUNTIF('أسماء مقترحة'!$A$6:$A$505,B73)=0),"proposed_name key not found; ","")&amp;IF(AND(D73="mobile",J73&lt;&gt;"invalid",NOT(OR(AND(LEN(E73&amp;"")=10,LEFT(E73&amp;"",2)="09"),AND(LEN(E73&amp;"")=9,LEFT(E73&amp;"",1)="9")))),"mobile must be 09XXXXXXXX or status invalid; ","")&amp;IF(COUNTIFS($A$6:$A$505,A73,$B$6:$B$505,B73,$E$6:$E$505,E73)&gt;1,"duplicate number for same entity; ",""))))</x:f>
      </x:c>
    </x:row>
    <x:row r="74">
      <x:c r="A74" s="251"/>
      <x:c r="B74" s="252"/>
      <x:c r="C74" s="253"/>
      <x:c r="D74" s="253"/>
      <x:c r="E74" s="252"/>
      <x:c r="F74" s="252"/>
      <x:c r="G74" s="253"/>
      <x:c r="H74" s="253"/>
      <x:c r="I74" s="253"/>
      <x:c r="J74" s="253"/>
      <x:c r="K74" s="253"/>
      <x:c r="L74" s="253"/>
      <x:c r="M74" s="253" t="str">
        <x:f>IF(AND(A74="",B74="",E74=""),"",IF(OR(A74="",B74="",C74="",D74="",E74="",J74="",AND(A74="client",COUNTIF('الزبائن'!$A$6:$A$505,B74)=0),AND(A74="proposed_name",COUNTIF('أسماء مقترحة'!$A$6:$A$505,B74)=0),AND(D74="mobile",J74&lt;&gt;"invalid",NOT(OR(AND(LEN(E74&amp;"")=10,LEFT(E74&amp;"",2)="09"),AND(LEN(E74&amp;"")=9,LEFT(E74&amp;"",1)="9")))),COUNTIFS($A$6:$A$505,A74,$B$6:$B$505,B74,$E$6:$E$505,E74)&gt;1),"REVIEW","READY"))</x:f>
      </x:c>
      <x:c r="N74" s="255" t="str">
        <x:f>IF(M74="","",IF(M74="READY","",TRIM(IF(A74="","missing entity_type; ","")&amp;IF(B74="","missing entity_key; ","")&amp;IF(C74="","missing contact_order; ","")&amp;IF(D74="","missing contact_type; ","")&amp;IF(E74="","missing number; ","")&amp;IF(J74="","missing status; ","")&amp;IF(AND(A74="client",COUNTIF('الزبائن'!$A$6:$A$505,B74)=0),"client key not found; ","")&amp;IF(AND(A74="proposed_name",COUNTIF('أسماء مقترحة'!$A$6:$A$505,B74)=0),"proposed_name key not found; ","")&amp;IF(AND(D74="mobile",J74&lt;&gt;"invalid",NOT(OR(AND(LEN(E74&amp;"")=10,LEFT(E74&amp;"",2)="09"),AND(LEN(E74&amp;"")=9,LEFT(E74&amp;"",1)="9")))),"mobile must be 09XXXXXXXX or status invalid; ","")&amp;IF(COUNTIFS($A$6:$A$505,A74,$B$6:$B$505,B74,$E$6:$E$505,E74)&gt;1,"duplicate number for same entity; ",""))))</x:f>
      </x:c>
    </x:row>
    <x:row r="75">
      <x:c r="A75" s="251"/>
      <x:c r="B75" s="252"/>
      <x:c r="C75" s="253"/>
      <x:c r="D75" s="253"/>
      <x:c r="E75" s="252"/>
      <x:c r="F75" s="252"/>
      <x:c r="G75" s="253"/>
      <x:c r="H75" s="253"/>
      <x:c r="I75" s="253"/>
      <x:c r="J75" s="253"/>
      <x:c r="K75" s="253"/>
      <x:c r="L75" s="253"/>
      <x:c r="M75" s="253" t="str">
        <x:f>IF(AND(A75="",B75="",E75=""),"",IF(OR(A75="",B75="",C75="",D75="",E75="",J75="",AND(A75="client",COUNTIF('الزبائن'!$A$6:$A$505,B75)=0),AND(A75="proposed_name",COUNTIF('أسماء مقترحة'!$A$6:$A$505,B75)=0),AND(D75="mobile",J75&lt;&gt;"invalid",NOT(OR(AND(LEN(E75&amp;"")=10,LEFT(E75&amp;"",2)="09"),AND(LEN(E75&amp;"")=9,LEFT(E75&amp;"",1)="9")))),COUNTIFS($A$6:$A$505,A75,$B$6:$B$505,B75,$E$6:$E$505,E75)&gt;1),"REVIEW","READY"))</x:f>
      </x:c>
      <x:c r="N75" s="255" t="str">
        <x:f>IF(M75="","",IF(M75="READY","",TRIM(IF(A75="","missing entity_type; ","")&amp;IF(B75="","missing entity_key; ","")&amp;IF(C75="","missing contact_order; ","")&amp;IF(D75="","missing contact_type; ","")&amp;IF(E75="","missing number; ","")&amp;IF(J75="","missing status; ","")&amp;IF(AND(A75="client",COUNTIF('الزبائن'!$A$6:$A$505,B75)=0),"client key not found; ","")&amp;IF(AND(A75="proposed_name",COUNTIF('أسماء مقترحة'!$A$6:$A$505,B75)=0),"proposed_name key not found; ","")&amp;IF(AND(D75="mobile",J75&lt;&gt;"invalid",NOT(OR(AND(LEN(E75&amp;"")=10,LEFT(E75&amp;"",2)="09"),AND(LEN(E75&amp;"")=9,LEFT(E75&amp;"",1)="9")))),"mobile must be 09XXXXXXXX or status invalid; ","")&amp;IF(COUNTIFS($A$6:$A$505,A75,$B$6:$B$505,B75,$E$6:$E$505,E75)&gt;1,"duplicate number for same entity; ",""))))</x:f>
      </x:c>
    </x:row>
    <x:row r="76">
      <x:c r="A76" s="251"/>
      <x:c r="B76" s="252"/>
      <x:c r="C76" s="253"/>
      <x:c r="D76" s="253"/>
      <x:c r="E76" s="252"/>
      <x:c r="F76" s="252"/>
      <x:c r="G76" s="253"/>
      <x:c r="H76" s="253"/>
      <x:c r="I76" s="253"/>
      <x:c r="J76" s="253"/>
      <x:c r="K76" s="253"/>
      <x:c r="L76" s="253"/>
      <x:c r="M76" s="253" t="str">
        <x:f>IF(AND(A76="",B76="",E76=""),"",IF(OR(A76="",B76="",C76="",D76="",E76="",J76="",AND(A76="client",COUNTIF('الزبائن'!$A$6:$A$505,B76)=0),AND(A76="proposed_name",COUNTIF('أسماء مقترحة'!$A$6:$A$505,B76)=0),AND(D76="mobile",J76&lt;&gt;"invalid",NOT(OR(AND(LEN(E76&amp;"")=10,LEFT(E76&amp;"",2)="09"),AND(LEN(E76&amp;"")=9,LEFT(E76&amp;"",1)="9")))),COUNTIFS($A$6:$A$505,A76,$B$6:$B$505,B76,$E$6:$E$505,E76)&gt;1),"REVIEW","READY"))</x:f>
      </x:c>
      <x:c r="N76" s="255" t="str">
        <x:f>IF(M76="","",IF(M76="READY","",TRIM(IF(A76="","missing entity_type; ","")&amp;IF(B76="","missing entity_key; ","")&amp;IF(C76="","missing contact_order; ","")&amp;IF(D76="","missing contact_type; ","")&amp;IF(E76="","missing number; ","")&amp;IF(J76="","missing status; ","")&amp;IF(AND(A76="client",COUNTIF('الزبائن'!$A$6:$A$505,B76)=0),"client key not found; ","")&amp;IF(AND(A76="proposed_name",COUNTIF('أسماء مقترحة'!$A$6:$A$505,B76)=0),"proposed_name key not found; ","")&amp;IF(AND(D76="mobile",J76&lt;&gt;"invalid",NOT(OR(AND(LEN(E76&amp;"")=10,LEFT(E76&amp;"",2)="09"),AND(LEN(E76&amp;"")=9,LEFT(E76&amp;"",1)="9")))),"mobile must be 09XXXXXXXX or status invalid; ","")&amp;IF(COUNTIFS($A$6:$A$505,A76,$B$6:$B$505,B76,$E$6:$E$505,E76)&gt;1,"duplicate number for same entity; ",""))))</x:f>
      </x:c>
    </x:row>
    <x:row r="77">
      <x:c r="A77" s="251"/>
      <x:c r="B77" s="252"/>
      <x:c r="C77" s="253"/>
      <x:c r="D77" s="253"/>
      <x:c r="E77" s="252"/>
      <x:c r="F77" s="252"/>
      <x:c r="G77" s="253"/>
      <x:c r="H77" s="253"/>
      <x:c r="I77" s="253"/>
      <x:c r="J77" s="253"/>
      <x:c r="K77" s="253"/>
      <x:c r="L77" s="253"/>
      <x:c r="M77" s="253" t="str">
        <x:f>IF(AND(A77="",B77="",E77=""),"",IF(OR(A77="",B77="",C77="",D77="",E77="",J77="",AND(A77="client",COUNTIF('الزبائن'!$A$6:$A$505,B77)=0),AND(A77="proposed_name",COUNTIF('أسماء مقترحة'!$A$6:$A$505,B77)=0),AND(D77="mobile",J77&lt;&gt;"invalid",NOT(OR(AND(LEN(E77&amp;"")=10,LEFT(E77&amp;"",2)="09"),AND(LEN(E77&amp;"")=9,LEFT(E77&amp;"",1)="9")))),COUNTIFS($A$6:$A$505,A77,$B$6:$B$505,B77,$E$6:$E$505,E77)&gt;1),"REVIEW","READY"))</x:f>
      </x:c>
      <x:c r="N77" s="255" t="str">
        <x:f>IF(M77="","",IF(M77="READY","",TRIM(IF(A77="","missing entity_type; ","")&amp;IF(B77="","missing entity_key; ","")&amp;IF(C77="","missing contact_order; ","")&amp;IF(D77="","missing contact_type; ","")&amp;IF(E77="","missing number; ","")&amp;IF(J77="","missing status; ","")&amp;IF(AND(A77="client",COUNTIF('الزبائن'!$A$6:$A$505,B77)=0),"client key not found; ","")&amp;IF(AND(A77="proposed_name",COUNTIF('أسماء مقترحة'!$A$6:$A$505,B77)=0),"proposed_name key not found; ","")&amp;IF(AND(D77="mobile",J77&lt;&gt;"invalid",NOT(OR(AND(LEN(E77&amp;"")=10,LEFT(E77&amp;"",2)="09"),AND(LEN(E77&amp;"")=9,LEFT(E77&amp;"",1)="9")))),"mobile must be 09XXXXXXXX or status invalid; ","")&amp;IF(COUNTIFS($A$6:$A$505,A77,$B$6:$B$505,B77,$E$6:$E$505,E77)&gt;1,"duplicate number for same entity; ",""))))</x:f>
      </x:c>
    </x:row>
    <x:row r="78">
      <x:c r="A78" s="251"/>
      <x:c r="B78" s="252"/>
      <x:c r="C78" s="253"/>
      <x:c r="D78" s="253"/>
      <x:c r="E78" s="252"/>
      <x:c r="F78" s="252"/>
      <x:c r="G78" s="253"/>
      <x:c r="H78" s="253"/>
      <x:c r="I78" s="253"/>
      <x:c r="J78" s="253"/>
      <x:c r="K78" s="253"/>
      <x:c r="L78" s="253"/>
      <x:c r="M78" s="253" t="str">
        <x:f>IF(AND(A78="",B78="",E78=""),"",IF(OR(A78="",B78="",C78="",D78="",E78="",J78="",AND(A78="client",COUNTIF('الزبائن'!$A$6:$A$505,B78)=0),AND(A78="proposed_name",COUNTIF('أسماء مقترحة'!$A$6:$A$505,B78)=0),AND(D78="mobile",J78&lt;&gt;"invalid",NOT(OR(AND(LEN(E78&amp;"")=10,LEFT(E78&amp;"",2)="09"),AND(LEN(E78&amp;"")=9,LEFT(E78&amp;"",1)="9")))),COUNTIFS($A$6:$A$505,A78,$B$6:$B$505,B78,$E$6:$E$505,E78)&gt;1),"REVIEW","READY"))</x:f>
      </x:c>
      <x:c r="N78" s="255" t="str">
        <x:f>IF(M78="","",IF(M78="READY","",TRIM(IF(A78="","missing entity_type; ","")&amp;IF(B78="","missing entity_key; ","")&amp;IF(C78="","missing contact_order; ","")&amp;IF(D78="","missing contact_type; ","")&amp;IF(E78="","missing number; ","")&amp;IF(J78="","missing status; ","")&amp;IF(AND(A78="client",COUNTIF('الزبائن'!$A$6:$A$505,B78)=0),"client key not found; ","")&amp;IF(AND(A78="proposed_name",COUNTIF('أسماء مقترحة'!$A$6:$A$505,B78)=0),"proposed_name key not found; ","")&amp;IF(AND(D78="mobile",J78&lt;&gt;"invalid",NOT(OR(AND(LEN(E78&amp;"")=10,LEFT(E78&amp;"",2)="09"),AND(LEN(E78&amp;"")=9,LEFT(E78&amp;"",1)="9")))),"mobile must be 09XXXXXXXX or status invalid; ","")&amp;IF(COUNTIFS($A$6:$A$505,A78,$B$6:$B$505,B78,$E$6:$E$505,E78)&gt;1,"duplicate number for same entity; ",""))))</x:f>
      </x:c>
    </x:row>
    <x:row r="79">
      <x:c r="A79" s="251"/>
      <x:c r="B79" s="252"/>
      <x:c r="C79" s="253"/>
      <x:c r="D79" s="253"/>
      <x:c r="E79" s="252"/>
      <x:c r="F79" s="252"/>
      <x:c r="G79" s="253"/>
      <x:c r="H79" s="253"/>
      <x:c r="I79" s="253"/>
      <x:c r="J79" s="253"/>
      <x:c r="K79" s="253"/>
      <x:c r="L79" s="253"/>
      <x:c r="M79" s="253" t="str">
        <x:f>IF(AND(A79="",B79="",E79=""),"",IF(OR(A79="",B79="",C79="",D79="",E79="",J79="",AND(A79="client",COUNTIF('الزبائن'!$A$6:$A$505,B79)=0),AND(A79="proposed_name",COUNTIF('أسماء مقترحة'!$A$6:$A$505,B79)=0),AND(D79="mobile",J79&lt;&gt;"invalid",NOT(OR(AND(LEN(E79&amp;"")=10,LEFT(E79&amp;"",2)="09"),AND(LEN(E79&amp;"")=9,LEFT(E79&amp;"",1)="9")))),COUNTIFS($A$6:$A$505,A79,$B$6:$B$505,B79,$E$6:$E$505,E79)&gt;1),"REVIEW","READY"))</x:f>
      </x:c>
      <x:c r="N79" s="255" t="str">
        <x:f>IF(M79="","",IF(M79="READY","",TRIM(IF(A79="","missing entity_type; ","")&amp;IF(B79="","missing entity_key; ","")&amp;IF(C79="","missing contact_order; ","")&amp;IF(D79="","missing contact_type; ","")&amp;IF(E79="","missing number; ","")&amp;IF(J79="","missing status; ","")&amp;IF(AND(A79="client",COUNTIF('الزبائن'!$A$6:$A$505,B79)=0),"client key not found; ","")&amp;IF(AND(A79="proposed_name",COUNTIF('أسماء مقترحة'!$A$6:$A$505,B79)=0),"proposed_name key not found; ","")&amp;IF(AND(D79="mobile",J79&lt;&gt;"invalid",NOT(OR(AND(LEN(E79&amp;"")=10,LEFT(E79&amp;"",2)="09"),AND(LEN(E79&amp;"")=9,LEFT(E79&amp;"",1)="9")))),"mobile must be 09XXXXXXXX or status invalid; ","")&amp;IF(COUNTIFS($A$6:$A$505,A79,$B$6:$B$505,B79,$E$6:$E$505,E79)&gt;1,"duplicate number for same entity; ",""))))</x:f>
      </x:c>
    </x:row>
    <x:row r="80">
      <x:c r="A80" s="251"/>
      <x:c r="B80" s="252"/>
      <x:c r="C80" s="253"/>
      <x:c r="D80" s="253"/>
      <x:c r="E80" s="252"/>
      <x:c r="F80" s="252"/>
      <x:c r="G80" s="253"/>
      <x:c r="H80" s="253"/>
      <x:c r="I80" s="253"/>
      <x:c r="J80" s="253"/>
      <x:c r="K80" s="253"/>
      <x:c r="L80" s="253"/>
      <x:c r="M80" s="253" t="str">
        <x:f>IF(AND(A80="",B80="",E80=""),"",IF(OR(A80="",B80="",C80="",D80="",E80="",J80="",AND(A80="client",COUNTIF('الزبائن'!$A$6:$A$505,B80)=0),AND(A80="proposed_name",COUNTIF('أسماء مقترحة'!$A$6:$A$505,B80)=0),AND(D80="mobile",J80&lt;&gt;"invalid",NOT(OR(AND(LEN(E80&amp;"")=10,LEFT(E80&amp;"",2)="09"),AND(LEN(E80&amp;"")=9,LEFT(E80&amp;"",1)="9")))),COUNTIFS($A$6:$A$505,A80,$B$6:$B$505,B80,$E$6:$E$505,E80)&gt;1),"REVIEW","READY"))</x:f>
      </x:c>
      <x:c r="N80" s="255" t="str">
        <x:f>IF(M80="","",IF(M80="READY","",TRIM(IF(A80="","missing entity_type; ","")&amp;IF(B80="","missing entity_key; ","")&amp;IF(C80="","missing contact_order; ","")&amp;IF(D80="","missing contact_type; ","")&amp;IF(E80="","missing number; ","")&amp;IF(J80="","missing status; ","")&amp;IF(AND(A80="client",COUNTIF('الزبائن'!$A$6:$A$505,B80)=0),"client key not found; ","")&amp;IF(AND(A80="proposed_name",COUNTIF('أسماء مقترحة'!$A$6:$A$505,B80)=0),"proposed_name key not found; ","")&amp;IF(AND(D80="mobile",J80&lt;&gt;"invalid",NOT(OR(AND(LEN(E80&amp;"")=10,LEFT(E80&amp;"",2)="09"),AND(LEN(E80&amp;"")=9,LEFT(E80&amp;"",1)="9")))),"mobile must be 09XXXXXXXX or status invalid; ","")&amp;IF(COUNTIFS($A$6:$A$505,A80,$B$6:$B$505,B80,$E$6:$E$505,E80)&gt;1,"duplicate number for same entity; ",""))))</x:f>
      </x:c>
    </x:row>
    <x:row r="81">
      <x:c r="A81" s="251"/>
      <x:c r="B81" s="252"/>
      <x:c r="C81" s="253"/>
      <x:c r="D81" s="253"/>
      <x:c r="E81" s="252"/>
      <x:c r="F81" s="252"/>
      <x:c r="G81" s="253"/>
      <x:c r="H81" s="253"/>
      <x:c r="I81" s="253"/>
      <x:c r="J81" s="253"/>
      <x:c r="K81" s="253"/>
      <x:c r="L81" s="253"/>
      <x:c r="M81" s="253" t="str">
        <x:f>IF(AND(A81="",B81="",E81=""),"",IF(OR(A81="",B81="",C81="",D81="",E81="",J81="",AND(A81="client",COUNTIF('الزبائن'!$A$6:$A$505,B81)=0),AND(A81="proposed_name",COUNTIF('أسماء مقترحة'!$A$6:$A$505,B81)=0),AND(D81="mobile",J81&lt;&gt;"invalid",NOT(OR(AND(LEN(E81&amp;"")=10,LEFT(E81&amp;"",2)="09"),AND(LEN(E81&amp;"")=9,LEFT(E81&amp;"",1)="9")))),COUNTIFS($A$6:$A$505,A81,$B$6:$B$505,B81,$E$6:$E$505,E81)&gt;1),"REVIEW","READY"))</x:f>
      </x:c>
      <x:c r="N81" s="255" t="str">
        <x:f>IF(M81="","",IF(M81="READY","",TRIM(IF(A81="","missing entity_type; ","")&amp;IF(B81="","missing entity_key; ","")&amp;IF(C81="","missing contact_order; ","")&amp;IF(D81="","missing contact_type; ","")&amp;IF(E81="","missing number; ","")&amp;IF(J81="","missing status; ","")&amp;IF(AND(A81="client",COUNTIF('الزبائن'!$A$6:$A$505,B81)=0),"client key not found; ","")&amp;IF(AND(A81="proposed_name",COUNTIF('أسماء مقترحة'!$A$6:$A$505,B81)=0),"proposed_name key not found; ","")&amp;IF(AND(D81="mobile",J81&lt;&gt;"invalid",NOT(OR(AND(LEN(E81&amp;"")=10,LEFT(E81&amp;"",2)="09"),AND(LEN(E81&amp;"")=9,LEFT(E81&amp;"",1)="9")))),"mobile must be 09XXXXXXXX or status invalid; ","")&amp;IF(COUNTIFS($A$6:$A$505,A81,$B$6:$B$505,B81,$E$6:$E$505,E81)&gt;1,"duplicate number for same entity; ",""))))</x:f>
      </x:c>
    </x:row>
    <x:row r="82">
      <x:c r="A82" s="251"/>
      <x:c r="B82" s="252"/>
      <x:c r="C82" s="253"/>
      <x:c r="D82" s="253"/>
      <x:c r="E82" s="252"/>
      <x:c r="F82" s="252"/>
      <x:c r="G82" s="253"/>
      <x:c r="H82" s="253"/>
      <x:c r="I82" s="253"/>
      <x:c r="J82" s="253"/>
      <x:c r="K82" s="253"/>
      <x:c r="L82" s="253"/>
      <x:c r="M82" s="253" t="str">
        <x:f>IF(AND(A82="",B82="",E82=""),"",IF(OR(A82="",B82="",C82="",D82="",E82="",J82="",AND(A82="client",COUNTIF('الزبائن'!$A$6:$A$505,B82)=0),AND(A82="proposed_name",COUNTIF('أسماء مقترحة'!$A$6:$A$505,B82)=0),AND(D82="mobile",J82&lt;&gt;"invalid",NOT(OR(AND(LEN(E82&amp;"")=10,LEFT(E82&amp;"",2)="09"),AND(LEN(E82&amp;"")=9,LEFT(E82&amp;"",1)="9")))),COUNTIFS($A$6:$A$505,A82,$B$6:$B$505,B82,$E$6:$E$505,E82)&gt;1),"REVIEW","READY"))</x:f>
      </x:c>
      <x:c r="N82" s="255" t="str">
        <x:f>IF(M82="","",IF(M82="READY","",TRIM(IF(A82="","missing entity_type; ","")&amp;IF(B82="","missing entity_key; ","")&amp;IF(C82="","missing contact_order; ","")&amp;IF(D82="","missing contact_type; ","")&amp;IF(E82="","missing number; ","")&amp;IF(J82="","missing status; ","")&amp;IF(AND(A82="client",COUNTIF('الزبائن'!$A$6:$A$505,B82)=0),"client key not found; ","")&amp;IF(AND(A82="proposed_name",COUNTIF('أسماء مقترحة'!$A$6:$A$505,B82)=0),"proposed_name key not found; ","")&amp;IF(AND(D82="mobile",J82&lt;&gt;"invalid",NOT(OR(AND(LEN(E82&amp;"")=10,LEFT(E82&amp;"",2)="09"),AND(LEN(E82&amp;"")=9,LEFT(E82&amp;"",1)="9")))),"mobile must be 09XXXXXXXX or status invalid; ","")&amp;IF(COUNTIFS($A$6:$A$505,A82,$B$6:$B$505,B82,$E$6:$E$505,E82)&gt;1,"duplicate number for same entity; ",""))))</x:f>
      </x:c>
    </x:row>
    <x:row r="83">
      <x:c r="A83" s="251"/>
      <x:c r="B83" s="252"/>
      <x:c r="C83" s="253"/>
      <x:c r="D83" s="253"/>
      <x:c r="E83" s="252"/>
      <x:c r="F83" s="252"/>
      <x:c r="G83" s="253"/>
      <x:c r="H83" s="253"/>
      <x:c r="I83" s="253"/>
      <x:c r="J83" s="253"/>
      <x:c r="K83" s="253"/>
      <x:c r="L83" s="253"/>
      <x:c r="M83" s="253" t="str">
        <x:f>IF(AND(A83="",B83="",E83=""),"",IF(OR(A83="",B83="",C83="",D83="",E83="",J83="",AND(A83="client",COUNTIF('الزبائن'!$A$6:$A$505,B83)=0),AND(A83="proposed_name",COUNTIF('أسماء مقترحة'!$A$6:$A$505,B83)=0),AND(D83="mobile",J83&lt;&gt;"invalid",NOT(OR(AND(LEN(E83&amp;"")=10,LEFT(E83&amp;"",2)="09"),AND(LEN(E83&amp;"")=9,LEFT(E83&amp;"",1)="9")))),COUNTIFS($A$6:$A$505,A83,$B$6:$B$505,B83,$E$6:$E$505,E83)&gt;1),"REVIEW","READY"))</x:f>
      </x:c>
      <x:c r="N83" s="255" t="str">
        <x:f>IF(M83="","",IF(M83="READY","",TRIM(IF(A83="","missing entity_type; ","")&amp;IF(B83="","missing entity_key; ","")&amp;IF(C83="","missing contact_order; ","")&amp;IF(D83="","missing contact_type; ","")&amp;IF(E83="","missing number; ","")&amp;IF(J83="","missing status; ","")&amp;IF(AND(A83="client",COUNTIF('الزبائن'!$A$6:$A$505,B83)=0),"client key not found; ","")&amp;IF(AND(A83="proposed_name",COUNTIF('أسماء مقترحة'!$A$6:$A$505,B83)=0),"proposed_name key not found; ","")&amp;IF(AND(D83="mobile",J83&lt;&gt;"invalid",NOT(OR(AND(LEN(E83&amp;"")=10,LEFT(E83&amp;"",2)="09"),AND(LEN(E83&amp;"")=9,LEFT(E83&amp;"",1)="9")))),"mobile must be 09XXXXXXXX or status invalid; ","")&amp;IF(COUNTIFS($A$6:$A$505,A83,$B$6:$B$505,B83,$E$6:$E$505,E83)&gt;1,"duplicate number for same entity; ",""))))</x:f>
      </x:c>
    </x:row>
    <x:row r="84">
      <x:c r="A84" s="251"/>
      <x:c r="B84" s="252"/>
      <x:c r="C84" s="253"/>
      <x:c r="D84" s="253"/>
      <x:c r="E84" s="252"/>
      <x:c r="F84" s="252"/>
      <x:c r="G84" s="253"/>
      <x:c r="H84" s="253"/>
      <x:c r="I84" s="253"/>
      <x:c r="J84" s="253"/>
      <x:c r="K84" s="253"/>
      <x:c r="L84" s="253"/>
      <x:c r="M84" s="253" t="str">
        <x:f>IF(AND(A84="",B84="",E84=""),"",IF(OR(A84="",B84="",C84="",D84="",E84="",J84="",AND(A84="client",COUNTIF('الزبائن'!$A$6:$A$505,B84)=0),AND(A84="proposed_name",COUNTIF('أسماء مقترحة'!$A$6:$A$505,B84)=0),AND(D84="mobile",J84&lt;&gt;"invalid",NOT(OR(AND(LEN(E84&amp;"")=10,LEFT(E84&amp;"",2)="09"),AND(LEN(E84&amp;"")=9,LEFT(E84&amp;"",1)="9")))),COUNTIFS($A$6:$A$505,A84,$B$6:$B$505,B84,$E$6:$E$505,E84)&gt;1),"REVIEW","READY"))</x:f>
      </x:c>
      <x:c r="N84" s="255" t="str">
        <x:f>IF(M84="","",IF(M84="READY","",TRIM(IF(A84="","missing entity_type; ","")&amp;IF(B84="","missing entity_key; ","")&amp;IF(C84="","missing contact_order; ","")&amp;IF(D84="","missing contact_type; ","")&amp;IF(E84="","missing number; ","")&amp;IF(J84="","missing status; ","")&amp;IF(AND(A84="client",COUNTIF('الزبائن'!$A$6:$A$505,B84)=0),"client key not found; ","")&amp;IF(AND(A84="proposed_name",COUNTIF('أسماء مقترحة'!$A$6:$A$505,B84)=0),"proposed_name key not found; ","")&amp;IF(AND(D84="mobile",J84&lt;&gt;"invalid",NOT(OR(AND(LEN(E84&amp;"")=10,LEFT(E84&amp;"",2)="09"),AND(LEN(E84&amp;"")=9,LEFT(E84&amp;"",1)="9")))),"mobile must be 09XXXXXXXX or status invalid; ","")&amp;IF(COUNTIFS($A$6:$A$505,A84,$B$6:$B$505,B84,$E$6:$E$505,E84)&gt;1,"duplicate number for same entity; ",""))))</x:f>
      </x:c>
    </x:row>
    <x:row r="85">
      <x:c r="A85" s="251"/>
      <x:c r="B85" s="252"/>
      <x:c r="C85" s="253"/>
      <x:c r="D85" s="253"/>
      <x:c r="E85" s="252"/>
      <x:c r="F85" s="252"/>
      <x:c r="G85" s="253"/>
      <x:c r="H85" s="253"/>
      <x:c r="I85" s="253"/>
      <x:c r="J85" s="253"/>
      <x:c r="K85" s="253"/>
      <x:c r="L85" s="253"/>
      <x:c r="M85" s="253" t="str">
        <x:f>IF(AND(A85="",B85="",E85=""),"",IF(OR(A85="",B85="",C85="",D85="",E85="",J85="",AND(A85="client",COUNTIF('الزبائن'!$A$6:$A$505,B85)=0),AND(A85="proposed_name",COUNTIF('أسماء مقترحة'!$A$6:$A$505,B85)=0),AND(D85="mobile",J85&lt;&gt;"invalid",NOT(OR(AND(LEN(E85&amp;"")=10,LEFT(E85&amp;"",2)="09"),AND(LEN(E85&amp;"")=9,LEFT(E85&amp;"",1)="9")))),COUNTIFS($A$6:$A$505,A85,$B$6:$B$505,B85,$E$6:$E$505,E85)&gt;1),"REVIEW","READY"))</x:f>
      </x:c>
      <x:c r="N85" s="255" t="str">
        <x:f>IF(M85="","",IF(M85="READY","",TRIM(IF(A85="","missing entity_type; ","")&amp;IF(B85="","missing entity_key; ","")&amp;IF(C85="","missing contact_order; ","")&amp;IF(D85="","missing contact_type; ","")&amp;IF(E85="","missing number; ","")&amp;IF(J85="","missing status; ","")&amp;IF(AND(A85="client",COUNTIF('الزبائن'!$A$6:$A$505,B85)=0),"client key not found; ","")&amp;IF(AND(A85="proposed_name",COUNTIF('أسماء مقترحة'!$A$6:$A$505,B85)=0),"proposed_name key not found; ","")&amp;IF(AND(D85="mobile",J85&lt;&gt;"invalid",NOT(OR(AND(LEN(E85&amp;"")=10,LEFT(E85&amp;"",2)="09"),AND(LEN(E85&amp;"")=9,LEFT(E85&amp;"",1)="9")))),"mobile must be 09XXXXXXXX or status invalid; ","")&amp;IF(COUNTIFS($A$6:$A$505,A85,$B$6:$B$505,B85,$E$6:$E$505,E85)&gt;1,"duplicate number for same entity; ",""))))</x:f>
      </x:c>
    </x:row>
    <x:row r="86">
      <x:c r="A86" s="251"/>
      <x:c r="B86" s="252"/>
      <x:c r="C86" s="253"/>
      <x:c r="D86" s="253"/>
      <x:c r="E86" s="252"/>
      <x:c r="F86" s="252"/>
      <x:c r="G86" s="253"/>
      <x:c r="H86" s="253"/>
      <x:c r="I86" s="253"/>
      <x:c r="J86" s="253"/>
      <x:c r="K86" s="253"/>
      <x:c r="L86" s="253"/>
      <x:c r="M86" s="253" t="str">
        <x:f>IF(AND(A86="",B86="",E86=""),"",IF(OR(A86="",B86="",C86="",D86="",E86="",J86="",AND(A86="client",COUNTIF('الزبائن'!$A$6:$A$505,B86)=0),AND(A86="proposed_name",COUNTIF('أسماء مقترحة'!$A$6:$A$505,B86)=0),AND(D86="mobile",J86&lt;&gt;"invalid",NOT(OR(AND(LEN(E86&amp;"")=10,LEFT(E86&amp;"",2)="09"),AND(LEN(E86&amp;"")=9,LEFT(E86&amp;"",1)="9")))),COUNTIFS($A$6:$A$505,A86,$B$6:$B$505,B86,$E$6:$E$505,E86)&gt;1),"REVIEW","READY"))</x:f>
      </x:c>
      <x:c r="N86" s="255" t="str">
        <x:f>IF(M86="","",IF(M86="READY","",TRIM(IF(A86="","missing entity_type; ","")&amp;IF(B86="","missing entity_key; ","")&amp;IF(C86="","missing contact_order; ","")&amp;IF(D86="","missing contact_type; ","")&amp;IF(E86="","missing number; ","")&amp;IF(J86="","missing status; ","")&amp;IF(AND(A86="client",COUNTIF('الزبائن'!$A$6:$A$505,B86)=0),"client key not found; ","")&amp;IF(AND(A86="proposed_name",COUNTIF('أسماء مقترحة'!$A$6:$A$505,B86)=0),"proposed_name key not found; ","")&amp;IF(AND(D86="mobile",J86&lt;&gt;"invalid",NOT(OR(AND(LEN(E86&amp;"")=10,LEFT(E86&amp;"",2)="09"),AND(LEN(E86&amp;"")=9,LEFT(E86&amp;"",1)="9")))),"mobile must be 09XXXXXXXX or status invalid; ","")&amp;IF(COUNTIFS($A$6:$A$505,A86,$B$6:$B$505,B86,$E$6:$E$505,E86)&gt;1,"duplicate number for same entity; ",""))))</x:f>
      </x:c>
    </x:row>
    <x:row r="87">
      <x:c r="A87" s="251"/>
      <x:c r="B87" s="252"/>
      <x:c r="C87" s="253"/>
      <x:c r="D87" s="253"/>
      <x:c r="E87" s="252"/>
      <x:c r="F87" s="252"/>
      <x:c r="G87" s="253"/>
      <x:c r="H87" s="253"/>
      <x:c r="I87" s="253"/>
      <x:c r="J87" s="253"/>
      <x:c r="K87" s="253"/>
      <x:c r="L87" s="253"/>
      <x:c r="M87" s="253" t="str">
        <x:f>IF(AND(A87="",B87="",E87=""),"",IF(OR(A87="",B87="",C87="",D87="",E87="",J87="",AND(A87="client",COUNTIF('الزبائن'!$A$6:$A$505,B87)=0),AND(A87="proposed_name",COUNTIF('أسماء مقترحة'!$A$6:$A$505,B87)=0),AND(D87="mobile",J87&lt;&gt;"invalid",NOT(OR(AND(LEN(E87&amp;"")=10,LEFT(E87&amp;"",2)="09"),AND(LEN(E87&amp;"")=9,LEFT(E87&amp;"",1)="9")))),COUNTIFS($A$6:$A$505,A87,$B$6:$B$505,B87,$E$6:$E$505,E87)&gt;1),"REVIEW","READY"))</x:f>
      </x:c>
      <x:c r="N87" s="255" t="str">
        <x:f>IF(M87="","",IF(M87="READY","",TRIM(IF(A87="","missing entity_type; ","")&amp;IF(B87="","missing entity_key; ","")&amp;IF(C87="","missing contact_order; ","")&amp;IF(D87="","missing contact_type; ","")&amp;IF(E87="","missing number; ","")&amp;IF(J87="","missing status; ","")&amp;IF(AND(A87="client",COUNTIF('الزبائن'!$A$6:$A$505,B87)=0),"client key not found; ","")&amp;IF(AND(A87="proposed_name",COUNTIF('أسماء مقترحة'!$A$6:$A$505,B87)=0),"proposed_name key not found; ","")&amp;IF(AND(D87="mobile",J87&lt;&gt;"invalid",NOT(OR(AND(LEN(E87&amp;"")=10,LEFT(E87&amp;"",2)="09"),AND(LEN(E87&amp;"")=9,LEFT(E87&amp;"",1)="9")))),"mobile must be 09XXXXXXXX or status invalid; ","")&amp;IF(COUNTIFS($A$6:$A$505,A87,$B$6:$B$505,B87,$E$6:$E$505,E87)&gt;1,"duplicate number for same entity; ",""))))</x:f>
      </x:c>
    </x:row>
    <x:row r="88">
      <x:c r="A88" s="251"/>
      <x:c r="B88" s="252"/>
      <x:c r="C88" s="253"/>
      <x:c r="D88" s="253"/>
      <x:c r="E88" s="252"/>
      <x:c r="F88" s="252"/>
      <x:c r="G88" s="253"/>
      <x:c r="H88" s="253"/>
      <x:c r="I88" s="253"/>
      <x:c r="J88" s="253"/>
      <x:c r="K88" s="253"/>
      <x:c r="L88" s="253"/>
      <x:c r="M88" s="253" t="str">
        <x:f>IF(AND(A88="",B88="",E88=""),"",IF(OR(A88="",B88="",C88="",D88="",E88="",J88="",AND(A88="client",COUNTIF('الزبائن'!$A$6:$A$505,B88)=0),AND(A88="proposed_name",COUNTIF('أسماء مقترحة'!$A$6:$A$505,B88)=0),AND(D88="mobile",J88&lt;&gt;"invalid",NOT(OR(AND(LEN(E88&amp;"")=10,LEFT(E88&amp;"",2)="09"),AND(LEN(E88&amp;"")=9,LEFT(E88&amp;"",1)="9")))),COUNTIFS($A$6:$A$505,A88,$B$6:$B$505,B88,$E$6:$E$505,E88)&gt;1),"REVIEW","READY"))</x:f>
      </x:c>
      <x:c r="N88" s="255" t="str">
        <x:f>IF(M88="","",IF(M88="READY","",TRIM(IF(A88="","missing entity_type; ","")&amp;IF(B88="","missing entity_key; ","")&amp;IF(C88="","missing contact_order; ","")&amp;IF(D88="","missing contact_type; ","")&amp;IF(E88="","missing number; ","")&amp;IF(J88="","missing status; ","")&amp;IF(AND(A88="client",COUNTIF('الزبائن'!$A$6:$A$505,B88)=0),"client key not found; ","")&amp;IF(AND(A88="proposed_name",COUNTIF('أسماء مقترحة'!$A$6:$A$505,B88)=0),"proposed_name key not found; ","")&amp;IF(AND(D88="mobile",J88&lt;&gt;"invalid",NOT(OR(AND(LEN(E88&amp;"")=10,LEFT(E88&amp;"",2)="09"),AND(LEN(E88&amp;"")=9,LEFT(E88&amp;"",1)="9")))),"mobile must be 09XXXXXXXX or status invalid; ","")&amp;IF(COUNTIFS($A$6:$A$505,A88,$B$6:$B$505,B88,$E$6:$E$505,E88)&gt;1,"duplicate number for same entity; ",""))))</x:f>
      </x:c>
    </x:row>
    <x:row r="89">
      <x:c r="A89" s="251"/>
      <x:c r="B89" s="252"/>
      <x:c r="C89" s="253"/>
      <x:c r="D89" s="253"/>
      <x:c r="E89" s="252"/>
      <x:c r="F89" s="252"/>
      <x:c r="G89" s="253"/>
      <x:c r="H89" s="253"/>
      <x:c r="I89" s="253"/>
      <x:c r="J89" s="253"/>
      <x:c r="K89" s="253"/>
      <x:c r="L89" s="253"/>
      <x:c r="M89" s="253" t="str">
        <x:f>IF(AND(A89="",B89="",E89=""),"",IF(OR(A89="",B89="",C89="",D89="",E89="",J89="",AND(A89="client",COUNTIF('الزبائن'!$A$6:$A$505,B89)=0),AND(A89="proposed_name",COUNTIF('أسماء مقترحة'!$A$6:$A$505,B89)=0),AND(D89="mobile",J89&lt;&gt;"invalid",NOT(OR(AND(LEN(E89&amp;"")=10,LEFT(E89&amp;"",2)="09"),AND(LEN(E89&amp;"")=9,LEFT(E89&amp;"",1)="9")))),COUNTIFS($A$6:$A$505,A89,$B$6:$B$505,B89,$E$6:$E$505,E89)&gt;1),"REVIEW","READY"))</x:f>
      </x:c>
      <x:c r="N89" s="255" t="str">
        <x:f>IF(M89="","",IF(M89="READY","",TRIM(IF(A89="","missing entity_type; ","")&amp;IF(B89="","missing entity_key; ","")&amp;IF(C89="","missing contact_order; ","")&amp;IF(D89="","missing contact_type; ","")&amp;IF(E89="","missing number; ","")&amp;IF(J89="","missing status; ","")&amp;IF(AND(A89="client",COUNTIF('الزبائن'!$A$6:$A$505,B89)=0),"client key not found; ","")&amp;IF(AND(A89="proposed_name",COUNTIF('أسماء مقترحة'!$A$6:$A$505,B89)=0),"proposed_name key not found; ","")&amp;IF(AND(D89="mobile",J89&lt;&gt;"invalid",NOT(OR(AND(LEN(E89&amp;"")=10,LEFT(E89&amp;"",2)="09"),AND(LEN(E89&amp;"")=9,LEFT(E89&amp;"",1)="9")))),"mobile must be 09XXXXXXXX or status invalid; ","")&amp;IF(COUNTIFS($A$6:$A$505,A89,$B$6:$B$505,B89,$E$6:$E$505,E89)&gt;1,"duplicate number for same entity; ",""))))</x:f>
      </x:c>
    </x:row>
    <x:row r="90">
      <x:c r="A90" s="251"/>
      <x:c r="B90" s="252"/>
      <x:c r="C90" s="253"/>
      <x:c r="D90" s="253"/>
      <x:c r="E90" s="252"/>
      <x:c r="F90" s="252"/>
      <x:c r="G90" s="253"/>
      <x:c r="H90" s="253"/>
      <x:c r="I90" s="253"/>
      <x:c r="J90" s="253"/>
      <x:c r="K90" s="253"/>
      <x:c r="L90" s="253"/>
      <x:c r="M90" s="253" t="str">
        <x:f>IF(AND(A90="",B90="",E90=""),"",IF(OR(A90="",B90="",C90="",D90="",E90="",J90="",AND(A90="client",COUNTIF('الزبائن'!$A$6:$A$505,B90)=0),AND(A90="proposed_name",COUNTIF('أسماء مقترحة'!$A$6:$A$505,B90)=0),AND(D90="mobile",J90&lt;&gt;"invalid",NOT(OR(AND(LEN(E90&amp;"")=10,LEFT(E90&amp;"",2)="09"),AND(LEN(E90&amp;"")=9,LEFT(E90&amp;"",1)="9")))),COUNTIFS($A$6:$A$505,A90,$B$6:$B$505,B90,$E$6:$E$505,E90)&gt;1),"REVIEW","READY"))</x:f>
      </x:c>
      <x:c r="N90" s="255" t="str">
        <x:f>IF(M90="","",IF(M90="READY","",TRIM(IF(A90="","missing entity_type; ","")&amp;IF(B90="","missing entity_key; ","")&amp;IF(C90="","missing contact_order; ","")&amp;IF(D90="","missing contact_type; ","")&amp;IF(E90="","missing number; ","")&amp;IF(J90="","missing status; ","")&amp;IF(AND(A90="client",COUNTIF('الزبائن'!$A$6:$A$505,B90)=0),"client key not found; ","")&amp;IF(AND(A90="proposed_name",COUNTIF('أسماء مقترحة'!$A$6:$A$505,B90)=0),"proposed_name key not found; ","")&amp;IF(AND(D90="mobile",J90&lt;&gt;"invalid",NOT(OR(AND(LEN(E90&amp;"")=10,LEFT(E90&amp;"",2)="09"),AND(LEN(E90&amp;"")=9,LEFT(E90&amp;"",1)="9")))),"mobile must be 09XXXXXXXX or status invalid; ","")&amp;IF(COUNTIFS($A$6:$A$505,A90,$B$6:$B$505,B90,$E$6:$E$505,E90)&gt;1,"duplicate number for same entity; ",""))))</x:f>
      </x:c>
    </x:row>
    <x:row r="91">
      <x:c r="A91" s="251"/>
      <x:c r="B91" s="252"/>
      <x:c r="C91" s="253"/>
      <x:c r="D91" s="253"/>
      <x:c r="E91" s="252"/>
      <x:c r="F91" s="252"/>
      <x:c r="G91" s="253"/>
      <x:c r="H91" s="253"/>
      <x:c r="I91" s="253"/>
      <x:c r="J91" s="253"/>
      <x:c r="K91" s="253"/>
      <x:c r="L91" s="253"/>
      <x:c r="M91" s="253" t="str">
        <x:f>IF(AND(A91="",B91="",E91=""),"",IF(OR(A91="",B91="",C91="",D91="",E91="",J91="",AND(A91="client",COUNTIF('الزبائن'!$A$6:$A$505,B91)=0),AND(A91="proposed_name",COUNTIF('أسماء مقترحة'!$A$6:$A$505,B91)=0),AND(D91="mobile",J91&lt;&gt;"invalid",NOT(OR(AND(LEN(E91&amp;"")=10,LEFT(E91&amp;"",2)="09"),AND(LEN(E91&amp;"")=9,LEFT(E91&amp;"",1)="9")))),COUNTIFS($A$6:$A$505,A91,$B$6:$B$505,B91,$E$6:$E$505,E91)&gt;1),"REVIEW","READY"))</x:f>
      </x:c>
      <x:c r="N91" s="255" t="str">
        <x:f>IF(M91="","",IF(M91="READY","",TRIM(IF(A91="","missing entity_type; ","")&amp;IF(B91="","missing entity_key; ","")&amp;IF(C91="","missing contact_order; ","")&amp;IF(D91="","missing contact_type; ","")&amp;IF(E91="","missing number; ","")&amp;IF(J91="","missing status; ","")&amp;IF(AND(A91="client",COUNTIF('الزبائن'!$A$6:$A$505,B91)=0),"client key not found; ","")&amp;IF(AND(A91="proposed_name",COUNTIF('أسماء مقترحة'!$A$6:$A$505,B91)=0),"proposed_name key not found; ","")&amp;IF(AND(D91="mobile",J91&lt;&gt;"invalid",NOT(OR(AND(LEN(E91&amp;"")=10,LEFT(E91&amp;"",2)="09"),AND(LEN(E91&amp;"")=9,LEFT(E91&amp;"",1)="9")))),"mobile must be 09XXXXXXXX or status invalid; ","")&amp;IF(COUNTIFS($A$6:$A$505,A91,$B$6:$B$505,B91,$E$6:$E$505,E91)&gt;1,"duplicate number for same entity; ",""))))</x:f>
      </x:c>
    </x:row>
    <x:row r="92">
      <x:c r="A92" s="251"/>
      <x:c r="B92" s="252"/>
      <x:c r="C92" s="253"/>
      <x:c r="D92" s="253"/>
      <x:c r="E92" s="252"/>
      <x:c r="F92" s="252"/>
      <x:c r="G92" s="253"/>
      <x:c r="H92" s="253"/>
      <x:c r="I92" s="253"/>
      <x:c r="J92" s="253"/>
      <x:c r="K92" s="253"/>
      <x:c r="L92" s="253"/>
      <x:c r="M92" s="253" t="str">
        <x:f>IF(AND(A92="",B92="",E92=""),"",IF(OR(A92="",B92="",C92="",D92="",E92="",J92="",AND(A92="client",COUNTIF('الزبائن'!$A$6:$A$505,B92)=0),AND(A92="proposed_name",COUNTIF('أسماء مقترحة'!$A$6:$A$505,B92)=0),AND(D92="mobile",J92&lt;&gt;"invalid",NOT(OR(AND(LEN(E92&amp;"")=10,LEFT(E92&amp;"",2)="09"),AND(LEN(E92&amp;"")=9,LEFT(E92&amp;"",1)="9")))),COUNTIFS($A$6:$A$505,A92,$B$6:$B$505,B92,$E$6:$E$505,E92)&gt;1),"REVIEW","READY"))</x:f>
      </x:c>
      <x:c r="N92" s="255" t="str">
        <x:f>IF(M92="","",IF(M92="READY","",TRIM(IF(A92="","missing entity_type; ","")&amp;IF(B92="","missing entity_key; ","")&amp;IF(C92="","missing contact_order; ","")&amp;IF(D92="","missing contact_type; ","")&amp;IF(E92="","missing number; ","")&amp;IF(J92="","missing status; ","")&amp;IF(AND(A92="client",COUNTIF('الزبائن'!$A$6:$A$505,B92)=0),"client key not found; ","")&amp;IF(AND(A92="proposed_name",COUNTIF('أسماء مقترحة'!$A$6:$A$505,B92)=0),"proposed_name key not found; ","")&amp;IF(AND(D92="mobile",J92&lt;&gt;"invalid",NOT(OR(AND(LEN(E92&amp;"")=10,LEFT(E92&amp;"",2)="09"),AND(LEN(E92&amp;"")=9,LEFT(E92&amp;"",1)="9")))),"mobile must be 09XXXXXXXX or status invalid; ","")&amp;IF(COUNTIFS($A$6:$A$505,A92,$B$6:$B$505,B92,$E$6:$E$505,E92)&gt;1,"duplicate number for same entity; ",""))))</x:f>
      </x:c>
    </x:row>
    <x:row r="93">
      <x:c r="A93" s="251"/>
      <x:c r="B93" s="252"/>
      <x:c r="C93" s="253"/>
      <x:c r="D93" s="253"/>
      <x:c r="E93" s="252"/>
      <x:c r="F93" s="252"/>
      <x:c r="G93" s="253"/>
      <x:c r="H93" s="253"/>
      <x:c r="I93" s="253"/>
      <x:c r="J93" s="253"/>
      <x:c r="K93" s="253"/>
      <x:c r="L93" s="253"/>
      <x:c r="M93" s="253" t="str">
        <x:f>IF(AND(A93="",B93="",E93=""),"",IF(OR(A93="",B93="",C93="",D93="",E93="",J93="",AND(A93="client",COUNTIF('الزبائن'!$A$6:$A$505,B93)=0),AND(A93="proposed_name",COUNTIF('أسماء مقترحة'!$A$6:$A$505,B93)=0),AND(D93="mobile",J93&lt;&gt;"invalid",NOT(OR(AND(LEN(E93&amp;"")=10,LEFT(E93&amp;"",2)="09"),AND(LEN(E93&amp;"")=9,LEFT(E93&amp;"",1)="9")))),COUNTIFS($A$6:$A$505,A93,$B$6:$B$505,B93,$E$6:$E$505,E93)&gt;1),"REVIEW","READY"))</x:f>
      </x:c>
      <x:c r="N93" s="255" t="str">
        <x:f>IF(M93="","",IF(M93="READY","",TRIM(IF(A93="","missing entity_type; ","")&amp;IF(B93="","missing entity_key; ","")&amp;IF(C93="","missing contact_order; ","")&amp;IF(D93="","missing contact_type; ","")&amp;IF(E93="","missing number; ","")&amp;IF(J93="","missing status; ","")&amp;IF(AND(A93="client",COUNTIF('الزبائن'!$A$6:$A$505,B93)=0),"client key not found; ","")&amp;IF(AND(A93="proposed_name",COUNTIF('أسماء مقترحة'!$A$6:$A$505,B93)=0),"proposed_name key not found; ","")&amp;IF(AND(D93="mobile",J93&lt;&gt;"invalid",NOT(OR(AND(LEN(E93&amp;"")=10,LEFT(E93&amp;"",2)="09"),AND(LEN(E93&amp;"")=9,LEFT(E93&amp;"",1)="9")))),"mobile must be 09XXXXXXXX or status invalid; ","")&amp;IF(COUNTIFS($A$6:$A$505,A93,$B$6:$B$505,B93,$E$6:$E$505,E93)&gt;1,"duplicate number for same entity; ",""))))</x:f>
      </x:c>
    </x:row>
    <x:row r="94">
      <x:c r="A94" s="251"/>
      <x:c r="B94" s="252"/>
      <x:c r="C94" s="253"/>
      <x:c r="D94" s="253"/>
      <x:c r="E94" s="252"/>
      <x:c r="F94" s="252"/>
      <x:c r="G94" s="253"/>
      <x:c r="H94" s="253"/>
      <x:c r="I94" s="253"/>
      <x:c r="J94" s="253"/>
      <x:c r="K94" s="253"/>
      <x:c r="L94" s="253"/>
      <x:c r="M94" s="253" t="str">
        <x:f>IF(AND(A94="",B94="",E94=""),"",IF(OR(A94="",B94="",C94="",D94="",E94="",J94="",AND(A94="client",COUNTIF('الزبائن'!$A$6:$A$505,B94)=0),AND(A94="proposed_name",COUNTIF('أسماء مقترحة'!$A$6:$A$505,B94)=0),AND(D94="mobile",J94&lt;&gt;"invalid",NOT(OR(AND(LEN(E94&amp;"")=10,LEFT(E94&amp;"",2)="09"),AND(LEN(E94&amp;"")=9,LEFT(E94&amp;"",1)="9")))),COUNTIFS($A$6:$A$505,A94,$B$6:$B$505,B94,$E$6:$E$505,E94)&gt;1),"REVIEW","READY"))</x:f>
      </x:c>
      <x:c r="N94" s="255" t="str">
        <x:f>IF(M94="","",IF(M94="READY","",TRIM(IF(A94="","missing entity_type; ","")&amp;IF(B94="","missing entity_key; ","")&amp;IF(C94="","missing contact_order; ","")&amp;IF(D94="","missing contact_type; ","")&amp;IF(E94="","missing number; ","")&amp;IF(J94="","missing status; ","")&amp;IF(AND(A94="client",COUNTIF('الزبائن'!$A$6:$A$505,B94)=0),"client key not found; ","")&amp;IF(AND(A94="proposed_name",COUNTIF('أسماء مقترحة'!$A$6:$A$505,B94)=0),"proposed_name key not found; ","")&amp;IF(AND(D94="mobile",J94&lt;&gt;"invalid",NOT(OR(AND(LEN(E94&amp;"")=10,LEFT(E94&amp;"",2)="09"),AND(LEN(E94&amp;"")=9,LEFT(E94&amp;"",1)="9")))),"mobile must be 09XXXXXXXX or status invalid; ","")&amp;IF(COUNTIFS($A$6:$A$505,A94,$B$6:$B$505,B94,$E$6:$E$505,E94)&gt;1,"duplicate number for same entity; ",""))))</x:f>
      </x:c>
    </x:row>
    <x:row r="95">
      <x:c r="A95" s="251"/>
      <x:c r="B95" s="252"/>
      <x:c r="C95" s="253"/>
      <x:c r="D95" s="253"/>
      <x:c r="E95" s="252"/>
      <x:c r="F95" s="252"/>
      <x:c r="G95" s="253"/>
      <x:c r="H95" s="253"/>
      <x:c r="I95" s="253"/>
      <x:c r="J95" s="253"/>
      <x:c r="K95" s="253"/>
      <x:c r="L95" s="253"/>
      <x:c r="M95" s="253" t="str">
        <x:f>IF(AND(A95="",B95="",E95=""),"",IF(OR(A95="",B95="",C95="",D95="",E95="",J95="",AND(A95="client",COUNTIF('الزبائن'!$A$6:$A$505,B95)=0),AND(A95="proposed_name",COUNTIF('أسماء مقترحة'!$A$6:$A$505,B95)=0),AND(D95="mobile",J95&lt;&gt;"invalid",NOT(OR(AND(LEN(E95&amp;"")=10,LEFT(E95&amp;"",2)="09"),AND(LEN(E95&amp;"")=9,LEFT(E95&amp;"",1)="9")))),COUNTIFS($A$6:$A$505,A95,$B$6:$B$505,B95,$E$6:$E$505,E95)&gt;1),"REVIEW","READY"))</x:f>
      </x:c>
      <x:c r="N95" s="255" t="str">
        <x:f>IF(M95="","",IF(M95="READY","",TRIM(IF(A95="","missing entity_type; ","")&amp;IF(B95="","missing entity_key; ","")&amp;IF(C95="","missing contact_order; ","")&amp;IF(D95="","missing contact_type; ","")&amp;IF(E95="","missing number; ","")&amp;IF(J95="","missing status; ","")&amp;IF(AND(A95="client",COUNTIF('الزبائن'!$A$6:$A$505,B95)=0),"client key not found; ","")&amp;IF(AND(A95="proposed_name",COUNTIF('أسماء مقترحة'!$A$6:$A$505,B95)=0),"proposed_name key not found; ","")&amp;IF(AND(D95="mobile",J95&lt;&gt;"invalid",NOT(OR(AND(LEN(E95&amp;"")=10,LEFT(E95&amp;"",2)="09"),AND(LEN(E95&amp;"")=9,LEFT(E95&amp;"",1)="9")))),"mobile must be 09XXXXXXXX or status invalid; ","")&amp;IF(COUNTIFS($A$6:$A$505,A95,$B$6:$B$505,B95,$E$6:$E$505,E95)&gt;1,"duplicate number for same entity; ",""))))</x:f>
      </x:c>
    </x:row>
    <x:row r="96">
      <x:c r="A96" s="251"/>
      <x:c r="B96" s="252"/>
      <x:c r="C96" s="253"/>
      <x:c r="D96" s="253"/>
      <x:c r="E96" s="252"/>
      <x:c r="F96" s="252"/>
      <x:c r="G96" s="253"/>
      <x:c r="H96" s="253"/>
      <x:c r="I96" s="253"/>
      <x:c r="J96" s="253"/>
      <x:c r="K96" s="253"/>
      <x:c r="L96" s="253"/>
      <x:c r="M96" s="253" t="str">
        <x:f>IF(AND(A96="",B96="",E96=""),"",IF(OR(A96="",B96="",C96="",D96="",E96="",J96="",AND(A96="client",COUNTIF('الزبائن'!$A$6:$A$505,B96)=0),AND(A96="proposed_name",COUNTIF('أسماء مقترحة'!$A$6:$A$505,B96)=0),AND(D96="mobile",J96&lt;&gt;"invalid",NOT(OR(AND(LEN(E96&amp;"")=10,LEFT(E96&amp;"",2)="09"),AND(LEN(E96&amp;"")=9,LEFT(E96&amp;"",1)="9")))),COUNTIFS($A$6:$A$505,A96,$B$6:$B$505,B96,$E$6:$E$505,E96)&gt;1),"REVIEW","READY"))</x:f>
      </x:c>
      <x:c r="N96" s="255" t="str">
        <x:f>IF(M96="","",IF(M96="READY","",TRIM(IF(A96="","missing entity_type; ","")&amp;IF(B96="","missing entity_key; ","")&amp;IF(C96="","missing contact_order; ","")&amp;IF(D96="","missing contact_type; ","")&amp;IF(E96="","missing number; ","")&amp;IF(J96="","missing status; ","")&amp;IF(AND(A96="client",COUNTIF('الزبائن'!$A$6:$A$505,B96)=0),"client key not found; ","")&amp;IF(AND(A96="proposed_name",COUNTIF('أسماء مقترحة'!$A$6:$A$505,B96)=0),"proposed_name key not found; ","")&amp;IF(AND(D96="mobile",J96&lt;&gt;"invalid",NOT(OR(AND(LEN(E96&amp;"")=10,LEFT(E96&amp;"",2)="09"),AND(LEN(E96&amp;"")=9,LEFT(E96&amp;"",1)="9")))),"mobile must be 09XXXXXXXX or status invalid; ","")&amp;IF(COUNTIFS($A$6:$A$505,A96,$B$6:$B$505,B96,$E$6:$E$505,E96)&gt;1,"duplicate number for same entity; ",""))))</x:f>
      </x:c>
    </x:row>
    <x:row r="97">
      <x:c r="A97" s="251"/>
      <x:c r="B97" s="252"/>
      <x:c r="C97" s="253"/>
      <x:c r="D97" s="253"/>
      <x:c r="E97" s="252"/>
      <x:c r="F97" s="252"/>
      <x:c r="G97" s="253"/>
      <x:c r="H97" s="253"/>
      <x:c r="I97" s="253"/>
      <x:c r="J97" s="253"/>
      <x:c r="K97" s="253"/>
      <x:c r="L97" s="253"/>
      <x:c r="M97" s="253" t="str">
        <x:f>IF(AND(A97="",B97="",E97=""),"",IF(OR(A97="",B97="",C97="",D97="",E97="",J97="",AND(A97="client",COUNTIF('الزبائن'!$A$6:$A$505,B97)=0),AND(A97="proposed_name",COUNTIF('أسماء مقترحة'!$A$6:$A$505,B97)=0),AND(D97="mobile",J97&lt;&gt;"invalid",NOT(OR(AND(LEN(E97&amp;"")=10,LEFT(E97&amp;"",2)="09"),AND(LEN(E97&amp;"")=9,LEFT(E97&amp;"",1)="9")))),COUNTIFS($A$6:$A$505,A97,$B$6:$B$505,B97,$E$6:$E$505,E97)&gt;1),"REVIEW","READY"))</x:f>
      </x:c>
      <x:c r="N97" s="255" t="str">
        <x:f>IF(M97="","",IF(M97="READY","",TRIM(IF(A97="","missing entity_type; ","")&amp;IF(B97="","missing entity_key; ","")&amp;IF(C97="","missing contact_order; ","")&amp;IF(D97="","missing contact_type; ","")&amp;IF(E97="","missing number; ","")&amp;IF(J97="","missing status; ","")&amp;IF(AND(A97="client",COUNTIF('الزبائن'!$A$6:$A$505,B97)=0),"client key not found; ","")&amp;IF(AND(A97="proposed_name",COUNTIF('أسماء مقترحة'!$A$6:$A$505,B97)=0),"proposed_name key not found; ","")&amp;IF(AND(D97="mobile",J97&lt;&gt;"invalid",NOT(OR(AND(LEN(E97&amp;"")=10,LEFT(E97&amp;"",2)="09"),AND(LEN(E97&amp;"")=9,LEFT(E97&amp;"",1)="9")))),"mobile must be 09XXXXXXXX or status invalid; ","")&amp;IF(COUNTIFS($A$6:$A$505,A97,$B$6:$B$505,B97,$E$6:$E$505,E97)&gt;1,"duplicate number for same entity; ",""))))</x:f>
      </x:c>
    </x:row>
    <x:row r="98">
      <x:c r="A98" s="251"/>
      <x:c r="B98" s="252"/>
      <x:c r="C98" s="253"/>
      <x:c r="D98" s="253"/>
      <x:c r="E98" s="252"/>
      <x:c r="F98" s="252"/>
      <x:c r="G98" s="253"/>
      <x:c r="H98" s="253"/>
      <x:c r="I98" s="253"/>
      <x:c r="J98" s="253"/>
      <x:c r="K98" s="253"/>
      <x:c r="L98" s="253"/>
      <x:c r="M98" s="253" t="str">
        <x:f>IF(AND(A98="",B98="",E98=""),"",IF(OR(A98="",B98="",C98="",D98="",E98="",J98="",AND(A98="client",COUNTIF('الزبائن'!$A$6:$A$505,B98)=0),AND(A98="proposed_name",COUNTIF('أسماء مقترحة'!$A$6:$A$505,B98)=0),AND(D98="mobile",J98&lt;&gt;"invalid",NOT(OR(AND(LEN(E98&amp;"")=10,LEFT(E98&amp;"",2)="09"),AND(LEN(E98&amp;"")=9,LEFT(E98&amp;"",1)="9")))),COUNTIFS($A$6:$A$505,A98,$B$6:$B$505,B98,$E$6:$E$505,E98)&gt;1),"REVIEW","READY"))</x:f>
      </x:c>
      <x:c r="N98" s="255" t="str">
        <x:f>IF(M98="","",IF(M98="READY","",TRIM(IF(A98="","missing entity_type; ","")&amp;IF(B98="","missing entity_key; ","")&amp;IF(C98="","missing contact_order; ","")&amp;IF(D98="","missing contact_type; ","")&amp;IF(E98="","missing number; ","")&amp;IF(J98="","missing status; ","")&amp;IF(AND(A98="client",COUNTIF('الزبائن'!$A$6:$A$505,B98)=0),"client key not found; ","")&amp;IF(AND(A98="proposed_name",COUNTIF('أسماء مقترحة'!$A$6:$A$505,B98)=0),"proposed_name key not found; ","")&amp;IF(AND(D98="mobile",J98&lt;&gt;"invalid",NOT(OR(AND(LEN(E98&amp;"")=10,LEFT(E98&amp;"",2)="09"),AND(LEN(E98&amp;"")=9,LEFT(E98&amp;"",1)="9")))),"mobile must be 09XXXXXXXX or status invalid; ","")&amp;IF(COUNTIFS($A$6:$A$505,A98,$B$6:$B$505,B98,$E$6:$E$505,E98)&gt;1,"duplicate number for same entity; ",""))))</x:f>
      </x:c>
    </x:row>
    <x:row r="99">
      <x:c r="A99" s="251"/>
      <x:c r="B99" s="252"/>
      <x:c r="C99" s="253"/>
      <x:c r="D99" s="253"/>
      <x:c r="E99" s="252"/>
      <x:c r="F99" s="252"/>
      <x:c r="G99" s="253"/>
      <x:c r="H99" s="253"/>
      <x:c r="I99" s="253"/>
      <x:c r="J99" s="253"/>
      <x:c r="K99" s="253"/>
      <x:c r="L99" s="253"/>
      <x:c r="M99" s="253" t="str">
        <x:f>IF(AND(A99="",B99="",E99=""),"",IF(OR(A99="",B99="",C99="",D99="",E99="",J99="",AND(A99="client",COUNTIF('الزبائن'!$A$6:$A$505,B99)=0),AND(A99="proposed_name",COUNTIF('أسماء مقترحة'!$A$6:$A$505,B99)=0),AND(D99="mobile",J99&lt;&gt;"invalid",NOT(OR(AND(LEN(E99&amp;"")=10,LEFT(E99&amp;"",2)="09"),AND(LEN(E99&amp;"")=9,LEFT(E99&amp;"",1)="9")))),COUNTIFS($A$6:$A$505,A99,$B$6:$B$505,B99,$E$6:$E$505,E99)&gt;1),"REVIEW","READY"))</x:f>
      </x:c>
      <x:c r="N99" s="255" t="str">
        <x:f>IF(M99="","",IF(M99="READY","",TRIM(IF(A99="","missing entity_type; ","")&amp;IF(B99="","missing entity_key; ","")&amp;IF(C99="","missing contact_order; ","")&amp;IF(D99="","missing contact_type; ","")&amp;IF(E99="","missing number; ","")&amp;IF(J99="","missing status; ","")&amp;IF(AND(A99="client",COUNTIF('الزبائن'!$A$6:$A$505,B99)=0),"client key not found; ","")&amp;IF(AND(A99="proposed_name",COUNTIF('أسماء مقترحة'!$A$6:$A$505,B99)=0),"proposed_name key not found; ","")&amp;IF(AND(D99="mobile",J99&lt;&gt;"invalid",NOT(OR(AND(LEN(E99&amp;"")=10,LEFT(E99&amp;"",2)="09"),AND(LEN(E99&amp;"")=9,LEFT(E99&amp;"",1)="9")))),"mobile must be 09XXXXXXXX or status invalid; ","")&amp;IF(COUNTIFS($A$6:$A$505,A99,$B$6:$B$505,B99,$E$6:$E$505,E99)&gt;1,"duplicate number for same entity; ",""))))</x:f>
      </x:c>
    </x:row>
    <x:row r="100">
      <x:c r="A100" s="251"/>
      <x:c r="B100" s="252"/>
      <x:c r="C100" s="253"/>
      <x:c r="D100" s="253"/>
      <x:c r="E100" s="252"/>
      <x:c r="F100" s="252"/>
      <x:c r="G100" s="253"/>
      <x:c r="H100" s="253"/>
      <x:c r="I100" s="253"/>
      <x:c r="J100" s="253"/>
      <x:c r="K100" s="253"/>
      <x:c r="L100" s="253"/>
      <x:c r="M100" s="253" t="str">
        <x:f>IF(AND(A100="",B100="",E100=""),"",IF(OR(A100="",B100="",C100="",D100="",E100="",J100="",AND(A100="client",COUNTIF('الزبائن'!$A$6:$A$505,B100)=0),AND(A100="proposed_name",COUNTIF('أسماء مقترحة'!$A$6:$A$505,B100)=0),AND(D100="mobile",J100&lt;&gt;"invalid",NOT(OR(AND(LEN(E100&amp;"")=10,LEFT(E100&amp;"",2)="09"),AND(LEN(E100&amp;"")=9,LEFT(E100&amp;"",1)="9")))),COUNTIFS($A$6:$A$505,A100,$B$6:$B$505,B100,$E$6:$E$505,E100)&gt;1),"REVIEW","READY"))</x:f>
      </x:c>
      <x:c r="N100" s="255" t="str">
        <x:f>IF(M100="","",IF(M100="READY","",TRIM(IF(A100="","missing entity_type; ","")&amp;IF(B100="","missing entity_key; ","")&amp;IF(C100="","missing contact_order; ","")&amp;IF(D100="","missing contact_type; ","")&amp;IF(E100="","missing number; ","")&amp;IF(J100="","missing status; ","")&amp;IF(AND(A100="client",COUNTIF('الزبائن'!$A$6:$A$505,B100)=0),"client key not found; ","")&amp;IF(AND(A100="proposed_name",COUNTIF('أسماء مقترحة'!$A$6:$A$505,B100)=0),"proposed_name key not found; ","")&amp;IF(AND(D100="mobile",J100&lt;&gt;"invalid",NOT(OR(AND(LEN(E100&amp;"")=10,LEFT(E100&amp;"",2)="09"),AND(LEN(E100&amp;"")=9,LEFT(E100&amp;"",1)="9")))),"mobile must be 09XXXXXXXX or status invalid; ","")&amp;IF(COUNTIFS($A$6:$A$505,A100,$B$6:$B$505,B100,$E$6:$E$505,E100)&gt;1,"duplicate number for same entity; ",""))))</x:f>
      </x:c>
    </x:row>
    <x:row r="101">
      <x:c r="A101" s="251"/>
      <x:c r="B101" s="252"/>
      <x:c r="C101" s="253"/>
      <x:c r="D101" s="253"/>
      <x:c r="E101" s="252"/>
      <x:c r="F101" s="252"/>
      <x:c r="G101" s="253"/>
      <x:c r="H101" s="253"/>
      <x:c r="I101" s="253"/>
      <x:c r="J101" s="253"/>
      <x:c r="K101" s="253"/>
      <x:c r="L101" s="253"/>
      <x:c r="M101" s="253" t="str">
        <x:f>IF(AND(A101="",B101="",E101=""),"",IF(OR(A101="",B101="",C101="",D101="",E101="",J101="",AND(A101="client",COUNTIF('الزبائن'!$A$6:$A$505,B101)=0),AND(A101="proposed_name",COUNTIF('أسماء مقترحة'!$A$6:$A$505,B101)=0),AND(D101="mobile",J101&lt;&gt;"invalid",NOT(OR(AND(LEN(E101&amp;"")=10,LEFT(E101&amp;"",2)="09"),AND(LEN(E101&amp;"")=9,LEFT(E101&amp;"",1)="9")))),COUNTIFS($A$6:$A$505,A101,$B$6:$B$505,B101,$E$6:$E$505,E101)&gt;1),"REVIEW","READY"))</x:f>
      </x:c>
      <x:c r="N101" s="255" t="str">
        <x:f>IF(M101="","",IF(M101="READY","",TRIM(IF(A101="","missing entity_type; ","")&amp;IF(B101="","missing entity_key; ","")&amp;IF(C101="","missing contact_order; ","")&amp;IF(D101="","missing contact_type; ","")&amp;IF(E101="","missing number; ","")&amp;IF(J101="","missing status; ","")&amp;IF(AND(A101="client",COUNTIF('الزبائن'!$A$6:$A$505,B101)=0),"client key not found; ","")&amp;IF(AND(A101="proposed_name",COUNTIF('أسماء مقترحة'!$A$6:$A$505,B101)=0),"proposed_name key not found; ","")&amp;IF(AND(D101="mobile",J101&lt;&gt;"invalid",NOT(OR(AND(LEN(E101&amp;"")=10,LEFT(E101&amp;"",2)="09"),AND(LEN(E101&amp;"")=9,LEFT(E101&amp;"",1)="9")))),"mobile must be 09XXXXXXXX or status invalid; ","")&amp;IF(COUNTIFS($A$6:$A$505,A101,$B$6:$B$505,B101,$E$6:$E$505,E101)&gt;1,"duplicate number for same entity; ",""))))</x:f>
      </x:c>
    </x:row>
    <x:row r="102">
      <x:c r="A102" s="251"/>
      <x:c r="B102" s="252"/>
      <x:c r="C102" s="253"/>
      <x:c r="D102" s="253"/>
      <x:c r="E102" s="252"/>
      <x:c r="F102" s="252"/>
      <x:c r="G102" s="253"/>
      <x:c r="H102" s="253"/>
      <x:c r="I102" s="253"/>
      <x:c r="J102" s="253"/>
      <x:c r="K102" s="253"/>
      <x:c r="L102" s="253"/>
      <x:c r="M102" s="253" t="str">
        <x:f>IF(AND(A102="",B102="",E102=""),"",IF(OR(A102="",B102="",C102="",D102="",E102="",J102="",AND(A102="client",COUNTIF('الزبائن'!$A$6:$A$505,B102)=0),AND(A102="proposed_name",COUNTIF('أسماء مقترحة'!$A$6:$A$505,B102)=0),AND(D102="mobile",J102&lt;&gt;"invalid",NOT(OR(AND(LEN(E102&amp;"")=10,LEFT(E102&amp;"",2)="09"),AND(LEN(E102&amp;"")=9,LEFT(E102&amp;"",1)="9")))),COUNTIFS($A$6:$A$505,A102,$B$6:$B$505,B102,$E$6:$E$505,E102)&gt;1),"REVIEW","READY"))</x:f>
      </x:c>
      <x:c r="N102" s="255" t="str">
        <x:f>IF(M102="","",IF(M102="READY","",TRIM(IF(A102="","missing entity_type; ","")&amp;IF(B102="","missing entity_key; ","")&amp;IF(C102="","missing contact_order; ","")&amp;IF(D102="","missing contact_type; ","")&amp;IF(E102="","missing number; ","")&amp;IF(J102="","missing status; ","")&amp;IF(AND(A102="client",COUNTIF('الزبائن'!$A$6:$A$505,B102)=0),"client key not found; ","")&amp;IF(AND(A102="proposed_name",COUNTIF('أسماء مقترحة'!$A$6:$A$505,B102)=0),"proposed_name key not found; ","")&amp;IF(AND(D102="mobile",J102&lt;&gt;"invalid",NOT(OR(AND(LEN(E102&amp;"")=10,LEFT(E102&amp;"",2)="09"),AND(LEN(E102&amp;"")=9,LEFT(E102&amp;"",1)="9")))),"mobile must be 09XXXXXXXX or status invalid; ","")&amp;IF(COUNTIFS($A$6:$A$505,A102,$B$6:$B$505,B102,$E$6:$E$505,E102)&gt;1,"duplicate number for same entity; ",""))))</x:f>
      </x:c>
    </x:row>
    <x:row r="103">
      <x:c r="A103" s="251"/>
      <x:c r="B103" s="252"/>
      <x:c r="C103" s="253"/>
      <x:c r="D103" s="253"/>
      <x:c r="E103" s="252"/>
      <x:c r="F103" s="252"/>
      <x:c r="G103" s="253"/>
      <x:c r="H103" s="253"/>
      <x:c r="I103" s="253"/>
      <x:c r="J103" s="253"/>
      <x:c r="K103" s="253"/>
      <x:c r="L103" s="253"/>
      <x:c r="M103" s="253" t="str">
        <x:f>IF(AND(A103="",B103="",E103=""),"",IF(OR(A103="",B103="",C103="",D103="",E103="",J103="",AND(A103="client",COUNTIF('الزبائن'!$A$6:$A$505,B103)=0),AND(A103="proposed_name",COUNTIF('أسماء مقترحة'!$A$6:$A$505,B103)=0),AND(D103="mobile",J103&lt;&gt;"invalid",NOT(OR(AND(LEN(E103&amp;"")=10,LEFT(E103&amp;"",2)="09"),AND(LEN(E103&amp;"")=9,LEFT(E103&amp;"",1)="9")))),COUNTIFS($A$6:$A$505,A103,$B$6:$B$505,B103,$E$6:$E$505,E103)&gt;1),"REVIEW","READY"))</x:f>
      </x:c>
      <x:c r="N103" s="255" t="str">
        <x:f>IF(M103="","",IF(M103="READY","",TRIM(IF(A103="","missing entity_type; ","")&amp;IF(B103="","missing entity_key; ","")&amp;IF(C103="","missing contact_order; ","")&amp;IF(D103="","missing contact_type; ","")&amp;IF(E103="","missing number; ","")&amp;IF(J103="","missing status; ","")&amp;IF(AND(A103="client",COUNTIF('الزبائن'!$A$6:$A$505,B103)=0),"client key not found; ","")&amp;IF(AND(A103="proposed_name",COUNTIF('أسماء مقترحة'!$A$6:$A$505,B103)=0),"proposed_name key not found; ","")&amp;IF(AND(D103="mobile",J103&lt;&gt;"invalid",NOT(OR(AND(LEN(E103&amp;"")=10,LEFT(E103&amp;"",2)="09"),AND(LEN(E103&amp;"")=9,LEFT(E103&amp;"",1)="9")))),"mobile must be 09XXXXXXXX or status invalid; ","")&amp;IF(COUNTIFS($A$6:$A$505,A103,$B$6:$B$505,B103,$E$6:$E$505,E103)&gt;1,"duplicate number for same entity; ",""))))</x:f>
      </x:c>
    </x:row>
    <x:row r="104">
      <x:c r="A104" s="251"/>
      <x:c r="B104" s="252"/>
      <x:c r="C104" s="253"/>
      <x:c r="D104" s="253"/>
      <x:c r="E104" s="252"/>
      <x:c r="F104" s="252"/>
      <x:c r="G104" s="253"/>
      <x:c r="H104" s="253"/>
      <x:c r="I104" s="253"/>
      <x:c r="J104" s="253"/>
      <x:c r="K104" s="253"/>
      <x:c r="L104" s="253"/>
      <x:c r="M104" s="253" t="str">
        <x:f>IF(AND(A104="",B104="",E104=""),"",IF(OR(A104="",B104="",C104="",D104="",E104="",J104="",AND(A104="client",COUNTIF('الزبائن'!$A$6:$A$505,B104)=0),AND(A104="proposed_name",COUNTIF('أسماء مقترحة'!$A$6:$A$505,B104)=0),AND(D104="mobile",J104&lt;&gt;"invalid",NOT(OR(AND(LEN(E104&amp;"")=10,LEFT(E104&amp;"",2)="09"),AND(LEN(E104&amp;"")=9,LEFT(E104&amp;"",1)="9")))),COUNTIFS($A$6:$A$505,A104,$B$6:$B$505,B104,$E$6:$E$505,E104)&gt;1),"REVIEW","READY"))</x:f>
      </x:c>
      <x:c r="N104" s="255" t="str">
        <x:f>IF(M104="","",IF(M104="READY","",TRIM(IF(A104="","missing entity_type; ","")&amp;IF(B104="","missing entity_key; ","")&amp;IF(C104="","missing contact_order; ","")&amp;IF(D104="","missing contact_type; ","")&amp;IF(E104="","missing number; ","")&amp;IF(J104="","missing status; ","")&amp;IF(AND(A104="client",COUNTIF('الزبائن'!$A$6:$A$505,B104)=0),"client key not found; ","")&amp;IF(AND(A104="proposed_name",COUNTIF('أسماء مقترحة'!$A$6:$A$505,B104)=0),"proposed_name key not found; ","")&amp;IF(AND(D104="mobile",J104&lt;&gt;"invalid",NOT(OR(AND(LEN(E104&amp;"")=10,LEFT(E104&amp;"",2)="09"),AND(LEN(E104&amp;"")=9,LEFT(E104&amp;"",1)="9")))),"mobile must be 09XXXXXXXX or status invalid; ","")&amp;IF(COUNTIFS($A$6:$A$505,A104,$B$6:$B$505,B104,$E$6:$E$505,E104)&gt;1,"duplicate number for same entity; ",""))))</x:f>
      </x:c>
    </x:row>
    <x:row r="105">
      <x:c r="A105" s="251"/>
      <x:c r="B105" s="252"/>
      <x:c r="C105" s="253"/>
      <x:c r="D105" s="253"/>
      <x:c r="E105" s="252"/>
      <x:c r="F105" s="252"/>
      <x:c r="G105" s="253"/>
      <x:c r="H105" s="253"/>
      <x:c r="I105" s="253"/>
      <x:c r="J105" s="253"/>
      <x:c r="K105" s="253"/>
      <x:c r="L105" s="253"/>
      <x:c r="M105" s="253" t="str">
        <x:f>IF(AND(A105="",B105="",E105=""),"",IF(OR(A105="",B105="",C105="",D105="",E105="",J105="",AND(A105="client",COUNTIF('الزبائن'!$A$6:$A$505,B105)=0),AND(A105="proposed_name",COUNTIF('أسماء مقترحة'!$A$6:$A$505,B105)=0),AND(D105="mobile",J105&lt;&gt;"invalid",NOT(OR(AND(LEN(E105&amp;"")=10,LEFT(E105&amp;"",2)="09"),AND(LEN(E105&amp;"")=9,LEFT(E105&amp;"",1)="9")))),COUNTIFS($A$6:$A$505,A105,$B$6:$B$505,B105,$E$6:$E$505,E105)&gt;1),"REVIEW","READY"))</x:f>
      </x:c>
      <x:c r="N105" s="255" t="str">
        <x:f>IF(M105="","",IF(M105="READY","",TRIM(IF(A105="","missing entity_type; ","")&amp;IF(B105="","missing entity_key; ","")&amp;IF(C105="","missing contact_order; ","")&amp;IF(D105="","missing contact_type; ","")&amp;IF(E105="","missing number; ","")&amp;IF(J105="","missing status; ","")&amp;IF(AND(A105="client",COUNTIF('الزبائن'!$A$6:$A$505,B105)=0),"client key not found; ","")&amp;IF(AND(A105="proposed_name",COUNTIF('أسماء مقترحة'!$A$6:$A$505,B105)=0),"proposed_name key not found; ","")&amp;IF(AND(D105="mobile",J105&lt;&gt;"invalid",NOT(OR(AND(LEN(E105&amp;"")=10,LEFT(E105&amp;"",2)="09"),AND(LEN(E105&amp;"")=9,LEFT(E105&amp;"",1)="9")))),"mobile must be 09XXXXXXXX or status invalid; ","")&amp;IF(COUNTIFS($A$6:$A$505,A105,$B$6:$B$505,B105,$E$6:$E$505,E105)&gt;1,"duplicate number for same entity; ",""))))</x:f>
      </x:c>
    </x:row>
    <x:row r="106">
      <x:c r="A106" s="251"/>
      <x:c r="B106" s="252"/>
      <x:c r="C106" s="253"/>
      <x:c r="D106" s="253"/>
      <x:c r="E106" s="252"/>
      <x:c r="F106" s="252"/>
      <x:c r="G106" s="253"/>
      <x:c r="H106" s="253"/>
      <x:c r="I106" s="253"/>
      <x:c r="J106" s="253"/>
      <x:c r="K106" s="253"/>
      <x:c r="L106" s="253"/>
      <x:c r="M106" s="253" t="str">
        <x:f>IF(AND(A106="",B106="",E106=""),"",IF(OR(A106="",B106="",C106="",D106="",E106="",J106="",AND(A106="client",COUNTIF('الزبائن'!$A$6:$A$505,B106)=0),AND(A106="proposed_name",COUNTIF('أسماء مقترحة'!$A$6:$A$505,B106)=0),AND(D106="mobile",J106&lt;&gt;"invalid",NOT(OR(AND(LEN(E106&amp;"")=10,LEFT(E106&amp;"",2)="09"),AND(LEN(E106&amp;"")=9,LEFT(E106&amp;"",1)="9")))),COUNTIFS($A$6:$A$505,A106,$B$6:$B$505,B106,$E$6:$E$505,E106)&gt;1),"REVIEW","READY"))</x:f>
      </x:c>
      <x:c r="N106" s="255" t="str">
        <x:f>IF(M106="","",IF(M106="READY","",TRIM(IF(A106="","missing entity_type; ","")&amp;IF(B106="","missing entity_key; ","")&amp;IF(C106="","missing contact_order; ","")&amp;IF(D106="","missing contact_type; ","")&amp;IF(E106="","missing number; ","")&amp;IF(J106="","missing status; ","")&amp;IF(AND(A106="client",COUNTIF('الزبائن'!$A$6:$A$505,B106)=0),"client key not found; ","")&amp;IF(AND(A106="proposed_name",COUNTIF('أسماء مقترحة'!$A$6:$A$505,B106)=0),"proposed_name key not found; ","")&amp;IF(AND(D106="mobile",J106&lt;&gt;"invalid",NOT(OR(AND(LEN(E106&amp;"")=10,LEFT(E106&amp;"",2)="09"),AND(LEN(E106&amp;"")=9,LEFT(E106&amp;"",1)="9")))),"mobile must be 09XXXXXXXX or status invalid; ","")&amp;IF(COUNTIFS($A$6:$A$505,A106,$B$6:$B$505,B106,$E$6:$E$505,E106)&gt;1,"duplicate number for same entity; ",""))))</x:f>
      </x:c>
    </x:row>
    <x:row r="107">
      <x:c r="A107" s="251"/>
      <x:c r="B107" s="252"/>
      <x:c r="C107" s="253"/>
      <x:c r="D107" s="253"/>
      <x:c r="E107" s="252"/>
      <x:c r="F107" s="252"/>
      <x:c r="G107" s="253"/>
      <x:c r="H107" s="253"/>
      <x:c r="I107" s="253"/>
      <x:c r="J107" s="253"/>
      <x:c r="K107" s="253"/>
      <x:c r="L107" s="253"/>
      <x:c r="M107" s="253" t="str">
        <x:f>IF(AND(A107="",B107="",E107=""),"",IF(OR(A107="",B107="",C107="",D107="",E107="",J107="",AND(A107="client",COUNTIF('الزبائن'!$A$6:$A$505,B107)=0),AND(A107="proposed_name",COUNTIF('أسماء مقترحة'!$A$6:$A$505,B107)=0),AND(D107="mobile",J107&lt;&gt;"invalid",NOT(OR(AND(LEN(E107&amp;"")=10,LEFT(E107&amp;"",2)="09"),AND(LEN(E107&amp;"")=9,LEFT(E107&amp;"",1)="9")))),COUNTIFS($A$6:$A$505,A107,$B$6:$B$505,B107,$E$6:$E$505,E107)&gt;1),"REVIEW","READY"))</x:f>
      </x:c>
      <x:c r="N107" s="255" t="str">
        <x:f>IF(M107="","",IF(M107="READY","",TRIM(IF(A107="","missing entity_type; ","")&amp;IF(B107="","missing entity_key; ","")&amp;IF(C107="","missing contact_order; ","")&amp;IF(D107="","missing contact_type; ","")&amp;IF(E107="","missing number; ","")&amp;IF(J107="","missing status; ","")&amp;IF(AND(A107="client",COUNTIF('الزبائن'!$A$6:$A$505,B107)=0),"client key not found; ","")&amp;IF(AND(A107="proposed_name",COUNTIF('أسماء مقترحة'!$A$6:$A$505,B107)=0),"proposed_name key not found; ","")&amp;IF(AND(D107="mobile",J107&lt;&gt;"invalid",NOT(OR(AND(LEN(E107&amp;"")=10,LEFT(E107&amp;"",2)="09"),AND(LEN(E107&amp;"")=9,LEFT(E107&amp;"",1)="9")))),"mobile must be 09XXXXXXXX or status invalid; ","")&amp;IF(COUNTIFS($A$6:$A$505,A107,$B$6:$B$505,B107,$E$6:$E$505,E107)&gt;1,"duplicate number for same entity; ",""))))</x:f>
      </x:c>
    </x:row>
    <x:row r="108">
      <x:c r="A108" s="251"/>
      <x:c r="B108" s="252"/>
      <x:c r="C108" s="253"/>
      <x:c r="D108" s="253"/>
      <x:c r="E108" s="252"/>
      <x:c r="F108" s="252"/>
      <x:c r="G108" s="253"/>
      <x:c r="H108" s="253"/>
      <x:c r="I108" s="253"/>
      <x:c r="J108" s="253"/>
      <x:c r="K108" s="253"/>
      <x:c r="L108" s="253"/>
      <x:c r="M108" s="253" t="str">
        <x:f>IF(AND(A108="",B108="",E108=""),"",IF(OR(A108="",B108="",C108="",D108="",E108="",J108="",AND(A108="client",COUNTIF('الزبائن'!$A$6:$A$505,B108)=0),AND(A108="proposed_name",COUNTIF('أسماء مقترحة'!$A$6:$A$505,B108)=0),AND(D108="mobile",J108&lt;&gt;"invalid",NOT(OR(AND(LEN(E108&amp;"")=10,LEFT(E108&amp;"",2)="09"),AND(LEN(E108&amp;"")=9,LEFT(E108&amp;"",1)="9")))),COUNTIFS($A$6:$A$505,A108,$B$6:$B$505,B108,$E$6:$E$505,E108)&gt;1),"REVIEW","READY"))</x:f>
      </x:c>
      <x:c r="N108" s="255" t="str">
        <x:f>IF(M108="","",IF(M108="READY","",TRIM(IF(A108="","missing entity_type; ","")&amp;IF(B108="","missing entity_key; ","")&amp;IF(C108="","missing contact_order; ","")&amp;IF(D108="","missing contact_type; ","")&amp;IF(E108="","missing number; ","")&amp;IF(J108="","missing status; ","")&amp;IF(AND(A108="client",COUNTIF('الزبائن'!$A$6:$A$505,B108)=0),"client key not found; ","")&amp;IF(AND(A108="proposed_name",COUNTIF('أسماء مقترحة'!$A$6:$A$505,B108)=0),"proposed_name key not found; ","")&amp;IF(AND(D108="mobile",J108&lt;&gt;"invalid",NOT(OR(AND(LEN(E108&amp;"")=10,LEFT(E108&amp;"",2)="09"),AND(LEN(E108&amp;"")=9,LEFT(E108&amp;"",1)="9")))),"mobile must be 09XXXXXXXX or status invalid; ","")&amp;IF(COUNTIFS($A$6:$A$505,A108,$B$6:$B$505,B108,$E$6:$E$505,E108)&gt;1,"duplicate number for same entity; ",""))))</x:f>
      </x:c>
    </x:row>
    <x:row r="109">
      <x:c r="A109" s="251"/>
      <x:c r="B109" s="252"/>
      <x:c r="C109" s="253"/>
      <x:c r="D109" s="253"/>
      <x:c r="E109" s="252"/>
      <x:c r="F109" s="252"/>
      <x:c r="G109" s="253"/>
      <x:c r="H109" s="253"/>
      <x:c r="I109" s="253"/>
      <x:c r="J109" s="253"/>
      <x:c r="K109" s="253"/>
      <x:c r="L109" s="253"/>
      <x:c r="M109" s="253" t="str">
        <x:f>IF(AND(A109="",B109="",E109=""),"",IF(OR(A109="",B109="",C109="",D109="",E109="",J109="",AND(A109="client",COUNTIF('الزبائن'!$A$6:$A$505,B109)=0),AND(A109="proposed_name",COUNTIF('أسماء مقترحة'!$A$6:$A$505,B109)=0),AND(D109="mobile",J109&lt;&gt;"invalid",NOT(OR(AND(LEN(E109&amp;"")=10,LEFT(E109&amp;"",2)="09"),AND(LEN(E109&amp;"")=9,LEFT(E109&amp;"",1)="9")))),COUNTIFS($A$6:$A$505,A109,$B$6:$B$505,B109,$E$6:$E$505,E109)&gt;1),"REVIEW","READY"))</x:f>
      </x:c>
      <x:c r="N109" s="255" t="str">
        <x:f>IF(M109="","",IF(M109="READY","",TRIM(IF(A109="","missing entity_type; ","")&amp;IF(B109="","missing entity_key; ","")&amp;IF(C109="","missing contact_order; ","")&amp;IF(D109="","missing contact_type; ","")&amp;IF(E109="","missing number; ","")&amp;IF(J109="","missing status; ","")&amp;IF(AND(A109="client",COUNTIF('الزبائن'!$A$6:$A$505,B109)=0),"client key not found; ","")&amp;IF(AND(A109="proposed_name",COUNTIF('أسماء مقترحة'!$A$6:$A$505,B109)=0),"proposed_name key not found; ","")&amp;IF(AND(D109="mobile",J109&lt;&gt;"invalid",NOT(OR(AND(LEN(E109&amp;"")=10,LEFT(E109&amp;"",2)="09"),AND(LEN(E109&amp;"")=9,LEFT(E109&amp;"",1)="9")))),"mobile must be 09XXXXXXXX or status invalid; ","")&amp;IF(COUNTIFS($A$6:$A$505,A109,$B$6:$B$505,B109,$E$6:$E$505,E109)&gt;1,"duplicate number for same entity; ",""))))</x:f>
      </x:c>
    </x:row>
    <x:row r="110">
      <x:c r="A110" s="251"/>
      <x:c r="B110" s="252"/>
      <x:c r="C110" s="253"/>
      <x:c r="D110" s="253"/>
      <x:c r="E110" s="252"/>
      <x:c r="F110" s="252"/>
      <x:c r="G110" s="253"/>
      <x:c r="H110" s="253"/>
      <x:c r="I110" s="253"/>
      <x:c r="J110" s="253"/>
      <x:c r="K110" s="253"/>
      <x:c r="L110" s="253"/>
      <x:c r="M110" s="253" t="str">
        <x:f>IF(AND(A110="",B110="",E110=""),"",IF(OR(A110="",B110="",C110="",D110="",E110="",J110="",AND(A110="client",COUNTIF('الزبائن'!$A$6:$A$505,B110)=0),AND(A110="proposed_name",COUNTIF('أسماء مقترحة'!$A$6:$A$505,B110)=0),AND(D110="mobile",J110&lt;&gt;"invalid",NOT(OR(AND(LEN(E110&amp;"")=10,LEFT(E110&amp;"",2)="09"),AND(LEN(E110&amp;"")=9,LEFT(E110&amp;"",1)="9")))),COUNTIFS($A$6:$A$505,A110,$B$6:$B$505,B110,$E$6:$E$505,E110)&gt;1),"REVIEW","READY"))</x:f>
      </x:c>
      <x:c r="N110" s="255" t="str">
        <x:f>IF(M110="","",IF(M110="READY","",TRIM(IF(A110="","missing entity_type; ","")&amp;IF(B110="","missing entity_key; ","")&amp;IF(C110="","missing contact_order; ","")&amp;IF(D110="","missing contact_type; ","")&amp;IF(E110="","missing number; ","")&amp;IF(J110="","missing status; ","")&amp;IF(AND(A110="client",COUNTIF('الزبائن'!$A$6:$A$505,B110)=0),"client key not found; ","")&amp;IF(AND(A110="proposed_name",COUNTIF('أسماء مقترحة'!$A$6:$A$505,B110)=0),"proposed_name key not found; ","")&amp;IF(AND(D110="mobile",J110&lt;&gt;"invalid",NOT(OR(AND(LEN(E110&amp;"")=10,LEFT(E110&amp;"",2)="09"),AND(LEN(E110&amp;"")=9,LEFT(E110&amp;"",1)="9")))),"mobile must be 09XXXXXXXX or status invalid; ","")&amp;IF(COUNTIFS($A$6:$A$505,A110,$B$6:$B$505,B110,$E$6:$E$505,E110)&gt;1,"duplicate number for same entity; ",""))))</x:f>
      </x:c>
    </x:row>
    <x:row r="111">
      <x:c r="A111" s="251"/>
      <x:c r="B111" s="252"/>
      <x:c r="C111" s="253"/>
      <x:c r="D111" s="253"/>
      <x:c r="E111" s="252"/>
      <x:c r="F111" s="252"/>
      <x:c r="G111" s="253"/>
      <x:c r="H111" s="253"/>
      <x:c r="I111" s="253"/>
      <x:c r="J111" s="253"/>
      <x:c r="K111" s="253"/>
      <x:c r="L111" s="253"/>
      <x:c r="M111" s="253" t="str">
        <x:f>IF(AND(A111="",B111="",E111=""),"",IF(OR(A111="",B111="",C111="",D111="",E111="",J111="",AND(A111="client",COUNTIF('الزبائن'!$A$6:$A$505,B111)=0),AND(A111="proposed_name",COUNTIF('أسماء مقترحة'!$A$6:$A$505,B111)=0),AND(D111="mobile",J111&lt;&gt;"invalid",NOT(OR(AND(LEN(E111&amp;"")=10,LEFT(E111&amp;"",2)="09"),AND(LEN(E111&amp;"")=9,LEFT(E111&amp;"",1)="9")))),COUNTIFS($A$6:$A$505,A111,$B$6:$B$505,B111,$E$6:$E$505,E111)&gt;1),"REVIEW","READY"))</x:f>
      </x:c>
      <x:c r="N111" s="255" t="str">
        <x:f>IF(M111="","",IF(M111="READY","",TRIM(IF(A111="","missing entity_type; ","")&amp;IF(B111="","missing entity_key; ","")&amp;IF(C111="","missing contact_order; ","")&amp;IF(D111="","missing contact_type; ","")&amp;IF(E111="","missing number; ","")&amp;IF(J111="","missing status; ","")&amp;IF(AND(A111="client",COUNTIF('الزبائن'!$A$6:$A$505,B111)=0),"client key not found; ","")&amp;IF(AND(A111="proposed_name",COUNTIF('أسماء مقترحة'!$A$6:$A$505,B111)=0),"proposed_name key not found; ","")&amp;IF(AND(D111="mobile",J111&lt;&gt;"invalid",NOT(OR(AND(LEN(E111&amp;"")=10,LEFT(E111&amp;"",2)="09"),AND(LEN(E111&amp;"")=9,LEFT(E111&amp;"",1)="9")))),"mobile must be 09XXXXXXXX or status invalid; ","")&amp;IF(COUNTIFS($A$6:$A$505,A111,$B$6:$B$505,B111,$E$6:$E$505,E111)&gt;1,"duplicate number for same entity; ",""))))</x:f>
      </x:c>
    </x:row>
    <x:row r="112">
      <x:c r="A112" s="251"/>
      <x:c r="B112" s="252"/>
      <x:c r="C112" s="253"/>
      <x:c r="D112" s="253"/>
      <x:c r="E112" s="252"/>
      <x:c r="F112" s="252"/>
      <x:c r="G112" s="253"/>
      <x:c r="H112" s="253"/>
      <x:c r="I112" s="253"/>
      <x:c r="J112" s="253"/>
      <x:c r="K112" s="253"/>
      <x:c r="L112" s="253"/>
      <x:c r="M112" s="253" t="str">
        <x:f>IF(AND(A112="",B112="",E112=""),"",IF(OR(A112="",B112="",C112="",D112="",E112="",J112="",AND(A112="client",COUNTIF('الزبائن'!$A$6:$A$505,B112)=0),AND(A112="proposed_name",COUNTIF('أسماء مقترحة'!$A$6:$A$505,B112)=0),AND(D112="mobile",J112&lt;&gt;"invalid",NOT(OR(AND(LEN(E112&amp;"")=10,LEFT(E112&amp;"",2)="09"),AND(LEN(E112&amp;"")=9,LEFT(E112&amp;"",1)="9")))),COUNTIFS($A$6:$A$505,A112,$B$6:$B$505,B112,$E$6:$E$505,E112)&gt;1),"REVIEW","READY"))</x:f>
      </x:c>
      <x:c r="N112" s="255" t="str">
        <x:f>IF(M112="","",IF(M112="READY","",TRIM(IF(A112="","missing entity_type; ","")&amp;IF(B112="","missing entity_key; ","")&amp;IF(C112="","missing contact_order; ","")&amp;IF(D112="","missing contact_type; ","")&amp;IF(E112="","missing number; ","")&amp;IF(J112="","missing status; ","")&amp;IF(AND(A112="client",COUNTIF('الزبائن'!$A$6:$A$505,B112)=0),"client key not found; ","")&amp;IF(AND(A112="proposed_name",COUNTIF('أسماء مقترحة'!$A$6:$A$505,B112)=0),"proposed_name key not found; ","")&amp;IF(AND(D112="mobile",J112&lt;&gt;"invalid",NOT(OR(AND(LEN(E112&amp;"")=10,LEFT(E112&amp;"",2)="09"),AND(LEN(E112&amp;"")=9,LEFT(E112&amp;"",1)="9")))),"mobile must be 09XXXXXXXX or status invalid; ","")&amp;IF(COUNTIFS($A$6:$A$505,A112,$B$6:$B$505,B112,$E$6:$E$505,E112)&gt;1,"duplicate number for same entity; ",""))))</x:f>
      </x:c>
    </x:row>
    <x:row r="113">
      <x:c r="A113" s="251"/>
      <x:c r="B113" s="252"/>
      <x:c r="C113" s="253"/>
      <x:c r="D113" s="253"/>
      <x:c r="E113" s="252"/>
      <x:c r="F113" s="252"/>
      <x:c r="G113" s="253"/>
      <x:c r="H113" s="253"/>
      <x:c r="I113" s="253"/>
      <x:c r="J113" s="253"/>
      <x:c r="K113" s="253"/>
      <x:c r="L113" s="253"/>
      <x:c r="M113" s="253" t="str">
        <x:f>IF(AND(A113="",B113="",E113=""),"",IF(OR(A113="",B113="",C113="",D113="",E113="",J113="",AND(A113="client",COUNTIF('الزبائن'!$A$6:$A$505,B113)=0),AND(A113="proposed_name",COUNTIF('أسماء مقترحة'!$A$6:$A$505,B113)=0),AND(D113="mobile",J113&lt;&gt;"invalid",NOT(OR(AND(LEN(E113&amp;"")=10,LEFT(E113&amp;"",2)="09"),AND(LEN(E113&amp;"")=9,LEFT(E113&amp;"",1)="9")))),COUNTIFS($A$6:$A$505,A113,$B$6:$B$505,B113,$E$6:$E$505,E113)&gt;1),"REVIEW","READY"))</x:f>
      </x:c>
      <x:c r="N113" s="255" t="str">
        <x:f>IF(M113="","",IF(M113="READY","",TRIM(IF(A113="","missing entity_type; ","")&amp;IF(B113="","missing entity_key; ","")&amp;IF(C113="","missing contact_order; ","")&amp;IF(D113="","missing contact_type; ","")&amp;IF(E113="","missing number; ","")&amp;IF(J113="","missing status; ","")&amp;IF(AND(A113="client",COUNTIF('الزبائن'!$A$6:$A$505,B113)=0),"client key not found; ","")&amp;IF(AND(A113="proposed_name",COUNTIF('أسماء مقترحة'!$A$6:$A$505,B113)=0),"proposed_name key not found; ","")&amp;IF(AND(D113="mobile",J113&lt;&gt;"invalid",NOT(OR(AND(LEN(E113&amp;"")=10,LEFT(E113&amp;"",2)="09"),AND(LEN(E113&amp;"")=9,LEFT(E113&amp;"",1)="9")))),"mobile must be 09XXXXXXXX or status invalid; ","")&amp;IF(COUNTIFS($A$6:$A$505,A113,$B$6:$B$505,B113,$E$6:$E$505,E113)&gt;1,"duplicate number for same entity; ",""))))</x:f>
      </x:c>
    </x:row>
    <x:row r="114">
      <x:c r="A114" s="251"/>
      <x:c r="B114" s="252"/>
      <x:c r="C114" s="253"/>
      <x:c r="D114" s="253"/>
      <x:c r="E114" s="252"/>
      <x:c r="F114" s="252"/>
      <x:c r="G114" s="253"/>
      <x:c r="H114" s="253"/>
      <x:c r="I114" s="253"/>
      <x:c r="J114" s="253"/>
      <x:c r="K114" s="253"/>
      <x:c r="L114" s="253"/>
      <x:c r="M114" s="253" t="str">
        <x:f>IF(AND(A114="",B114="",E114=""),"",IF(OR(A114="",B114="",C114="",D114="",E114="",J114="",AND(A114="client",COUNTIF('الزبائن'!$A$6:$A$505,B114)=0),AND(A114="proposed_name",COUNTIF('أسماء مقترحة'!$A$6:$A$505,B114)=0),AND(D114="mobile",J114&lt;&gt;"invalid",NOT(OR(AND(LEN(E114&amp;"")=10,LEFT(E114&amp;"",2)="09"),AND(LEN(E114&amp;"")=9,LEFT(E114&amp;"",1)="9")))),COUNTIFS($A$6:$A$505,A114,$B$6:$B$505,B114,$E$6:$E$505,E114)&gt;1),"REVIEW","READY"))</x:f>
      </x:c>
      <x:c r="N114" s="255" t="str">
        <x:f>IF(M114="","",IF(M114="READY","",TRIM(IF(A114="","missing entity_type; ","")&amp;IF(B114="","missing entity_key; ","")&amp;IF(C114="","missing contact_order; ","")&amp;IF(D114="","missing contact_type; ","")&amp;IF(E114="","missing number; ","")&amp;IF(J114="","missing status; ","")&amp;IF(AND(A114="client",COUNTIF('الزبائن'!$A$6:$A$505,B114)=0),"client key not found; ","")&amp;IF(AND(A114="proposed_name",COUNTIF('أسماء مقترحة'!$A$6:$A$505,B114)=0),"proposed_name key not found; ","")&amp;IF(AND(D114="mobile",J114&lt;&gt;"invalid",NOT(OR(AND(LEN(E114&amp;"")=10,LEFT(E114&amp;"",2)="09"),AND(LEN(E114&amp;"")=9,LEFT(E114&amp;"",1)="9")))),"mobile must be 09XXXXXXXX or status invalid; ","")&amp;IF(COUNTIFS($A$6:$A$505,A114,$B$6:$B$505,B114,$E$6:$E$505,E114)&gt;1,"duplicate number for same entity; ",""))))</x:f>
      </x:c>
    </x:row>
    <x:row r="115">
      <x:c r="A115" s="251"/>
      <x:c r="B115" s="252"/>
      <x:c r="C115" s="253"/>
      <x:c r="D115" s="253"/>
      <x:c r="E115" s="252"/>
      <x:c r="F115" s="252"/>
      <x:c r="G115" s="253"/>
      <x:c r="H115" s="253"/>
      <x:c r="I115" s="253"/>
      <x:c r="J115" s="253"/>
      <x:c r="K115" s="253"/>
      <x:c r="L115" s="253"/>
      <x:c r="M115" s="253" t="str">
        <x:f>IF(AND(A115="",B115="",E115=""),"",IF(OR(A115="",B115="",C115="",D115="",E115="",J115="",AND(A115="client",COUNTIF('الزبائن'!$A$6:$A$505,B115)=0),AND(A115="proposed_name",COUNTIF('أسماء مقترحة'!$A$6:$A$505,B115)=0),AND(D115="mobile",J115&lt;&gt;"invalid",NOT(OR(AND(LEN(E115&amp;"")=10,LEFT(E115&amp;"",2)="09"),AND(LEN(E115&amp;"")=9,LEFT(E115&amp;"",1)="9")))),COUNTIFS($A$6:$A$505,A115,$B$6:$B$505,B115,$E$6:$E$505,E115)&gt;1),"REVIEW","READY"))</x:f>
      </x:c>
      <x:c r="N115" s="255" t="str">
        <x:f>IF(M115="","",IF(M115="READY","",TRIM(IF(A115="","missing entity_type; ","")&amp;IF(B115="","missing entity_key; ","")&amp;IF(C115="","missing contact_order; ","")&amp;IF(D115="","missing contact_type; ","")&amp;IF(E115="","missing number; ","")&amp;IF(J115="","missing status; ","")&amp;IF(AND(A115="client",COUNTIF('الزبائن'!$A$6:$A$505,B115)=0),"client key not found; ","")&amp;IF(AND(A115="proposed_name",COUNTIF('أسماء مقترحة'!$A$6:$A$505,B115)=0),"proposed_name key not found; ","")&amp;IF(AND(D115="mobile",J115&lt;&gt;"invalid",NOT(OR(AND(LEN(E115&amp;"")=10,LEFT(E115&amp;"",2)="09"),AND(LEN(E115&amp;"")=9,LEFT(E115&amp;"",1)="9")))),"mobile must be 09XXXXXXXX or status invalid; ","")&amp;IF(COUNTIFS($A$6:$A$505,A115,$B$6:$B$505,B115,$E$6:$E$505,E115)&gt;1,"duplicate number for same entity; ",""))))</x:f>
      </x:c>
    </x:row>
    <x:row r="116">
      <x:c r="A116" s="251"/>
      <x:c r="B116" s="252"/>
      <x:c r="C116" s="253"/>
      <x:c r="D116" s="253"/>
      <x:c r="E116" s="252"/>
      <x:c r="F116" s="252"/>
      <x:c r="G116" s="253"/>
      <x:c r="H116" s="253"/>
      <x:c r="I116" s="253"/>
      <x:c r="J116" s="253"/>
      <x:c r="K116" s="253"/>
      <x:c r="L116" s="253"/>
      <x:c r="M116" s="253" t="str">
        <x:f>IF(AND(A116="",B116="",E116=""),"",IF(OR(A116="",B116="",C116="",D116="",E116="",J116="",AND(A116="client",COUNTIF('الزبائن'!$A$6:$A$505,B116)=0),AND(A116="proposed_name",COUNTIF('أسماء مقترحة'!$A$6:$A$505,B116)=0),AND(D116="mobile",J116&lt;&gt;"invalid",NOT(OR(AND(LEN(E116&amp;"")=10,LEFT(E116&amp;"",2)="09"),AND(LEN(E116&amp;"")=9,LEFT(E116&amp;"",1)="9")))),COUNTIFS($A$6:$A$505,A116,$B$6:$B$505,B116,$E$6:$E$505,E116)&gt;1),"REVIEW","READY"))</x:f>
      </x:c>
      <x:c r="N116" s="255" t="str">
        <x:f>IF(M116="","",IF(M116="READY","",TRIM(IF(A116="","missing entity_type; ","")&amp;IF(B116="","missing entity_key; ","")&amp;IF(C116="","missing contact_order; ","")&amp;IF(D116="","missing contact_type; ","")&amp;IF(E116="","missing number; ","")&amp;IF(J116="","missing status; ","")&amp;IF(AND(A116="client",COUNTIF('الزبائن'!$A$6:$A$505,B116)=0),"client key not found; ","")&amp;IF(AND(A116="proposed_name",COUNTIF('أسماء مقترحة'!$A$6:$A$505,B116)=0),"proposed_name key not found; ","")&amp;IF(AND(D116="mobile",J116&lt;&gt;"invalid",NOT(OR(AND(LEN(E116&amp;"")=10,LEFT(E116&amp;"",2)="09"),AND(LEN(E116&amp;"")=9,LEFT(E116&amp;"",1)="9")))),"mobile must be 09XXXXXXXX or status invalid; ","")&amp;IF(COUNTIFS($A$6:$A$505,A116,$B$6:$B$505,B116,$E$6:$E$505,E116)&gt;1,"duplicate number for same entity; ",""))))</x:f>
      </x:c>
    </x:row>
    <x:row r="117">
      <x:c r="A117" s="251"/>
      <x:c r="B117" s="252"/>
      <x:c r="C117" s="253"/>
      <x:c r="D117" s="253"/>
      <x:c r="E117" s="252"/>
      <x:c r="F117" s="252"/>
      <x:c r="G117" s="253"/>
      <x:c r="H117" s="253"/>
      <x:c r="I117" s="253"/>
      <x:c r="J117" s="253"/>
      <x:c r="K117" s="253"/>
      <x:c r="L117" s="253"/>
      <x:c r="M117" s="253" t="str">
        <x:f>IF(AND(A117="",B117="",E117=""),"",IF(OR(A117="",B117="",C117="",D117="",E117="",J117="",AND(A117="client",COUNTIF('الزبائن'!$A$6:$A$505,B117)=0),AND(A117="proposed_name",COUNTIF('أسماء مقترحة'!$A$6:$A$505,B117)=0),AND(D117="mobile",J117&lt;&gt;"invalid",NOT(OR(AND(LEN(E117&amp;"")=10,LEFT(E117&amp;"",2)="09"),AND(LEN(E117&amp;"")=9,LEFT(E117&amp;"",1)="9")))),COUNTIFS($A$6:$A$505,A117,$B$6:$B$505,B117,$E$6:$E$505,E117)&gt;1),"REVIEW","READY"))</x:f>
      </x:c>
      <x:c r="N117" s="255" t="str">
        <x:f>IF(M117="","",IF(M117="READY","",TRIM(IF(A117="","missing entity_type; ","")&amp;IF(B117="","missing entity_key; ","")&amp;IF(C117="","missing contact_order; ","")&amp;IF(D117="","missing contact_type; ","")&amp;IF(E117="","missing number; ","")&amp;IF(J117="","missing status; ","")&amp;IF(AND(A117="client",COUNTIF('الزبائن'!$A$6:$A$505,B117)=0),"client key not found; ","")&amp;IF(AND(A117="proposed_name",COUNTIF('أسماء مقترحة'!$A$6:$A$505,B117)=0),"proposed_name key not found; ","")&amp;IF(AND(D117="mobile",J117&lt;&gt;"invalid",NOT(OR(AND(LEN(E117&amp;"")=10,LEFT(E117&amp;"",2)="09"),AND(LEN(E117&amp;"")=9,LEFT(E117&amp;"",1)="9")))),"mobile must be 09XXXXXXXX or status invalid; ","")&amp;IF(COUNTIFS($A$6:$A$505,A117,$B$6:$B$505,B117,$E$6:$E$505,E117)&gt;1,"duplicate number for same entity; ",""))))</x:f>
      </x:c>
    </x:row>
    <x:row r="118">
      <x:c r="A118" s="251"/>
      <x:c r="B118" s="252"/>
      <x:c r="C118" s="253"/>
      <x:c r="D118" s="253"/>
      <x:c r="E118" s="252"/>
      <x:c r="F118" s="252"/>
      <x:c r="G118" s="253"/>
      <x:c r="H118" s="253"/>
      <x:c r="I118" s="253"/>
      <x:c r="J118" s="253"/>
      <x:c r="K118" s="253"/>
      <x:c r="L118" s="253"/>
      <x:c r="M118" s="253" t="str">
        <x:f>IF(AND(A118="",B118="",E118=""),"",IF(OR(A118="",B118="",C118="",D118="",E118="",J118="",AND(A118="client",COUNTIF('الزبائن'!$A$6:$A$505,B118)=0),AND(A118="proposed_name",COUNTIF('أسماء مقترحة'!$A$6:$A$505,B118)=0),AND(D118="mobile",J118&lt;&gt;"invalid",NOT(OR(AND(LEN(E118&amp;"")=10,LEFT(E118&amp;"",2)="09"),AND(LEN(E118&amp;"")=9,LEFT(E118&amp;"",1)="9")))),COUNTIFS($A$6:$A$505,A118,$B$6:$B$505,B118,$E$6:$E$505,E118)&gt;1),"REVIEW","READY"))</x:f>
      </x:c>
      <x:c r="N118" s="255" t="str">
        <x:f>IF(M118="","",IF(M118="READY","",TRIM(IF(A118="","missing entity_type; ","")&amp;IF(B118="","missing entity_key; ","")&amp;IF(C118="","missing contact_order; ","")&amp;IF(D118="","missing contact_type; ","")&amp;IF(E118="","missing number; ","")&amp;IF(J118="","missing status; ","")&amp;IF(AND(A118="client",COUNTIF('الزبائن'!$A$6:$A$505,B118)=0),"client key not found; ","")&amp;IF(AND(A118="proposed_name",COUNTIF('أسماء مقترحة'!$A$6:$A$505,B118)=0),"proposed_name key not found; ","")&amp;IF(AND(D118="mobile",J118&lt;&gt;"invalid",NOT(OR(AND(LEN(E118&amp;"")=10,LEFT(E118&amp;"",2)="09"),AND(LEN(E118&amp;"")=9,LEFT(E118&amp;"",1)="9")))),"mobile must be 09XXXXXXXX or status invalid; ","")&amp;IF(COUNTIFS($A$6:$A$505,A118,$B$6:$B$505,B118,$E$6:$E$505,E118)&gt;1,"duplicate number for same entity; ",""))))</x:f>
      </x:c>
    </x:row>
    <x:row r="119">
      <x:c r="A119" s="251"/>
      <x:c r="B119" s="252"/>
      <x:c r="C119" s="253"/>
      <x:c r="D119" s="253"/>
      <x:c r="E119" s="252"/>
      <x:c r="F119" s="252"/>
      <x:c r="G119" s="253"/>
      <x:c r="H119" s="253"/>
      <x:c r="I119" s="253"/>
      <x:c r="J119" s="253"/>
      <x:c r="K119" s="253"/>
      <x:c r="L119" s="253"/>
      <x:c r="M119" s="253" t="str">
        <x:f>IF(AND(A119="",B119="",E119=""),"",IF(OR(A119="",B119="",C119="",D119="",E119="",J119="",AND(A119="client",COUNTIF('الزبائن'!$A$6:$A$505,B119)=0),AND(A119="proposed_name",COUNTIF('أسماء مقترحة'!$A$6:$A$505,B119)=0),AND(D119="mobile",J119&lt;&gt;"invalid",NOT(OR(AND(LEN(E119&amp;"")=10,LEFT(E119&amp;"",2)="09"),AND(LEN(E119&amp;"")=9,LEFT(E119&amp;"",1)="9")))),COUNTIFS($A$6:$A$505,A119,$B$6:$B$505,B119,$E$6:$E$505,E119)&gt;1),"REVIEW","READY"))</x:f>
      </x:c>
      <x:c r="N119" s="255" t="str">
        <x:f>IF(M119="","",IF(M119="READY","",TRIM(IF(A119="","missing entity_type; ","")&amp;IF(B119="","missing entity_key; ","")&amp;IF(C119="","missing contact_order; ","")&amp;IF(D119="","missing contact_type; ","")&amp;IF(E119="","missing number; ","")&amp;IF(J119="","missing status; ","")&amp;IF(AND(A119="client",COUNTIF('الزبائن'!$A$6:$A$505,B119)=0),"client key not found; ","")&amp;IF(AND(A119="proposed_name",COUNTIF('أسماء مقترحة'!$A$6:$A$505,B119)=0),"proposed_name key not found; ","")&amp;IF(AND(D119="mobile",J119&lt;&gt;"invalid",NOT(OR(AND(LEN(E119&amp;"")=10,LEFT(E119&amp;"",2)="09"),AND(LEN(E119&amp;"")=9,LEFT(E119&amp;"",1)="9")))),"mobile must be 09XXXXXXXX or status invalid; ","")&amp;IF(COUNTIFS($A$6:$A$505,A119,$B$6:$B$505,B119,$E$6:$E$505,E119)&gt;1,"duplicate number for same entity; ",""))))</x:f>
      </x:c>
    </x:row>
    <x:row r="120">
      <x:c r="A120" s="251"/>
      <x:c r="B120" s="252"/>
      <x:c r="C120" s="253"/>
      <x:c r="D120" s="253"/>
      <x:c r="E120" s="252"/>
      <x:c r="F120" s="252"/>
      <x:c r="G120" s="253"/>
      <x:c r="H120" s="253"/>
      <x:c r="I120" s="253"/>
      <x:c r="J120" s="253"/>
      <x:c r="K120" s="253"/>
      <x:c r="L120" s="253"/>
      <x:c r="M120" s="253" t="str">
        <x:f>IF(AND(A120="",B120="",E120=""),"",IF(OR(A120="",B120="",C120="",D120="",E120="",J120="",AND(A120="client",COUNTIF('الزبائن'!$A$6:$A$505,B120)=0),AND(A120="proposed_name",COUNTIF('أسماء مقترحة'!$A$6:$A$505,B120)=0),AND(D120="mobile",J120&lt;&gt;"invalid",NOT(OR(AND(LEN(E120&amp;"")=10,LEFT(E120&amp;"",2)="09"),AND(LEN(E120&amp;"")=9,LEFT(E120&amp;"",1)="9")))),COUNTIFS($A$6:$A$505,A120,$B$6:$B$505,B120,$E$6:$E$505,E120)&gt;1),"REVIEW","READY"))</x:f>
      </x:c>
      <x:c r="N120" s="255" t="str">
        <x:f>IF(M120="","",IF(M120="READY","",TRIM(IF(A120="","missing entity_type; ","")&amp;IF(B120="","missing entity_key; ","")&amp;IF(C120="","missing contact_order; ","")&amp;IF(D120="","missing contact_type; ","")&amp;IF(E120="","missing number; ","")&amp;IF(J120="","missing status; ","")&amp;IF(AND(A120="client",COUNTIF('الزبائن'!$A$6:$A$505,B120)=0),"client key not found; ","")&amp;IF(AND(A120="proposed_name",COUNTIF('أسماء مقترحة'!$A$6:$A$505,B120)=0),"proposed_name key not found; ","")&amp;IF(AND(D120="mobile",J120&lt;&gt;"invalid",NOT(OR(AND(LEN(E120&amp;"")=10,LEFT(E120&amp;"",2)="09"),AND(LEN(E120&amp;"")=9,LEFT(E120&amp;"",1)="9")))),"mobile must be 09XXXXXXXX or status invalid; ","")&amp;IF(COUNTIFS($A$6:$A$505,A120,$B$6:$B$505,B120,$E$6:$E$505,E120)&gt;1,"duplicate number for same entity; ",""))))</x:f>
      </x:c>
    </x:row>
    <x:row r="121">
      <x:c r="A121" s="251"/>
      <x:c r="B121" s="252"/>
      <x:c r="C121" s="253"/>
      <x:c r="D121" s="253"/>
      <x:c r="E121" s="252"/>
      <x:c r="F121" s="252"/>
      <x:c r="G121" s="253"/>
      <x:c r="H121" s="253"/>
      <x:c r="I121" s="253"/>
      <x:c r="J121" s="253"/>
      <x:c r="K121" s="253"/>
      <x:c r="L121" s="253"/>
      <x:c r="M121" s="253" t="str">
        <x:f>IF(AND(A121="",B121="",E121=""),"",IF(OR(A121="",B121="",C121="",D121="",E121="",J121="",AND(A121="client",COUNTIF('الزبائن'!$A$6:$A$505,B121)=0),AND(A121="proposed_name",COUNTIF('أسماء مقترحة'!$A$6:$A$505,B121)=0),AND(D121="mobile",J121&lt;&gt;"invalid",NOT(OR(AND(LEN(E121&amp;"")=10,LEFT(E121&amp;"",2)="09"),AND(LEN(E121&amp;"")=9,LEFT(E121&amp;"",1)="9")))),COUNTIFS($A$6:$A$505,A121,$B$6:$B$505,B121,$E$6:$E$505,E121)&gt;1),"REVIEW","READY"))</x:f>
      </x:c>
      <x:c r="N121" s="255" t="str">
        <x:f>IF(M121="","",IF(M121="READY","",TRIM(IF(A121="","missing entity_type; ","")&amp;IF(B121="","missing entity_key; ","")&amp;IF(C121="","missing contact_order; ","")&amp;IF(D121="","missing contact_type; ","")&amp;IF(E121="","missing number; ","")&amp;IF(J121="","missing status; ","")&amp;IF(AND(A121="client",COUNTIF('الزبائن'!$A$6:$A$505,B121)=0),"client key not found; ","")&amp;IF(AND(A121="proposed_name",COUNTIF('أسماء مقترحة'!$A$6:$A$505,B121)=0),"proposed_name key not found; ","")&amp;IF(AND(D121="mobile",J121&lt;&gt;"invalid",NOT(OR(AND(LEN(E121&amp;"")=10,LEFT(E121&amp;"",2)="09"),AND(LEN(E121&amp;"")=9,LEFT(E121&amp;"",1)="9")))),"mobile must be 09XXXXXXXX or status invalid; ","")&amp;IF(COUNTIFS($A$6:$A$505,A121,$B$6:$B$505,B121,$E$6:$E$505,E121)&gt;1,"duplicate number for same entity; ",""))))</x:f>
      </x:c>
    </x:row>
    <x:row r="122">
      <x:c r="A122" s="251"/>
      <x:c r="B122" s="252"/>
      <x:c r="C122" s="253"/>
      <x:c r="D122" s="253"/>
      <x:c r="E122" s="252"/>
      <x:c r="F122" s="252"/>
      <x:c r="G122" s="253"/>
      <x:c r="H122" s="253"/>
      <x:c r="I122" s="253"/>
      <x:c r="J122" s="253"/>
      <x:c r="K122" s="253"/>
      <x:c r="L122" s="253"/>
      <x:c r="M122" s="253" t="str">
        <x:f>IF(AND(A122="",B122="",E122=""),"",IF(OR(A122="",B122="",C122="",D122="",E122="",J122="",AND(A122="client",COUNTIF('الزبائن'!$A$6:$A$505,B122)=0),AND(A122="proposed_name",COUNTIF('أسماء مقترحة'!$A$6:$A$505,B122)=0),AND(D122="mobile",J122&lt;&gt;"invalid",NOT(OR(AND(LEN(E122&amp;"")=10,LEFT(E122&amp;"",2)="09"),AND(LEN(E122&amp;"")=9,LEFT(E122&amp;"",1)="9")))),COUNTIFS($A$6:$A$505,A122,$B$6:$B$505,B122,$E$6:$E$505,E122)&gt;1),"REVIEW","READY"))</x:f>
      </x:c>
      <x:c r="N122" s="255" t="str">
        <x:f>IF(M122="","",IF(M122="READY","",TRIM(IF(A122="","missing entity_type; ","")&amp;IF(B122="","missing entity_key; ","")&amp;IF(C122="","missing contact_order; ","")&amp;IF(D122="","missing contact_type; ","")&amp;IF(E122="","missing number; ","")&amp;IF(J122="","missing status; ","")&amp;IF(AND(A122="client",COUNTIF('الزبائن'!$A$6:$A$505,B122)=0),"client key not found; ","")&amp;IF(AND(A122="proposed_name",COUNTIF('أسماء مقترحة'!$A$6:$A$505,B122)=0),"proposed_name key not found; ","")&amp;IF(AND(D122="mobile",J122&lt;&gt;"invalid",NOT(OR(AND(LEN(E122&amp;"")=10,LEFT(E122&amp;"",2)="09"),AND(LEN(E122&amp;"")=9,LEFT(E122&amp;"",1)="9")))),"mobile must be 09XXXXXXXX or status invalid; ","")&amp;IF(COUNTIFS($A$6:$A$505,A122,$B$6:$B$505,B122,$E$6:$E$505,E122)&gt;1,"duplicate number for same entity; ",""))))</x:f>
      </x:c>
    </x:row>
    <x:row r="123">
      <x:c r="A123" s="251"/>
      <x:c r="B123" s="252"/>
      <x:c r="C123" s="253"/>
      <x:c r="D123" s="253"/>
      <x:c r="E123" s="252"/>
      <x:c r="F123" s="252"/>
      <x:c r="G123" s="253"/>
      <x:c r="H123" s="253"/>
      <x:c r="I123" s="253"/>
      <x:c r="J123" s="253"/>
      <x:c r="K123" s="253"/>
      <x:c r="L123" s="253"/>
      <x:c r="M123" s="253" t="str">
        <x:f>IF(AND(A123="",B123="",E123=""),"",IF(OR(A123="",B123="",C123="",D123="",E123="",J123="",AND(A123="client",COUNTIF('الزبائن'!$A$6:$A$505,B123)=0),AND(A123="proposed_name",COUNTIF('أسماء مقترحة'!$A$6:$A$505,B123)=0),AND(D123="mobile",J123&lt;&gt;"invalid",NOT(OR(AND(LEN(E123&amp;"")=10,LEFT(E123&amp;"",2)="09"),AND(LEN(E123&amp;"")=9,LEFT(E123&amp;"",1)="9")))),COUNTIFS($A$6:$A$505,A123,$B$6:$B$505,B123,$E$6:$E$505,E123)&gt;1),"REVIEW","READY"))</x:f>
      </x:c>
      <x:c r="N123" s="255" t="str">
        <x:f>IF(M123="","",IF(M123="READY","",TRIM(IF(A123="","missing entity_type; ","")&amp;IF(B123="","missing entity_key; ","")&amp;IF(C123="","missing contact_order; ","")&amp;IF(D123="","missing contact_type; ","")&amp;IF(E123="","missing number; ","")&amp;IF(J123="","missing status; ","")&amp;IF(AND(A123="client",COUNTIF('الزبائن'!$A$6:$A$505,B123)=0),"client key not found; ","")&amp;IF(AND(A123="proposed_name",COUNTIF('أسماء مقترحة'!$A$6:$A$505,B123)=0),"proposed_name key not found; ","")&amp;IF(AND(D123="mobile",J123&lt;&gt;"invalid",NOT(OR(AND(LEN(E123&amp;"")=10,LEFT(E123&amp;"",2)="09"),AND(LEN(E123&amp;"")=9,LEFT(E123&amp;"",1)="9")))),"mobile must be 09XXXXXXXX or status invalid; ","")&amp;IF(COUNTIFS($A$6:$A$505,A123,$B$6:$B$505,B123,$E$6:$E$505,E123)&gt;1,"duplicate number for same entity; ",""))))</x:f>
      </x:c>
    </x:row>
    <x:row r="124">
      <x:c r="A124" s="251"/>
      <x:c r="B124" s="252"/>
      <x:c r="C124" s="253"/>
      <x:c r="D124" s="253"/>
      <x:c r="E124" s="252"/>
      <x:c r="F124" s="252"/>
      <x:c r="G124" s="253"/>
      <x:c r="H124" s="253"/>
      <x:c r="I124" s="253"/>
      <x:c r="J124" s="253"/>
      <x:c r="K124" s="253"/>
      <x:c r="L124" s="253"/>
      <x:c r="M124" s="253" t="str">
        <x:f>IF(AND(A124="",B124="",E124=""),"",IF(OR(A124="",B124="",C124="",D124="",E124="",J124="",AND(A124="client",COUNTIF('الزبائن'!$A$6:$A$505,B124)=0),AND(A124="proposed_name",COUNTIF('أسماء مقترحة'!$A$6:$A$505,B124)=0),AND(D124="mobile",J124&lt;&gt;"invalid",NOT(OR(AND(LEN(E124&amp;"")=10,LEFT(E124&amp;"",2)="09"),AND(LEN(E124&amp;"")=9,LEFT(E124&amp;"",1)="9")))),COUNTIFS($A$6:$A$505,A124,$B$6:$B$505,B124,$E$6:$E$505,E124)&gt;1),"REVIEW","READY"))</x:f>
      </x:c>
      <x:c r="N124" s="255" t="str">
        <x:f>IF(M124="","",IF(M124="READY","",TRIM(IF(A124="","missing entity_type; ","")&amp;IF(B124="","missing entity_key; ","")&amp;IF(C124="","missing contact_order; ","")&amp;IF(D124="","missing contact_type; ","")&amp;IF(E124="","missing number; ","")&amp;IF(J124="","missing status; ","")&amp;IF(AND(A124="client",COUNTIF('الزبائن'!$A$6:$A$505,B124)=0),"client key not found; ","")&amp;IF(AND(A124="proposed_name",COUNTIF('أسماء مقترحة'!$A$6:$A$505,B124)=0),"proposed_name key not found; ","")&amp;IF(AND(D124="mobile",J124&lt;&gt;"invalid",NOT(OR(AND(LEN(E124&amp;"")=10,LEFT(E124&amp;"",2)="09"),AND(LEN(E124&amp;"")=9,LEFT(E124&amp;"",1)="9")))),"mobile must be 09XXXXXXXX or status invalid; ","")&amp;IF(COUNTIFS($A$6:$A$505,A124,$B$6:$B$505,B124,$E$6:$E$505,E124)&gt;1,"duplicate number for same entity; ",""))))</x:f>
      </x:c>
    </x:row>
    <x:row r="125">
      <x:c r="A125" s="251"/>
      <x:c r="B125" s="252"/>
      <x:c r="C125" s="253"/>
      <x:c r="D125" s="253"/>
      <x:c r="E125" s="252"/>
      <x:c r="F125" s="252"/>
      <x:c r="G125" s="253"/>
      <x:c r="H125" s="253"/>
      <x:c r="I125" s="253"/>
      <x:c r="J125" s="253"/>
      <x:c r="K125" s="253"/>
      <x:c r="L125" s="253"/>
      <x:c r="M125" s="253" t="str">
        <x:f>IF(AND(A125="",B125="",E125=""),"",IF(OR(A125="",B125="",C125="",D125="",E125="",J125="",AND(A125="client",COUNTIF('الزبائن'!$A$6:$A$505,B125)=0),AND(A125="proposed_name",COUNTIF('أسماء مقترحة'!$A$6:$A$505,B125)=0),AND(D125="mobile",J125&lt;&gt;"invalid",NOT(OR(AND(LEN(E125&amp;"")=10,LEFT(E125&amp;"",2)="09"),AND(LEN(E125&amp;"")=9,LEFT(E125&amp;"",1)="9")))),COUNTIFS($A$6:$A$505,A125,$B$6:$B$505,B125,$E$6:$E$505,E125)&gt;1),"REVIEW","READY"))</x:f>
      </x:c>
      <x:c r="N125" s="255" t="str">
        <x:f>IF(M125="","",IF(M125="READY","",TRIM(IF(A125="","missing entity_type; ","")&amp;IF(B125="","missing entity_key; ","")&amp;IF(C125="","missing contact_order; ","")&amp;IF(D125="","missing contact_type; ","")&amp;IF(E125="","missing number; ","")&amp;IF(J125="","missing status; ","")&amp;IF(AND(A125="client",COUNTIF('الزبائن'!$A$6:$A$505,B125)=0),"client key not found; ","")&amp;IF(AND(A125="proposed_name",COUNTIF('أسماء مقترحة'!$A$6:$A$505,B125)=0),"proposed_name key not found; ","")&amp;IF(AND(D125="mobile",J125&lt;&gt;"invalid",NOT(OR(AND(LEN(E125&amp;"")=10,LEFT(E125&amp;"",2)="09"),AND(LEN(E125&amp;"")=9,LEFT(E125&amp;"",1)="9")))),"mobile must be 09XXXXXXXX or status invalid; ","")&amp;IF(COUNTIFS($A$6:$A$505,A125,$B$6:$B$505,B125,$E$6:$E$505,E125)&gt;1,"duplicate number for same entity; ",""))))</x:f>
      </x:c>
    </x:row>
    <x:row r="126">
      <x:c r="A126" s="251"/>
      <x:c r="B126" s="252"/>
      <x:c r="C126" s="253"/>
      <x:c r="D126" s="253"/>
      <x:c r="E126" s="252"/>
      <x:c r="F126" s="252"/>
      <x:c r="G126" s="253"/>
      <x:c r="H126" s="253"/>
      <x:c r="I126" s="253"/>
      <x:c r="J126" s="253"/>
      <x:c r="K126" s="253"/>
      <x:c r="L126" s="253"/>
      <x:c r="M126" s="253" t="str">
        <x:f>IF(AND(A126="",B126="",E126=""),"",IF(OR(A126="",B126="",C126="",D126="",E126="",J126="",AND(A126="client",COUNTIF('الزبائن'!$A$6:$A$505,B126)=0),AND(A126="proposed_name",COUNTIF('أسماء مقترحة'!$A$6:$A$505,B126)=0),AND(D126="mobile",J126&lt;&gt;"invalid",NOT(OR(AND(LEN(E126&amp;"")=10,LEFT(E126&amp;"",2)="09"),AND(LEN(E126&amp;"")=9,LEFT(E126&amp;"",1)="9")))),COUNTIFS($A$6:$A$505,A126,$B$6:$B$505,B126,$E$6:$E$505,E126)&gt;1),"REVIEW","READY"))</x:f>
      </x:c>
      <x:c r="N126" s="255" t="str">
        <x:f>IF(M126="","",IF(M126="READY","",TRIM(IF(A126="","missing entity_type; ","")&amp;IF(B126="","missing entity_key; ","")&amp;IF(C126="","missing contact_order; ","")&amp;IF(D126="","missing contact_type; ","")&amp;IF(E126="","missing number; ","")&amp;IF(J126="","missing status; ","")&amp;IF(AND(A126="client",COUNTIF('الزبائن'!$A$6:$A$505,B126)=0),"client key not found; ","")&amp;IF(AND(A126="proposed_name",COUNTIF('أسماء مقترحة'!$A$6:$A$505,B126)=0),"proposed_name key not found; ","")&amp;IF(AND(D126="mobile",J126&lt;&gt;"invalid",NOT(OR(AND(LEN(E126&amp;"")=10,LEFT(E126&amp;"",2)="09"),AND(LEN(E126&amp;"")=9,LEFT(E126&amp;"",1)="9")))),"mobile must be 09XXXXXXXX or status invalid; ","")&amp;IF(COUNTIFS($A$6:$A$505,A126,$B$6:$B$505,B126,$E$6:$E$505,E126)&gt;1,"duplicate number for same entity; ",""))))</x:f>
      </x:c>
    </x:row>
    <x:row r="127">
      <x:c r="A127" s="251"/>
      <x:c r="B127" s="252"/>
      <x:c r="C127" s="253"/>
      <x:c r="D127" s="253"/>
      <x:c r="E127" s="252"/>
      <x:c r="F127" s="252"/>
      <x:c r="G127" s="253"/>
      <x:c r="H127" s="253"/>
      <x:c r="I127" s="253"/>
      <x:c r="J127" s="253"/>
      <x:c r="K127" s="253"/>
      <x:c r="L127" s="253"/>
      <x:c r="M127" s="253" t="str">
        <x:f>IF(AND(A127="",B127="",E127=""),"",IF(OR(A127="",B127="",C127="",D127="",E127="",J127="",AND(A127="client",COUNTIF('الزبائن'!$A$6:$A$505,B127)=0),AND(A127="proposed_name",COUNTIF('أسماء مقترحة'!$A$6:$A$505,B127)=0),AND(D127="mobile",J127&lt;&gt;"invalid",NOT(OR(AND(LEN(E127&amp;"")=10,LEFT(E127&amp;"",2)="09"),AND(LEN(E127&amp;"")=9,LEFT(E127&amp;"",1)="9")))),COUNTIFS($A$6:$A$505,A127,$B$6:$B$505,B127,$E$6:$E$505,E127)&gt;1),"REVIEW","READY"))</x:f>
      </x:c>
      <x:c r="N127" s="255" t="str">
        <x:f>IF(M127="","",IF(M127="READY","",TRIM(IF(A127="","missing entity_type; ","")&amp;IF(B127="","missing entity_key; ","")&amp;IF(C127="","missing contact_order; ","")&amp;IF(D127="","missing contact_type; ","")&amp;IF(E127="","missing number; ","")&amp;IF(J127="","missing status; ","")&amp;IF(AND(A127="client",COUNTIF('الزبائن'!$A$6:$A$505,B127)=0),"client key not found; ","")&amp;IF(AND(A127="proposed_name",COUNTIF('أسماء مقترحة'!$A$6:$A$505,B127)=0),"proposed_name key not found; ","")&amp;IF(AND(D127="mobile",J127&lt;&gt;"invalid",NOT(OR(AND(LEN(E127&amp;"")=10,LEFT(E127&amp;"",2)="09"),AND(LEN(E127&amp;"")=9,LEFT(E127&amp;"",1)="9")))),"mobile must be 09XXXXXXXX or status invalid; ","")&amp;IF(COUNTIFS($A$6:$A$505,A127,$B$6:$B$505,B127,$E$6:$E$505,E127)&gt;1,"duplicate number for same entity; ",""))))</x:f>
      </x:c>
    </x:row>
    <x:row r="128">
      <x:c r="A128" s="251"/>
      <x:c r="B128" s="252"/>
      <x:c r="C128" s="253"/>
      <x:c r="D128" s="253"/>
      <x:c r="E128" s="252"/>
      <x:c r="F128" s="252"/>
      <x:c r="G128" s="253"/>
      <x:c r="H128" s="253"/>
      <x:c r="I128" s="253"/>
      <x:c r="J128" s="253"/>
      <x:c r="K128" s="253"/>
      <x:c r="L128" s="253"/>
      <x:c r="M128" s="253" t="str">
        <x:f>IF(AND(A128="",B128="",E128=""),"",IF(OR(A128="",B128="",C128="",D128="",E128="",J128="",AND(A128="client",COUNTIF('الزبائن'!$A$6:$A$505,B128)=0),AND(A128="proposed_name",COUNTIF('أسماء مقترحة'!$A$6:$A$505,B128)=0),AND(D128="mobile",J128&lt;&gt;"invalid",NOT(OR(AND(LEN(E128&amp;"")=10,LEFT(E128&amp;"",2)="09"),AND(LEN(E128&amp;"")=9,LEFT(E128&amp;"",1)="9")))),COUNTIFS($A$6:$A$505,A128,$B$6:$B$505,B128,$E$6:$E$505,E128)&gt;1),"REVIEW","READY"))</x:f>
      </x:c>
      <x:c r="N128" s="255" t="str">
        <x:f>IF(M128="","",IF(M128="READY","",TRIM(IF(A128="","missing entity_type; ","")&amp;IF(B128="","missing entity_key; ","")&amp;IF(C128="","missing contact_order; ","")&amp;IF(D128="","missing contact_type; ","")&amp;IF(E128="","missing number; ","")&amp;IF(J128="","missing status; ","")&amp;IF(AND(A128="client",COUNTIF('الزبائن'!$A$6:$A$505,B128)=0),"client key not found; ","")&amp;IF(AND(A128="proposed_name",COUNTIF('أسماء مقترحة'!$A$6:$A$505,B128)=0),"proposed_name key not found; ","")&amp;IF(AND(D128="mobile",J128&lt;&gt;"invalid",NOT(OR(AND(LEN(E128&amp;"")=10,LEFT(E128&amp;"",2)="09"),AND(LEN(E128&amp;"")=9,LEFT(E128&amp;"",1)="9")))),"mobile must be 09XXXXXXXX or status invalid; ","")&amp;IF(COUNTIFS($A$6:$A$505,A128,$B$6:$B$505,B128,$E$6:$E$505,E128)&gt;1,"duplicate number for same entity; ",""))))</x:f>
      </x:c>
    </x:row>
    <x:row r="129">
      <x:c r="A129" s="251"/>
      <x:c r="B129" s="252"/>
      <x:c r="C129" s="253"/>
      <x:c r="D129" s="253"/>
      <x:c r="E129" s="252"/>
      <x:c r="F129" s="252"/>
      <x:c r="G129" s="253"/>
      <x:c r="H129" s="253"/>
      <x:c r="I129" s="253"/>
      <x:c r="J129" s="253"/>
      <x:c r="K129" s="253"/>
      <x:c r="L129" s="253"/>
      <x:c r="M129" s="253" t="str">
        <x:f>IF(AND(A129="",B129="",E129=""),"",IF(OR(A129="",B129="",C129="",D129="",E129="",J129="",AND(A129="client",COUNTIF('الزبائن'!$A$6:$A$505,B129)=0),AND(A129="proposed_name",COUNTIF('أسماء مقترحة'!$A$6:$A$505,B129)=0),AND(D129="mobile",J129&lt;&gt;"invalid",NOT(OR(AND(LEN(E129&amp;"")=10,LEFT(E129&amp;"",2)="09"),AND(LEN(E129&amp;"")=9,LEFT(E129&amp;"",1)="9")))),COUNTIFS($A$6:$A$505,A129,$B$6:$B$505,B129,$E$6:$E$505,E129)&gt;1),"REVIEW","READY"))</x:f>
      </x:c>
      <x:c r="N129" s="255" t="str">
        <x:f>IF(M129="","",IF(M129="READY","",TRIM(IF(A129="","missing entity_type; ","")&amp;IF(B129="","missing entity_key; ","")&amp;IF(C129="","missing contact_order; ","")&amp;IF(D129="","missing contact_type; ","")&amp;IF(E129="","missing number; ","")&amp;IF(J129="","missing status; ","")&amp;IF(AND(A129="client",COUNTIF('الزبائن'!$A$6:$A$505,B129)=0),"client key not found; ","")&amp;IF(AND(A129="proposed_name",COUNTIF('أسماء مقترحة'!$A$6:$A$505,B129)=0),"proposed_name key not found; ","")&amp;IF(AND(D129="mobile",J129&lt;&gt;"invalid",NOT(OR(AND(LEN(E129&amp;"")=10,LEFT(E129&amp;"",2)="09"),AND(LEN(E129&amp;"")=9,LEFT(E129&amp;"",1)="9")))),"mobile must be 09XXXXXXXX or status invalid; ","")&amp;IF(COUNTIFS($A$6:$A$505,A129,$B$6:$B$505,B129,$E$6:$E$505,E129)&gt;1,"duplicate number for same entity; ",""))))</x:f>
      </x:c>
    </x:row>
    <x:row r="130">
      <x:c r="A130" s="251"/>
      <x:c r="B130" s="252"/>
      <x:c r="C130" s="253"/>
      <x:c r="D130" s="253"/>
      <x:c r="E130" s="252"/>
      <x:c r="F130" s="252"/>
      <x:c r="G130" s="253"/>
      <x:c r="H130" s="253"/>
      <x:c r="I130" s="253"/>
      <x:c r="J130" s="253"/>
      <x:c r="K130" s="253"/>
      <x:c r="L130" s="253"/>
      <x:c r="M130" s="253" t="str">
        <x:f>IF(AND(A130="",B130="",E130=""),"",IF(OR(A130="",B130="",C130="",D130="",E130="",J130="",AND(A130="client",COUNTIF('الزبائن'!$A$6:$A$505,B130)=0),AND(A130="proposed_name",COUNTIF('أسماء مقترحة'!$A$6:$A$505,B130)=0),AND(D130="mobile",J130&lt;&gt;"invalid",NOT(OR(AND(LEN(E130&amp;"")=10,LEFT(E130&amp;"",2)="09"),AND(LEN(E130&amp;"")=9,LEFT(E130&amp;"",1)="9")))),COUNTIFS($A$6:$A$505,A130,$B$6:$B$505,B130,$E$6:$E$505,E130)&gt;1),"REVIEW","READY"))</x:f>
      </x:c>
      <x:c r="N130" s="255" t="str">
        <x:f>IF(M130="","",IF(M130="READY","",TRIM(IF(A130="","missing entity_type; ","")&amp;IF(B130="","missing entity_key; ","")&amp;IF(C130="","missing contact_order; ","")&amp;IF(D130="","missing contact_type; ","")&amp;IF(E130="","missing number; ","")&amp;IF(J130="","missing status; ","")&amp;IF(AND(A130="client",COUNTIF('الزبائن'!$A$6:$A$505,B130)=0),"client key not found; ","")&amp;IF(AND(A130="proposed_name",COUNTIF('أسماء مقترحة'!$A$6:$A$505,B130)=0),"proposed_name key not found; ","")&amp;IF(AND(D130="mobile",J130&lt;&gt;"invalid",NOT(OR(AND(LEN(E130&amp;"")=10,LEFT(E130&amp;"",2)="09"),AND(LEN(E130&amp;"")=9,LEFT(E130&amp;"",1)="9")))),"mobile must be 09XXXXXXXX or status invalid; ","")&amp;IF(COUNTIFS($A$6:$A$505,A130,$B$6:$B$505,B130,$E$6:$E$505,E130)&gt;1,"duplicate number for same entity; ",""))))</x:f>
      </x:c>
    </x:row>
    <x:row r="131">
      <x:c r="A131" s="251"/>
      <x:c r="B131" s="252"/>
      <x:c r="C131" s="253"/>
      <x:c r="D131" s="253"/>
      <x:c r="E131" s="252"/>
      <x:c r="F131" s="252"/>
      <x:c r="G131" s="253"/>
      <x:c r="H131" s="253"/>
      <x:c r="I131" s="253"/>
      <x:c r="J131" s="253"/>
      <x:c r="K131" s="253"/>
      <x:c r="L131" s="253"/>
      <x:c r="M131" s="253" t="str">
        <x:f>IF(AND(A131="",B131="",E131=""),"",IF(OR(A131="",B131="",C131="",D131="",E131="",J131="",AND(A131="client",COUNTIF('الزبائن'!$A$6:$A$505,B131)=0),AND(A131="proposed_name",COUNTIF('أسماء مقترحة'!$A$6:$A$505,B131)=0),AND(D131="mobile",J131&lt;&gt;"invalid",NOT(OR(AND(LEN(E131&amp;"")=10,LEFT(E131&amp;"",2)="09"),AND(LEN(E131&amp;"")=9,LEFT(E131&amp;"",1)="9")))),COUNTIFS($A$6:$A$505,A131,$B$6:$B$505,B131,$E$6:$E$505,E131)&gt;1),"REVIEW","READY"))</x:f>
      </x:c>
      <x:c r="N131" s="255" t="str">
        <x:f>IF(M131="","",IF(M131="READY","",TRIM(IF(A131="","missing entity_type; ","")&amp;IF(B131="","missing entity_key; ","")&amp;IF(C131="","missing contact_order; ","")&amp;IF(D131="","missing contact_type; ","")&amp;IF(E131="","missing number; ","")&amp;IF(J131="","missing status; ","")&amp;IF(AND(A131="client",COUNTIF('الزبائن'!$A$6:$A$505,B131)=0),"client key not found; ","")&amp;IF(AND(A131="proposed_name",COUNTIF('أسماء مقترحة'!$A$6:$A$505,B131)=0),"proposed_name key not found; ","")&amp;IF(AND(D131="mobile",J131&lt;&gt;"invalid",NOT(OR(AND(LEN(E131&amp;"")=10,LEFT(E131&amp;"",2)="09"),AND(LEN(E131&amp;"")=9,LEFT(E131&amp;"",1)="9")))),"mobile must be 09XXXXXXXX or status invalid; ","")&amp;IF(COUNTIFS($A$6:$A$505,A131,$B$6:$B$505,B131,$E$6:$E$505,E131)&gt;1,"duplicate number for same entity; ",""))))</x:f>
      </x:c>
    </x:row>
    <x:row r="132">
      <x:c r="A132" s="251"/>
      <x:c r="B132" s="252"/>
      <x:c r="C132" s="253"/>
      <x:c r="D132" s="253"/>
      <x:c r="E132" s="252"/>
      <x:c r="F132" s="252"/>
      <x:c r="G132" s="253"/>
      <x:c r="H132" s="253"/>
      <x:c r="I132" s="253"/>
      <x:c r="J132" s="253"/>
      <x:c r="K132" s="253"/>
      <x:c r="L132" s="253"/>
      <x:c r="M132" s="253" t="str">
        <x:f>IF(AND(A132="",B132="",E132=""),"",IF(OR(A132="",B132="",C132="",D132="",E132="",J132="",AND(A132="client",COUNTIF('الزبائن'!$A$6:$A$505,B132)=0),AND(A132="proposed_name",COUNTIF('أسماء مقترحة'!$A$6:$A$505,B132)=0),AND(D132="mobile",J132&lt;&gt;"invalid",NOT(OR(AND(LEN(E132&amp;"")=10,LEFT(E132&amp;"",2)="09"),AND(LEN(E132&amp;"")=9,LEFT(E132&amp;"",1)="9")))),COUNTIFS($A$6:$A$505,A132,$B$6:$B$505,B132,$E$6:$E$505,E132)&gt;1),"REVIEW","READY"))</x:f>
      </x:c>
      <x:c r="N132" s="255" t="str">
        <x:f>IF(M132="","",IF(M132="READY","",TRIM(IF(A132="","missing entity_type; ","")&amp;IF(B132="","missing entity_key; ","")&amp;IF(C132="","missing contact_order; ","")&amp;IF(D132="","missing contact_type; ","")&amp;IF(E132="","missing number; ","")&amp;IF(J132="","missing status; ","")&amp;IF(AND(A132="client",COUNTIF('الزبائن'!$A$6:$A$505,B132)=0),"client key not found; ","")&amp;IF(AND(A132="proposed_name",COUNTIF('أسماء مقترحة'!$A$6:$A$505,B132)=0),"proposed_name key not found; ","")&amp;IF(AND(D132="mobile",J132&lt;&gt;"invalid",NOT(OR(AND(LEN(E132&amp;"")=10,LEFT(E132&amp;"",2)="09"),AND(LEN(E132&amp;"")=9,LEFT(E132&amp;"",1)="9")))),"mobile must be 09XXXXXXXX or status invalid; ","")&amp;IF(COUNTIFS($A$6:$A$505,A132,$B$6:$B$505,B132,$E$6:$E$505,E132)&gt;1,"duplicate number for same entity; ",""))))</x:f>
      </x:c>
    </x:row>
    <x:row r="133">
      <x:c r="A133" s="251"/>
      <x:c r="B133" s="252"/>
      <x:c r="C133" s="253"/>
      <x:c r="D133" s="253"/>
      <x:c r="E133" s="252"/>
      <x:c r="F133" s="252"/>
      <x:c r="G133" s="253"/>
      <x:c r="H133" s="253"/>
      <x:c r="I133" s="253"/>
      <x:c r="J133" s="253"/>
      <x:c r="K133" s="253"/>
      <x:c r="L133" s="253"/>
      <x:c r="M133" s="253" t="str">
        <x:f>IF(AND(A133="",B133="",E133=""),"",IF(OR(A133="",B133="",C133="",D133="",E133="",J133="",AND(A133="client",COUNTIF('الزبائن'!$A$6:$A$505,B133)=0),AND(A133="proposed_name",COUNTIF('أسماء مقترحة'!$A$6:$A$505,B133)=0),AND(D133="mobile",J133&lt;&gt;"invalid",NOT(OR(AND(LEN(E133&amp;"")=10,LEFT(E133&amp;"",2)="09"),AND(LEN(E133&amp;"")=9,LEFT(E133&amp;"",1)="9")))),COUNTIFS($A$6:$A$505,A133,$B$6:$B$505,B133,$E$6:$E$505,E133)&gt;1),"REVIEW","READY"))</x:f>
      </x:c>
      <x:c r="N133" s="255" t="str">
        <x:f>IF(M133="","",IF(M133="READY","",TRIM(IF(A133="","missing entity_type; ","")&amp;IF(B133="","missing entity_key; ","")&amp;IF(C133="","missing contact_order; ","")&amp;IF(D133="","missing contact_type; ","")&amp;IF(E133="","missing number; ","")&amp;IF(J133="","missing status; ","")&amp;IF(AND(A133="client",COUNTIF('الزبائن'!$A$6:$A$505,B133)=0),"client key not found; ","")&amp;IF(AND(A133="proposed_name",COUNTIF('أسماء مقترحة'!$A$6:$A$505,B133)=0),"proposed_name key not found; ","")&amp;IF(AND(D133="mobile",J133&lt;&gt;"invalid",NOT(OR(AND(LEN(E133&amp;"")=10,LEFT(E133&amp;"",2)="09"),AND(LEN(E133&amp;"")=9,LEFT(E133&amp;"",1)="9")))),"mobile must be 09XXXXXXXX or status invalid; ","")&amp;IF(COUNTIFS($A$6:$A$505,A133,$B$6:$B$505,B133,$E$6:$E$505,E133)&gt;1,"duplicate number for same entity; ",""))))</x:f>
      </x:c>
    </x:row>
    <x:row r="134">
      <x:c r="A134" s="251"/>
      <x:c r="B134" s="252"/>
      <x:c r="C134" s="253"/>
      <x:c r="D134" s="253"/>
      <x:c r="E134" s="252"/>
      <x:c r="F134" s="252"/>
      <x:c r="G134" s="253"/>
      <x:c r="H134" s="253"/>
      <x:c r="I134" s="253"/>
      <x:c r="J134" s="253"/>
      <x:c r="K134" s="253"/>
      <x:c r="L134" s="253"/>
      <x:c r="M134" s="253" t="str">
        <x:f>IF(AND(A134="",B134="",E134=""),"",IF(OR(A134="",B134="",C134="",D134="",E134="",J134="",AND(A134="client",COUNTIF('الزبائن'!$A$6:$A$505,B134)=0),AND(A134="proposed_name",COUNTIF('أسماء مقترحة'!$A$6:$A$505,B134)=0),AND(D134="mobile",J134&lt;&gt;"invalid",NOT(OR(AND(LEN(E134&amp;"")=10,LEFT(E134&amp;"",2)="09"),AND(LEN(E134&amp;"")=9,LEFT(E134&amp;"",1)="9")))),COUNTIFS($A$6:$A$505,A134,$B$6:$B$505,B134,$E$6:$E$505,E134)&gt;1),"REVIEW","READY"))</x:f>
      </x:c>
      <x:c r="N134" s="255" t="str">
        <x:f>IF(M134="","",IF(M134="READY","",TRIM(IF(A134="","missing entity_type; ","")&amp;IF(B134="","missing entity_key; ","")&amp;IF(C134="","missing contact_order; ","")&amp;IF(D134="","missing contact_type; ","")&amp;IF(E134="","missing number; ","")&amp;IF(J134="","missing status; ","")&amp;IF(AND(A134="client",COUNTIF('الزبائن'!$A$6:$A$505,B134)=0),"client key not found; ","")&amp;IF(AND(A134="proposed_name",COUNTIF('أسماء مقترحة'!$A$6:$A$505,B134)=0),"proposed_name key not found; ","")&amp;IF(AND(D134="mobile",J134&lt;&gt;"invalid",NOT(OR(AND(LEN(E134&amp;"")=10,LEFT(E134&amp;"",2)="09"),AND(LEN(E134&amp;"")=9,LEFT(E134&amp;"",1)="9")))),"mobile must be 09XXXXXXXX or status invalid; ","")&amp;IF(COUNTIFS($A$6:$A$505,A134,$B$6:$B$505,B134,$E$6:$E$505,E134)&gt;1,"duplicate number for same entity; ",""))))</x:f>
      </x:c>
    </x:row>
    <x:row r="135">
      <x:c r="A135" s="251"/>
      <x:c r="B135" s="252"/>
      <x:c r="C135" s="253"/>
      <x:c r="D135" s="253"/>
      <x:c r="E135" s="252"/>
      <x:c r="F135" s="252"/>
      <x:c r="G135" s="253"/>
      <x:c r="H135" s="253"/>
      <x:c r="I135" s="253"/>
      <x:c r="J135" s="253"/>
      <x:c r="K135" s="253"/>
      <x:c r="L135" s="253"/>
      <x:c r="M135" s="253" t="str">
        <x:f>IF(AND(A135="",B135="",E135=""),"",IF(OR(A135="",B135="",C135="",D135="",E135="",J135="",AND(A135="client",COUNTIF('الزبائن'!$A$6:$A$505,B135)=0),AND(A135="proposed_name",COUNTIF('أسماء مقترحة'!$A$6:$A$505,B135)=0),AND(D135="mobile",J135&lt;&gt;"invalid",NOT(OR(AND(LEN(E135&amp;"")=10,LEFT(E135&amp;"",2)="09"),AND(LEN(E135&amp;"")=9,LEFT(E135&amp;"",1)="9")))),COUNTIFS($A$6:$A$505,A135,$B$6:$B$505,B135,$E$6:$E$505,E135)&gt;1),"REVIEW","READY"))</x:f>
      </x:c>
      <x:c r="N135" s="255" t="str">
        <x:f>IF(M135="","",IF(M135="READY","",TRIM(IF(A135="","missing entity_type; ","")&amp;IF(B135="","missing entity_key; ","")&amp;IF(C135="","missing contact_order; ","")&amp;IF(D135="","missing contact_type; ","")&amp;IF(E135="","missing number; ","")&amp;IF(J135="","missing status; ","")&amp;IF(AND(A135="client",COUNTIF('الزبائن'!$A$6:$A$505,B135)=0),"client key not found; ","")&amp;IF(AND(A135="proposed_name",COUNTIF('أسماء مقترحة'!$A$6:$A$505,B135)=0),"proposed_name key not found; ","")&amp;IF(AND(D135="mobile",J135&lt;&gt;"invalid",NOT(OR(AND(LEN(E135&amp;"")=10,LEFT(E135&amp;"",2)="09"),AND(LEN(E135&amp;"")=9,LEFT(E135&amp;"",1)="9")))),"mobile must be 09XXXXXXXX or status invalid; ","")&amp;IF(COUNTIFS($A$6:$A$505,A135,$B$6:$B$505,B135,$E$6:$E$505,E135)&gt;1,"duplicate number for same entity; ",""))))</x:f>
      </x:c>
    </x:row>
    <x:row r="136">
      <x:c r="A136" s="251"/>
      <x:c r="B136" s="252"/>
      <x:c r="C136" s="253"/>
      <x:c r="D136" s="253"/>
      <x:c r="E136" s="252"/>
      <x:c r="F136" s="252"/>
      <x:c r="G136" s="253"/>
      <x:c r="H136" s="253"/>
      <x:c r="I136" s="253"/>
      <x:c r="J136" s="253"/>
      <x:c r="K136" s="253"/>
      <x:c r="L136" s="253"/>
      <x:c r="M136" s="253" t="str">
        <x:f>IF(AND(A136="",B136="",E136=""),"",IF(OR(A136="",B136="",C136="",D136="",E136="",J136="",AND(A136="client",COUNTIF('الزبائن'!$A$6:$A$505,B136)=0),AND(A136="proposed_name",COUNTIF('أسماء مقترحة'!$A$6:$A$505,B136)=0),AND(D136="mobile",J136&lt;&gt;"invalid",NOT(OR(AND(LEN(E136&amp;"")=10,LEFT(E136&amp;"",2)="09"),AND(LEN(E136&amp;"")=9,LEFT(E136&amp;"",1)="9")))),COUNTIFS($A$6:$A$505,A136,$B$6:$B$505,B136,$E$6:$E$505,E136)&gt;1),"REVIEW","READY"))</x:f>
      </x:c>
      <x:c r="N136" s="255" t="str">
        <x:f>IF(M136="","",IF(M136="READY","",TRIM(IF(A136="","missing entity_type; ","")&amp;IF(B136="","missing entity_key; ","")&amp;IF(C136="","missing contact_order; ","")&amp;IF(D136="","missing contact_type; ","")&amp;IF(E136="","missing number; ","")&amp;IF(J136="","missing status; ","")&amp;IF(AND(A136="client",COUNTIF('الزبائن'!$A$6:$A$505,B136)=0),"client key not found; ","")&amp;IF(AND(A136="proposed_name",COUNTIF('أسماء مقترحة'!$A$6:$A$505,B136)=0),"proposed_name key not found; ","")&amp;IF(AND(D136="mobile",J136&lt;&gt;"invalid",NOT(OR(AND(LEN(E136&amp;"")=10,LEFT(E136&amp;"",2)="09"),AND(LEN(E136&amp;"")=9,LEFT(E136&amp;"",1)="9")))),"mobile must be 09XXXXXXXX or status invalid; ","")&amp;IF(COUNTIFS($A$6:$A$505,A136,$B$6:$B$505,B136,$E$6:$E$505,E136)&gt;1,"duplicate number for same entity; ",""))))</x:f>
      </x:c>
    </x:row>
    <x:row r="137">
      <x:c r="A137" s="251"/>
      <x:c r="B137" s="252"/>
      <x:c r="C137" s="253"/>
      <x:c r="D137" s="253"/>
      <x:c r="E137" s="252"/>
      <x:c r="F137" s="252"/>
      <x:c r="G137" s="253"/>
      <x:c r="H137" s="253"/>
      <x:c r="I137" s="253"/>
      <x:c r="J137" s="253"/>
      <x:c r="K137" s="253"/>
      <x:c r="L137" s="253"/>
      <x:c r="M137" s="253" t="str">
        <x:f>IF(AND(A137="",B137="",E137=""),"",IF(OR(A137="",B137="",C137="",D137="",E137="",J137="",AND(A137="client",COUNTIF('الزبائن'!$A$6:$A$505,B137)=0),AND(A137="proposed_name",COUNTIF('أسماء مقترحة'!$A$6:$A$505,B137)=0),AND(D137="mobile",J137&lt;&gt;"invalid",NOT(OR(AND(LEN(E137&amp;"")=10,LEFT(E137&amp;"",2)="09"),AND(LEN(E137&amp;"")=9,LEFT(E137&amp;"",1)="9")))),COUNTIFS($A$6:$A$505,A137,$B$6:$B$505,B137,$E$6:$E$505,E137)&gt;1),"REVIEW","READY"))</x:f>
      </x:c>
      <x:c r="N137" s="255" t="str">
        <x:f>IF(M137="","",IF(M137="READY","",TRIM(IF(A137="","missing entity_type; ","")&amp;IF(B137="","missing entity_key; ","")&amp;IF(C137="","missing contact_order; ","")&amp;IF(D137="","missing contact_type; ","")&amp;IF(E137="","missing number; ","")&amp;IF(J137="","missing status; ","")&amp;IF(AND(A137="client",COUNTIF('الزبائن'!$A$6:$A$505,B137)=0),"client key not found; ","")&amp;IF(AND(A137="proposed_name",COUNTIF('أسماء مقترحة'!$A$6:$A$505,B137)=0),"proposed_name key not found; ","")&amp;IF(AND(D137="mobile",J137&lt;&gt;"invalid",NOT(OR(AND(LEN(E137&amp;"")=10,LEFT(E137&amp;"",2)="09"),AND(LEN(E137&amp;"")=9,LEFT(E137&amp;"",1)="9")))),"mobile must be 09XXXXXXXX or status invalid; ","")&amp;IF(COUNTIFS($A$6:$A$505,A137,$B$6:$B$505,B137,$E$6:$E$505,E137)&gt;1,"duplicate number for same entity; ",""))))</x:f>
      </x:c>
    </x:row>
    <x:row r="138">
      <x:c r="A138" s="251"/>
      <x:c r="B138" s="252"/>
      <x:c r="C138" s="253"/>
      <x:c r="D138" s="253"/>
      <x:c r="E138" s="252"/>
      <x:c r="F138" s="252"/>
      <x:c r="G138" s="253"/>
      <x:c r="H138" s="253"/>
      <x:c r="I138" s="253"/>
      <x:c r="J138" s="253"/>
      <x:c r="K138" s="253"/>
      <x:c r="L138" s="253"/>
      <x:c r="M138" s="253" t="str">
        <x:f>IF(AND(A138="",B138="",E138=""),"",IF(OR(A138="",B138="",C138="",D138="",E138="",J138="",AND(A138="client",COUNTIF('الزبائن'!$A$6:$A$505,B138)=0),AND(A138="proposed_name",COUNTIF('أسماء مقترحة'!$A$6:$A$505,B138)=0),AND(D138="mobile",J138&lt;&gt;"invalid",NOT(OR(AND(LEN(E138&amp;"")=10,LEFT(E138&amp;"",2)="09"),AND(LEN(E138&amp;"")=9,LEFT(E138&amp;"",1)="9")))),COUNTIFS($A$6:$A$505,A138,$B$6:$B$505,B138,$E$6:$E$505,E138)&gt;1),"REVIEW","READY"))</x:f>
      </x:c>
      <x:c r="N138" s="255" t="str">
        <x:f>IF(M138="","",IF(M138="READY","",TRIM(IF(A138="","missing entity_type; ","")&amp;IF(B138="","missing entity_key; ","")&amp;IF(C138="","missing contact_order; ","")&amp;IF(D138="","missing contact_type; ","")&amp;IF(E138="","missing number; ","")&amp;IF(J138="","missing status; ","")&amp;IF(AND(A138="client",COUNTIF('الزبائن'!$A$6:$A$505,B138)=0),"client key not found; ","")&amp;IF(AND(A138="proposed_name",COUNTIF('أسماء مقترحة'!$A$6:$A$505,B138)=0),"proposed_name key not found; ","")&amp;IF(AND(D138="mobile",J138&lt;&gt;"invalid",NOT(OR(AND(LEN(E138&amp;"")=10,LEFT(E138&amp;"",2)="09"),AND(LEN(E138&amp;"")=9,LEFT(E138&amp;"",1)="9")))),"mobile must be 09XXXXXXXX or status invalid; ","")&amp;IF(COUNTIFS($A$6:$A$505,A138,$B$6:$B$505,B138,$E$6:$E$505,E138)&gt;1,"duplicate number for same entity; ",""))))</x:f>
      </x:c>
    </x:row>
    <x:row r="139">
      <x:c r="A139" s="251"/>
      <x:c r="B139" s="252"/>
      <x:c r="C139" s="253"/>
      <x:c r="D139" s="253"/>
      <x:c r="E139" s="252"/>
      <x:c r="F139" s="252"/>
      <x:c r="G139" s="253"/>
      <x:c r="H139" s="253"/>
      <x:c r="I139" s="253"/>
      <x:c r="J139" s="253"/>
      <x:c r="K139" s="253"/>
      <x:c r="L139" s="253"/>
      <x:c r="M139" s="253" t="str">
        <x:f>IF(AND(A139="",B139="",E139=""),"",IF(OR(A139="",B139="",C139="",D139="",E139="",J139="",AND(A139="client",COUNTIF('الزبائن'!$A$6:$A$505,B139)=0),AND(A139="proposed_name",COUNTIF('أسماء مقترحة'!$A$6:$A$505,B139)=0),AND(D139="mobile",J139&lt;&gt;"invalid",NOT(OR(AND(LEN(E139&amp;"")=10,LEFT(E139&amp;"",2)="09"),AND(LEN(E139&amp;"")=9,LEFT(E139&amp;"",1)="9")))),COUNTIFS($A$6:$A$505,A139,$B$6:$B$505,B139,$E$6:$E$505,E139)&gt;1),"REVIEW","READY"))</x:f>
      </x:c>
      <x:c r="N139" s="255" t="str">
        <x:f>IF(M139="","",IF(M139="READY","",TRIM(IF(A139="","missing entity_type; ","")&amp;IF(B139="","missing entity_key; ","")&amp;IF(C139="","missing contact_order; ","")&amp;IF(D139="","missing contact_type; ","")&amp;IF(E139="","missing number; ","")&amp;IF(J139="","missing status; ","")&amp;IF(AND(A139="client",COUNTIF('الزبائن'!$A$6:$A$505,B139)=0),"client key not found; ","")&amp;IF(AND(A139="proposed_name",COUNTIF('أسماء مقترحة'!$A$6:$A$505,B139)=0),"proposed_name key not found; ","")&amp;IF(AND(D139="mobile",J139&lt;&gt;"invalid",NOT(OR(AND(LEN(E139&amp;"")=10,LEFT(E139&amp;"",2)="09"),AND(LEN(E139&amp;"")=9,LEFT(E139&amp;"",1)="9")))),"mobile must be 09XXXXXXXX or status invalid; ","")&amp;IF(COUNTIFS($A$6:$A$505,A139,$B$6:$B$505,B139,$E$6:$E$505,E139)&gt;1,"duplicate number for same entity; ",""))))</x:f>
      </x:c>
    </x:row>
    <x:row r="140">
      <x:c r="A140" s="251"/>
      <x:c r="B140" s="252"/>
      <x:c r="C140" s="253"/>
      <x:c r="D140" s="253"/>
      <x:c r="E140" s="252"/>
      <x:c r="F140" s="252"/>
      <x:c r="G140" s="253"/>
      <x:c r="H140" s="253"/>
      <x:c r="I140" s="253"/>
      <x:c r="J140" s="253"/>
      <x:c r="K140" s="253"/>
      <x:c r="L140" s="253"/>
      <x:c r="M140" s="253" t="str">
        <x:f>IF(AND(A140="",B140="",E140=""),"",IF(OR(A140="",B140="",C140="",D140="",E140="",J140="",AND(A140="client",COUNTIF('الزبائن'!$A$6:$A$505,B140)=0),AND(A140="proposed_name",COUNTIF('أسماء مقترحة'!$A$6:$A$505,B140)=0),AND(D140="mobile",J140&lt;&gt;"invalid",NOT(OR(AND(LEN(E140&amp;"")=10,LEFT(E140&amp;"",2)="09"),AND(LEN(E140&amp;"")=9,LEFT(E140&amp;"",1)="9")))),COUNTIFS($A$6:$A$505,A140,$B$6:$B$505,B140,$E$6:$E$505,E140)&gt;1),"REVIEW","READY"))</x:f>
      </x:c>
      <x:c r="N140" s="255" t="str">
        <x:f>IF(M140="","",IF(M140="READY","",TRIM(IF(A140="","missing entity_type; ","")&amp;IF(B140="","missing entity_key; ","")&amp;IF(C140="","missing contact_order; ","")&amp;IF(D140="","missing contact_type; ","")&amp;IF(E140="","missing number; ","")&amp;IF(J140="","missing status; ","")&amp;IF(AND(A140="client",COUNTIF('الزبائن'!$A$6:$A$505,B140)=0),"client key not found; ","")&amp;IF(AND(A140="proposed_name",COUNTIF('أسماء مقترحة'!$A$6:$A$505,B140)=0),"proposed_name key not found; ","")&amp;IF(AND(D140="mobile",J140&lt;&gt;"invalid",NOT(OR(AND(LEN(E140&amp;"")=10,LEFT(E140&amp;"",2)="09"),AND(LEN(E140&amp;"")=9,LEFT(E140&amp;"",1)="9")))),"mobile must be 09XXXXXXXX or status invalid; ","")&amp;IF(COUNTIFS($A$6:$A$505,A140,$B$6:$B$505,B140,$E$6:$E$505,E140)&gt;1,"duplicate number for same entity; ",""))))</x:f>
      </x:c>
    </x:row>
    <x:row r="141">
      <x:c r="A141" s="251"/>
      <x:c r="B141" s="252"/>
      <x:c r="C141" s="253"/>
      <x:c r="D141" s="253"/>
      <x:c r="E141" s="252"/>
      <x:c r="F141" s="252"/>
      <x:c r="G141" s="253"/>
      <x:c r="H141" s="253"/>
      <x:c r="I141" s="253"/>
      <x:c r="J141" s="253"/>
      <x:c r="K141" s="253"/>
      <x:c r="L141" s="253"/>
      <x:c r="M141" s="253" t="str">
        <x:f>IF(AND(A141="",B141="",E141=""),"",IF(OR(A141="",B141="",C141="",D141="",E141="",J141="",AND(A141="client",COUNTIF('الزبائن'!$A$6:$A$505,B141)=0),AND(A141="proposed_name",COUNTIF('أسماء مقترحة'!$A$6:$A$505,B141)=0),AND(D141="mobile",J141&lt;&gt;"invalid",NOT(OR(AND(LEN(E141&amp;"")=10,LEFT(E141&amp;"",2)="09"),AND(LEN(E141&amp;"")=9,LEFT(E141&amp;"",1)="9")))),COUNTIFS($A$6:$A$505,A141,$B$6:$B$505,B141,$E$6:$E$505,E141)&gt;1),"REVIEW","READY"))</x:f>
      </x:c>
      <x:c r="N141" s="255" t="str">
        <x:f>IF(M141="","",IF(M141="READY","",TRIM(IF(A141="","missing entity_type; ","")&amp;IF(B141="","missing entity_key; ","")&amp;IF(C141="","missing contact_order; ","")&amp;IF(D141="","missing contact_type; ","")&amp;IF(E141="","missing number; ","")&amp;IF(J141="","missing status; ","")&amp;IF(AND(A141="client",COUNTIF('الزبائن'!$A$6:$A$505,B141)=0),"client key not found; ","")&amp;IF(AND(A141="proposed_name",COUNTIF('أسماء مقترحة'!$A$6:$A$505,B141)=0),"proposed_name key not found; ","")&amp;IF(AND(D141="mobile",J141&lt;&gt;"invalid",NOT(OR(AND(LEN(E141&amp;"")=10,LEFT(E141&amp;"",2)="09"),AND(LEN(E141&amp;"")=9,LEFT(E141&amp;"",1)="9")))),"mobile must be 09XXXXXXXX or status invalid; ","")&amp;IF(COUNTIFS($A$6:$A$505,A141,$B$6:$B$505,B141,$E$6:$E$505,E141)&gt;1,"duplicate number for same entity; ",""))))</x:f>
      </x:c>
    </x:row>
    <x:row r="142">
      <x:c r="A142" s="251"/>
      <x:c r="B142" s="252"/>
      <x:c r="C142" s="253"/>
      <x:c r="D142" s="253"/>
      <x:c r="E142" s="252"/>
      <x:c r="F142" s="252"/>
      <x:c r="G142" s="253"/>
      <x:c r="H142" s="253"/>
      <x:c r="I142" s="253"/>
      <x:c r="J142" s="253"/>
      <x:c r="K142" s="253"/>
      <x:c r="L142" s="253"/>
      <x:c r="M142" s="253" t="str">
        <x:f>IF(AND(A142="",B142="",E142=""),"",IF(OR(A142="",B142="",C142="",D142="",E142="",J142="",AND(A142="client",COUNTIF('الزبائن'!$A$6:$A$505,B142)=0),AND(A142="proposed_name",COUNTIF('أسماء مقترحة'!$A$6:$A$505,B142)=0),AND(D142="mobile",J142&lt;&gt;"invalid",NOT(OR(AND(LEN(E142&amp;"")=10,LEFT(E142&amp;"",2)="09"),AND(LEN(E142&amp;"")=9,LEFT(E142&amp;"",1)="9")))),COUNTIFS($A$6:$A$505,A142,$B$6:$B$505,B142,$E$6:$E$505,E142)&gt;1),"REVIEW","READY"))</x:f>
      </x:c>
      <x:c r="N142" s="255" t="str">
        <x:f>IF(M142="","",IF(M142="READY","",TRIM(IF(A142="","missing entity_type; ","")&amp;IF(B142="","missing entity_key; ","")&amp;IF(C142="","missing contact_order; ","")&amp;IF(D142="","missing contact_type; ","")&amp;IF(E142="","missing number; ","")&amp;IF(J142="","missing status; ","")&amp;IF(AND(A142="client",COUNTIF('الزبائن'!$A$6:$A$505,B142)=0),"client key not found; ","")&amp;IF(AND(A142="proposed_name",COUNTIF('أسماء مقترحة'!$A$6:$A$505,B142)=0),"proposed_name key not found; ","")&amp;IF(AND(D142="mobile",J142&lt;&gt;"invalid",NOT(OR(AND(LEN(E142&amp;"")=10,LEFT(E142&amp;"",2)="09"),AND(LEN(E142&amp;"")=9,LEFT(E142&amp;"",1)="9")))),"mobile must be 09XXXXXXXX or status invalid; ","")&amp;IF(COUNTIFS($A$6:$A$505,A142,$B$6:$B$505,B142,$E$6:$E$505,E142)&gt;1,"duplicate number for same entity; ",""))))</x:f>
      </x:c>
    </x:row>
    <x:row r="143">
      <x:c r="A143" s="251"/>
      <x:c r="B143" s="252"/>
      <x:c r="C143" s="253"/>
      <x:c r="D143" s="253"/>
      <x:c r="E143" s="252"/>
      <x:c r="F143" s="252"/>
      <x:c r="G143" s="253"/>
      <x:c r="H143" s="253"/>
      <x:c r="I143" s="253"/>
      <x:c r="J143" s="253"/>
      <x:c r="K143" s="253"/>
      <x:c r="L143" s="253"/>
      <x:c r="M143" s="253" t="str">
        <x:f>IF(AND(A143="",B143="",E143=""),"",IF(OR(A143="",B143="",C143="",D143="",E143="",J143="",AND(A143="client",COUNTIF('الزبائن'!$A$6:$A$505,B143)=0),AND(A143="proposed_name",COUNTIF('أسماء مقترحة'!$A$6:$A$505,B143)=0),AND(D143="mobile",J143&lt;&gt;"invalid",NOT(OR(AND(LEN(E143&amp;"")=10,LEFT(E143&amp;"",2)="09"),AND(LEN(E143&amp;"")=9,LEFT(E143&amp;"",1)="9")))),COUNTIFS($A$6:$A$505,A143,$B$6:$B$505,B143,$E$6:$E$505,E143)&gt;1),"REVIEW","READY"))</x:f>
      </x:c>
      <x:c r="N143" s="255" t="str">
        <x:f>IF(M143="","",IF(M143="READY","",TRIM(IF(A143="","missing entity_type; ","")&amp;IF(B143="","missing entity_key; ","")&amp;IF(C143="","missing contact_order; ","")&amp;IF(D143="","missing contact_type; ","")&amp;IF(E143="","missing number; ","")&amp;IF(J143="","missing status; ","")&amp;IF(AND(A143="client",COUNTIF('الزبائن'!$A$6:$A$505,B143)=0),"client key not found; ","")&amp;IF(AND(A143="proposed_name",COUNTIF('أسماء مقترحة'!$A$6:$A$505,B143)=0),"proposed_name key not found; ","")&amp;IF(AND(D143="mobile",J143&lt;&gt;"invalid",NOT(OR(AND(LEN(E143&amp;"")=10,LEFT(E143&amp;"",2)="09"),AND(LEN(E143&amp;"")=9,LEFT(E143&amp;"",1)="9")))),"mobile must be 09XXXXXXXX or status invalid; ","")&amp;IF(COUNTIFS($A$6:$A$505,A143,$B$6:$B$505,B143,$E$6:$E$505,E143)&gt;1,"duplicate number for same entity; ",""))))</x:f>
      </x:c>
    </x:row>
    <x:row r="144">
      <x:c r="A144" s="251"/>
      <x:c r="B144" s="252"/>
      <x:c r="C144" s="253"/>
      <x:c r="D144" s="253"/>
      <x:c r="E144" s="252"/>
      <x:c r="F144" s="252"/>
      <x:c r="G144" s="253"/>
      <x:c r="H144" s="253"/>
      <x:c r="I144" s="253"/>
      <x:c r="J144" s="253"/>
      <x:c r="K144" s="253"/>
      <x:c r="L144" s="253"/>
      <x:c r="M144" s="253" t="str">
        <x:f>IF(AND(A144="",B144="",E144=""),"",IF(OR(A144="",B144="",C144="",D144="",E144="",J144="",AND(A144="client",COUNTIF('الزبائن'!$A$6:$A$505,B144)=0),AND(A144="proposed_name",COUNTIF('أسماء مقترحة'!$A$6:$A$505,B144)=0),AND(D144="mobile",J144&lt;&gt;"invalid",NOT(OR(AND(LEN(E144&amp;"")=10,LEFT(E144&amp;"",2)="09"),AND(LEN(E144&amp;"")=9,LEFT(E144&amp;"",1)="9")))),COUNTIFS($A$6:$A$505,A144,$B$6:$B$505,B144,$E$6:$E$505,E144)&gt;1),"REVIEW","READY"))</x:f>
      </x:c>
      <x:c r="N144" s="255" t="str">
        <x:f>IF(M144="","",IF(M144="READY","",TRIM(IF(A144="","missing entity_type; ","")&amp;IF(B144="","missing entity_key; ","")&amp;IF(C144="","missing contact_order; ","")&amp;IF(D144="","missing contact_type; ","")&amp;IF(E144="","missing number; ","")&amp;IF(J144="","missing status; ","")&amp;IF(AND(A144="client",COUNTIF('الزبائن'!$A$6:$A$505,B144)=0),"client key not found; ","")&amp;IF(AND(A144="proposed_name",COUNTIF('أسماء مقترحة'!$A$6:$A$505,B144)=0),"proposed_name key not found; ","")&amp;IF(AND(D144="mobile",J144&lt;&gt;"invalid",NOT(OR(AND(LEN(E144&amp;"")=10,LEFT(E144&amp;"",2)="09"),AND(LEN(E144&amp;"")=9,LEFT(E144&amp;"",1)="9")))),"mobile must be 09XXXXXXXX or status invalid; ","")&amp;IF(COUNTIFS($A$6:$A$505,A144,$B$6:$B$505,B144,$E$6:$E$505,E144)&gt;1,"duplicate number for same entity; ",""))))</x:f>
      </x:c>
    </x:row>
    <x:row r="145">
      <x:c r="A145" s="251"/>
      <x:c r="B145" s="252"/>
      <x:c r="C145" s="253"/>
      <x:c r="D145" s="253"/>
      <x:c r="E145" s="252"/>
      <x:c r="F145" s="252"/>
      <x:c r="G145" s="253"/>
      <x:c r="H145" s="253"/>
      <x:c r="I145" s="253"/>
      <x:c r="J145" s="253"/>
      <x:c r="K145" s="253"/>
      <x:c r="L145" s="253"/>
      <x:c r="M145" s="253" t="str">
        <x:f>IF(AND(A145="",B145="",E145=""),"",IF(OR(A145="",B145="",C145="",D145="",E145="",J145="",AND(A145="client",COUNTIF('الزبائن'!$A$6:$A$505,B145)=0),AND(A145="proposed_name",COUNTIF('أسماء مقترحة'!$A$6:$A$505,B145)=0),AND(D145="mobile",J145&lt;&gt;"invalid",NOT(OR(AND(LEN(E145&amp;"")=10,LEFT(E145&amp;"",2)="09"),AND(LEN(E145&amp;"")=9,LEFT(E145&amp;"",1)="9")))),COUNTIFS($A$6:$A$505,A145,$B$6:$B$505,B145,$E$6:$E$505,E145)&gt;1),"REVIEW","READY"))</x:f>
      </x:c>
      <x:c r="N145" s="255" t="str">
        <x:f>IF(M145="","",IF(M145="READY","",TRIM(IF(A145="","missing entity_type; ","")&amp;IF(B145="","missing entity_key; ","")&amp;IF(C145="","missing contact_order; ","")&amp;IF(D145="","missing contact_type; ","")&amp;IF(E145="","missing number; ","")&amp;IF(J145="","missing status; ","")&amp;IF(AND(A145="client",COUNTIF('الزبائن'!$A$6:$A$505,B145)=0),"client key not found; ","")&amp;IF(AND(A145="proposed_name",COUNTIF('أسماء مقترحة'!$A$6:$A$505,B145)=0),"proposed_name key not found; ","")&amp;IF(AND(D145="mobile",J145&lt;&gt;"invalid",NOT(OR(AND(LEN(E145&amp;"")=10,LEFT(E145&amp;"",2)="09"),AND(LEN(E145&amp;"")=9,LEFT(E145&amp;"",1)="9")))),"mobile must be 09XXXXXXXX or status invalid; ","")&amp;IF(COUNTIFS($A$6:$A$505,A145,$B$6:$B$505,B145,$E$6:$E$505,E145)&gt;1,"duplicate number for same entity; ",""))))</x:f>
      </x:c>
    </x:row>
    <x:row r="146">
      <x:c r="A146" s="251"/>
      <x:c r="B146" s="252"/>
      <x:c r="C146" s="253"/>
      <x:c r="D146" s="253"/>
      <x:c r="E146" s="252"/>
      <x:c r="F146" s="252"/>
      <x:c r="G146" s="253"/>
      <x:c r="H146" s="253"/>
      <x:c r="I146" s="253"/>
      <x:c r="J146" s="253"/>
      <x:c r="K146" s="253"/>
      <x:c r="L146" s="253"/>
      <x:c r="M146" s="253" t="str">
        <x:f>IF(AND(A146="",B146="",E146=""),"",IF(OR(A146="",B146="",C146="",D146="",E146="",J146="",AND(A146="client",COUNTIF('الزبائن'!$A$6:$A$505,B146)=0),AND(A146="proposed_name",COUNTIF('أسماء مقترحة'!$A$6:$A$505,B146)=0),AND(D146="mobile",J146&lt;&gt;"invalid",NOT(OR(AND(LEN(E146&amp;"")=10,LEFT(E146&amp;"",2)="09"),AND(LEN(E146&amp;"")=9,LEFT(E146&amp;"",1)="9")))),COUNTIFS($A$6:$A$505,A146,$B$6:$B$505,B146,$E$6:$E$505,E146)&gt;1),"REVIEW","READY"))</x:f>
      </x:c>
      <x:c r="N146" s="255" t="str">
        <x:f>IF(M146="","",IF(M146="READY","",TRIM(IF(A146="","missing entity_type; ","")&amp;IF(B146="","missing entity_key; ","")&amp;IF(C146="","missing contact_order; ","")&amp;IF(D146="","missing contact_type; ","")&amp;IF(E146="","missing number; ","")&amp;IF(J146="","missing status; ","")&amp;IF(AND(A146="client",COUNTIF('الزبائن'!$A$6:$A$505,B146)=0),"client key not found; ","")&amp;IF(AND(A146="proposed_name",COUNTIF('أسماء مقترحة'!$A$6:$A$505,B146)=0),"proposed_name key not found; ","")&amp;IF(AND(D146="mobile",J146&lt;&gt;"invalid",NOT(OR(AND(LEN(E146&amp;"")=10,LEFT(E146&amp;"",2)="09"),AND(LEN(E146&amp;"")=9,LEFT(E146&amp;"",1)="9")))),"mobile must be 09XXXXXXXX or status invalid; ","")&amp;IF(COUNTIFS($A$6:$A$505,A146,$B$6:$B$505,B146,$E$6:$E$505,E146)&gt;1,"duplicate number for same entity; ",""))))</x:f>
      </x:c>
    </x:row>
    <x:row r="147">
      <x:c r="A147" s="251"/>
      <x:c r="B147" s="252"/>
      <x:c r="C147" s="253"/>
      <x:c r="D147" s="253"/>
      <x:c r="E147" s="252"/>
      <x:c r="F147" s="252"/>
      <x:c r="G147" s="253"/>
      <x:c r="H147" s="253"/>
      <x:c r="I147" s="253"/>
      <x:c r="J147" s="253"/>
      <x:c r="K147" s="253"/>
      <x:c r="L147" s="253"/>
      <x:c r="M147" s="253" t="str">
        <x:f>IF(AND(A147="",B147="",E147=""),"",IF(OR(A147="",B147="",C147="",D147="",E147="",J147="",AND(A147="client",COUNTIF('الزبائن'!$A$6:$A$505,B147)=0),AND(A147="proposed_name",COUNTIF('أسماء مقترحة'!$A$6:$A$505,B147)=0),AND(D147="mobile",J147&lt;&gt;"invalid",NOT(OR(AND(LEN(E147&amp;"")=10,LEFT(E147&amp;"",2)="09"),AND(LEN(E147&amp;"")=9,LEFT(E147&amp;"",1)="9")))),COUNTIFS($A$6:$A$505,A147,$B$6:$B$505,B147,$E$6:$E$505,E147)&gt;1),"REVIEW","READY"))</x:f>
      </x:c>
      <x:c r="N147" s="255" t="str">
        <x:f>IF(M147="","",IF(M147="READY","",TRIM(IF(A147="","missing entity_type; ","")&amp;IF(B147="","missing entity_key; ","")&amp;IF(C147="","missing contact_order; ","")&amp;IF(D147="","missing contact_type; ","")&amp;IF(E147="","missing number; ","")&amp;IF(J147="","missing status; ","")&amp;IF(AND(A147="client",COUNTIF('الزبائن'!$A$6:$A$505,B147)=0),"client key not found; ","")&amp;IF(AND(A147="proposed_name",COUNTIF('أسماء مقترحة'!$A$6:$A$505,B147)=0),"proposed_name key not found; ","")&amp;IF(AND(D147="mobile",J147&lt;&gt;"invalid",NOT(OR(AND(LEN(E147&amp;"")=10,LEFT(E147&amp;"",2)="09"),AND(LEN(E147&amp;"")=9,LEFT(E147&amp;"",1)="9")))),"mobile must be 09XXXXXXXX or status invalid; ","")&amp;IF(COUNTIFS($A$6:$A$505,A147,$B$6:$B$505,B147,$E$6:$E$505,E147)&gt;1,"duplicate number for same entity; ",""))))</x:f>
      </x:c>
    </x:row>
    <x:row r="148">
      <x:c r="A148" s="251"/>
      <x:c r="B148" s="252"/>
      <x:c r="C148" s="253"/>
      <x:c r="D148" s="253"/>
      <x:c r="E148" s="252"/>
      <x:c r="F148" s="252"/>
      <x:c r="G148" s="253"/>
      <x:c r="H148" s="253"/>
      <x:c r="I148" s="253"/>
      <x:c r="J148" s="253"/>
      <x:c r="K148" s="253"/>
      <x:c r="L148" s="253"/>
      <x:c r="M148" s="253" t="str">
        <x:f>IF(AND(A148="",B148="",E148=""),"",IF(OR(A148="",B148="",C148="",D148="",E148="",J148="",AND(A148="client",COUNTIF('الزبائن'!$A$6:$A$505,B148)=0),AND(A148="proposed_name",COUNTIF('أسماء مقترحة'!$A$6:$A$505,B148)=0),AND(D148="mobile",J148&lt;&gt;"invalid",NOT(OR(AND(LEN(E148&amp;"")=10,LEFT(E148&amp;"",2)="09"),AND(LEN(E148&amp;"")=9,LEFT(E148&amp;"",1)="9")))),COUNTIFS($A$6:$A$505,A148,$B$6:$B$505,B148,$E$6:$E$505,E148)&gt;1),"REVIEW","READY"))</x:f>
      </x:c>
      <x:c r="N148" s="255" t="str">
        <x:f>IF(M148="","",IF(M148="READY","",TRIM(IF(A148="","missing entity_type; ","")&amp;IF(B148="","missing entity_key; ","")&amp;IF(C148="","missing contact_order; ","")&amp;IF(D148="","missing contact_type; ","")&amp;IF(E148="","missing number; ","")&amp;IF(J148="","missing status; ","")&amp;IF(AND(A148="client",COUNTIF('الزبائن'!$A$6:$A$505,B148)=0),"client key not found; ","")&amp;IF(AND(A148="proposed_name",COUNTIF('أسماء مقترحة'!$A$6:$A$505,B148)=0),"proposed_name key not found; ","")&amp;IF(AND(D148="mobile",J148&lt;&gt;"invalid",NOT(OR(AND(LEN(E148&amp;"")=10,LEFT(E148&amp;"",2)="09"),AND(LEN(E148&amp;"")=9,LEFT(E148&amp;"",1)="9")))),"mobile must be 09XXXXXXXX or status invalid; ","")&amp;IF(COUNTIFS($A$6:$A$505,A148,$B$6:$B$505,B148,$E$6:$E$505,E148)&gt;1,"duplicate number for same entity; ",""))))</x:f>
      </x:c>
    </x:row>
    <x:row r="149">
      <x:c r="A149" s="251"/>
      <x:c r="B149" s="252"/>
      <x:c r="C149" s="253"/>
      <x:c r="D149" s="253"/>
      <x:c r="E149" s="252"/>
      <x:c r="F149" s="252"/>
      <x:c r="G149" s="253"/>
      <x:c r="H149" s="253"/>
      <x:c r="I149" s="253"/>
      <x:c r="J149" s="253"/>
      <x:c r="K149" s="253"/>
      <x:c r="L149" s="253"/>
      <x:c r="M149" s="253" t="str">
        <x:f>IF(AND(A149="",B149="",E149=""),"",IF(OR(A149="",B149="",C149="",D149="",E149="",J149="",AND(A149="client",COUNTIF('الزبائن'!$A$6:$A$505,B149)=0),AND(A149="proposed_name",COUNTIF('أسماء مقترحة'!$A$6:$A$505,B149)=0),AND(D149="mobile",J149&lt;&gt;"invalid",NOT(OR(AND(LEN(E149&amp;"")=10,LEFT(E149&amp;"",2)="09"),AND(LEN(E149&amp;"")=9,LEFT(E149&amp;"",1)="9")))),COUNTIFS($A$6:$A$505,A149,$B$6:$B$505,B149,$E$6:$E$505,E149)&gt;1),"REVIEW","READY"))</x:f>
      </x:c>
      <x:c r="N149" s="255" t="str">
        <x:f>IF(M149="","",IF(M149="READY","",TRIM(IF(A149="","missing entity_type; ","")&amp;IF(B149="","missing entity_key; ","")&amp;IF(C149="","missing contact_order; ","")&amp;IF(D149="","missing contact_type; ","")&amp;IF(E149="","missing number; ","")&amp;IF(J149="","missing status; ","")&amp;IF(AND(A149="client",COUNTIF('الزبائن'!$A$6:$A$505,B149)=0),"client key not found; ","")&amp;IF(AND(A149="proposed_name",COUNTIF('أسماء مقترحة'!$A$6:$A$505,B149)=0),"proposed_name key not found; ","")&amp;IF(AND(D149="mobile",J149&lt;&gt;"invalid",NOT(OR(AND(LEN(E149&amp;"")=10,LEFT(E149&amp;"",2)="09"),AND(LEN(E149&amp;"")=9,LEFT(E149&amp;"",1)="9")))),"mobile must be 09XXXXXXXX or status invalid; ","")&amp;IF(COUNTIFS($A$6:$A$505,A149,$B$6:$B$505,B149,$E$6:$E$505,E149)&gt;1,"duplicate number for same entity; ",""))))</x:f>
      </x:c>
    </x:row>
    <x:row r="150">
      <x:c r="A150" s="251"/>
      <x:c r="B150" s="252"/>
      <x:c r="C150" s="253"/>
      <x:c r="D150" s="253"/>
      <x:c r="E150" s="252"/>
      <x:c r="F150" s="252"/>
      <x:c r="G150" s="253"/>
      <x:c r="H150" s="253"/>
      <x:c r="I150" s="253"/>
      <x:c r="J150" s="253"/>
      <x:c r="K150" s="253"/>
      <x:c r="L150" s="253"/>
      <x:c r="M150" s="253" t="str">
        <x:f>IF(AND(A150="",B150="",E150=""),"",IF(OR(A150="",B150="",C150="",D150="",E150="",J150="",AND(A150="client",COUNTIF('الزبائن'!$A$6:$A$505,B150)=0),AND(A150="proposed_name",COUNTIF('أسماء مقترحة'!$A$6:$A$505,B150)=0),AND(D150="mobile",J150&lt;&gt;"invalid",NOT(OR(AND(LEN(E150&amp;"")=10,LEFT(E150&amp;"",2)="09"),AND(LEN(E150&amp;"")=9,LEFT(E150&amp;"",1)="9")))),COUNTIFS($A$6:$A$505,A150,$B$6:$B$505,B150,$E$6:$E$505,E150)&gt;1),"REVIEW","READY"))</x:f>
      </x:c>
      <x:c r="N150" s="255" t="str">
        <x:f>IF(M150="","",IF(M150="READY","",TRIM(IF(A150="","missing entity_type; ","")&amp;IF(B150="","missing entity_key; ","")&amp;IF(C150="","missing contact_order; ","")&amp;IF(D150="","missing contact_type; ","")&amp;IF(E150="","missing number; ","")&amp;IF(J150="","missing status; ","")&amp;IF(AND(A150="client",COUNTIF('الزبائن'!$A$6:$A$505,B150)=0),"client key not found; ","")&amp;IF(AND(A150="proposed_name",COUNTIF('أسماء مقترحة'!$A$6:$A$505,B150)=0),"proposed_name key not found; ","")&amp;IF(AND(D150="mobile",J150&lt;&gt;"invalid",NOT(OR(AND(LEN(E150&amp;"")=10,LEFT(E150&amp;"",2)="09"),AND(LEN(E150&amp;"")=9,LEFT(E150&amp;"",1)="9")))),"mobile must be 09XXXXXXXX or status invalid; ","")&amp;IF(COUNTIFS($A$6:$A$505,A150,$B$6:$B$505,B150,$E$6:$E$505,E150)&gt;1,"duplicate number for same entity; ",""))))</x:f>
      </x:c>
    </x:row>
    <x:row r="151">
      <x:c r="A151" s="251"/>
      <x:c r="B151" s="252"/>
      <x:c r="C151" s="253"/>
      <x:c r="D151" s="253"/>
      <x:c r="E151" s="252"/>
      <x:c r="F151" s="252"/>
      <x:c r="G151" s="253"/>
      <x:c r="H151" s="253"/>
      <x:c r="I151" s="253"/>
      <x:c r="J151" s="253"/>
      <x:c r="K151" s="253"/>
      <x:c r="L151" s="253"/>
      <x:c r="M151" s="253" t="str">
        <x:f>IF(AND(A151="",B151="",E151=""),"",IF(OR(A151="",B151="",C151="",D151="",E151="",J151="",AND(A151="client",COUNTIF('الزبائن'!$A$6:$A$505,B151)=0),AND(A151="proposed_name",COUNTIF('أسماء مقترحة'!$A$6:$A$505,B151)=0),AND(D151="mobile",J151&lt;&gt;"invalid",NOT(OR(AND(LEN(E151&amp;"")=10,LEFT(E151&amp;"",2)="09"),AND(LEN(E151&amp;"")=9,LEFT(E151&amp;"",1)="9")))),COUNTIFS($A$6:$A$505,A151,$B$6:$B$505,B151,$E$6:$E$505,E151)&gt;1),"REVIEW","READY"))</x:f>
      </x:c>
      <x:c r="N151" s="255" t="str">
        <x:f>IF(M151="","",IF(M151="READY","",TRIM(IF(A151="","missing entity_type; ","")&amp;IF(B151="","missing entity_key; ","")&amp;IF(C151="","missing contact_order; ","")&amp;IF(D151="","missing contact_type; ","")&amp;IF(E151="","missing number; ","")&amp;IF(J151="","missing status; ","")&amp;IF(AND(A151="client",COUNTIF('الزبائن'!$A$6:$A$505,B151)=0),"client key not found; ","")&amp;IF(AND(A151="proposed_name",COUNTIF('أسماء مقترحة'!$A$6:$A$505,B151)=0),"proposed_name key not found; ","")&amp;IF(AND(D151="mobile",J151&lt;&gt;"invalid",NOT(OR(AND(LEN(E151&amp;"")=10,LEFT(E151&amp;"",2)="09"),AND(LEN(E151&amp;"")=9,LEFT(E151&amp;"",1)="9")))),"mobile must be 09XXXXXXXX or status invalid; ","")&amp;IF(COUNTIFS($A$6:$A$505,A151,$B$6:$B$505,B151,$E$6:$E$505,E151)&gt;1,"duplicate number for same entity; ",""))))</x:f>
      </x:c>
    </x:row>
    <x:row r="152">
      <x:c r="A152" s="251"/>
      <x:c r="B152" s="252"/>
      <x:c r="C152" s="253"/>
      <x:c r="D152" s="253"/>
      <x:c r="E152" s="252"/>
      <x:c r="F152" s="252"/>
      <x:c r="G152" s="253"/>
      <x:c r="H152" s="253"/>
      <x:c r="I152" s="253"/>
      <x:c r="J152" s="253"/>
      <x:c r="K152" s="253"/>
      <x:c r="L152" s="253"/>
      <x:c r="M152" s="253" t="str">
        <x:f>IF(AND(A152="",B152="",E152=""),"",IF(OR(A152="",B152="",C152="",D152="",E152="",J152="",AND(A152="client",COUNTIF('الزبائن'!$A$6:$A$505,B152)=0),AND(A152="proposed_name",COUNTIF('أسماء مقترحة'!$A$6:$A$505,B152)=0),AND(D152="mobile",J152&lt;&gt;"invalid",NOT(OR(AND(LEN(E152&amp;"")=10,LEFT(E152&amp;"",2)="09"),AND(LEN(E152&amp;"")=9,LEFT(E152&amp;"",1)="9")))),COUNTIFS($A$6:$A$505,A152,$B$6:$B$505,B152,$E$6:$E$505,E152)&gt;1),"REVIEW","READY"))</x:f>
      </x:c>
      <x:c r="N152" s="255" t="str">
        <x:f>IF(M152="","",IF(M152="READY","",TRIM(IF(A152="","missing entity_type; ","")&amp;IF(B152="","missing entity_key; ","")&amp;IF(C152="","missing contact_order; ","")&amp;IF(D152="","missing contact_type; ","")&amp;IF(E152="","missing number; ","")&amp;IF(J152="","missing status; ","")&amp;IF(AND(A152="client",COUNTIF('الزبائن'!$A$6:$A$505,B152)=0),"client key not found; ","")&amp;IF(AND(A152="proposed_name",COUNTIF('أسماء مقترحة'!$A$6:$A$505,B152)=0),"proposed_name key not found; ","")&amp;IF(AND(D152="mobile",J152&lt;&gt;"invalid",NOT(OR(AND(LEN(E152&amp;"")=10,LEFT(E152&amp;"",2)="09"),AND(LEN(E152&amp;"")=9,LEFT(E152&amp;"",1)="9")))),"mobile must be 09XXXXXXXX or status invalid; ","")&amp;IF(COUNTIFS($A$6:$A$505,A152,$B$6:$B$505,B152,$E$6:$E$505,E152)&gt;1,"duplicate number for same entity; ",""))))</x:f>
      </x:c>
    </x:row>
    <x:row r="153">
      <x:c r="A153" s="251"/>
      <x:c r="B153" s="252"/>
      <x:c r="C153" s="253"/>
      <x:c r="D153" s="253"/>
      <x:c r="E153" s="252"/>
      <x:c r="F153" s="252"/>
      <x:c r="G153" s="253"/>
      <x:c r="H153" s="253"/>
      <x:c r="I153" s="253"/>
      <x:c r="J153" s="253"/>
      <x:c r="K153" s="253"/>
      <x:c r="L153" s="253"/>
      <x:c r="M153" s="253" t="str">
        <x:f>IF(AND(A153="",B153="",E153=""),"",IF(OR(A153="",B153="",C153="",D153="",E153="",J153="",AND(A153="client",COUNTIF('الزبائن'!$A$6:$A$505,B153)=0),AND(A153="proposed_name",COUNTIF('أسماء مقترحة'!$A$6:$A$505,B153)=0),AND(D153="mobile",J153&lt;&gt;"invalid",NOT(OR(AND(LEN(E153&amp;"")=10,LEFT(E153&amp;"",2)="09"),AND(LEN(E153&amp;"")=9,LEFT(E153&amp;"",1)="9")))),COUNTIFS($A$6:$A$505,A153,$B$6:$B$505,B153,$E$6:$E$505,E153)&gt;1),"REVIEW","READY"))</x:f>
      </x:c>
      <x:c r="N153" s="255" t="str">
        <x:f>IF(M153="","",IF(M153="READY","",TRIM(IF(A153="","missing entity_type; ","")&amp;IF(B153="","missing entity_key; ","")&amp;IF(C153="","missing contact_order; ","")&amp;IF(D153="","missing contact_type; ","")&amp;IF(E153="","missing number; ","")&amp;IF(J153="","missing status; ","")&amp;IF(AND(A153="client",COUNTIF('الزبائن'!$A$6:$A$505,B153)=0),"client key not found; ","")&amp;IF(AND(A153="proposed_name",COUNTIF('أسماء مقترحة'!$A$6:$A$505,B153)=0),"proposed_name key not found; ","")&amp;IF(AND(D153="mobile",J153&lt;&gt;"invalid",NOT(OR(AND(LEN(E153&amp;"")=10,LEFT(E153&amp;"",2)="09"),AND(LEN(E153&amp;"")=9,LEFT(E153&amp;"",1)="9")))),"mobile must be 09XXXXXXXX or status invalid; ","")&amp;IF(COUNTIFS($A$6:$A$505,A153,$B$6:$B$505,B153,$E$6:$E$505,E153)&gt;1,"duplicate number for same entity; ",""))))</x:f>
      </x:c>
    </x:row>
    <x:row r="154">
      <x:c r="A154" s="251"/>
      <x:c r="B154" s="252"/>
      <x:c r="C154" s="253"/>
      <x:c r="D154" s="253"/>
      <x:c r="E154" s="252"/>
      <x:c r="F154" s="252"/>
      <x:c r="G154" s="253"/>
      <x:c r="H154" s="253"/>
      <x:c r="I154" s="253"/>
      <x:c r="J154" s="253"/>
      <x:c r="K154" s="253"/>
      <x:c r="L154" s="253"/>
      <x:c r="M154" s="253" t="str">
        <x:f>IF(AND(A154="",B154="",E154=""),"",IF(OR(A154="",B154="",C154="",D154="",E154="",J154="",AND(A154="client",COUNTIF('الزبائن'!$A$6:$A$505,B154)=0),AND(A154="proposed_name",COUNTIF('أسماء مقترحة'!$A$6:$A$505,B154)=0),AND(D154="mobile",J154&lt;&gt;"invalid",NOT(OR(AND(LEN(E154&amp;"")=10,LEFT(E154&amp;"",2)="09"),AND(LEN(E154&amp;"")=9,LEFT(E154&amp;"",1)="9")))),COUNTIFS($A$6:$A$505,A154,$B$6:$B$505,B154,$E$6:$E$505,E154)&gt;1),"REVIEW","READY"))</x:f>
      </x:c>
      <x:c r="N154" s="255" t="str">
        <x:f>IF(M154="","",IF(M154="READY","",TRIM(IF(A154="","missing entity_type; ","")&amp;IF(B154="","missing entity_key; ","")&amp;IF(C154="","missing contact_order; ","")&amp;IF(D154="","missing contact_type; ","")&amp;IF(E154="","missing number; ","")&amp;IF(J154="","missing status; ","")&amp;IF(AND(A154="client",COUNTIF('الزبائن'!$A$6:$A$505,B154)=0),"client key not found; ","")&amp;IF(AND(A154="proposed_name",COUNTIF('أسماء مقترحة'!$A$6:$A$505,B154)=0),"proposed_name key not found; ","")&amp;IF(AND(D154="mobile",J154&lt;&gt;"invalid",NOT(OR(AND(LEN(E154&amp;"")=10,LEFT(E154&amp;"",2)="09"),AND(LEN(E154&amp;"")=9,LEFT(E154&amp;"",1)="9")))),"mobile must be 09XXXXXXXX or status invalid; ","")&amp;IF(COUNTIFS($A$6:$A$505,A154,$B$6:$B$505,B154,$E$6:$E$505,E154)&gt;1,"duplicate number for same entity; ",""))))</x:f>
      </x:c>
    </x:row>
    <x:row r="155">
      <x:c r="A155" s="251"/>
      <x:c r="B155" s="252"/>
      <x:c r="C155" s="253"/>
      <x:c r="D155" s="253"/>
      <x:c r="E155" s="252"/>
      <x:c r="F155" s="252"/>
      <x:c r="G155" s="253"/>
      <x:c r="H155" s="253"/>
      <x:c r="I155" s="253"/>
      <x:c r="J155" s="253"/>
      <x:c r="K155" s="253"/>
      <x:c r="L155" s="253"/>
      <x:c r="M155" s="253" t="str">
        <x:f>IF(AND(A155="",B155="",E155=""),"",IF(OR(A155="",B155="",C155="",D155="",E155="",J155="",AND(A155="client",COUNTIF('الزبائن'!$A$6:$A$505,B155)=0),AND(A155="proposed_name",COUNTIF('أسماء مقترحة'!$A$6:$A$505,B155)=0),AND(D155="mobile",J155&lt;&gt;"invalid",NOT(OR(AND(LEN(E155&amp;"")=10,LEFT(E155&amp;"",2)="09"),AND(LEN(E155&amp;"")=9,LEFT(E155&amp;"",1)="9")))),COUNTIFS($A$6:$A$505,A155,$B$6:$B$505,B155,$E$6:$E$505,E155)&gt;1),"REVIEW","READY"))</x:f>
      </x:c>
      <x:c r="N155" s="255" t="str">
        <x:f>IF(M155="","",IF(M155="READY","",TRIM(IF(A155="","missing entity_type; ","")&amp;IF(B155="","missing entity_key; ","")&amp;IF(C155="","missing contact_order; ","")&amp;IF(D155="","missing contact_type; ","")&amp;IF(E155="","missing number; ","")&amp;IF(J155="","missing status; ","")&amp;IF(AND(A155="client",COUNTIF('الزبائن'!$A$6:$A$505,B155)=0),"client key not found; ","")&amp;IF(AND(A155="proposed_name",COUNTIF('أسماء مقترحة'!$A$6:$A$505,B155)=0),"proposed_name key not found; ","")&amp;IF(AND(D155="mobile",J155&lt;&gt;"invalid",NOT(OR(AND(LEN(E155&amp;"")=10,LEFT(E155&amp;"",2)="09"),AND(LEN(E155&amp;"")=9,LEFT(E155&amp;"",1)="9")))),"mobile must be 09XXXXXXXX or status invalid; ","")&amp;IF(COUNTIFS($A$6:$A$505,A155,$B$6:$B$505,B155,$E$6:$E$505,E155)&gt;1,"duplicate number for same entity; ",""))))</x:f>
      </x:c>
    </x:row>
    <x:row r="156">
      <x:c r="A156" s="251"/>
      <x:c r="B156" s="252"/>
      <x:c r="C156" s="253"/>
      <x:c r="D156" s="253"/>
      <x:c r="E156" s="252"/>
      <x:c r="F156" s="252"/>
      <x:c r="G156" s="253"/>
      <x:c r="H156" s="253"/>
      <x:c r="I156" s="253"/>
      <x:c r="J156" s="253"/>
      <x:c r="K156" s="253"/>
      <x:c r="L156" s="253"/>
      <x:c r="M156" s="253" t="str">
        <x:f>IF(AND(A156="",B156="",E156=""),"",IF(OR(A156="",B156="",C156="",D156="",E156="",J156="",AND(A156="client",COUNTIF('الزبائن'!$A$6:$A$505,B156)=0),AND(A156="proposed_name",COUNTIF('أسماء مقترحة'!$A$6:$A$505,B156)=0),AND(D156="mobile",J156&lt;&gt;"invalid",NOT(OR(AND(LEN(E156&amp;"")=10,LEFT(E156&amp;"",2)="09"),AND(LEN(E156&amp;"")=9,LEFT(E156&amp;"",1)="9")))),COUNTIFS($A$6:$A$505,A156,$B$6:$B$505,B156,$E$6:$E$505,E156)&gt;1),"REVIEW","READY"))</x:f>
      </x:c>
      <x:c r="N156" s="255" t="str">
        <x:f>IF(M156="","",IF(M156="READY","",TRIM(IF(A156="","missing entity_type; ","")&amp;IF(B156="","missing entity_key; ","")&amp;IF(C156="","missing contact_order; ","")&amp;IF(D156="","missing contact_type; ","")&amp;IF(E156="","missing number; ","")&amp;IF(J156="","missing status; ","")&amp;IF(AND(A156="client",COUNTIF('الزبائن'!$A$6:$A$505,B156)=0),"client key not found; ","")&amp;IF(AND(A156="proposed_name",COUNTIF('أسماء مقترحة'!$A$6:$A$505,B156)=0),"proposed_name key not found; ","")&amp;IF(AND(D156="mobile",J156&lt;&gt;"invalid",NOT(OR(AND(LEN(E156&amp;"")=10,LEFT(E156&amp;"",2)="09"),AND(LEN(E156&amp;"")=9,LEFT(E156&amp;"",1)="9")))),"mobile must be 09XXXXXXXX or status invalid; ","")&amp;IF(COUNTIFS($A$6:$A$505,A156,$B$6:$B$505,B156,$E$6:$E$505,E156)&gt;1,"duplicate number for same entity; ",""))))</x:f>
      </x:c>
    </x:row>
    <x:row r="157">
      <x:c r="A157" s="251"/>
      <x:c r="B157" s="252"/>
      <x:c r="C157" s="253"/>
      <x:c r="D157" s="253"/>
      <x:c r="E157" s="252"/>
      <x:c r="F157" s="252"/>
      <x:c r="G157" s="253"/>
      <x:c r="H157" s="253"/>
      <x:c r="I157" s="253"/>
      <x:c r="J157" s="253"/>
      <x:c r="K157" s="253"/>
      <x:c r="L157" s="253"/>
      <x:c r="M157" s="253" t="str">
        <x:f>IF(AND(A157="",B157="",E157=""),"",IF(OR(A157="",B157="",C157="",D157="",E157="",J157="",AND(A157="client",COUNTIF('الزبائن'!$A$6:$A$505,B157)=0),AND(A157="proposed_name",COUNTIF('أسماء مقترحة'!$A$6:$A$505,B157)=0),AND(D157="mobile",J157&lt;&gt;"invalid",NOT(OR(AND(LEN(E157&amp;"")=10,LEFT(E157&amp;"",2)="09"),AND(LEN(E157&amp;"")=9,LEFT(E157&amp;"",1)="9")))),COUNTIFS($A$6:$A$505,A157,$B$6:$B$505,B157,$E$6:$E$505,E157)&gt;1),"REVIEW","READY"))</x:f>
      </x:c>
      <x:c r="N157" s="255" t="str">
        <x:f>IF(M157="","",IF(M157="READY","",TRIM(IF(A157="","missing entity_type; ","")&amp;IF(B157="","missing entity_key; ","")&amp;IF(C157="","missing contact_order; ","")&amp;IF(D157="","missing contact_type; ","")&amp;IF(E157="","missing number; ","")&amp;IF(J157="","missing status; ","")&amp;IF(AND(A157="client",COUNTIF('الزبائن'!$A$6:$A$505,B157)=0),"client key not found; ","")&amp;IF(AND(A157="proposed_name",COUNTIF('أسماء مقترحة'!$A$6:$A$505,B157)=0),"proposed_name key not found; ","")&amp;IF(AND(D157="mobile",J157&lt;&gt;"invalid",NOT(OR(AND(LEN(E157&amp;"")=10,LEFT(E157&amp;"",2)="09"),AND(LEN(E157&amp;"")=9,LEFT(E157&amp;"",1)="9")))),"mobile must be 09XXXXXXXX or status invalid; ","")&amp;IF(COUNTIFS($A$6:$A$505,A157,$B$6:$B$505,B157,$E$6:$E$505,E157)&gt;1,"duplicate number for same entity; ",""))))</x:f>
      </x:c>
    </x:row>
    <x:row r="158">
      <x:c r="A158" s="251"/>
      <x:c r="B158" s="252"/>
      <x:c r="C158" s="253"/>
      <x:c r="D158" s="253"/>
      <x:c r="E158" s="252"/>
      <x:c r="F158" s="252"/>
      <x:c r="G158" s="253"/>
      <x:c r="H158" s="253"/>
      <x:c r="I158" s="253"/>
      <x:c r="J158" s="253"/>
      <x:c r="K158" s="253"/>
      <x:c r="L158" s="253"/>
      <x:c r="M158" s="253" t="str">
        <x:f>IF(AND(A158="",B158="",E158=""),"",IF(OR(A158="",B158="",C158="",D158="",E158="",J158="",AND(A158="client",COUNTIF('الزبائن'!$A$6:$A$505,B158)=0),AND(A158="proposed_name",COUNTIF('أسماء مقترحة'!$A$6:$A$505,B158)=0),AND(D158="mobile",J158&lt;&gt;"invalid",NOT(OR(AND(LEN(E158&amp;"")=10,LEFT(E158&amp;"",2)="09"),AND(LEN(E158&amp;"")=9,LEFT(E158&amp;"",1)="9")))),COUNTIFS($A$6:$A$505,A158,$B$6:$B$505,B158,$E$6:$E$505,E158)&gt;1),"REVIEW","READY"))</x:f>
      </x:c>
      <x:c r="N158" s="255" t="str">
        <x:f>IF(M158="","",IF(M158="READY","",TRIM(IF(A158="","missing entity_type; ","")&amp;IF(B158="","missing entity_key; ","")&amp;IF(C158="","missing contact_order; ","")&amp;IF(D158="","missing contact_type; ","")&amp;IF(E158="","missing number; ","")&amp;IF(J158="","missing status; ","")&amp;IF(AND(A158="client",COUNTIF('الزبائن'!$A$6:$A$505,B158)=0),"client key not found; ","")&amp;IF(AND(A158="proposed_name",COUNTIF('أسماء مقترحة'!$A$6:$A$505,B158)=0),"proposed_name key not found; ","")&amp;IF(AND(D158="mobile",J158&lt;&gt;"invalid",NOT(OR(AND(LEN(E158&amp;"")=10,LEFT(E158&amp;"",2)="09"),AND(LEN(E158&amp;"")=9,LEFT(E158&amp;"",1)="9")))),"mobile must be 09XXXXXXXX or status invalid; ","")&amp;IF(COUNTIFS($A$6:$A$505,A158,$B$6:$B$505,B158,$E$6:$E$505,E158)&gt;1,"duplicate number for same entity; ",""))))</x:f>
      </x:c>
    </x:row>
    <x:row r="159">
      <x:c r="A159" s="251"/>
      <x:c r="B159" s="252"/>
      <x:c r="C159" s="253"/>
      <x:c r="D159" s="253"/>
      <x:c r="E159" s="252"/>
      <x:c r="F159" s="252"/>
      <x:c r="G159" s="253"/>
      <x:c r="H159" s="253"/>
      <x:c r="I159" s="253"/>
      <x:c r="J159" s="253"/>
      <x:c r="K159" s="253"/>
      <x:c r="L159" s="253"/>
      <x:c r="M159" s="253" t="str">
        <x:f>IF(AND(A159="",B159="",E159=""),"",IF(OR(A159="",B159="",C159="",D159="",E159="",J159="",AND(A159="client",COUNTIF('الزبائن'!$A$6:$A$505,B159)=0),AND(A159="proposed_name",COUNTIF('أسماء مقترحة'!$A$6:$A$505,B159)=0),AND(D159="mobile",J159&lt;&gt;"invalid",NOT(OR(AND(LEN(E159&amp;"")=10,LEFT(E159&amp;"",2)="09"),AND(LEN(E159&amp;"")=9,LEFT(E159&amp;"",1)="9")))),COUNTIFS($A$6:$A$505,A159,$B$6:$B$505,B159,$E$6:$E$505,E159)&gt;1),"REVIEW","READY"))</x:f>
      </x:c>
      <x:c r="N159" s="255" t="str">
        <x:f>IF(M159="","",IF(M159="READY","",TRIM(IF(A159="","missing entity_type; ","")&amp;IF(B159="","missing entity_key; ","")&amp;IF(C159="","missing contact_order; ","")&amp;IF(D159="","missing contact_type; ","")&amp;IF(E159="","missing number; ","")&amp;IF(J159="","missing status; ","")&amp;IF(AND(A159="client",COUNTIF('الزبائن'!$A$6:$A$505,B159)=0),"client key not found; ","")&amp;IF(AND(A159="proposed_name",COUNTIF('أسماء مقترحة'!$A$6:$A$505,B159)=0),"proposed_name key not found; ","")&amp;IF(AND(D159="mobile",J159&lt;&gt;"invalid",NOT(OR(AND(LEN(E159&amp;"")=10,LEFT(E159&amp;"",2)="09"),AND(LEN(E159&amp;"")=9,LEFT(E159&amp;"",1)="9")))),"mobile must be 09XXXXXXXX or status invalid; ","")&amp;IF(COUNTIFS($A$6:$A$505,A159,$B$6:$B$505,B159,$E$6:$E$505,E159)&gt;1,"duplicate number for same entity; ",""))))</x:f>
      </x:c>
    </x:row>
    <x:row r="160">
      <x:c r="A160" s="251"/>
      <x:c r="B160" s="252"/>
      <x:c r="C160" s="253"/>
      <x:c r="D160" s="253"/>
      <x:c r="E160" s="252"/>
      <x:c r="F160" s="252"/>
      <x:c r="G160" s="253"/>
      <x:c r="H160" s="253"/>
      <x:c r="I160" s="253"/>
      <x:c r="J160" s="253"/>
      <x:c r="K160" s="253"/>
      <x:c r="L160" s="253"/>
      <x:c r="M160" s="253" t="str">
        <x:f>IF(AND(A160="",B160="",E160=""),"",IF(OR(A160="",B160="",C160="",D160="",E160="",J160="",AND(A160="client",COUNTIF('الزبائن'!$A$6:$A$505,B160)=0),AND(A160="proposed_name",COUNTIF('أسماء مقترحة'!$A$6:$A$505,B160)=0),AND(D160="mobile",J160&lt;&gt;"invalid",NOT(OR(AND(LEN(E160&amp;"")=10,LEFT(E160&amp;"",2)="09"),AND(LEN(E160&amp;"")=9,LEFT(E160&amp;"",1)="9")))),COUNTIFS($A$6:$A$505,A160,$B$6:$B$505,B160,$E$6:$E$505,E160)&gt;1),"REVIEW","READY"))</x:f>
      </x:c>
      <x:c r="N160" s="255" t="str">
        <x:f>IF(M160="","",IF(M160="READY","",TRIM(IF(A160="","missing entity_type; ","")&amp;IF(B160="","missing entity_key; ","")&amp;IF(C160="","missing contact_order; ","")&amp;IF(D160="","missing contact_type; ","")&amp;IF(E160="","missing number; ","")&amp;IF(J160="","missing status; ","")&amp;IF(AND(A160="client",COUNTIF('الزبائن'!$A$6:$A$505,B160)=0),"client key not found; ","")&amp;IF(AND(A160="proposed_name",COUNTIF('أسماء مقترحة'!$A$6:$A$505,B160)=0),"proposed_name key not found; ","")&amp;IF(AND(D160="mobile",J160&lt;&gt;"invalid",NOT(OR(AND(LEN(E160&amp;"")=10,LEFT(E160&amp;"",2)="09"),AND(LEN(E160&amp;"")=9,LEFT(E160&amp;"",1)="9")))),"mobile must be 09XXXXXXXX or status invalid; ","")&amp;IF(COUNTIFS($A$6:$A$505,A160,$B$6:$B$505,B160,$E$6:$E$505,E160)&gt;1,"duplicate number for same entity; ",""))))</x:f>
      </x:c>
    </x:row>
    <x:row r="161">
      <x:c r="A161" s="251"/>
      <x:c r="B161" s="252"/>
      <x:c r="C161" s="253"/>
      <x:c r="D161" s="253"/>
      <x:c r="E161" s="252"/>
      <x:c r="F161" s="252"/>
      <x:c r="G161" s="253"/>
      <x:c r="H161" s="253"/>
      <x:c r="I161" s="253"/>
      <x:c r="J161" s="253"/>
      <x:c r="K161" s="253"/>
      <x:c r="L161" s="253"/>
      <x:c r="M161" s="253" t="str">
        <x:f>IF(AND(A161="",B161="",E161=""),"",IF(OR(A161="",B161="",C161="",D161="",E161="",J161="",AND(A161="client",COUNTIF('الزبائن'!$A$6:$A$505,B161)=0),AND(A161="proposed_name",COUNTIF('أسماء مقترحة'!$A$6:$A$505,B161)=0),AND(D161="mobile",J161&lt;&gt;"invalid",NOT(OR(AND(LEN(E161&amp;"")=10,LEFT(E161&amp;"",2)="09"),AND(LEN(E161&amp;"")=9,LEFT(E161&amp;"",1)="9")))),COUNTIFS($A$6:$A$505,A161,$B$6:$B$505,B161,$E$6:$E$505,E161)&gt;1),"REVIEW","READY"))</x:f>
      </x:c>
      <x:c r="N161" s="255" t="str">
        <x:f>IF(M161="","",IF(M161="READY","",TRIM(IF(A161="","missing entity_type; ","")&amp;IF(B161="","missing entity_key; ","")&amp;IF(C161="","missing contact_order; ","")&amp;IF(D161="","missing contact_type; ","")&amp;IF(E161="","missing number; ","")&amp;IF(J161="","missing status; ","")&amp;IF(AND(A161="client",COUNTIF('الزبائن'!$A$6:$A$505,B161)=0),"client key not found; ","")&amp;IF(AND(A161="proposed_name",COUNTIF('أسماء مقترحة'!$A$6:$A$505,B161)=0),"proposed_name key not found; ","")&amp;IF(AND(D161="mobile",J161&lt;&gt;"invalid",NOT(OR(AND(LEN(E161&amp;"")=10,LEFT(E161&amp;"",2)="09"),AND(LEN(E161&amp;"")=9,LEFT(E161&amp;"",1)="9")))),"mobile must be 09XXXXXXXX or status invalid; ","")&amp;IF(COUNTIFS($A$6:$A$505,A161,$B$6:$B$505,B161,$E$6:$E$505,E161)&gt;1,"duplicate number for same entity; ",""))))</x:f>
      </x:c>
    </x:row>
    <x:row r="162">
      <x:c r="A162" s="251"/>
      <x:c r="B162" s="252"/>
      <x:c r="C162" s="253"/>
      <x:c r="D162" s="253"/>
      <x:c r="E162" s="252"/>
      <x:c r="F162" s="252"/>
      <x:c r="G162" s="253"/>
      <x:c r="H162" s="253"/>
      <x:c r="I162" s="253"/>
      <x:c r="J162" s="253"/>
      <x:c r="K162" s="253"/>
      <x:c r="L162" s="253"/>
      <x:c r="M162" s="253" t="str">
        <x:f>IF(AND(A162="",B162="",E162=""),"",IF(OR(A162="",B162="",C162="",D162="",E162="",J162="",AND(A162="client",COUNTIF('الزبائن'!$A$6:$A$505,B162)=0),AND(A162="proposed_name",COUNTIF('أسماء مقترحة'!$A$6:$A$505,B162)=0),AND(D162="mobile",J162&lt;&gt;"invalid",NOT(OR(AND(LEN(E162&amp;"")=10,LEFT(E162&amp;"",2)="09"),AND(LEN(E162&amp;"")=9,LEFT(E162&amp;"",1)="9")))),COUNTIFS($A$6:$A$505,A162,$B$6:$B$505,B162,$E$6:$E$505,E162)&gt;1),"REVIEW","READY"))</x:f>
      </x:c>
      <x:c r="N162" s="255" t="str">
        <x:f>IF(M162="","",IF(M162="READY","",TRIM(IF(A162="","missing entity_type; ","")&amp;IF(B162="","missing entity_key; ","")&amp;IF(C162="","missing contact_order; ","")&amp;IF(D162="","missing contact_type; ","")&amp;IF(E162="","missing number; ","")&amp;IF(J162="","missing status; ","")&amp;IF(AND(A162="client",COUNTIF('الزبائن'!$A$6:$A$505,B162)=0),"client key not found; ","")&amp;IF(AND(A162="proposed_name",COUNTIF('أسماء مقترحة'!$A$6:$A$505,B162)=0),"proposed_name key not found; ","")&amp;IF(AND(D162="mobile",J162&lt;&gt;"invalid",NOT(OR(AND(LEN(E162&amp;"")=10,LEFT(E162&amp;"",2)="09"),AND(LEN(E162&amp;"")=9,LEFT(E162&amp;"",1)="9")))),"mobile must be 09XXXXXXXX or status invalid; ","")&amp;IF(COUNTIFS($A$6:$A$505,A162,$B$6:$B$505,B162,$E$6:$E$505,E162)&gt;1,"duplicate number for same entity; ",""))))</x:f>
      </x:c>
    </x:row>
    <x:row r="163">
      <x:c r="A163" s="251"/>
      <x:c r="B163" s="252"/>
      <x:c r="C163" s="253"/>
      <x:c r="D163" s="253"/>
      <x:c r="E163" s="252"/>
      <x:c r="F163" s="252"/>
      <x:c r="G163" s="253"/>
      <x:c r="H163" s="253"/>
      <x:c r="I163" s="253"/>
      <x:c r="J163" s="253"/>
      <x:c r="K163" s="253"/>
      <x:c r="L163" s="253"/>
      <x:c r="M163" s="253" t="str">
        <x:f>IF(AND(A163="",B163="",E163=""),"",IF(OR(A163="",B163="",C163="",D163="",E163="",J163="",AND(A163="client",COUNTIF('الزبائن'!$A$6:$A$505,B163)=0),AND(A163="proposed_name",COUNTIF('أسماء مقترحة'!$A$6:$A$505,B163)=0),AND(D163="mobile",J163&lt;&gt;"invalid",NOT(OR(AND(LEN(E163&amp;"")=10,LEFT(E163&amp;"",2)="09"),AND(LEN(E163&amp;"")=9,LEFT(E163&amp;"",1)="9")))),COUNTIFS($A$6:$A$505,A163,$B$6:$B$505,B163,$E$6:$E$505,E163)&gt;1),"REVIEW","READY"))</x:f>
      </x:c>
      <x:c r="N163" s="255" t="str">
        <x:f>IF(M163="","",IF(M163="READY","",TRIM(IF(A163="","missing entity_type; ","")&amp;IF(B163="","missing entity_key; ","")&amp;IF(C163="","missing contact_order; ","")&amp;IF(D163="","missing contact_type; ","")&amp;IF(E163="","missing number; ","")&amp;IF(J163="","missing status; ","")&amp;IF(AND(A163="client",COUNTIF('الزبائن'!$A$6:$A$505,B163)=0),"client key not found; ","")&amp;IF(AND(A163="proposed_name",COUNTIF('أسماء مقترحة'!$A$6:$A$505,B163)=0),"proposed_name key not found; ","")&amp;IF(AND(D163="mobile",J163&lt;&gt;"invalid",NOT(OR(AND(LEN(E163&amp;"")=10,LEFT(E163&amp;"",2)="09"),AND(LEN(E163&amp;"")=9,LEFT(E163&amp;"",1)="9")))),"mobile must be 09XXXXXXXX or status invalid; ","")&amp;IF(COUNTIFS($A$6:$A$505,A163,$B$6:$B$505,B163,$E$6:$E$505,E163)&gt;1,"duplicate number for same entity; ",""))))</x:f>
      </x:c>
    </x:row>
    <x:row r="164">
      <x:c r="A164" s="251"/>
      <x:c r="B164" s="252"/>
      <x:c r="C164" s="253"/>
      <x:c r="D164" s="253"/>
      <x:c r="E164" s="252"/>
      <x:c r="F164" s="252"/>
      <x:c r="G164" s="253"/>
      <x:c r="H164" s="253"/>
      <x:c r="I164" s="253"/>
      <x:c r="J164" s="253"/>
      <x:c r="K164" s="253"/>
      <x:c r="L164" s="253"/>
      <x:c r="M164" s="253" t="str">
        <x:f>IF(AND(A164="",B164="",E164=""),"",IF(OR(A164="",B164="",C164="",D164="",E164="",J164="",AND(A164="client",COUNTIF('الزبائن'!$A$6:$A$505,B164)=0),AND(A164="proposed_name",COUNTIF('أسماء مقترحة'!$A$6:$A$505,B164)=0),AND(D164="mobile",J164&lt;&gt;"invalid",NOT(OR(AND(LEN(E164&amp;"")=10,LEFT(E164&amp;"",2)="09"),AND(LEN(E164&amp;"")=9,LEFT(E164&amp;"",1)="9")))),COUNTIFS($A$6:$A$505,A164,$B$6:$B$505,B164,$E$6:$E$505,E164)&gt;1),"REVIEW","READY"))</x:f>
      </x:c>
      <x:c r="N164" s="255" t="str">
        <x:f>IF(M164="","",IF(M164="READY","",TRIM(IF(A164="","missing entity_type; ","")&amp;IF(B164="","missing entity_key; ","")&amp;IF(C164="","missing contact_order; ","")&amp;IF(D164="","missing contact_type; ","")&amp;IF(E164="","missing number; ","")&amp;IF(J164="","missing status; ","")&amp;IF(AND(A164="client",COUNTIF('الزبائن'!$A$6:$A$505,B164)=0),"client key not found; ","")&amp;IF(AND(A164="proposed_name",COUNTIF('أسماء مقترحة'!$A$6:$A$505,B164)=0),"proposed_name key not found; ","")&amp;IF(AND(D164="mobile",J164&lt;&gt;"invalid",NOT(OR(AND(LEN(E164&amp;"")=10,LEFT(E164&amp;"",2)="09"),AND(LEN(E164&amp;"")=9,LEFT(E164&amp;"",1)="9")))),"mobile must be 09XXXXXXXX or status invalid; ","")&amp;IF(COUNTIFS($A$6:$A$505,A164,$B$6:$B$505,B164,$E$6:$E$505,E164)&gt;1,"duplicate number for same entity; ",""))))</x:f>
      </x:c>
    </x:row>
    <x:row r="165">
      <x:c r="A165" s="251"/>
      <x:c r="B165" s="252"/>
      <x:c r="C165" s="253"/>
      <x:c r="D165" s="253"/>
      <x:c r="E165" s="252"/>
      <x:c r="F165" s="252"/>
      <x:c r="G165" s="253"/>
      <x:c r="H165" s="253"/>
      <x:c r="I165" s="253"/>
      <x:c r="J165" s="253"/>
      <x:c r="K165" s="253"/>
      <x:c r="L165" s="253"/>
      <x:c r="M165" s="253" t="str">
        <x:f>IF(AND(A165="",B165="",E165=""),"",IF(OR(A165="",B165="",C165="",D165="",E165="",J165="",AND(A165="client",COUNTIF('الزبائن'!$A$6:$A$505,B165)=0),AND(A165="proposed_name",COUNTIF('أسماء مقترحة'!$A$6:$A$505,B165)=0),AND(D165="mobile",J165&lt;&gt;"invalid",NOT(OR(AND(LEN(E165&amp;"")=10,LEFT(E165&amp;"",2)="09"),AND(LEN(E165&amp;"")=9,LEFT(E165&amp;"",1)="9")))),COUNTIFS($A$6:$A$505,A165,$B$6:$B$505,B165,$E$6:$E$505,E165)&gt;1),"REVIEW","READY"))</x:f>
      </x:c>
      <x:c r="N165" s="255" t="str">
        <x:f>IF(M165="","",IF(M165="READY","",TRIM(IF(A165="","missing entity_type; ","")&amp;IF(B165="","missing entity_key; ","")&amp;IF(C165="","missing contact_order; ","")&amp;IF(D165="","missing contact_type; ","")&amp;IF(E165="","missing number; ","")&amp;IF(J165="","missing status; ","")&amp;IF(AND(A165="client",COUNTIF('الزبائن'!$A$6:$A$505,B165)=0),"client key not found; ","")&amp;IF(AND(A165="proposed_name",COUNTIF('أسماء مقترحة'!$A$6:$A$505,B165)=0),"proposed_name key not found; ","")&amp;IF(AND(D165="mobile",J165&lt;&gt;"invalid",NOT(OR(AND(LEN(E165&amp;"")=10,LEFT(E165&amp;"",2)="09"),AND(LEN(E165&amp;"")=9,LEFT(E165&amp;"",1)="9")))),"mobile must be 09XXXXXXXX or status invalid; ","")&amp;IF(COUNTIFS($A$6:$A$505,A165,$B$6:$B$505,B165,$E$6:$E$505,E165)&gt;1,"duplicate number for same entity; ",""))))</x:f>
      </x:c>
    </x:row>
    <x:row r="166">
      <x:c r="A166" s="251"/>
      <x:c r="B166" s="252"/>
      <x:c r="C166" s="253"/>
      <x:c r="D166" s="253"/>
      <x:c r="E166" s="252"/>
      <x:c r="F166" s="252"/>
      <x:c r="G166" s="253"/>
      <x:c r="H166" s="253"/>
      <x:c r="I166" s="253"/>
      <x:c r="J166" s="253"/>
      <x:c r="K166" s="253"/>
      <x:c r="L166" s="253"/>
      <x:c r="M166" s="253" t="str">
        <x:f>IF(AND(A166="",B166="",E166=""),"",IF(OR(A166="",B166="",C166="",D166="",E166="",J166="",AND(A166="client",COUNTIF('الزبائن'!$A$6:$A$505,B166)=0),AND(A166="proposed_name",COUNTIF('أسماء مقترحة'!$A$6:$A$505,B166)=0),AND(D166="mobile",J166&lt;&gt;"invalid",NOT(OR(AND(LEN(E166&amp;"")=10,LEFT(E166&amp;"",2)="09"),AND(LEN(E166&amp;"")=9,LEFT(E166&amp;"",1)="9")))),COUNTIFS($A$6:$A$505,A166,$B$6:$B$505,B166,$E$6:$E$505,E166)&gt;1),"REVIEW","READY"))</x:f>
      </x:c>
      <x:c r="N166" s="255" t="str">
        <x:f>IF(M166="","",IF(M166="READY","",TRIM(IF(A166="","missing entity_type; ","")&amp;IF(B166="","missing entity_key; ","")&amp;IF(C166="","missing contact_order; ","")&amp;IF(D166="","missing contact_type; ","")&amp;IF(E166="","missing number; ","")&amp;IF(J166="","missing status; ","")&amp;IF(AND(A166="client",COUNTIF('الزبائن'!$A$6:$A$505,B166)=0),"client key not found; ","")&amp;IF(AND(A166="proposed_name",COUNTIF('أسماء مقترحة'!$A$6:$A$505,B166)=0),"proposed_name key not found; ","")&amp;IF(AND(D166="mobile",J166&lt;&gt;"invalid",NOT(OR(AND(LEN(E166&amp;"")=10,LEFT(E166&amp;"",2)="09"),AND(LEN(E166&amp;"")=9,LEFT(E166&amp;"",1)="9")))),"mobile must be 09XXXXXXXX or status invalid; ","")&amp;IF(COUNTIFS($A$6:$A$505,A166,$B$6:$B$505,B166,$E$6:$E$505,E166)&gt;1,"duplicate number for same entity; ",""))))</x:f>
      </x:c>
    </x:row>
    <x:row r="167">
      <x:c r="A167" s="251"/>
      <x:c r="B167" s="252"/>
      <x:c r="C167" s="253"/>
      <x:c r="D167" s="253"/>
      <x:c r="E167" s="252"/>
      <x:c r="F167" s="252"/>
      <x:c r="G167" s="253"/>
      <x:c r="H167" s="253"/>
      <x:c r="I167" s="253"/>
      <x:c r="J167" s="253"/>
      <x:c r="K167" s="253"/>
      <x:c r="L167" s="253"/>
      <x:c r="M167" s="253" t="str">
        <x:f>IF(AND(A167="",B167="",E167=""),"",IF(OR(A167="",B167="",C167="",D167="",E167="",J167="",AND(A167="client",COUNTIF('الزبائن'!$A$6:$A$505,B167)=0),AND(A167="proposed_name",COUNTIF('أسماء مقترحة'!$A$6:$A$505,B167)=0),AND(D167="mobile",J167&lt;&gt;"invalid",NOT(OR(AND(LEN(E167&amp;"")=10,LEFT(E167&amp;"",2)="09"),AND(LEN(E167&amp;"")=9,LEFT(E167&amp;"",1)="9")))),COUNTIFS($A$6:$A$505,A167,$B$6:$B$505,B167,$E$6:$E$505,E167)&gt;1),"REVIEW","READY"))</x:f>
      </x:c>
      <x:c r="N167" s="255" t="str">
        <x:f>IF(M167="","",IF(M167="READY","",TRIM(IF(A167="","missing entity_type; ","")&amp;IF(B167="","missing entity_key; ","")&amp;IF(C167="","missing contact_order; ","")&amp;IF(D167="","missing contact_type; ","")&amp;IF(E167="","missing number; ","")&amp;IF(J167="","missing status; ","")&amp;IF(AND(A167="client",COUNTIF('الزبائن'!$A$6:$A$505,B167)=0),"client key not found; ","")&amp;IF(AND(A167="proposed_name",COUNTIF('أسماء مقترحة'!$A$6:$A$505,B167)=0),"proposed_name key not found; ","")&amp;IF(AND(D167="mobile",J167&lt;&gt;"invalid",NOT(OR(AND(LEN(E167&amp;"")=10,LEFT(E167&amp;"",2)="09"),AND(LEN(E167&amp;"")=9,LEFT(E167&amp;"",1)="9")))),"mobile must be 09XXXXXXXX or status invalid; ","")&amp;IF(COUNTIFS($A$6:$A$505,A167,$B$6:$B$505,B167,$E$6:$E$505,E167)&gt;1,"duplicate number for same entity; ",""))))</x:f>
      </x:c>
    </x:row>
    <x:row r="168">
      <x:c r="A168" s="251"/>
      <x:c r="B168" s="252"/>
      <x:c r="C168" s="253"/>
      <x:c r="D168" s="253"/>
      <x:c r="E168" s="252"/>
      <x:c r="F168" s="252"/>
      <x:c r="G168" s="253"/>
      <x:c r="H168" s="253"/>
      <x:c r="I168" s="253"/>
      <x:c r="J168" s="253"/>
      <x:c r="K168" s="253"/>
      <x:c r="L168" s="253"/>
      <x:c r="M168" s="253" t="str">
        <x:f>IF(AND(A168="",B168="",E168=""),"",IF(OR(A168="",B168="",C168="",D168="",E168="",J168="",AND(A168="client",COUNTIF('الزبائن'!$A$6:$A$505,B168)=0),AND(A168="proposed_name",COUNTIF('أسماء مقترحة'!$A$6:$A$505,B168)=0),AND(D168="mobile",J168&lt;&gt;"invalid",NOT(OR(AND(LEN(E168&amp;"")=10,LEFT(E168&amp;"",2)="09"),AND(LEN(E168&amp;"")=9,LEFT(E168&amp;"",1)="9")))),COUNTIFS($A$6:$A$505,A168,$B$6:$B$505,B168,$E$6:$E$505,E168)&gt;1),"REVIEW","READY"))</x:f>
      </x:c>
      <x:c r="N168" s="255" t="str">
        <x:f>IF(M168="","",IF(M168="READY","",TRIM(IF(A168="","missing entity_type; ","")&amp;IF(B168="","missing entity_key; ","")&amp;IF(C168="","missing contact_order; ","")&amp;IF(D168="","missing contact_type; ","")&amp;IF(E168="","missing number; ","")&amp;IF(J168="","missing status; ","")&amp;IF(AND(A168="client",COUNTIF('الزبائن'!$A$6:$A$505,B168)=0),"client key not found; ","")&amp;IF(AND(A168="proposed_name",COUNTIF('أسماء مقترحة'!$A$6:$A$505,B168)=0),"proposed_name key not found; ","")&amp;IF(AND(D168="mobile",J168&lt;&gt;"invalid",NOT(OR(AND(LEN(E168&amp;"")=10,LEFT(E168&amp;"",2)="09"),AND(LEN(E168&amp;"")=9,LEFT(E168&amp;"",1)="9")))),"mobile must be 09XXXXXXXX or status invalid; ","")&amp;IF(COUNTIFS($A$6:$A$505,A168,$B$6:$B$505,B168,$E$6:$E$505,E168)&gt;1,"duplicate number for same entity; ",""))))</x:f>
      </x:c>
    </x:row>
    <x:row r="169">
      <x:c r="A169" s="251"/>
      <x:c r="B169" s="252"/>
      <x:c r="C169" s="253"/>
      <x:c r="D169" s="253"/>
      <x:c r="E169" s="252"/>
      <x:c r="F169" s="252"/>
      <x:c r="G169" s="253"/>
      <x:c r="H169" s="253"/>
      <x:c r="I169" s="253"/>
      <x:c r="J169" s="253"/>
      <x:c r="K169" s="253"/>
      <x:c r="L169" s="253"/>
      <x:c r="M169" s="253" t="str">
        <x:f>IF(AND(A169="",B169="",E169=""),"",IF(OR(A169="",B169="",C169="",D169="",E169="",J169="",AND(A169="client",COUNTIF('الزبائن'!$A$6:$A$505,B169)=0),AND(A169="proposed_name",COUNTIF('أسماء مقترحة'!$A$6:$A$505,B169)=0),AND(D169="mobile",J169&lt;&gt;"invalid",NOT(OR(AND(LEN(E169&amp;"")=10,LEFT(E169&amp;"",2)="09"),AND(LEN(E169&amp;"")=9,LEFT(E169&amp;"",1)="9")))),COUNTIFS($A$6:$A$505,A169,$B$6:$B$505,B169,$E$6:$E$505,E169)&gt;1),"REVIEW","READY"))</x:f>
      </x:c>
      <x:c r="N169" s="255" t="str">
        <x:f>IF(M169="","",IF(M169="READY","",TRIM(IF(A169="","missing entity_type; ","")&amp;IF(B169="","missing entity_key; ","")&amp;IF(C169="","missing contact_order; ","")&amp;IF(D169="","missing contact_type; ","")&amp;IF(E169="","missing number; ","")&amp;IF(J169="","missing status; ","")&amp;IF(AND(A169="client",COUNTIF('الزبائن'!$A$6:$A$505,B169)=0),"client key not found; ","")&amp;IF(AND(A169="proposed_name",COUNTIF('أسماء مقترحة'!$A$6:$A$505,B169)=0),"proposed_name key not found; ","")&amp;IF(AND(D169="mobile",J169&lt;&gt;"invalid",NOT(OR(AND(LEN(E169&amp;"")=10,LEFT(E169&amp;"",2)="09"),AND(LEN(E169&amp;"")=9,LEFT(E169&amp;"",1)="9")))),"mobile must be 09XXXXXXXX or status invalid; ","")&amp;IF(COUNTIFS($A$6:$A$505,A169,$B$6:$B$505,B169,$E$6:$E$505,E169)&gt;1,"duplicate number for same entity; ",""))))</x:f>
      </x:c>
    </x:row>
    <x:row r="170">
      <x:c r="A170" s="251"/>
      <x:c r="B170" s="252"/>
      <x:c r="C170" s="253"/>
      <x:c r="D170" s="253"/>
      <x:c r="E170" s="252"/>
      <x:c r="F170" s="252"/>
      <x:c r="G170" s="253"/>
      <x:c r="H170" s="253"/>
      <x:c r="I170" s="253"/>
      <x:c r="J170" s="253"/>
      <x:c r="K170" s="253"/>
      <x:c r="L170" s="253"/>
      <x:c r="M170" s="253" t="str">
        <x:f>IF(AND(A170="",B170="",E170=""),"",IF(OR(A170="",B170="",C170="",D170="",E170="",J170="",AND(A170="client",COUNTIF('الزبائن'!$A$6:$A$505,B170)=0),AND(A170="proposed_name",COUNTIF('أسماء مقترحة'!$A$6:$A$505,B170)=0),AND(D170="mobile",J170&lt;&gt;"invalid",NOT(OR(AND(LEN(E170&amp;"")=10,LEFT(E170&amp;"",2)="09"),AND(LEN(E170&amp;"")=9,LEFT(E170&amp;"",1)="9")))),COUNTIFS($A$6:$A$505,A170,$B$6:$B$505,B170,$E$6:$E$505,E170)&gt;1),"REVIEW","READY"))</x:f>
      </x:c>
      <x:c r="N170" s="255" t="str">
        <x:f>IF(M170="","",IF(M170="READY","",TRIM(IF(A170="","missing entity_type; ","")&amp;IF(B170="","missing entity_key; ","")&amp;IF(C170="","missing contact_order; ","")&amp;IF(D170="","missing contact_type; ","")&amp;IF(E170="","missing number; ","")&amp;IF(J170="","missing status; ","")&amp;IF(AND(A170="client",COUNTIF('الزبائن'!$A$6:$A$505,B170)=0),"client key not found; ","")&amp;IF(AND(A170="proposed_name",COUNTIF('أسماء مقترحة'!$A$6:$A$505,B170)=0),"proposed_name key not found; ","")&amp;IF(AND(D170="mobile",J170&lt;&gt;"invalid",NOT(OR(AND(LEN(E170&amp;"")=10,LEFT(E170&amp;"",2)="09"),AND(LEN(E170&amp;"")=9,LEFT(E170&amp;"",1)="9")))),"mobile must be 09XXXXXXXX or status invalid; ","")&amp;IF(COUNTIFS($A$6:$A$505,A170,$B$6:$B$505,B170,$E$6:$E$505,E170)&gt;1,"duplicate number for same entity; ",""))))</x:f>
      </x:c>
    </x:row>
    <x:row r="171">
      <x:c r="A171" s="251"/>
      <x:c r="B171" s="252"/>
      <x:c r="C171" s="253"/>
      <x:c r="D171" s="253"/>
      <x:c r="E171" s="252"/>
      <x:c r="F171" s="252"/>
      <x:c r="G171" s="253"/>
      <x:c r="H171" s="253"/>
      <x:c r="I171" s="253"/>
      <x:c r="J171" s="253"/>
      <x:c r="K171" s="253"/>
      <x:c r="L171" s="253"/>
      <x:c r="M171" s="253" t="str">
        <x:f>IF(AND(A171="",B171="",E171=""),"",IF(OR(A171="",B171="",C171="",D171="",E171="",J171="",AND(A171="client",COUNTIF('الزبائن'!$A$6:$A$505,B171)=0),AND(A171="proposed_name",COUNTIF('أسماء مقترحة'!$A$6:$A$505,B171)=0),AND(D171="mobile",J171&lt;&gt;"invalid",NOT(OR(AND(LEN(E171&amp;"")=10,LEFT(E171&amp;"",2)="09"),AND(LEN(E171&amp;"")=9,LEFT(E171&amp;"",1)="9")))),COUNTIFS($A$6:$A$505,A171,$B$6:$B$505,B171,$E$6:$E$505,E171)&gt;1),"REVIEW","READY"))</x:f>
      </x:c>
      <x:c r="N171" s="255" t="str">
        <x:f>IF(M171="","",IF(M171="READY","",TRIM(IF(A171="","missing entity_type; ","")&amp;IF(B171="","missing entity_key; ","")&amp;IF(C171="","missing contact_order; ","")&amp;IF(D171="","missing contact_type; ","")&amp;IF(E171="","missing number; ","")&amp;IF(J171="","missing status; ","")&amp;IF(AND(A171="client",COUNTIF('الزبائن'!$A$6:$A$505,B171)=0),"client key not found; ","")&amp;IF(AND(A171="proposed_name",COUNTIF('أسماء مقترحة'!$A$6:$A$505,B171)=0),"proposed_name key not found; ","")&amp;IF(AND(D171="mobile",J171&lt;&gt;"invalid",NOT(OR(AND(LEN(E171&amp;"")=10,LEFT(E171&amp;"",2)="09"),AND(LEN(E171&amp;"")=9,LEFT(E171&amp;"",1)="9")))),"mobile must be 09XXXXXXXX or status invalid; ","")&amp;IF(COUNTIFS($A$6:$A$505,A171,$B$6:$B$505,B171,$E$6:$E$505,E171)&gt;1,"duplicate number for same entity; ",""))))</x:f>
      </x:c>
    </x:row>
    <x:row r="172">
      <x:c r="A172" s="251"/>
      <x:c r="B172" s="252"/>
      <x:c r="C172" s="253"/>
      <x:c r="D172" s="253"/>
      <x:c r="E172" s="252"/>
      <x:c r="F172" s="252"/>
      <x:c r="G172" s="253"/>
      <x:c r="H172" s="253"/>
      <x:c r="I172" s="253"/>
      <x:c r="J172" s="253"/>
      <x:c r="K172" s="253"/>
      <x:c r="L172" s="253"/>
      <x:c r="M172" s="253" t="str">
        <x:f>IF(AND(A172="",B172="",E172=""),"",IF(OR(A172="",B172="",C172="",D172="",E172="",J172="",AND(A172="client",COUNTIF('الزبائن'!$A$6:$A$505,B172)=0),AND(A172="proposed_name",COUNTIF('أسماء مقترحة'!$A$6:$A$505,B172)=0),AND(D172="mobile",J172&lt;&gt;"invalid",NOT(OR(AND(LEN(E172&amp;"")=10,LEFT(E172&amp;"",2)="09"),AND(LEN(E172&amp;"")=9,LEFT(E172&amp;"",1)="9")))),COUNTIFS($A$6:$A$505,A172,$B$6:$B$505,B172,$E$6:$E$505,E172)&gt;1),"REVIEW","READY"))</x:f>
      </x:c>
      <x:c r="N172" s="255" t="str">
        <x:f>IF(M172="","",IF(M172="READY","",TRIM(IF(A172="","missing entity_type; ","")&amp;IF(B172="","missing entity_key; ","")&amp;IF(C172="","missing contact_order; ","")&amp;IF(D172="","missing contact_type; ","")&amp;IF(E172="","missing number; ","")&amp;IF(J172="","missing status; ","")&amp;IF(AND(A172="client",COUNTIF('الزبائن'!$A$6:$A$505,B172)=0),"client key not found; ","")&amp;IF(AND(A172="proposed_name",COUNTIF('أسماء مقترحة'!$A$6:$A$505,B172)=0),"proposed_name key not found; ","")&amp;IF(AND(D172="mobile",J172&lt;&gt;"invalid",NOT(OR(AND(LEN(E172&amp;"")=10,LEFT(E172&amp;"",2)="09"),AND(LEN(E172&amp;"")=9,LEFT(E172&amp;"",1)="9")))),"mobile must be 09XXXXXXXX or status invalid; ","")&amp;IF(COUNTIFS($A$6:$A$505,A172,$B$6:$B$505,B172,$E$6:$E$505,E172)&gt;1,"duplicate number for same entity; ",""))))</x:f>
      </x:c>
    </x:row>
    <x:row r="173">
      <x:c r="A173" s="251"/>
      <x:c r="B173" s="252"/>
      <x:c r="C173" s="253"/>
      <x:c r="D173" s="253"/>
      <x:c r="E173" s="252"/>
      <x:c r="F173" s="252"/>
      <x:c r="G173" s="253"/>
      <x:c r="H173" s="253"/>
      <x:c r="I173" s="253"/>
      <x:c r="J173" s="253"/>
      <x:c r="K173" s="253"/>
      <x:c r="L173" s="253"/>
      <x:c r="M173" s="253" t="str">
        <x:f>IF(AND(A173="",B173="",E173=""),"",IF(OR(A173="",B173="",C173="",D173="",E173="",J173="",AND(A173="client",COUNTIF('الزبائن'!$A$6:$A$505,B173)=0),AND(A173="proposed_name",COUNTIF('أسماء مقترحة'!$A$6:$A$505,B173)=0),AND(D173="mobile",J173&lt;&gt;"invalid",NOT(OR(AND(LEN(E173&amp;"")=10,LEFT(E173&amp;"",2)="09"),AND(LEN(E173&amp;"")=9,LEFT(E173&amp;"",1)="9")))),COUNTIFS($A$6:$A$505,A173,$B$6:$B$505,B173,$E$6:$E$505,E173)&gt;1),"REVIEW","READY"))</x:f>
      </x:c>
      <x:c r="N173" s="255" t="str">
        <x:f>IF(M173="","",IF(M173="READY","",TRIM(IF(A173="","missing entity_type; ","")&amp;IF(B173="","missing entity_key; ","")&amp;IF(C173="","missing contact_order; ","")&amp;IF(D173="","missing contact_type; ","")&amp;IF(E173="","missing number; ","")&amp;IF(J173="","missing status; ","")&amp;IF(AND(A173="client",COUNTIF('الزبائن'!$A$6:$A$505,B173)=0),"client key not found; ","")&amp;IF(AND(A173="proposed_name",COUNTIF('أسماء مقترحة'!$A$6:$A$505,B173)=0),"proposed_name key not found; ","")&amp;IF(AND(D173="mobile",J173&lt;&gt;"invalid",NOT(OR(AND(LEN(E173&amp;"")=10,LEFT(E173&amp;"",2)="09"),AND(LEN(E173&amp;"")=9,LEFT(E173&amp;"",1)="9")))),"mobile must be 09XXXXXXXX or status invalid; ","")&amp;IF(COUNTIFS($A$6:$A$505,A173,$B$6:$B$505,B173,$E$6:$E$505,E173)&gt;1,"duplicate number for same entity; ",""))))</x:f>
      </x:c>
    </x:row>
    <x:row r="174">
      <x:c r="A174" s="251"/>
      <x:c r="B174" s="252"/>
      <x:c r="C174" s="253"/>
      <x:c r="D174" s="253"/>
      <x:c r="E174" s="252"/>
      <x:c r="F174" s="252"/>
      <x:c r="G174" s="253"/>
      <x:c r="H174" s="253"/>
      <x:c r="I174" s="253"/>
      <x:c r="J174" s="253"/>
      <x:c r="K174" s="253"/>
      <x:c r="L174" s="253"/>
      <x:c r="M174" s="253" t="str">
        <x:f>IF(AND(A174="",B174="",E174=""),"",IF(OR(A174="",B174="",C174="",D174="",E174="",J174="",AND(A174="client",COUNTIF('الزبائن'!$A$6:$A$505,B174)=0),AND(A174="proposed_name",COUNTIF('أسماء مقترحة'!$A$6:$A$505,B174)=0),AND(D174="mobile",J174&lt;&gt;"invalid",NOT(OR(AND(LEN(E174&amp;"")=10,LEFT(E174&amp;"",2)="09"),AND(LEN(E174&amp;"")=9,LEFT(E174&amp;"",1)="9")))),COUNTIFS($A$6:$A$505,A174,$B$6:$B$505,B174,$E$6:$E$505,E174)&gt;1),"REVIEW","READY"))</x:f>
      </x:c>
      <x:c r="N174" s="255" t="str">
        <x:f>IF(M174="","",IF(M174="READY","",TRIM(IF(A174="","missing entity_type; ","")&amp;IF(B174="","missing entity_key; ","")&amp;IF(C174="","missing contact_order; ","")&amp;IF(D174="","missing contact_type; ","")&amp;IF(E174="","missing number; ","")&amp;IF(J174="","missing status; ","")&amp;IF(AND(A174="client",COUNTIF('الزبائن'!$A$6:$A$505,B174)=0),"client key not found; ","")&amp;IF(AND(A174="proposed_name",COUNTIF('أسماء مقترحة'!$A$6:$A$505,B174)=0),"proposed_name key not found; ","")&amp;IF(AND(D174="mobile",J174&lt;&gt;"invalid",NOT(OR(AND(LEN(E174&amp;"")=10,LEFT(E174&amp;"",2)="09"),AND(LEN(E174&amp;"")=9,LEFT(E174&amp;"",1)="9")))),"mobile must be 09XXXXXXXX or status invalid; ","")&amp;IF(COUNTIFS($A$6:$A$505,A174,$B$6:$B$505,B174,$E$6:$E$505,E174)&gt;1,"duplicate number for same entity; ",""))))</x:f>
      </x:c>
    </x:row>
    <x:row r="175">
      <x:c r="A175" s="251"/>
      <x:c r="B175" s="252"/>
      <x:c r="C175" s="253"/>
      <x:c r="D175" s="253"/>
      <x:c r="E175" s="252"/>
      <x:c r="F175" s="252"/>
      <x:c r="G175" s="253"/>
      <x:c r="H175" s="253"/>
      <x:c r="I175" s="253"/>
      <x:c r="J175" s="253"/>
      <x:c r="K175" s="253"/>
      <x:c r="L175" s="253"/>
      <x:c r="M175" s="253" t="str">
        <x:f>IF(AND(A175="",B175="",E175=""),"",IF(OR(A175="",B175="",C175="",D175="",E175="",J175="",AND(A175="client",COUNTIF('الزبائن'!$A$6:$A$505,B175)=0),AND(A175="proposed_name",COUNTIF('أسماء مقترحة'!$A$6:$A$505,B175)=0),AND(D175="mobile",J175&lt;&gt;"invalid",NOT(OR(AND(LEN(E175&amp;"")=10,LEFT(E175&amp;"",2)="09"),AND(LEN(E175&amp;"")=9,LEFT(E175&amp;"",1)="9")))),COUNTIFS($A$6:$A$505,A175,$B$6:$B$505,B175,$E$6:$E$505,E175)&gt;1),"REVIEW","READY"))</x:f>
      </x:c>
      <x:c r="N175" s="255" t="str">
        <x:f>IF(M175="","",IF(M175="READY","",TRIM(IF(A175="","missing entity_type; ","")&amp;IF(B175="","missing entity_key; ","")&amp;IF(C175="","missing contact_order; ","")&amp;IF(D175="","missing contact_type; ","")&amp;IF(E175="","missing number; ","")&amp;IF(J175="","missing status; ","")&amp;IF(AND(A175="client",COUNTIF('الزبائن'!$A$6:$A$505,B175)=0),"client key not found; ","")&amp;IF(AND(A175="proposed_name",COUNTIF('أسماء مقترحة'!$A$6:$A$505,B175)=0),"proposed_name key not found; ","")&amp;IF(AND(D175="mobile",J175&lt;&gt;"invalid",NOT(OR(AND(LEN(E175&amp;"")=10,LEFT(E175&amp;"",2)="09"),AND(LEN(E175&amp;"")=9,LEFT(E175&amp;"",1)="9")))),"mobile must be 09XXXXXXXX or status invalid; ","")&amp;IF(COUNTIFS($A$6:$A$505,A175,$B$6:$B$505,B175,$E$6:$E$505,E175)&gt;1,"duplicate number for same entity; ",""))))</x:f>
      </x:c>
    </x:row>
    <x:row r="176">
      <x:c r="A176" s="251"/>
      <x:c r="B176" s="252"/>
      <x:c r="C176" s="253"/>
      <x:c r="D176" s="253"/>
      <x:c r="E176" s="252"/>
      <x:c r="F176" s="252"/>
      <x:c r="G176" s="253"/>
      <x:c r="H176" s="253"/>
      <x:c r="I176" s="253"/>
      <x:c r="J176" s="253"/>
      <x:c r="K176" s="253"/>
      <x:c r="L176" s="253"/>
      <x:c r="M176" s="253" t="str">
        <x:f>IF(AND(A176="",B176="",E176=""),"",IF(OR(A176="",B176="",C176="",D176="",E176="",J176="",AND(A176="client",COUNTIF('الزبائن'!$A$6:$A$505,B176)=0),AND(A176="proposed_name",COUNTIF('أسماء مقترحة'!$A$6:$A$505,B176)=0),AND(D176="mobile",J176&lt;&gt;"invalid",NOT(OR(AND(LEN(E176&amp;"")=10,LEFT(E176&amp;"",2)="09"),AND(LEN(E176&amp;"")=9,LEFT(E176&amp;"",1)="9")))),COUNTIFS($A$6:$A$505,A176,$B$6:$B$505,B176,$E$6:$E$505,E176)&gt;1),"REVIEW","READY"))</x:f>
      </x:c>
      <x:c r="N176" s="255" t="str">
        <x:f>IF(M176="","",IF(M176="READY","",TRIM(IF(A176="","missing entity_type; ","")&amp;IF(B176="","missing entity_key; ","")&amp;IF(C176="","missing contact_order; ","")&amp;IF(D176="","missing contact_type; ","")&amp;IF(E176="","missing number; ","")&amp;IF(J176="","missing status; ","")&amp;IF(AND(A176="client",COUNTIF('الزبائن'!$A$6:$A$505,B176)=0),"client key not found; ","")&amp;IF(AND(A176="proposed_name",COUNTIF('أسماء مقترحة'!$A$6:$A$505,B176)=0),"proposed_name key not found; ","")&amp;IF(AND(D176="mobile",J176&lt;&gt;"invalid",NOT(OR(AND(LEN(E176&amp;"")=10,LEFT(E176&amp;"",2)="09"),AND(LEN(E176&amp;"")=9,LEFT(E176&amp;"",1)="9")))),"mobile must be 09XXXXXXXX or status invalid; ","")&amp;IF(COUNTIFS($A$6:$A$505,A176,$B$6:$B$505,B176,$E$6:$E$505,E176)&gt;1,"duplicate number for same entity; ",""))))</x:f>
      </x:c>
    </x:row>
    <x:row r="177">
      <x:c r="A177" s="251"/>
      <x:c r="B177" s="252"/>
      <x:c r="C177" s="253"/>
      <x:c r="D177" s="253"/>
      <x:c r="E177" s="252"/>
      <x:c r="F177" s="252"/>
      <x:c r="G177" s="253"/>
      <x:c r="H177" s="253"/>
      <x:c r="I177" s="253"/>
      <x:c r="J177" s="253"/>
      <x:c r="K177" s="253"/>
      <x:c r="L177" s="253"/>
      <x:c r="M177" s="253" t="str">
        <x:f>IF(AND(A177="",B177="",E177=""),"",IF(OR(A177="",B177="",C177="",D177="",E177="",J177="",AND(A177="client",COUNTIF('الزبائن'!$A$6:$A$505,B177)=0),AND(A177="proposed_name",COUNTIF('أسماء مقترحة'!$A$6:$A$505,B177)=0),AND(D177="mobile",J177&lt;&gt;"invalid",NOT(OR(AND(LEN(E177&amp;"")=10,LEFT(E177&amp;"",2)="09"),AND(LEN(E177&amp;"")=9,LEFT(E177&amp;"",1)="9")))),COUNTIFS($A$6:$A$505,A177,$B$6:$B$505,B177,$E$6:$E$505,E177)&gt;1),"REVIEW","READY"))</x:f>
      </x:c>
      <x:c r="N177" s="255" t="str">
        <x:f>IF(M177="","",IF(M177="READY","",TRIM(IF(A177="","missing entity_type; ","")&amp;IF(B177="","missing entity_key; ","")&amp;IF(C177="","missing contact_order; ","")&amp;IF(D177="","missing contact_type; ","")&amp;IF(E177="","missing number; ","")&amp;IF(J177="","missing status; ","")&amp;IF(AND(A177="client",COUNTIF('الزبائن'!$A$6:$A$505,B177)=0),"client key not found; ","")&amp;IF(AND(A177="proposed_name",COUNTIF('أسماء مقترحة'!$A$6:$A$505,B177)=0),"proposed_name key not found; ","")&amp;IF(AND(D177="mobile",J177&lt;&gt;"invalid",NOT(OR(AND(LEN(E177&amp;"")=10,LEFT(E177&amp;"",2)="09"),AND(LEN(E177&amp;"")=9,LEFT(E177&amp;"",1)="9")))),"mobile must be 09XXXXXXXX or status invalid; ","")&amp;IF(COUNTIFS($A$6:$A$505,A177,$B$6:$B$505,B177,$E$6:$E$505,E177)&gt;1,"duplicate number for same entity; ",""))))</x:f>
      </x:c>
    </x:row>
    <x:row r="178">
      <x:c r="A178" s="251"/>
      <x:c r="B178" s="252"/>
      <x:c r="C178" s="253"/>
      <x:c r="D178" s="253"/>
      <x:c r="E178" s="252"/>
      <x:c r="F178" s="252"/>
      <x:c r="G178" s="253"/>
      <x:c r="H178" s="253"/>
      <x:c r="I178" s="253"/>
      <x:c r="J178" s="253"/>
      <x:c r="K178" s="253"/>
      <x:c r="L178" s="253"/>
      <x:c r="M178" s="253" t="str">
        <x:f>IF(AND(A178="",B178="",E178=""),"",IF(OR(A178="",B178="",C178="",D178="",E178="",J178="",AND(A178="client",COUNTIF('الزبائن'!$A$6:$A$505,B178)=0),AND(A178="proposed_name",COUNTIF('أسماء مقترحة'!$A$6:$A$505,B178)=0),AND(D178="mobile",J178&lt;&gt;"invalid",NOT(OR(AND(LEN(E178&amp;"")=10,LEFT(E178&amp;"",2)="09"),AND(LEN(E178&amp;"")=9,LEFT(E178&amp;"",1)="9")))),COUNTIFS($A$6:$A$505,A178,$B$6:$B$505,B178,$E$6:$E$505,E178)&gt;1),"REVIEW","READY"))</x:f>
      </x:c>
      <x:c r="N178" s="255" t="str">
        <x:f>IF(M178="","",IF(M178="READY","",TRIM(IF(A178="","missing entity_type; ","")&amp;IF(B178="","missing entity_key; ","")&amp;IF(C178="","missing contact_order; ","")&amp;IF(D178="","missing contact_type; ","")&amp;IF(E178="","missing number; ","")&amp;IF(J178="","missing status; ","")&amp;IF(AND(A178="client",COUNTIF('الزبائن'!$A$6:$A$505,B178)=0),"client key not found; ","")&amp;IF(AND(A178="proposed_name",COUNTIF('أسماء مقترحة'!$A$6:$A$505,B178)=0),"proposed_name key not found; ","")&amp;IF(AND(D178="mobile",J178&lt;&gt;"invalid",NOT(OR(AND(LEN(E178&amp;"")=10,LEFT(E178&amp;"",2)="09"),AND(LEN(E178&amp;"")=9,LEFT(E178&amp;"",1)="9")))),"mobile must be 09XXXXXXXX or status invalid; ","")&amp;IF(COUNTIFS($A$6:$A$505,A178,$B$6:$B$505,B178,$E$6:$E$505,E178)&gt;1,"duplicate number for same entity; ",""))))</x:f>
      </x:c>
    </x:row>
    <x:row r="179">
      <x:c r="A179" s="251"/>
      <x:c r="B179" s="252"/>
      <x:c r="C179" s="253"/>
      <x:c r="D179" s="253"/>
      <x:c r="E179" s="252"/>
      <x:c r="F179" s="252"/>
      <x:c r="G179" s="253"/>
      <x:c r="H179" s="253"/>
      <x:c r="I179" s="253"/>
      <x:c r="J179" s="253"/>
      <x:c r="K179" s="253"/>
      <x:c r="L179" s="253"/>
      <x:c r="M179" s="253" t="str">
        <x:f>IF(AND(A179="",B179="",E179=""),"",IF(OR(A179="",B179="",C179="",D179="",E179="",J179="",AND(A179="client",COUNTIF('الزبائن'!$A$6:$A$505,B179)=0),AND(A179="proposed_name",COUNTIF('أسماء مقترحة'!$A$6:$A$505,B179)=0),AND(D179="mobile",J179&lt;&gt;"invalid",NOT(OR(AND(LEN(E179&amp;"")=10,LEFT(E179&amp;"",2)="09"),AND(LEN(E179&amp;"")=9,LEFT(E179&amp;"",1)="9")))),COUNTIFS($A$6:$A$505,A179,$B$6:$B$505,B179,$E$6:$E$505,E179)&gt;1),"REVIEW","READY"))</x:f>
      </x:c>
      <x:c r="N179" s="255" t="str">
        <x:f>IF(M179="","",IF(M179="READY","",TRIM(IF(A179="","missing entity_type; ","")&amp;IF(B179="","missing entity_key; ","")&amp;IF(C179="","missing contact_order; ","")&amp;IF(D179="","missing contact_type; ","")&amp;IF(E179="","missing number; ","")&amp;IF(J179="","missing status; ","")&amp;IF(AND(A179="client",COUNTIF('الزبائن'!$A$6:$A$505,B179)=0),"client key not found; ","")&amp;IF(AND(A179="proposed_name",COUNTIF('أسماء مقترحة'!$A$6:$A$505,B179)=0),"proposed_name key not found; ","")&amp;IF(AND(D179="mobile",J179&lt;&gt;"invalid",NOT(OR(AND(LEN(E179&amp;"")=10,LEFT(E179&amp;"",2)="09"),AND(LEN(E179&amp;"")=9,LEFT(E179&amp;"",1)="9")))),"mobile must be 09XXXXXXXX or status invalid; ","")&amp;IF(COUNTIFS($A$6:$A$505,A179,$B$6:$B$505,B179,$E$6:$E$505,E179)&gt;1,"duplicate number for same entity; ",""))))</x:f>
      </x:c>
    </x:row>
    <x:row r="180">
      <x:c r="A180" s="251"/>
      <x:c r="B180" s="252"/>
      <x:c r="C180" s="253"/>
      <x:c r="D180" s="253"/>
      <x:c r="E180" s="252"/>
      <x:c r="F180" s="252"/>
      <x:c r="G180" s="253"/>
      <x:c r="H180" s="253"/>
      <x:c r="I180" s="253"/>
      <x:c r="J180" s="253"/>
      <x:c r="K180" s="253"/>
      <x:c r="L180" s="253"/>
      <x:c r="M180" s="253" t="str">
        <x:f>IF(AND(A180="",B180="",E180=""),"",IF(OR(A180="",B180="",C180="",D180="",E180="",J180="",AND(A180="client",COUNTIF('الزبائن'!$A$6:$A$505,B180)=0),AND(A180="proposed_name",COUNTIF('أسماء مقترحة'!$A$6:$A$505,B180)=0),AND(D180="mobile",J180&lt;&gt;"invalid",NOT(OR(AND(LEN(E180&amp;"")=10,LEFT(E180&amp;"",2)="09"),AND(LEN(E180&amp;"")=9,LEFT(E180&amp;"",1)="9")))),COUNTIFS($A$6:$A$505,A180,$B$6:$B$505,B180,$E$6:$E$505,E180)&gt;1),"REVIEW","READY"))</x:f>
      </x:c>
      <x:c r="N180" s="255" t="str">
        <x:f>IF(M180="","",IF(M180="READY","",TRIM(IF(A180="","missing entity_type; ","")&amp;IF(B180="","missing entity_key; ","")&amp;IF(C180="","missing contact_order; ","")&amp;IF(D180="","missing contact_type; ","")&amp;IF(E180="","missing number; ","")&amp;IF(J180="","missing status; ","")&amp;IF(AND(A180="client",COUNTIF('الزبائن'!$A$6:$A$505,B180)=0),"client key not found; ","")&amp;IF(AND(A180="proposed_name",COUNTIF('أسماء مقترحة'!$A$6:$A$505,B180)=0),"proposed_name key not found; ","")&amp;IF(AND(D180="mobile",J180&lt;&gt;"invalid",NOT(OR(AND(LEN(E180&amp;"")=10,LEFT(E180&amp;"",2)="09"),AND(LEN(E180&amp;"")=9,LEFT(E180&amp;"",1)="9")))),"mobile must be 09XXXXXXXX or status invalid; ","")&amp;IF(COUNTIFS($A$6:$A$505,A180,$B$6:$B$505,B180,$E$6:$E$505,E180)&gt;1,"duplicate number for same entity; ",""))))</x:f>
      </x:c>
    </x:row>
    <x:row r="181">
      <x:c r="A181" s="251"/>
      <x:c r="B181" s="252"/>
      <x:c r="C181" s="253"/>
      <x:c r="D181" s="253"/>
      <x:c r="E181" s="252"/>
      <x:c r="F181" s="252"/>
      <x:c r="G181" s="253"/>
      <x:c r="H181" s="253"/>
      <x:c r="I181" s="253"/>
      <x:c r="J181" s="253"/>
      <x:c r="K181" s="253"/>
      <x:c r="L181" s="253"/>
      <x:c r="M181" s="253" t="str">
        <x:f>IF(AND(A181="",B181="",E181=""),"",IF(OR(A181="",B181="",C181="",D181="",E181="",J181="",AND(A181="client",COUNTIF('الزبائن'!$A$6:$A$505,B181)=0),AND(A181="proposed_name",COUNTIF('أسماء مقترحة'!$A$6:$A$505,B181)=0),AND(D181="mobile",J181&lt;&gt;"invalid",NOT(OR(AND(LEN(E181&amp;"")=10,LEFT(E181&amp;"",2)="09"),AND(LEN(E181&amp;"")=9,LEFT(E181&amp;"",1)="9")))),COUNTIFS($A$6:$A$505,A181,$B$6:$B$505,B181,$E$6:$E$505,E181)&gt;1),"REVIEW","READY"))</x:f>
      </x:c>
      <x:c r="N181" s="255" t="str">
        <x:f>IF(M181="","",IF(M181="READY","",TRIM(IF(A181="","missing entity_type; ","")&amp;IF(B181="","missing entity_key; ","")&amp;IF(C181="","missing contact_order; ","")&amp;IF(D181="","missing contact_type; ","")&amp;IF(E181="","missing number; ","")&amp;IF(J181="","missing status; ","")&amp;IF(AND(A181="client",COUNTIF('الزبائن'!$A$6:$A$505,B181)=0),"client key not found; ","")&amp;IF(AND(A181="proposed_name",COUNTIF('أسماء مقترحة'!$A$6:$A$505,B181)=0),"proposed_name key not found; ","")&amp;IF(AND(D181="mobile",J181&lt;&gt;"invalid",NOT(OR(AND(LEN(E181&amp;"")=10,LEFT(E181&amp;"",2)="09"),AND(LEN(E181&amp;"")=9,LEFT(E181&amp;"",1)="9")))),"mobile must be 09XXXXXXXX or status invalid; ","")&amp;IF(COUNTIFS($A$6:$A$505,A181,$B$6:$B$505,B181,$E$6:$E$505,E181)&gt;1,"duplicate number for same entity; ",""))))</x:f>
      </x:c>
    </x:row>
    <x:row r="182">
      <x:c r="A182" s="251"/>
      <x:c r="B182" s="252"/>
      <x:c r="C182" s="253"/>
      <x:c r="D182" s="253"/>
      <x:c r="E182" s="252"/>
      <x:c r="F182" s="252"/>
      <x:c r="G182" s="253"/>
      <x:c r="H182" s="253"/>
      <x:c r="I182" s="253"/>
      <x:c r="J182" s="253"/>
      <x:c r="K182" s="253"/>
      <x:c r="L182" s="253"/>
      <x:c r="M182" s="253" t="str">
        <x:f>IF(AND(A182="",B182="",E182=""),"",IF(OR(A182="",B182="",C182="",D182="",E182="",J182="",AND(A182="client",COUNTIF('الزبائن'!$A$6:$A$505,B182)=0),AND(A182="proposed_name",COUNTIF('أسماء مقترحة'!$A$6:$A$505,B182)=0),AND(D182="mobile",J182&lt;&gt;"invalid",NOT(OR(AND(LEN(E182&amp;"")=10,LEFT(E182&amp;"",2)="09"),AND(LEN(E182&amp;"")=9,LEFT(E182&amp;"",1)="9")))),COUNTIFS($A$6:$A$505,A182,$B$6:$B$505,B182,$E$6:$E$505,E182)&gt;1),"REVIEW","READY"))</x:f>
      </x:c>
      <x:c r="N182" s="255" t="str">
        <x:f>IF(M182="","",IF(M182="READY","",TRIM(IF(A182="","missing entity_type; ","")&amp;IF(B182="","missing entity_key; ","")&amp;IF(C182="","missing contact_order; ","")&amp;IF(D182="","missing contact_type; ","")&amp;IF(E182="","missing number; ","")&amp;IF(J182="","missing status; ","")&amp;IF(AND(A182="client",COUNTIF('الزبائن'!$A$6:$A$505,B182)=0),"client key not found; ","")&amp;IF(AND(A182="proposed_name",COUNTIF('أسماء مقترحة'!$A$6:$A$505,B182)=0),"proposed_name key not found; ","")&amp;IF(AND(D182="mobile",J182&lt;&gt;"invalid",NOT(OR(AND(LEN(E182&amp;"")=10,LEFT(E182&amp;"",2)="09"),AND(LEN(E182&amp;"")=9,LEFT(E182&amp;"",1)="9")))),"mobile must be 09XXXXXXXX or status invalid; ","")&amp;IF(COUNTIFS($A$6:$A$505,A182,$B$6:$B$505,B182,$E$6:$E$505,E182)&gt;1,"duplicate number for same entity; ",""))))</x:f>
      </x:c>
    </x:row>
    <x:row r="183">
      <x:c r="A183" s="251"/>
      <x:c r="B183" s="252"/>
      <x:c r="C183" s="253"/>
      <x:c r="D183" s="253"/>
      <x:c r="E183" s="252"/>
      <x:c r="F183" s="252"/>
      <x:c r="G183" s="253"/>
      <x:c r="H183" s="253"/>
      <x:c r="I183" s="253"/>
      <x:c r="J183" s="253"/>
      <x:c r="K183" s="253"/>
      <x:c r="L183" s="253"/>
      <x:c r="M183" s="253" t="str">
        <x:f>IF(AND(A183="",B183="",E183=""),"",IF(OR(A183="",B183="",C183="",D183="",E183="",J183="",AND(A183="client",COUNTIF('الزبائن'!$A$6:$A$505,B183)=0),AND(A183="proposed_name",COUNTIF('أسماء مقترحة'!$A$6:$A$505,B183)=0),AND(D183="mobile",J183&lt;&gt;"invalid",NOT(OR(AND(LEN(E183&amp;"")=10,LEFT(E183&amp;"",2)="09"),AND(LEN(E183&amp;"")=9,LEFT(E183&amp;"",1)="9")))),COUNTIFS($A$6:$A$505,A183,$B$6:$B$505,B183,$E$6:$E$505,E183)&gt;1),"REVIEW","READY"))</x:f>
      </x:c>
      <x:c r="N183" s="255" t="str">
        <x:f>IF(M183="","",IF(M183="READY","",TRIM(IF(A183="","missing entity_type; ","")&amp;IF(B183="","missing entity_key; ","")&amp;IF(C183="","missing contact_order; ","")&amp;IF(D183="","missing contact_type; ","")&amp;IF(E183="","missing number; ","")&amp;IF(J183="","missing status; ","")&amp;IF(AND(A183="client",COUNTIF('الزبائن'!$A$6:$A$505,B183)=0),"client key not found; ","")&amp;IF(AND(A183="proposed_name",COUNTIF('أسماء مقترحة'!$A$6:$A$505,B183)=0),"proposed_name key not found; ","")&amp;IF(AND(D183="mobile",J183&lt;&gt;"invalid",NOT(OR(AND(LEN(E183&amp;"")=10,LEFT(E183&amp;"",2)="09"),AND(LEN(E183&amp;"")=9,LEFT(E183&amp;"",1)="9")))),"mobile must be 09XXXXXXXX or status invalid; ","")&amp;IF(COUNTIFS($A$6:$A$505,A183,$B$6:$B$505,B183,$E$6:$E$505,E183)&gt;1,"duplicate number for same entity; ",""))))</x:f>
      </x:c>
    </x:row>
    <x:row r="184">
      <x:c r="A184" s="251"/>
      <x:c r="B184" s="252"/>
      <x:c r="C184" s="253"/>
      <x:c r="D184" s="253"/>
      <x:c r="E184" s="252"/>
      <x:c r="F184" s="252"/>
      <x:c r="G184" s="253"/>
      <x:c r="H184" s="253"/>
      <x:c r="I184" s="253"/>
      <x:c r="J184" s="253"/>
      <x:c r="K184" s="253"/>
      <x:c r="L184" s="253"/>
      <x:c r="M184" s="253" t="str">
        <x:f>IF(AND(A184="",B184="",E184=""),"",IF(OR(A184="",B184="",C184="",D184="",E184="",J184="",AND(A184="client",COUNTIF('الزبائن'!$A$6:$A$505,B184)=0),AND(A184="proposed_name",COUNTIF('أسماء مقترحة'!$A$6:$A$505,B184)=0),AND(D184="mobile",J184&lt;&gt;"invalid",NOT(OR(AND(LEN(E184&amp;"")=10,LEFT(E184&amp;"",2)="09"),AND(LEN(E184&amp;"")=9,LEFT(E184&amp;"",1)="9")))),COUNTIFS($A$6:$A$505,A184,$B$6:$B$505,B184,$E$6:$E$505,E184)&gt;1),"REVIEW","READY"))</x:f>
      </x:c>
      <x:c r="N184" s="255" t="str">
        <x:f>IF(M184="","",IF(M184="READY","",TRIM(IF(A184="","missing entity_type; ","")&amp;IF(B184="","missing entity_key; ","")&amp;IF(C184="","missing contact_order; ","")&amp;IF(D184="","missing contact_type; ","")&amp;IF(E184="","missing number; ","")&amp;IF(J184="","missing status; ","")&amp;IF(AND(A184="client",COUNTIF('الزبائن'!$A$6:$A$505,B184)=0),"client key not found; ","")&amp;IF(AND(A184="proposed_name",COUNTIF('أسماء مقترحة'!$A$6:$A$505,B184)=0),"proposed_name key not found; ","")&amp;IF(AND(D184="mobile",J184&lt;&gt;"invalid",NOT(OR(AND(LEN(E184&amp;"")=10,LEFT(E184&amp;"",2)="09"),AND(LEN(E184&amp;"")=9,LEFT(E184&amp;"",1)="9")))),"mobile must be 09XXXXXXXX or status invalid; ","")&amp;IF(COUNTIFS($A$6:$A$505,A184,$B$6:$B$505,B184,$E$6:$E$505,E184)&gt;1,"duplicate number for same entity; ",""))))</x:f>
      </x:c>
    </x:row>
    <x:row r="185">
      <x:c r="A185" s="251"/>
      <x:c r="B185" s="252"/>
      <x:c r="C185" s="253"/>
      <x:c r="D185" s="253"/>
      <x:c r="E185" s="252"/>
      <x:c r="F185" s="252"/>
      <x:c r="G185" s="253"/>
      <x:c r="H185" s="253"/>
      <x:c r="I185" s="253"/>
      <x:c r="J185" s="253"/>
      <x:c r="K185" s="253"/>
      <x:c r="L185" s="253"/>
      <x:c r="M185" s="253" t="str">
        <x:f>IF(AND(A185="",B185="",E185=""),"",IF(OR(A185="",B185="",C185="",D185="",E185="",J185="",AND(A185="client",COUNTIF('الزبائن'!$A$6:$A$505,B185)=0),AND(A185="proposed_name",COUNTIF('أسماء مقترحة'!$A$6:$A$505,B185)=0),AND(D185="mobile",J185&lt;&gt;"invalid",NOT(OR(AND(LEN(E185&amp;"")=10,LEFT(E185&amp;"",2)="09"),AND(LEN(E185&amp;"")=9,LEFT(E185&amp;"",1)="9")))),COUNTIFS($A$6:$A$505,A185,$B$6:$B$505,B185,$E$6:$E$505,E185)&gt;1),"REVIEW","READY"))</x:f>
      </x:c>
      <x:c r="N185" s="255" t="str">
        <x:f>IF(M185="","",IF(M185="READY","",TRIM(IF(A185="","missing entity_type; ","")&amp;IF(B185="","missing entity_key; ","")&amp;IF(C185="","missing contact_order; ","")&amp;IF(D185="","missing contact_type; ","")&amp;IF(E185="","missing number; ","")&amp;IF(J185="","missing status; ","")&amp;IF(AND(A185="client",COUNTIF('الزبائن'!$A$6:$A$505,B185)=0),"client key not found; ","")&amp;IF(AND(A185="proposed_name",COUNTIF('أسماء مقترحة'!$A$6:$A$505,B185)=0),"proposed_name key not found; ","")&amp;IF(AND(D185="mobile",J185&lt;&gt;"invalid",NOT(OR(AND(LEN(E185&amp;"")=10,LEFT(E185&amp;"",2)="09"),AND(LEN(E185&amp;"")=9,LEFT(E185&amp;"",1)="9")))),"mobile must be 09XXXXXXXX or status invalid; ","")&amp;IF(COUNTIFS($A$6:$A$505,A185,$B$6:$B$505,B185,$E$6:$E$505,E185)&gt;1,"duplicate number for same entity; ",""))))</x:f>
      </x:c>
    </x:row>
    <x:row r="186">
      <x:c r="A186" s="251"/>
      <x:c r="B186" s="252"/>
      <x:c r="C186" s="253"/>
      <x:c r="D186" s="253"/>
      <x:c r="E186" s="252"/>
      <x:c r="F186" s="252"/>
      <x:c r="G186" s="253"/>
      <x:c r="H186" s="253"/>
      <x:c r="I186" s="253"/>
      <x:c r="J186" s="253"/>
      <x:c r="K186" s="253"/>
      <x:c r="L186" s="253"/>
      <x:c r="M186" s="253" t="str">
        <x:f>IF(AND(A186="",B186="",E186=""),"",IF(OR(A186="",B186="",C186="",D186="",E186="",J186="",AND(A186="client",COUNTIF('الزبائن'!$A$6:$A$505,B186)=0),AND(A186="proposed_name",COUNTIF('أسماء مقترحة'!$A$6:$A$505,B186)=0),AND(D186="mobile",J186&lt;&gt;"invalid",NOT(OR(AND(LEN(E186&amp;"")=10,LEFT(E186&amp;"",2)="09"),AND(LEN(E186&amp;"")=9,LEFT(E186&amp;"",1)="9")))),COUNTIFS($A$6:$A$505,A186,$B$6:$B$505,B186,$E$6:$E$505,E186)&gt;1),"REVIEW","READY"))</x:f>
      </x:c>
      <x:c r="N186" s="255" t="str">
        <x:f>IF(M186="","",IF(M186="READY","",TRIM(IF(A186="","missing entity_type; ","")&amp;IF(B186="","missing entity_key; ","")&amp;IF(C186="","missing contact_order; ","")&amp;IF(D186="","missing contact_type; ","")&amp;IF(E186="","missing number; ","")&amp;IF(J186="","missing status; ","")&amp;IF(AND(A186="client",COUNTIF('الزبائن'!$A$6:$A$505,B186)=0),"client key not found; ","")&amp;IF(AND(A186="proposed_name",COUNTIF('أسماء مقترحة'!$A$6:$A$505,B186)=0),"proposed_name key not found; ","")&amp;IF(AND(D186="mobile",J186&lt;&gt;"invalid",NOT(OR(AND(LEN(E186&amp;"")=10,LEFT(E186&amp;"",2)="09"),AND(LEN(E186&amp;"")=9,LEFT(E186&amp;"",1)="9")))),"mobile must be 09XXXXXXXX or status invalid; ","")&amp;IF(COUNTIFS($A$6:$A$505,A186,$B$6:$B$505,B186,$E$6:$E$505,E186)&gt;1,"duplicate number for same entity; ",""))))</x:f>
      </x:c>
    </x:row>
    <x:row r="187">
      <x:c r="A187" s="251"/>
      <x:c r="B187" s="252"/>
      <x:c r="C187" s="253"/>
      <x:c r="D187" s="253"/>
      <x:c r="E187" s="252"/>
      <x:c r="F187" s="252"/>
      <x:c r="G187" s="253"/>
      <x:c r="H187" s="253"/>
      <x:c r="I187" s="253"/>
      <x:c r="J187" s="253"/>
      <x:c r="K187" s="253"/>
      <x:c r="L187" s="253"/>
      <x:c r="M187" s="253" t="str">
        <x:f>IF(AND(A187="",B187="",E187=""),"",IF(OR(A187="",B187="",C187="",D187="",E187="",J187="",AND(A187="client",COUNTIF('الزبائن'!$A$6:$A$505,B187)=0),AND(A187="proposed_name",COUNTIF('أسماء مقترحة'!$A$6:$A$505,B187)=0),AND(D187="mobile",J187&lt;&gt;"invalid",NOT(OR(AND(LEN(E187&amp;"")=10,LEFT(E187&amp;"",2)="09"),AND(LEN(E187&amp;"")=9,LEFT(E187&amp;"",1)="9")))),COUNTIFS($A$6:$A$505,A187,$B$6:$B$505,B187,$E$6:$E$505,E187)&gt;1),"REVIEW","READY"))</x:f>
      </x:c>
      <x:c r="N187" s="255" t="str">
        <x:f>IF(M187="","",IF(M187="READY","",TRIM(IF(A187="","missing entity_type; ","")&amp;IF(B187="","missing entity_key; ","")&amp;IF(C187="","missing contact_order; ","")&amp;IF(D187="","missing contact_type; ","")&amp;IF(E187="","missing number; ","")&amp;IF(J187="","missing status; ","")&amp;IF(AND(A187="client",COUNTIF('الزبائن'!$A$6:$A$505,B187)=0),"client key not found; ","")&amp;IF(AND(A187="proposed_name",COUNTIF('أسماء مقترحة'!$A$6:$A$505,B187)=0),"proposed_name key not found; ","")&amp;IF(AND(D187="mobile",J187&lt;&gt;"invalid",NOT(OR(AND(LEN(E187&amp;"")=10,LEFT(E187&amp;"",2)="09"),AND(LEN(E187&amp;"")=9,LEFT(E187&amp;"",1)="9")))),"mobile must be 09XXXXXXXX or status invalid; ","")&amp;IF(COUNTIFS($A$6:$A$505,A187,$B$6:$B$505,B187,$E$6:$E$505,E187)&gt;1,"duplicate number for same entity; ",""))))</x:f>
      </x:c>
    </x:row>
    <x:row r="188">
      <x:c r="A188" s="251"/>
      <x:c r="B188" s="252"/>
      <x:c r="C188" s="253"/>
      <x:c r="D188" s="253"/>
      <x:c r="E188" s="252"/>
      <x:c r="F188" s="252"/>
      <x:c r="G188" s="253"/>
      <x:c r="H188" s="253"/>
      <x:c r="I188" s="253"/>
      <x:c r="J188" s="253"/>
      <x:c r="K188" s="253"/>
      <x:c r="L188" s="253"/>
      <x:c r="M188" s="253" t="str">
        <x:f>IF(AND(A188="",B188="",E188=""),"",IF(OR(A188="",B188="",C188="",D188="",E188="",J188="",AND(A188="client",COUNTIF('الزبائن'!$A$6:$A$505,B188)=0),AND(A188="proposed_name",COUNTIF('أسماء مقترحة'!$A$6:$A$505,B188)=0),AND(D188="mobile",J188&lt;&gt;"invalid",NOT(OR(AND(LEN(E188&amp;"")=10,LEFT(E188&amp;"",2)="09"),AND(LEN(E188&amp;"")=9,LEFT(E188&amp;"",1)="9")))),COUNTIFS($A$6:$A$505,A188,$B$6:$B$505,B188,$E$6:$E$505,E188)&gt;1),"REVIEW","READY"))</x:f>
      </x:c>
      <x:c r="N188" s="255" t="str">
        <x:f>IF(M188="","",IF(M188="READY","",TRIM(IF(A188="","missing entity_type; ","")&amp;IF(B188="","missing entity_key; ","")&amp;IF(C188="","missing contact_order; ","")&amp;IF(D188="","missing contact_type; ","")&amp;IF(E188="","missing number; ","")&amp;IF(J188="","missing status; ","")&amp;IF(AND(A188="client",COUNTIF('الزبائن'!$A$6:$A$505,B188)=0),"client key not found; ","")&amp;IF(AND(A188="proposed_name",COUNTIF('أسماء مقترحة'!$A$6:$A$505,B188)=0),"proposed_name key not found; ","")&amp;IF(AND(D188="mobile",J188&lt;&gt;"invalid",NOT(OR(AND(LEN(E188&amp;"")=10,LEFT(E188&amp;"",2)="09"),AND(LEN(E188&amp;"")=9,LEFT(E188&amp;"",1)="9")))),"mobile must be 09XXXXXXXX or status invalid; ","")&amp;IF(COUNTIFS($A$6:$A$505,A188,$B$6:$B$505,B188,$E$6:$E$505,E188)&gt;1,"duplicate number for same entity; ",""))))</x:f>
      </x:c>
    </x:row>
    <x:row r="189">
      <x:c r="A189" s="251"/>
      <x:c r="B189" s="252"/>
      <x:c r="C189" s="253"/>
      <x:c r="D189" s="253"/>
      <x:c r="E189" s="252"/>
      <x:c r="F189" s="252"/>
      <x:c r="G189" s="253"/>
      <x:c r="H189" s="253"/>
      <x:c r="I189" s="253"/>
      <x:c r="J189" s="253"/>
      <x:c r="K189" s="253"/>
      <x:c r="L189" s="253"/>
      <x:c r="M189" s="253" t="str">
        <x:f>IF(AND(A189="",B189="",E189=""),"",IF(OR(A189="",B189="",C189="",D189="",E189="",J189="",AND(A189="client",COUNTIF('الزبائن'!$A$6:$A$505,B189)=0),AND(A189="proposed_name",COUNTIF('أسماء مقترحة'!$A$6:$A$505,B189)=0),AND(D189="mobile",J189&lt;&gt;"invalid",NOT(OR(AND(LEN(E189&amp;"")=10,LEFT(E189&amp;"",2)="09"),AND(LEN(E189&amp;"")=9,LEFT(E189&amp;"",1)="9")))),COUNTIFS($A$6:$A$505,A189,$B$6:$B$505,B189,$E$6:$E$505,E189)&gt;1),"REVIEW","READY"))</x:f>
      </x:c>
      <x:c r="N189" s="255" t="str">
        <x:f>IF(M189="","",IF(M189="READY","",TRIM(IF(A189="","missing entity_type; ","")&amp;IF(B189="","missing entity_key; ","")&amp;IF(C189="","missing contact_order; ","")&amp;IF(D189="","missing contact_type; ","")&amp;IF(E189="","missing number; ","")&amp;IF(J189="","missing status; ","")&amp;IF(AND(A189="client",COUNTIF('الزبائن'!$A$6:$A$505,B189)=0),"client key not found; ","")&amp;IF(AND(A189="proposed_name",COUNTIF('أسماء مقترحة'!$A$6:$A$505,B189)=0),"proposed_name key not found; ","")&amp;IF(AND(D189="mobile",J189&lt;&gt;"invalid",NOT(OR(AND(LEN(E189&amp;"")=10,LEFT(E189&amp;"",2)="09"),AND(LEN(E189&amp;"")=9,LEFT(E189&amp;"",1)="9")))),"mobile must be 09XXXXXXXX or status invalid; ","")&amp;IF(COUNTIFS($A$6:$A$505,A189,$B$6:$B$505,B189,$E$6:$E$505,E189)&gt;1,"duplicate number for same entity; ",""))))</x:f>
      </x:c>
    </x:row>
    <x:row r="190">
      <x:c r="A190" s="251"/>
      <x:c r="B190" s="252"/>
      <x:c r="C190" s="253"/>
      <x:c r="D190" s="253"/>
      <x:c r="E190" s="252"/>
      <x:c r="F190" s="252"/>
      <x:c r="G190" s="253"/>
      <x:c r="H190" s="253"/>
      <x:c r="I190" s="253"/>
      <x:c r="J190" s="253"/>
      <x:c r="K190" s="253"/>
      <x:c r="L190" s="253"/>
      <x:c r="M190" s="253" t="str">
        <x:f>IF(AND(A190="",B190="",E190=""),"",IF(OR(A190="",B190="",C190="",D190="",E190="",J190="",AND(A190="client",COUNTIF('الزبائن'!$A$6:$A$505,B190)=0),AND(A190="proposed_name",COUNTIF('أسماء مقترحة'!$A$6:$A$505,B190)=0),AND(D190="mobile",J190&lt;&gt;"invalid",NOT(OR(AND(LEN(E190&amp;"")=10,LEFT(E190&amp;"",2)="09"),AND(LEN(E190&amp;"")=9,LEFT(E190&amp;"",1)="9")))),COUNTIFS($A$6:$A$505,A190,$B$6:$B$505,B190,$E$6:$E$505,E190)&gt;1),"REVIEW","READY"))</x:f>
      </x:c>
      <x:c r="N190" s="255" t="str">
        <x:f>IF(M190="","",IF(M190="READY","",TRIM(IF(A190="","missing entity_type; ","")&amp;IF(B190="","missing entity_key; ","")&amp;IF(C190="","missing contact_order; ","")&amp;IF(D190="","missing contact_type; ","")&amp;IF(E190="","missing number; ","")&amp;IF(J190="","missing status; ","")&amp;IF(AND(A190="client",COUNTIF('الزبائن'!$A$6:$A$505,B190)=0),"client key not found; ","")&amp;IF(AND(A190="proposed_name",COUNTIF('أسماء مقترحة'!$A$6:$A$505,B190)=0),"proposed_name key not found; ","")&amp;IF(AND(D190="mobile",J190&lt;&gt;"invalid",NOT(OR(AND(LEN(E190&amp;"")=10,LEFT(E190&amp;"",2)="09"),AND(LEN(E190&amp;"")=9,LEFT(E190&amp;"",1)="9")))),"mobile must be 09XXXXXXXX or status invalid; ","")&amp;IF(COUNTIFS($A$6:$A$505,A190,$B$6:$B$505,B190,$E$6:$E$505,E190)&gt;1,"duplicate number for same entity; ",""))))</x:f>
      </x:c>
    </x:row>
    <x:row r="191">
      <x:c r="A191" s="251"/>
      <x:c r="B191" s="252"/>
      <x:c r="C191" s="253"/>
      <x:c r="D191" s="253"/>
      <x:c r="E191" s="252"/>
      <x:c r="F191" s="252"/>
      <x:c r="G191" s="253"/>
      <x:c r="H191" s="253"/>
      <x:c r="I191" s="253"/>
      <x:c r="J191" s="253"/>
      <x:c r="K191" s="253"/>
      <x:c r="L191" s="253"/>
      <x:c r="M191" s="253" t="str">
        <x:f>IF(AND(A191="",B191="",E191=""),"",IF(OR(A191="",B191="",C191="",D191="",E191="",J191="",AND(A191="client",COUNTIF('الزبائن'!$A$6:$A$505,B191)=0),AND(A191="proposed_name",COUNTIF('أسماء مقترحة'!$A$6:$A$505,B191)=0),AND(D191="mobile",J191&lt;&gt;"invalid",NOT(OR(AND(LEN(E191&amp;"")=10,LEFT(E191&amp;"",2)="09"),AND(LEN(E191&amp;"")=9,LEFT(E191&amp;"",1)="9")))),COUNTIFS($A$6:$A$505,A191,$B$6:$B$505,B191,$E$6:$E$505,E191)&gt;1),"REVIEW","READY"))</x:f>
      </x:c>
      <x:c r="N191" s="255" t="str">
        <x:f>IF(M191="","",IF(M191="READY","",TRIM(IF(A191="","missing entity_type; ","")&amp;IF(B191="","missing entity_key; ","")&amp;IF(C191="","missing contact_order; ","")&amp;IF(D191="","missing contact_type; ","")&amp;IF(E191="","missing number; ","")&amp;IF(J191="","missing status; ","")&amp;IF(AND(A191="client",COUNTIF('الزبائن'!$A$6:$A$505,B191)=0),"client key not found; ","")&amp;IF(AND(A191="proposed_name",COUNTIF('أسماء مقترحة'!$A$6:$A$505,B191)=0),"proposed_name key not found; ","")&amp;IF(AND(D191="mobile",J191&lt;&gt;"invalid",NOT(OR(AND(LEN(E191&amp;"")=10,LEFT(E191&amp;"",2)="09"),AND(LEN(E191&amp;"")=9,LEFT(E191&amp;"",1)="9")))),"mobile must be 09XXXXXXXX or status invalid; ","")&amp;IF(COUNTIFS($A$6:$A$505,A191,$B$6:$B$505,B191,$E$6:$E$505,E191)&gt;1,"duplicate number for same entity; ",""))))</x:f>
      </x:c>
    </x:row>
    <x:row r="192">
      <x:c r="A192" s="251"/>
      <x:c r="B192" s="252"/>
      <x:c r="C192" s="253"/>
      <x:c r="D192" s="253"/>
      <x:c r="E192" s="252"/>
      <x:c r="F192" s="252"/>
      <x:c r="G192" s="253"/>
      <x:c r="H192" s="253"/>
      <x:c r="I192" s="253"/>
      <x:c r="J192" s="253"/>
      <x:c r="K192" s="253"/>
      <x:c r="L192" s="253"/>
      <x:c r="M192" s="253" t="str">
        <x:f>IF(AND(A192="",B192="",E192=""),"",IF(OR(A192="",B192="",C192="",D192="",E192="",J192="",AND(A192="client",COUNTIF('الزبائن'!$A$6:$A$505,B192)=0),AND(A192="proposed_name",COUNTIF('أسماء مقترحة'!$A$6:$A$505,B192)=0),AND(D192="mobile",J192&lt;&gt;"invalid",NOT(OR(AND(LEN(E192&amp;"")=10,LEFT(E192&amp;"",2)="09"),AND(LEN(E192&amp;"")=9,LEFT(E192&amp;"",1)="9")))),COUNTIFS($A$6:$A$505,A192,$B$6:$B$505,B192,$E$6:$E$505,E192)&gt;1),"REVIEW","READY"))</x:f>
      </x:c>
      <x:c r="N192" s="255" t="str">
        <x:f>IF(M192="","",IF(M192="READY","",TRIM(IF(A192="","missing entity_type; ","")&amp;IF(B192="","missing entity_key; ","")&amp;IF(C192="","missing contact_order; ","")&amp;IF(D192="","missing contact_type; ","")&amp;IF(E192="","missing number; ","")&amp;IF(J192="","missing status; ","")&amp;IF(AND(A192="client",COUNTIF('الزبائن'!$A$6:$A$505,B192)=0),"client key not found; ","")&amp;IF(AND(A192="proposed_name",COUNTIF('أسماء مقترحة'!$A$6:$A$505,B192)=0),"proposed_name key not found; ","")&amp;IF(AND(D192="mobile",J192&lt;&gt;"invalid",NOT(OR(AND(LEN(E192&amp;"")=10,LEFT(E192&amp;"",2)="09"),AND(LEN(E192&amp;"")=9,LEFT(E192&amp;"",1)="9")))),"mobile must be 09XXXXXXXX or status invalid; ","")&amp;IF(COUNTIFS($A$6:$A$505,A192,$B$6:$B$505,B192,$E$6:$E$505,E192)&gt;1,"duplicate number for same entity; ",""))))</x:f>
      </x:c>
    </x:row>
    <x:row r="193">
      <x:c r="A193" s="251"/>
      <x:c r="B193" s="252"/>
      <x:c r="C193" s="253"/>
      <x:c r="D193" s="253"/>
      <x:c r="E193" s="252"/>
      <x:c r="F193" s="252"/>
      <x:c r="G193" s="253"/>
      <x:c r="H193" s="253"/>
      <x:c r="I193" s="253"/>
      <x:c r="J193" s="253"/>
      <x:c r="K193" s="253"/>
      <x:c r="L193" s="253"/>
      <x:c r="M193" s="253" t="str">
        <x:f>IF(AND(A193="",B193="",E193=""),"",IF(OR(A193="",B193="",C193="",D193="",E193="",J193="",AND(A193="client",COUNTIF('الزبائن'!$A$6:$A$505,B193)=0),AND(A193="proposed_name",COUNTIF('أسماء مقترحة'!$A$6:$A$505,B193)=0),AND(D193="mobile",J193&lt;&gt;"invalid",NOT(OR(AND(LEN(E193&amp;"")=10,LEFT(E193&amp;"",2)="09"),AND(LEN(E193&amp;"")=9,LEFT(E193&amp;"",1)="9")))),COUNTIFS($A$6:$A$505,A193,$B$6:$B$505,B193,$E$6:$E$505,E193)&gt;1),"REVIEW","READY"))</x:f>
      </x:c>
      <x:c r="N193" s="255" t="str">
        <x:f>IF(M193="","",IF(M193="READY","",TRIM(IF(A193="","missing entity_type; ","")&amp;IF(B193="","missing entity_key; ","")&amp;IF(C193="","missing contact_order; ","")&amp;IF(D193="","missing contact_type; ","")&amp;IF(E193="","missing number; ","")&amp;IF(J193="","missing status; ","")&amp;IF(AND(A193="client",COUNTIF('الزبائن'!$A$6:$A$505,B193)=0),"client key not found; ","")&amp;IF(AND(A193="proposed_name",COUNTIF('أسماء مقترحة'!$A$6:$A$505,B193)=0),"proposed_name key not found; ","")&amp;IF(AND(D193="mobile",J193&lt;&gt;"invalid",NOT(OR(AND(LEN(E193&amp;"")=10,LEFT(E193&amp;"",2)="09"),AND(LEN(E193&amp;"")=9,LEFT(E193&amp;"",1)="9")))),"mobile must be 09XXXXXXXX or status invalid; ","")&amp;IF(COUNTIFS($A$6:$A$505,A193,$B$6:$B$505,B193,$E$6:$E$505,E193)&gt;1,"duplicate number for same entity; ",""))))</x:f>
      </x:c>
    </x:row>
    <x:row r="194">
      <x:c r="A194" s="251"/>
      <x:c r="B194" s="252"/>
      <x:c r="C194" s="253"/>
      <x:c r="D194" s="253"/>
      <x:c r="E194" s="252"/>
      <x:c r="F194" s="252"/>
      <x:c r="G194" s="253"/>
      <x:c r="H194" s="253"/>
      <x:c r="I194" s="253"/>
      <x:c r="J194" s="253"/>
      <x:c r="K194" s="253"/>
      <x:c r="L194" s="253"/>
      <x:c r="M194" s="253" t="str">
        <x:f>IF(AND(A194="",B194="",E194=""),"",IF(OR(A194="",B194="",C194="",D194="",E194="",J194="",AND(A194="client",COUNTIF('الزبائن'!$A$6:$A$505,B194)=0),AND(A194="proposed_name",COUNTIF('أسماء مقترحة'!$A$6:$A$505,B194)=0),AND(D194="mobile",J194&lt;&gt;"invalid",NOT(OR(AND(LEN(E194&amp;"")=10,LEFT(E194&amp;"",2)="09"),AND(LEN(E194&amp;"")=9,LEFT(E194&amp;"",1)="9")))),COUNTIFS($A$6:$A$505,A194,$B$6:$B$505,B194,$E$6:$E$505,E194)&gt;1),"REVIEW","READY"))</x:f>
      </x:c>
      <x:c r="N194" s="255" t="str">
        <x:f>IF(M194="","",IF(M194="READY","",TRIM(IF(A194="","missing entity_type; ","")&amp;IF(B194="","missing entity_key; ","")&amp;IF(C194="","missing contact_order; ","")&amp;IF(D194="","missing contact_type; ","")&amp;IF(E194="","missing number; ","")&amp;IF(J194="","missing status; ","")&amp;IF(AND(A194="client",COUNTIF('الزبائن'!$A$6:$A$505,B194)=0),"client key not found; ","")&amp;IF(AND(A194="proposed_name",COUNTIF('أسماء مقترحة'!$A$6:$A$505,B194)=0),"proposed_name key not found; ","")&amp;IF(AND(D194="mobile",J194&lt;&gt;"invalid",NOT(OR(AND(LEN(E194&amp;"")=10,LEFT(E194&amp;"",2)="09"),AND(LEN(E194&amp;"")=9,LEFT(E194&amp;"",1)="9")))),"mobile must be 09XXXXXXXX or status invalid; ","")&amp;IF(COUNTIFS($A$6:$A$505,A194,$B$6:$B$505,B194,$E$6:$E$505,E194)&gt;1,"duplicate number for same entity; ",""))))</x:f>
      </x:c>
    </x:row>
    <x:row r="195">
      <x:c r="A195" s="251"/>
      <x:c r="B195" s="252"/>
      <x:c r="C195" s="253"/>
      <x:c r="D195" s="253"/>
      <x:c r="E195" s="252"/>
      <x:c r="F195" s="252"/>
      <x:c r="G195" s="253"/>
      <x:c r="H195" s="253"/>
      <x:c r="I195" s="253"/>
      <x:c r="J195" s="253"/>
      <x:c r="K195" s="253"/>
      <x:c r="L195" s="253"/>
      <x:c r="M195" s="253" t="str">
        <x:f>IF(AND(A195="",B195="",E195=""),"",IF(OR(A195="",B195="",C195="",D195="",E195="",J195="",AND(A195="client",COUNTIF('الزبائن'!$A$6:$A$505,B195)=0),AND(A195="proposed_name",COUNTIF('أسماء مقترحة'!$A$6:$A$505,B195)=0),AND(D195="mobile",J195&lt;&gt;"invalid",NOT(OR(AND(LEN(E195&amp;"")=10,LEFT(E195&amp;"",2)="09"),AND(LEN(E195&amp;"")=9,LEFT(E195&amp;"",1)="9")))),COUNTIFS($A$6:$A$505,A195,$B$6:$B$505,B195,$E$6:$E$505,E195)&gt;1),"REVIEW","READY"))</x:f>
      </x:c>
      <x:c r="N195" s="255" t="str">
        <x:f>IF(M195="","",IF(M195="READY","",TRIM(IF(A195="","missing entity_type; ","")&amp;IF(B195="","missing entity_key; ","")&amp;IF(C195="","missing contact_order; ","")&amp;IF(D195="","missing contact_type; ","")&amp;IF(E195="","missing number; ","")&amp;IF(J195="","missing status; ","")&amp;IF(AND(A195="client",COUNTIF('الزبائن'!$A$6:$A$505,B195)=0),"client key not found; ","")&amp;IF(AND(A195="proposed_name",COUNTIF('أسماء مقترحة'!$A$6:$A$505,B195)=0),"proposed_name key not found; ","")&amp;IF(AND(D195="mobile",J195&lt;&gt;"invalid",NOT(OR(AND(LEN(E195&amp;"")=10,LEFT(E195&amp;"",2)="09"),AND(LEN(E195&amp;"")=9,LEFT(E195&amp;"",1)="9")))),"mobile must be 09XXXXXXXX or status invalid; ","")&amp;IF(COUNTIFS($A$6:$A$505,A195,$B$6:$B$505,B195,$E$6:$E$505,E195)&gt;1,"duplicate number for same entity; ",""))))</x:f>
      </x:c>
    </x:row>
    <x:row r="196">
      <x:c r="A196" s="251"/>
      <x:c r="B196" s="252"/>
      <x:c r="C196" s="253"/>
      <x:c r="D196" s="253"/>
      <x:c r="E196" s="252"/>
      <x:c r="F196" s="252"/>
      <x:c r="G196" s="253"/>
      <x:c r="H196" s="253"/>
      <x:c r="I196" s="253"/>
      <x:c r="J196" s="253"/>
      <x:c r="K196" s="253"/>
      <x:c r="L196" s="253"/>
      <x:c r="M196" s="253" t="str">
        <x:f>IF(AND(A196="",B196="",E196=""),"",IF(OR(A196="",B196="",C196="",D196="",E196="",J196="",AND(A196="client",COUNTIF('الزبائن'!$A$6:$A$505,B196)=0),AND(A196="proposed_name",COUNTIF('أسماء مقترحة'!$A$6:$A$505,B196)=0),AND(D196="mobile",J196&lt;&gt;"invalid",NOT(OR(AND(LEN(E196&amp;"")=10,LEFT(E196&amp;"",2)="09"),AND(LEN(E196&amp;"")=9,LEFT(E196&amp;"",1)="9")))),COUNTIFS($A$6:$A$505,A196,$B$6:$B$505,B196,$E$6:$E$505,E196)&gt;1),"REVIEW","READY"))</x:f>
      </x:c>
      <x:c r="N196" s="255" t="str">
        <x:f>IF(M196="","",IF(M196="READY","",TRIM(IF(A196="","missing entity_type; ","")&amp;IF(B196="","missing entity_key; ","")&amp;IF(C196="","missing contact_order; ","")&amp;IF(D196="","missing contact_type; ","")&amp;IF(E196="","missing number; ","")&amp;IF(J196="","missing status; ","")&amp;IF(AND(A196="client",COUNTIF('الزبائن'!$A$6:$A$505,B196)=0),"client key not found; ","")&amp;IF(AND(A196="proposed_name",COUNTIF('أسماء مقترحة'!$A$6:$A$505,B196)=0),"proposed_name key not found; ","")&amp;IF(AND(D196="mobile",J196&lt;&gt;"invalid",NOT(OR(AND(LEN(E196&amp;"")=10,LEFT(E196&amp;"",2)="09"),AND(LEN(E196&amp;"")=9,LEFT(E196&amp;"",1)="9")))),"mobile must be 09XXXXXXXX or status invalid; ","")&amp;IF(COUNTIFS($A$6:$A$505,A196,$B$6:$B$505,B196,$E$6:$E$505,E196)&gt;1,"duplicate number for same entity; ",""))))</x:f>
      </x:c>
    </x:row>
    <x:row r="197">
      <x:c r="A197" s="251"/>
      <x:c r="B197" s="252"/>
      <x:c r="C197" s="253"/>
      <x:c r="D197" s="253"/>
      <x:c r="E197" s="252"/>
      <x:c r="F197" s="252"/>
      <x:c r="G197" s="253"/>
      <x:c r="H197" s="253"/>
      <x:c r="I197" s="253"/>
      <x:c r="J197" s="253"/>
      <x:c r="K197" s="253"/>
      <x:c r="L197" s="253"/>
      <x:c r="M197" s="253" t="str">
        <x:f>IF(AND(A197="",B197="",E197=""),"",IF(OR(A197="",B197="",C197="",D197="",E197="",J197="",AND(A197="client",COUNTIF('الزبائن'!$A$6:$A$505,B197)=0),AND(A197="proposed_name",COUNTIF('أسماء مقترحة'!$A$6:$A$505,B197)=0),AND(D197="mobile",J197&lt;&gt;"invalid",NOT(OR(AND(LEN(E197&amp;"")=10,LEFT(E197&amp;"",2)="09"),AND(LEN(E197&amp;"")=9,LEFT(E197&amp;"",1)="9")))),COUNTIFS($A$6:$A$505,A197,$B$6:$B$505,B197,$E$6:$E$505,E197)&gt;1),"REVIEW","READY"))</x:f>
      </x:c>
      <x:c r="N197" s="255" t="str">
        <x:f>IF(M197="","",IF(M197="READY","",TRIM(IF(A197="","missing entity_type; ","")&amp;IF(B197="","missing entity_key; ","")&amp;IF(C197="","missing contact_order; ","")&amp;IF(D197="","missing contact_type; ","")&amp;IF(E197="","missing number; ","")&amp;IF(J197="","missing status; ","")&amp;IF(AND(A197="client",COUNTIF('الزبائن'!$A$6:$A$505,B197)=0),"client key not found; ","")&amp;IF(AND(A197="proposed_name",COUNTIF('أسماء مقترحة'!$A$6:$A$505,B197)=0),"proposed_name key not found; ","")&amp;IF(AND(D197="mobile",J197&lt;&gt;"invalid",NOT(OR(AND(LEN(E197&amp;"")=10,LEFT(E197&amp;"",2)="09"),AND(LEN(E197&amp;"")=9,LEFT(E197&amp;"",1)="9")))),"mobile must be 09XXXXXXXX or status invalid; ","")&amp;IF(COUNTIFS($A$6:$A$505,A197,$B$6:$B$505,B197,$E$6:$E$505,E197)&gt;1,"duplicate number for same entity; ",""))))</x:f>
      </x:c>
    </x:row>
    <x:row r="198">
      <x:c r="A198" s="251"/>
      <x:c r="B198" s="252"/>
      <x:c r="C198" s="253"/>
      <x:c r="D198" s="253"/>
      <x:c r="E198" s="252"/>
      <x:c r="F198" s="252"/>
      <x:c r="G198" s="253"/>
      <x:c r="H198" s="253"/>
      <x:c r="I198" s="253"/>
      <x:c r="J198" s="253"/>
      <x:c r="K198" s="253"/>
      <x:c r="L198" s="253"/>
      <x:c r="M198" s="253" t="str">
        <x:f>IF(AND(A198="",B198="",E198=""),"",IF(OR(A198="",B198="",C198="",D198="",E198="",J198="",AND(A198="client",COUNTIF('الزبائن'!$A$6:$A$505,B198)=0),AND(A198="proposed_name",COUNTIF('أسماء مقترحة'!$A$6:$A$505,B198)=0),AND(D198="mobile",J198&lt;&gt;"invalid",NOT(OR(AND(LEN(E198&amp;"")=10,LEFT(E198&amp;"",2)="09"),AND(LEN(E198&amp;"")=9,LEFT(E198&amp;"",1)="9")))),COUNTIFS($A$6:$A$505,A198,$B$6:$B$505,B198,$E$6:$E$505,E198)&gt;1),"REVIEW","READY"))</x:f>
      </x:c>
      <x:c r="N198" s="255" t="str">
        <x:f>IF(M198="","",IF(M198="READY","",TRIM(IF(A198="","missing entity_type; ","")&amp;IF(B198="","missing entity_key; ","")&amp;IF(C198="","missing contact_order; ","")&amp;IF(D198="","missing contact_type; ","")&amp;IF(E198="","missing number; ","")&amp;IF(J198="","missing status; ","")&amp;IF(AND(A198="client",COUNTIF('الزبائن'!$A$6:$A$505,B198)=0),"client key not found; ","")&amp;IF(AND(A198="proposed_name",COUNTIF('أسماء مقترحة'!$A$6:$A$505,B198)=0),"proposed_name key not found; ","")&amp;IF(AND(D198="mobile",J198&lt;&gt;"invalid",NOT(OR(AND(LEN(E198&amp;"")=10,LEFT(E198&amp;"",2)="09"),AND(LEN(E198&amp;"")=9,LEFT(E198&amp;"",1)="9")))),"mobile must be 09XXXXXXXX or status invalid; ","")&amp;IF(COUNTIFS($A$6:$A$505,A198,$B$6:$B$505,B198,$E$6:$E$505,E198)&gt;1,"duplicate number for same entity; ",""))))</x:f>
      </x:c>
    </x:row>
    <x:row r="199">
      <x:c r="A199" s="251"/>
      <x:c r="B199" s="252"/>
      <x:c r="C199" s="253"/>
      <x:c r="D199" s="253"/>
      <x:c r="E199" s="252"/>
      <x:c r="F199" s="252"/>
      <x:c r="G199" s="253"/>
      <x:c r="H199" s="253"/>
      <x:c r="I199" s="253"/>
      <x:c r="J199" s="253"/>
      <x:c r="K199" s="253"/>
      <x:c r="L199" s="253"/>
      <x:c r="M199" s="253" t="str">
        <x:f>IF(AND(A199="",B199="",E199=""),"",IF(OR(A199="",B199="",C199="",D199="",E199="",J199="",AND(A199="client",COUNTIF('الزبائن'!$A$6:$A$505,B199)=0),AND(A199="proposed_name",COUNTIF('أسماء مقترحة'!$A$6:$A$505,B199)=0),AND(D199="mobile",J199&lt;&gt;"invalid",NOT(OR(AND(LEN(E199&amp;"")=10,LEFT(E199&amp;"",2)="09"),AND(LEN(E199&amp;"")=9,LEFT(E199&amp;"",1)="9")))),COUNTIFS($A$6:$A$505,A199,$B$6:$B$505,B199,$E$6:$E$505,E199)&gt;1),"REVIEW","READY"))</x:f>
      </x:c>
      <x:c r="N199" s="255" t="str">
        <x:f>IF(M199="","",IF(M199="READY","",TRIM(IF(A199="","missing entity_type; ","")&amp;IF(B199="","missing entity_key; ","")&amp;IF(C199="","missing contact_order; ","")&amp;IF(D199="","missing contact_type; ","")&amp;IF(E199="","missing number; ","")&amp;IF(J199="","missing status; ","")&amp;IF(AND(A199="client",COUNTIF('الزبائن'!$A$6:$A$505,B199)=0),"client key not found; ","")&amp;IF(AND(A199="proposed_name",COUNTIF('أسماء مقترحة'!$A$6:$A$505,B199)=0),"proposed_name key not found; ","")&amp;IF(AND(D199="mobile",J199&lt;&gt;"invalid",NOT(OR(AND(LEN(E199&amp;"")=10,LEFT(E199&amp;"",2)="09"),AND(LEN(E199&amp;"")=9,LEFT(E199&amp;"",1)="9")))),"mobile must be 09XXXXXXXX or status invalid; ","")&amp;IF(COUNTIFS($A$6:$A$505,A199,$B$6:$B$505,B199,$E$6:$E$505,E199)&gt;1,"duplicate number for same entity; ",""))))</x:f>
      </x:c>
    </x:row>
    <x:row r="200">
      <x:c r="A200" s="251"/>
      <x:c r="B200" s="252"/>
      <x:c r="C200" s="253"/>
      <x:c r="D200" s="253"/>
      <x:c r="E200" s="252"/>
      <x:c r="F200" s="252"/>
      <x:c r="G200" s="253"/>
      <x:c r="H200" s="253"/>
      <x:c r="I200" s="253"/>
      <x:c r="J200" s="253"/>
      <x:c r="K200" s="253"/>
      <x:c r="L200" s="253"/>
      <x:c r="M200" s="253" t="str">
        <x:f>IF(AND(A200="",B200="",E200=""),"",IF(OR(A200="",B200="",C200="",D200="",E200="",J200="",AND(A200="client",COUNTIF('الزبائن'!$A$6:$A$505,B200)=0),AND(A200="proposed_name",COUNTIF('أسماء مقترحة'!$A$6:$A$505,B200)=0),AND(D200="mobile",J200&lt;&gt;"invalid",NOT(OR(AND(LEN(E200&amp;"")=10,LEFT(E200&amp;"",2)="09"),AND(LEN(E200&amp;"")=9,LEFT(E200&amp;"",1)="9")))),COUNTIFS($A$6:$A$505,A200,$B$6:$B$505,B200,$E$6:$E$505,E200)&gt;1),"REVIEW","READY"))</x:f>
      </x:c>
      <x:c r="N200" s="255" t="str">
        <x:f>IF(M200="","",IF(M200="READY","",TRIM(IF(A200="","missing entity_type; ","")&amp;IF(B200="","missing entity_key; ","")&amp;IF(C200="","missing contact_order; ","")&amp;IF(D200="","missing contact_type; ","")&amp;IF(E200="","missing number; ","")&amp;IF(J200="","missing status; ","")&amp;IF(AND(A200="client",COUNTIF('الزبائن'!$A$6:$A$505,B200)=0),"client key not found; ","")&amp;IF(AND(A200="proposed_name",COUNTIF('أسماء مقترحة'!$A$6:$A$505,B200)=0),"proposed_name key not found; ","")&amp;IF(AND(D200="mobile",J200&lt;&gt;"invalid",NOT(OR(AND(LEN(E200&amp;"")=10,LEFT(E200&amp;"",2)="09"),AND(LEN(E200&amp;"")=9,LEFT(E200&amp;"",1)="9")))),"mobile must be 09XXXXXXXX or status invalid; ","")&amp;IF(COUNTIFS($A$6:$A$505,A200,$B$6:$B$505,B200,$E$6:$E$505,E200)&gt;1,"duplicate number for same entity; ",""))))</x:f>
      </x:c>
    </x:row>
    <x:row r="201">
      <x:c r="A201" s="251"/>
      <x:c r="B201" s="252"/>
      <x:c r="C201" s="253"/>
      <x:c r="D201" s="253"/>
      <x:c r="E201" s="252"/>
      <x:c r="F201" s="252"/>
      <x:c r="G201" s="253"/>
      <x:c r="H201" s="253"/>
      <x:c r="I201" s="253"/>
      <x:c r="J201" s="253"/>
      <x:c r="K201" s="253"/>
      <x:c r="L201" s="253"/>
      <x:c r="M201" s="253" t="str">
        <x:f>IF(AND(A201="",B201="",E201=""),"",IF(OR(A201="",B201="",C201="",D201="",E201="",J201="",AND(A201="client",COUNTIF('الزبائن'!$A$6:$A$505,B201)=0),AND(A201="proposed_name",COUNTIF('أسماء مقترحة'!$A$6:$A$505,B201)=0),AND(D201="mobile",J201&lt;&gt;"invalid",NOT(OR(AND(LEN(E201&amp;"")=10,LEFT(E201&amp;"",2)="09"),AND(LEN(E201&amp;"")=9,LEFT(E201&amp;"",1)="9")))),COUNTIFS($A$6:$A$505,A201,$B$6:$B$505,B201,$E$6:$E$505,E201)&gt;1),"REVIEW","READY"))</x:f>
      </x:c>
      <x:c r="N201" s="255" t="str">
        <x:f>IF(M201="","",IF(M201="READY","",TRIM(IF(A201="","missing entity_type; ","")&amp;IF(B201="","missing entity_key; ","")&amp;IF(C201="","missing contact_order; ","")&amp;IF(D201="","missing contact_type; ","")&amp;IF(E201="","missing number; ","")&amp;IF(J201="","missing status; ","")&amp;IF(AND(A201="client",COUNTIF('الزبائن'!$A$6:$A$505,B201)=0),"client key not found; ","")&amp;IF(AND(A201="proposed_name",COUNTIF('أسماء مقترحة'!$A$6:$A$505,B201)=0),"proposed_name key not found; ","")&amp;IF(AND(D201="mobile",J201&lt;&gt;"invalid",NOT(OR(AND(LEN(E201&amp;"")=10,LEFT(E201&amp;"",2)="09"),AND(LEN(E201&amp;"")=9,LEFT(E201&amp;"",1)="9")))),"mobile must be 09XXXXXXXX or status invalid; ","")&amp;IF(COUNTIFS($A$6:$A$505,A201,$B$6:$B$505,B201,$E$6:$E$505,E201)&gt;1,"duplicate number for same entity; ",""))))</x:f>
      </x:c>
    </x:row>
    <x:row r="202">
      <x:c r="A202" s="251"/>
      <x:c r="B202" s="252"/>
      <x:c r="C202" s="253"/>
      <x:c r="D202" s="253"/>
      <x:c r="E202" s="252"/>
      <x:c r="F202" s="252"/>
      <x:c r="G202" s="253"/>
      <x:c r="H202" s="253"/>
      <x:c r="I202" s="253"/>
      <x:c r="J202" s="253"/>
      <x:c r="K202" s="253"/>
      <x:c r="L202" s="253"/>
      <x:c r="M202" s="253" t="str">
        <x:f>IF(AND(A202="",B202="",E202=""),"",IF(OR(A202="",B202="",C202="",D202="",E202="",J202="",AND(A202="client",COUNTIF('الزبائن'!$A$6:$A$505,B202)=0),AND(A202="proposed_name",COUNTIF('أسماء مقترحة'!$A$6:$A$505,B202)=0),AND(D202="mobile",J202&lt;&gt;"invalid",NOT(OR(AND(LEN(E202&amp;"")=10,LEFT(E202&amp;"",2)="09"),AND(LEN(E202&amp;"")=9,LEFT(E202&amp;"",1)="9")))),COUNTIFS($A$6:$A$505,A202,$B$6:$B$505,B202,$E$6:$E$505,E202)&gt;1),"REVIEW","READY"))</x:f>
      </x:c>
      <x:c r="N202" s="255" t="str">
        <x:f>IF(M202="","",IF(M202="READY","",TRIM(IF(A202="","missing entity_type; ","")&amp;IF(B202="","missing entity_key; ","")&amp;IF(C202="","missing contact_order; ","")&amp;IF(D202="","missing contact_type; ","")&amp;IF(E202="","missing number; ","")&amp;IF(J202="","missing status; ","")&amp;IF(AND(A202="client",COUNTIF('الزبائن'!$A$6:$A$505,B202)=0),"client key not found; ","")&amp;IF(AND(A202="proposed_name",COUNTIF('أسماء مقترحة'!$A$6:$A$505,B202)=0),"proposed_name key not found; ","")&amp;IF(AND(D202="mobile",J202&lt;&gt;"invalid",NOT(OR(AND(LEN(E202&amp;"")=10,LEFT(E202&amp;"",2)="09"),AND(LEN(E202&amp;"")=9,LEFT(E202&amp;"",1)="9")))),"mobile must be 09XXXXXXXX or status invalid; ","")&amp;IF(COUNTIFS($A$6:$A$505,A202,$B$6:$B$505,B202,$E$6:$E$505,E202)&gt;1,"duplicate number for same entity; ",""))))</x:f>
      </x:c>
    </x:row>
    <x:row r="203">
      <x:c r="A203" s="251"/>
      <x:c r="B203" s="252"/>
      <x:c r="C203" s="253"/>
      <x:c r="D203" s="253"/>
      <x:c r="E203" s="252"/>
      <x:c r="F203" s="252"/>
      <x:c r="G203" s="253"/>
      <x:c r="H203" s="253"/>
      <x:c r="I203" s="253"/>
      <x:c r="J203" s="253"/>
      <x:c r="K203" s="253"/>
      <x:c r="L203" s="253"/>
      <x:c r="M203" s="253" t="str">
        <x:f>IF(AND(A203="",B203="",E203=""),"",IF(OR(A203="",B203="",C203="",D203="",E203="",J203="",AND(A203="client",COUNTIF('الزبائن'!$A$6:$A$505,B203)=0),AND(A203="proposed_name",COUNTIF('أسماء مقترحة'!$A$6:$A$505,B203)=0),AND(D203="mobile",J203&lt;&gt;"invalid",NOT(OR(AND(LEN(E203&amp;"")=10,LEFT(E203&amp;"",2)="09"),AND(LEN(E203&amp;"")=9,LEFT(E203&amp;"",1)="9")))),COUNTIFS($A$6:$A$505,A203,$B$6:$B$505,B203,$E$6:$E$505,E203)&gt;1),"REVIEW","READY"))</x:f>
      </x:c>
      <x:c r="N203" s="255" t="str">
        <x:f>IF(M203="","",IF(M203="READY","",TRIM(IF(A203="","missing entity_type; ","")&amp;IF(B203="","missing entity_key; ","")&amp;IF(C203="","missing contact_order; ","")&amp;IF(D203="","missing contact_type; ","")&amp;IF(E203="","missing number; ","")&amp;IF(J203="","missing status; ","")&amp;IF(AND(A203="client",COUNTIF('الزبائن'!$A$6:$A$505,B203)=0),"client key not found; ","")&amp;IF(AND(A203="proposed_name",COUNTIF('أسماء مقترحة'!$A$6:$A$505,B203)=0),"proposed_name key not found; ","")&amp;IF(AND(D203="mobile",J203&lt;&gt;"invalid",NOT(OR(AND(LEN(E203&amp;"")=10,LEFT(E203&amp;"",2)="09"),AND(LEN(E203&amp;"")=9,LEFT(E203&amp;"",1)="9")))),"mobile must be 09XXXXXXXX or status invalid; ","")&amp;IF(COUNTIFS($A$6:$A$505,A203,$B$6:$B$505,B203,$E$6:$E$505,E203)&gt;1,"duplicate number for same entity; ",""))))</x:f>
      </x:c>
    </x:row>
    <x:row r="204">
      <x:c r="A204" s="251"/>
      <x:c r="B204" s="252"/>
      <x:c r="C204" s="253"/>
      <x:c r="D204" s="253"/>
      <x:c r="E204" s="252"/>
      <x:c r="F204" s="252"/>
      <x:c r="G204" s="253"/>
      <x:c r="H204" s="253"/>
      <x:c r="I204" s="253"/>
      <x:c r="J204" s="253"/>
      <x:c r="K204" s="253"/>
      <x:c r="L204" s="253"/>
      <x:c r="M204" s="253" t="str">
        <x:f>IF(AND(A204="",B204="",E204=""),"",IF(OR(A204="",B204="",C204="",D204="",E204="",J204="",AND(A204="client",COUNTIF('الزبائن'!$A$6:$A$505,B204)=0),AND(A204="proposed_name",COUNTIF('أسماء مقترحة'!$A$6:$A$505,B204)=0),AND(D204="mobile",J204&lt;&gt;"invalid",NOT(OR(AND(LEN(E204&amp;"")=10,LEFT(E204&amp;"",2)="09"),AND(LEN(E204&amp;"")=9,LEFT(E204&amp;"",1)="9")))),COUNTIFS($A$6:$A$505,A204,$B$6:$B$505,B204,$E$6:$E$505,E204)&gt;1),"REVIEW","READY"))</x:f>
      </x:c>
      <x:c r="N204" s="255" t="str">
        <x:f>IF(M204="","",IF(M204="READY","",TRIM(IF(A204="","missing entity_type; ","")&amp;IF(B204="","missing entity_key; ","")&amp;IF(C204="","missing contact_order; ","")&amp;IF(D204="","missing contact_type; ","")&amp;IF(E204="","missing number; ","")&amp;IF(J204="","missing status; ","")&amp;IF(AND(A204="client",COUNTIF('الزبائن'!$A$6:$A$505,B204)=0),"client key not found; ","")&amp;IF(AND(A204="proposed_name",COUNTIF('أسماء مقترحة'!$A$6:$A$505,B204)=0),"proposed_name key not found; ","")&amp;IF(AND(D204="mobile",J204&lt;&gt;"invalid",NOT(OR(AND(LEN(E204&amp;"")=10,LEFT(E204&amp;"",2)="09"),AND(LEN(E204&amp;"")=9,LEFT(E204&amp;"",1)="9")))),"mobile must be 09XXXXXXXX or status invalid; ","")&amp;IF(COUNTIFS($A$6:$A$505,A204,$B$6:$B$505,B204,$E$6:$E$505,E204)&gt;1,"duplicate number for same entity; ",""))))</x:f>
      </x:c>
    </x:row>
    <x:row r="205">
      <x:c r="A205" s="251"/>
      <x:c r="B205" s="252"/>
      <x:c r="C205" s="253"/>
      <x:c r="D205" s="253"/>
      <x:c r="E205" s="252"/>
      <x:c r="F205" s="252"/>
      <x:c r="G205" s="253"/>
      <x:c r="H205" s="253"/>
      <x:c r="I205" s="253"/>
      <x:c r="J205" s="253"/>
      <x:c r="K205" s="253"/>
      <x:c r="L205" s="253"/>
      <x:c r="M205" s="253" t="str">
        <x:f>IF(AND(A205="",B205="",E205=""),"",IF(OR(A205="",B205="",C205="",D205="",E205="",J205="",AND(A205="client",COUNTIF('الزبائن'!$A$6:$A$505,B205)=0),AND(A205="proposed_name",COUNTIF('أسماء مقترحة'!$A$6:$A$505,B205)=0),AND(D205="mobile",J205&lt;&gt;"invalid",NOT(OR(AND(LEN(E205&amp;"")=10,LEFT(E205&amp;"",2)="09"),AND(LEN(E205&amp;"")=9,LEFT(E205&amp;"",1)="9")))),COUNTIFS($A$6:$A$505,A205,$B$6:$B$505,B205,$E$6:$E$505,E205)&gt;1),"REVIEW","READY"))</x:f>
      </x:c>
      <x:c r="N205" s="255" t="str">
        <x:f>IF(M205="","",IF(M205="READY","",TRIM(IF(A205="","missing entity_type; ","")&amp;IF(B205="","missing entity_key; ","")&amp;IF(C205="","missing contact_order; ","")&amp;IF(D205="","missing contact_type; ","")&amp;IF(E205="","missing number; ","")&amp;IF(J205="","missing status; ","")&amp;IF(AND(A205="client",COUNTIF('الزبائن'!$A$6:$A$505,B205)=0),"client key not found; ","")&amp;IF(AND(A205="proposed_name",COUNTIF('أسماء مقترحة'!$A$6:$A$505,B205)=0),"proposed_name key not found; ","")&amp;IF(AND(D205="mobile",J205&lt;&gt;"invalid",NOT(OR(AND(LEN(E205&amp;"")=10,LEFT(E205&amp;"",2)="09"),AND(LEN(E205&amp;"")=9,LEFT(E205&amp;"",1)="9")))),"mobile must be 09XXXXXXXX or status invalid; ","")&amp;IF(COUNTIFS($A$6:$A$505,A205,$B$6:$B$505,B205,$E$6:$E$505,E205)&gt;1,"duplicate number for same entity; ",""))))</x:f>
      </x:c>
    </x:row>
    <x:row r="206">
      <x:c r="A206" s="251"/>
      <x:c r="B206" s="252"/>
      <x:c r="C206" s="253"/>
      <x:c r="D206" s="253"/>
      <x:c r="E206" s="252"/>
      <x:c r="F206" s="252"/>
      <x:c r="G206" s="253"/>
      <x:c r="H206" s="253"/>
      <x:c r="I206" s="253"/>
      <x:c r="J206" s="253"/>
      <x:c r="K206" s="253"/>
      <x:c r="L206" s="253"/>
      <x:c r="M206" s="253" t="str">
        <x:f>IF(AND(A206="",B206="",E206=""),"",IF(OR(A206="",B206="",C206="",D206="",E206="",J206="",AND(A206="client",COUNTIF('الزبائن'!$A$6:$A$505,B206)=0),AND(A206="proposed_name",COUNTIF('أسماء مقترحة'!$A$6:$A$505,B206)=0),AND(D206="mobile",J206&lt;&gt;"invalid",NOT(OR(AND(LEN(E206&amp;"")=10,LEFT(E206&amp;"",2)="09"),AND(LEN(E206&amp;"")=9,LEFT(E206&amp;"",1)="9")))),COUNTIFS($A$6:$A$505,A206,$B$6:$B$505,B206,$E$6:$E$505,E206)&gt;1),"REVIEW","READY"))</x:f>
      </x:c>
      <x:c r="N206" s="255" t="str">
        <x:f>IF(M206="","",IF(M206="READY","",TRIM(IF(A206="","missing entity_type; ","")&amp;IF(B206="","missing entity_key; ","")&amp;IF(C206="","missing contact_order; ","")&amp;IF(D206="","missing contact_type; ","")&amp;IF(E206="","missing number; ","")&amp;IF(J206="","missing status; ","")&amp;IF(AND(A206="client",COUNTIF('الزبائن'!$A$6:$A$505,B206)=0),"client key not found; ","")&amp;IF(AND(A206="proposed_name",COUNTIF('أسماء مقترحة'!$A$6:$A$505,B206)=0),"proposed_name key not found; ","")&amp;IF(AND(D206="mobile",J206&lt;&gt;"invalid",NOT(OR(AND(LEN(E206&amp;"")=10,LEFT(E206&amp;"",2)="09"),AND(LEN(E206&amp;"")=9,LEFT(E206&amp;"",1)="9")))),"mobile must be 09XXXXXXXX or status invalid; ","")&amp;IF(COUNTIFS($A$6:$A$505,A206,$B$6:$B$505,B206,$E$6:$E$505,E206)&gt;1,"duplicate number for same entity; ",""))))</x:f>
      </x:c>
    </x:row>
    <x:row r="207">
      <x:c r="A207" s="251"/>
      <x:c r="B207" s="252"/>
      <x:c r="C207" s="253"/>
      <x:c r="D207" s="253"/>
      <x:c r="E207" s="252"/>
      <x:c r="F207" s="252"/>
      <x:c r="G207" s="253"/>
      <x:c r="H207" s="253"/>
      <x:c r="I207" s="253"/>
      <x:c r="J207" s="253"/>
      <x:c r="K207" s="253"/>
      <x:c r="L207" s="253"/>
      <x:c r="M207" s="253" t="str">
        <x:f>IF(AND(A207="",B207="",E207=""),"",IF(OR(A207="",B207="",C207="",D207="",E207="",J207="",AND(A207="client",COUNTIF('الزبائن'!$A$6:$A$505,B207)=0),AND(A207="proposed_name",COUNTIF('أسماء مقترحة'!$A$6:$A$505,B207)=0),AND(D207="mobile",J207&lt;&gt;"invalid",NOT(OR(AND(LEN(E207&amp;"")=10,LEFT(E207&amp;"",2)="09"),AND(LEN(E207&amp;"")=9,LEFT(E207&amp;"",1)="9")))),COUNTIFS($A$6:$A$505,A207,$B$6:$B$505,B207,$E$6:$E$505,E207)&gt;1),"REVIEW","READY"))</x:f>
      </x:c>
      <x:c r="N207" s="255" t="str">
        <x:f>IF(M207="","",IF(M207="READY","",TRIM(IF(A207="","missing entity_type; ","")&amp;IF(B207="","missing entity_key; ","")&amp;IF(C207="","missing contact_order; ","")&amp;IF(D207="","missing contact_type; ","")&amp;IF(E207="","missing number; ","")&amp;IF(J207="","missing status; ","")&amp;IF(AND(A207="client",COUNTIF('الزبائن'!$A$6:$A$505,B207)=0),"client key not found; ","")&amp;IF(AND(A207="proposed_name",COUNTIF('أسماء مقترحة'!$A$6:$A$505,B207)=0),"proposed_name key not found; ","")&amp;IF(AND(D207="mobile",J207&lt;&gt;"invalid",NOT(OR(AND(LEN(E207&amp;"")=10,LEFT(E207&amp;"",2)="09"),AND(LEN(E207&amp;"")=9,LEFT(E207&amp;"",1)="9")))),"mobile must be 09XXXXXXXX or status invalid; ","")&amp;IF(COUNTIFS($A$6:$A$505,A207,$B$6:$B$505,B207,$E$6:$E$505,E207)&gt;1,"duplicate number for same entity; ",""))))</x:f>
      </x:c>
    </x:row>
    <x:row r="208">
      <x:c r="A208" s="251"/>
      <x:c r="B208" s="252"/>
      <x:c r="C208" s="253"/>
      <x:c r="D208" s="253"/>
      <x:c r="E208" s="252"/>
      <x:c r="F208" s="252"/>
      <x:c r="G208" s="253"/>
      <x:c r="H208" s="253"/>
      <x:c r="I208" s="253"/>
      <x:c r="J208" s="253"/>
      <x:c r="K208" s="253"/>
      <x:c r="L208" s="253"/>
      <x:c r="M208" s="253" t="str">
        <x:f>IF(AND(A208="",B208="",E208=""),"",IF(OR(A208="",B208="",C208="",D208="",E208="",J208="",AND(A208="client",COUNTIF('الزبائن'!$A$6:$A$505,B208)=0),AND(A208="proposed_name",COUNTIF('أسماء مقترحة'!$A$6:$A$505,B208)=0),AND(D208="mobile",J208&lt;&gt;"invalid",NOT(OR(AND(LEN(E208&amp;"")=10,LEFT(E208&amp;"",2)="09"),AND(LEN(E208&amp;"")=9,LEFT(E208&amp;"",1)="9")))),COUNTIFS($A$6:$A$505,A208,$B$6:$B$505,B208,$E$6:$E$505,E208)&gt;1),"REVIEW","READY"))</x:f>
      </x:c>
      <x:c r="N208" s="255" t="str">
        <x:f>IF(M208="","",IF(M208="READY","",TRIM(IF(A208="","missing entity_type; ","")&amp;IF(B208="","missing entity_key; ","")&amp;IF(C208="","missing contact_order; ","")&amp;IF(D208="","missing contact_type; ","")&amp;IF(E208="","missing number; ","")&amp;IF(J208="","missing status; ","")&amp;IF(AND(A208="client",COUNTIF('الزبائن'!$A$6:$A$505,B208)=0),"client key not found; ","")&amp;IF(AND(A208="proposed_name",COUNTIF('أسماء مقترحة'!$A$6:$A$505,B208)=0),"proposed_name key not found; ","")&amp;IF(AND(D208="mobile",J208&lt;&gt;"invalid",NOT(OR(AND(LEN(E208&amp;"")=10,LEFT(E208&amp;"",2)="09"),AND(LEN(E208&amp;"")=9,LEFT(E208&amp;"",1)="9")))),"mobile must be 09XXXXXXXX or status invalid; ","")&amp;IF(COUNTIFS($A$6:$A$505,A208,$B$6:$B$505,B208,$E$6:$E$505,E208)&gt;1,"duplicate number for same entity; ",""))))</x:f>
      </x:c>
    </x:row>
    <x:row r="209">
      <x:c r="A209" s="251"/>
      <x:c r="B209" s="252"/>
      <x:c r="C209" s="253"/>
      <x:c r="D209" s="253"/>
      <x:c r="E209" s="252"/>
      <x:c r="F209" s="252"/>
      <x:c r="G209" s="253"/>
      <x:c r="H209" s="253"/>
      <x:c r="I209" s="253"/>
      <x:c r="J209" s="253"/>
      <x:c r="K209" s="253"/>
      <x:c r="L209" s="253"/>
      <x:c r="M209" s="253" t="str">
        <x:f>IF(AND(A209="",B209="",E209=""),"",IF(OR(A209="",B209="",C209="",D209="",E209="",J209="",AND(A209="client",COUNTIF('الزبائن'!$A$6:$A$505,B209)=0),AND(A209="proposed_name",COUNTIF('أسماء مقترحة'!$A$6:$A$505,B209)=0),AND(D209="mobile",J209&lt;&gt;"invalid",NOT(OR(AND(LEN(E209&amp;"")=10,LEFT(E209&amp;"",2)="09"),AND(LEN(E209&amp;"")=9,LEFT(E209&amp;"",1)="9")))),COUNTIFS($A$6:$A$505,A209,$B$6:$B$505,B209,$E$6:$E$505,E209)&gt;1),"REVIEW","READY"))</x:f>
      </x:c>
      <x:c r="N209" s="255" t="str">
        <x:f>IF(M209="","",IF(M209="READY","",TRIM(IF(A209="","missing entity_type; ","")&amp;IF(B209="","missing entity_key; ","")&amp;IF(C209="","missing contact_order; ","")&amp;IF(D209="","missing contact_type; ","")&amp;IF(E209="","missing number; ","")&amp;IF(J209="","missing status; ","")&amp;IF(AND(A209="client",COUNTIF('الزبائن'!$A$6:$A$505,B209)=0),"client key not found; ","")&amp;IF(AND(A209="proposed_name",COUNTIF('أسماء مقترحة'!$A$6:$A$505,B209)=0),"proposed_name key not found; ","")&amp;IF(AND(D209="mobile",J209&lt;&gt;"invalid",NOT(OR(AND(LEN(E209&amp;"")=10,LEFT(E209&amp;"",2)="09"),AND(LEN(E209&amp;"")=9,LEFT(E209&amp;"",1)="9")))),"mobile must be 09XXXXXXXX or status invalid; ","")&amp;IF(COUNTIFS($A$6:$A$505,A209,$B$6:$B$505,B209,$E$6:$E$505,E209)&gt;1,"duplicate number for same entity; ",""))))</x:f>
      </x:c>
    </x:row>
    <x:row r="210">
      <x:c r="A210" s="251"/>
      <x:c r="B210" s="252"/>
      <x:c r="C210" s="253"/>
      <x:c r="D210" s="253"/>
      <x:c r="E210" s="252"/>
      <x:c r="F210" s="252"/>
      <x:c r="G210" s="253"/>
      <x:c r="H210" s="253"/>
      <x:c r="I210" s="253"/>
      <x:c r="J210" s="253"/>
      <x:c r="K210" s="253"/>
      <x:c r="L210" s="253"/>
      <x:c r="M210" s="253" t="str">
        <x:f>IF(AND(A210="",B210="",E210=""),"",IF(OR(A210="",B210="",C210="",D210="",E210="",J210="",AND(A210="client",COUNTIF('الزبائن'!$A$6:$A$505,B210)=0),AND(A210="proposed_name",COUNTIF('أسماء مقترحة'!$A$6:$A$505,B210)=0),AND(D210="mobile",J210&lt;&gt;"invalid",NOT(OR(AND(LEN(E210&amp;"")=10,LEFT(E210&amp;"",2)="09"),AND(LEN(E210&amp;"")=9,LEFT(E210&amp;"",1)="9")))),COUNTIFS($A$6:$A$505,A210,$B$6:$B$505,B210,$E$6:$E$505,E210)&gt;1),"REVIEW","READY"))</x:f>
      </x:c>
      <x:c r="N210" s="255" t="str">
        <x:f>IF(M210="","",IF(M210="READY","",TRIM(IF(A210="","missing entity_type; ","")&amp;IF(B210="","missing entity_key; ","")&amp;IF(C210="","missing contact_order; ","")&amp;IF(D210="","missing contact_type; ","")&amp;IF(E210="","missing number; ","")&amp;IF(J210="","missing status; ","")&amp;IF(AND(A210="client",COUNTIF('الزبائن'!$A$6:$A$505,B210)=0),"client key not found; ","")&amp;IF(AND(A210="proposed_name",COUNTIF('أسماء مقترحة'!$A$6:$A$505,B210)=0),"proposed_name key not found; ","")&amp;IF(AND(D210="mobile",J210&lt;&gt;"invalid",NOT(OR(AND(LEN(E210&amp;"")=10,LEFT(E210&amp;"",2)="09"),AND(LEN(E210&amp;"")=9,LEFT(E210&amp;"",1)="9")))),"mobile must be 09XXXXXXXX or status invalid; ","")&amp;IF(COUNTIFS($A$6:$A$505,A210,$B$6:$B$505,B210,$E$6:$E$505,E210)&gt;1,"duplicate number for same entity; ",""))))</x:f>
      </x:c>
    </x:row>
    <x:row r="211">
      <x:c r="A211" s="251"/>
      <x:c r="B211" s="252"/>
      <x:c r="C211" s="253"/>
      <x:c r="D211" s="253"/>
      <x:c r="E211" s="252"/>
      <x:c r="F211" s="252"/>
      <x:c r="G211" s="253"/>
      <x:c r="H211" s="253"/>
      <x:c r="I211" s="253"/>
      <x:c r="J211" s="253"/>
      <x:c r="K211" s="253"/>
      <x:c r="L211" s="253"/>
      <x:c r="M211" s="253" t="str">
        <x:f>IF(AND(A211="",B211="",E211=""),"",IF(OR(A211="",B211="",C211="",D211="",E211="",J211="",AND(A211="client",COUNTIF('الزبائن'!$A$6:$A$505,B211)=0),AND(A211="proposed_name",COUNTIF('أسماء مقترحة'!$A$6:$A$505,B211)=0),AND(D211="mobile",J211&lt;&gt;"invalid",NOT(OR(AND(LEN(E211&amp;"")=10,LEFT(E211&amp;"",2)="09"),AND(LEN(E211&amp;"")=9,LEFT(E211&amp;"",1)="9")))),COUNTIFS($A$6:$A$505,A211,$B$6:$B$505,B211,$E$6:$E$505,E211)&gt;1),"REVIEW","READY"))</x:f>
      </x:c>
      <x:c r="N211" s="255" t="str">
        <x:f>IF(M211="","",IF(M211="READY","",TRIM(IF(A211="","missing entity_type; ","")&amp;IF(B211="","missing entity_key; ","")&amp;IF(C211="","missing contact_order; ","")&amp;IF(D211="","missing contact_type; ","")&amp;IF(E211="","missing number; ","")&amp;IF(J211="","missing status; ","")&amp;IF(AND(A211="client",COUNTIF('الزبائن'!$A$6:$A$505,B211)=0),"client key not found; ","")&amp;IF(AND(A211="proposed_name",COUNTIF('أسماء مقترحة'!$A$6:$A$505,B211)=0),"proposed_name key not found; ","")&amp;IF(AND(D211="mobile",J211&lt;&gt;"invalid",NOT(OR(AND(LEN(E211&amp;"")=10,LEFT(E211&amp;"",2)="09"),AND(LEN(E211&amp;"")=9,LEFT(E211&amp;"",1)="9")))),"mobile must be 09XXXXXXXX or status invalid; ","")&amp;IF(COUNTIFS($A$6:$A$505,A211,$B$6:$B$505,B211,$E$6:$E$505,E211)&gt;1,"duplicate number for same entity; ",""))))</x:f>
      </x:c>
    </x:row>
    <x:row r="212">
      <x:c r="A212" s="251"/>
      <x:c r="B212" s="252"/>
      <x:c r="C212" s="253"/>
      <x:c r="D212" s="253"/>
      <x:c r="E212" s="252"/>
      <x:c r="F212" s="252"/>
      <x:c r="G212" s="253"/>
      <x:c r="H212" s="253"/>
      <x:c r="I212" s="253"/>
      <x:c r="J212" s="253"/>
      <x:c r="K212" s="253"/>
      <x:c r="L212" s="253"/>
      <x:c r="M212" s="253" t="str">
        <x:f>IF(AND(A212="",B212="",E212=""),"",IF(OR(A212="",B212="",C212="",D212="",E212="",J212="",AND(A212="client",COUNTIF('الزبائن'!$A$6:$A$505,B212)=0),AND(A212="proposed_name",COUNTIF('أسماء مقترحة'!$A$6:$A$505,B212)=0),AND(D212="mobile",J212&lt;&gt;"invalid",NOT(OR(AND(LEN(E212&amp;"")=10,LEFT(E212&amp;"",2)="09"),AND(LEN(E212&amp;"")=9,LEFT(E212&amp;"",1)="9")))),COUNTIFS($A$6:$A$505,A212,$B$6:$B$505,B212,$E$6:$E$505,E212)&gt;1),"REVIEW","READY"))</x:f>
      </x:c>
      <x:c r="N212" s="255" t="str">
        <x:f>IF(M212="","",IF(M212="READY","",TRIM(IF(A212="","missing entity_type; ","")&amp;IF(B212="","missing entity_key; ","")&amp;IF(C212="","missing contact_order; ","")&amp;IF(D212="","missing contact_type; ","")&amp;IF(E212="","missing number; ","")&amp;IF(J212="","missing status; ","")&amp;IF(AND(A212="client",COUNTIF('الزبائن'!$A$6:$A$505,B212)=0),"client key not found; ","")&amp;IF(AND(A212="proposed_name",COUNTIF('أسماء مقترحة'!$A$6:$A$505,B212)=0),"proposed_name key not found; ","")&amp;IF(AND(D212="mobile",J212&lt;&gt;"invalid",NOT(OR(AND(LEN(E212&amp;"")=10,LEFT(E212&amp;"",2)="09"),AND(LEN(E212&amp;"")=9,LEFT(E212&amp;"",1)="9")))),"mobile must be 09XXXXXXXX or status invalid; ","")&amp;IF(COUNTIFS($A$6:$A$505,A212,$B$6:$B$505,B212,$E$6:$E$505,E212)&gt;1,"duplicate number for same entity; ",""))))</x:f>
      </x:c>
    </x:row>
    <x:row r="213">
      <x:c r="A213" s="251"/>
      <x:c r="B213" s="252"/>
      <x:c r="C213" s="253"/>
      <x:c r="D213" s="253"/>
      <x:c r="E213" s="252"/>
      <x:c r="F213" s="252"/>
      <x:c r="G213" s="253"/>
      <x:c r="H213" s="253"/>
      <x:c r="I213" s="253"/>
      <x:c r="J213" s="253"/>
      <x:c r="K213" s="253"/>
      <x:c r="L213" s="253"/>
      <x:c r="M213" s="253" t="str">
        <x:f>IF(AND(A213="",B213="",E213=""),"",IF(OR(A213="",B213="",C213="",D213="",E213="",J213="",AND(A213="client",COUNTIF('الزبائن'!$A$6:$A$505,B213)=0),AND(A213="proposed_name",COUNTIF('أسماء مقترحة'!$A$6:$A$505,B213)=0),AND(D213="mobile",J213&lt;&gt;"invalid",NOT(OR(AND(LEN(E213&amp;"")=10,LEFT(E213&amp;"",2)="09"),AND(LEN(E213&amp;"")=9,LEFT(E213&amp;"",1)="9")))),COUNTIFS($A$6:$A$505,A213,$B$6:$B$505,B213,$E$6:$E$505,E213)&gt;1),"REVIEW","READY"))</x:f>
      </x:c>
      <x:c r="N213" s="255" t="str">
        <x:f>IF(M213="","",IF(M213="READY","",TRIM(IF(A213="","missing entity_type; ","")&amp;IF(B213="","missing entity_key; ","")&amp;IF(C213="","missing contact_order; ","")&amp;IF(D213="","missing contact_type; ","")&amp;IF(E213="","missing number; ","")&amp;IF(J213="","missing status; ","")&amp;IF(AND(A213="client",COUNTIF('الزبائن'!$A$6:$A$505,B213)=0),"client key not found; ","")&amp;IF(AND(A213="proposed_name",COUNTIF('أسماء مقترحة'!$A$6:$A$505,B213)=0),"proposed_name key not found; ","")&amp;IF(AND(D213="mobile",J213&lt;&gt;"invalid",NOT(OR(AND(LEN(E213&amp;"")=10,LEFT(E213&amp;"",2)="09"),AND(LEN(E213&amp;"")=9,LEFT(E213&amp;"",1)="9")))),"mobile must be 09XXXXXXXX or status invalid; ","")&amp;IF(COUNTIFS($A$6:$A$505,A213,$B$6:$B$505,B213,$E$6:$E$505,E213)&gt;1,"duplicate number for same entity; ",""))))</x:f>
      </x:c>
    </x:row>
    <x:row r="214">
      <x:c r="A214" s="251"/>
      <x:c r="B214" s="252"/>
      <x:c r="C214" s="253"/>
      <x:c r="D214" s="253"/>
      <x:c r="E214" s="252"/>
      <x:c r="F214" s="252"/>
      <x:c r="G214" s="253"/>
      <x:c r="H214" s="253"/>
      <x:c r="I214" s="253"/>
      <x:c r="J214" s="253"/>
      <x:c r="K214" s="253"/>
      <x:c r="L214" s="253"/>
      <x:c r="M214" s="253" t="str">
        <x:f>IF(AND(A214="",B214="",E214=""),"",IF(OR(A214="",B214="",C214="",D214="",E214="",J214="",AND(A214="client",COUNTIF('الزبائن'!$A$6:$A$505,B214)=0),AND(A214="proposed_name",COUNTIF('أسماء مقترحة'!$A$6:$A$505,B214)=0),AND(D214="mobile",J214&lt;&gt;"invalid",NOT(OR(AND(LEN(E214&amp;"")=10,LEFT(E214&amp;"",2)="09"),AND(LEN(E214&amp;"")=9,LEFT(E214&amp;"",1)="9")))),COUNTIFS($A$6:$A$505,A214,$B$6:$B$505,B214,$E$6:$E$505,E214)&gt;1),"REVIEW","READY"))</x:f>
      </x:c>
      <x:c r="N214" s="255" t="str">
        <x:f>IF(M214="","",IF(M214="READY","",TRIM(IF(A214="","missing entity_type; ","")&amp;IF(B214="","missing entity_key; ","")&amp;IF(C214="","missing contact_order; ","")&amp;IF(D214="","missing contact_type; ","")&amp;IF(E214="","missing number; ","")&amp;IF(J214="","missing status; ","")&amp;IF(AND(A214="client",COUNTIF('الزبائن'!$A$6:$A$505,B214)=0),"client key not found; ","")&amp;IF(AND(A214="proposed_name",COUNTIF('أسماء مقترحة'!$A$6:$A$505,B214)=0),"proposed_name key not found; ","")&amp;IF(AND(D214="mobile",J214&lt;&gt;"invalid",NOT(OR(AND(LEN(E214&amp;"")=10,LEFT(E214&amp;"",2)="09"),AND(LEN(E214&amp;"")=9,LEFT(E214&amp;"",1)="9")))),"mobile must be 09XXXXXXXX or status invalid; ","")&amp;IF(COUNTIFS($A$6:$A$505,A214,$B$6:$B$505,B214,$E$6:$E$505,E214)&gt;1,"duplicate number for same entity; ",""))))</x:f>
      </x:c>
    </x:row>
    <x:row r="215">
      <x:c r="A215" s="251"/>
      <x:c r="B215" s="252"/>
      <x:c r="C215" s="253"/>
      <x:c r="D215" s="253"/>
      <x:c r="E215" s="252"/>
      <x:c r="F215" s="252"/>
      <x:c r="G215" s="253"/>
      <x:c r="H215" s="253"/>
      <x:c r="I215" s="253"/>
      <x:c r="J215" s="253"/>
      <x:c r="K215" s="253"/>
      <x:c r="L215" s="253"/>
      <x:c r="M215" s="253" t="str">
        <x:f>IF(AND(A215="",B215="",E215=""),"",IF(OR(A215="",B215="",C215="",D215="",E215="",J215="",AND(A215="client",COUNTIF('الزبائن'!$A$6:$A$505,B215)=0),AND(A215="proposed_name",COUNTIF('أسماء مقترحة'!$A$6:$A$505,B215)=0),AND(D215="mobile",J215&lt;&gt;"invalid",NOT(OR(AND(LEN(E215&amp;"")=10,LEFT(E215&amp;"",2)="09"),AND(LEN(E215&amp;"")=9,LEFT(E215&amp;"",1)="9")))),COUNTIFS($A$6:$A$505,A215,$B$6:$B$505,B215,$E$6:$E$505,E215)&gt;1),"REVIEW","READY"))</x:f>
      </x:c>
      <x:c r="N215" s="255" t="str">
        <x:f>IF(M215="","",IF(M215="READY","",TRIM(IF(A215="","missing entity_type; ","")&amp;IF(B215="","missing entity_key; ","")&amp;IF(C215="","missing contact_order; ","")&amp;IF(D215="","missing contact_type; ","")&amp;IF(E215="","missing number; ","")&amp;IF(J215="","missing status; ","")&amp;IF(AND(A215="client",COUNTIF('الزبائن'!$A$6:$A$505,B215)=0),"client key not found; ","")&amp;IF(AND(A215="proposed_name",COUNTIF('أسماء مقترحة'!$A$6:$A$505,B215)=0),"proposed_name key not found; ","")&amp;IF(AND(D215="mobile",J215&lt;&gt;"invalid",NOT(OR(AND(LEN(E215&amp;"")=10,LEFT(E215&amp;"",2)="09"),AND(LEN(E215&amp;"")=9,LEFT(E215&amp;"",1)="9")))),"mobile must be 09XXXXXXXX or status invalid; ","")&amp;IF(COUNTIFS($A$6:$A$505,A215,$B$6:$B$505,B215,$E$6:$E$505,E215)&gt;1,"duplicate number for same entity; ",""))))</x:f>
      </x:c>
    </x:row>
    <x:row r="216">
      <x:c r="A216" s="251"/>
      <x:c r="B216" s="252"/>
      <x:c r="C216" s="253"/>
      <x:c r="D216" s="253"/>
      <x:c r="E216" s="252"/>
      <x:c r="F216" s="252"/>
      <x:c r="G216" s="253"/>
      <x:c r="H216" s="253"/>
      <x:c r="I216" s="253"/>
      <x:c r="J216" s="253"/>
      <x:c r="K216" s="253"/>
      <x:c r="L216" s="253"/>
      <x:c r="M216" s="253" t="str">
        <x:f>IF(AND(A216="",B216="",E216=""),"",IF(OR(A216="",B216="",C216="",D216="",E216="",J216="",AND(A216="client",COUNTIF('الزبائن'!$A$6:$A$505,B216)=0),AND(A216="proposed_name",COUNTIF('أسماء مقترحة'!$A$6:$A$505,B216)=0),AND(D216="mobile",J216&lt;&gt;"invalid",NOT(OR(AND(LEN(E216&amp;"")=10,LEFT(E216&amp;"",2)="09"),AND(LEN(E216&amp;"")=9,LEFT(E216&amp;"",1)="9")))),COUNTIFS($A$6:$A$505,A216,$B$6:$B$505,B216,$E$6:$E$505,E216)&gt;1),"REVIEW","READY"))</x:f>
      </x:c>
      <x:c r="N216" s="255" t="str">
        <x:f>IF(M216="","",IF(M216="READY","",TRIM(IF(A216="","missing entity_type; ","")&amp;IF(B216="","missing entity_key; ","")&amp;IF(C216="","missing contact_order; ","")&amp;IF(D216="","missing contact_type; ","")&amp;IF(E216="","missing number; ","")&amp;IF(J216="","missing status; ","")&amp;IF(AND(A216="client",COUNTIF('الزبائن'!$A$6:$A$505,B216)=0),"client key not found; ","")&amp;IF(AND(A216="proposed_name",COUNTIF('أسماء مقترحة'!$A$6:$A$505,B216)=0),"proposed_name key not found; ","")&amp;IF(AND(D216="mobile",J216&lt;&gt;"invalid",NOT(OR(AND(LEN(E216&amp;"")=10,LEFT(E216&amp;"",2)="09"),AND(LEN(E216&amp;"")=9,LEFT(E216&amp;"",1)="9")))),"mobile must be 09XXXXXXXX or status invalid; ","")&amp;IF(COUNTIFS($A$6:$A$505,A216,$B$6:$B$505,B216,$E$6:$E$505,E216)&gt;1,"duplicate number for same entity; ",""))))</x:f>
      </x:c>
    </x:row>
    <x:row r="217">
      <x:c r="A217" s="251"/>
      <x:c r="B217" s="252"/>
      <x:c r="C217" s="253"/>
      <x:c r="D217" s="253"/>
      <x:c r="E217" s="252"/>
      <x:c r="F217" s="252"/>
      <x:c r="G217" s="253"/>
      <x:c r="H217" s="253"/>
      <x:c r="I217" s="253"/>
      <x:c r="J217" s="253"/>
      <x:c r="K217" s="253"/>
      <x:c r="L217" s="253"/>
      <x:c r="M217" s="253" t="str">
        <x:f>IF(AND(A217="",B217="",E217=""),"",IF(OR(A217="",B217="",C217="",D217="",E217="",J217="",AND(A217="client",COUNTIF('الزبائن'!$A$6:$A$505,B217)=0),AND(A217="proposed_name",COUNTIF('أسماء مقترحة'!$A$6:$A$505,B217)=0),AND(D217="mobile",J217&lt;&gt;"invalid",NOT(OR(AND(LEN(E217&amp;"")=10,LEFT(E217&amp;"",2)="09"),AND(LEN(E217&amp;"")=9,LEFT(E217&amp;"",1)="9")))),COUNTIFS($A$6:$A$505,A217,$B$6:$B$505,B217,$E$6:$E$505,E217)&gt;1),"REVIEW","READY"))</x:f>
      </x:c>
      <x:c r="N217" s="255" t="str">
        <x:f>IF(M217="","",IF(M217="READY","",TRIM(IF(A217="","missing entity_type; ","")&amp;IF(B217="","missing entity_key; ","")&amp;IF(C217="","missing contact_order; ","")&amp;IF(D217="","missing contact_type; ","")&amp;IF(E217="","missing number; ","")&amp;IF(J217="","missing status; ","")&amp;IF(AND(A217="client",COUNTIF('الزبائن'!$A$6:$A$505,B217)=0),"client key not found; ","")&amp;IF(AND(A217="proposed_name",COUNTIF('أسماء مقترحة'!$A$6:$A$505,B217)=0),"proposed_name key not found; ","")&amp;IF(AND(D217="mobile",J217&lt;&gt;"invalid",NOT(OR(AND(LEN(E217&amp;"")=10,LEFT(E217&amp;"",2)="09"),AND(LEN(E217&amp;"")=9,LEFT(E217&amp;"",1)="9")))),"mobile must be 09XXXXXXXX or status invalid; ","")&amp;IF(COUNTIFS($A$6:$A$505,A217,$B$6:$B$505,B217,$E$6:$E$505,E217)&gt;1,"duplicate number for same entity; ",""))))</x:f>
      </x:c>
    </x:row>
    <x:row r="218">
      <x:c r="A218" s="251"/>
      <x:c r="B218" s="252"/>
      <x:c r="C218" s="253"/>
      <x:c r="D218" s="253"/>
      <x:c r="E218" s="252"/>
      <x:c r="F218" s="252"/>
      <x:c r="G218" s="253"/>
      <x:c r="H218" s="253"/>
      <x:c r="I218" s="253"/>
      <x:c r="J218" s="253"/>
      <x:c r="K218" s="253"/>
      <x:c r="L218" s="253"/>
      <x:c r="M218" s="253" t="str">
        <x:f>IF(AND(A218="",B218="",E218=""),"",IF(OR(A218="",B218="",C218="",D218="",E218="",J218="",AND(A218="client",COUNTIF('الزبائن'!$A$6:$A$505,B218)=0),AND(A218="proposed_name",COUNTIF('أسماء مقترحة'!$A$6:$A$505,B218)=0),AND(D218="mobile",J218&lt;&gt;"invalid",NOT(OR(AND(LEN(E218&amp;"")=10,LEFT(E218&amp;"",2)="09"),AND(LEN(E218&amp;"")=9,LEFT(E218&amp;"",1)="9")))),COUNTIFS($A$6:$A$505,A218,$B$6:$B$505,B218,$E$6:$E$505,E218)&gt;1),"REVIEW","READY"))</x:f>
      </x:c>
      <x:c r="N218" s="255" t="str">
        <x:f>IF(M218="","",IF(M218="READY","",TRIM(IF(A218="","missing entity_type; ","")&amp;IF(B218="","missing entity_key; ","")&amp;IF(C218="","missing contact_order; ","")&amp;IF(D218="","missing contact_type; ","")&amp;IF(E218="","missing number; ","")&amp;IF(J218="","missing status; ","")&amp;IF(AND(A218="client",COUNTIF('الزبائن'!$A$6:$A$505,B218)=0),"client key not found; ","")&amp;IF(AND(A218="proposed_name",COUNTIF('أسماء مقترحة'!$A$6:$A$505,B218)=0),"proposed_name key not found; ","")&amp;IF(AND(D218="mobile",J218&lt;&gt;"invalid",NOT(OR(AND(LEN(E218&amp;"")=10,LEFT(E218&amp;"",2)="09"),AND(LEN(E218&amp;"")=9,LEFT(E218&amp;"",1)="9")))),"mobile must be 09XXXXXXXX or status invalid; ","")&amp;IF(COUNTIFS($A$6:$A$505,A218,$B$6:$B$505,B218,$E$6:$E$505,E218)&gt;1,"duplicate number for same entity; ",""))))</x:f>
      </x:c>
    </x:row>
    <x:row r="219">
      <x:c r="A219" s="251"/>
      <x:c r="B219" s="252"/>
      <x:c r="C219" s="253"/>
      <x:c r="D219" s="253"/>
      <x:c r="E219" s="252"/>
      <x:c r="F219" s="252"/>
      <x:c r="G219" s="253"/>
      <x:c r="H219" s="253"/>
      <x:c r="I219" s="253"/>
      <x:c r="J219" s="253"/>
      <x:c r="K219" s="253"/>
      <x:c r="L219" s="253"/>
      <x:c r="M219" s="253" t="str">
        <x:f>IF(AND(A219="",B219="",E219=""),"",IF(OR(A219="",B219="",C219="",D219="",E219="",J219="",AND(A219="client",COUNTIF('الزبائن'!$A$6:$A$505,B219)=0),AND(A219="proposed_name",COUNTIF('أسماء مقترحة'!$A$6:$A$505,B219)=0),AND(D219="mobile",J219&lt;&gt;"invalid",NOT(OR(AND(LEN(E219&amp;"")=10,LEFT(E219&amp;"",2)="09"),AND(LEN(E219&amp;"")=9,LEFT(E219&amp;"",1)="9")))),COUNTIFS($A$6:$A$505,A219,$B$6:$B$505,B219,$E$6:$E$505,E219)&gt;1),"REVIEW","READY"))</x:f>
      </x:c>
      <x:c r="N219" s="255" t="str">
        <x:f>IF(M219="","",IF(M219="READY","",TRIM(IF(A219="","missing entity_type; ","")&amp;IF(B219="","missing entity_key; ","")&amp;IF(C219="","missing contact_order; ","")&amp;IF(D219="","missing contact_type; ","")&amp;IF(E219="","missing number; ","")&amp;IF(J219="","missing status; ","")&amp;IF(AND(A219="client",COUNTIF('الزبائن'!$A$6:$A$505,B219)=0),"client key not found; ","")&amp;IF(AND(A219="proposed_name",COUNTIF('أسماء مقترحة'!$A$6:$A$505,B219)=0),"proposed_name key not found; ","")&amp;IF(AND(D219="mobile",J219&lt;&gt;"invalid",NOT(OR(AND(LEN(E219&amp;"")=10,LEFT(E219&amp;"",2)="09"),AND(LEN(E219&amp;"")=9,LEFT(E219&amp;"",1)="9")))),"mobile must be 09XXXXXXXX or status invalid; ","")&amp;IF(COUNTIFS($A$6:$A$505,A219,$B$6:$B$505,B219,$E$6:$E$505,E219)&gt;1,"duplicate number for same entity; ",""))))</x:f>
      </x:c>
    </x:row>
    <x:row r="220">
      <x:c r="A220" s="251"/>
      <x:c r="B220" s="252"/>
      <x:c r="C220" s="253"/>
      <x:c r="D220" s="253"/>
      <x:c r="E220" s="252"/>
      <x:c r="F220" s="252"/>
      <x:c r="G220" s="253"/>
      <x:c r="H220" s="253"/>
      <x:c r="I220" s="253"/>
      <x:c r="J220" s="253"/>
      <x:c r="K220" s="253"/>
      <x:c r="L220" s="253"/>
      <x:c r="M220" s="253" t="str">
        <x:f>IF(AND(A220="",B220="",E220=""),"",IF(OR(A220="",B220="",C220="",D220="",E220="",J220="",AND(A220="client",COUNTIF('الزبائن'!$A$6:$A$505,B220)=0),AND(A220="proposed_name",COUNTIF('أسماء مقترحة'!$A$6:$A$505,B220)=0),AND(D220="mobile",J220&lt;&gt;"invalid",NOT(OR(AND(LEN(E220&amp;"")=10,LEFT(E220&amp;"",2)="09"),AND(LEN(E220&amp;"")=9,LEFT(E220&amp;"",1)="9")))),COUNTIFS($A$6:$A$505,A220,$B$6:$B$505,B220,$E$6:$E$505,E220)&gt;1),"REVIEW","READY"))</x:f>
      </x:c>
      <x:c r="N220" s="255" t="str">
        <x:f>IF(M220="","",IF(M220="READY","",TRIM(IF(A220="","missing entity_type; ","")&amp;IF(B220="","missing entity_key; ","")&amp;IF(C220="","missing contact_order; ","")&amp;IF(D220="","missing contact_type; ","")&amp;IF(E220="","missing number; ","")&amp;IF(J220="","missing status; ","")&amp;IF(AND(A220="client",COUNTIF('الزبائن'!$A$6:$A$505,B220)=0),"client key not found; ","")&amp;IF(AND(A220="proposed_name",COUNTIF('أسماء مقترحة'!$A$6:$A$505,B220)=0),"proposed_name key not found; ","")&amp;IF(AND(D220="mobile",J220&lt;&gt;"invalid",NOT(OR(AND(LEN(E220&amp;"")=10,LEFT(E220&amp;"",2)="09"),AND(LEN(E220&amp;"")=9,LEFT(E220&amp;"",1)="9")))),"mobile must be 09XXXXXXXX or status invalid; ","")&amp;IF(COUNTIFS($A$6:$A$505,A220,$B$6:$B$505,B220,$E$6:$E$505,E220)&gt;1,"duplicate number for same entity; ",""))))</x:f>
      </x:c>
    </x:row>
    <x:row r="221">
      <x:c r="A221" s="251"/>
      <x:c r="B221" s="252"/>
      <x:c r="C221" s="253"/>
      <x:c r="D221" s="253"/>
      <x:c r="E221" s="252"/>
      <x:c r="F221" s="252"/>
      <x:c r="G221" s="253"/>
      <x:c r="H221" s="253"/>
      <x:c r="I221" s="253"/>
      <x:c r="J221" s="253"/>
      <x:c r="K221" s="253"/>
      <x:c r="L221" s="253"/>
      <x:c r="M221" s="253" t="str">
        <x:f>IF(AND(A221="",B221="",E221=""),"",IF(OR(A221="",B221="",C221="",D221="",E221="",J221="",AND(A221="client",COUNTIF('الزبائن'!$A$6:$A$505,B221)=0),AND(A221="proposed_name",COUNTIF('أسماء مقترحة'!$A$6:$A$505,B221)=0),AND(D221="mobile",J221&lt;&gt;"invalid",NOT(OR(AND(LEN(E221&amp;"")=10,LEFT(E221&amp;"",2)="09"),AND(LEN(E221&amp;"")=9,LEFT(E221&amp;"",1)="9")))),COUNTIFS($A$6:$A$505,A221,$B$6:$B$505,B221,$E$6:$E$505,E221)&gt;1),"REVIEW","READY"))</x:f>
      </x:c>
      <x:c r="N221" s="255" t="str">
        <x:f>IF(M221="","",IF(M221="READY","",TRIM(IF(A221="","missing entity_type; ","")&amp;IF(B221="","missing entity_key; ","")&amp;IF(C221="","missing contact_order; ","")&amp;IF(D221="","missing contact_type; ","")&amp;IF(E221="","missing number; ","")&amp;IF(J221="","missing status; ","")&amp;IF(AND(A221="client",COUNTIF('الزبائن'!$A$6:$A$505,B221)=0),"client key not found; ","")&amp;IF(AND(A221="proposed_name",COUNTIF('أسماء مقترحة'!$A$6:$A$505,B221)=0),"proposed_name key not found; ","")&amp;IF(AND(D221="mobile",J221&lt;&gt;"invalid",NOT(OR(AND(LEN(E221&amp;"")=10,LEFT(E221&amp;"",2)="09"),AND(LEN(E221&amp;"")=9,LEFT(E221&amp;"",1)="9")))),"mobile must be 09XXXXXXXX or status invalid; ","")&amp;IF(COUNTIFS($A$6:$A$505,A221,$B$6:$B$505,B221,$E$6:$E$505,E221)&gt;1,"duplicate number for same entity; ",""))))</x:f>
      </x:c>
    </x:row>
    <x:row r="222">
      <x:c r="A222" s="251"/>
      <x:c r="B222" s="252"/>
      <x:c r="C222" s="253"/>
      <x:c r="D222" s="253"/>
      <x:c r="E222" s="252"/>
      <x:c r="F222" s="252"/>
      <x:c r="G222" s="253"/>
      <x:c r="H222" s="253"/>
      <x:c r="I222" s="253"/>
      <x:c r="J222" s="253"/>
      <x:c r="K222" s="253"/>
      <x:c r="L222" s="253"/>
      <x:c r="M222" s="253" t="str">
        <x:f>IF(AND(A222="",B222="",E222=""),"",IF(OR(A222="",B222="",C222="",D222="",E222="",J222="",AND(A222="client",COUNTIF('الزبائن'!$A$6:$A$505,B222)=0),AND(A222="proposed_name",COUNTIF('أسماء مقترحة'!$A$6:$A$505,B222)=0),AND(D222="mobile",J222&lt;&gt;"invalid",NOT(OR(AND(LEN(E222&amp;"")=10,LEFT(E222&amp;"",2)="09"),AND(LEN(E222&amp;"")=9,LEFT(E222&amp;"",1)="9")))),COUNTIFS($A$6:$A$505,A222,$B$6:$B$505,B222,$E$6:$E$505,E222)&gt;1),"REVIEW","READY"))</x:f>
      </x:c>
      <x:c r="N222" s="255" t="str">
        <x:f>IF(M222="","",IF(M222="READY","",TRIM(IF(A222="","missing entity_type; ","")&amp;IF(B222="","missing entity_key; ","")&amp;IF(C222="","missing contact_order; ","")&amp;IF(D222="","missing contact_type; ","")&amp;IF(E222="","missing number; ","")&amp;IF(J222="","missing status; ","")&amp;IF(AND(A222="client",COUNTIF('الزبائن'!$A$6:$A$505,B222)=0),"client key not found; ","")&amp;IF(AND(A222="proposed_name",COUNTIF('أسماء مقترحة'!$A$6:$A$505,B222)=0),"proposed_name key not found; ","")&amp;IF(AND(D222="mobile",J222&lt;&gt;"invalid",NOT(OR(AND(LEN(E222&amp;"")=10,LEFT(E222&amp;"",2)="09"),AND(LEN(E222&amp;"")=9,LEFT(E222&amp;"",1)="9")))),"mobile must be 09XXXXXXXX or status invalid; ","")&amp;IF(COUNTIFS($A$6:$A$505,A222,$B$6:$B$505,B222,$E$6:$E$505,E222)&gt;1,"duplicate number for same entity; ",""))))</x:f>
      </x:c>
    </x:row>
    <x:row r="223">
      <x:c r="A223" s="251"/>
      <x:c r="B223" s="252"/>
      <x:c r="C223" s="253"/>
      <x:c r="D223" s="253"/>
      <x:c r="E223" s="252"/>
      <x:c r="F223" s="252"/>
      <x:c r="G223" s="253"/>
      <x:c r="H223" s="253"/>
      <x:c r="I223" s="253"/>
      <x:c r="J223" s="253"/>
      <x:c r="K223" s="253"/>
      <x:c r="L223" s="253"/>
      <x:c r="M223" s="253" t="str">
        <x:f>IF(AND(A223="",B223="",E223=""),"",IF(OR(A223="",B223="",C223="",D223="",E223="",J223="",AND(A223="client",COUNTIF('الزبائن'!$A$6:$A$505,B223)=0),AND(A223="proposed_name",COUNTIF('أسماء مقترحة'!$A$6:$A$505,B223)=0),AND(D223="mobile",J223&lt;&gt;"invalid",NOT(OR(AND(LEN(E223&amp;"")=10,LEFT(E223&amp;"",2)="09"),AND(LEN(E223&amp;"")=9,LEFT(E223&amp;"",1)="9")))),COUNTIFS($A$6:$A$505,A223,$B$6:$B$505,B223,$E$6:$E$505,E223)&gt;1),"REVIEW","READY"))</x:f>
      </x:c>
      <x:c r="N223" s="255" t="str">
        <x:f>IF(M223="","",IF(M223="READY","",TRIM(IF(A223="","missing entity_type; ","")&amp;IF(B223="","missing entity_key; ","")&amp;IF(C223="","missing contact_order; ","")&amp;IF(D223="","missing contact_type; ","")&amp;IF(E223="","missing number; ","")&amp;IF(J223="","missing status; ","")&amp;IF(AND(A223="client",COUNTIF('الزبائن'!$A$6:$A$505,B223)=0),"client key not found; ","")&amp;IF(AND(A223="proposed_name",COUNTIF('أسماء مقترحة'!$A$6:$A$505,B223)=0),"proposed_name key not found; ","")&amp;IF(AND(D223="mobile",J223&lt;&gt;"invalid",NOT(OR(AND(LEN(E223&amp;"")=10,LEFT(E223&amp;"",2)="09"),AND(LEN(E223&amp;"")=9,LEFT(E223&amp;"",1)="9")))),"mobile must be 09XXXXXXXX or status invalid; ","")&amp;IF(COUNTIFS($A$6:$A$505,A223,$B$6:$B$505,B223,$E$6:$E$505,E223)&gt;1,"duplicate number for same entity; ",""))))</x:f>
      </x:c>
    </x:row>
    <x:row r="224">
      <x:c r="A224" s="251"/>
      <x:c r="B224" s="252"/>
      <x:c r="C224" s="253"/>
      <x:c r="D224" s="253"/>
      <x:c r="E224" s="252"/>
      <x:c r="F224" s="252"/>
      <x:c r="G224" s="253"/>
      <x:c r="H224" s="253"/>
      <x:c r="I224" s="253"/>
      <x:c r="J224" s="253"/>
      <x:c r="K224" s="253"/>
      <x:c r="L224" s="253"/>
      <x:c r="M224" s="253" t="str">
        <x:f>IF(AND(A224="",B224="",E224=""),"",IF(OR(A224="",B224="",C224="",D224="",E224="",J224="",AND(A224="client",COUNTIF('الزبائن'!$A$6:$A$505,B224)=0),AND(A224="proposed_name",COUNTIF('أسماء مقترحة'!$A$6:$A$505,B224)=0),AND(D224="mobile",J224&lt;&gt;"invalid",NOT(OR(AND(LEN(E224&amp;"")=10,LEFT(E224&amp;"",2)="09"),AND(LEN(E224&amp;"")=9,LEFT(E224&amp;"",1)="9")))),COUNTIFS($A$6:$A$505,A224,$B$6:$B$505,B224,$E$6:$E$505,E224)&gt;1),"REVIEW","READY"))</x:f>
      </x:c>
      <x:c r="N224" s="255" t="str">
        <x:f>IF(M224="","",IF(M224="READY","",TRIM(IF(A224="","missing entity_type; ","")&amp;IF(B224="","missing entity_key; ","")&amp;IF(C224="","missing contact_order; ","")&amp;IF(D224="","missing contact_type; ","")&amp;IF(E224="","missing number; ","")&amp;IF(J224="","missing status; ","")&amp;IF(AND(A224="client",COUNTIF('الزبائن'!$A$6:$A$505,B224)=0),"client key not found; ","")&amp;IF(AND(A224="proposed_name",COUNTIF('أسماء مقترحة'!$A$6:$A$505,B224)=0),"proposed_name key not found; ","")&amp;IF(AND(D224="mobile",J224&lt;&gt;"invalid",NOT(OR(AND(LEN(E224&amp;"")=10,LEFT(E224&amp;"",2)="09"),AND(LEN(E224&amp;"")=9,LEFT(E224&amp;"",1)="9")))),"mobile must be 09XXXXXXXX or status invalid; ","")&amp;IF(COUNTIFS($A$6:$A$505,A224,$B$6:$B$505,B224,$E$6:$E$505,E224)&gt;1,"duplicate number for same entity; ",""))))</x:f>
      </x:c>
    </x:row>
    <x:row r="225">
      <x:c r="A225" s="251"/>
      <x:c r="B225" s="252"/>
      <x:c r="C225" s="253"/>
      <x:c r="D225" s="253"/>
      <x:c r="E225" s="252"/>
      <x:c r="F225" s="252"/>
      <x:c r="G225" s="253"/>
      <x:c r="H225" s="253"/>
      <x:c r="I225" s="253"/>
      <x:c r="J225" s="253"/>
      <x:c r="K225" s="253"/>
      <x:c r="L225" s="253"/>
      <x:c r="M225" s="253" t="str">
        <x:f>IF(AND(A225="",B225="",E225=""),"",IF(OR(A225="",B225="",C225="",D225="",E225="",J225="",AND(A225="client",COUNTIF('الزبائن'!$A$6:$A$505,B225)=0),AND(A225="proposed_name",COUNTIF('أسماء مقترحة'!$A$6:$A$505,B225)=0),AND(D225="mobile",J225&lt;&gt;"invalid",NOT(OR(AND(LEN(E225&amp;"")=10,LEFT(E225&amp;"",2)="09"),AND(LEN(E225&amp;"")=9,LEFT(E225&amp;"",1)="9")))),COUNTIFS($A$6:$A$505,A225,$B$6:$B$505,B225,$E$6:$E$505,E225)&gt;1),"REVIEW","READY"))</x:f>
      </x:c>
      <x:c r="N225" s="255" t="str">
        <x:f>IF(M225="","",IF(M225="READY","",TRIM(IF(A225="","missing entity_type; ","")&amp;IF(B225="","missing entity_key; ","")&amp;IF(C225="","missing contact_order; ","")&amp;IF(D225="","missing contact_type; ","")&amp;IF(E225="","missing number; ","")&amp;IF(J225="","missing status; ","")&amp;IF(AND(A225="client",COUNTIF('الزبائن'!$A$6:$A$505,B225)=0),"client key not found; ","")&amp;IF(AND(A225="proposed_name",COUNTIF('أسماء مقترحة'!$A$6:$A$505,B225)=0),"proposed_name key not found; ","")&amp;IF(AND(D225="mobile",J225&lt;&gt;"invalid",NOT(OR(AND(LEN(E225&amp;"")=10,LEFT(E225&amp;"",2)="09"),AND(LEN(E225&amp;"")=9,LEFT(E225&amp;"",1)="9")))),"mobile must be 09XXXXXXXX or status invalid; ","")&amp;IF(COUNTIFS($A$6:$A$505,A225,$B$6:$B$505,B225,$E$6:$E$505,E225)&gt;1,"duplicate number for same entity; ",""))))</x:f>
      </x:c>
    </x:row>
    <x:row r="226">
      <x:c r="A226" s="251"/>
      <x:c r="B226" s="252"/>
      <x:c r="C226" s="253"/>
      <x:c r="D226" s="253"/>
      <x:c r="E226" s="252"/>
      <x:c r="F226" s="252"/>
      <x:c r="G226" s="253"/>
      <x:c r="H226" s="253"/>
      <x:c r="I226" s="253"/>
      <x:c r="J226" s="253"/>
      <x:c r="K226" s="253"/>
      <x:c r="L226" s="253"/>
      <x:c r="M226" s="253" t="str">
        <x:f>IF(AND(A226="",B226="",E226=""),"",IF(OR(A226="",B226="",C226="",D226="",E226="",J226="",AND(A226="client",COUNTIF('الزبائن'!$A$6:$A$505,B226)=0),AND(A226="proposed_name",COUNTIF('أسماء مقترحة'!$A$6:$A$505,B226)=0),AND(D226="mobile",J226&lt;&gt;"invalid",NOT(OR(AND(LEN(E226&amp;"")=10,LEFT(E226&amp;"",2)="09"),AND(LEN(E226&amp;"")=9,LEFT(E226&amp;"",1)="9")))),COUNTIFS($A$6:$A$505,A226,$B$6:$B$505,B226,$E$6:$E$505,E226)&gt;1),"REVIEW","READY"))</x:f>
      </x:c>
      <x:c r="N226" s="255" t="str">
        <x:f>IF(M226="","",IF(M226="READY","",TRIM(IF(A226="","missing entity_type; ","")&amp;IF(B226="","missing entity_key; ","")&amp;IF(C226="","missing contact_order; ","")&amp;IF(D226="","missing contact_type; ","")&amp;IF(E226="","missing number; ","")&amp;IF(J226="","missing status; ","")&amp;IF(AND(A226="client",COUNTIF('الزبائن'!$A$6:$A$505,B226)=0),"client key not found; ","")&amp;IF(AND(A226="proposed_name",COUNTIF('أسماء مقترحة'!$A$6:$A$505,B226)=0),"proposed_name key not found; ","")&amp;IF(AND(D226="mobile",J226&lt;&gt;"invalid",NOT(OR(AND(LEN(E226&amp;"")=10,LEFT(E226&amp;"",2)="09"),AND(LEN(E226&amp;"")=9,LEFT(E226&amp;"",1)="9")))),"mobile must be 09XXXXXXXX or status invalid; ","")&amp;IF(COUNTIFS($A$6:$A$505,A226,$B$6:$B$505,B226,$E$6:$E$505,E226)&gt;1,"duplicate number for same entity; ",""))))</x:f>
      </x:c>
    </x:row>
    <x:row r="227">
      <x:c r="A227" s="251"/>
      <x:c r="B227" s="252"/>
      <x:c r="C227" s="253"/>
      <x:c r="D227" s="253"/>
      <x:c r="E227" s="252"/>
      <x:c r="F227" s="252"/>
      <x:c r="G227" s="253"/>
      <x:c r="H227" s="253"/>
      <x:c r="I227" s="253"/>
      <x:c r="J227" s="253"/>
      <x:c r="K227" s="253"/>
      <x:c r="L227" s="253"/>
      <x:c r="M227" s="253" t="str">
        <x:f>IF(AND(A227="",B227="",E227=""),"",IF(OR(A227="",B227="",C227="",D227="",E227="",J227="",AND(A227="client",COUNTIF('الزبائن'!$A$6:$A$505,B227)=0),AND(A227="proposed_name",COUNTIF('أسماء مقترحة'!$A$6:$A$505,B227)=0),AND(D227="mobile",J227&lt;&gt;"invalid",NOT(OR(AND(LEN(E227&amp;"")=10,LEFT(E227&amp;"",2)="09"),AND(LEN(E227&amp;"")=9,LEFT(E227&amp;"",1)="9")))),COUNTIFS($A$6:$A$505,A227,$B$6:$B$505,B227,$E$6:$E$505,E227)&gt;1),"REVIEW","READY"))</x:f>
      </x:c>
      <x:c r="N227" s="255" t="str">
        <x:f>IF(M227="","",IF(M227="READY","",TRIM(IF(A227="","missing entity_type; ","")&amp;IF(B227="","missing entity_key; ","")&amp;IF(C227="","missing contact_order; ","")&amp;IF(D227="","missing contact_type; ","")&amp;IF(E227="","missing number; ","")&amp;IF(J227="","missing status; ","")&amp;IF(AND(A227="client",COUNTIF('الزبائن'!$A$6:$A$505,B227)=0),"client key not found; ","")&amp;IF(AND(A227="proposed_name",COUNTIF('أسماء مقترحة'!$A$6:$A$505,B227)=0),"proposed_name key not found; ","")&amp;IF(AND(D227="mobile",J227&lt;&gt;"invalid",NOT(OR(AND(LEN(E227&amp;"")=10,LEFT(E227&amp;"",2)="09"),AND(LEN(E227&amp;"")=9,LEFT(E227&amp;"",1)="9")))),"mobile must be 09XXXXXXXX or status invalid; ","")&amp;IF(COUNTIFS($A$6:$A$505,A227,$B$6:$B$505,B227,$E$6:$E$505,E227)&gt;1,"duplicate number for same entity; ",""))))</x:f>
      </x:c>
    </x:row>
    <x:row r="228">
      <x:c r="A228" s="251"/>
      <x:c r="B228" s="252"/>
      <x:c r="C228" s="253"/>
      <x:c r="D228" s="253"/>
      <x:c r="E228" s="252"/>
      <x:c r="F228" s="252"/>
      <x:c r="G228" s="253"/>
      <x:c r="H228" s="253"/>
      <x:c r="I228" s="253"/>
      <x:c r="J228" s="253"/>
      <x:c r="K228" s="253"/>
      <x:c r="L228" s="253"/>
      <x:c r="M228" s="253" t="str">
        <x:f>IF(AND(A228="",B228="",E228=""),"",IF(OR(A228="",B228="",C228="",D228="",E228="",J228="",AND(A228="client",COUNTIF('الزبائن'!$A$6:$A$505,B228)=0),AND(A228="proposed_name",COUNTIF('أسماء مقترحة'!$A$6:$A$505,B228)=0),AND(D228="mobile",J228&lt;&gt;"invalid",NOT(OR(AND(LEN(E228&amp;"")=10,LEFT(E228&amp;"",2)="09"),AND(LEN(E228&amp;"")=9,LEFT(E228&amp;"",1)="9")))),COUNTIFS($A$6:$A$505,A228,$B$6:$B$505,B228,$E$6:$E$505,E228)&gt;1),"REVIEW","READY"))</x:f>
      </x:c>
      <x:c r="N228" s="255" t="str">
        <x:f>IF(M228="","",IF(M228="READY","",TRIM(IF(A228="","missing entity_type; ","")&amp;IF(B228="","missing entity_key; ","")&amp;IF(C228="","missing contact_order; ","")&amp;IF(D228="","missing contact_type; ","")&amp;IF(E228="","missing number; ","")&amp;IF(J228="","missing status; ","")&amp;IF(AND(A228="client",COUNTIF('الزبائن'!$A$6:$A$505,B228)=0),"client key not found; ","")&amp;IF(AND(A228="proposed_name",COUNTIF('أسماء مقترحة'!$A$6:$A$505,B228)=0),"proposed_name key not found; ","")&amp;IF(AND(D228="mobile",J228&lt;&gt;"invalid",NOT(OR(AND(LEN(E228&amp;"")=10,LEFT(E228&amp;"",2)="09"),AND(LEN(E228&amp;"")=9,LEFT(E228&amp;"",1)="9")))),"mobile must be 09XXXXXXXX or status invalid; ","")&amp;IF(COUNTIFS($A$6:$A$505,A228,$B$6:$B$505,B228,$E$6:$E$505,E228)&gt;1,"duplicate number for same entity; ",""))))</x:f>
      </x:c>
    </x:row>
    <x:row r="229">
      <x:c r="A229" s="251"/>
      <x:c r="B229" s="252"/>
      <x:c r="C229" s="253"/>
      <x:c r="D229" s="253"/>
      <x:c r="E229" s="252"/>
      <x:c r="F229" s="252"/>
      <x:c r="G229" s="253"/>
      <x:c r="H229" s="253"/>
      <x:c r="I229" s="253"/>
      <x:c r="J229" s="253"/>
      <x:c r="K229" s="253"/>
      <x:c r="L229" s="253"/>
      <x:c r="M229" s="253" t="str">
        <x:f>IF(AND(A229="",B229="",E229=""),"",IF(OR(A229="",B229="",C229="",D229="",E229="",J229="",AND(A229="client",COUNTIF('الزبائن'!$A$6:$A$505,B229)=0),AND(A229="proposed_name",COUNTIF('أسماء مقترحة'!$A$6:$A$505,B229)=0),AND(D229="mobile",J229&lt;&gt;"invalid",NOT(OR(AND(LEN(E229&amp;"")=10,LEFT(E229&amp;"",2)="09"),AND(LEN(E229&amp;"")=9,LEFT(E229&amp;"",1)="9")))),COUNTIFS($A$6:$A$505,A229,$B$6:$B$505,B229,$E$6:$E$505,E229)&gt;1),"REVIEW","READY"))</x:f>
      </x:c>
      <x:c r="N229" s="255" t="str">
        <x:f>IF(M229="","",IF(M229="READY","",TRIM(IF(A229="","missing entity_type; ","")&amp;IF(B229="","missing entity_key; ","")&amp;IF(C229="","missing contact_order; ","")&amp;IF(D229="","missing contact_type; ","")&amp;IF(E229="","missing number; ","")&amp;IF(J229="","missing status; ","")&amp;IF(AND(A229="client",COUNTIF('الزبائن'!$A$6:$A$505,B229)=0),"client key not found; ","")&amp;IF(AND(A229="proposed_name",COUNTIF('أسماء مقترحة'!$A$6:$A$505,B229)=0),"proposed_name key not found; ","")&amp;IF(AND(D229="mobile",J229&lt;&gt;"invalid",NOT(OR(AND(LEN(E229&amp;"")=10,LEFT(E229&amp;"",2)="09"),AND(LEN(E229&amp;"")=9,LEFT(E229&amp;"",1)="9")))),"mobile must be 09XXXXXXXX or status invalid; ","")&amp;IF(COUNTIFS($A$6:$A$505,A229,$B$6:$B$505,B229,$E$6:$E$505,E229)&gt;1,"duplicate number for same entity; ",""))))</x:f>
      </x:c>
    </x:row>
    <x:row r="230">
      <x:c r="A230" s="251"/>
      <x:c r="B230" s="252"/>
      <x:c r="C230" s="253"/>
      <x:c r="D230" s="253"/>
      <x:c r="E230" s="252"/>
      <x:c r="F230" s="252"/>
      <x:c r="G230" s="253"/>
      <x:c r="H230" s="253"/>
      <x:c r="I230" s="253"/>
      <x:c r="J230" s="253"/>
      <x:c r="K230" s="253"/>
      <x:c r="L230" s="253"/>
      <x:c r="M230" s="253" t="str">
        <x:f>IF(AND(A230="",B230="",E230=""),"",IF(OR(A230="",B230="",C230="",D230="",E230="",J230="",AND(A230="client",COUNTIF('الزبائن'!$A$6:$A$505,B230)=0),AND(A230="proposed_name",COUNTIF('أسماء مقترحة'!$A$6:$A$505,B230)=0),AND(D230="mobile",J230&lt;&gt;"invalid",NOT(OR(AND(LEN(E230&amp;"")=10,LEFT(E230&amp;"",2)="09"),AND(LEN(E230&amp;"")=9,LEFT(E230&amp;"",1)="9")))),COUNTIFS($A$6:$A$505,A230,$B$6:$B$505,B230,$E$6:$E$505,E230)&gt;1),"REVIEW","READY"))</x:f>
      </x:c>
      <x:c r="N230" s="255" t="str">
        <x:f>IF(M230="","",IF(M230="READY","",TRIM(IF(A230="","missing entity_type; ","")&amp;IF(B230="","missing entity_key; ","")&amp;IF(C230="","missing contact_order; ","")&amp;IF(D230="","missing contact_type; ","")&amp;IF(E230="","missing number; ","")&amp;IF(J230="","missing status; ","")&amp;IF(AND(A230="client",COUNTIF('الزبائن'!$A$6:$A$505,B230)=0),"client key not found; ","")&amp;IF(AND(A230="proposed_name",COUNTIF('أسماء مقترحة'!$A$6:$A$505,B230)=0),"proposed_name key not found; ","")&amp;IF(AND(D230="mobile",J230&lt;&gt;"invalid",NOT(OR(AND(LEN(E230&amp;"")=10,LEFT(E230&amp;"",2)="09"),AND(LEN(E230&amp;"")=9,LEFT(E230&amp;"",1)="9")))),"mobile must be 09XXXXXXXX or status invalid; ","")&amp;IF(COUNTIFS($A$6:$A$505,A230,$B$6:$B$505,B230,$E$6:$E$505,E230)&gt;1,"duplicate number for same entity; ",""))))</x:f>
      </x:c>
    </x:row>
    <x:row r="231">
      <x:c r="A231" s="251"/>
      <x:c r="B231" s="252"/>
      <x:c r="C231" s="253"/>
      <x:c r="D231" s="253"/>
      <x:c r="E231" s="252"/>
      <x:c r="F231" s="252"/>
      <x:c r="G231" s="253"/>
      <x:c r="H231" s="253"/>
      <x:c r="I231" s="253"/>
      <x:c r="J231" s="253"/>
      <x:c r="K231" s="253"/>
      <x:c r="L231" s="253"/>
      <x:c r="M231" s="253" t="str">
        <x:f>IF(AND(A231="",B231="",E231=""),"",IF(OR(A231="",B231="",C231="",D231="",E231="",J231="",AND(A231="client",COUNTIF('الزبائن'!$A$6:$A$505,B231)=0),AND(A231="proposed_name",COUNTIF('أسماء مقترحة'!$A$6:$A$505,B231)=0),AND(D231="mobile",J231&lt;&gt;"invalid",NOT(OR(AND(LEN(E231&amp;"")=10,LEFT(E231&amp;"",2)="09"),AND(LEN(E231&amp;"")=9,LEFT(E231&amp;"",1)="9")))),COUNTIFS($A$6:$A$505,A231,$B$6:$B$505,B231,$E$6:$E$505,E231)&gt;1),"REVIEW","READY"))</x:f>
      </x:c>
      <x:c r="N231" s="255" t="str">
        <x:f>IF(M231="","",IF(M231="READY","",TRIM(IF(A231="","missing entity_type; ","")&amp;IF(B231="","missing entity_key; ","")&amp;IF(C231="","missing contact_order; ","")&amp;IF(D231="","missing contact_type; ","")&amp;IF(E231="","missing number; ","")&amp;IF(J231="","missing status; ","")&amp;IF(AND(A231="client",COUNTIF('الزبائن'!$A$6:$A$505,B231)=0),"client key not found; ","")&amp;IF(AND(A231="proposed_name",COUNTIF('أسماء مقترحة'!$A$6:$A$505,B231)=0),"proposed_name key not found; ","")&amp;IF(AND(D231="mobile",J231&lt;&gt;"invalid",NOT(OR(AND(LEN(E231&amp;"")=10,LEFT(E231&amp;"",2)="09"),AND(LEN(E231&amp;"")=9,LEFT(E231&amp;"",1)="9")))),"mobile must be 09XXXXXXXX or status invalid; ","")&amp;IF(COUNTIFS($A$6:$A$505,A231,$B$6:$B$505,B231,$E$6:$E$505,E231)&gt;1,"duplicate number for same entity; ",""))))</x:f>
      </x:c>
    </x:row>
    <x:row r="232">
      <x:c r="A232" s="251"/>
      <x:c r="B232" s="252"/>
      <x:c r="C232" s="253"/>
      <x:c r="D232" s="253"/>
      <x:c r="E232" s="252"/>
      <x:c r="F232" s="252"/>
      <x:c r="G232" s="253"/>
      <x:c r="H232" s="253"/>
      <x:c r="I232" s="253"/>
      <x:c r="J232" s="253"/>
      <x:c r="K232" s="253"/>
      <x:c r="L232" s="253"/>
      <x:c r="M232" s="253" t="str">
        <x:f>IF(AND(A232="",B232="",E232=""),"",IF(OR(A232="",B232="",C232="",D232="",E232="",J232="",AND(A232="client",COUNTIF('الزبائن'!$A$6:$A$505,B232)=0),AND(A232="proposed_name",COUNTIF('أسماء مقترحة'!$A$6:$A$505,B232)=0),AND(D232="mobile",J232&lt;&gt;"invalid",NOT(OR(AND(LEN(E232&amp;"")=10,LEFT(E232&amp;"",2)="09"),AND(LEN(E232&amp;"")=9,LEFT(E232&amp;"",1)="9")))),COUNTIFS($A$6:$A$505,A232,$B$6:$B$505,B232,$E$6:$E$505,E232)&gt;1),"REVIEW","READY"))</x:f>
      </x:c>
      <x:c r="N232" s="255" t="str">
        <x:f>IF(M232="","",IF(M232="READY","",TRIM(IF(A232="","missing entity_type; ","")&amp;IF(B232="","missing entity_key; ","")&amp;IF(C232="","missing contact_order; ","")&amp;IF(D232="","missing contact_type; ","")&amp;IF(E232="","missing number; ","")&amp;IF(J232="","missing status; ","")&amp;IF(AND(A232="client",COUNTIF('الزبائن'!$A$6:$A$505,B232)=0),"client key not found; ","")&amp;IF(AND(A232="proposed_name",COUNTIF('أسماء مقترحة'!$A$6:$A$505,B232)=0),"proposed_name key not found; ","")&amp;IF(AND(D232="mobile",J232&lt;&gt;"invalid",NOT(OR(AND(LEN(E232&amp;"")=10,LEFT(E232&amp;"",2)="09"),AND(LEN(E232&amp;"")=9,LEFT(E232&amp;"",1)="9")))),"mobile must be 09XXXXXXXX or status invalid; ","")&amp;IF(COUNTIFS($A$6:$A$505,A232,$B$6:$B$505,B232,$E$6:$E$505,E232)&gt;1,"duplicate number for same entity; ",""))))</x:f>
      </x:c>
    </x:row>
    <x:row r="233">
      <x:c r="A233" s="251"/>
      <x:c r="B233" s="252"/>
      <x:c r="C233" s="253"/>
      <x:c r="D233" s="253"/>
      <x:c r="E233" s="252"/>
      <x:c r="F233" s="252"/>
      <x:c r="G233" s="253"/>
      <x:c r="H233" s="253"/>
      <x:c r="I233" s="253"/>
      <x:c r="J233" s="253"/>
      <x:c r="K233" s="253"/>
      <x:c r="L233" s="253"/>
      <x:c r="M233" s="253" t="str">
        <x:f>IF(AND(A233="",B233="",E233=""),"",IF(OR(A233="",B233="",C233="",D233="",E233="",J233="",AND(A233="client",COUNTIF('الزبائن'!$A$6:$A$505,B233)=0),AND(A233="proposed_name",COUNTIF('أسماء مقترحة'!$A$6:$A$505,B233)=0),AND(D233="mobile",J233&lt;&gt;"invalid",NOT(OR(AND(LEN(E233&amp;"")=10,LEFT(E233&amp;"",2)="09"),AND(LEN(E233&amp;"")=9,LEFT(E233&amp;"",1)="9")))),COUNTIFS($A$6:$A$505,A233,$B$6:$B$505,B233,$E$6:$E$505,E233)&gt;1),"REVIEW","READY"))</x:f>
      </x:c>
      <x:c r="N233" s="255" t="str">
        <x:f>IF(M233="","",IF(M233="READY","",TRIM(IF(A233="","missing entity_type; ","")&amp;IF(B233="","missing entity_key; ","")&amp;IF(C233="","missing contact_order; ","")&amp;IF(D233="","missing contact_type; ","")&amp;IF(E233="","missing number; ","")&amp;IF(J233="","missing status; ","")&amp;IF(AND(A233="client",COUNTIF('الزبائن'!$A$6:$A$505,B233)=0),"client key not found; ","")&amp;IF(AND(A233="proposed_name",COUNTIF('أسماء مقترحة'!$A$6:$A$505,B233)=0),"proposed_name key not found; ","")&amp;IF(AND(D233="mobile",J233&lt;&gt;"invalid",NOT(OR(AND(LEN(E233&amp;"")=10,LEFT(E233&amp;"",2)="09"),AND(LEN(E233&amp;"")=9,LEFT(E233&amp;"",1)="9")))),"mobile must be 09XXXXXXXX or status invalid; ","")&amp;IF(COUNTIFS($A$6:$A$505,A233,$B$6:$B$505,B233,$E$6:$E$505,E233)&gt;1,"duplicate number for same entity; ",""))))</x:f>
      </x:c>
    </x:row>
    <x:row r="234">
      <x:c r="A234" s="251"/>
      <x:c r="B234" s="252"/>
      <x:c r="C234" s="253"/>
      <x:c r="D234" s="253"/>
      <x:c r="E234" s="252"/>
      <x:c r="F234" s="252"/>
      <x:c r="G234" s="253"/>
      <x:c r="H234" s="253"/>
      <x:c r="I234" s="253"/>
      <x:c r="J234" s="253"/>
      <x:c r="K234" s="253"/>
      <x:c r="L234" s="253"/>
      <x:c r="M234" s="253" t="str">
        <x:f>IF(AND(A234="",B234="",E234=""),"",IF(OR(A234="",B234="",C234="",D234="",E234="",J234="",AND(A234="client",COUNTIF('الزبائن'!$A$6:$A$505,B234)=0),AND(A234="proposed_name",COUNTIF('أسماء مقترحة'!$A$6:$A$505,B234)=0),AND(D234="mobile",J234&lt;&gt;"invalid",NOT(OR(AND(LEN(E234&amp;"")=10,LEFT(E234&amp;"",2)="09"),AND(LEN(E234&amp;"")=9,LEFT(E234&amp;"",1)="9")))),COUNTIFS($A$6:$A$505,A234,$B$6:$B$505,B234,$E$6:$E$505,E234)&gt;1),"REVIEW","READY"))</x:f>
      </x:c>
      <x:c r="N234" s="255" t="str">
        <x:f>IF(M234="","",IF(M234="READY","",TRIM(IF(A234="","missing entity_type; ","")&amp;IF(B234="","missing entity_key; ","")&amp;IF(C234="","missing contact_order; ","")&amp;IF(D234="","missing contact_type; ","")&amp;IF(E234="","missing number; ","")&amp;IF(J234="","missing status; ","")&amp;IF(AND(A234="client",COUNTIF('الزبائن'!$A$6:$A$505,B234)=0),"client key not found; ","")&amp;IF(AND(A234="proposed_name",COUNTIF('أسماء مقترحة'!$A$6:$A$505,B234)=0),"proposed_name key not found; ","")&amp;IF(AND(D234="mobile",J234&lt;&gt;"invalid",NOT(OR(AND(LEN(E234&amp;"")=10,LEFT(E234&amp;"",2)="09"),AND(LEN(E234&amp;"")=9,LEFT(E234&amp;"",1)="9")))),"mobile must be 09XXXXXXXX or status invalid; ","")&amp;IF(COUNTIFS($A$6:$A$505,A234,$B$6:$B$505,B234,$E$6:$E$505,E234)&gt;1,"duplicate number for same entity; ",""))))</x:f>
      </x:c>
    </x:row>
    <x:row r="235">
      <x:c r="A235" s="251"/>
      <x:c r="B235" s="252"/>
      <x:c r="C235" s="253"/>
      <x:c r="D235" s="253"/>
      <x:c r="E235" s="252"/>
      <x:c r="F235" s="252"/>
      <x:c r="G235" s="253"/>
      <x:c r="H235" s="253"/>
      <x:c r="I235" s="253"/>
      <x:c r="J235" s="253"/>
      <x:c r="K235" s="253"/>
      <x:c r="L235" s="253"/>
      <x:c r="M235" s="253" t="str">
        <x:f>IF(AND(A235="",B235="",E235=""),"",IF(OR(A235="",B235="",C235="",D235="",E235="",J235="",AND(A235="client",COUNTIF('الزبائن'!$A$6:$A$505,B235)=0),AND(A235="proposed_name",COUNTIF('أسماء مقترحة'!$A$6:$A$505,B235)=0),AND(D235="mobile",J235&lt;&gt;"invalid",NOT(OR(AND(LEN(E235&amp;"")=10,LEFT(E235&amp;"",2)="09"),AND(LEN(E235&amp;"")=9,LEFT(E235&amp;"",1)="9")))),COUNTIFS($A$6:$A$505,A235,$B$6:$B$505,B235,$E$6:$E$505,E235)&gt;1),"REVIEW","READY"))</x:f>
      </x:c>
      <x:c r="N235" s="255" t="str">
        <x:f>IF(M235="","",IF(M235="READY","",TRIM(IF(A235="","missing entity_type; ","")&amp;IF(B235="","missing entity_key; ","")&amp;IF(C235="","missing contact_order; ","")&amp;IF(D235="","missing contact_type; ","")&amp;IF(E235="","missing number; ","")&amp;IF(J235="","missing status; ","")&amp;IF(AND(A235="client",COUNTIF('الزبائن'!$A$6:$A$505,B235)=0),"client key not found; ","")&amp;IF(AND(A235="proposed_name",COUNTIF('أسماء مقترحة'!$A$6:$A$505,B235)=0),"proposed_name key not found; ","")&amp;IF(AND(D235="mobile",J235&lt;&gt;"invalid",NOT(OR(AND(LEN(E235&amp;"")=10,LEFT(E235&amp;"",2)="09"),AND(LEN(E235&amp;"")=9,LEFT(E235&amp;"",1)="9")))),"mobile must be 09XXXXXXXX or status invalid; ","")&amp;IF(COUNTIFS($A$6:$A$505,A235,$B$6:$B$505,B235,$E$6:$E$505,E235)&gt;1,"duplicate number for same entity; ",""))))</x:f>
      </x:c>
    </x:row>
    <x:row r="236">
      <x:c r="A236" s="251"/>
      <x:c r="B236" s="252"/>
      <x:c r="C236" s="253"/>
      <x:c r="D236" s="253"/>
      <x:c r="E236" s="252"/>
      <x:c r="F236" s="252"/>
      <x:c r="G236" s="253"/>
      <x:c r="H236" s="253"/>
      <x:c r="I236" s="253"/>
      <x:c r="J236" s="253"/>
      <x:c r="K236" s="253"/>
      <x:c r="L236" s="253"/>
      <x:c r="M236" s="253" t="str">
        <x:f>IF(AND(A236="",B236="",E236=""),"",IF(OR(A236="",B236="",C236="",D236="",E236="",J236="",AND(A236="client",COUNTIF('الزبائن'!$A$6:$A$505,B236)=0),AND(A236="proposed_name",COUNTIF('أسماء مقترحة'!$A$6:$A$505,B236)=0),AND(D236="mobile",J236&lt;&gt;"invalid",NOT(OR(AND(LEN(E236&amp;"")=10,LEFT(E236&amp;"",2)="09"),AND(LEN(E236&amp;"")=9,LEFT(E236&amp;"",1)="9")))),COUNTIFS($A$6:$A$505,A236,$B$6:$B$505,B236,$E$6:$E$505,E236)&gt;1),"REVIEW","READY"))</x:f>
      </x:c>
      <x:c r="N236" s="255" t="str">
        <x:f>IF(M236="","",IF(M236="READY","",TRIM(IF(A236="","missing entity_type; ","")&amp;IF(B236="","missing entity_key; ","")&amp;IF(C236="","missing contact_order; ","")&amp;IF(D236="","missing contact_type; ","")&amp;IF(E236="","missing number; ","")&amp;IF(J236="","missing status; ","")&amp;IF(AND(A236="client",COUNTIF('الزبائن'!$A$6:$A$505,B236)=0),"client key not found; ","")&amp;IF(AND(A236="proposed_name",COUNTIF('أسماء مقترحة'!$A$6:$A$505,B236)=0),"proposed_name key not found; ","")&amp;IF(AND(D236="mobile",J236&lt;&gt;"invalid",NOT(OR(AND(LEN(E236&amp;"")=10,LEFT(E236&amp;"",2)="09"),AND(LEN(E236&amp;"")=9,LEFT(E236&amp;"",1)="9")))),"mobile must be 09XXXXXXXX or status invalid; ","")&amp;IF(COUNTIFS($A$6:$A$505,A236,$B$6:$B$505,B236,$E$6:$E$505,E236)&gt;1,"duplicate number for same entity; ",""))))</x:f>
      </x:c>
    </x:row>
    <x:row r="237">
      <x:c r="A237" s="251"/>
      <x:c r="B237" s="252"/>
      <x:c r="C237" s="253"/>
      <x:c r="D237" s="253"/>
      <x:c r="E237" s="252"/>
      <x:c r="F237" s="252"/>
      <x:c r="G237" s="253"/>
      <x:c r="H237" s="253"/>
      <x:c r="I237" s="253"/>
      <x:c r="J237" s="253"/>
      <x:c r="K237" s="253"/>
      <x:c r="L237" s="253"/>
      <x:c r="M237" s="253" t="str">
        <x:f>IF(AND(A237="",B237="",E237=""),"",IF(OR(A237="",B237="",C237="",D237="",E237="",J237="",AND(A237="client",COUNTIF('الزبائن'!$A$6:$A$505,B237)=0),AND(A237="proposed_name",COUNTIF('أسماء مقترحة'!$A$6:$A$505,B237)=0),AND(D237="mobile",J237&lt;&gt;"invalid",NOT(OR(AND(LEN(E237&amp;"")=10,LEFT(E237&amp;"",2)="09"),AND(LEN(E237&amp;"")=9,LEFT(E237&amp;"",1)="9")))),COUNTIFS($A$6:$A$505,A237,$B$6:$B$505,B237,$E$6:$E$505,E237)&gt;1),"REVIEW","READY"))</x:f>
      </x:c>
      <x:c r="N237" s="255" t="str">
        <x:f>IF(M237="","",IF(M237="READY","",TRIM(IF(A237="","missing entity_type; ","")&amp;IF(B237="","missing entity_key; ","")&amp;IF(C237="","missing contact_order; ","")&amp;IF(D237="","missing contact_type; ","")&amp;IF(E237="","missing number; ","")&amp;IF(J237="","missing status; ","")&amp;IF(AND(A237="client",COUNTIF('الزبائن'!$A$6:$A$505,B237)=0),"client key not found; ","")&amp;IF(AND(A237="proposed_name",COUNTIF('أسماء مقترحة'!$A$6:$A$505,B237)=0),"proposed_name key not found; ","")&amp;IF(AND(D237="mobile",J237&lt;&gt;"invalid",NOT(OR(AND(LEN(E237&amp;"")=10,LEFT(E237&amp;"",2)="09"),AND(LEN(E237&amp;"")=9,LEFT(E237&amp;"",1)="9")))),"mobile must be 09XXXXXXXX or status invalid; ","")&amp;IF(COUNTIFS($A$6:$A$505,A237,$B$6:$B$505,B237,$E$6:$E$505,E237)&gt;1,"duplicate number for same entity; ",""))))</x:f>
      </x:c>
    </x:row>
    <x:row r="238">
      <x:c r="A238" s="251"/>
      <x:c r="B238" s="252"/>
      <x:c r="C238" s="253"/>
      <x:c r="D238" s="253"/>
      <x:c r="E238" s="252"/>
      <x:c r="F238" s="252"/>
      <x:c r="G238" s="253"/>
      <x:c r="H238" s="253"/>
      <x:c r="I238" s="253"/>
      <x:c r="J238" s="253"/>
      <x:c r="K238" s="253"/>
      <x:c r="L238" s="253"/>
      <x:c r="M238" s="253" t="str">
        <x:f>IF(AND(A238="",B238="",E238=""),"",IF(OR(A238="",B238="",C238="",D238="",E238="",J238="",AND(A238="client",COUNTIF('الزبائن'!$A$6:$A$505,B238)=0),AND(A238="proposed_name",COUNTIF('أسماء مقترحة'!$A$6:$A$505,B238)=0),AND(D238="mobile",J238&lt;&gt;"invalid",NOT(OR(AND(LEN(E238&amp;"")=10,LEFT(E238&amp;"",2)="09"),AND(LEN(E238&amp;"")=9,LEFT(E238&amp;"",1)="9")))),COUNTIFS($A$6:$A$505,A238,$B$6:$B$505,B238,$E$6:$E$505,E238)&gt;1),"REVIEW","READY"))</x:f>
      </x:c>
      <x:c r="N238" s="255" t="str">
        <x:f>IF(M238="","",IF(M238="READY","",TRIM(IF(A238="","missing entity_type; ","")&amp;IF(B238="","missing entity_key; ","")&amp;IF(C238="","missing contact_order; ","")&amp;IF(D238="","missing contact_type; ","")&amp;IF(E238="","missing number; ","")&amp;IF(J238="","missing status; ","")&amp;IF(AND(A238="client",COUNTIF('الزبائن'!$A$6:$A$505,B238)=0),"client key not found; ","")&amp;IF(AND(A238="proposed_name",COUNTIF('أسماء مقترحة'!$A$6:$A$505,B238)=0),"proposed_name key not found; ","")&amp;IF(AND(D238="mobile",J238&lt;&gt;"invalid",NOT(OR(AND(LEN(E238&amp;"")=10,LEFT(E238&amp;"",2)="09"),AND(LEN(E238&amp;"")=9,LEFT(E238&amp;"",1)="9")))),"mobile must be 09XXXXXXXX or status invalid; ","")&amp;IF(COUNTIFS($A$6:$A$505,A238,$B$6:$B$505,B238,$E$6:$E$505,E238)&gt;1,"duplicate number for same entity; ",""))))</x:f>
      </x:c>
    </x:row>
    <x:row r="239">
      <x:c r="A239" s="251"/>
      <x:c r="B239" s="252"/>
      <x:c r="C239" s="253"/>
      <x:c r="D239" s="253"/>
      <x:c r="E239" s="252"/>
      <x:c r="F239" s="252"/>
      <x:c r="G239" s="253"/>
      <x:c r="H239" s="253"/>
      <x:c r="I239" s="253"/>
      <x:c r="J239" s="253"/>
      <x:c r="K239" s="253"/>
      <x:c r="L239" s="253"/>
      <x:c r="M239" s="253" t="str">
        <x:f>IF(AND(A239="",B239="",E239=""),"",IF(OR(A239="",B239="",C239="",D239="",E239="",J239="",AND(A239="client",COUNTIF('الزبائن'!$A$6:$A$505,B239)=0),AND(A239="proposed_name",COUNTIF('أسماء مقترحة'!$A$6:$A$505,B239)=0),AND(D239="mobile",J239&lt;&gt;"invalid",NOT(OR(AND(LEN(E239&amp;"")=10,LEFT(E239&amp;"",2)="09"),AND(LEN(E239&amp;"")=9,LEFT(E239&amp;"",1)="9")))),COUNTIFS($A$6:$A$505,A239,$B$6:$B$505,B239,$E$6:$E$505,E239)&gt;1),"REVIEW","READY"))</x:f>
      </x:c>
      <x:c r="N239" s="255" t="str">
        <x:f>IF(M239="","",IF(M239="READY","",TRIM(IF(A239="","missing entity_type; ","")&amp;IF(B239="","missing entity_key; ","")&amp;IF(C239="","missing contact_order; ","")&amp;IF(D239="","missing contact_type; ","")&amp;IF(E239="","missing number; ","")&amp;IF(J239="","missing status; ","")&amp;IF(AND(A239="client",COUNTIF('الزبائن'!$A$6:$A$505,B239)=0),"client key not found; ","")&amp;IF(AND(A239="proposed_name",COUNTIF('أسماء مقترحة'!$A$6:$A$505,B239)=0),"proposed_name key not found; ","")&amp;IF(AND(D239="mobile",J239&lt;&gt;"invalid",NOT(OR(AND(LEN(E239&amp;"")=10,LEFT(E239&amp;"",2)="09"),AND(LEN(E239&amp;"")=9,LEFT(E239&amp;"",1)="9")))),"mobile must be 09XXXXXXXX or status invalid; ","")&amp;IF(COUNTIFS($A$6:$A$505,A239,$B$6:$B$505,B239,$E$6:$E$505,E239)&gt;1,"duplicate number for same entity; ",""))))</x:f>
      </x:c>
    </x:row>
    <x:row r="240">
      <x:c r="A240" s="251"/>
      <x:c r="B240" s="252"/>
      <x:c r="C240" s="253"/>
      <x:c r="D240" s="253"/>
      <x:c r="E240" s="252"/>
      <x:c r="F240" s="252"/>
      <x:c r="G240" s="253"/>
      <x:c r="H240" s="253"/>
      <x:c r="I240" s="253"/>
      <x:c r="J240" s="253"/>
      <x:c r="K240" s="253"/>
      <x:c r="L240" s="253"/>
      <x:c r="M240" s="253" t="str">
        <x:f>IF(AND(A240="",B240="",E240=""),"",IF(OR(A240="",B240="",C240="",D240="",E240="",J240="",AND(A240="client",COUNTIF('الزبائن'!$A$6:$A$505,B240)=0),AND(A240="proposed_name",COUNTIF('أسماء مقترحة'!$A$6:$A$505,B240)=0),AND(D240="mobile",J240&lt;&gt;"invalid",NOT(OR(AND(LEN(E240&amp;"")=10,LEFT(E240&amp;"",2)="09"),AND(LEN(E240&amp;"")=9,LEFT(E240&amp;"",1)="9")))),COUNTIFS($A$6:$A$505,A240,$B$6:$B$505,B240,$E$6:$E$505,E240)&gt;1),"REVIEW","READY"))</x:f>
      </x:c>
      <x:c r="N240" s="255" t="str">
        <x:f>IF(M240="","",IF(M240="READY","",TRIM(IF(A240="","missing entity_type; ","")&amp;IF(B240="","missing entity_key; ","")&amp;IF(C240="","missing contact_order; ","")&amp;IF(D240="","missing contact_type; ","")&amp;IF(E240="","missing number; ","")&amp;IF(J240="","missing status; ","")&amp;IF(AND(A240="client",COUNTIF('الزبائن'!$A$6:$A$505,B240)=0),"client key not found; ","")&amp;IF(AND(A240="proposed_name",COUNTIF('أسماء مقترحة'!$A$6:$A$505,B240)=0),"proposed_name key not found; ","")&amp;IF(AND(D240="mobile",J240&lt;&gt;"invalid",NOT(OR(AND(LEN(E240&amp;"")=10,LEFT(E240&amp;"",2)="09"),AND(LEN(E240&amp;"")=9,LEFT(E240&amp;"",1)="9")))),"mobile must be 09XXXXXXXX or status invalid; ","")&amp;IF(COUNTIFS($A$6:$A$505,A240,$B$6:$B$505,B240,$E$6:$E$505,E240)&gt;1,"duplicate number for same entity; ",""))))</x:f>
      </x:c>
    </x:row>
    <x:row r="241">
      <x:c r="A241" s="251"/>
      <x:c r="B241" s="252"/>
      <x:c r="C241" s="253"/>
      <x:c r="D241" s="253"/>
      <x:c r="E241" s="252"/>
      <x:c r="F241" s="252"/>
      <x:c r="G241" s="253"/>
      <x:c r="H241" s="253"/>
      <x:c r="I241" s="253"/>
      <x:c r="J241" s="253"/>
      <x:c r="K241" s="253"/>
      <x:c r="L241" s="253"/>
      <x:c r="M241" s="253" t="str">
        <x:f>IF(AND(A241="",B241="",E241=""),"",IF(OR(A241="",B241="",C241="",D241="",E241="",J241="",AND(A241="client",COUNTIF('الزبائن'!$A$6:$A$505,B241)=0),AND(A241="proposed_name",COUNTIF('أسماء مقترحة'!$A$6:$A$505,B241)=0),AND(D241="mobile",J241&lt;&gt;"invalid",NOT(OR(AND(LEN(E241&amp;"")=10,LEFT(E241&amp;"",2)="09"),AND(LEN(E241&amp;"")=9,LEFT(E241&amp;"",1)="9")))),COUNTIFS($A$6:$A$505,A241,$B$6:$B$505,B241,$E$6:$E$505,E241)&gt;1),"REVIEW","READY"))</x:f>
      </x:c>
      <x:c r="N241" s="255" t="str">
        <x:f>IF(M241="","",IF(M241="READY","",TRIM(IF(A241="","missing entity_type; ","")&amp;IF(B241="","missing entity_key; ","")&amp;IF(C241="","missing contact_order; ","")&amp;IF(D241="","missing contact_type; ","")&amp;IF(E241="","missing number; ","")&amp;IF(J241="","missing status; ","")&amp;IF(AND(A241="client",COUNTIF('الزبائن'!$A$6:$A$505,B241)=0),"client key not found; ","")&amp;IF(AND(A241="proposed_name",COUNTIF('أسماء مقترحة'!$A$6:$A$505,B241)=0),"proposed_name key not found; ","")&amp;IF(AND(D241="mobile",J241&lt;&gt;"invalid",NOT(OR(AND(LEN(E241&amp;"")=10,LEFT(E241&amp;"",2)="09"),AND(LEN(E241&amp;"")=9,LEFT(E241&amp;"",1)="9")))),"mobile must be 09XXXXXXXX or status invalid; ","")&amp;IF(COUNTIFS($A$6:$A$505,A241,$B$6:$B$505,B241,$E$6:$E$505,E241)&gt;1,"duplicate number for same entity; ",""))))</x:f>
      </x:c>
    </x:row>
    <x:row r="242">
      <x:c r="A242" s="251"/>
      <x:c r="B242" s="252"/>
      <x:c r="C242" s="253"/>
      <x:c r="D242" s="253"/>
      <x:c r="E242" s="252"/>
      <x:c r="F242" s="252"/>
      <x:c r="G242" s="253"/>
      <x:c r="H242" s="253"/>
      <x:c r="I242" s="253"/>
      <x:c r="J242" s="253"/>
      <x:c r="K242" s="253"/>
      <x:c r="L242" s="253"/>
      <x:c r="M242" s="253" t="str">
        <x:f>IF(AND(A242="",B242="",E242=""),"",IF(OR(A242="",B242="",C242="",D242="",E242="",J242="",AND(A242="client",COUNTIF('الزبائن'!$A$6:$A$505,B242)=0),AND(A242="proposed_name",COUNTIF('أسماء مقترحة'!$A$6:$A$505,B242)=0),AND(D242="mobile",J242&lt;&gt;"invalid",NOT(OR(AND(LEN(E242&amp;"")=10,LEFT(E242&amp;"",2)="09"),AND(LEN(E242&amp;"")=9,LEFT(E242&amp;"",1)="9")))),COUNTIFS($A$6:$A$505,A242,$B$6:$B$505,B242,$E$6:$E$505,E242)&gt;1),"REVIEW","READY"))</x:f>
      </x:c>
      <x:c r="N242" s="255" t="str">
        <x:f>IF(M242="","",IF(M242="READY","",TRIM(IF(A242="","missing entity_type; ","")&amp;IF(B242="","missing entity_key; ","")&amp;IF(C242="","missing contact_order; ","")&amp;IF(D242="","missing contact_type; ","")&amp;IF(E242="","missing number; ","")&amp;IF(J242="","missing status; ","")&amp;IF(AND(A242="client",COUNTIF('الزبائن'!$A$6:$A$505,B242)=0),"client key not found; ","")&amp;IF(AND(A242="proposed_name",COUNTIF('أسماء مقترحة'!$A$6:$A$505,B242)=0),"proposed_name key not found; ","")&amp;IF(AND(D242="mobile",J242&lt;&gt;"invalid",NOT(OR(AND(LEN(E242&amp;"")=10,LEFT(E242&amp;"",2)="09"),AND(LEN(E242&amp;"")=9,LEFT(E242&amp;"",1)="9")))),"mobile must be 09XXXXXXXX or status invalid; ","")&amp;IF(COUNTIFS($A$6:$A$505,A242,$B$6:$B$505,B242,$E$6:$E$505,E242)&gt;1,"duplicate number for same entity; ",""))))</x:f>
      </x:c>
    </x:row>
    <x:row r="243">
      <x:c r="A243" s="251"/>
      <x:c r="B243" s="252"/>
      <x:c r="C243" s="253"/>
      <x:c r="D243" s="253"/>
      <x:c r="E243" s="252"/>
      <x:c r="F243" s="252"/>
      <x:c r="G243" s="253"/>
      <x:c r="H243" s="253"/>
      <x:c r="I243" s="253"/>
      <x:c r="J243" s="253"/>
      <x:c r="K243" s="253"/>
      <x:c r="L243" s="253"/>
      <x:c r="M243" s="253" t="str">
        <x:f>IF(AND(A243="",B243="",E243=""),"",IF(OR(A243="",B243="",C243="",D243="",E243="",J243="",AND(A243="client",COUNTIF('الزبائن'!$A$6:$A$505,B243)=0),AND(A243="proposed_name",COUNTIF('أسماء مقترحة'!$A$6:$A$505,B243)=0),AND(D243="mobile",J243&lt;&gt;"invalid",NOT(OR(AND(LEN(E243&amp;"")=10,LEFT(E243&amp;"",2)="09"),AND(LEN(E243&amp;"")=9,LEFT(E243&amp;"",1)="9")))),COUNTIFS($A$6:$A$505,A243,$B$6:$B$505,B243,$E$6:$E$505,E243)&gt;1),"REVIEW","READY"))</x:f>
      </x:c>
      <x:c r="N243" s="255" t="str">
        <x:f>IF(M243="","",IF(M243="READY","",TRIM(IF(A243="","missing entity_type; ","")&amp;IF(B243="","missing entity_key; ","")&amp;IF(C243="","missing contact_order; ","")&amp;IF(D243="","missing contact_type; ","")&amp;IF(E243="","missing number; ","")&amp;IF(J243="","missing status; ","")&amp;IF(AND(A243="client",COUNTIF('الزبائن'!$A$6:$A$505,B243)=0),"client key not found; ","")&amp;IF(AND(A243="proposed_name",COUNTIF('أسماء مقترحة'!$A$6:$A$505,B243)=0),"proposed_name key not found; ","")&amp;IF(AND(D243="mobile",J243&lt;&gt;"invalid",NOT(OR(AND(LEN(E243&amp;"")=10,LEFT(E243&amp;"",2)="09"),AND(LEN(E243&amp;"")=9,LEFT(E243&amp;"",1)="9")))),"mobile must be 09XXXXXXXX or status invalid; ","")&amp;IF(COUNTIFS($A$6:$A$505,A243,$B$6:$B$505,B243,$E$6:$E$505,E243)&gt;1,"duplicate number for same entity; ",""))))</x:f>
      </x:c>
    </x:row>
    <x:row r="244">
      <x:c r="A244" s="251"/>
      <x:c r="B244" s="252"/>
      <x:c r="C244" s="253"/>
      <x:c r="D244" s="253"/>
      <x:c r="E244" s="252"/>
      <x:c r="F244" s="252"/>
      <x:c r="G244" s="253"/>
      <x:c r="H244" s="253"/>
      <x:c r="I244" s="253"/>
      <x:c r="J244" s="253"/>
      <x:c r="K244" s="253"/>
      <x:c r="L244" s="253"/>
      <x:c r="M244" s="253" t="str">
        <x:f>IF(AND(A244="",B244="",E244=""),"",IF(OR(A244="",B244="",C244="",D244="",E244="",J244="",AND(A244="client",COUNTIF('الزبائن'!$A$6:$A$505,B244)=0),AND(A244="proposed_name",COUNTIF('أسماء مقترحة'!$A$6:$A$505,B244)=0),AND(D244="mobile",J244&lt;&gt;"invalid",NOT(OR(AND(LEN(E244&amp;"")=10,LEFT(E244&amp;"",2)="09"),AND(LEN(E244&amp;"")=9,LEFT(E244&amp;"",1)="9")))),COUNTIFS($A$6:$A$505,A244,$B$6:$B$505,B244,$E$6:$E$505,E244)&gt;1),"REVIEW","READY"))</x:f>
      </x:c>
      <x:c r="N244" s="255" t="str">
        <x:f>IF(M244="","",IF(M244="READY","",TRIM(IF(A244="","missing entity_type; ","")&amp;IF(B244="","missing entity_key; ","")&amp;IF(C244="","missing contact_order; ","")&amp;IF(D244="","missing contact_type; ","")&amp;IF(E244="","missing number; ","")&amp;IF(J244="","missing status; ","")&amp;IF(AND(A244="client",COUNTIF('الزبائن'!$A$6:$A$505,B244)=0),"client key not found; ","")&amp;IF(AND(A244="proposed_name",COUNTIF('أسماء مقترحة'!$A$6:$A$505,B244)=0),"proposed_name key not found; ","")&amp;IF(AND(D244="mobile",J244&lt;&gt;"invalid",NOT(OR(AND(LEN(E244&amp;"")=10,LEFT(E244&amp;"",2)="09"),AND(LEN(E244&amp;"")=9,LEFT(E244&amp;"",1)="9")))),"mobile must be 09XXXXXXXX or status invalid; ","")&amp;IF(COUNTIFS($A$6:$A$505,A244,$B$6:$B$505,B244,$E$6:$E$505,E244)&gt;1,"duplicate number for same entity; ",""))))</x:f>
      </x:c>
    </x:row>
    <x:row r="245">
      <x:c r="A245" s="251"/>
      <x:c r="B245" s="252"/>
      <x:c r="C245" s="253"/>
      <x:c r="D245" s="253"/>
      <x:c r="E245" s="252"/>
      <x:c r="F245" s="252"/>
      <x:c r="G245" s="253"/>
      <x:c r="H245" s="253"/>
      <x:c r="I245" s="253"/>
      <x:c r="J245" s="253"/>
      <x:c r="K245" s="253"/>
      <x:c r="L245" s="253"/>
      <x:c r="M245" s="253" t="str">
        <x:f>IF(AND(A245="",B245="",E245=""),"",IF(OR(A245="",B245="",C245="",D245="",E245="",J245="",AND(A245="client",COUNTIF('الزبائن'!$A$6:$A$505,B245)=0),AND(A245="proposed_name",COUNTIF('أسماء مقترحة'!$A$6:$A$505,B245)=0),AND(D245="mobile",J245&lt;&gt;"invalid",NOT(OR(AND(LEN(E245&amp;"")=10,LEFT(E245&amp;"",2)="09"),AND(LEN(E245&amp;"")=9,LEFT(E245&amp;"",1)="9")))),COUNTIFS($A$6:$A$505,A245,$B$6:$B$505,B245,$E$6:$E$505,E245)&gt;1),"REVIEW","READY"))</x:f>
      </x:c>
      <x:c r="N245" s="255" t="str">
        <x:f>IF(M245="","",IF(M245="READY","",TRIM(IF(A245="","missing entity_type; ","")&amp;IF(B245="","missing entity_key; ","")&amp;IF(C245="","missing contact_order; ","")&amp;IF(D245="","missing contact_type; ","")&amp;IF(E245="","missing number; ","")&amp;IF(J245="","missing status; ","")&amp;IF(AND(A245="client",COUNTIF('الزبائن'!$A$6:$A$505,B245)=0),"client key not found; ","")&amp;IF(AND(A245="proposed_name",COUNTIF('أسماء مقترحة'!$A$6:$A$505,B245)=0),"proposed_name key not found; ","")&amp;IF(AND(D245="mobile",J245&lt;&gt;"invalid",NOT(OR(AND(LEN(E245&amp;"")=10,LEFT(E245&amp;"",2)="09"),AND(LEN(E245&amp;"")=9,LEFT(E245&amp;"",1)="9")))),"mobile must be 09XXXXXXXX or status invalid; ","")&amp;IF(COUNTIFS($A$6:$A$505,A245,$B$6:$B$505,B245,$E$6:$E$505,E245)&gt;1,"duplicate number for same entity; ",""))))</x:f>
      </x:c>
    </x:row>
    <x:row r="246">
      <x:c r="A246" s="251"/>
      <x:c r="B246" s="252"/>
      <x:c r="C246" s="253"/>
      <x:c r="D246" s="253"/>
      <x:c r="E246" s="252"/>
      <x:c r="F246" s="252"/>
      <x:c r="G246" s="253"/>
      <x:c r="H246" s="253"/>
      <x:c r="I246" s="253"/>
      <x:c r="J246" s="253"/>
      <x:c r="K246" s="253"/>
      <x:c r="L246" s="253"/>
      <x:c r="M246" s="253" t="str">
        <x:f>IF(AND(A246="",B246="",E246=""),"",IF(OR(A246="",B246="",C246="",D246="",E246="",J246="",AND(A246="client",COUNTIF('الزبائن'!$A$6:$A$505,B246)=0),AND(A246="proposed_name",COUNTIF('أسماء مقترحة'!$A$6:$A$505,B246)=0),AND(D246="mobile",J246&lt;&gt;"invalid",NOT(OR(AND(LEN(E246&amp;"")=10,LEFT(E246&amp;"",2)="09"),AND(LEN(E246&amp;"")=9,LEFT(E246&amp;"",1)="9")))),COUNTIFS($A$6:$A$505,A246,$B$6:$B$505,B246,$E$6:$E$505,E246)&gt;1),"REVIEW","READY"))</x:f>
      </x:c>
      <x:c r="N246" s="255" t="str">
        <x:f>IF(M246="","",IF(M246="READY","",TRIM(IF(A246="","missing entity_type; ","")&amp;IF(B246="","missing entity_key; ","")&amp;IF(C246="","missing contact_order; ","")&amp;IF(D246="","missing contact_type; ","")&amp;IF(E246="","missing number; ","")&amp;IF(J246="","missing status; ","")&amp;IF(AND(A246="client",COUNTIF('الزبائن'!$A$6:$A$505,B246)=0),"client key not found; ","")&amp;IF(AND(A246="proposed_name",COUNTIF('أسماء مقترحة'!$A$6:$A$505,B246)=0),"proposed_name key not found; ","")&amp;IF(AND(D246="mobile",J246&lt;&gt;"invalid",NOT(OR(AND(LEN(E246&amp;"")=10,LEFT(E246&amp;"",2)="09"),AND(LEN(E246&amp;"")=9,LEFT(E246&amp;"",1)="9")))),"mobile must be 09XXXXXXXX or status invalid; ","")&amp;IF(COUNTIFS($A$6:$A$505,A246,$B$6:$B$505,B246,$E$6:$E$505,E246)&gt;1,"duplicate number for same entity; ",""))))</x:f>
      </x:c>
    </x:row>
    <x:row r="247">
      <x:c r="A247" s="251"/>
      <x:c r="B247" s="252"/>
      <x:c r="C247" s="253"/>
      <x:c r="D247" s="253"/>
      <x:c r="E247" s="252"/>
      <x:c r="F247" s="252"/>
      <x:c r="G247" s="253"/>
      <x:c r="H247" s="253"/>
      <x:c r="I247" s="253"/>
      <x:c r="J247" s="253"/>
      <x:c r="K247" s="253"/>
      <x:c r="L247" s="253"/>
      <x:c r="M247" s="253" t="str">
        <x:f>IF(AND(A247="",B247="",E247=""),"",IF(OR(A247="",B247="",C247="",D247="",E247="",J247="",AND(A247="client",COUNTIF('الزبائن'!$A$6:$A$505,B247)=0),AND(A247="proposed_name",COUNTIF('أسماء مقترحة'!$A$6:$A$505,B247)=0),AND(D247="mobile",J247&lt;&gt;"invalid",NOT(OR(AND(LEN(E247&amp;"")=10,LEFT(E247&amp;"",2)="09"),AND(LEN(E247&amp;"")=9,LEFT(E247&amp;"",1)="9")))),COUNTIFS($A$6:$A$505,A247,$B$6:$B$505,B247,$E$6:$E$505,E247)&gt;1),"REVIEW","READY"))</x:f>
      </x:c>
      <x:c r="N247" s="255" t="str">
        <x:f>IF(M247="","",IF(M247="READY","",TRIM(IF(A247="","missing entity_type; ","")&amp;IF(B247="","missing entity_key; ","")&amp;IF(C247="","missing contact_order; ","")&amp;IF(D247="","missing contact_type; ","")&amp;IF(E247="","missing number; ","")&amp;IF(J247="","missing status; ","")&amp;IF(AND(A247="client",COUNTIF('الزبائن'!$A$6:$A$505,B247)=0),"client key not found; ","")&amp;IF(AND(A247="proposed_name",COUNTIF('أسماء مقترحة'!$A$6:$A$505,B247)=0),"proposed_name key not found; ","")&amp;IF(AND(D247="mobile",J247&lt;&gt;"invalid",NOT(OR(AND(LEN(E247&amp;"")=10,LEFT(E247&amp;"",2)="09"),AND(LEN(E247&amp;"")=9,LEFT(E247&amp;"",1)="9")))),"mobile must be 09XXXXXXXX or status invalid; ","")&amp;IF(COUNTIFS($A$6:$A$505,A247,$B$6:$B$505,B247,$E$6:$E$505,E247)&gt;1,"duplicate number for same entity; ",""))))</x:f>
      </x:c>
    </x:row>
    <x:row r="248">
      <x:c r="A248" s="251"/>
      <x:c r="B248" s="252"/>
      <x:c r="C248" s="253"/>
      <x:c r="D248" s="253"/>
      <x:c r="E248" s="252"/>
      <x:c r="F248" s="252"/>
      <x:c r="G248" s="253"/>
      <x:c r="H248" s="253"/>
      <x:c r="I248" s="253"/>
      <x:c r="J248" s="253"/>
      <x:c r="K248" s="253"/>
      <x:c r="L248" s="253"/>
      <x:c r="M248" s="253" t="str">
        <x:f>IF(AND(A248="",B248="",E248=""),"",IF(OR(A248="",B248="",C248="",D248="",E248="",J248="",AND(A248="client",COUNTIF('الزبائن'!$A$6:$A$505,B248)=0),AND(A248="proposed_name",COUNTIF('أسماء مقترحة'!$A$6:$A$505,B248)=0),AND(D248="mobile",J248&lt;&gt;"invalid",NOT(OR(AND(LEN(E248&amp;"")=10,LEFT(E248&amp;"",2)="09"),AND(LEN(E248&amp;"")=9,LEFT(E248&amp;"",1)="9")))),COUNTIFS($A$6:$A$505,A248,$B$6:$B$505,B248,$E$6:$E$505,E248)&gt;1),"REVIEW","READY"))</x:f>
      </x:c>
      <x:c r="N248" s="255" t="str">
        <x:f>IF(M248="","",IF(M248="READY","",TRIM(IF(A248="","missing entity_type; ","")&amp;IF(B248="","missing entity_key; ","")&amp;IF(C248="","missing contact_order; ","")&amp;IF(D248="","missing contact_type; ","")&amp;IF(E248="","missing number; ","")&amp;IF(J248="","missing status; ","")&amp;IF(AND(A248="client",COUNTIF('الزبائن'!$A$6:$A$505,B248)=0),"client key not found; ","")&amp;IF(AND(A248="proposed_name",COUNTIF('أسماء مقترحة'!$A$6:$A$505,B248)=0),"proposed_name key not found; ","")&amp;IF(AND(D248="mobile",J248&lt;&gt;"invalid",NOT(OR(AND(LEN(E248&amp;"")=10,LEFT(E248&amp;"",2)="09"),AND(LEN(E248&amp;"")=9,LEFT(E248&amp;"",1)="9")))),"mobile must be 09XXXXXXXX or status invalid; ","")&amp;IF(COUNTIFS($A$6:$A$505,A248,$B$6:$B$505,B248,$E$6:$E$505,E248)&gt;1,"duplicate number for same entity; ",""))))</x:f>
      </x:c>
    </x:row>
    <x:row r="249">
      <x:c r="A249" s="251"/>
      <x:c r="B249" s="252"/>
      <x:c r="C249" s="253"/>
      <x:c r="D249" s="253"/>
      <x:c r="E249" s="252"/>
      <x:c r="F249" s="252"/>
      <x:c r="G249" s="253"/>
      <x:c r="H249" s="253"/>
      <x:c r="I249" s="253"/>
      <x:c r="J249" s="253"/>
      <x:c r="K249" s="253"/>
      <x:c r="L249" s="253"/>
      <x:c r="M249" s="253" t="str">
        <x:f>IF(AND(A249="",B249="",E249=""),"",IF(OR(A249="",B249="",C249="",D249="",E249="",J249="",AND(A249="client",COUNTIF('الزبائن'!$A$6:$A$505,B249)=0),AND(A249="proposed_name",COUNTIF('أسماء مقترحة'!$A$6:$A$505,B249)=0),AND(D249="mobile",J249&lt;&gt;"invalid",NOT(OR(AND(LEN(E249&amp;"")=10,LEFT(E249&amp;"",2)="09"),AND(LEN(E249&amp;"")=9,LEFT(E249&amp;"",1)="9")))),COUNTIFS($A$6:$A$505,A249,$B$6:$B$505,B249,$E$6:$E$505,E249)&gt;1),"REVIEW","READY"))</x:f>
      </x:c>
      <x:c r="N249" s="255" t="str">
        <x:f>IF(M249="","",IF(M249="READY","",TRIM(IF(A249="","missing entity_type; ","")&amp;IF(B249="","missing entity_key; ","")&amp;IF(C249="","missing contact_order; ","")&amp;IF(D249="","missing contact_type; ","")&amp;IF(E249="","missing number; ","")&amp;IF(J249="","missing status; ","")&amp;IF(AND(A249="client",COUNTIF('الزبائن'!$A$6:$A$505,B249)=0),"client key not found; ","")&amp;IF(AND(A249="proposed_name",COUNTIF('أسماء مقترحة'!$A$6:$A$505,B249)=0),"proposed_name key not found; ","")&amp;IF(AND(D249="mobile",J249&lt;&gt;"invalid",NOT(OR(AND(LEN(E249&amp;"")=10,LEFT(E249&amp;"",2)="09"),AND(LEN(E249&amp;"")=9,LEFT(E249&amp;"",1)="9")))),"mobile must be 09XXXXXXXX or status invalid; ","")&amp;IF(COUNTIFS($A$6:$A$505,A249,$B$6:$B$505,B249,$E$6:$E$505,E249)&gt;1,"duplicate number for same entity; ",""))))</x:f>
      </x:c>
    </x:row>
    <x:row r="250">
      <x:c r="A250" s="251"/>
      <x:c r="B250" s="252"/>
      <x:c r="C250" s="253"/>
      <x:c r="D250" s="253"/>
      <x:c r="E250" s="252"/>
      <x:c r="F250" s="252"/>
      <x:c r="G250" s="253"/>
      <x:c r="H250" s="253"/>
      <x:c r="I250" s="253"/>
      <x:c r="J250" s="253"/>
      <x:c r="K250" s="253"/>
      <x:c r="L250" s="253"/>
      <x:c r="M250" s="253" t="str">
        <x:f>IF(AND(A250="",B250="",E250=""),"",IF(OR(A250="",B250="",C250="",D250="",E250="",J250="",AND(A250="client",COUNTIF('الزبائن'!$A$6:$A$505,B250)=0),AND(A250="proposed_name",COUNTIF('أسماء مقترحة'!$A$6:$A$505,B250)=0),AND(D250="mobile",J250&lt;&gt;"invalid",NOT(OR(AND(LEN(E250&amp;"")=10,LEFT(E250&amp;"",2)="09"),AND(LEN(E250&amp;"")=9,LEFT(E250&amp;"",1)="9")))),COUNTIFS($A$6:$A$505,A250,$B$6:$B$505,B250,$E$6:$E$505,E250)&gt;1),"REVIEW","READY"))</x:f>
      </x:c>
      <x:c r="N250" s="255" t="str">
        <x:f>IF(M250="","",IF(M250="READY","",TRIM(IF(A250="","missing entity_type; ","")&amp;IF(B250="","missing entity_key; ","")&amp;IF(C250="","missing contact_order; ","")&amp;IF(D250="","missing contact_type; ","")&amp;IF(E250="","missing number; ","")&amp;IF(J250="","missing status; ","")&amp;IF(AND(A250="client",COUNTIF('الزبائن'!$A$6:$A$505,B250)=0),"client key not found; ","")&amp;IF(AND(A250="proposed_name",COUNTIF('أسماء مقترحة'!$A$6:$A$505,B250)=0),"proposed_name key not found; ","")&amp;IF(AND(D250="mobile",J250&lt;&gt;"invalid",NOT(OR(AND(LEN(E250&amp;"")=10,LEFT(E250&amp;"",2)="09"),AND(LEN(E250&amp;"")=9,LEFT(E250&amp;"",1)="9")))),"mobile must be 09XXXXXXXX or status invalid; ","")&amp;IF(COUNTIFS($A$6:$A$505,A250,$B$6:$B$505,B250,$E$6:$E$505,E250)&gt;1,"duplicate number for same entity; ",""))))</x:f>
      </x:c>
    </x:row>
    <x:row r="251">
      <x:c r="A251" s="251"/>
      <x:c r="B251" s="252"/>
      <x:c r="C251" s="253"/>
      <x:c r="D251" s="253"/>
      <x:c r="E251" s="252"/>
      <x:c r="F251" s="252"/>
      <x:c r="G251" s="253"/>
      <x:c r="H251" s="253"/>
      <x:c r="I251" s="253"/>
      <x:c r="J251" s="253"/>
      <x:c r="K251" s="253"/>
      <x:c r="L251" s="253"/>
      <x:c r="M251" s="253" t="str">
        <x:f>IF(AND(A251="",B251="",E251=""),"",IF(OR(A251="",B251="",C251="",D251="",E251="",J251="",AND(A251="client",COUNTIF('الزبائن'!$A$6:$A$505,B251)=0),AND(A251="proposed_name",COUNTIF('أسماء مقترحة'!$A$6:$A$505,B251)=0),AND(D251="mobile",J251&lt;&gt;"invalid",NOT(OR(AND(LEN(E251&amp;"")=10,LEFT(E251&amp;"",2)="09"),AND(LEN(E251&amp;"")=9,LEFT(E251&amp;"",1)="9")))),COUNTIFS($A$6:$A$505,A251,$B$6:$B$505,B251,$E$6:$E$505,E251)&gt;1),"REVIEW","READY"))</x:f>
      </x:c>
      <x:c r="N251" s="255" t="str">
        <x:f>IF(M251="","",IF(M251="READY","",TRIM(IF(A251="","missing entity_type; ","")&amp;IF(B251="","missing entity_key; ","")&amp;IF(C251="","missing contact_order; ","")&amp;IF(D251="","missing contact_type; ","")&amp;IF(E251="","missing number; ","")&amp;IF(J251="","missing status; ","")&amp;IF(AND(A251="client",COUNTIF('الزبائن'!$A$6:$A$505,B251)=0),"client key not found; ","")&amp;IF(AND(A251="proposed_name",COUNTIF('أسماء مقترحة'!$A$6:$A$505,B251)=0),"proposed_name key not found; ","")&amp;IF(AND(D251="mobile",J251&lt;&gt;"invalid",NOT(OR(AND(LEN(E251&amp;"")=10,LEFT(E251&amp;"",2)="09"),AND(LEN(E251&amp;"")=9,LEFT(E251&amp;"",1)="9")))),"mobile must be 09XXXXXXXX or status invalid; ","")&amp;IF(COUNTIFS($A$6:$A$505,A251,$B$6:$B$505,B251,$E$6:$E$505,E251)&gt;1,"duplicate number for same entity; ",""))))</x:f>
      </x:c>
    </x:row>
    <x:row r="252">
      <x:c r="A252" s="251"/>
      <x:c r="B252" s="252"/>
      <x:c r="C252" s="253"/>
      <x:c r="D252" s="253"/>
      <x:c r="E252" s="252"/>
      <x:c r="F252" s="252"/>
      <x:c r="G252" s="253"/>
      <x:c r="H252" s="253"/>
      <x:c r="I252" s="253"/>
      <x:c r="J252" s="253"/>
      <x:c r="K252" s="253"/>
      <x:c r="L252" s="253"/>
      <x:c r="M252" s="253" t="str">
        <x:f>IF(AND(A252="",B252="",E252=""),"",IF(OR(A252="",B252="",C252="",D252="",E252="",J252="",AND(A252="client",COUNTIF('الزبائن'!$A$6:$A$505,B252)=0),AND(A252="proposed_name",COUNTIF('أسماء مقترحة'!$A$6:$A$505,B252)=0),AND(D252="mobile",J252&lt;&gt;"invalid",NOT(OR(AND(LEN(E252&amp;"")=10,LEFT(E252&amp;"",2)="09"),AND(LEN(E252&amp;"")=9,LEFT(E252&amp;"",1)="9")))),COUNTIFS($A$6:$A$505,A252,$B$6:$B$505,B252,$E$6:$E$505,E252)&gt;1),"REVIEW","READY"))</x:f>
      </x:c>
      <x:c r="N252" s="255" t="str">
        <x:f>IF(M252="","",IF(M252="READY","",TRIM(IF(A252="","missing entity_type; ","")&amp;IF(B252="","missing entity_key; ","")&amp;IF(C252="","missing contact_order; ","")&amp;IF(D252="","missing contact_type; ","")&amp;IF(E252="","missing number; ","")&amp;IF(J252="","missing status; ","")&amp;IF(AND(A252="client",COUNTIF('الزبائن'!$A$6:$A$505,B252)=0),"client key not found; ","")&amp;IF(AND(A252="proposed_name",COUNTIF('أسماء مقترحة'!$A$6:$A$505,B252)=0),"proposed_name key not found; ","")&amp;IF(AND(D252="mobile",J252&lt;&gt;"invalid",NOT(OR(AND(LEN(E252&amp;"")=10,LEFT(E252&amp;"",2)="09"),AND(LEN(E252&amp;"")=9,LEFT(E252&amp;"",1)="9")))),"mobile must be 09XXXXXXXX or status invalid; ","")&amp;IF(COUNTIFS($A$6:$A$505,A252,$B$6:$B$505,B252,$E$6:$E$505,E252)&gt;1,"duplicate number for same entity; ",""))))</x:f>
      </x:c>
    </x:row>
    <x:row r="253">
      <x:c r="A253" s="251"/>
      <x:c r="B253" s="252"/>
      <x:c r="C253" s="253"/>
      <x:c r="D253" s="253"/>
      <x:c r="E253" s="252"/>
      <x:c r="F253" s="252"/>
      <x:c r="G253" s="253"/>
      <x:c r="H253" s="253"/>
      <x:c r="I253" s="253"/>
      <x:c r="J253" s="253"/>
      <x:c r="K253" s="253"/>
      <x:c r="L253" s="253"/>
      <x:c r="M253" s="253" t="str">
        <x:f>IF(AND(A253="",B253="",E253=""),"",IF(OR(A253="",B253="",C253="",D253="",E253="",J253="",AND(A253="client",COUNTIF('الزبائن'!$A$6:$A$505,B253)=0),AND(A253="proposed_name",COUNTIF('أسماء مقترحة'!$A$6:$A$505,B253)=0),AND(D253="mobile",J253&lt;&gt;"invalid",NOT(OR(AND(LEN(E253&amp;"")=10,LEFT(E253&amp;"",2)="09"),AND(LEN(E253&amp;"")=9,LEFT(E253&amp;"",1)="9")))),COUNTIFS($A$6:$A$505,A253,$B$6:$B$505,B253,$E$6:$E$505,E253)&gt;1),"REVIEW","READY"))</x:f>
      </x:c>
      <x:c r="N253" s="255" t="str">
        <x:f>IF(M253="","",IF(M253="READY","",TRIM(IF(A253="","missing entity_type; ","")&amp;IF(B253="","missing entity_key; ","")&amp;IF(C253="","missing contact_order; ","")&amp;IF(D253="","missing contact_type; ","")&amp;IF(E253="","missing number; ","")&amp;IF(J253="","missing status; ","")&amp;IF(AND(A253="client",COUNTIF('الزبائن'!$A$6:$A$505,B253)=0),"client key not found; ","")&amp;IF(AND(A253="proposed_name",COUNTIF('أسماء مقترحة'!$A$6:$A$505,B253)=0),"proposed_name key not found; ","")&amp;IF(AND(D253="mobile",J253&lt;&gt;"invalid",NOT(OR(AND(LEN(E253&amp;"")=10,LEFT(E253&amp;"",2)="09"),AND(LEN(E253&amp;"")=9,LEFT(E253&amp;"",1)="9")))),"mobile must be 09XXXXXXXX or status invalid; ","")&amp;IF(COUNTIFS($A$6:$A$505,A253,$B$6:$B$505,B253,$E$6:$E$505,E253)&gt;1,"duplicate number for same entity; ",""))))</x:f>
      </x:c>
    </x:row>
    <x:row r="254">
      <x:c r="A254" s="251"/>
      <x:c r="B254" s="252"/>
      <x:c r="C254" s="253"/>
      <x:c r="D254" s="253"/>
      <x:c r="E254" s="252"/>
      <x:c r="F254" s="252"/>
      <x:c r="G254" s="253"/>
      <x:c r="H254" s="253"/>
      <x:c r="I254" s="253"/>
      <x:c r="J254" s="253"/>
      <x:c r="K254" s="253"/>
      <x:c r="L254" s="253"/>
      <x:c r="M254" s="253" t="str">
        <x:f>IF(AND(A254="",B254="",E254=""),"",IF(OR(A254="",B254="",C254="",D254="",E254="",J254="",AND(A254="client",COUNTIF('الزبائن'!$A$6:$A$505,B254)=0),AND(A254="proposed_name",COUNTIF('أسماء مقترحة'!$A$6:$A$505,B254)=0),AND(D254="mobile",J254&lt;&gt;"invalid",NOT(OR(AND(LEN(E254&amp;"")=10,LEFT(E254&amp;"",2)="09"),AND(LEN(E254&amp;"")=9,LEFT(E254&amp;"",1)="9")))),COUNTIFS($A$6:$A$505,A254,$B$6:$B$505,B254,$E$6:$E$505,E254)&gt;1),"REVIEW","READY"))</x:f>
      </x:c>
      <x:c r="N254" s="255" t="str">
        <x:f>IF(M254="","",IF(M254="READY","",TRIM(IF(A254="","missing entity_type; ","")&amp;IF(B254="","missing entity_key; ","")&amp;IF(C254="","missing contact_order; ","")&amp;IF(D254="","missing contact_type; ","")&amp;IF(E254="","missing number; ","")&amp;IF(J254="","missing status; ","")&amp;IF(AND(A254="client",COUNTIF('الزبائن'!$A$6:$A$505,B254)=0),"client key not found; ","")&amp;IF(AND(A254="proposed_name",COUNTIF('أسماء مقترحة'!$A$6:$A$505,B254)=0),"proposed_name key not found; ","")&amp;IF(AND(D254="mobile",J254&lt;&gt;"invalid",NOT(OR(AND(LEN(E254&amp;"")=10,LEFT(E254&amp;"",2)="09"),AND(LEN(E254&amp;"")=9,LEFT(E254&amp;"",1)="9")))),"mobile must be 09XXXXXXXX or status invalid; ","")&amp;IF(COUNTIFS($A$6:$A$505,A254,$B$6:$B$505,B254,$E$6:$E$505,E254)&gt;1,"duplicate number for same entity; ",""))))</x:f>
      </x:c>
    </x:row>
    <x:row r="255">
      <x:c r="A255" s="251"/>
      <x:c r="B255" s="252"/>
      <x:c r="C255" s="253"/>
      <x:c r="D255" s="253"/>
      <x:c r="E255" s="252"/>
      <x:c r="F255" s="252"/>
      <x:c r="G255" s="253"/>
      <x:c r="H255" s="253"/>
      <x:c r="I255" s="253"/>
      <x:c r="J255" s="253"/>
      <x:c r="K255" s="253"/>
      <x:c r="L255" s="253"/>
      <x:c r="M255" s="253" t="str">
        <x:f>IF(AND(A255="",B255="",E255=""),"",IF(OR(A255="",B255="",C255="",D255="",E255="",J255="",AND(A255="client",COUNTIF('الزبائن'!$A$6:$A$505,B255)=0),AND(A255="proposed_name",COUNTIF('أسماء مقترحة'!$A$6:$A$505,B255)=0),AND(D255="mobile",J255&lt;&gt;"invalid",NOT(OR(AND(LEN(E255&amp;"")=10,LEFT(E255&amp;"",2)="09"),AND(LEN(E255&amp;"")=9,LEFT(E255&amp;"",1)="9")))),COUNTIFS($A$6:$A$505,A255,$B$6:$B$505,B255,$E$6:$E$505,E255)&gt;1),"REVIEW","READY"))</x:f>
      </x:c>
      <x:c r="N255" s="255" t="str">
        <x:f>IF(M255="","",IF(M255="READY","",TRIM(IF(A255="","missing entity_type; ","")&amp;IF(B255="","missing entity_key; ","")&amp;IF(C255="","missing contact_order; ","")&amp;IF(D255="","missing contact_type; ","")&amp;IF(E255="","missing number; ","")&amp;IF(J255="","missing status; ","")&amp;IF(AND(A255="client",COUNTIF('الزبائن'!$A$6:$A$505,B255)=0),"client key not found; ","")&amp;IF(AND(A255="proposed_name",COUNTIF('أسماء مقترحة'!$A$6:$A$505,B255)=0),"proposed_name key not found; ","")&amp;IF(AND(D255="mobile",J255&lt;&gt;"invalid",NOT(OR(AND(LEN(E255&amp;"")=10,LEFT(E255&amp;"",2)="09"),AND(LEN(E255&amp;"")=9,LEFT(E255&amp;"",1)="9")))),"mobile must be 09XXXXXXXX or status invalid; ","")&amp;IF(COUNTIFS($A$6:$A$505,A255,$B$6:$B$505,B255,$E$6:$E$505,E255)&gt;1,"duplicate number for same entity; ",""))))</x:f>
      </x:c>
    </x:row>
    <x:row r="256">
      <x:c r="A256" s="251"/>
      <x:c r="B256" s="252"/>
      <x:c r="C256" s="253"/>
      <x:c r="D256" s="253"/>
      <x:c r="E256" s="252"/>
      <x:c r="F256" s="252"/>
      <x:c r="G256" s="253"/>
      <x:c r="H256" s="253"/>
      <x:c r="I256" s="253"/>
      <x:c r="J256" s="253"/>
      <x:c r="K256" s="253"/>
      <x:c r="L256" s="253"/>
      <x:c r="M256" s="253" t="str">
        <x:f>IF(AND(A256="",B256="",E256=""),"",IF(OR(A256="",B256="",C256="",D256="",E256="",J256="",AND(A256="client",COUNTIF('الزبائن'!$A$6:$A$505,B256)=0),AND(A256="proposed_name",COUNTIF('أسماء مقترحة'!$A$6:$A$505,B256)=0),AND(D256="mobile",J256&lt;&gt;"invalid",NOT(OR(AND(LEN(E256&amp;"")=10,LEFT(E256&amp;"",2)="09"),AND(LEN(E256&amp;"")=9,LEFT(E256&amp;"",1)="9")))),COUNTIFS($A$6:$A$505,A256,$B$6:$B$505,B256,$E$6:$E$505,E256)&gt;1),"REVIEW","READY"))</x:f>
      </x:c>
      <x:c r="N256" s="255" t="str">
        <x:f>IF(M256="","",IF(M256="READY","",TRIM(IF(A256="","missing entity_type; ","")&amp;IF(B256="","missing entity_key; ","")&amp;IF(C256="","missing contact_order; ","")&amp;IF(D256="","missing contact_type; ","")&amp;IF(E256="","missing number; ","")&amp;IF(J256="","missing status; ","")&amp;IF(AND(A256="client",COUNTIF('الزبائن'!$A$6:$A$505,B256)=0),"client key not found; ","")&amp;IF(AND(A256="proposed_name",COUNTIF('أسماء مقترحة'!$A$6:$A$505,B256)=0),"proposed_name key not found; ","")&amp;IF(AND(D256="mobile",J256&lt;&gt;"invalid",NOT(OR(AND(LEN(E256&amp;"")=10,LEFT(E256&amp;"",2)="09"),AND(LEN(E256&amp;"")=9,LEFT(E256&amp;"",1)="9")))),"mobile must be 09XXXXXXXX or status invalid; ","")&amp;IF(COUNTIFS($A$6:$A$505,A256,$B$6:$B$505,B256,$E$6:$E$505,E256)&gt;1,"duplicate number for same entity; ",""))))</x:f>
      </x:c>
    </x:row>
    <x:row r="257">
      <x:c r="A257" s="251"/>
      <x:c r="B257" s="252"/>
      <x:c r="C257" s="253"/>
      <x:c r="D257" s="253"/>
      <x:c r="E257" s="252"/>
      <x:c r="F257" s="252"/>
      <x:c r="G257" s="253"/>
      <x:c r="H257" s="253"/>
      <x:c r="I257" s="253"/>
      <x:c r="J257" s="253"/>
      <x:c r="K257" s="253"/>
      <x:c r="L257" s="253"/>
      <x:c r="M257" s="253" t="str">
        <x:f>IF(AND(A257="",B257="",E257=""),"",IF(OR(A257="",B257="",C257="",D257="",E257="",J257="",AND(A257="client",COUNTIF('الزبائن'!$A$6:$A$505,B257)=0),AND(A257="proposed_name",COUNTIF('أسماء مقترحة'!$A$6:$A$505,B257)=0),AND(D257="mobile",J257&lt;&gt;"invalid",NOT(OR(AND(LEN(E257&amp;"")=10,LEFT(E257&amp;"",2)="09"),AND(LEN(E257&amp;"")=9,LEFT(E257&amp;"",1)="9")))),COUNTIFS($A$6:$A$505,A257,$B$6:$B$505,B257,$E$6:$E$505,E257)&gt;1),"REVIEW","READY"))</x:f>
      </x:c>
      <x:c r="N257" s="255" t="str">
        <x:f>IF(M257="","",IF(M257="READY","",TRIM(IF(A257="","missing entity_type; ","")&amp;IF(B257="","missing entity_key; ","")&amp;IF(C257="","missing contact_order; ","")&amp;IF(D257="","missing contact_type; ","")&amp;IF(E257="","missing number; ","")&amp;IF(J257="","missing status; ","")&amp;IF(AND(A257="client",COUNTIF('الزبائن'!$A$6:$A$505,B257)=0),"client key not found; ","")&amp;IF(AND(A257="proposed_name",COUNTIF('أسماء مقترحة'!$A$6:$A$505,B257)=0),"proposed_name key not found; ","")&amp;IF(AND(D257="mobile",J257&lt;&gt;"invalid",NOT(OR(AND(LEN(E257&amp;"")=10,LEFT(E257&amp;"",2)="09"),AND(LEN(E257&amp;"")=9,LEFT(E257&amp;"",1)="9")))),"mobile must be 09XXXXXXXX or status invalid; ","")&amp;IF(COUNTIFS($A$6:$A$505,A257,$B$6:$B$505,B257,$E$6:$E$505,E257)&gt;1,"duplicate number for same entity; ",""))))</x:f>
      </x:c>
    </x:row>
    <x:row r="258">
      <x:c r="A258" s="251"/>
      <x:c r="B258" s="252"/>
      <x:c r="C258" s="253"/>
      <x:c r="D258" s="253"/>
      <x:c r="E258" s="252"/>
      <x:c r="F258" s="252"/>
      <x:c r="G258" s="253"/>
      <x:c r="H258" s="253"/>
      <x:c r="I258" s="253"/>
      <x:c r="J258" s="253"/>
      <x:c r="K258" s="253"/>
      <x:c r="L258" s="253"/>
      <x:c r="M258" s="253" t="str">
        <x:f>IF(AND(A258="",B258="",E258=""),"",IF(OR(A258="",B258="",C258="",D258="",E258="",J258="",AND(A258="client",COUNTIF('الزبائن'!$A$6:$A$505,B258)=0),AND(A258="proposed_name",COUNTIF('أسماء مقترحة'!$A$6:$A$505,B258)=0),AND(D258="mobile",J258&lt;&gt;"invalid",NOT(OR(AND(LEN(E258&amp;"")=10,LEFT(E258&amp;"",2)="09"),AND(LEN(E258&amp;"")=9,LEFT(E258&amp;"",1)="9")))),COUNTIFS($A$6:$A$505,A258,$B$6:$B$505,B258,$E$6:$E$505,E258)&gt;1),"REVIEW","READY"))</x:f>
      </x:c>
      <x:c r="N258" s="255" t="str">
        <x:f>IF(M258="","",IF(M258="READY","",TRIM(IF(A258="","missing entity_type; ","")&amp;IF(B258="","missing entity_key; ","")&amp;IF(C258="","missing contact_order; ","")&amp;IF(D258="","missing contact_type; ","")&amp;IF(E258="","missing number; ","")&amp;IF(J258="","missing status; ","")&amp;IF(AND(A258="client",COUNTIF('الزبائن'!$A$6:$A$505,B258)=0),"client key not found; ","")&amp;IF(AND(A258="proposed_name",COUNTIF('أسماء مقترحة'!$A$6:$A$505,B258)=0),"proposed_name key not found; ","")&amp;IF(AND(D258="mobile",J258&lt;&gt;"invalid",NOT(OR(AND(LEN(E258&amp;"")=10,LEFT(E258&amp;"",2)="09"),AND(LEN(E258&amp;"")=9,LEFT(E258&amp;"",1)="9")))),"mobile must be 09XXXXXXXX or status invalid; ","")&amp;IF(COUNTIFS($A$6:$A$505,A258,$B$6:$B$505,B258,$E$6:$E$505,E258)&gt;1,"duplicate number for same entity; ",""))))</x:f>
      </x:c>
    </x:row>
    <x:row r="259">
      <x:c r="A259" s="251"/>
      <x:c r="B259" s="252"/>
      <x:c r="C259" s="253"/>
      <x:c r="D259" s="253"/>
      <x:c r="E259" s="252"/>
      <x:c r="F259" s="252"/>
      <x:c r="G259" s="253"/>
      <x:c r="H259" s="253"/>
      <x:c r="I259" s="253"/>
      <x:c r="J259" s="253"/>
      <x:c r="K259" s="253"/>
      <x:c r="L259" s="253"/>
      <x:c r="M259" s="253" t="str">
        <x:f>IF(AND(A259="",B259="",E259=""),"",IF(OR(A259="",B259="",C259="",D259="",E259="",J259="",AND(A259="client",COUNTIF('الزبائن'!$A$6:$A$505,B259)=0),AND(A259="proposed_name",COUNTIF('أسماء مقترحة'!$A$6:$A$505,B259)=0),AND(D259="mobile",J259&lt;&gt;"invalid",NOT(OR(AND(LEN(E259&amp;"")=10,LEFT(E259&amp;"",2)="09"),AND(LEN(E259&amp;"")=9,LEFT(E259&amp;"",1)="9")))),COUNTIFS($A$6:$A$505,A259,$B$6:$B$505,B259,$E$6:$E$505,E259)&gt;1),"REVIEW","READY"))</x:f>
      </x:c>
      <x:c r="N259" s="255" t="str">
        <x:f>IF(M259="","",IF(M259="READY","",TRIM(IF(A259="","missing entity_type; ","")&amp;IF(B259="","missing entity_key; ","")&amp;IF(C259="","missing contact_order; ","")&amp;IF(D259="","missing contact_type; ","")&amp;IF(E259="","missing number; ","")&amp;IF(J259="","missing status; ","")&amp;IF(AND(A259="client",COUNTIF('الزبائن'!$A$6:$A$505,B259)=0),"client key not found; ","")&amp;IF(AND(A259="proposed_name",COUNTIF('أسماء مقترحة'!$A$6:$A$505,B259)=0),"proposed_name key not found; ","")&amp;IF(AND(D259="mobile",J259&lt;&gt;"invalid",NOT(OR(AND(LEN(E259&amp;"")=10,LEFT(E259&amp;"",2)="09"),AND(LEN(E259&amp;"")=9,LEFT(E259&amp;"",1)="9")))),"mobile must be 09XXXXXXXX or status invalid; ","")&amp;IF(COUNTIFS($A$6:$A$505,A259,$B$6:$B$505,B259,$E$6:$E$505,E259)&gt;1,"duplicate number for same entity; ",""))))</x:f>
      </x:c>
    </x:row>
    <x:row r="260">
      <x:c r="A260" s="251"/>
      <x:c r="B260" s="252"/>
      <x:c r="C260" s="253"/>
      <x:c r="D260" s="253"/>
      <x:c r="E260" s="252"/>
      <x:c r="F260" s="252"/>
      <x:c r="G260" s="253"/>
      <x:c r="H260" s="253"/>
      <x:c r="I260" s="253"/>
      <x:c r="J260" s="253"/>
      <x:c r="K260" s="253"/>
      <x:c r="L260" s="253"/>
      <x:c r="M260" s="253" t="str">
        <x:f>IF(AND(A260="",B260="",E260=""),"",IF(OR(A260="",B260="",C260="",D260="",E260="",J260="",AND(A260="client",COUNTIF('الزبائن'!$A$6:$A$505,B260)=0),AND(A260="proposed_name",COUNTIF('أسماء مقترحة'!$A$6:$A$505,B260)=0),AND(D260="mobile",J260&lt;&gt;"invalid",NOT(OR(AND(LEN(E260&amp;"")=10,LEFT(E260&amp;"",2)="09"),AND(LEN(E260&amp;"")=9,LEFT(E260&amp;"",1)="9")))),COUNTIFS($A$6:$A$505,A260,$B$6:$B$505,B260,$E$6:$E$505,E260)&gt;1),"REVIEW","READY"))</x:f>
      </x:c>
      <x:c r="N260" s="255" t="str">
        <x:f>IF(M260="","",IF(M260="READY","",TRIM(IF(A260="","missing entity_type; ","")&amp;IF(B260="","missing entity_key; ","")&amp;IF(C260="","missing contact_order; ","")&amp;IF(D260="","missing contact_type; ","")&amp;IF(E260="","missing number; ","")&amp;IF(J260="","missing status; ","")&amp;IF(AND(A260="client",COUNTIF('الزبائن'!$A$6:$A$505,B260)=0),"client key not found; ","")&amp;IF(AND(A260="proposed_name",COUNTIF('أسماء مقترحة'!$A$6:$A$505,B260)=0),"proposed_name key not found; ","")&amp;IF(AND(D260="mobile",J260&lt;&gt;"invalid",NOT(OR(AND(LEN(E260&amp;"")=10,LEFT(E260&amp;"",2)="09"),AND(LEN(E260&amp;"")=9,LEFT(E260&amp;"",1)="9")))),"mobile must be 09XXXXXXXX or status invalid; ","")&amp;IF(COUNTIFS($A$6:$A$505,A260,$B$6:$B$505,B260,$E$6:$E$505,E260)&gt;1,"duplicate number for same entity; ",""))))</x:f>
      </x:c>
    </x:row>
    <x:row r="261">
      <x:c r="A261" s="251"/>
      <x:c r="B261" s="252"/>
      <x:c r="C261" s="253"/>
      <x:c r="D261" s="253"/>
      <x:c r="E261" s="252"/>
      <x:c r="F261" s="252"/>
      <x:c r="G261" s="253"/>
      <x:c r="H261" s="253"/>
      <x:c r="I261" s="253"/>
      <x:c r="J261" s="253"/>
      <x:c r="K261" s="253"/>
      <x:c r="L261" s="253"/>
      <x:c r="M261" s="253" t="str">
        <x:f>IF(AND(A261="",B261="",E261=""),"",IF(OR(A261="",B261="",C261="",D261="",E261="",J261="",AND(A261="client",COUNTIF('الزبائن'!$A$6:$A$505,B261)=0),AND(A261="proposed_name",COUNTIF('أسماء مقترحة'!$A$6:$A$505,B261)=0),AND(D261="mobile",J261&lt;&gt;"invalid",NOT(OR(AND(LEN(E261&amp;"")=10,LEFT(E261&amp;"",2)="09"),AND(LEN(E261&amp;"")=9,LEFT(E261&amp;"",1)="9")))),COUNTIFS($A$6:$A$505,A261,$B$6:$B$505,B261,$E$6:$E$505,E261)&gt;1),"REVIEW","READY"))</x:f>
      </x:c>
      <x:c r="N261" s="255" t="str">
        <x:f>IF(M261="","",IF(M261="READY","",TRIM(IF(A261="","missing entity_type; ","")&amp;IF(B261="","missing entity_key; ","")&amp;IF(C261="","missing contact_order; ","")&amp;IF(D261="","missing contact_type; ","")&amp;IF(E261="","missing number; ","")&amp;IF(J261="","missing status; ","")&amp;IF(AND(A261="client",COUNTIF('الزبائن'!$A$6:$A$505,B261)=0),"client key not found; ","")&amp;IF(AND(A261="proposed_name",COUNTIF('أسماء مقترحة'!$A$6:$A$505,B261)=0),"proposed_name key not found; ","")&amp;IF(AND(D261="mobile",J261&lt;&gt;"invalid",NOT(OR(AND(LEN(E261&amp;"")=10,LEFT(E261&amp;"",2)="09"),AND(LEN(E261&amp;"")=9,LEFT(E261&amp;"",1)="9")))),"mobile must be 09XXXXXXXX or status invalid; ","")&amp;IF(COUNTIFS($A$6:$A$505,A261,$B$6:$B$505,B261,$E$6:$E$505,E261)&gt;1,"duplicate number for same entity; ",""))))</x:f>
      </x:c>
    </x:row>
    <x:row r="262">
      <x:c r="A262" s="251"/>
      <x:c r="B262" s="252"/>
      <x:c r="C262" s="253"/>
      <x:c r="D262" s="253"/>
      <x:c r="E262" s="252"/>
      <x:c r="F262" s="252"/>
      <x:c r="G262" s="253"/>
      <x:c r="H262" s="253"/>
      <x:c r="I262" s="253"/>
      <x:c r="J262" s="253"/>
      <x:c r="K262" s="253"/>
      <x:c r="L262" s="253"/>
      <x:c r="M262" s="253" t="str">
        <x:f>IF(AND(A262="",B262="",E262=""),"",IF(OR(A262="",B262="",C262="",D262="",E262="",J262="",AND(A262="client",COUNTIF('الزبائن'!$A$6:$A$505,B262)=0),AND(A262="proposed_name",COUNTIF('أسماء مقترحة'!$A$6:$A$505,B262)=0),AND(D262="mobile",J262&lt;&gt;"invalid",NOT(OR(AND(LEN(E262&amp;"")=10,LEFT(E262&amp;"",2)="09"),AND(LEN(E262&amp;"")=9,LEFT(E262&amp;"",1)="9")))),COUNTIFS($A$6:$A$505,A262,$B$6:$B$505,B262,$E$6:$E$505,E262)&gt;1),"REVIEW","READY"))</x:f>
      </x:c>
      <x:c r="N262" s="255" t="str">
        <x:f>IF(M262="","",IF(M262="READY","",TRIM(IF(A262="","missing entity_type; ","")&amp;IF(B262="","missing entity_key; ","")&amp;IF(C262="","missing contact_order; ","")&amp;IF(D262="","missing contact_type; ","")&amp;IF(E262="","missing number; ","")&amp;IF(J262="","missing status; ","")&amp;IF(AND(A262="client",COUNTIF('الزبائن'!$A$6:$A$505,B262)=0),"client key not found; ","")&amp;IF(AND(A262="proposed_name",COUNTIF('أسماء مقترحة'!$A$6:$A$505,B262)=0),"proposed_name key not found; ","")&amp;IF(AND(D262="mobile",J262&lt;&gt;"invalid",NOT(OR(AND(LEN(E262&amp;"")=10,LEFT(E262&amp;"",2)="09"),AND(LEN(E262&amp;"")=9,LEFT(E262&amp;"",1)="9")))),"mobile must be 09XXXXXXXX or status invalid; ","")&amp;IF(COUNTIFS($A$6:$A$505,A262,$B$6:$B$505,B262,$E$6:$E$505,E262)&gt;1,"duplicate number for same entity; ",""))))</x:f>
      </x:c>
    </x:row>
    <x:row r="263">
      <x:c r="A263" s="251"/>
      <x:c r="B263" s="252"/>
      <x:c r="C263" s="253"/>
      <x:c r="D263" s="253"/>
      <x:c r="E263" s="252"/>
      <x:c r="F263" s="252"/>
      <x:c r="G263" s="253"/>
      <x:c r="H263" s="253"/>
      <x:c r="I263" s="253"/>
      <x:c r="J263" s="253"/>
      <x:c r="K263" s="253"/>
      <x:c r="L263" s="253"/>
      <x:c r="M263" s="253" t="str">
        <x:f>IF(AND(A263="",B263="",E263=""),"",IF(OR(A263="",B263="",C263="",D263="",E263="",J263="",AND(A263="client",COUNTIF('الزبائن'!$A$6:$A$505,B263)=0),AND(A263="proposed_name",COUNTIF('أسماء مقترحة'!$A$6:$A$505,B263)=0),AND(D263="mobile",J263&lt;&gt;"invalid",NOT(OR(AND(LEN(E263&amp;"")=10,LEFT(E263&amp;"",2)="09"),AND(LEN(E263&amp;"")=9,LEFT(E263&amp;"",1)="9")))),COUNTIFS($A$6:$A$505,A263,$B$6:$B$505,B263,$E$6:$E$505,E263)&gt;1),"REVIEW","READY"))</x:f>
      </x:c>
      <x:c r="N263" s="255" t="str">
        <x:f>IF(M263="","",IF(M263="READY","",TRIM(IF(A263="","missing entity_type; ","")&amp;IF(B263="","missing entity_key; ","")&amp;IF(C263="","missing contact_order; ","")&amp;IF(D263="","missing contact_type; ","")&amp;IF(E263="","missing number; ","")&amp;IF(J263="","missing status; ","")&amp;IF(AND(A263="client",COUNTIF('الزبائن'!$A$6:$A$505,B263)=0),"client key not found; ","")&amp;IF(AND(A263="proposed_name",COUNTIF('أسماء مقترحة'!$A$6:$A$505,B263)=0),"proposed_name key not found; ","")&amp;IF(AND(D263="mobile",J263&lt;&gt;"invalid",NOT(OR(AND(LEN(E263&amp;"")=10,LEFT(E263&amp;"",2)="09"),AND(LEN(E263&amp;"")=9,LEFT(E263&amp;"",1)="9")))),"mobile must be 09XXXXXXXX or status invalid; ","")&amp;IF(COUNTIFS($A$6:$A$505,A263,$B$6:$B$505,B263,$E$6:$E$505,E263)&gt;1,"duplicate number for same entity; ",""))))</x:f>
      </x:c>
    </x:row>
    <x:row r="264">
      <x:c r="A264" s="251"/>
      <x:c r="B264" s="252"/>
      <x:c r="C264" s="253"/>
      <x:c r="D264" s="253"/>
      <x:c r="E264" s="252"/>
      <x:c r="F264" s="252"/>
      <x:c r="G264" s="253"/>
      <x:c r="H264" s="253"/>
      <x:c r="I264" s="253"/>
      <x:c r="J264" s="253"/>
      <x:c r="K264" s="253"/>
      <x:c r="L264" s="253"/>
      <x:c r="M264" s="253" t="str">
        <x:f>IF(AND(A264="",B264="",E264=""),"",IF(OR(A264="",B264="",C264="",D264="",E264="",J264="",AND(A264="client",COUNTIF('الزبائن'!$A$6:$A$505,B264)=0),AND(A264="proposed_name",COUNTIF('أسماء مقترحة'!$A$6:$A$505,B264)=0),AND(D264="mobile",J264&lt;&gt;"invalid",NOT(OR(AND(LEN(E264&amp;"")=10,LEFT(E264&amp;"",2)="09"),AND(LEN(E264&amp;"")=9,LEFT(E264&amp;"",1)="9")))),COUNTIFS($A$6:$A$505,A264,$B$6:$B$505,B264,$E$6:$E$505,E264)&gt;1),"REVIEW","READY"))</x:f>
      </x:c>
      <x:c r="N264" s="255" t="str">
        <x:f>IF(M264="","",IF(M264="READY","",TRIM(IF(A264="","missing entity_type; ","")&amp;IF(B264="","missing entity_key; ","")&amp;IF(C264="","missing contact_order; ","")&amp;IF(D264="","missing contact_type; ","")&amp;IF(E264="","missing number; ","")&amp;IF(J264="","missing status; ","")&amp;IF(AND(A264="client",COUNTIF('الزبائن'!$A$6:$A$505,B264)=0),"client key not found; ","")&amp;IF(AND(A264="proposed_name",COUNTIF('أسماء مقترحة'!$A$6:$A$505,B264)=0),"proposed_name key not found; ","")&amp;IF(AND(D264="mobile",J264&lt;&gt;"invalid",NOT(OR(AND(LEN(E264&amp;"")=10,LEFT(E264&amp;"",2)="09"),AND(LEN(E264&amp;"")=9,LEFT(E264&amp;"",1)="9")))),"mobile must be 09XXXXXXXX or status invalid; ","")&amp;IF(COUNTIFS($A$6:$A$505,A264,$B$6:$B$505,B264,$E$6:$E$505,E264)&gt;1,"duplicate number for same entity; ",""))))</x:f>
      </x:c>
    </x:row>
    <x:row r="265">
      <x:c r="A265" s="251"/>
      <x:c r="B265" s="252"/>
      <x:c r="C265" s="253"/>
      <x:c r="D265" s="253"/>
      <x:c r="E265" s="252"/>
      <x:c r="F265" s="252"/>
      <x:c r="G265" s="253"/>
      <x:c r="H265" s="253"/>
      <x:c r="I265" s="253"/>
      <x:c r="J265" s="253"/>
      <x:c r="K265" s="253"/>
      <x:c r="L265" s="253"/>
      <x:c r="M265" s="253" t="str">
        <x:f>IF(AND(A265="",B265="",E265=""),"",IF(OR(A265="",B265="",C265="",D265="",E265="",J265="",AND(A265="client",COUNTIF('الزبائن'!$A$6:$A$505,B265)=0),AND(A265="proposed_name",COUNTIF('أسماء مقترحة'!$A$6:$A$505,B265)=0),AND(D265="mobile",J265&lt;&gt;"invalid",NOT(OR(AND(LEN(E265&amp;"")=10,LEFT(E265&amp;"",2)="09"),AND(LEN(E265&amp;"")=9,LEFT(E265&amp;"",1)="9")))),COUNTIFS($A$6:$A$505,A265,$B$6:$B$505,B265,$E$6:$E$505,E265)&gt;1),"REVIEW","READY"))</x:f>
      </x:c>
      <x:c r="N265" s="255" t="str">
        <x:f>IF(M265="","",IF(M265="READY","",TRIM(IF(A265="","missing entity_type; ","")&amp;IF(B265="","missing entity_key; ","")&amp;IF(C265="","missing contact_order; ","")&amp;IF(D265="","missing contact_type; ","")&amp;IF(E265="","missing number; ","")&amp;IF(J265="","missing status; ","")&amp;IF(AND(A265="client",COUNTIF('الزبائن'!$A$6:$A$505,B265)=0),"client key not found; ","")&amp;IF(AND(A265="proposed_name",COUNTIF('أسماء مقترحة'!$A$6:$A$505,B265)=0),"proposed_name key not found; ","")&amp;IF(AND(D265="mobile",J265&lt;&gt;"invalid",NOT(OR(AND(LEN(E265&amp;"")=10,LEFT(E265&amp;"",2)="09"),AND(LEN(E265&amp;"")=9,LEFT(E265&amp;"",1)="9")))),"mobile must be 09XXXXXXXX or status invalid; ","")&amp;IF(COUNTIFS($A$6:$A$505,A265,$B$6:$B$505,B265,$E$6:$E$505,E265)&gt;1,"duplicate number for same entity; ",""))))</x:f>
      </x:c>
    </x:row>
    <x:row r="266">
      <x:c r="A266" s="251"/>
      <x:c r="B266" s="252"/>
      <x:c r="C266" s="253"/>
      <x:c r="D266" s="253"/>
      <x:c r="E266" s="252"/>
      <x:c r="F266" s="252"/>
      <x:c r="G266" s="253"/>
      <x:c r="H266" s="253"/>
      <x:c r="I266" s="253"/>
      <x:c r="J266" s="253"/>
      <x:c r="K266" s="253"/>
      <x:c r="L266" s="253"/>
      <x:c r="M266" s="253" t="str">
        <x:f>IF(AND(A266="",B266="",E266=""),"",IF(OR(A266="",B266="",C266="",D266="",E266="",J266="",AND(A266="client",COUNTIF('الزبائن'!$A$6:$A$505,B266)=0),AND(A266="proposed_name",COUNTIF('أسماء مقترحة'!$A$6:$A$505,B266)=0),AND(D266="mobile",J266&lt;&gt;"invalid",NOT(OR(AND(LEN(E266&amp;"")=10,LEFT(E266&amp;"",2)="09"),AND(LEN(E266&amp;"")=9,LEFT(E266&amp;"",1)="9")))),COUNTIFS($A$6:$A$505,A266,$B$6:$B$505,B266,$E$6:$E$505,E266)&gt;1),"REVIEW","READY"))</x:f>
      </x:c>
      <x:c r="N266" s="255" t="str">
        <x:f>IF(M266="","",IF(M266="READY","",TRIM(IF(A266="","missing entity_type; ","")&amp;IF(B266="","missing entity_key; ","")&amp;IF(C266="","missing contact_order; ","")&amp;IF(D266="","missing contact_type; ","")&amp;IF(E266="","missing number; ","")&amp;IF(J266="","missing status; ","")&amp;IF(AND(A266="client",COUNTIF('الزبائن'!$A$6:$A$505,B266)=0),"client key not found; ","")&amp;IF(AND(A266="proposed_name",COUNTIF('أسماء مقترحة'!$A$6:$A$505,B266)=0),"proposed_name key not found; ","")&amp;IF(AND(D266="mobile",J266&lt;&gt;"invalid",NOT(OR(AND(LEN(E266&amp;"")=10,LEFT(E266&amp;"",2)="09"),AND(LEN(E266&amp;"")=9,LEFT(E266&amp;"",1)="9")))),"mobile must be 09XXXXXXXX or status invalid; ","")&amp;IF(COUNTIFS($A$6:$A$505,A266,$B$6:$B$505,B266,$E$6:$E$505,E266)&gt;1,"duplicate number for same entity; ",""))))</x:f>
      </x:c>
    </x:row>
    <x:row r="267">
      <x:c r="A267" s="251"/>
      <x:c r="B267" s="252"/>
      <x:c r="C267" s="253"/>
      <x:c r="D267" s="253"/>
      <x:c r="E267" s="252"/>
      <x:c r="F267" s="252"/>
      <x:c r="G267" s="253"/>
      <x:c r="H267" s="253"/>
      <x:c r="I267" s="253"/>
      <x:c r="J267" s="253"/>
      <x:c r="K267" s="253"/>
      <x:c r="L267" s="253"/>
      <x:c r="M267" s="253" t="str">
        <x:f>IF(AND(A267="",B267="",E267=""),"",IF(OR(A267="",B267="",C267="",D267="",E267="",J267="",AND(A267="client",COUNTIF('الزبائن'!$A$6:$A$505,B267)=0),AND(A267="proposed_name",COUNTIF('أسماء مقترحة'!$A$6:$A$505,B267)=0),AND(D267="mobile",J267&lt;&gt;"invalid",NOT(OR(AND(LEN(E267&amp;"")=10,LEFT(E267&amp;"",2)="09"),AND(LEN(E267&amp;"")=9,LEFT(E267&amp;"",1)="9")))),COUNTIFS($A$6:$A$505,A267,$B$6:$B$505,B267,$E$6:$E$505,E267)&gt;1),"REVIEW","READY"))</x:f>
      </x:c>
      <x:c r="N267" s="255" t="str">
        <x:f>IF(M267="","",IF(M267="READY","",TRIM(IF(A267="","missing entity_type; ","")&amp;IF(B267="","missing entity_key; ","")&amp;IF(C267="","missing contact_order; ","")&amp;IF(D267="","missing contact_type; ","")&amp;IF(E267="","missing number; ","")&amp;IF(J267="","missing status; ","")&amp;IF(AND(A267="client",COUNTIF('الزبائن'!$A$6:$A$505,B267)=0),"client key not found; ","")&amp;IF(AND(A267="proposed_name",COUNTIF('أسماء مقترحة'!$A$6:$A$505,B267)=0),"proposed_name key not found; ","")&amp;IF(AND(D267="mobile",J267&lt;&gt;"invalid",NOT(OR(AND(LEN(E267&amp;"")=10,LEFT(E267&amp;"",2)="09"),AND(LEN(E267&amp;"")=9,LEFT(E267&amp;"",1)="9")))),"mobile must be 09XXXXXXXX or status invalid; ","")&amp;IF(COUNTIFS($A$6:$A$505,A267,$B$6:$B$505,B267,$E$6:$E$505,E267)&gt;1,"duplicate number for same entity; ",""))))</x:f>
      </x:c>
    </x:row>
    <x:row r="268">
      <x:c r="A268" s="251"/>
      <x:c r="B268" s="252"/>
      <x:c r="C268" s="253"/>
      <x:c r="D268" s="253"/>
      <x:c r="E268" s="252"/>
      <x:c r="F268" s="252"/>
      <x:c r="G268" s="253"/>
      <x:c r="H268" s="253"/>
      <x:c r="I268" s="253"/>
      <x:c r="J268" s="253"/>
      <x:c r="K268" s="253"/>
      <x:c r="L268" s="253"/>
      <x:c r="M268" s="253" t="str">
        <x:f>IF(AND(A268="",B268="",E268=""),"",IF(OR(A268="",B268="",C268="",D268="",E268="",J268="",AND(A268="client",COUNTIF('الزبائن'!$A$6:$A$505,B268)=0),AND(A268="proposed_name",COUNTIF('أسماء مقترحة'!$A$6:$A$505,B268)=0),AND(D268="mobile",J268&lt;&gt;"invalid",NOT(OR(AND(LEN(E268&amp;"")=10,LEFT(E268&amp;"",2)="09"),AND(LEN(E268&amp;"")=9,LEFT(E268&amp;"",1)="9")))),COUNTIFS($A$6:$A$505,A268,$B$6:$B$505,B268,$E$6:$E$505,E268)&gt;1),"REVIEW","READY"))</x:f>
      </x:c>
      <x:c r="N268" s="255" t="str">
        <x:f>IF(M268="","",IF(M268="READY","",TRIM(IF(A268="","missing entity_type; ","")&amp;IF(B268="","missing entity_key; ","")&amp;IF(C268="","missing contact_order; ","")&amp;IF(D268="","missing contact_type; ","")&amp;IF(E268="","missing number; ","")&amp;IF(J268="","missing status; ","")&amp;IF(AND(A268="client",COUNTIF('الزبائن'!$A$6:$A$505,B268)=0),"client key not found; ","")&amp;IF(AND(A268="proposed_name",COUNTIF('أسماء مقترحة'!$A$6:$A$505,B268)=0),"proposed_name key not found; ","")&amp;IF(AND(D268="mobile",J268&lt;&gt;"invalid",NOT(OR(AND(LEN(E268&amp;"")=10,LEFT(E268&amp;"",2)="09"),AND(LEN(E268&amp;"")=9,LEFT(E268&amp;"",1)="9")))),"mobile must be 09XXXXXXXX or status invalid; ","")&amp;IF(COUNTIFS($A$6:$A$505,A268,$B$6:$B$505,B268,$E$6:$E$505,E268)&gt;1,"duplicate number for same entity; ",""))))</x:f>
      </x:c>
    </x:row>
    <x:row r="269">
      <x:c r="A269" s="251"/>
      <x:c r="B269" s="252"/>
      <x:c r="C269" s="253"/>
      <x:c r="D269" s="253"/>
      <x:c r="E269" s="252"/>
      <x:c r="F269" s="252"/>
      <x:c r="G269" s="253"/>
      <x:c r="H269" s="253"/>
      <x:c r="I269" s="253"/>
      <x:c r="J269" s="253"/>
      <x:c r="K269" s="253"/>
      <x:c r="L269" s="253"/>
      <x:c r="M269" s="253" t="str">
        <x:f>IF(AND(A269="",B269="",E269=""),"",IF(OR(A269="",B269="",C269="",D269="",E269="",J269="",AND(A269="client",COUNTIF('الزبائن'!$A$6:$A$505,B269)=0),AND(A269="proposed_name",COUNTIF('أسماء مقترحة'!$A$6:$A$505,B269)=0),AND(D269="mobile",J269&lt;&gt;"invalid",NOT(OR(AND(LEN(E269&amp;"")=10,LEFT(E269&amp;"",2)="09"),AND(LEN(E269&amp;"")=9,LEFT(E269&amp;"",1)="9")))),COUNTIFS($A$6:$A$505,A269,$B$6:$B$505,B269,$E$6:$E$505,E269)&gt;1),"REVIEW","READY"))</x:f>
      </x:c>
      <x:c r="N269" s="255" t="str">
        <x:f>IF(M269="","",IF(M269="READY","",TRIM(IF(A269="","missing entity_type; ","")&amp;IF(B269="","missing entity_key; ","")&amp;IF(C269="","missing contact_order; ","")&amp;IF(D269="","missing contact_type; ","")&amp;IF(E269="","missing number; ","")&amp;IF(J269="","missing status; ","")&amp;IF(AND(A269="client",COUNTIF('الزبائن'!$A$6:$A$505,B269)=0),"client key not found; ","")&amp;IF(AND(A269="proposed_name",COUNTIF('أسماء مقترحة'!$A$6:$A$505,B269)=0),"proposed_name key not found; ","")&amp;IF(AND(D269="mobile",J269&lt;&gt;"invalid",NOT(OR(AND(LEN(E269&amp;"")=10,LEFT(E269&amp;"",2)="09"),AND(LEN(E269&amp;"")=9,LEFT(E269&amp;"",1)="9")))),"mobile must be 09XXXXXXXX or status invalid; ","")&amp;IF(COUNTIFS($A$6:$A$505,A269,$B$6:$B$505,B269,$E$6:$E$505,E269)&gt;1,"duplicate number for same entity; ",""))))</x:f>
      </x:c>
    </x:row>
    <x:row r="270">
      <x:c r="A270" s="251"/>
      <x:c r="B270" s="252"/>
      <x:c r="C270" s="253"/>
      <x:c r="D270" s="253"/>
      <x:c r="E270" s="252"/>
      <x:c r="F270" s="252"/>
      <x:c r="G270" s="253"/>
      <x:c r="H270" s="253"/>
      <x:c r="I270" s="253"/>
      <x:c r="J270" s="253"/>
      <x:c r="K270" s="253"/>
      <x:c r="L270" s="253"/>
      <x:c r="M270" s="253" t="str">
        <x:f>IF(AND(A270="",B270="",E270=""),"",IF(OR(A270="",B270="",C270="",D270="",E270="",J270="",AND(A270="client",COUNTIF('الزبائن'!$A$6:$A$505,B270)=0),AND(A270="proposed_name",COUNTIF('أسماء مقترحة'!$A$6:$A$505,B270)=0),AND(D270="mobile",J270&lt;&gt;"invalid",NOT(OR(AND(LEN(E270&amp;"")=10,LEFT(E270&amp;"",2)="09"),AND(LEN(E270&amp;"")=9,LEFT(E270&amp;"",1)="9")))),COUNTIFS($A$6:$A$505,A270,$B$6:$B$505,B270,$E$6:$E$505,E270)&gt;1),"REVIEW","READY"))</x:f>
      </x:c>
      <x:c r="N270" s="255" t="str">
        <x:f>IF(M270="","",IF(M270="READY","",TRIM(IF(A270="","missing entity_type; ","")&amp;IF(B270="","missing entity_key; ","")&amp;IF(C270="","missing contact_order; ","")&amp;IF(D270="","missing contact_type; ","")&amp;IF(E270="","missing number; ","")&amp;IF(J270="","missing status; ","")&amp;IF(AND(A270="client",COUNTIF('الزبائن'!$A$6:$A$505,B270)=0),"client key not found; ","")&amp;IF(AND(A270="proposed_name",COUNTIF('أسماء مقترحة'!$A$6:$A$505,B270)=0),"proposed_name key not found; ","")&amp;IF(AND(D270="mobile",J270&lt;&gt;"invalid",NOT(OR(AND(LEN(E270&amp;"")=10,LEFT(E270&amp;"",2)="09"),AND(LEN(E270&amp;"")=9,LEFT(E270&amp;"",1)="9")))),"mobile must be 09XXXXXXXX or status invalid; ","")&amp;IF(COUNTIFS($A$6:$A$505,A270,$B$6:$B$505,B270,$E$6:$E$505,E270)&gt;1,"duplicate number for same entity; ",""))))</x:f>
      </x:c>
    </x:row>
    <x:row r="271">
      <x:c r="A271" s="251"/>
      <x:c r="B271" s="252"/>
      <x:c r="C271" s="253"/>
      <x:c r="D271" s="253"/>
      <x:c r="E271" s="252"/>
      <x:c r="F271" s="252"/>
      <x:c r="G271" s="253"/>
      <x:c r="H271" s="253"/>
      <x:c r="I271" s="253"/>
      <x:c r="J271" s="253"/>
      <x:c r="K271" s="253"/>
      <x:c r="L271" s="253"/>
      <x:c r="M271" s="253" t="str">
        <x:f>IF(AND(A271="",B271="",E271=""),"",IF(OR(A271="",B271="",C271="",D271="",E271="",J271="",AND(A271="client",COUNTIF('الزبائن'!$A$6:$A$505,B271)=0),AND(A271="proposed_name",COUNTIF('أسماء مقترحة'!$A$6:$A$505,B271)=0),AND(D271="mobile",J271&lt;&gt;"invalid",NOT(OR(AND(LEN(E271&amp;"")=10,LEFT(E271&amp;"",2)="09"),AND(LEN(E271&amp;"")=9,LEFT(E271&amp;"",1)="9")))),COUNTIFS($A$6:$A$505,A271,$B$6:$B$505,B271,$E$6:$E$505,E271)&gt;1),"REVIEW","READY"))</x:f>
      </x:c>
      <x:c r="N271" s="255" t="str">
        <x:f>IF(M271="","",IF(M271="READY","",TRIM(IF(A271="","missing entity_type; ","")&amp;IF(B271="","missing entity_key; ","")&amp;IF(C271="","missing contact_order; ","")&amp;IF(D271="","missing contact_type; ","")&amp;IF(E271="","missing number; ","")&amp;IF(J271="","missing status; ","")&amp;IF(AND(A271="client",COUNTIF('الزبائن'!$A$6:$A$505,B271)=0),"client key not found; ","")&amp;IF(AND(A271="proposed_name",COUNTIF('أسماء مقترحة'!$A$6:$A$505,B271)=0),"proposed_name key not found; ","")&amp;IF(AND(D271="mobile",J271&lt;&gt;"invalid",NOT(OR(AND(LEN(E271&amp;"")=10,LEFT(E271&amp;"",2)="09"),AND(LEN(E271&amp;"")=9,LEFT(E271&amp;"",1)="9")))),"mobile must be 09XXXXXXXX or status invalid; ","")&amp;IF(COUNTIFS($A$6:$A$505,A271,$B$6:$B$505,B271,$E$6:$E$505,E271)&gt;1,"duplicate number for same entity; ",""))))</x:f>
      </x:c>
    </x:row>
    <x:row r="272">
      <x:c r="A272" s="251"/>
      <x:c r="B272" s="252"/>
      <x:c r="C272" s="253"/>
      <x:c r="D272" s="253"/>
      <x:c r="E272" s="252"/>
      <x:c r="F272" s="252"/>
      <x:c r="G272" s="253"/>
      <x:c r="H272" s="253"/>
      <x:c r="I272" s="253"/>
      <x:c r="J272" s="253"/>
      <x:c r="K272" s="253"/>
      <x:c r="L272" s="253"/>
      <x:c r="M272" s="253" t="str">
        <x:f>IF(AND(A272="",B272="",E272=""),"",IF(OR(A272="",B272="",C272="",D272="",E272="",J272="",AND(A272="client",COUNTIF('الزبائن'!$A$6:$A$505,B272)=0),AND(A272="proposed_name",COUNTIF('أسماء مقترحة'!$A$6:$A$505,B272)=0),AND(D272="mobile",J272&lt;&gt;"invalid",NOT(OR(AND(LEN(E272&amp;"")=10,LEFT(E272&amp;"",2)="09"),AND(LEN(E272&amp;"")=9,LEFT(E272&amp;"",1)="9")))),COUNTIFS($A$6:$A$505,A272,$B$6:$B$505,B272,$E$6:$E$505,E272)&gt;1),"REVIEW","READY"))</x:f>
      </x:c>
      <x:c r="N272" s="255" t="str">
        <x:f>IF(M272="","",IF(M272="READY","",TRIM(IF(A272="","missing entity_type; ","")&amp;IF(B272="","missing entity_key; ","")&amp;IF(C272="","missing contact_order; ","")&amp;IF(D272="","missing contact_type; ","")&amp;IF(E272="","missing number; ","")&amp;IF(J272="","missing status; ","")&amp;IF(AND(A272="client",COUNTIF('الزبائن'!$A$6:$A$505,B272)=0),"client key not found; ","")&amp;IF(AND(A272="proposed_name",COUNTIF('أسماء مقترحة'!$A$6:$A$505,B272)=0),"proposed_name key not found; ","")&amp;IF(AND(D272="mobile",J272&lt;&gt;"invalid",NOT(OR(AND(LEN(E272&amp;"")=10,LEFT(E272&amp;"",2)="09"),AND(LEN(E272&amp;"")=9,LEFT(E272&amp;"",1)="9")))),"mobile must be 09XXXXXXXX or status invalid; ","")&amp;IF(COUNTIFS($A$6:$A$505,A272,$B$6:$B$505,B272,$E$6:$E$505,E272)&gt;1,"duplicate number for same entity; ",""))))</x:f>
      </x:c>
    </x:row>
    <x:row r="273">
      <x:c r="A273" s="251"/>
      <x:c r="B273" s="252"/>
      <x:c r="C273" s="253"/>
      <x:c r="D273" s="253"/>
      <x:c r="E273" s="252"/>
      <x:c r="F273" s="252"/>
      <x:c r="G273" s="253"/>
      <x:c r="H273" s="253"/>
      <x:c r="I273" s="253"/>
      <x:c r="J273" s="253"/>
      <x:c r="K273" s="253"/>
      <x:c r="L273" s="253"/>
      <x:c r="M273" s="253" t="str">
        <x:f>IF(AND(A273="",B273="",E273=""),"",IF(OR(A273="",B273="",C273="",D273="",E273="",J273="",AND(A273="client",COUNTIF('الزبائن'!$A$6:$A$505,B273)=0),AND(A273="proposed_name",COUNTIF('أسماء مقترحة'!$A$6:$A$505,B273)=0),AND(D273="mobile",J273&lt;&gt;"invalid",NOT(OR(AND(LEN(E273&amp;"")=10,LEFT(E273&amp;"",2)="09"),AND(LEN(E273&amp;"")=9,LEFT(E273&amp;"",1)="9")))),COUNTIFS($A$6:$A$505,A273,$B$6:$B$505,B273,$E$6:$E$505,E273)&gt;1),"REVIEW","READY"))</x:f>
      </x:c>
      <x:c r="N273" s="255" t="str">
        <x:f>IF(M273="","",IF(M273="READY","",TRIM(IF(A273="","missing entity_type; ","")&amp;IF(B273="","missing entity_key; ","")&amp;IF(C273="","missing contact_order; ","")&amp;IF(D273="","missing contact_type; ","")&amp;IF(E273="","missing number; ","")&amp;IF(J273="","missing status; ","")&amp;IF(AND(A273="client",COUNTIF('الزبائن'!$A$6:$A$505,B273)=0),"client key not found; ","")&amp;IF(AND(A273="proposed_name",COUNTIF('أسماء مقترحة'!$A$6:$A$505,B273)=0),"proposed_name key not found; ","")&amp;IF(AND(D273="mobile",J273&lt;&gt;"invalid",NOT(OR(AND(LEN(E273&amp;"")=10,LEFT(E273&amp;"",2)="09"),AND(LEN(E273&amp;"")=9,LEFT(E273&amp;"",1)="9")))),"mobile must be 09XXXXXXXX or status invalid; ","")&amp;IF(COUNTIFS($A$6:$A$505,A273,$B$6:$B$505,B273,$E$6:$E$505,E273)&gt;1,"duplicate number for same entity; ",""))))</x:f>
      </x:c>
    </x:row>
    <x:row r="274">
      <x:c r="A274" s="251"/>
      <x:c r="B274" s="252"/>
      <x:c r="C274" s="253"/>
      <x:c r="D274" s="253"/>
      <x:c r="E274" s="252"/>
      <x:c r="F274" s="252"/>
      <x:c r="G274" s="253"/>
      <x:c r="H274" s="253"/>
      <x:c r="I274" s="253"/>
      <x:c r="J274" s="253"/>
      <x:c r="K274" s="253"/>
      <x:c r="L274" s="253"/>
      <x:c r="M274" s="253" t="str">
        <x:f>IF(AND(A274="",B274="",E274=""),"",IF(OR(A274="",B274="",C274="",D274="",E274="",J274="",AND(A274="client",COUNTIF('الزبائن'!$A$6:$A$505,B274)=0),AND(A274="proposed_name",COUNTIF('أسماء مقترحة'!$A$6:$A$505,B274)=0),AND(D274="mobile",J274&lt;&gt;"invalid",NOT(OR(AND(LEN(E274&amp;"")=10,LEFT(E274&amp;"",2)="09"),AND(LEN(E274&amp;"")=9,LEFT(E274&amp;"",1)="9")))),COUNTIFS($A$6:$A$505,A274,$B$6:$B$505,B274,$E$6:$E$505,E274)&gt;1),"REVIEW","READY"))</x:f>
      </x:c>
      <x:c r="N274" s="255" t="str">
        <x:f>IF(M274="","",IF(M274="READY","",TRIM(IF(A274="","missing entity_type; ","")&amp;IF(B274="","missing entity_key; ","")&amp;IF(C274="","missing contact_order; ","")&amp;IF(D274="","missing contact_type; ","")&amp;IF(E274="","missing number; ","")&amp;IF(J274="","missing status; ","")&amp;IF(AND(A274="client",COUNTIF('الزبائن'!$A$6:$A$505,B274)=0),"client key not found; ","")&amp;IF(AND(A274="proposed_name",COUNTIF('أسماء مقترحة'!$A$6:$A$505,B274)=0),"proposed_name key not found; ","")&amp;IF(AND(D274="mobile",J274&lt;&gt;"invalid",NOT(OR(AND(LEN(E274&amp;"")=10,LEFT(E274&amp;"",2)="09"),AND(LEN(E274&amp;"")=9,LEFT(E274&amp;"",1)="9")))),"mobile must be 09XXXXXXXX or status invalid; ","")&amp;IF(COUNTIFS($A$6:$A$505,A274,$B$6:$B$505,B274,$E$6:$E$505,E274)&gt;1,"duplicate number for same entity; ",""))))</x:f>
      </x:c>
    </x:row>
    <x:row r="275">
      <x:c r="A275" s="251"/>
      <x:c r="B275" s="252"/>
      <x:c r="C275" s="253"/>
      <x:c r="D275" s="253"/>
      <x:c r="E275" s="252"/>
      <x:c r="F275" s="252"/>
      <x:c r="G275" s="253"/>
      <x:c r="H275" s="253"/>
      <x:c r="I275" s="253"/>
      <x:c r="J275" s="253"/>
      <x:c r="K275" s="253"/>
      <x:c r="L275" s="253"/>
      <x:c r="M275" s="253" t="str">
        <x:f>IF(AND(A275="",B275="",E275=""),"",IF(OR(A275="",B275="",C275="",D275="",E275="",J275="",AND(A275="client",COUNTIF('الزبائن'!$A$6:$A$505,B275)=0),AND(A275="proposed_name",COUNTIF('أسماء مقترحة'!$A$6:$A$505,B275)=0),AND(D275="mobile",J275&lt;&gt;"invalid",NOT(OR(AND(LEN(E275&amp;"")=10,LEFT(E275&amp;"",2)="09"),AND(LEN(E275&amp;"")=9,LEFT(E275&amp;"",1)="9")))),COUNTIFS($A$6:$A$505,A275,$B$6:$B$505,B275,$E$6:$E$505,E275)&gt;1),"REVIEW","READY"))</x:f>
      </x:c>
      <x:c r="N275" s="255" t="str">
        <x:f>IF(M275="","",IF(M275="READY","",TRIM(IF(A275="","missing entity_type; ","")&amp;IF(B275="","missing entity_key; ","")&amp;IF(C275="","missing contact_order; ","")&amp;IF(D275="","missing contact_type; ","")&amp;IF(E275="","missing number; ","")&amp;IF(J275="","missing status; ","")&amp;IF(AND(A275="client",COUNTIF('الزبائن'!$A$6:$A$505,B275)=0),"client key not found; ","")&amp;IF(AND(A275="proposed_name",COUNTIF('أسماء مقترحة'!$A$6:$A$505,B275)=0),"proposed_name key not found; ","")&amp;IF(AND(D275="mobile",J275&lt;&gt;"invalid",NOT(OR(AND(LEN(E275&amp;"")=10,LEFT(E275&amp;"",2)="09"),AND(LEN(E275&amp;"")=9,LEFT(E275&amp;"",1)="9")))),"mobile must be 09XXXXXXXX or status invalid; ","")&amp;IF(COUNTIFS($A$6:$A$505,A275,$B$6:$B$505,B275,$E$6:$E$505,E275)&gt;1,"duplicate number for same entity; ",""))))</x:f>
      </x:c>
    </x:row>
    <x:row r="276">
      <x:c r="A276" s="251"/>
      <x:c r="B276" s="252"/>
      <x:c r="C276" s="253"/>
      <x:c r="D276" s="253"/>
      <x:c r="E276" s="252"/>
      <x:c r="F276" s="252"/>
      <x:c r="G276" s="253"/>
      <x:c r="H276" s="253"/>
      <x:c r="I276" s="253"/>
      <x:c r="J276" s="253"/>
      <x:c r="K276" s="253"/>
      <x:c r="L276" s="253"/>
      <x:c r="M276" s="253" t="str">
        <x:f>IF(AND(A276="",B276="",E276=""),"",IF(OR(A276="",B276="",C276="",D276="",E276="",J276="",AND(A276="client",COUNTIF('الزبائن'!$A$6:$A$505,B276)=0),AND(A276="proposed_name",COUNTIF('أسماء مقترحة'!$A$6:$A$505,B276)=0),AND(D276="mobile",J276&lt;&gt;"invalid",NOT(OR(AND(LEN(E276&amp;"")=10,LEFT(E276&amp;"",2)="09"),AND(LEN(E276&amp;"")=9,LEFT(E276&amp;"",1)="9")))),COUNTIFS($A$6:$A$505,A276,$B$6:$B$505,B276,$E$6:$E$505,E276)&gt;1),"REVIEW","READY"))</x:f>
      </x:c>
      <x:c r="N276" s="255" t="str">
        <x:f>IF(M276="","",IF(M276="READY","",TRIM(IF(A276="","missing entity_type; ","")&amp;IF(B276="","missing entity_key; ","")&amp;IF(C276="","missing contact_order; ","")&amp;IF(D276="","missing contact_type; ","")&amp;IF(E276="","missing number; ","")&amp;IF(J276="","missing status; ","")&amp;IF(AND(A276="client",COUNTIF('الزبائن'!$A$6:$A$505,B276)=0),"client key not found; ","")&amp;IF(AND(A276="proposed_name",COUNTIF('أسماء مقترحة'!$A$6:$A$505,B276)=0),"proposed_name key not found; ","")&amp;IF(AND(D276="mobile",J276&lt;&gt;"invalid",NOT(OR(AND(LEN(E276&amp;"")=10,LEFT(E276&amp;"",2)="09"),AND(LEN(E276&amp;"")=9,LEFT(E276&amp;"",1)="9")))),"mobile must be 09XXXXXXXX or status invalid; ","")&amp;IF(COUNTIFS($A$6:$A$505,A276,$B$6:$B$505,B276,$E$6:$E$505,E276)&gt;1,"duplicate number for same entity; ",""))))</x:f>
      </x:c>
    </x:row>
    <x:row r="277">
      <x:c r="A277" s="251"/>
      <x:c r="B277" s="252"/>
      <x:c r="C277" s="253"/>
      <x:c r="D277" s="253"/>
      <x:c r="E277" s="252"/>
      <x:c r="F277" s="252"/>
      <x:c r="G277" s="253"/>
      <x:c r="H277" s="253"/>
      <x:c r="I277" s="253"/>
      <x:c r="J277" s="253"/>
      <x:c r="K277" s="253"/>
      <x:c r="L277" s="253"/>
      <x:c r="M277" s="253" t="str">
        <x:f>IF(AND(A277="",B277="",E277=""),"",IF(OR(A277="",B277="",C277="",D277="",E277="",J277="",AND(A277="client",COUNTIF('الزبائن'!$A$6:$A$505,B277)=0),AND(A277="proposed_name",COUNTIF('أسماء مقترحة'!$A$6:$A$505,B277)=0),AND(D277="mobile",J277&lt;&gt;"invalid",NOT(OR(AND(LEN(E277&amp;"")=10,LEFT(E277&amp;"",2)="09"),AND(LEN(E277&amp;"")=9,LEFT(E277&amp;"",1)="9")))),COUNTIFS($A$6:$A$505,A277,$B$6:$B$505,B277,$E$6:$E$505,E277)&gt;1),"REVIEW","READY"))</x:f>
      </x:c>
      <x:c r="N277" s="255" t="str">
        <x:f>IF(M277="","",IF(M277="READY","",TRIM(IF(A277="","missing entity_type; ","")&amp;IF(B277="","missing entity_key; ","")&amp;IF(C277="","missing contact_order; ","")&amp;IF(D277="","missing contact_type; ","")&amp;IF(E277="","missing number; ","")&amp;IF(J277="","missing status; ","")&amp;IF(AND(A277="client",COUNTIF('الزبائن'!$A$6:$A$505,B277)=0),"client key not found; ","")&amp;IF(AND(A277="proposed_name",COUNTIF('أسماء مقترحة'!$A$6:$A$505,B277)=0),"proposed_name key not found; ","")&amp;IF(AND(D277="mobile",J277&lt;&gt;"invalid",NOT(OR(AND(LEN(E277&amp;"")=10,LEFT(E277&amp;"",2)="09"),AND(LEN(E277&amp;"")=9,LEFT(E277&amp;"",1)="9")))),"mobile must be 09XXXXXXXX or status invalid; ","")&amp;IF(COUNTIFS($A$6:$A$505,A277,$B$6:$B$505,B277,$E$6:$E$505,E277)&gt;1,"duplicate number for same entity; ",""))))</x:f>
      </x:c>
    </x:row>
    <x:row r="278">
      <x:c r="A278" s="251"/>
      <x:c r="B278" s="252"/>
      <x:c r="C278" s="253"/>
      <x:c r="D278" s="253"/>
      <x:c r="E278" s="252"/>
      <x:c r="F278" s="252"/>
      <x:c r="G278" s="253"/>
      <x:c r="H278" s="253"/>
      <x:c r="I278" s="253"/>
      <x:c r="J278" s="253"/>
      <x:c r="K278" s="253"/>
      <x:c r="L278" s="253"/>
      <x:c r="M278" s="253" t="str">
        <x:f>IF(AND(A278="",B278="",E278=""),"",IF(OR(A278="",B278="",C278="",D278="",E278="",J278="",AND(A278="client",COUNTIF('الزبائن'!$A$6:$A$505,B278)=0),AND(A278="proposed_name",COUNTIF('أسماء مقترحة'!$A$6:$A$505,B278)=0),AND(D278="mobile",J278&lt;&gt;"invalid",NOT(OR(AND(LEN(E278&amp;"")=10,LEFT(E278&amp;"",2)="09"),AND(LEN(E278&amp;"")=9,LEFT(E278&amp;"",1)="9")))),COUNTIFS($A$6:$A$505,A278,$B$6:$B$505,B278,$E$6:$E$505,E278)&gt;1),"REVIEW","READY"))</x:f>
      </x:c>
      <x:c r="N278" s="255" t="str">
        <x:f>IF(M278="","",IF(M278="READY","",TRIM(IF(A278="","missing entity_type; ","")&amp;IF(B278="","missing entity_key; ","")&amp;IF(C278="","missing contact_order; ","")&amp;IF(D278="","missing contact_type; ","")&amp;IF(E278="","missing number; ","")&amp;IF(J278="","missing status; ","")&amp;IF(AND(A278="client",COUNTIF('الزبائن'!$A$6:$A$505,B278)=0),"client key not found; ","")&amp;IF(AND(A278="proposed_name",COUNTIF('أسماء مقترحة'!$A$6:$A$505,B278)=0),"proposed_name key not found; ","")&amp;IF(AND(D278="mobile",J278&lt;&gt;"invalid",NOT(OR(AND(LEN(E278&amp;"")=10,LEFT(E278&amp;"",2)="09"),AND(LEN(E278&amp;"")=9,LEFT(E278&amp;"",1)="9")))),"mobile must be 09XXXXXXXX or status invalid; ","")&amp;IF(COUNTIFS($A$6:$A$505,A278,$B$6:$B$505,B278,$E$6:$E$505,E278)&gt;1,"duplicate number for same entity; ",""))))</x:f>
      </x:c>
    </x:row>
    <x:row r="279">
      <x:c r="A279" s="251"/>
      <x:c r="B279" s="252"/>
      <x:c r="C279" s="253"/>
      <x:c r="D279" s="253"/>
      <x:c r="E279" s="252"/>
      <x:c r="F279" s="252"/>
      <x:c r="G279" s="253"/>
      <x:c r="H279" s="253"/>
      <x:c r="I279" s="253"/>
      <x:c r="J279" s="253"/>
      <x:c r="K279" s="253"/>
      <x:c r="L279" s="253"/>
      <x:c r="M279" s="253" t="str">
        <x:f>IF(AND(A279="",B279="",E279=""),"",IF(OR(A279="",B279="",C279="",D279="",E279="",J279="",AND(A279="client",COUNTIF('الزبائن'!$A$6:$A$505,B279)=0),AND(A279="proposed_name",COUNTIF('أسماء مقترحة'!$A$6:$A$505,B279)=0),AND(D279="mobile",J279&lt;&gt;"invalid",NOT(OR(AND(LEN(E279&amp;"")=10,LEFT(E279&amp;"",2)="09"),AND(LEN(E279&amp;"")=9,LEFT(E279&amp;"",1)="9")))),COUNTIFS($A$6:$A$505,A279,$B$6:$B$505,B279,$E$6:$E$505,E279)&gt;1),"REVIEW","READY"))</x:f>
      </x:c>
      <x:c r="N279" s="255" t="str">
        <x:f>IF(M279="","",IF(M279="READY","",TRIM(IF(A279="","missing entity_type; ","")&amp;IF(B279="","missing entity_key; ","")&amp;IF(C279="","missing contact_order; ","")&amp;IF(D279="","missing contact_type; ","")&amp;IF(E279="","missing number; ","")&amp;IF(J279="","missing status; ","")&amp;IF(AND(A279="client",COUNTIF('الزبائن'!$A$6:$A$505,B279)=0),"client key not found; ","")&amp;IF(AND(A279="proposed_name",COUNTIF('أسماء مقترحة'!$A$6:$A$505,B279)=0),"proposed_name key not found; ","")&amp;IF(AND(D279="mobile",J279&lt;&gt;"invalid",NOT(OR(AND(LEN(E279&amp;"")=10,LEFT(E279&amp;"",2)="09"),AND(LEN(E279&amp;"")=9,LEFT(E279&amp;"",1)="9")))),"mobile must be 09XXXXXXXX or status invalid; ","")&amp;IF(COUNTIFS($A$6:$A$505,A279,$B$6:$B$505,B279,$E$6:$E$505,E279)&gt;1,"duplicate number for same entity; ",""))))</x:f>
      </x:c>
    </x:row>
    <x:row r="280">
      <x:c r="A280" s="251"/>
      <x:c r="B280" s="252"/>
      <x:c r="C280" s="253"/>
      <x:c r="D280" s="253"/>
      <x:c r="E280" s="252"/>
      <x:c r="F280" s="252"/>
      <x:c r="G280" s="253"/>
      <x:c r="H280" s="253"/>
      <x:c r="I280" s="253"/>
      <x:c r="J280" s="253"/>
      <x:c r="K280" s="253"/>
      <x:c r="L280" s="253"/>
      <x:c r="M280" s="253" t="str">
        <x:f>IF(AND(A280="",B280="",E280=""),"",IF(OR(A280="",B280="",C280="",D280="",E280="",J280="",AND(A280="client",COUNTIF('الزبائن'!$A$6:$A$505,B280)=0),AND(A280="proposed_name",COUNTIF('أسماء مقترحة'!$A$6:$A$505,B280)=0),AND(D280="mobile",J280&lt;&gt;"invalid",NOT(OR(AND(LEN(E280&amp;"")=10,LEFT(E280&amp;"",2)="09"),AND(LEN(E280&amp;"")=9,LEFT(E280&amp;"",1)="9")))),COUNTIFS($A$6:$A$505,A280,$B$6:$B$505,B280,$E$6:$E$505,E280)&gt;1),"REVIEW","READY"))</x:f>
      </x:c>
      <x:c r="N280" s="255" t="str">
        <x:f>IF(M280="","",IF(M280="READY","",TRIM(IF(A280="","missing entity_type; ","")&amp;IF(B280="","missing entity_key; ","")&amp;IF(C280="","missing contact_order; ","")&amp;IF(D280="","missing contact_type; ","")&amp;IF(E280="","missing number; ","")&amp;IF(J280="","missing status; ","")&amp;IF(AND(A280="client",COUNTIF('الزبائن'!$A$6:$A$505,B280)=0),"client key not found; ","")&amp;IF(AND(A280="proposed_name",COUNTIF('أسماء مقترحة'!$A$6:$A$505,B280)=0),"proposed_name key not found; ","")&amp;IF(AND(D280="mobile",J280&lt;&gt;"invalid",NOT(OR(AND(LEN(E280&amp;"")=10,LEFT(E280&amp;"",2)="09"),AND(LEN(E280&amp;"")=9,LEFT(E280&amp;"",1)="9")))),"mobile must be 09XXXXXXXX or status invalid; ","")&amp;IF(COUNTIFS($A$6:$A$505,A280,$B$6:$B$505,B280,$E$6:$E$505,E280)&gt;1,"duplicate number for same entity; ",""))))</x:f>
      </x:c>
    </x:row>
    <x:row r="281">
      <x:c r="A281" s="251"/>
      <x:c r="B281" s="252"/>
      <x:c r="C281" s="253"/>
      <x:c r="D281" s="253"/>
      <x:c r="E281" s="252"/>
      <x:c r="F281" s="252"/>
      <x:c r="G281" s="253"/>
      <x:c r="H281" s="253"/>
      <x:c r="I281" s="253"/>
      <x:c r="J281" s="253"/>
      <x:c r="K281" s="253"/>
      <x:c r="L281" s="253"/>
      <x:c r="M281" s="253" t="str">
        <x:f>IF(AND(A281="",B281="",E281=""),"",IF(OR(A281="",B281="",C281="",D281="",E281="",J281="",AND(A281="client",COUNTIF('الزبائن'!$A$6:$A$505,B281)=0),AND(A281="proposed_name",COUNTIF('أسماء مقترحة'!$A$6:$A$505,B281)=0),AND(D281="mobile",J281&lt;&gt;"invalid",NOT(OR(AND(LEN(E281&amp;"")=10,LEFT(E281&amp;"",2)="09"),AND(LEN(E281&amp;"")=9,LEFT(E281&amp;"",1)="9")))),COUNTIFS($A$6:$A$505,A281,$B$6:$B$505,B281,$E$6:$E$505,E281)&gt;1),"REVIEW","READY"))</x:f>
      </x:c>
      <x:c r="N281" s="255" t="str">
        <x:f>IF(M281="","",IF(M281="READY","",TRIM(IF(A281="","missing entity_type; ","")&amp;IF(B281="","missing entity_key; ","")&amp;IF(C281="","missing contact_order; ","")&amp;IF(D281="","missing contact_type; ","")&amp;IF(E281="","missing number; ","")&amp;IF(J281="","missing status; ","")&amp;IF(AND(A281="client",COUNTIF('الزبائن'!$A$6:$A$505,B281)=0),"client key not found; ","")&amp;IF(AND(A281="proposed_name",COUNTIF('أسماء مقترحة'!$A$6:$A$505,B281)=0),"proposed_name key not found; ","")&amp;IF(AND(D281="mobile",J281&lt;&gt;"invalid",NOT(OR(AND(LEN(E281&amp;"")=10,LEFT(E281&amp;"",2)="09"),AND(LEN(E281&amp;"")=9,LEFT(E281&amp;"",1)="9")))),"mobile must be 09XXXXXXXX or status invalid; ","")&amp;IF(COUNTIFS($A$6:$A$505,A281,$B$6:$B$505,B281,$E$6:$E$505,E281)&gt;1,"duplicate number for same entity; ",""))))</x:f>
      </x:c>
    </x:row>
    <x:row r="282">
      <x:c r="A282" s="251"/>
      <x:c r="B282" s="252"/>
      <x:c r="C282" s="253"/>
      <x:c r="D282" s="253"/>
      <x:c r="E282" s="252"/>
      <x:c r="F282" s="252"/>
      <x:c r="G282" s="253"/>
      <x:c r="H282" s="253"/>
      <x:c r="I282" s="253"/>
      <x:c r="J282" s="253"/>
      <x:c r="K282" s="253"/>
      <x:c r="L282" s="253"/>
      <x:c r="M282" s="253" t="str">
        <x:f>IF(AND(A282="",B282="",E282=""),"",IF(OR(A282="",B282="",C282="",D282="",E282="",J282="",AND(A282="client",COUNTIF('الزبائن'!$A$6:$A$505,B282)=0),AND(A282="proposed_name",COUNTIF('أسماء مقترحة'!$A$6:$A$505,B282)=0),AND(D282="mobile",J282&lt;&gt;"invalid",NOT(OR(AND(LEN(E282&amp;"")=10,LEFT(E282&amp;"",2)="09"),AND(LEN(E282&amp;"")=9,LEFT(E282&amp;"",1)="9")))),COUNTIFS($A$6:$A$505,A282,$B$6:$B$505,B282,$E$6:$E$505,E282)&gt;1),"REVIEW","READY"))</x:f>
      </x:c>
      <x:c r="N282" s="255" t="str">
        <x:f>IF(M282="","",IF(M282="READY","",TRIM(IF(A282="","missing entity_type; ","")&amp;IF(B282="","missing entity_key; ","")&amp;IF(C282="","missing contact_order; ","")&amp;IF(D282="","missing contact_type; ","")&amp;IF(E282="","missing number; ","")&amp;IF(J282="","missing status; ","")&amp;IF(AND(A282="client",COUNTIF('الزبائن'!$A$6:$A$505,B282)=0),"client key not found; ","")&amp;IF(AND(A282="proposed_name",COUNTIF('أسماء مقترحة'!$A$6:$A$505,B282)=0),"proposed_name key not found; ","")&amp;IF(AND(D282="mobile",J282&lt;&gt;"invalid",NOT(OR(AND(LEN(E282&amp;"")=10,LEFT(E282&amp;"",2)="09"),AND(LEN(E282&amp;"")=9,LEFT(E282&amp;"",1)="9")))),"mobile must be 09XXXXXXXX or status invalid; ","")&amp;IF(COUNTIFS($A$6:$A$505,A282,$B$6:$B$505,B282,$E$6:$E$505,E282)&gt;1,"duplicate number for same entity; ",""))))</x:f>
      </x:c>
    </x:row>
    <x:row r="283">
      <x:c r="A283" s="251"/>
      <x:c r="B283" s="252"/>
      <x:c r="C283" s="253"/>
      <x:c r="D283" s="253"/>
      <x:c r="E283" s="252"/>
      <x:c r="F283" s="252"/>
      <x:c r="G283" s="253"/>
      <x:c r="H283" s="253"/>
      <x:c r="I283" s="253"/>
      <x:c r="J283" s="253"/>
      <x:c r="K283" s="253"/>
      <x:c r="L283" s="253"/>
      <x:c r="M283" s="253" t="str">
        <x:f>IF(AND(A283="",B283="",E283=""),"",IF(OR(A283="",B283="",C283="",D283="",E283="",J283="",AND(A283="client",COUNTIF('الزبائن'!$A$6:$A$505,B283)=0),AND(A283="proposed_name",COUNTIF('أسماء مقترحة'!$A$6:$A$505,B283)=0),AND(D283="mobile",J283&lt;&gt;"invalid",NOT(OR(AND(LEN(E283&amp;"")=10,LEFT(E283&amp;"",2)="09"),AND(LEN(E283&amp;"")=9,LEFT(E283&amp;"",1)="9")))),COUNTIFS($A$6:$A$505,A283,$B$6:$B$505,B283,$E$6:$E$505,E283)&gt;1),"REVIEW","READY"))</x:f>
      </x:c>
      <x:c r="N283" s="255" t="str">
        <x:f>IF(M283="","",IF(M283="READY","",TRIM(IF(A283="","missing entity_type; ","")&amp;IF(B283="","missing entity_key; ","")&amp;IF(C283="","missing contact_order; ","")&amp;IF(D283="","missing contact_type; ","")&amp;IF(E283="","missing number; ","")&amp;IF(J283="","missing status; ","")&amp;IF(AND(A283="client",COUNTIF('الزبائن'!$A$6:$A$505,B283)=0),"client key not found; ","")&amp;IF(AND(A283="proposed_name",COUNTIF('أسماء مقترحة'!$A$6:$A$505,B283)=0),"proposed_name key not found; ","")&amp;IF(AND(D283="mobile",J283&lt;&gt;"invalid",NOT(OR(AND(LEN(E283&amp;"")=10,LEFT(E283&amp;"",2)="09"),AND(LEN(E283&amp;"")=9,LEFT(E283&amp;"",1)="9")))),"mobile must be 09XXXXXXXX or status invalid; ","")&amp;IF(COUNTIFS($A$6:$A$505,A283,$B$6:$B$505,B283,$E$6:$E$505,E283)&gt;1,"duplicate number for same entity; ",""))))</x:f>
      </x:c>
    </x:row>
    <x:row r="284">
      <x:c r="A284" s="251"/>
      <x:c r="B284" s="252"/>
      <x:c r="C284" s="253"/>
      <x:c r="D284" s="253"/>
      <x:c r="E284" s="252"/>
      <x:c r="F284" s="252"/>
      <x:c r="G284" s="253"/>
      <x:c r="H284" s="253"/>
      <x:c r="I284" s="253"/>
      <x:c r="J284" s="253"/>
      <x:c r="K284" s="253"/>
      <x:c r="L284" s="253"/>
      <x:c r="M284" s="253" t="str">
        <x:f>IF(AND(A284="",B284="",E284=""),"",IF(OR(A284="",B284="",C284="",D284="",E284="",J284="",AND(A284="client",COUNTIF('الزبائن'!$A$6:$A$505,B284)=0),AND(A284="proposed_name",COUNTIF('أسماء مقترحة'!$A$6:$A$505,B284)=0),AND(D284="mobile",J284&lt;&gt;"invalid",NOT(OR(AND(LEN(E284&amp;"")=10,LEFT(E284&amp;"",2)="09"),AND(LEN(E284&amp;"")=9,LEFT(E284&amp;"",1)="9")))),COUNTIFS($A$6:$A$505,A284,$B$6:$B$505,B284,$E$6:$E$505,E284)&gt;1),"REVIEW","READY"))</x:f>
      </x:c>
      <x:c r="N284" s="255" t="str">
        <x:f>IF(M284="","",IF(M284="READY","",TRIM(IF(A284="","missing entity_type; ","")&amp;IF(B284="","missing entity_key; ","")&amp;IF(C284="","missing contact_order; ","")&amp;IF(D284="","missing contact_type; ","")&amp;IF(E284="","missing number; ","")&amp;IF(J284="","missing status; ","")&amp;IF(AND(A284="client",COUNTIF('الزبائن'!$A$6:$A$505,B284)=0),"client key not found; ","")&amp;IF(AND(A284="proposed_name",COUNTIF('أسماء مقترحة'!$A$6:$A$505,B284)=0),"proposed_name key not found; ","")&amp;IF(AND(D284="mobile",J284&lt;&gt;"invalid",NOT(OR(AND(LEN(E284&amp;"")=10,LEFT(E284&amp;"",2)="09"),AND(LEN(E284&amp;"")=9,LEFT(E284&amp;"",1)="9")))),"mobile must be 09XXXXXXXX or status invalid; ","")&amp;IF(COUNTIFS($A$6:$A$505,A284,$B$6:$B$505,B284,$E$6:$E$505,E284)&gt;1,"duplicate number for same entity; ",""))))</x:f>
      </x:c>
    </x:row>
    <x:row r="285">
      <x:c r="A285" s="251"/>
      <x:c r="B285" s="252"/>
      <x:c r="C285" s="253"/>
      <x:c r="D285" s="253"/>
      <x:c r="E285" s="252"/>
      <x:c r="F285" s="252"/>
      <x:c r="G285" s="253"/>
      <x:c r="H285" s="253"/>
      <x:c r="I285" s="253"/>
      <x:c r="J285" s="253"/>
      <x:c r="K285" s="253"/>
      <x:c r="L285" s="253"/>
      <x:c r="M285" s="253" t="str">
        <x:f>IF(AND(A285="",B285="",E285=""),"",IF(OR(A285="",B285="",C285="",D285="",E285="",J285="",AND(A285="client",COUNTIF('الزبائن'!$A$6:$A$505,B285)=0),AND(A285="proposed_name",COUNTIF('أسماء مقترحة'!$A$6:$A$505,B285)=0),AND(D285="mobile",J285&lt;&gt;"invalid",NOT(OR(AND(LEN(E285&amp;"")=10,LEFT(E285&amp;"",2)="09"),AND(LEN(E285&amp;"")=9,LEFT(E285&amp;"",1)="9")))),COUNTIFS($A$6:$A$505,A285,$B$6:$B$505,B285,$E$6:$E$505,E285)&gt;1),"REVIEW","READY"))</x:f>
      </x:c>
      <x:c r="N285" s="255" t="str">
        <x:f>IF(M285="","",IF(M285="READY","",TRIM(IF(A285="","missing entity_type; ","")&amp;IF(B285="","missing entity_key; ","")&amp;IF(C285="","missing contact_order; ","")&amp;IF(D285="","missing contact_type; ","")&amp;IF(E285="","missing number; ","")&amp;IF(J285="","missing status; ","")&amp;IF(AND(A285="client",COUNTIF('الزبائن'!$A$6:$A$505,B285)=0),"client key not found; ","")&amp;IF(AND(A285="proposed_name",COUNTIF('أسماء مقترحة'!$A$6:$A$505,B285)=0),"proposed_name key not found; ","")&amp;IF(AND(D285="mobile",J285&lt;&gt;"invalid",NOT(OR(AND(LEN(E285&amp;"")=10,LEFT(E285&amp;"",2)="09"),AND(LEN(E285&amp;"")=9,LEFT(E285&amp;"",1)="9")))),"mobile must be 09XXXXXXXX or status invalid; ","")&amp;IF(COUNTIFS($A$6:$A$505,A285,$B$6:$B$505,B285,$E$6:$E$505,E285)&gt;1,"duplicate number for same entity; ",""))))</x:f>
      </x:c>
    </x:row>
    <x:row r="286">
      <x:c r="A286" s="251"/>
      <x:c r="B286" s="252"/>
      <x:c r="C286" s="253"/>
      <x:c r="D286" s="253"/>
      <x:c r="E286" s="252"/>
      <x:c r="F286" s="252"/>
      <x:c r="G286" s="253"/>
      <x:c r="H286" s="253"/>
      <x:c r="I286" s="253"/>
      <x:c r="J286" s="253"/>
      <x:c r="K286" s="253"/>
      <x:c r="L286" s="253"/>
      <x:c r="M286" s="253" t="str">
        <x:f>IF(AND(A286="",B286="",E286=""),"",IF(OR(A286="",B286="",C286="",D286="",E286="",J286="",AND(A286="client",COUNTIF('الزبائن'!$A$6:$A$505,B286)=0),AND(A286="proposed_name",COUNTIF('أسماء مقترحة'!$A$6:$A$505,B286)=0),AND(D286="mobile",J286&lt;&gt;"invalid",NOT(OR(AND(LEN(E286&amp;"")=10,LEFT(E286&amp;"",2)="09"),AND(LEN(E286&amp;"")=9,LEFT(E286&amp;"",1)="9")))),COUNTIFS($A$6:$A$505,A286,$B$6:$B$505,B286,$E$6:$E$505,E286)&gt;1),"REVIEW","READY"))</x:f>
      </x:c>
      <x:c r="N286" s="255" t="str">
        <x:f>IF(M286="","",IF(M286="READY","",TRIM(IF(A286="","missing entity_type; ","")&amp;IF(B286="","missing entity_key; ","")&amp;IF(C286="","missing contact_order; ","")&amp;IF(D286="","missing contact_type; ","")&amp;IF(E286="","missing number; ","")&amp;IF(J286="","missing status; ","")&amp;IF(AND(A286="client",COUNTIF('الزبائن'!$A$6:$A$505,B286)=0),"client key not found; ","")&amp;IF(AND(A286="proposed_name",COUNTIF('أسماء مقترحة'!$A$6:$A$505,B286)=0),"proposed_name key not found; ","")&amp;IF(AND(D286="mobile",J286&lt;&gt;"invalid",NOT(OR(AND(LEN(E286&amp;"")=10,LEFT(E286&amp;"",2)="09"),AND(LEN(E286&amp;"")=9,LEFT(E286&amp;"",1)="9")))),"mobile must be 09XXXXXXXX or status invalid; ","")&amp;IF(COUNTIFS($A$6:$A$505,A286,$B$6:$B$505,B286,$E$6:$E$505,E286)&gt;1,"duplicate number for same entity; ",""))))</x:f>
      </x:c>
    </x:row>
    <x:row r="287">
      <x:c r="A287" s="251"/>
      <x:c r="B287" s="252"/>
      <x:c r="C287" s="253"/>
      <x:c r="D287" s="253"/>
      <x:c r="E287" s="252"/>
      <x:c r="F287" s="252"/>
      <x:c r="G287" s="253"/>
      <x:c r="H287" s="253"/>
      <x:c r="I287" s="253"/>
      <x:c r="J287" s="253"/>
      <x:c r="K287" s="253"/>
      <x:c r="L287" s="253"/>
      <x:c r="M287" s="253" t="str">
        <x:f>IF(AND(A287="",B287="",E287=""),"",IF(OR(A287="",B287="",C287="",D287="",E287="",J287="",AND(A287="client",COUNTIF('الزبائن'!$A$6:$A$505,B287)=0),AND(A287="proposed_name",COUNTIF('أسماء مقترحة'!$A$6:$A$505,B287)=0),AND(D287="mobile",J287&lt;&gt;"invalid",NOT(OR(AND(LEN(E287&amp;"")=10,LEFT(E287&amp;"",2)="09"),AND(LEN(E287&amp;"")=9,LEFT(E287&amp;"",1)="9")))),COUNTIFS($A$6:$A$505,A287,$B$6:$B$505,B287,$E$6:$E$505,E287)&gt;1),"REVIEW","READY"))</x:f>
      </x:c>
      <x:c r="N287" s="255" t="str">
        <x:f>IF(M287="","",IF(M287="READY","",TRIM(IF(A287="","missing entity_type; ","")&amp;IF(B287="","missing entity_key; ","")&amp;IF(C287="","missing contact_order; ","")&amp;IF(D287="","missing contact_type; ","")&amp;IF(E287="","missing number; ","")&amp;IF(J287="","missing status; ","")&amp;IF(AND(A287="client",COUNTIF('الزبائن'!$A$6:$A$505,B287)=0),"client key not found; ","")&amp;IF(AND(A287="proposed_name",COUNTIF('أسماء مقترحة'!$A$6:$A$505,B287)=0),"proposed_name key not found; ","")&amp;IF(AND(D287="mobile",J287&lt;&gt;"invalid",NOT(OR(AND(LEN(E287&amp;"")=10,LEFT(E287&amp;"",2)="09"),AND(LEN(E287&amp;"")=9,LEFT(E287&amp;"",1)="9")))),"mobile must be 09XXXXXXXX or status invalid; ","")&amp;IF(COUNTIFS($A$6:$A$505,A287,$B$6:$B$505,B287,$E$6:$E$505,E287)&gt;1,"duplicate number for same entity; ",""))))</x:f>
      </x:c>
    </x:row>
    <x:row r="288">
      <x:c r="A288" s="251"/>
      <x:c r="B288" s="252"/>
      <x:c r="C288" s="253"/>
      <x:c r="D288" s="253"/>
      <x:c r="E288" s="252"/>
      <x:c r="F288" s="252"/>
      <x:c r="G288" s="253"/>
      <x:c r="H288" s="253"/>
      <x:c r="I288" s="253"/>
      <x:c r="J288" s="253"/>
      <x:c r="K288" s="253"/>
      <x:c r="L288" s="253"/>
      <x:c r="M288" s="253" t="str">
        <x:f>IF(AND(A288="",B288="",E288=""),"",IF(OR(A288="",B288="",C288="",D288="",E288="",J288="",AND(A288="client",COUNTIF('الزبائن'!$A$6:$A$505,B288)=0),AND(A288="proposed_name",COUNTIF('أسماء مقترحة'!$A$6:$A$505,B288)=0),AND(D288="mobile",J288&lt;&gt;"invalid",NOT(OR(AND(LEN(E288&amp;"")=10,LEFT(E288&amp;"",2)="09"),AND(LEN(E288&amp;"")=9,LEFT(E288&amp;"",1)="9")))),COUNTIFS($A$6:$A$505,A288,$B$6:$B$505,B288,$E$6:$E$505,E288)&gt;1),"REVIEW","READY"))</x:f>
      </x:c>
      <x:c r="N288" s="255" t="str">
        <x:f>IF(M288="","",IF(M288="READY","",TRIM(IF(A288="","missing entity_type; ","")&amp;IF(B288="","missing entity_key; ","")&amp;IF(C288="","missing contact_order; ","")&amp;IF(D288="","missing contact_type; ","")&amp;IF(E288="","missing number; ","")&amp;IF(J288="","missing status; ","")&amp;IF(AND(A288="client",COUNTIF('الزبائن'!$A$6:$A$505,B288)=0),"client key not found; ","")&amp;IF(AND(A288="proposed_name",COUNTIF('أسماء مقترحة'!$A$6:$A$505,B288)=0),"proposed_name key not found; ","")&amp;IF(AND(D288="mobile",J288&lt;&gt;"invalid",NOT(OR(AND(LEN(E288&amp;"")=10,LEFT(E288&amp;"",2)="09"),AND(LEN(E288&amp;"")=9,LEFT(E288&amp;"",1)="9")))),"mobile must be 09XXXXXXXX or status invalid; ","")&amp;IF(COUNTIFS($A$6:$A$505,A288,$B$6:$B$505,B288,$E$6:$E$505,E288)&gt;1,"duplicate number for same entity; ",""))))</x:f>
      </x:c>
    </x:row>
    <x:row r="289">
      <x:c r="A289" s="251"/>
      <x:c r="B289" s="252"/>
      <x:c r="C289" s="253"/>
      <x:c r="D289" s="253"/>
      <x:c r="E289" s="252"/>
      <x:c r="F289" s="252"/>
      <x:c r="G289" s="253"/>
      <x:c r="H289" s="253"/>
      <x:c r="I289" s="253"/>
      <x:c r="J289" s="253"/>
      <x:c r="K289" s="253"/>
      <x:c r="L289" s="253"/>
      <x:c r="M289" s="253" t="str">
        <x:f>IF(AND(A289="",B289="",E289=""),"",IF(OR(A289="",B289="",C289="",D289="",E289="",J289="",AND(A289="client",COUNTIF('الزبائن'!$A$6:$A$505,B289)=0),AND(A289="proposed_name",COUNTIF('أسماء مقترحة'!$A$6:$A$505,B289)=0),AND(D289="mobile",J289&lt;&gt;"invalid",NOT(OR(AND(LEN(E289&amp;"")=10,LEFT(E289&amp;"",2)="09"),AND(LEN(E289&amp;"")=9,LEFT(E289&amp;"",1)="9")))),COUNTIFS($A$6:$A$505,A289,$B$6:$B$505,B289,$E$6:$E$505,E289)&gt;1),"REVIEW","READY"))</x:f>
      </x:c>
      <x:c r="N289" s="255" t="str">
        <x:f>IF(M289="","",IF(M289="READY","",TRIM(IF(A289="","missing entity_type; ","")&amp;IF(B289="","missing entity_key; ","")&amp;IF(C289="","missing contact_order; ","")&amp;IF(D289="","missing contact_type; ","")&amp;IF(E289="","missing number; ","")&amp;IF(J289="","missing status; ","")&amp;IF(AND(A289="client",COUNTIF('الزبائن'!$A$6:$A$505,B289)=0),"client key not found; ","")&amp;IF(AND(A289="proposed_name",COUNTIF('أسماء مقترحة'!$A$6:$A$505,B289)=0),"proposed_name key not found; ","")&amp;IF(AND(D289="mobile",J289&lt;&gt;"invalid",NOT(OR(AND(LEN(E289&amp;"")=10,LEFT(E289&amp;"",2)="09"),AND(LEN(E289&amp;"")=9,LEFT(E289&amp;"",1)="9")))),"mobile must be 09XXXXXXXX or status invalid; ","")&amp;IF(COUNTIFS($A$6:$A$505,A289,$B$6:$B$505,B289,$E$6:$E$505,E289)&gt;1,"duplicate number for same entity; ",""))))</x:f>
      </x:c>
    </x:row>
    <x:row r="290">
      <x:c r="A290" s="251"/>
      <x:c r="B290" s="252"/>
      <x:c r="C290" s="253"/>
      <x:c r="D290" s="253"/>
      <x:c r="E290" s="252"/>
      <x:c r="F290" s="252"/>
      <x:c r="G290" s="253"/>
      <x:c r="H290" s="253"/>
      <x:c r="I290" s="253"/>
      <x:c r="J290" s="253"/>
      <x:c r="K290" s="253"/>
      <x:c r="L290" s="253"/>
      <x:c r="M290" s="253" t="str">
        <x:f>IF(AND(A290="",B290="",E290=""),"",IF(OR(A290="",B290="",C290="",D290="",E290="",J290="",AND(A290="client",COUNTIF('الزبائن'!$A$6:$A$505,B290)=0),AND(A290="proposed_name",COUNTIF('أسماء مقترحة'!$A$6:$A$505,B290)=0),AND(D290="mobile",J290&lt;&gt;"invalid",NOT(OR(AND(LEN(E290&amp;"")=10,LEFT(E290&amp;"",2)="09"),AND(LEN(E290&amp;"")=9,LEFT(E290&amp;"",1)="9")))),COUNTIFS($A$6:$A$505,A290,$B$6:$B$505,B290,$E$6:$E$505,E290)&gt;1),"REVIEW","READY"))</x:f>
      </x:c>
      <x:c r="N290" s="255" t="str">
        <x:f>IF(M290="","",IF(M290="READY","",TRIM(IF(A290="","missing entity_type; ","")&amp;IF(B290="","missing entity_key; ","")&amp;IF(C290="","missing contact_order; ","")&amp;IF(D290="","missing contact_type; ","")&amp;IF(E290="","missing number; ","")&amp;IF(J290="","missing status; ","")&amp;IF(AND(A290="client",COUNTIF('الزبائن'!$A$6:$A$505,B290)=0),"client key not found; ","")&amp;IF(AND(A290="proposed_name",COUNTIF('أسماء مقترحة'!$A$6:$A$505,B290)=0),"proposed_name key not found; ","")&amp;IF(AND(D290="mobile",J290&lt;&gt;"invalid",NOT(OR(AND(LEN(E290&amp;"")=10,LEFT(E290&amp;"",2)="09"),AND(LEN(E290&amp;"")=9,LEFT(E290&amp;"",1)="9")))),"mobile must be 09XXXXXXXX or status invalid; ","")&amp;IF(COUNTIFS($A$6:$A$505,A290,$B$6:$B$505,B290,$E$6:$E$505,E290)&gt;1,"duplicate number for same entity; ",""))))</x:f>
      </x:c>
    </x:row>
    <x:row r="291">
      <x:c r="A291" s="251"/>
      <x:c r="B291" s="252"/>
      <x:c r="C291" s="253"/>
      <x:c r="D291" s="253"/>
      <x:c r="E291" s="252"/>
      <x:c r="F291" s="252"/>
      <x:c r="G291" s="253"/>
      <x:c r="H291" s="253"/>
      <x:c r="I291" s="253"/>
      <x:c r="J291" s="253"/>
      <x:c r="K291" s="253"/>
      <x:c r="L291" s="253"/>
      <x:c r="M291" s="253" t="str">
        <x:f>IF(AND(A291="",B291="",E291=""),"",IF(OR(A291="",B291="",C291="",D291="",E291="",J291="",AND(A291="client",COUNTIF('الزبائن'!$A$6:$A$505,B291)=0),AND(A291="proposed_name",COUNTIF('أسماء مقترحة'!$A$6:$A$505,B291)=0),AND(D291="mobile",J291&lt;&gt;"invalid",NOT(OR(AND(LEN(E291&amp;"")=10,LEFT(E291&amp;"",2)="09"),AND(LEN(E291&amp;"")=9,LEFT(E291&amp;"",1)="9")))),COUNTIFS($A$6:$A$505,A291,$B$6:$B$505,B291,$E$6:$E$505,E291)&gt;1),"REVIEW","READY"))</x:f>
      </x:c>
      <x:c r="N291" s="255" t="str">
        <x:f>IF(M291="","",IF(M291="READY","",TRIM(IF(A291="","missing entity_type; ","")&amp;IF(B291="","missing entity_key; ","")&amp;IF(C291="","missing contact_order; ","")&amp;IF(D291="","missing contact_type; ","")&amp;IF(E291="","missing number; ","")&amp;IF(J291="","missing status; ","")&amp;IF(AND(A291="client",COUNTIF('الزبائن'!$A$6:$A$505,B291)=0),"client key not found; ","")&amp;IF(AND(A291="proposed_name",COUNTIF('أسماء مقترحة'!$A$6:$A$505,B291)=0),"proposed_name key not found; ","")&amp;IF(AND(D291="mobile",J291&lt;&gt;"invalid",NOT(OR(AND(LEN(E291&amp;"")=10,LEFT(E291&amp;"",2)="09"),AND(LEN(E291&amp;"")=9,LEFT(E291&amp;"",1)="9")))),"mobile must be 09XXXXXXXX or status invalid; ","")&amp;IF(COUNTIFS($A$6:$A$505,A291,$B$6:$B$505,B291,$E$6:$E$505,E291)&gt;1,"duplicate number for same entity; ",""))))</x:f>
      </x:c>
    </x:row>
    <x:row r="292">
      <x:c r="A292" s="251"/>
      <x:c r="B292" s="252"/>
      <x:c r="C292" s="253"/>
      <x:c r="D292" s="253"/>
      <x:c r="E292" s="252"/>
      <x:c r="F292" s="252"/>
      <x:c r="G292" s="253"/>
      <x:c r="H292" s="253"/>
      <x:c r="I292" s="253"/>
      <x:c r="J292" s="253"/>
      <x:c r="K292" s="253"/>
      <x:c r="L292" s="253"/>
      <x:c r="M292" s="253" t="str">
        <x:f>IF(AND(A292="",B292="",E292=""),"",IF(OR(A292="",B292="",C292="",D292="",E292="",J292="",AND(A292="client",COUNTIF('الزبائن'!$A$6:$A$505,B292)=0),AND(A292="proposed_name",COUNTIF('أسماء مقترحة'!$A$6:$A$505,B292)=0),AND(D292="mobile",J292&lt;&gt;"invalid",NOT(OR(AND(LEN(E292&amp;"")=10,LEFT(E292&amp;"",2)="09"),AND(LEN(E292&amp;"")=9,LEFT(E292&amp;"",1)="9")))),COUNTIFS($A$6:$A$505,A292,$B$6:$B$505,B292,$E$6:$E$505,E292)&gt;1),"REVIEW","READY"))</x:f>
      </x:c>
      <x:c r="N292" s="255" t="str">
        <x:f>IF(M292="","",IF(M292="READY","",TRIM(IF(A292="","missing entity_type; ","")&amp;IF(B292="","missing entity_key; ","")&amp;IF(C292="","missing contact_order; ","")&amp;IF(D292="","missing contact_type; ","")&amp;IF(E292="","missing number; ","")&amp;IF(J292="","missing status; ","")&amp;IF(AND(A292="client",COUNTIF('الزبائن'!$A$6:$A$505,B292)=0),"client key not found; ","")&amp;IF(AND(A292="proposed_name",COUNTIF('أسماء مقترحة'!$A$6:$A$505,B292)=0),"proposed_name key not found; ","")&amp;IF(AND(D292="mobile",J292&lt;&gt;"invalid",NOT(OR(AND(LEN(E292&amp;"")=10,LEFT(E292&amp;"",2)="09"),AND(LEN(E292&amp;"")=9,LEFT(E292&amp;"",1)="9")))),"mobile must be 09XXXXXXXX or status invalid; ","")&amp;IF(COUNTIFS($A$6:$A$505,A292,$B$6:$B$505,B292,$E$6:$E$505,E292)&gt;1,"duplicate number for same entity; ",""))))</x:f>
      </x:c>
    </x:row>
    <x:row r="293">
      <x:c r="A293" s="251"/>
      <x:c r="B293" s="252"/>
      <x:c r="C293" s="253"/>
      <x:c r="D293" s="253"/>
      <x:c r="E293" s="252"/>
      <x:c r="F293" s="252"/>
      <x:c r="G293" s="253"/>
      <x:c r="H293" s="253"/>
      <x:c r="I293" s="253"/>
      <x:c r="J293" s="253"/>
      <x:c r="K293" s="253"/>
      <x:c r="L293" s="253"/>
      <x:c r="M293" s="253" t="str">
        <x:f>IF(AND(A293="",B293="",E293=""),"",IF(OR(A293="",B293="",C293="",D293="",E293="",J293="",AND(A293="client",COUNTIF('الزبائن'!$A$6:$A$505,B293)=0),AND(A293="proposed_name",COUNTIF('أسماء مقترحة'!$A$6:$A$505,B293)=0),AND(D293="mobile",J293&lt;&gt;"invalid",NOT(OR(AND(LEN(E293&amp;"")=10,LEFT(E293&amp;"",2)="09"),AND(LEN(E293&amp;"")=9,LEFT(E293&amp;"",1)="9")))),COUNTIFS($A$6:$A$505,A293,$B$6:$B$505,B293,$E$6:$E$505,E293)&gt;1),"REVIEW","READY"))</x:f>
      </x:c>
      <x:c r="N293" s="255" t="str">
        <x:f>IF(M293="","",IF(M293="READY","",TRIM(IF(A293="","missing entity_type; ","")&amp;IF(B293="","missing entity_key; ","")&amp;IF(C293="","missing contact_order; ","")&amp;IF(D293="","missing contact_type; ","")&amp;IF(E293="","missing number; ","")&amp;IF(J293="","missing status; ","")&amp;IF(AND(A293="client",COUNTIF('الزبائن'!$A$6:$A$505,B293)=0),"client key not found; ","")&amp;IF(AND(A293="proposed_name",COUNTIF('أسماء مقترحة'!$A$6:$A$505,B293)=0),"proposed_name key not found; ","")&amp;IF(AND(D293="mobile",J293&lt;&gt;"invalid",NOT(OR(AND(LEN(E293&amp;"")=10,LEFT(E293&amp;"",2)="09"),AND(LEN(E293&amp;"")=9,LEFT(E293&amp;"",1)="9")))),"mobile must be 09XXXXXXXX or status invalid; ","")&amp;IF(COUNTIFS($A$6:$A$505,A293,$B$6:$B$505,B293,$E$6:$E$505,E293)&gt;1,"duplicate number for same entity; ",""))))</x:f>
      </x:c>
    </x:row>
    <x:row r="294">
      <x:c r="A294" s="251"/>
      <x:c r="B294" s="252"/>
      <x:c r="C294" s="253"/>
      <x:c r="D294" s="253"/>
      <x:c r="E294" s="252"/>
      <x:c r="F294" s="252"/>
      <x:c r="G294" s="253"/>
      <x:c r="H294" s="253"/>
      <x:c r="I294" s="253"/>
      <x:c r="J294" s="253"/>
      <x:c r="K294" s="253"/>
      <x:c r="L294" s="253"/>
      <x:c r="M294" s="253" t="str">
        <x:f>IF(AND(A294="",B294="",E294=""),"",IF(OR(A294="",B294="",C294="",D294="",E294="",J294="",AND(A294="client",COUNTIF('الزبائن'!$A$6:$A$505,B294)=0),AND(A294="proposed_name",COUNTIF('أسماء مقترحة'!$A$6:$A$505,B294)=0),AND(D294="mobile",J294&lt;&gt;"invalid",NOT(OR(AND(LEN(E294&amp;"")=10,LEFT(E294&amp;"",2)="09"),AND(LEN(E294&amp;"")=9,LEFT(E294&amp;"",1)="9")))),COUNTIFS($A$6:$A$505,A294,$B$6:$B$505,B294,$E$6:$E$505,E294)&gt;1),"REVIEW","READY"))</x:f>
      </x:c>
      <x:c r="N294" s="255" t="str">
        <x:f>IF(M294="","",IF(M294="READY","",TRIM(IF(A294="","missing entity_type; ","")&amp;IF(B294="","missing entity_key; ","")&amp;IF(C294="","missing contact_order; ","")&amp;IF(D294="","missing contact_type; ","")&amp;IF(E294="","missing number; ","")&amp;IF(J294="","missing status; ","")&amp;IF(AND(A294="client",COUNTIF('الزبائن'!$A$6:$A$505,B294)=0),"client key not found; ","")&amp;IF(AND(A294="proposed_name",COUNTIF('أسماء مقترحة'!$A$6:$A$505,B294)=0),"proposed_name key not found; ","")&amp;IF(AND(D294="mobile",J294&lt;&gt;"invalid",NOT(OR(AND(LEN(E294&amp;"")=10,LEFT(E294&amp;"",2)="09"),AND(LEN(E294&amp;"")=9,LEFT(E294&amp;"",1)="9")))),"mobile must be 09XXXXXXXX or status invalid; ","")&amp;IF(COUNTIFS($A$6:$A$505,A294,$B$6:$B$505,B294,$E$6:$E$505,E294)&gt;1,"duplicate number for same entity; ",""))))</x:f>
      </x:c>
    </x:row>
    <x:row r="295">
      <x:c r="A295" s="251"/>
      <x:c r="B295" s="252"/>
      <x:c r="C295" s="253"/>
      <x:c r="D295" s="253"/>
      <x:c r="E295" s="252"/>
      <x:c r="F295" s="252"/>
      <x:c r="G295" s="253"/>
      <x:c r="H295" s="253"/>
      <x:c r="I295" s="253"/>
      <x:c r="J295" s="253"/>
      <x:c r="K295" s="253"/>
      <x:c r="L295" s="253"/>
      <x:c r="M295" s="253" t="str">
        <x:f>IF(AND(A295="",B295="",E295=""),"",IF(OR(A295="",B295="",C295="",D295="",E295="",J295="",AND(A295="client",COUNTIF('الزبائن'!$A$6:$A$505,B295)=0),AND(A295="proposed_name",COUNTIF('أسماء مقترحة'!$A$6:$A$505,B295)=0),AND(D295="mobile",J295&lt;&gt;"invalid",NOT(OR(AND(LEN(E295&amp;"")=10,LEFT(E295&amp;"",2)="09"),AND(LEN(E295&amp;"")=9,LEFT(E295&amp;"",1)="9")))),COUNTIFS($A$6:$A$505,A295,$B$6:$B$505,B295,$E$6:$E$505,E295)&gt;1),"REVIEW","READY"))</x:f>
      </x:c>
      <x:c r="N295" s="255" t="str">
        <x:f>IF(M295="","",IF(M295="READY","",TRIM(IF(A295="","missing entity_type; ","")&amp;IF(B295="","missing entity_key; ","")&amp;IF(C295="","missing contact_order; ","")&amp;IF(D295="","missing contact_type; ","")&amp;IF(E295="","missing number; ","")&amp;IF(J295="","missing status; ","")&amp;IF(AND(A295="client",COUNTIF('الزبائن'!$A$6:$A$505,B295)=0),"client key not found; ","")&amp;IF(AND(A295="proposed_name",COUNTIF('أسماء مقترحة'!$A$6:$A$505,B295)=0),"proposed_name key not found; ","")&amp;IF(AND(D295="mobile",J295&lt;&gt;"invalid",NOT(OR(AND(LEN(E295&amp;"")=10,LEFT(E295&amp;"",2)="09"),AND(LEN(E295&amp;"")=9,LEFT(E295&amp;"",1)="9")))),"mobile must be 09XXXXXXXX or status invalid; ","")&amp;IF(COUNTIFS($A$6:$A$505,A295,$B$6:$B$505,B295,$E$6:$E$505,E295)&gt;1,"duplicate number for same entity; ",""))))</x:f>
      </x:c>
    </x:row>
    <x:row r="296">
      <x:c r="A296" s="251"/>
      <x:c r="B296" s="252"/>
      <x:c r="C296" s="253"/>
      <x:c r="D296" s="253"/>
      <x:c r="E296" s="252"/>
      <x:c r="F296" s="252"/>
      <x:c r="G296" s="253"/>
      <x:c r="H296" s="253"/>
      <x:c r="I296" s="253"/>
      <x:c r="J296" s="253"/>
      <x:c r="K296" s="253"/>
      <x:c r="L296" s="253"/>
      <x:c r="M296" s="253" t="str">
        <x:f>IF(AND(A296="",B296="",E296=""),"",IF(OR(A296="",B296="",C296="",D296="",E296="",J296="",AND(A296="client",COUNTIF('الزبائن'!$A$6:$A$505,B296)=0),AND(A296="proposed_name",COUNTIF('أسماء مقترحة'!$A$6:$A$505,B296)=0),AND(D296="mobile",J296&lt;&gt;"invalid",NOT(OR(AND(LEN(E296&amp;"")=10,LEFT(E296&amp;"",2)="09"),AND(LEN(E296&amp;"")=9,LEFT(E296&amp;"",1)="9")))),COUNTIFS($A$6:$A$505,A296,$B$6:$B$505,B296,$E$6:$E$505,E296)&gt;1),"REVIEW","READY"))</x:f>
      </x:c>
      <x:c r="N296" s="255" t="str">
        <x:f>IF(M296="","",IF(M296="READY","",TRIM(IF(A296="","missing entity_type; ","")&amp;IF(B296="","missing entity_key; ","")&amp;IF(C296="","missing contact_order; ","")&amp;IF(D296="","missing contact_type; ","")&amp;IF(E296="","missing number; ","")&amp;IF(J296="","missing status; ","")&amp;IF(AND(A296="client",COUNTIF('الزبائن'!$A$6:$A$505,B296)=0),"client key not found; ","")&amp;IF(AND(A296="proposed_name",COUNTIF('أسماء مقترحة'!$A$6:$A$505,B296)=0),"proposed_name key not found; ","")&amp;IF(AND(D296="mobile",J296&lt;&gt;"invalid",NOT(OR(AND(LEN(E296&amp;"")=10,LEFT(E296&amp;"",2)="09"),AND(LEN(E296&amp;"")=9,LEFT(E296&amp;"",1)="9")))),"mobile must be 09XXXXXXXX or status invalid; ","")&amp;IF(COUNTIFS($A$6:$A$505,A296,$B$6:$B$505,B296,$E$6:$E$505,E296)&gt;1,"duplicate number for same entity; ",""))))</x:f>
      </x:c>
    </x:row>
    <x:row r="297">
      <x:c r="A297" s="251"/>
      <x:c r="B297" s="252"/>
      <x:c r="C297" s="253"/>
      <x:c r="D297" s="253"/>
      <x:c r="E297" s="252"/>
      <x:c r="F297" s="252"/>
      <x:c r="G297" s="253"/>
      <x:c r="H297" s="253"/>
      <x:c r="I297" s="253"/>
      <x:c r="J297" s="253"/>
      <x:c r="K297" s="253"/>
      <x:c r="L297" s="253"/>
      <x:c r="M297" s="253" t="str">
        <x:f>IF(AND(A297="",B297="",E297=""),"",IF(OR(A297="",B297="",C297="",D297="",E297="",J297="",AND(A297="client",COUNTIF('الزبائن'!$A$6:$A$505,B297)=0),AND(A297="proposed_name",COUNTIF('أسماء مقترحة'!$A$6:$A$505,B297)=0),AND(D297="mobile",J297&lt;&gt;"invalid",NOT(OR(AND(LEN(E297&amp;"")=10,LEFT(E297&amp;"",2)="09"),AND(LEN(E297&amp;"")=9,LEFT(E297&amp;"",1)="9")))),COUNTIFS($A$6:$A$505,A297,$B$6:$B$505,B297,$E$6:$E$505,E297)&gt;1),"REVIEW","READY"))</x:f>
      </x:c>
      <x:c r="N297" s="255" t="str">
        <x:f>IF(M297="","",IF(M297="READY","",TRIM(IF(A297="","missing entity_type; ","")&amp;IF(B297="","missing entity_key; ","")&amp;IF(C297="","missing contact_order; ","")&amp;IF(D297="","missing contact_type; ","")&amp;IF(E297="","missing number; ","")&amp;IF(J297="","missing status; ","")&amp;IF(AND(A297="client",COUNTIF('الزبائن'!$A$6:$A$505,B297)=0),"client key not found; ","")&amp;IF(AND(A297="proposed_name",COUNTIF('أسماء مقترحة'!$A$6:$A$505,B297)=0),"proposed_name key not found; ","")&amp;IF(AND(D297="mobile",J297&lt;&gt;"invalid",NOT(OR(AND(LEN(E297&amp;"")=10,LEFT(E297&amp;"",2)="09"),AND(LEN(E297&amp;"")=9,LEFT(E297&amp;"",1)="9")))),"mobile must be 09XXXXXXXX or status invalid; ","")&amp;IF(COUNTIFS($A$6:$A$505,A297,$B$6:$B$505,B297,$E$6:$E$505,E297)&gt;1,"duplicate number for same entity; ",""))))</x:f>
      </x:c>
    </x:row>
    <x:row r="298">
      <x:c r="A298" s="251"/>
      <x:c r="B298" s="252"/>
      <x:c r="C298" s="253"/>
      <x:c r="D298" s="253"/>
      <x:c r="E298" s="252"/>
      <x:c r="F298" s="252"/>
      <x:c r="G298" s="253"/>
      <x:c r="H298" s="253"/>
      <x:c r="I298" s="253"/>
      <x:c r="J298" s="253"/>
      <x:c r="K298" s="253"/>
      <x:c r="L298" s="253"/>
      <x:c r="M298" s="253" t="str">
        <x:f>IF(AND(A298="",B298="",E298=""),"",IF(OR(A298="",B298="",C298="",D298="",E298="",J298="",AND(A298="client",COUNTIF('الزبائن'!$A$6:$A$505,B298)=0),AND(A298="proposed_name",COUNTIF('أسماء مقترحة'!$A$6:$A$505,B298)=0),AND(D298="mobile",J298&lt;&gt;"invalid",NOT(OR(AND(LEN(E298&amp;"")=10,LEFT(E298&amp;"",2)="09"),AND(LEN(E298&amp;"")=9,LEFT(E298&amp;"",1)="9")))),COUNTIFS($A$6:$A$505,A298,$B$6:$B$505,B298,$E$6:$E$505,E298)&gt;1),"REVIEW","READY"))</x:f>
      </x:c>
      <x:c r="N298" s="255" t="str">
        <x:f>IF(M298="","",IF(M298="READY","",TRIM(IF(A298="","missing entity_type; ","")&amp;IF(B298="","missing entity_key; ","")&amp;IF(C298="","missing contact_order; ","")&amp;IF(D298="","missing contact_type; ","")&amp;IF(E298="","missing number; ","")&amp;IF(J298="","missing status; ","")&amp;IF(AND(A298="client",COUNTIF('الزبائن'!$A$6:$A$505,B298)=0),"client key not found; ","")&amp;IF(AND(A298="proposed_name",COUNTIF('أسماء مقترحة'!$A$6:$A$505,B298)=0),"proposed_name key not found; ","")&amp;IF(AND(D298="mobile",J298&lt;&gt;"invalid",NOT(OR(AND(LEN(E298&amp;"")=10,LEFT(E298&amp;"",2)="09"),AND(LEN(E298&amp;"")=9,LEFT(E298&amp;"",1)="9")))),"mobile must be 09XXXXXXXX or status invalid; ","")&amp;IF(COUNTIFS($A$6:$A$505,A298,$B$6:$B$505,B298,$E$6:$E$505,E298)&gt;1,"duplicate number for same entity; ",""))))</x:f>
      </x:c>
    </x:row>
    <x:row r="299">
      <x:c r="A299" s="251"/>
      <x:c r="B299" s="252"/>
      <x:c r="C299" s="253"/>
      <x:c r="D299" s="253"/>
      <x:c r="E299" s="252"/>
      <x:c r="F299" s="252"/>
      <x:c r="G299" s="253"/>
      <x:c r="H299" s="253"/>
      <x:c r="I299" s="253"/>
      <x:c r="J299" s="253"/>
      <x:c r="K299" s="253"/>
      <x:c r="L299" s="253"/>
      <x:c r="M299" s="253" t="str">
        <x:f>IF(AND(A299="",B299="",E299=""),"",IF(OR(A299="",B299="",C299="",D299="",E299="",J299="",AND(A299="client",COUNTIF('الزبائن'!$A$6:$A$505,B299)=0),AND(A299="proposed_name",COUNTIF('أسماء مقترحة'!$A$6:$A$505,B299)=0),AND(D299="mobile",J299&lt;&gt;"invalid",NOT(OR(AND(LEN(E299&amp;"")=10,LEFT(E299&amp;"",2)="09"),AND(LEN(E299&amp;"")=9,LEFT(E299&amp;"",1)="9")))),COUNTIFS($A$6:$A$505,A299,$B$6:$B$505,B299,$E$6:$E$505,E299)&gt;1),"REVIEW","READY"))</x:f>
      </x:c>
      <x:c r="N299" s="255" t="str">
        <x:f>IF(M299="","",IF(M299="READY","",TRIM(IF(A299="","missing entity_type; ","")&amp;IF(B299="","missing entity_key; ","")&amp;IF(C299="","missing contact_order; ","")&amp;IF(D299="","missing contact_type; ","")&amp;IF(E299="","missing number; ","")&amp;IF(J299="","missing status; ","")&amp;IF(AND(A299="client",COUNTIF('الزبائن'!$A$6:$A$505,B299)=0),"client key not found; ","")&amp;IF(AND(A299="proposed_name",COUNTIF('أسماء مقترحة'!$A$6:$A$505,B299)=0),"proposed_name key not found; ","")&amp;IF(AND(D299="mobile",J299&lt;&gt;"invalid",NOT(OR(AND(LEN(E299&amp;"")=10,LEFT(E299&amp;"",2)="09"),AND(LEN(E299&amp;"")=9,LEFT(E299&amp;"",1)="9")))),"mobile must be 09XXXXXXXX or status invalid; ","")&amp;IF(COUNTIFS($A$6:$A$505,A299,$B$6:$B$505,B299,$E$6:$E$505,E299)&gt;1,"duplicate number for same entity; ",""))))</x:f>
      </x:c>
    </x:row>
    <x:row r="300">
      <x:c r="A300" s="251"/>
      <x:c r="B300" s="252"/>
      <x:c r="C300" s="253"/>
      <x:c r="D300" s="253"/>
      <x:c r="E300" s="252"/>
      <x:c r="F300" s="252"/>
      <x:c r="G300" s="253"/>
      <x:c r="H300" s="253"/>
      <x:c r="I300" s="253"/>
      <x:c r="J300" s="253"/>
      <x:c r="K300" s="253"/>
      <x:c r="L300" s="253"/>
      <x:c r="M300" s="253" t="str">
        <x:f>IF(AND(A300="",B300="",E300=""),"",IF(OR(A300="",B300="",C300="",D300="",E300="",J300="",AND(A300="client",COUNTIF('الزبائن'!$A$6:$A$505,B300)=0),AND(A300="proposed_name",COUNTIF('أسماء مقترحة'!$A$6:$A$505,B300)=0),AND(D300="mobile",J300&lt;&gt;"invalid",NOT(OR(AND(LEN(E300&amp;"")=10,LEFT(E300&amp;"",2)="09"),AND(LEN(E300&amp;"")=9,LEFT(E300&amp;"",1)="9")))),COUNTIFS($A$6:$A$505,A300,$B$6:$B$505,B300,$E$6:$E$505,E300)&gt;1),"REVIEW","READY"))</x:f>
      </x:c>
      <x:c r="N300" s="255" t="str">
        <x:f>IF(M300="","",IF(M300="READY","",TRIM(IF(A300="","missing entity_type; ","")&amp;IF(B300="","missing entity_key; ","")&amp;IF(C300="","missing contact_order; ","")&amp;IF(D300="","missing contact_type; ","")&amp;IF(E300="","missing number; ","")&amp;IF(J300="","missing status; ","")&amp;IF(AND(A300="client",COUNTIF('الزبائن'!$A$6:$A$505,B300)=0),"client key not found; ","")&amp;IF(AND(A300="proposed_name",COUNTIF('أسماء مقترحة'!$A$6:$A$505,B300)=0),"proposed_name key not found; ","")&amp;IF(AND(D300="mobile",J300&lt;&gt;"invalid",NOT(OR(AND(LEN(E300&amp;"")=10,LEFT(E300&amp;"",2)="09"),AND(LEN(E300&amp;"")=9,LEFT(E300&amp;"",1)="9")))),"mobile must be 09XXXXXXXX or status invalid; ","")&amp;IF(COUNTIFS($A$6:$A$505,A300,$B$6:$B$505,B300,$E$6:$E$505,E300)&gt;1,"duplicate number for same entity; ",""))))</x:f>
      </x:c>
    </x:row>
    <x:row r="301">
      <x:c r="A301" s="251"/>
      <x:c r="B301" s="252"/>
      <x:c r="C301" s="253"/>
      <x:c r="D301" s="253"/>
      <x:c r="E301" s="252"/>
      <x:c r="F301" s="252"/>
      <x:c r="G301" s="253"/>
      <x:c r="H301" s="253"/>
      <x:c r="I301" s="253"/>
      <x:c r="J301" s="253"/>
      <x:c r="K301" s="253"/>
      <x:c r="L301" s="253"/>
      <x:c r="M301" s="253" t="str">
        <x:f>IF(AND(A301="",B301="",E301=""),"",IF(OR(A301="",B301="",C301="",D301="",E301="",J301="",AND(A301="client",COUNTIF('الزبائن'!$A$6:$A$505,B301)=0),AND(A301="proposed_name",COUNTIF('أسماء مقترحة'!$A$6:$A$505,B301)=0),AND(D301="mobile",J301&lt;&gt;"invalid",NOT(OR(AND(LEN(E301&amp;"")=10,LEFT(E301&amp;"",2)="09"),AND(LEN(E301&amp;"")=9,LEFT(E301&amp;"",1)="9")))),COUNTIFS($A$6:$A$505,A301,$B$6:$B$505,B301,$E$6:$E$505,E301)&gt;1),"REVIEW","READY"))</x:f>
      </x:c>
      <x:c r="N301" s="255" t="str">
        <x:f>IF(M301="","",IF(M301="READY","",TRIM(IF(A301="","missing entity_type; ","")&amp;IF(B301="","missing entity_key; ","")&amp;IF(C301="","missing contact_order; ","")&amp;IF(D301="","missing contact_type; ","")&amp;IF(E301="","missing number; ","")&amp;IF(J301="","missing status; ","")&amp;IF(AND(A301="client",COUNTIF('الزبائن'!$A$6:$A$505,B301)=0),"client key not found; ","")&amp;IF(AND(A301="proposed_name",COUNTIF('أسماء مقترحة'!$A$6:$A$505,B301)=0),"proposed_name key not found; ","")&amp;IF(AND(D301="mobile",J301&lt;&gt;"invalid",NOT(OR(AND(LEN(E301&amp;"")=10,LEFT(E301&amp;"",2)="09"),AND(LEN(E301&amp;"")=9,LEFT(E301&amp;"",1)="9")))),"mobile must be 09XXXXXXXX or status invalid; ","")&amp;IF(COUNTIFS($A$6:$A$505,A301,$B$6:$B$505,B301,$E$6:$E$505,E301)&gt;1,"duplicate number for same entity; ",""))))</x:f>
      </x:c>
    </x:row>
    <x:row r="302">
      <x:c r="A302" s="251"/>
      <x:c r="B302" s="252"/>
      <x:c r="C302" s="253"/>
      <x:c r="D302" s="253"/>
      <x:c r="E302" s="252"/>
      <x:c r="F302" s="252"/>
      <x:c r="G302" s="253"/>
      <x:c r="H302" s="253"/>
      <x:c r="I302" s="253"/>
      <x:c r="J302" s="253"/>
      <x:c r="K302" s="253"/>
      <x:c r="L302" s="253"/>
      <x:c r="M302" s="253" t="str">
        <x:f>IF(AND(A302="",B302="",E302=""),"",IF(OR(A302="",B302="",C302="",D302="",E302="",J302="",AND(A302="client",COUNTIF('الزبائن'!$A$6:$A$505,B302)=0),AND(A302="proposed_name",COUNTIF('أسماء مقترحة'!$A$6:$A$505,B302)=0),AND(D302="mobile",J302&lt;&gt;"invalid",NOT(OR(AND(LEN(E302&amp;"")=10,LEFT(E302&amp;"",2)="09"),AND(LEN(E302&amp;"")=9,LEFT(E302&amp;"",1)="9")))),COUNTIFS($A$6:$A$505,A302,$B$6:$B$505,B302,$E$6:$E$505,E302)&gt;1),"REVIEW","READY"))</x:f>
      </x:c>
      <x:c r="N302" s="255" t="str">
        <x:f>IF(M302="","",IF(M302="READY","",TRIM(IF(A302="","missing entity_type; ","")&amp;IF(B302="","missing entity_key; ","")&amp;IF(C302="","missing contact_order; ","")&amp;IF(D302="","missing contact_type; ","")&amp;IF(E302="","missing number; ","")&amp;IF(J302="","missing status; ","")&amp;IF(AND(A302="client",COUNTIF('الزبائن'!$A$6:$A$505,B302)=0),"client key not found; ","")&amp;IF(AND(A302="proposed_name",COUNTIF('أسماء مقترحة'!$A$6:$A$505,B302)=0),"proposed_name key not found; ","")&amp;IF(AND(D302="mobile",J302&lt;&gt;"invalid",NOT(OR(AND(LEN(E302&amp;"")=10,LEFT(E302&amp;"",2)="09"),AND(LEN(E302&amp;"")=9,LEFT(E302&amp;"",1)="9")))),"mobile must be 09XXXXXXXX or status invalid; ","")&amp;IF(COUNTIFS($A$6:$A$505,A302,$B$6:$B$505,B302,$E$6:$E$505,E302)&gt;1,"duplicate number for same entity; ",""))))</x:f>
      </x:c>
    </x:row>
    <x:row r="303">
      <x:c r="A303" s="251"/>
      <x:c r="B303" s="252"/>
      <x:c r="C303" s="253"/>
      <x:c r="D303" s="253"/>
      <x:c r="E303" s="252"/>
      <x:c r="F303" s="252"/>
      <x:c r="G303" s="253"/>
      <x:c r="H303" s="253"/>
      <x:c r="I303" s="253"/>
      <x:c r="J303" s="253"/>
      <x:c r="K303" s="253"/>
      <x:c r="L303" s="253"/>
      <x:c r="M303" s="253" t="str">
        <x:f>IF(AND(A303="",B303="",E303=""),"",IF(OR(A303="",B303="",C303="",D303="",E303="",J303="",AND(A303="client",COUNTIF('الزبائن'!$A$6:$A$505,B303)=0),AND(A303="proposed_name",COUNTIF('أسماء مقترحة'!$A$6:$A$505,B303)=0),AND(D303="mobile",J303&lt;&gt;"invalid",NOT(OR(AND(LEN(E303&amp;"")=10,LEFT(E303&amp;"",2)="09"),AND(LEN(E303&amp;"")=9,LEFT(E303&amp;"",1)="9")))),COUNTIFS($A$6:$A$505,A303,$B$6:$B$505,B303,$E$6:$E$505,E303)&gt;1),"REVIEW","READY"))</x:f>
      </x:c>
      <x:c r="N303" s="255" t="str">
        <x:f>IF(M303="","",IF(M303="READY","",TRIM(IF(A303="","missing entity_type; ","")&amp;IF(B303="","missing entity_key; ","")&amp;IF(C303="","missing contact_order; ","")&amp;IF(D303="","missing contact_type; ","")&amp;IF(E303="","missing number; ","")&amp;IF(J303="","missing status; ","")&amp;IF(AND(A303="client",COUNTIF('الزبائن'!$A$6:$A$505,B303)=0),"client key not found; ","")&amp;IF(AND(A303="proposed_name",COUNTIF('أسماء مقترحة'!$A$6:$A$505,B303)=0),"proposed_name key not found; ","")&amp;IF(AND(D303="mobile",J303&lt;&gt;"invalid",NOT(OR(AND(LEN(E303&amp;"")=10,LEFT(E303&amp;"",2)="09"),AND(LEN(E303&amp;"")=9,LEFT(E303&amp;"",1)="9")))),"mobile must be 09XXXXXXXX or status invalid; ","")&amp;IF(COUNTIFS($A$6:$A$505,A303,$B$6:$B$505,B303,$E$6:$E$505,E303)&gt;1,"duplicate number for same entity; ",""))))</x:f>
      </x:c>
    </x:row>
    <x:row r="304">
      <x:c r="A304" s="251"/>
      <x:c r="B304" s="252"/>
      <x:c r="C304" s="253"/>
      <x:c r="D304" s="253"/>
      <x:c r="E304" s="252"/>
      <x:c r="F304" s="252"/>
      <x:c r="G304" s="253"/>
      <x:c r="H304" s="253"/>
      <x:c r="I304" s="253"/>
      <x:c r="J304" s="253"/>
      <x:c r="K304" s="253"/>
      <x:c r="L304" s="253"/>
      <x:c r="M304" s="253" t="str">
        <x:f>IF(AND(A304="",B304="",E304=""),"",IF(OR(A304="",B304="",C304="",D304="",E304="",J304="",AND(A304="client",COUNTIF('الزبائن'!$A$6:$A$505,B304)=0),AND(A304="proposed_name",COUNTIF('أسماء مقترحة'!$A$6:$A$505,B304)=0),AND(D304="mobile",J304&lt;&gt;"invalid",NOT(OR(AND(LEN(E304&amp;"")=10,LEFT(E304&amp;"",2)="09"),AND(LEN(E304&amp;"")=9,LEFT(E304&amp;"",1)="9")))),COUNTIFS($A$6:$A$505,A304,$B$6:$B$505,B304,$E$6:$E$505,E304)&gt;1),"REVIEW","READY"))</x:f>
      </x:c>
      <x:c r="N304" s="255" t="str">
        <x:f>IF(M304="","",IF(M304="READY","",TRIM(IF(A304="","missing entity_type; ","")&amp;IF(B304="","missing entity_key; ","")&amp;IF(C304="","missing contact_order; ","")&amp;IF(D304="","missing contact_type; ","")&amp;IF(E304="","missing number; ","")&amp;IF(J304="","missing status; ","")&amp;IF(AND(A304="client",COUNTIF('الزبائن'!$A$6:$A$505,B304)=0),"client key not found; ","")&amp;IF(AND(A304="proposed_name",COUNTIF('أسماء مقترحة'!$A$6:$A$505,B304)=0),"proposed_name key not found; ","")&amp;IF(AND(D304="mobile",J304&lt;&gt;"invalid",NOT(OR(AND(LEN(E304&amp;"")=10,LEFT(E304&amp;"",2)="09"),AND(LEN(E304&amp;"")=9,LEFT(E304&amp;"",1)="9")))),"mobile must be 09XXXXXXXX or status invalid; ","")&amp;IF(COUNTIFS($A$6:$A$505,A304,$B$6:$B$505,B304,$E$6:$E$505,E304)&gt;1,"duplicate number for same entity; ",""))))</x:f>
      </x:c>
    </x:row>
    <x:row r="305">
      <x:c r="A305" s="251"/>
      <x:c r="B305" s="252"/>
      <x:c r="C305" s="253"/>
      <x:c r="D305" s="253"/>
      <x:c r="E305" s="252"/>
      <x:c r="F305" s="252"/>
      <x:c r="G305" s="253"/>
      <x:c r="H305" s="253"/>
      <x:c r="I305" s="253"/>
      <x:c r="J305" s="253"/>
      <x:c r="K305" s="253"/>
      <x:c r="L305" s="253"/>
      <x:c r="M305" s="253" t="str">
        <x:f>IF(AND(A305="",B305="",E305=""),"",IF(OR(A305="",B305="",C305="",D305="",E305="",J305="",AND(A305="client",COUNTIF('الزبائن'!$A$6:$A$505,B305)=0),AND(A305="proposed_name",COUNTIF('أسماء مقترحة'!$A$6:$A$505,B305)=0),AND(D305="mobile",J305&lt;&gt;"invalid",NOT(OR(AND(LEN(E305&amp;"")=10,LEFT(E305&amp;"",2)="09"),AND(LEN(E305&amp;"")=9,LEFT(E305&amp;"",1)="9")))),COUNTIFS($A$6:$A$505,A305,$B$6:$B$505,B305,$E$6:$E$505,E305)&gt;1),"REVIEW","READY"))</x:f>
      </x:c>
      <x:c r="N305" s="255" t="str">
        <x:f>IF(M305="","",IF(M305="READY","",TRIM(IF(A305="","missing entity_type; ","")&amp;IF(B305="","missing entity_key; ","")&amp;IF(C305="","missing contact_order; ","")&amp;IF(D305="","missing contact_type; ","")&amp;IF(E305="","missing number; ","")&amp;IF(J305="","missing status; ","")&amp;IF(AND(A305="client",COUNTIF('الزبائن'!$A$6:$A$505,B305)=0),"client key not found; ","")&amp;IF(AND(A305="proposed_name",COUNTIF('أسماء مقترحة'!$A$6:$A$505,B305)=0),"proposed_name key not found; ","")&amp;IF(AND(D305="mobile",J305&lt;&gt;"invalid",NOT(OR(AND(LEN(E305&amp;"")=10,LEFT(E305&amp;"",2)="09"),AND(LEN(E305&amp;"")=9,LEFT(E305&amp;"",1)="9")))),"mobile must be 09XXXXXXXX or status invalid; ","")&amp;IF(COUNTIFS($A$6:$A$505,A305,$B$6:$B$505,B305,$E$6:$E$505,E305)&gt;1,"duplicate number for same entity; ",""))))</x:f>
      </x:c>
    </x:row>
    <x:row r="306">
      <x:c r="A306" s="251"/>
      <x:c r="B306" s="252"/>
      <x:c r="C306" s="253"/>
      <x:c r="D306" s="253"/>
      <x:c r="E306" s="252"/>
      <x:c r="F306" s="252"/>
      <x:c r="G306" s="253"/>
      <x:c r="H306" s="253"/>
      <x:c r="I306" s="253"/>
      <x:c r="J306" s="253"/>
      <x:c r="K306" s="253"/>
      <x:c r="L306" s="253"/>
      <x:c r="M306" s="253" t="str">
        <x:f>IF(AND(A306="",B306="",E306=""),"",IF(OR(A306="",B306="",C306="",D306="",E306="",J306="",AND(A306="client",COUNTIF('الزبائن'!$A$6:$A$505,B306)=0),AND(A306="proposed_name",COUNTIF('أسماء مقترحة'!$A$6:$A$505,B306)=0),AND(D306="mobile",J306&lt;&gt;"invalid",NOT(OR(AND(LEN(E306&amp;"")=10,LEFT(E306&amp;"",2)="09"),AND(LEN(E306&amp;"")=9,LEFT(E306&amp;"",1)="9")))),COUNTIFS($A$6:$A$505,A306,$B$6:$B$505,B306,$E$6:$E$505,E306)&gt;1),"REVIEW","READY"))</x:f>
      </x:c>
      <x:c r="N306" s="255" t="str">
        <x:f>IF(M306="","",IF(M306="READY","",TRIM(IF(A306="","missing entity_type; ","")&amp;IF(B306="","missing entity_key; ","")&amp;IF(C306="","missing contact_order; ","")&amp;IF(D306="","missing contact_type; ","")&amp;IF(E306="","missing number; ","")&amp;IF(J306="","missing status; ","")&amp;IF(AND(A306="client",COUNTIF('الزبائن'!$A$6:$A$505,B306)=0),"client key not found; ","")&amp;IF(AND(A306="proposed_name",COUNTIF('أسماء مقترحة'!$A$6:$A$505,B306)=0),"proposed_name key not found; ","")&amp;IF(AND(D306="mobile",J306&lt;&gt;"invalid",NOT(OR(AND(LEN(E306&amp;"")=10,LEFT(E306&amp;"",2)="09"),AND(LEN(E306&amp;"")=9,LEFT(E306&amp;"",1)="9")))),"mobile must be 09XXXXXXXX or status invalid; ","")&amp;IF(COUNTIFS($A$6:$A$505,A306,$B$6:$B$505,B306,$E$6:$E$505,E306)&gt;1,"duplicate number for same entity; ",""))))</x:f>
      </x:c>
    </x:row>
    <x:row r="307">
      <x:c r="A307" s="251"/>
      <x:c r="B307" s="252"/>
      <x:c r="C307" s="253"/>
      <x:c r="D307" s="253"/>
      <x:c r="E307" s="252"/>
      <x:c r="F307" s="252"/>
      <x:c r="G307" s="253"/>
      <x:c r="H307" s="253"/>
      <x:c r="I307" s="253"/>
      <x:c r="J307" s="253"/>
      <x:c r="K307" s="253"/>
      <x:c r="L307" s="253"/>
      <x:c r="M307" s="253" t="str">
        <x:f>IF(AND(A307="",B307="",E307=""),"",IF(OR(A307="",B307="",C307="",D307="",E307="",J307="",AND(A307="client",COUNTIF('الزبائن'!$A$6:$A$505,B307)=0),AND(A307="proposed_name",COUNTIF('أسماء مقترحة'!$A$6:$A$505,B307)=0),AND(D307="mobile",J307&lt;&gt;"invalid",NOT(OR(AND(LEN(E307&amp;"")=10,LEFT(E307&amp;"",2)="09"),AND(LEN(E307&amp;"")=9,LEFT(E307&amp;"",1)="9")))),COUNTIFS($A$6:$A$505,A307,$B$6:$B$505,B307,$E$6:$E$505,E307)&gt;1),"REVIEW","READY"))</x:f>
      </x:c>
      <x:c r="N307" s="255" t="str">
        <x:f>IF(M307="","",IF(M307="READY","",TRIM(IF(A307="","missing entity_type; ","")&amp;IF(B307="","missing entity_key; ","")&amp;IF(C307="","missing contact_order; ","")&amp;IF(D307="","missing contact_type; ","")&amp;IF(E307="","missing number; ","")&amp;IF(J307="","missing status; ","")&amp;IF(AND(A307="client",COUNTIF('الزبائن'!$A$6:$A$505,B307)=0),"client key not found; ","")&amp;IF(AND(A307="proposed_name",COUNTIF('أسماء مقترحة'!$A$6:$A$505,B307)=0),"proposed_name key not found; ","")&amp;IF(AND(D307="mobile",J307&lt;&gt;"invalid",NOT(OR(AND(LEN(E307&amp;"")=10,LEFT(E307&amp;"",2)="09"),AND(LEN(E307&amp;"")=9,LEFT(E307&amp;"",1)="9")))),"mobile must be 09XXXXXXXX or status invalid; ","")&amp;IF(COUNTIFS($A$6:$A$505,A307,$B$6:$B$505,B307,$E$6:$E$505,E307)&gt;1,"duplicate number for same entity; ",""))))</x:f>
      </x:c>
    </x:row>
    <x:row r="308">
      <x:c r="A308" s="251"/>
      <x:c r="B308" s="252"/>
      <x:c r="C308" s="253"/>
      <x:c r="D308" s="253"/>
      <x:c r="E308" s="252"/>
      <x:c r="F308" s="252"/>
      <x:c r="G308" s="253"/>
      <x:c r="H308" s="253"/>
      <x:c r="I308" s="253"/>
      <x:c r="J308" s="253"/>
      <x:c r="K308" s="253"/>
      <x:c r="L308" s="253"/>
      <x:c r="M308" s="253" t="str">
        <x:f>IF(AND(A308="",B308="",E308=""),"",IF(OR(A308="",B308="",C308="",D308="",E308="",J308="",AND(A308="client",COUNTIF('الزبائن'!$A$6:$A$505,B308)=0),AND(A308="proposed_name",COUNTIF('أسماء مقترحة'!$A$6:$A$505,B308)=0),AND(D308="mobile",J308&lt;&gt;"invalid",NOT(OR(AND(LEN(E308&amp;"")=10,LEFT(E308&amp;"",2)="09"),AND(LEN(E308&amp;"")=9,LEFT(E308&amp;"",1)="9")))),COUNTIFS($A$6:$A$505,A308,$B$6:$B$505,B308,$E$6:$E$505,E308)&gt;1),"REVIEW","READY"))</x:f>
      </x:c>
      <x:c r="N308" s="255" t="str">
        <x:f>IF(M308="","",IF(M308="READY","",TRIM(IF(A308="","missing entity_type; ","")&amp;IF(B308="","missing entity_key; ","")&amp;IF(C308="","missing contact_order; ","")&amp;IF(D308="","missing contact_type; ","")&amp;IF(E308="","missing number; ","")&amp;IF(J308="","missing status; ","")&amp;IF(AND(A308="client",COUNTIF('الزبائن'!$A$6:$A$505,B308)=0),"client key not found; ","")&amp;IF(AND(A308="proposed_name",COUNTIF('أسماء مقترحة'!$A$6:$A$505,B308)=0),"proposed_name key not found; ","")&amp;IF(AND(D308="mobile",J308&lt;&gt;"invalid",NOT(OR(AND(LEN(E308&amp;"")=10,LEFT(E308&amp;"",2)="09"),AND(LEN(E308&amp;"")=9,LEFT(E308&amp;"",1)="9")))),"mobile must be 09XXXXXXXX or status invalid; ","")&amp;IF(COUNTIFS($A$6:$A$505,A308,$B$6:$B$505,B308,$E$6:$E$505,E308)&gt;1,"duplicate number for same entity; ",""))))</x:f>
      </x:c>
    </x:row>
    <x:row r="309">
      <x:c r="A309" s="251"/>
      <x:c r="B309" s="252"/>
      <x:c r="C309" s="253"/>
      <x:c r="D309" s="253"/>
      <x:c r="E309" s="252"/>
      <x:c r="F309" s="252"/>
      <x:c r="G309" s="253"/>
      <x:c r="H309" s="253"/>
      <x:c r="I309" s="253"/>
      <x:c r="J309" s="253"/>
      <x:c r="K309" s="253"/>
      <x:c r="L309" s="253"/>
      <x:c r="M309" s="253" t="str">
        <x:f>IF(AND(A309="",B309="",E309=""),"",IF(OR(A309="",B309="",C309="",D309="",E309="",J309="",AND(A309="client",COUNTIF('الزبائن'!$A$6:$A$505,B309)=0),AND(A309="proposed_name",COUNTIF('أسماء مقترحة'!$A$6:$A$505,B309)=0),AND(D309="mobile",J309&lt;&gt;"invalid",NOT(OR(AND(LEN(E309&amp;"")=10,LEFT(E309&amp;"",2)="09"),AND(LEN(E309&amp;"")=9,LEFT(E309&amp;"",1)="9")))),COUNTIFS($A$6:$A$505,A309,$B$6:$B$505,B309,$E$6:$E$505,E309)&gt;1),"REVIEW","READY"))</x:f>
      </x:c>
      <x:c r="N309" s="255" t="str">
        <x:f>IF(M309="","",IF(M309="READY","",TRIM(IF(A309="","missing entity_type; ","")&amp;IF(B309="","missing entity_key; ","")&amp;IF(C309="","missing contact_order; ","")&amp;IF(D309="","missing contact_type; ","")&amp;IF(E309="","missing number; ","")&amp;IF(J309="","missing status; ","")&amp;IF(AND(A309="client",COUNTIF('الزبائن'!$A$6:$A$505,B309)=0),"client key not found; ","")&amp;IF(AND(A309="proposed_name",COUNTIF('أسماء مقترحة'!$A$6:$A$505,B309)=0),"proposed_name key not found; ","")&amp;IF(AND(D309="mobile",J309&lt;&gt;"invalid",NOT(OR(AND(LEN(E309&amp;"")=10,LEFT(E309&amp;"",2)="09"),AND(LEN(E309&amp;"")=9,LEFT(E309&amp;"",1)="9")))),"mobile must be 09XXXXXXXX or status invalid; ","")&amp;IF(COUNTIFS($A$6:$A$505,A309,$B$6:$B$505,B309,$E$6:$E$505,E309)&gt;1,"duplicate number for same entity; ",""))))</x:f>
      </x:c>
    </x:row>
    <x:row r="310">
      <x:c r="A310" s="251"/>
      <x:c r="B310" s="252"/>
      <x:c r="C310" s="253"/>
      <x:c r="D310" s="253"/>
      <x:c r="E310" s="252"/>
      <x:c r="F310" s="252"/>
      <x:c r="G310" s="253"/>
      <x:c r="H310" s="253"/>
      <x:c r="I310" s="253"/>
      <x:c r="J310" s="253"/>
      <x:c r="K310" s="253"/>
      <x:c r="L310" s="253"/>
      <x:c r="M310" s="253" t="str">
        <x:f>IF(AND(A310="",B310="",E310=""),"",IF(OR(A310="",B310="",C310="",D310="",E310="",J310="",AND(A310="client",COUNTIF('الزبائن'!$A$6:$A$505,B310)=0),AND(A310="proposed_name",COUNTIF('أسماء مقترحة'!$A$6:$A$505,B310)=0),AND(D310="mobile",J310&lt;&gt;"invalid",NOT(OR(AND(LEN(E310&amp;"")=10,LEFT(E310&amp;"",2)="09"),AND(LEN(E310&amp;"")=9,LEFT(E310&amp;"",1)="9")))),COUNTIFS($A$6:$A$505,A310,$B$6:$B$505,B310,$E$6:$E$505,E310)&gt;1),"REVIEW","READY"))</x:f>
      </x:c>
      <x:c r="N310" s="255" t="str">
        <x:f>IF(M310="","",IF(M310="READY","",TRIM(IF(A310="","missing entity_type; ","")&amp;IF(B310="","missing entity_key; ","")&amp;IF(C310="","missing contact_order; ","")&amp;IF(D310="","missing contact_type; ","")&amp;IF(E310="","missing number; ","")&amp;IF(J310="","missing status; ","")&amp;IF(AND(A310="client",COUNTIF('الزبائن'!$A$6:$A$505,B310)=0),"client key not found; ","")&amp;IF(AND(A310="proposed_name",COUNTIF('أسماء مقترحة'!$A$6:$A$505,B310)=0),"proposed_name key not found; ","")&amp;IF(AND(D310="mobile",J310&lt;&gt;"invalid",NOT(OR(AND(LEN(E310&amp;"")=10,LEFT(E310&amp;"",2)="09"),AND(LEN(E310&amp;"")=9,LEFT(E310&amp;"",1)="9")))),"mobile must be 09XXXXXXXX or status invalid; ","")&amp;IF(COUNTIFS($A$6:$A$505,A310,$B$6:$B$505,B310,$E$6:$E$505,E310)&gt;1,"duplicate number for same entity; ",""))))</x:f>
      </x:c>
    </x:row>
    <x:row r="311">
      <x:c r="A311" s="251"/>
      <x:c r="B311" s="252"/>
      <x:c r="C311" s="253"/>
      <x:c r="D311" s="253"/>
      <x:c r="E311" s="252"/>
      <x:c r="F311" s="252"/>
      <x:c r="G311" s="253"/>
      <x:c r="H311" s="253"/>
      <x:c r="I311" s="253"/>
      <x:c r="J311" s="253"/>
      <x:c r="K311" s="253"/>
      <x:c r="L311" s="253"/>
      <x:c r="M311" s="253" t="str">
        <x:f>IF(AND(A311="",B311="",E311=""),"",IF(OR(A311="",B311="",C311="",D311="",E311="",J311="",AND(A311="client",COUNTIF('الزبائن'!$A$6:$A$505,B311)=0),AND(A311="proposed_name",COUNTIF('أسماء مقترحة'!$A$6:$A$505,B311)=0),AND(D311="mobile",J311&lt;&gt;"invalid",NOT(OR(AND(LEN(E311&amp;"")=10,LEFT(E311&amp;"",2)="09"),AND(LEN(E311&amp;"")=9,LEFT(E311&amp;"",1)="9")))),COUNTIFS($A$6:$A$505,A311,$B$6:$B$505,B311,$E$6:$E$505,E311)&gt;1),"REVIEW","READY"))</x:f>
      </x:c>
      <x:c r="N311" s="255" t="str">
        <x:f>IF(M311="","",IF(M311="READY","",TRIM(IF(A311="","missing entity_type; ","")&amp;IF(B311="","missing entity_key; ","")&amp;IF(C311="","missing contact_order; ","")&amp;IF(D311="","missing contact_type; ","")&amp;IF(E311="","missing number; ","")&amp;IF(J311="","missing status; ","")&amp;IF(AND(A311="client",COUNTIF('الزبائن'!$A$6:$A$505,B311)=0),"client key not found; ","")&amp;IF(AND(A311="proposed_name",COUNTIF('أسماء مقترحة'!$A$6:$A$505,B311)=0),"proposed_name key not found; ","")&amp;IF(AND(D311="mobile",J311&lt;&gt;"invalid",NOT(OR(AND(LEN(E311&amp;"")=10,LEFT(E311&amp;"",2)="09"),AND(LEN(E311&amp;"")=9,LEFT(E311&amp;"",1)="9")))),"mobile must be 09XXXXXXXX or status invalid; ","")&amp;IF(COUNTIFS($A$6:$A$505,A311,$B$6:$B$505,B311,$E$6:$E$505,E311)&gt;1,"duplicate number for same entity; ",""))))</x:f>
      </x:c>
    </x:row>
    <x:row r="312">
      <x:c r="A312" s="251"/>
      <x:c r="B312" s="252"/>
      <x:c r="C312" s="253"/>
      <x:c r="D312" s="253"/>
      <x:c r="E312" s="252"/>
      <x:c r="F312" s="252"/>
      <x:c r="G312" s="253"/>
      <x:c r="H312" s="253"/>
      <x:c r="I312" s="253"/>
      <x:c r="J312" s="253"/>
      <x:c r="K312" s="253"/>
      <x:c r="L312" s="253"/>
      <x:c r="M312" s="253" t="str">
        <x:f>IF(AND(A312="",B312="",E312=""),"",IF(OR(A312="",B312="",C312="",D312="",E312="",J312="",AND(A312="client",COUNTIF('الزبائن'!$A$6:$A$505,B312)=0),AND(A312="proposed_name",COUNTIF('أسماء مقترحة'!$A$6:$A$505,B312)=0),AND(D312="mobile",J312&lt;&gt;"invalid",NOT(OR(AND(LEN(E312&amp;"")=10,LEFT(E312&amp;"",2)="09"),AND(LEN(E312&amp;"")=9,LEFT(E312&amp;"",1)="9")))),COUNTIFS($A$6:$A$505,A312,$B$6:$B$505,B312,$E$6:$E$505,E312)&gt;1),"REVIEW","READY"))</x:f>
      </x:c>
      <x:c r="N312" s="255" t="str">
        <x:f>IF(M312="","",IF(M312="READY","",TRIM(IF(A312="","missing entity_type; ","")&amp;IF(B312="","missing entity_key; ","")&amp;IF(C312="","missing contact_order; ","")&amp;IF(D312="","missing contact_type; ","")&amp;IF(E312="","missing number; ","")&amp;IF(J312="","missing status; ","")&amp;IF(AND(A312="client",COUNTIF('الزبائن'!$A$6:$A$505,B312)=0),"client key not found; ","")&amp;IF(AND(A312="proposed_name",COUNTIF('أسماء مقترحة'!$A$6:$A$505,B312)=0),"proposed_name key not found; ","")&amp;IF(AND(D312="mobile",J312&lt;&gt;"invalid",NOT(OR(AND(LEN(E312&amp;"")=10,LEFT(E312&amp;"",2)="09"),AND(LEN(E312&amp;"")=9,LEFT(E312&amp;"",1)="9")))),"mobile must be 09XXXXXXXX or status invalid; ","")&amp;IF(COUNTIFS($A$6:$A$505,A312,$B$6:$B$505,B312,$E$6:$E$505,E312)&gt;1,"duplicate number for same entity; ",""))))</x:f>
      </x:c>
    </x:row>
    <x:row r="313">
      <x:c r="A313" s="251"/>
      <x:c r="B313" s="252"/>
      <x:c r="C313" s="253"/>
      <x:c r="D313" s="253"/>
      <x:c r="E313" s="252"/>
      <x:c r="F313" s="252"/>
      <x:c r="G313" s="253"/>
      <x:c r="H313" s="253"/>
      <x:c r="I313" s="253"/>
      <x:c r="J313" s="253"/>
      <x:c r="K313" s="253"/>
      <x:c r="L313" s="253"/>
      <x:c r="M313" s="253" t="str">
        <x:f>IF(AND(A313="",B313="",E313=""),"",IF(OR(A313="",B313="",C313="",D313="",E313="",J313="",AND(A313="client",COUNTIF('الزبائن'!$A$6:$A$505,B313)=0),AND(A313="proposed_name",COUNTIF('أسماء مقترحة'!$A$6:$A$505,B313)=0),AND(D313="mobile",J313&lt;&gt;"invalid",NOT(OR(AND(LEN(E313&amp;"")=10,LEFT(E313&amp;"",2)="09"),AND(LEN(E313&amp;"")=9,LEFT(E313&amp;"",1)="9")))),COUNTIFS($A$6:$A$505,A313,$B$6:$B$505,B313,$E$6:$E$505,E313)&gt;1),"REVIEW","READY"))</x:f>
      </x:c>
      <x:c r="N313" s="255" t="str">
        <x:f>IF(M313="","",IF(M313="READY","",TRIM(IF(A313="","missing entity_type; ","")&amp;IF(B313="","missing entity_key; ","")&amp;IF(C313="","missing contact_order; ","")&amp;IF(D313="","missing contact_type; ","")&amp;IF(E313="","missing number; ","")&amp;IF(J313="","missing status; ","")&amp;IF(AND(A313="client",COUNTIF('الزبائن'!$A$6:$A$505,B313)=0),"client key not found; ","")&amp;IF(AND(A313="proposed_name",COUNTIF('أسماء مقترحة'!$A$6:$A$505,B313)=0),"proposed_name key not found; ","")&amp;IF(AND(D313="mobile",J313&lt;&gt;"invalid",NOT(OR(AND(LEN(E313&amp;"")=10,LEFT(E313&amp;"",2)="09"),AND(LEN(E313&amp;"")=9,LEFT(E313&amp;"",1)="9")))),"mobile must be 09XXXXXXXX or status invalid; ","")&amp;IF(COUNTIFS($A$6:$A$505,A313,$B$6:$B$505,B313,$E$6:$E$505,E313)&gt;1,"duplicate number for same entity; ",""))))</x:f>
      </x:c>
    </x:row>
    <x:row r="314">
      <x:c r="A314" s="251"/>
      <x:c r="B314" s="252"/>
      <x:c r="C314" s="253"/>
      <x:c r="D314" s="253"/>
      <x:c r="E314" s="252"/>
      <x:c r="F314" s="252"/>
      <x:c r="G314" s="253"/>
      <x:c r="H314" s="253"/>
      <x:c r="I314" s="253"/>
      <x:c r="J314" s="253"/>
      <x:c r="K314" s="253"/>
      <x:c r="L314" s="253"/>
      <x:c r="M314" s="253" t="str">
        <x:f>IF(AND(A314="",B314="",E314=""),"",IF(OR(A314="",B314="",C314="",D314="",E314="",J314="",AND(A314="client",COUNTIF('الزبائن'!$A$6:$A$505,B314)=0),AND(A314="proposed_name",COUNTIF('أسماء مقترحة'!$A$6:$A$505,B314)=0),AND(D314="mobile",J314&lt;&gt;"invalid",NOT(OR(AND(LEN(E314&amp;"")=10,LEFT(E314&amp;"",2)="09"),AND(LEN(E314&amp;"")=9,LEFT(E314&amp;"",1)="9")))),COUNTIFS($A$6:$A$505,A314,$B$6:$B$505,B314,$E$6:$E$505,E314)&gt;1),"REVIEW","READY"))</x:f>
      </x:c>
      <x:c r="N314" s="255" t="str">
        <x:f>IF(M314="","",IF(M314="READY","",TRIM(IF(A314="","missing entity_type; ","")&amp;IF(B314="","missing entity_key; ","")&amp;IF(C314="","missing contact_order; ","")&amp;IF(D314="","missing contact_type; ","")&amp;IF(E314="","missing number; ","")&amp;IF(J314="","missing status; ","")&amp;IF(AND(A314="client",COUNTIF('الزبائن'!$A$6:$A$505,B314)=0),"client key not found; ","")&amp;IF(AND(A314="proposed_name",COUNTIF('أسماء مقترحة'!$A$6:$A$505,B314)=0),"proposed_name key not found; ","")&amp;IF(AND(D314="mobile",J314&lt;&gt;"invalid",NOT(OR(AND(LEN(E314&amp;"")=10,LEFT(E314&amp;"",2)="09"),AND(LEN(E314&amp;"")=9,LEFT(E314&amp;"",1)="9")))),"mobile must be 09XXXXXXXX or status invalid; ","")&amp;IF(COUNTIFS($A$6:$A$505,A314,$B$6:$B$505,B314,$E$6:$E$505,E314)&gt;1,"duplicate number for same entity; ",""))))</x:f>
      </x:c>
    </x:row>
    <x:row r="315">
      <x:c r="A315" s="251"/>
      <x:c r="B315" s="252"/>
      <x:c r="C315" s="253"/>
      <x:c r="D315" s="253"/>
      <x:c r="E315" s="252"/>
      <x:c r="F315" s="252"/>
      <x:c r="G315" s="253"/>
      <x:c r="H315" s="253"/>
      <x:c r="I315" s="253"/>
      <x:c r="J315" s="253"/>
      <x:c r="K315" s="253"/>
      <x:c r="L315" s="253"/>
      <x:c r="M315" s="253" t="str">
        <x:f>IF(AND(A315="",B315="",E315=""),"",IF(OR(A315="",B315="",C315="",D315="",E315="",J315="",AND(A315="client",COUNTIF('الزبائن'!$A$6:$A$505,B315)=0),AND(A315="proposed_name",COUNTIF('أسماء مقترحة'!$A$6:$A$505,B315)=0),AND(D315="mobile",J315&lt;&gt;"invalid",NOT(OR(AND(LEN(E315&amp;"")=10,LEFT(E315&amp;"",2)="09"),AND(LEN(E315&amp;"")=9,LEFT(E315&amp;"",1)="9")))),COUNTIFS($A$6:$A$505,A315,$B$6:$B$505,B315,$E$6:$E$505,E315)&gt;1),"REVIEW","READY"))</x:f>
      </x:c>
      <x:c r="N315" s="255" t="str">
        <x:f>IF(M315="","",IF(M315="READY","",TRIM(IF(A315="","missing entity_type; ","")&amp;IF(B315="","missing entity_key; ","")&amp;IF(C315="","missing contact_order; ","")&amp;IF(D315="","missing contact_type; ","")&amp;IF(E315="","missing number; ","")&amp;IF(J315="","missing status; ","")&amp;IF(AND(A315="client",COUNTIF('الزبائن'!$A$6:$A$505,B315)=0),"client key not found; ","")&amp;IF(AND(A315="proposed_name",COUNTIF('أسماء مقترحة'!$A$6:$A$505,B315)=0),"proposed_name key not found; ","")&amp;IF(AND(D315="mobile",J315&lt;&gt;"invalid",NOT(OR(AND(LEN(E315&amp;"")=10,LEFT(E315&amp;"",2)="09"),AND(LEN(E315&amp;"")=9,LEFT(E315&amp;"",1)="9")))),"mobile must be 09XXXXXXXX or status invalid; ","")&amp;IF(COUNTIFS($A$6:$A$505,A315,$B$6:$B$505,B315,$E$6:$E$505,E315)&gt;1,"duplicate number for same entity; ",""))))</x:f>
      </x:c>
    </x:row>
    <x:row r="316">
      <x:c r="A316" s="251"/>
      <x:c r="B316" s="252"/>
      <x:c r="C316" s="253"/>
      <x:c r="D316" s="253"/>
      <x:c r="E316" s="252"/>
      <x:c r="F316" s="252"/>
      <x:c r="G316" s="253"/>
      <x:c r="H316" s="253"/>
      <x:c r="I316" s="253"/>
      <x:c r="J316" s="253"/>
      <x:c r="K316" s="253"/>
      <x:c r="L316" s="253"/>
      <x:c r="M316" s="253" t="str">
        <x:f>IF(AND(A316="",B316="",E316=""),"",IF(OR(A316="",B316="",C316="",D316="",E316="",J316="",AND(A316="client",COUNTIF('الزبائن'!$A$6:$A$505,B316)=0),AND(A316="proposed_name",COUNTIF('أسماء مقترحة'!$A$6:$A$505,B316)=0),AND(D316="mobile",J316&lt;&gt;"invalid",NOT(OR(AND(LEN(E316&amp;"")=10,LEFT(E316&amp;"",2)="09"),AND(LEN(E316&amp;"")=9,LEFT(E316&amp;"",1)="9")))),COUNTIFS($A$6:$A$505,A316,$B$6:$B$505,B316,$E$6:$E$505,E316)&gt;1),"REVIEW","READY"))</x:f>
      </x:c>
      <x:c r="N316" s="255" t="str">
        <x:f>IF(M316="","",IF(M316="READY","",TRIM(IF(A316="","missing entity_type; ","")&amp;IF(B316="","missing entity_key; ","")&amp;IF(C316="","missing contact_order; ","")&amp;IF(D316="","missing contact_type; ","")&amp;IF(E316="","missing number; ","")&amp;IF(J316="","missing status; ","")&amp;IF(AND(A316="client",COUNTIF('الزبائن'!$A$6:$A$505,B316)=0),"client key not found; ","")&amp;IF(AND(A316="proposed_name",COUNTIF('أسماء مقترحة'!$A$6:$A$505,B316)=0),"proposed_name key not found; ","")&amp;IF(AND(D316="mobile",J316&lt;&gt;"invalid",NOT(OR(AND(LEN(E316&amp;"")=10,LEFT(E316&amp;"",2)="09"),AND(LEN(E316&amp;"")=9,LEFT(E316&amp;"",1)="9")))),"mobile must be 09XXXXXXXX or status invalid; ","")&amp;IF(COUNTIFS($A$6:$A$505,A316,$B$6:$B$505,B316,$E$6:$E$505,E316)&gt;1,"duplicate number for same entity; ",""))))</x:f>
      </x:c>
    </x:row>
    <x:row r="317">
      <x:c r="A317" s="251"/>
      <x:c r="B317" s="252"/>
      <x:c r="C317" s="253"/>
      <x:c r="D317" s="253"/>
      <x:c r="E317" s="252"/>
      <x:c r="F317" s="252"/>
      <x:c r="G317" s="253"/>
      <x:c r="H317" s="253"/>
      <x:c r="I317" s="253"/>
      <x:c r="J317" s="253"/>
      <x:c r="K317" s="253"/>
      <x:c r="L317" s="253"/>
      <x:c r="M317" s="253" t="str">
        <x:f>IF(AND(A317="",B317="",E317=""),"",IF(OR(A317="",B317="",C317="",D317="",E317="",J317="",AND(A317="client",COUNTIF('الزبائن'!$A$6:$A$505,B317)=0),AND(A317="proposed_name",COUNTIF('أسماء مقترحة'!$A$6:$A$505,B317)=0),AND(D317="mobile",J317&lt;&gt;"invalid",NOT(OR(AND(LEN(E317&amp;"")=10,LEFT(E317&amp;"",2)="09"),AND(LEN(E317&amp;"")=9,LEFT(E317&amp;"",1)="9")))),COUNTIFS($A$6:$A$505,A317,$B$6:$B$505,B317,$E$6:$E$505,E317)&gt;1),"REVIEW","READY"))</x:f>
      </x:c>
      <x:c r="N317" s="255" t="str">
        <x:f>IF(M317="","",IF(M317="READY","",TRIM(IF(A317="","missing entity_type; ","")&amp;IF(B317="","missing entity_key; ","")&amp;IF(C317="","missing contact_order; ","")&amp;IF(D317="","missing contact_type; ","")&amp;IF(E317="","missing number; ","")&amp;IF(J317="","missing status; ","")&amp;IF(AND(A317="client",COUNTIF('الزبائن'!$A$6:$A$505,B317)=0),"client key not found; ","")&amp;IF(AND(A317="proposed_name",COUNTIF('أسماء مقترحة'!$A$6:$A$505,B317)=0),"proposed_name key not found; ","")&amp;IF(AND(D317="mobile",J317&lt;&gt;"invalid",NOT(OR(AND(LEN(E317&amp;"")=10,LEFT(E317&amp;"",2)="09"),AND(LEN(E317&amp;"")=9,LEFT(E317&amp;"",1)="9")))),"mobile must be 09XXXXXXXX or status invalid; ","")&amp;IF(COUNTIFS($A$6:$A$505,A317,$B$6:$B$505,B317,$E$6:$E$505,E317)&gt;1,"duplicate number for same entity; ",""))))</x:f>
      </x:c>
    </x:row>
    <x:row r="318">
      <x:c r="A318" s="251"/>
      <x:c r="B318" s="252"/>
      <x:c r="C318" s="253"/>
      <x:c r="D318" s="253"/>
      <x:c r="E318" s="252"/>
      <x:c r="F318" s="252"/>
      <x:c r="G318" s="253"/>
      <x:c r="H318" s="253"/>
      <x:c r="I318" s="253"/>
      <x:c r="J318" s="253"/>
      <x:c r="K318" s="253"/>
      <x:c r="L318" s="253"/>
      <x:c r="M318" s="253" t="str">
        <x:f>IF(AND(A318="",B318="",E318=""),"",IF(OR(A318="",B318="",C318="",D318="",E318="",J318="",AND(A318="client",COUNTIF('الزبائن'!$A$6:$A$505,B318)=0),AND(A318="proposed_name",COUNTIF('أسماء مقترحة'!$A$6:$A$505,B318)=0),AND(D318="mobile",J318&lt;&gt;"invalid",NOT(OR(AND(LEN(E318&amp;"")=10,LEFT(E318&amp;"",2)="09"),AND(LEN(E318&amp;"")=9,LEFT(E318&amp;"",1)="9")))),COUNTIFS($A$6:$A$505,A318,$B$6:$B$505,B318,$E$6:$E$505,E318)&gt;1),"REVIEW","READY"))</x:f>
      </x:c>
      <x:c r="N318" s="255" t="str">
        <x:f>IF(M318="","",IF(M318="READY","",TRIM(IF(A318="","missing entity_type; ","")&amp;IF(B318="","missing entity_key; ","")&amp;IF(C318="","missing contact_order; ","")&amp;IF(D318="","missing contact_type; ","")&amp;IF(E318="","missing number; ","")&amp;IF(J318="","missing status; ","")&amp;IF(AND(A318="client",COUNTIF('الزبائن'!$A$6:$A$505,B318)=0),"client key not found; ","")&amp;IF(AND(A318="proposed_name",COUNTIF('أسماء مقترحة'!$A$6:$A$505,B318)=0),"proposed_name key not found; ","")&amp;IF(AND(D318="mobile",J318&lt;&gt;"invalid",NOT(OR(AND(LEN(E318&amp;"")=10,LEFT(E318&amp;"",2)="09"),AND(LEN(E318&amp;"")=9,LEFT(E318&amp;"",1)="9")))),"mobile must be 09XXXXXXXX or status invalid; ","")&amp;IF(COUNTIFS($A$6:$A$505,A318,$B$6:$B$505,B318,$E$6:$E$505,E318)&gt;1,"duplicate number for same entity; ",""))))</x:f>
      </x:c>
    </x:row>
    <x:row r="319">
      <x:c r="A319" s="251"/>
      <x:c r="B319" s="252"/>
      <x:c r="C319" s="253"/>
      <x:c r="D319" s="253"/>
      <x:c r="E319" s="252"/>
      <x:c r="F319" s="252"/>
      <x:c r="G319" s="253"/>
      <x:c r="H319" s="253"/>
      <x:c r="I319" s="253"/>
      <x:c r="J319" s="253"/>
      <x:c r="K319" s="253"/>
      <x:c r="L319" s="253"/>
      <x:c r="M319" s="253" t="str">
        <x:f>IF(AND(A319="",B319="",E319=""),"",IF(OR(A319="",B319="",C319="",D319="",E319="",J319="",AND(A319="client",COUNTIF('الزبائن'!$A$6:$A$505,B319)=0),AND(A319="proposed_name",COUNTIF('أسماء مقترحة'!$A$6:$A$505,B319)=0),AND(D319="mobile",J319&lt;&gt;"invalid",NOT(OR(AND(LEN(E319&amp;"")=10,LEFT(E319&amp;"",2)="09"),AND(LEN(E319&amp;"")=9,LEFT(E319&amp;"",1)="9")))),COUNTIFS($A$6:$A$505,A319,$B$6:$B$505,B319,$E$6:$E$505,E319)&gt;1),"REVIEW","READY"))</x:f>
      </x:c>
      <x:c r="N319" s="255" t="str">
        <x:f>IF(M319="","",IF(M319="READY","",TRIM(IF(A319="","missing entity_type; ","")&amp;IF(B319="","missing entity_key; ","")&amp;IF(C319="","missing contact_order; ","")&amp;IF(D319="","missing contact_type; ","")&amp;IF(E319="","missing number; ","")&amp;IF(J319="","missing status; ","")&amp;IF(AND(A319="client",COUNTIF('الزبائن'!$A$6:$A$505,B319)=0),"client key not found; ","")&amp;IF(AND(A319="proposed_name",COUNTIF('أسماء مقترحة'!$A$6:$A$505,B319)=0),"proposed_name key not found; ","")&amp;IF(AND(D319="mobile",J319&lt;&gt;"invalid",NOT(OR(AND(LEN(E319&amp;"")=10,LEFT(E319&amp;"",2)="09"),AND(LEN(E319&amp;"")=9,LEFT(E319&amp;"",1)="9")))),"mobile must be 09XXXXXXXX or status invalid; ","")&amp;IF(COUNTIFS($A$6:$A$505,A319,$B$6:$B$505,B319,$E$6:$E$505,E319)&gt;1,"duplicate number for same entity; ",""))))</x:f>
      </x:c>
    </x:row>
    <x:row r="320">
      <x:c r="A320" s="251"/>
      <x:c r="B320" s="252"/>
      <x:c r="C320" s="253"/>
      <x:c r="D320" s="253"/>
      <x:c r="E320" s="252"/>
      <x:c r="F320" s="252"/>
      <x:c r="G320" s="253"/>
      <x:c r="H320" s="253"/>
      <x:c r="I320" s="253"/>
      <x:c r="J320" s="253"/>
      <x:c r="K320" s="253"/>
      <x:c r="L320" s="253"/>
      <x:c r="M320" s="253" t="str">
        <x:f>IF(AND(A320="",B320="",E320=""),"",IF(OR(A320="",B320="",C320="",D320="",E320="",J320="",AND(A320="client",COUNTIF('الزبائن'!$A$6:$A$505,B320)=0),AND(A320="proposed_name",COUNTIF('أسماء مقترحة'!$A$6:$A$505,B320)=0),AND(D320="mobile",J320&lt;&gt;"invalid",NOT(OR(AND(LEN(E320&amp;"")=10,LEFT(E320&amp;"",2)="09"),AND(LEN(E320&amp;"")=9,LEFT(E320&amp;"",1)="9")))),COUNTIFS($A$6:$A$505,A320,$B$6:$B$505,B320,$E$6:$E$505,E320)&gt;1),"REVIEW","READY"))</x:f>
      </x:c>
      <x:c r="N320" s="255" t="str">
        <x:f>IF(M320="","",IF(M320="READY","",TRIM(IF(A320="","missing entity_type; ","")&amp;IF(B320="","missing entity_key; ","")&amp;IF(C320="","missing contact_order; ","")&amp;IF(D320="","missing contact_type; ","")&amp;IF(E320="","missing number; ","")&amp;IF(J320="","missing status; ","")&amp;IF(AND(A320="client",COUNTIF('الزبائن'!$A$6:$A$505,B320)=0),"client key not found; ","")&amp;IF(AND(A320="proposed_name",COUNTIF('أسماء مقترحة'!$A$6:$A$505,B320)=0),"proposed_name key not found; ","")&amp;IF(AND(D320="mobile",J320&lt;&gt;"invalid",NOT(OR(AND(LEN(E320&amp;"")=10,LEFT(E320&amp;"",2)="09"),AND(LEN(E320&amp;"")=9,LEFT(E320&amp;"",1)="9")))),"mobile must be 09XXXXXXXX or status invalid; ","")&amp;IF(COUNTIFS($A$6:$A$505,A320,$B$6:$B$505,B320,$E$6:$E$505,E320)&gt;1,"duplicate number for same entity; ",""))))</x:f>
      </x:c>
    </x:row>
    <x:row r="321">
      <x:c r="A321" s="251"/>
      <x:c r="B321" s="252"/>
      <x:c r="C321" s="253"/>
      <x:c r="D321" s="253"/>
      <x:c r="E321" s="252"/>
      <x:c r="F321" s="252"/>
      <x:c r="G321" s="253"/>
      <x:c r="H321" s="253"/>
      <x:c r="I321" s="253"/>
      <x:c r="J321" s="253"/>
      <x:c r="K321" s="253"/>
      <x:c r="L321" s="253"/>
      <x:c r="M321" s="253" t="str">
        <x:f>IF(AND(A321="",B321="",E321=""),"",IF(OR(A321="",B321="",C321="",D321="",E321="",J321="",AND(A321="client",COUNTIF('الزبائن'!$A$6:$A$505,B321)=0),AND(A321="proposed_name",COUNTIF('أسماء مقترحة'!$A$6:$A$505,B321)=0),AND(D321="mobile",J321&lt;&gt;"invalid",NOT(OR(AND(LEN(E321&amp;"")=10,LEFT(E321&amp;"",2)="09"),AND(LEN(E321&amp;"")=9,LEFT(E321&amp;"",1)="9")))),COUNTIFS($A$6:$A$505,A321,$B$6:$B$505,B321,$E$6:$E$505,E321)&gt;1),"REVIEW","READY"))</x:f>
      </x:c>
      <x:c r="N321" s="255" t="str">
        <x:f>IF(M321="","",IF(M321="READY","",TRIM(IF(A321="","missing entity_type; ","")&amp;IF(B321="","missing entity_key; ","")&amp;IF(C321="","missing contact_order; ","")&amp;IF(D321="","missing contact_type; ","")&amp;IF(E321="","missing number; ","")&amp;IF(J321="","missing status; ","")&amp;IF(AND(A321="client",COUNTIF('الزبائن'!$A$6:$A$505,B321)=0),"client key not found; ","")&amp;IF(AND(A321="proposed_name",COUNTIF('أسماء مقترحة'!$A$6:$A$505,B321)=0),"proposed_name key not found; ","")&amp;IF(AND(D321="mobile",J321&lt;&gt;"invalid",NOT(OR(AND(LEN(E321&amp;"")=10,LEFT(E321&amp;"",2)="09"),AND(LEN(E321&amp;"")=9,LEFT(E321&amp;"",1)="9")))),"mobile must be 09XXXXXXXX or status invalid; ","")&amp;IF(COUNTIFS($A$6:$A$505,A321,$B$6:$B$505,B321,$E$6:$E$505,E321)&gt;1,"duplicate number for same entity; ",""))))</x:f>
      </x:c>
    </x:row>
    <x:row r="322">
      <x:c r="A322" s="251"/>
      <x:c r="B322" s="252"/>
      <x:c r="C322" s="253"/>
      <x:c r="D322" s="253"/>
      <x:c r="E322" s="252"/>
      <x:c r="F322" s="252"/>
      <x:c r="G322" s="253"/>
      <x:c r="H322" s="253"/>
      <x:c r="I322" s="253"/>
      <x:c r="J322" s="253"/>
      <x:c r="K322" s="253"/>
      <x:c r="L322" s="253"/>
      <x:c r="M322" s="253" t="str">
        <x:f>IF(AND(A322="",B322="",E322=""),"",IF(OR(A322="",B322="",C322="",D322="",E322="",J322="",AND(A322="client",COUNTIF('الزبائن'!$A$6:$A$505,B322)=0),AND(A322="proposed_name",COUNTIF('أسماء مقترحة'!$A$6:$A$505,B322)=0),AND(D322="mobile",J322&lt;&gt;"invalid",NOT(OR(AND(LEN(E322&amp;"")=10,LEFT(E322&amp;"",2)="09"),AND(LEN(E322&amp;"")=9,LEFT(E322&amp;"",1)="9")))),COUNTIFS($A$6:$A$505,A322,$B$6:$B$505,B322,$E$6:$E$505,E322)&gt;1),"REVIEW","READY"))</x:f>
      </x:c>
      <x:c r="N322" s="255" t="str">
        <x:f>IF(M322="","",IF(M322="READY","",TRIM(IF(A322="","missing entity_type; ","")&amp;IF(B322="","missing entity_key; ","")&amp;IF(C322="","missing contact_order; ","")&amp;IF(D322="","missing contact_type; ","")&amp;IF(E322="","missing number; ","")&amp;IF(J322="","missing status; ","")&amp;IF(AND(A322="client",COUNTIF('الزبائن'!$A$6:$A$505,B322)=0),"client key not found; ","")&amp;IF(AND(A322="proposed_name",COUNTIF('أسماء مقترحة'!$A$6:$A$505,B322)=0),"proposed_name key not found; ","")&amp;IF(AND(D322="mobile",J322&lt;&gt;"invalid",NOT(OR(AND(LEN(E322&amp;"")=10,LEFT(E322&amp;"",2)="09"),AND(LEN(E322&amp;"")=9,LEFT(E322&amp;"",1)="9")))),"mobile must be 09XXXXXXXX or status invalid; ","")&amp;IF(COUNTIFS($A$6:$A$505,A322,$B$6:$B$505,B322,$E$6:$E$505,E322)&gt;1,"duplicate number for same entity; ",""))))</x:f>
      </x:c>
    </x:row>
    <x:row r="323">
      <x:c r="A323" s="251"/>
      <x:c r="B323" s="252"/>
      <x:c r="C323" s="253"/>
      <x:c r="D323" s="253"/>
      <x:c r="E323" s="252"/>
      <x:c r="F323" s="252"/>
      <x:c r="G323" s="253"/>
      <x:c r="H323" s="253"/>
      <x:c r="I323" s="253"/>
      <x:c r="J323" s="253"/>
      <x:c r="K323" s="253"/>
      <x:c r="L323" s="253"/>
      <x:c r="M323" s="253" t="str">
        <x:f>IF(AND(A323="",B323="",E323=""),"",IF(OR(A323="",B323="",C323="",D323="",E323="",J323="",AND(A323="client",COUNTIF('الزبائن'!$A$6:$A$505,B323)=0),AND(A323="proposed_name",COUNTIF('أسماء مقترحة'!$A$6:$A$505,B323)=0),AND(D323="mobile",J323&lt;&gt;"invalid",NOT(OR(AND(LEN(E323&amp;"")=10,LEFT(E323&amp;"",2)="09"),AND(LEN(E323&amp;"")=9,LEFT(E323&amp;"",1)="9")))),COUNTIFS($A$6:$A$505,A323,$B$6:$B$505,B323,$E$6:$E$505,E323)&gt;1),"REVIEW","READY"))</x:f>
      </x:c>
      <x:c r="N323" s="255" t="str">
        <x:f>IF(M323="","",IF(M323="READY","",TRIM(IF(A323="","missing entity_type; ","")&amp;IF(B323="","missing entity_key; ","")&amp;IF(C323="","missing contact_order; ","")&amp;IF(D323="","missing contact_type; ","")&amp;IF(E323="","missing number; ","")&amp;IF(J323="","missing status; ","")&amp;IF(AND(A323="client",COUNTIF('الزبائن'!$A$6:$A$505,B323)=0),"client key not found; ","")&amp;IF(AND(A323="proposed_name",COUNTIF('أسماء مقترحة'!$A$6:$A$505,B323)=0),"proposed_name key not found; ","")&amp;IF(AND(D323="mobile",J323&lt;&gt;"invalid",NOT(OR(AND(LEN(E323&amp;"")=10,LEFT(E323&amp;"",2)="09"),AND(LEN(E323&amp;"")=9,LEFT(E323&amp;"",1)="9")))),"mobile must be 09XXXXXXXX or status invalid; ","")&amp;IF(COUNTIFS($A$6:$A$505,A323,$B$6:$B$505,B323,$E$6:$E$505,E323)&gt;1,"duplicate number for same entity; ",""))))</x:f>
      </x:c>
    </x:row>
    <x:row r="324">
      <x:c r="A324" s="251"/>
      <x:c r="B324" s="252"/>
      <x:c r="C324" s="253"/>
      <x:c r="D324" s="253"/>
      <x:c r="E324" s="252"/>
      <x:c r="F324" s="252"/>
      <x:c r="G324" s="253"/>
      <x:c r="H324" s="253"/>
      <x:c r="I324" s="253"/>
      <x:c r="J324" s="253"/>
      <x:c r="K324" s="253"/>
      <x:c r="L324" s="253"/>
      <x:c r="M324" s="253" t="str">
        <x:f>IF(AND(A324="",B324="",E324=""),"",IF(OR(A324="",B324="",C324="",D324="",E324="",J324="",AND(A324="client",COUNTIF('الزبائن'!$A$6:$A$505,B324)=0),AND(A324="proposed_name",COUNTIF('أسماء مقترحة'!$A$6:$A$505,B324)=0),AND(D324="mobile",J324&lt;&gt;"invalid",NOT(OR(AND(LEN(E324&amp;"")=10,LEFT(E324&amp;"",2)="09"),AND(LEN(E324&amp;"")=9,LEFT(E324&amp;"",1)="9")))),COUNTIFS($A$6:$A$505,A324,$B$6:$B$505,B324,$E$6:$E$505,E324)&gt;1),"REVIEW","READY"))</x:f>
      </x:c>
      <x:c r="N324" s="255" t="str">
        <x:f>IF(M324="","",IF(M324="READY","",TRIM(IF(A324="","missing entity_type; ","")&amp;IF(B324="","missing entity_key; ","")&amp;IF(C324="","missing contact_order; ","")&amp;IF(D324="","missing contact_type; ","")&amp;IF(E324="","missing number; ","")&amp;IF(J324="","missing status; ","")&amp;IF(AND(A324="client",COUNTIF('الزبائن'!$A$6:$A$505,B324)=0),"client key not found; ","")&amp;IF(AND(A324="proposed_name",COUNTIF('أسماء مقترحة'!$A$6:$A$505,B324)=0),"proposed_name key not found; ","")&amp;IF(AND(D324="mobile",J324&lt;&gt;"invalid",NOT(OR(AND(LEN(E324&amp;"")=10,LEFT(E324&amp;"",2)="09"),AND(LEN(E324&amp;"")=9,LEFT(E324&amp;"",1)="9")))),"mobile must be 09XXXXXXXX or status invalid; ","")&amp;IF(COUNTIFS($A$6:$A$505,A324,$B$6:$B$505,B324,$E$6:$E$505,E324)&gt;1,"duplicate number for same entity; ",""))))</x:f>
      </x:c>
    </x:row>
    <x:row r="325">
      <x:c r="A325" s="251"/>
      <x:c r="B325" s="252"/>
      <x:c r="C325" s="253"/>
      <x:c r="D325" s="253"/>
      <x:c r="E325" s="252"/>
      <x:c r="F325" s="252"/>
      <x:c r="G325" s="253"/>
      <x:c r="H325" s="253"/>
      <x:c r="I325" s="253"/>
      <x:c r="J325" s="253"/>
      <x:c r="K325" s="253"/>
      <x:c r="L325" s="253"/>
      <x:c r="M325" s="253" t="str">
        <x:f>IF(AND(A325="",B325="",E325=""),"",IF(OR(A325="",B325="",C325="",D325="",E325="",J325="",AND(A325="client",COUNTIF('الزبائن'!$A$6:$A$505,B325)=0),AND(A325="proposed_name",COUNTIF('أسماء مقترحة'!$A$6:$A$505,B325)=0),AND(D325="mobile",J325&lt;&gt;"invalid",NOT(OR(AND(LEN(E325&amp;"")=10,LEFT(E325&amp;"",2)="09"),AND(LEN(E325&amp;"")=9,LEFT(E325&amp;"",1)="9")))),COUNTIFS($A$6:$A$505,A325,$B$6:$B$505,B325,$E$6:$E$505,E325)&gt;1),"REVIEW","READY"))</x:f>
      </x:c>
      <x:c r="N325" s="255" t="str">
        <x:f>IF(M325="","",IF(M325="READY","",TRIM(IF(A325="","missing entity_type; ","")&amp;IF(B325="","missing entity_key; ","")&amp;IF(C325="","missing contact_order; ","")&amp;IF(D325="","missing contact_type; ","")&amp;IF(E325="","missing number; ","")&amp;IF(J325="","missing status; ","")&amp;IF(AND(A325="client",COUNTIF('الزبائن'!$A$6:$A$505,B325)=0),"client key not found; ","")&amp;IF(AND(A325="proposed_name",COUNTIF('أسماء مقترحة'!$A$6:$A$505,B325)=0),"proposed_name key not found; ","")&amp;IF(AND(D325="mobile",J325&lt;&gt;"invalid",NOT(OR(AND(LEN(E325&amp;"")=10,LEFT(E325&amp;"",2)="09"),AND(LEN(E325&amp;"")=9,LEFT(E325&amp;"",1)="9")))),"mobile must be 09XXXXXXXX or status invalid; ","")&amp;IF(COUNTIFS($A$6:$A$505,A325,$B$6:$B$505,B325,$E$6:$E$505,E325)&gt;1,"duplicate number for same entity; ",""))))</x:f>
      </x:c>
    </x:row>
    <x:row r="326">
      <x:c r="A326" s="251"/>
      <x:c r="B326" s="252"/>
      <x:c r="C326" s="253"/>
      <x:c r="D326" s="253"/>
      <x:c r="E326" s="252"/>
      <x:c r="F326" s="252"/>
      <x:c r="G326" s="253"/>
      <x:c r="H326" s="253"/>
      <x:c r="I326" s="253"/>
      <x:c r="J326" s="253"/>
      <x:c r="K326" s="253"/>
      <x:c r="L326" s="253"/>
      <x:c r="M326" s="253" t="str">
        <x:f>IF(AND(A326="",B326="",E326=""),"",IF(OR(A326="",B326="",C326="",D326="",E326="",J326="",AND(A326="client",COUNTIF('الزبائن'!$A$6:$A$505,B326)=0),AND(A326="proposed_name",COUNTIF('أسماء مقترحة'!$A$6:$A$505,B326)=0),AND(D326="mobile",J326&lt;&gt;"invalid",NOT(OR(AND(LEN(E326&amp;"")=10,LEFT(E326&amp;"",2)="09"),AND(LEN(E326&amp;"")=9,LEFT(E326&amp;"",1)="9")))),COUNTIFS($A$6:$A$505,A326,$B$6:$B$505,B326,$E$6:$E$505,E326)&gt;1),"REVIEW","READY"))</x:f>
      </x:c>
      <x:c r="N326" s="255" t="str">
        <x:f>IF(M326="","",IF(M326="READY","",TRIM(IF(A326="","missing entity_type; ","")&amp;IF(B326="","missing entity_key; ","")&amp;IF(C326="","missing contact_order; ","")&amp;IF(D326="","missing contact_type; ","")&amp;IF(E326="","missing number; ","")&amp;IF(J326="","missing status; ","")&amp;IF(AND(A326="client",COUNTIF('الزبائن'!$A$6:$A$505,B326)=0),"client key not found; ","")&amp;IF(AND(A326="proposed_name",COUNTIF('أسماء مقترحة'!$A$6:$A$505,B326)=0),"proposed_name key not found; ","")&amp;IF(AND(D326="mobile",J326&lt;&gt;"invalid",NOT(OR(AND(LEN(E326&amp;"")=10,LEFT(E326&amp;"",2)="09"),AND(LEN(E326&amp;"")=9,LEFT(E326&amp;"",1)="9")))),"mobile must be 09XXXXXXXX or status invalid; ","")&amp;IF(COUNTIFS($A$6:$A$505,A326,$B$6:$B$505,B326,$E$6:$E$505,E326)&gt;1,"duplicate number for same entity; ",""))))</x:f>
      </x:c>
    </x:row>
    <x:row r="327">
      <x:c r="A327" s="251"/>
      <x:c r="B327" s="252"/>
      <x:c r="C327" s="253"/>
      <x:c r="D327" s="253"/>
      <x:c r="E327" s="252"/>
      <x:c r="F327" s="252"/>
      <x:c r="G327" s="253"/>
      <x:c r="H327" s="253"/>
      <x:c r="I327" s="253"/>
      <x:c r="J327" s="253"/>
      <x:c r="K327" s="253"/>
      <x:c r="L327" s="253"/>
      <x:c r="M327" s="253" t="str">
        <x:f>IF(AND(A327="",B327="",E327=""),"",IF(OR(A327="",B327="",C327="",D327="",E327="",J327="",AND(A327="client",COUNTIF('الزبائن'!$A$6:$A$505,B327)=0),AND(A327="proposed_name",COUNTIF('أسماء مقترحة'!$A$6:$A$505,B327)=0),AND(D327="mobile",J327&lt;&gt;"invalid",NOT(OR(AND(LEN(E327&amp;"")=10,LEFT(E327&amp;"",2)="09"),AND(LEN(E327&amp;"")=9,LEFT(E327&amp;"",1)="9")))),COUNTIFS($A$6:$A$505,A327,$B$6:$B$505,B327,$E$6:$E$505,E327)&gt;1),"REVIEW","READY"))</x:f>
      </x:c>
      <x:c r="N327" s="255" t="str">
        <x:f>IF(M327="","",IF(M327="READY","",TRIM(IF(A327="","missing entity_type; ","")&amp;IF(B327="","missing entity_key; ","")&amp;IF(C327="","missing contact_order; ","")&amp;IF(D327="","missing contact_type; ","")&amp;IF(E327="","missing number; ","")&amp;IF(J327="","missing status; ","")&amp;IF(AND(A327="client",COUNTIF('الزبائن'!$A$6:$A$505,B327)=0),"client key not found; ","")&amp;IF(AND(A327="proposed_name",COUNTIF('أسماء مقترحة'!$A$6:$A$505,B327)=0),"proposed_name key not found; ","")&amp;IF(AND(D327="mobile",J327&lt;&gt;"invalid",NOT(OR(AND(LEN(E327&amp;"")=10,LEFT(E327&amp;"",2)="09"),AND(LEN(E327&amp;"")=9,LEFT(E327&amp;"",1)="9")))),"mobile must be 09XXXXXXXX or status invalid; ","")&amp;IF(COUNTIFS($A$6:$A$505,A327,$B$6:$B$505,B327,$E$6:$E$505,E327)&gt;1,"duplicate number for same entity; ",""))))</x:f>
      </x:c>
    </x:row>
    <x:row r="328">
      <x:c r="A328" s="251"/>
      <x:c r="B328" s="252"/>
      <x:c r="C328" s="253"/>
      <x:c r="D328" s="253"/>
      <x:c r="E328" s="252"/>
      <x:c r="F328" s="252"/>
      <x:c r="G328" s="253"/>
      <x:c r="H328" s="253"/>
      <x:c r="I328" s="253"/>
      <x:c r="J328" s="253"/>
      <x:c r="K328" s="253"/>
      <x:c r="L328" s="253"/>
      <x:c r="M328" s="253" t="str">
        <x:f>IF(AND(A328="",B328="",E328=""),"",IF(OR(A328="",B328="",C328="",D328="",E328="",J328="",AND(A328="client",COUNTIF('الزبائن'!$A$6:$A$505,B328)=0),AND(A328="proposed_name",COUNTIF('أسماء مقترحة'!$A$6:$A$505,B328)=0),AND(D328="mobile",J328&lt;&gt;"invalid",NOT(OR(AND(LEN(E328&amp;"")=10,LEFT(E328&amp;"",2)="09"),AND(LEN(E328&amp;"")=9,LEFT(E328&amp;"",1)="9")))),COUNTIFS($A$6:$A$505,A328,$B$6:$B$505,B328,$E$6:$E$505,E328)&gt;1),"REVIEW","READY"))</x:f>
      </x:c>
      <x:c r="N328" s="255" t="str">
        <x:f>IF(M328="","",IF(M328="READY","",TRIM(IF(A328="","missing entity_type; ","")&amp;IF(B328="","missing entity_key; ","")&amp;IF(C328="","missing contact_order; ","")&amp;IF(D328="","missing contact_type; ","")&amp;IF(E328="","missing number; ","")&amp;IF(J328="","missing status; ","")&amp;IF(AND(A328="client",COUNTIF('الزبائن'!$A$6:$A$505,B328)=0),"client key not found; ","")&amp;IF(AND(A328="proposed_name",COUNTIF('أسماء مقترحة'!$A$6:$A$505,B328)=0),"proposed_name key not found; ","")&amp;IF(AND(D328="mobile",J328&lt;&gt;"invalid",NOT(OR(AND(LEN(E328&amp;"")=10,LEFT(E328&amp;"",2)="09"),AND(LEN(E328&amp;"")=9,LEFT(E328&amp;"",1)="9")))),"mobile must be 09XXXXXXXX or status invalid; ","")&amp;IF(COUNTIFS($A$6:$A$505,A328,$B$6:$B$505,B328,$E$6:$E$505,E328)&gt;1,"duplicate number for same entity; ",""))))</x:f>
      </x:c>
    </x:row>
    <x:row r="329">
      <x:c r="A329" s="251"/>
      <x:c r="B329" s="252"/>
      <x:c r="C329" s="253"/>
      <x:c r="D329" s="253"/>
      <x:c r="E329" s="252"/>
      <x:c r="F329" s="252"/>
      <x:c r="G329" s="253"/>
      <x:c r="H329" s="253"/>
      <x:c r="I329" s="253"/>
      <x:c r="J329" s="253"/>
      <x:c r="K329" s="253"/>
      <x:c r="L329" s="253"/>
      <x:c r="M329" s="253" t="str">
        <x:f>IF(AND(A329="",B329="",E329=""),"",IF(OR(A329="",B329="",C329="",D329="",E329="",J329="",AND(A329="client",COUNTIF('الزبائن'!$A$6:$A$505,B329)=0),AND(A329="proposed_name",COUNTIF('أسماء مقترحة'!$A$6:$A$505,B329)=0),AND(D329="mobile",J329&lt;&gt;"invalid",NOT(OR(AND(LEN(E329&amp;"")=10,LEFT(E329&amp;"",2)="09"),AND(LEN(E329&amp;"")=9,LEFT(E329&amp;"",1)="9")))),COUNTIFS($A$6:$A$505,A329,$B$6:$B$505,B329,$E$6:$E$505,E329)&gt;1),"REVIEW","READY"))</x:f>
      </x:c>
      <x:c r="N329" s="255" t="str">
        <x:f>IF(M329="","",IF(M329="READY","",TRIM(IF(A329="","missing entity_type; ","")&amp;IF(B329="","missing entity_key; ","")&amp;IF(C329="","missing contact_order; ","")&amp;IF(D329="","missing contact_type; ","")&amp;IF(E329="","missing number; ","")&amp;IF(J329="","missing status; ","")&amp;IF(AND(A329="client",COUNTIF('الزبائن'!$A$6:$A$505,B329)=0),"client key not found; ","")&amp;IF(AND(A329="proposed_name",COUNTIF('أسماء مقترحة'!$A$6:$A$505,B329)=0),"proposed_name key not found; ","")&amp;IF(AND(D329="mobile",J329&lt;&gt;"invalid",NOT(OR(AND(LEN(E329&amp;"")=10,LEFT(E329&amp;"",2)="09"),AND(LEN(E329&amp;"")=9,LEFT(E329&amp;"",1)="9")))),"mobile must be 09XXXXXXXX or status invalid; ","")&amp;IF(COUNTIFS($A$6:$A$505,A329,$B$6:$B$505,B329,$E$6:$E$505,E329)&gt;1,"duplicate number for same entity; ",""))))</x:f>
      </x:c>
    </x:row>
    <x:row r="330">
      <x:c r="A330" s="251"/>
      <x:c r="B330" s="252"/>
      <x:c r="C330" s="253"/>
      <x:c r="D330" s="253"/>
      <x:c r="E330" s="252"/>
      <x:c r="F330" s="252"/>
      <x:c r="G330" s="253"/>
      <x:c r="H330" s="253"/>
      <x:c r="I330" s="253"/>
      <x:c r="J330" s="253"/>
      <x:c r="K330" s="253"/>
      <x:c r="L330" s="253"/>
      <x:c r="M330" s="253" t="str">
        <x:f>IF(AND(A330="",B330="",E330=""),"",IF(OR(A330="",B330="",C330="",D330="",E330="",J330="",AND(A330="client",COUNTIF('الزبائن'!$A$6:$A$505,B330)=0),AND(A330="proposed_name",COUNTIF('أسماء مقترحة'!$A$6:$A$505,B330)=0),AND(D330="mobile",J330&lt;&gt;"invalid",NOT(OR(AND(LEN(E330&amp;"")=10,LEFT(E330&amp;"",2)="09"),AND(LEN(E330&amp;"")=9,LEFT(E330&amp;"",1)="9")))),COUNTIFS($A$6:$A$505,A330,$B$6:$B$505,B330,$E$6:$E$505,E330)&gt;1),"REVIEW","READY"))</x:f>
      </x:c>
      <x:c r="N330" s="255" t="str">
        <x:f>IF(M330="","",IF(M330="READY","",TRIM(IF(A330="","missing entity_type; ","")&amp;IF(B330="","missing entity_key; ","")&amp;IF(C330="","missing contact_order; ","")&amp;IF(D330="","missing contact_type; ","")&amp;IF(E330="","missing number; ","")&amp;IF(J330="","missing status; ","")&amp;IF(AND(A330="client",COUNTIF('الزبائن'!$A$6:$A$505,B330)=0),"client key not found; ","")&amp;IF(AND(A330="proposed_name",COUNTIF('أسماء مقترحة'!$A$6:$A$505,B330)=0),"proposed_name key not found; ","")&amp;IF(AND(D330="mobile",J330&lt;&gt;"invalid",NOT(OR(AND(LEN(E330&amp;"")=10,LEFT(E330&amp;"",2)="09"),AND(LEN(E330&amp;"")=9,LEFT(E330&amp;"",1)="9")))),"mobile must be 09XXXXXXXX or status invalid; ","")&amp;IF(COUNTIFS($A$6:$A$505,A330,$B$6:$B$505,B330,$E$6:$E$505,E330)&gt;1,"duplicate number for same entity; ",""))))</x:f>
      </x:c>
    </x:row>
    <x:row r="331">
      <x:c r="A331" s="251"/>
      <x:c r="B331" s="252"/>
      <x:c r="C331" s="253"/>
      <x:c r="D331" s="253"/>
      <x:c r="E331" s="252"/>
      <x:c r="F331" s="252"/>
      <x:c r="G331" s="253"/>
      <x:c r="H331" s="253"/>
      <x:c r="I331" s="253"/>
      <x:c r="J331" s="253"/>
      <x:c r="K331" s="253"/>
      <x:c r="L331" s="253"/>
      <x:c r="M331" s="253" t="str">
        <x:f>IF(AND(A331="",B331="",E331=""),"",IF(OR(A331="",B331="",C331="",D331="",E331="",J331="",AND(A331="client",COUNTIF('الزبائن'!$A$6:$A$505,B331)=0),AND(A331="proposed_name",COUNTIF('أسماء مقترحة'!$A$6:$A$505,B331)=0),AND(D331="mobile",J331&lt;&gt;"invalid",NOT(OR(AND(LEN(E331&amp;"")=10,LEFT(E331&amp;"",2)="09"),AND(LEN(E331&amp;"")=9,LEFT(E331&amp;"",1)="9")))),COUNTIFS($A$6:$A$505,A331,$B$6:$B$505,B331,$E$6:$E$505,E331)&gt;1),"REVIEW","READY"))</x:f>
      </x:c>
      <x:c r="N331" s="255" t="str">
        <x:f>IF(M331="","",IF(M331="READY","",TRIM(IF(A331="","missing entity_type; ","")&amp;IF(B331="","missing entity_key; ","")&amp;IF(C331="","missing contact_order; ","")&amp;IF(D331="","missing contact_type; ","")&amp;IF(E331="","missing number; ","")&amp;IF(J331="","missing status; ","")&amp;IF(AND(A331="client",COUNTIF('الزبائن'!$A$6:$A$505,B331)=0),"client key not found; ","")&amp;IF(AND(A331="proposed_name",COUNTIF('أسماء مقترحة'!$A$6:$A$505,B331)=0),"proposed_name key not found; ","")&amp;IF(AND(D331="mobile",J331&lt;&gt;"invalid",NOT(OR(AND(LEN(E331&amp;"")=10,LEFT(E331&amp;"",2)="09"),AND(LEN(E331&amp;"")=9,LEFT(E331&amp;"",1)="9")))),"mobile must be 09XXXXXXXX or status invalid; ","")&amp;IF(COUNTIFS($A$6:$A$505,A331,$B$6:$B$505,B331,$E$6:$E$505,E331)&gt;1,"duplicate number for same entity; ",""))))</x:f>
      </x:c>
    </x:row>
    <x:row r="332">
      <x:c r="A332" s="251"/>
      <x:c r="B332" s="252"/>
      <x:c r="C332" s="253"/>
      <x:c r="D332" s="253"/>
      <x:c r="E332" s="252"/>
      <x:c r="F332" s="252"/>
      <x:c r="G332" s="253"/>
      <x:c r="H332" s="253"/>
      <x:c r="I332" s="253"/>
      <x:c r="J332" s="253"/>
      <x:c r="K332" s="253"/>
      <x:c r="L332" s="253"/>
      <x:c r="M332" s="253" t="str">
        <x:f>IF(AND(A332="",B332="",E332=""),"",IF(OR(A332="",B332="",C332="",D332="",E332="",J332="",AND(A332="client",COUNTIF('الزبائن'!$A$6:$A$505,B332)=0),AND(A332="proposed_name",COUNTIF('أسماء مقترحة'!$A$6:$A$505,B332)=0),AND(D332="mobile",J332&lt;&gt;"invalid",NOT(OR(AND(LEN(E332&amp;"")=10,LEFT(E332&amp;"",2)="09"),AND(LEN(E332&amp;"")=9,LEFT(E332&amp;"",1)="9")))),COUNTIFS($A$6:$A$505,A332,$B$6:$B$505,B332,$E$6:$E$505,E332)&gt;1),"REVIEW","READY"))</x:f>
      </x:c>
      <x:c r="N332" s="255" t="str">
        <x:f>IF(M332="","",IF(M332="READY","",TRIM(IF(A332="","missing entity_type; ","")&amp;IF(B332="","missing entity_key; ","")&amp;IF(C332="","missing contact_order; ","")&amp;IF(D332="","missing contact_type; ","")&amp;IF(E332="","missing number; ","")&amp;IF(J332="","missing status; ","")&amp;IF(AND(A332="client",COUNTIF('الزبائن'!$A$6:$A$505,B332)=0),"client key not found; ","")&amp;IF(AND(A332="proposed_name",COUNTIF('أسماء مقترحة'!$A$6:$A$505,B332)=0),"proposed_name key not found; ","")&amp;IF(AND(D332="mobile",J332&lt;&gt;"invalid",NOT(OR(AND(LEN(E332&amp;"")=10,LEFT(E332&amp;"",2)="09"),AND(LEN(E332&amp;"")=9,LEFT(E332&amp;"",1)="9")))),"mobile must be 09XXXXXXXX or status invalid; ","")&amp;IF(COUNTIFS($A$6:$A$505,A332,$B$6:$B$505,B332,$E$6:$E$505,E332)&gt;1,"duplicate number for same entity; ",""))))</x:f>
      </x:c>
    </x:row>
    <x:row r="333">
      <x:c r="A333" s="251"/>
      <x:c r="B333" s="252"/>
      <x:c r="C333" s="253"/>
      <x:c r="D333" s="253"/>
      <x:c r="E333" s="252"/>
      <x:c r="F333" s="252"/>
      <x:c r="G333" s="253"/>
      <x:c r="H333" s="253"/>
      <x:c r="I333" s="253"/>
      <x:c r="J333" s="253"/>
      <x:c r="K333" s="253"/>
      <x:c r="L333" s="253"/>
      <x:c r="M333" s="253" t="str">
        <x:f>IF(AND(A333="",B333="",E333=""),"",IF(OR(A333="",B333="",C333="",D333="",E333="",J333="",AND(A333="client",COUNTIF('الزبائن'!$A$6:$A$505,B333)=0),AND(A333="proposed_name",COUNTIF('أسماء مقترحة'!$A$6:$A$505,B333)=0),AND(D333="mobile",J333&lt;&gt;"invalid",NOT(OR(AND(LEN(E333&amp;"")=10,LEFT(E333&amp;"",2)="09"),AND(LEN(E333&amp;"")=9,LEFT(E333&amp;"",1)="9")))),COUNTIFS($A$6:$A$505,A333,$B$6:$B$505,B333,$E$6:$E$505,E333)&gt;1),"REVIEW","READY"))</x:f>
      </x:c>
      <x:c r="N333" s="255" t="str">
        <x:f>IF(M333="","",IF(M333="READY","",TRIM(IF(A333="","missing entity_type; ","")&amp;IF(B333="","missing entity_key; ","")&amp;IF(C333="","missing contact_order; ","")&amp;IF(D333="","missing contact_type; ","")&amp;IF(E333="","missing number; ","")&amp;IF(J333="","missing status; ","")&amp;IF(AND(A333="client",COUNTIF('الزبائن'!$A$6:$A$505,B333)=0),"client key not found; ","")&amp;IF(AND(A333="proposed_name",COUNTIF('أسماء مقترحة'!$A$6:$A$505,B333)=0),"proposed_name key not found; ","")&amp;IF(AND(D333="mobile",J333&lt;&gt;"invalid",NOT(OR(AND(LEN(E333&amp;"")=10,LEFT(E333&amp;"",2)="09"),AND(LEN(E333&amp;"")=9,LEFT(E333&amp;"",1)="9")))),"mobile must be 09XXXXXXXX or status invalid; ","")&amp;IF(COUNTIFS($A$6:$A$505,A333,$B$6:$B$505,B333,$E$6:$E$505,E333)&gt;1,"duplicate number for same entity; ",""))))</x:f>
      </x:c>
    </x:row>
    <x:row r="334">
      <x:c r="A334" s="251"/>
      <x:c r="B334" s="252"/>
      <x:c r="C334" s="253"/>
      <x:c r="D334" s="253"/>
      <x:c r="E334" s="252"/>
      <x:c r="F334" s="252"/>
      <x:c r="G334" s="253"/>
      <x:c r="H334" s="253"/>
      <x:c r="I334" s="253"/>
      <x:c r="J334" s="253"/>
      <x:c r="K334" s="253"/>
      <x:c r="L334" s="253"/>
      <x:c r="M334" s="253" t="str">
        <x:f>IF(AND(A334="",B334="",E334=""),"",IF(OR(A334="",B334="",C334="",D334="",E334="",J334="",AND(A334="client",COUNTIF('الزبائن'!$A$6:$A$505,B334)=0),AND(A334="proposed_name",COUNTIF('أسماء مقترحة'!$A$6:$A$505,B334)=0),AND(D334="mobile",J334&lt;&gt;"invalid",NOT(OR(AND(LEN(E334&amp;"")=10,LEFT(E334&amp;"",2)="09"),AND(LEN(E334&amp;"")=9,LEFT(E334&amp;"",1)="9")))),COUNTIFS($A$6:$A$505,A334,$B$6:$B$505,B334,$E$6:$E$505,E334)&gt;1),"REVIEW","READY"))</x:f>
      </x:c>
      <x:c r="N334" s="255" t="str">
        <x:f>IF(M334="","",IF(M334="READY","",TRIM(IF(A334="","missing entity_type; ","")&amp;IF(B334="","missing entity_key; ","")&amp;IF(C334="","missing contact_order; ","")&amp;IF(D334="","missing contact_type; ","")&amp;IF(E334="","missing number; ","")&amp;IF(J334="","missing status; ","")&amp;IF(AND(A334="client",COUNTIF('الزبائن'!$A$6:$A$505,B334)=0),"client key not found; ","")&amp;IF(AND(A334="proposed_name",COUNTIF('أسماء مقترحة'!$A$6:$A$505,B334)=0),"proposed_name key not found; ","")&amp;IF(AND(D334="mobile",J334&lt;&gt;"invalid",NOT(OR(AND(LEN(E334&amp;"")=10,LEFT(E334&amp;"",2)="09"),AND(LEN(E334&amp;"")=9,LEFT(E334&amp;"",1)="9")))),"mobile must be 09XXXXXXXX or status invalid; ","")&amp;IF(COUNTIFS($A$6:$A$505,A334,$B$6:$B$505,B334,$E$6:$E$505,E334)&gt;1,"duplicate number for same entity; ",""))))</x:f>
      </x:c>
    </x:row>
    <x:row r="335">
      <x:c r="A335" s="251"/>
      <x:c r="B335" s="252"/>
      <x:c r="C335" s="253"/>
      <x:c r="D335" s="253"/>
      <x:c r="E335" s="252"/>
      <x:c r="F335" s="252"/>
      <x:c r="G335" s="253"/>
      <x:c r="H335" s="253"/>
      <x:c r="I335" s="253"/>
      <x:c r="J335" s="253"/>
      <x:c r="K335" s="253"/>
      <x:c r="L335" s="253"/>
      <x:c r="M335" s="253" t="str">
        <x:f>IF(AND(A335="",B335="",E335=""),"",IF(OR(A335="",B335="",C335="",D335="",E335="",J335="",AND(A335="client",COUNTIF('الزبائن'!$A$6:$A$505,B335)=0),AND(A335="proposed_name",COUNTIF('أسماء مقترحة'!$A$6:$A$505,B335)=0),AND(D335="mobile",J335&lt;&gt;"invalid",NOT(OR(AND(LEN(E335&amp;"")=10,LEFT(E335&amp;"",2)="09"),AND(LEN(E335&amp;"")=9,LEFT(E335&amp;"",1)="9")))),COUNTIFS($A$6:$A$505,A335,$B$6:$B$505,B335,$E$6:$E$505,E335)&gt;1),"REVIEW","READY"))</x:f>
      </x:c>
      <x:c r="N335" s="255" t="str">
        <x:f>IF(M335="","",IF(M335="READY","",TRIM(IF(A335="","missing entity_type; ","")&amp;IF(B335="","missing entity_key; ","")&amp;IF(C335="","missing contact_order; ","")&amp;IF(D335="","missing contact_type; ","")&amp;IF(E335="","missing number; ","")&amp;IF(J335="","missing status; ","")&amp;IF(AND(A335="client",COUNTIF('الزبائن'!$A$6:$A$505,B335)=0),"client key not found; ","")&amp;IF(AND(A335="proposed_name",COUNTIF('أسماء مقترحة'!$A$6:$A$505,B335)=0),"proposed_name key not found; ","")&amp;IF(AND(D335="mobile",J335&lt;&gt;"invalid",NOT(OR(AND(LEN(E335&amp;"")=10,LEFT(E335&amp;"",2)="09"),AND(LEN(E335&amp;"")=9,LEFT(E335&amp;"",1)="9")))),"mobile must be 09XXXXXXXX or status invalid; ","")&amp;IF(COUNTIFS($A$6:$A$505,A335,$B$6:$B$505,B335,$E$6:$E$505,E335)&gt;1,"duplicate number for same entity; ",""))))</x:f>
      </x:c>
    </x:row>
    <x:row r="336">
      <x:c r="A336" s="251"/>
      <x:c r="B336" s="252"/>
      <x:c r="C336" s="253"/>
      <x:c r="D336" s="253"/>
      <x:c r="E336" s="252"/>
      <x:c r="F336" s="252"/>
      <x:c r="G336" s="253"/>
      <x:c r="H336" s="253"/>
      <x:c r="I336" s="253"/>
      <x:c r="J336" s="253"/>
      <x:c r="K336" s="253"/>
      <x:c r="L336" s="253"/>
      <x:c r="M336" s="253" t="str">
        <x:f>IF(AND(A336="",B336="",E336=""),"",IF(OR(A336="",B336="",C336="",D336="",E336="",J336="",AND(A336="client",COUNTIF('الزبائن'!$A$6:$A$505,B336)=0),AND(A336="proposed_name",COUNTIF('أسماء مقترحة'!$A$6:$A$505,B336)=0),AND(D336="mobile",J336&lt;&gt;"invalid",NOT(OR(AND(LEN(E336&amp;"")=10,LEFT(E336&amp;"",2)="09"),AND(LEN(E336&amp;"")=9,LEFT(E336&amp;"",1)="9")))),COUNTIFS($A$6:$A$505,A336,$B$6:$B$505,B336,$E$6:$E$505,E336)&gt;1),"REVIEW","READY"))</x:f>
      </x:c>
      <x:c r="N336" s="255" t="str">
        <x:f>IF(M336="","",IF(M336="READY","",TRIM(IF(A336="","missing entity_type; ","")&amp;IF(B336="","missing entity_key; ","")&amp;IF(C336="","missing contact_order; ","")&amp;IF(D336="","missing contact_type; ","")&amp;IF(E336="","missing number; ","")&amp;IF(J336="","missing status; ","")&amp;IF(AND(A336="client",COUNTIF('الزبائن'!$A$6:$A$505,B336)=0),"client key not found; ","")&amp;IF(AND(A336="proposed_name",COUNTIF('أسماء مقترحة'!$A$6:$A$505,B336)=0),"proposed_name key not found; ","")&amp;IF(AND(D336="mobile",J336&lt;&gt;"invalid",NOT(OR(AND(LEN(E336&amp;"")=10,LEFT(E336&amp;"",2)="09"),AND(LEN(E336&amp;"")=9,LEFT(E336&amp;"",1)="9")))),"mobile must be 09XXXXXXXX or status invalid; ","")&amp;IF(COUNTIFS($A$6:$A$505,A336,$B$6:$B$505,B336,$E$6:$E$505,E336)&gt;1,"duplicate number for same entity; ",""))))</x:f>
      </x:c>
    </x:row>
    <x:row r="337">
      <x:c r="A337" s="251"/>
      <x:c r="B337" s="252"/>
      <x:c r="C337" s="253"/>
      <x:c r="D337" s="253"/>
      <x:c r="E337" s="252"/>
      <x:c r="F337" s="252"/>
      <x:c r="G337" s="253"/>
      <x:c r="H337" s="253"/>
      <x:c r="I337" s="253"/>
      <x:c r="J337" s="253"/>
      <x:c r="K337" s="253"/>
      <x:c r="L337" s="253"/>
      <x:c r="M337" s="253" t="str">
        <x:f>IF(AND(A337="",B337="",E337=""),"",IF(OR(A337="",B337="",C337="",D337="",E337="",J337="",AND(A337="client",COUNTIF('الزبائن'!$A$6:$A$505,B337)=0),AND(A337="proposed_name",COUNTIF('أسماء مقترحة'!$A$6:$A$505,B337)=0),AND(D337="mobile",J337&lt;&gt;"invalid",NOT(OR(AND(LEN(E337&amp;"")=10,LEFT(E337&amp;"",2)="09"),AND(LEN(E337&amp;"")=9,LEFT(E337&amp;"",1)="9")))),COUNTIFS($A$6:$A$505,A337,$B$6:$B$505,B337,$E$6:$E$505,E337)&gt;1),"REVIEW","READY"))</x:f>
      </x:c>
      <x:c r="N337" s="255" t="str">
        <x:f>IF(M337="","",IF(M337="READY","",TRIM(IF(A337="","missing entity_type; ","")&amp;IF(B337="","missing entity_key; ","")&amp;IF(C337="","missing contact_order; ","")&amp;IF(D337="","missing contact_type; ","")&amp;IF(E337="","missing number; ","")&amp;IF(J337="","missing status; ","")&amp;IF(AND(A337="client",COUNTIF('الزبائن'!$A$6:$A$505,B337)=0),"client key not found; ","")&amp;IF(AND(A337="proposed_name",COUNTIF('أسماء مقترحة'!$A$6:$A$505,B337)=0),"proposed_name key not found; ","")&amp;IF(AND(D337="mobile",J337&lt;&gt;"invalid",NOT(OR(AND(LEN(E337&amp;"")=10,LEFT(E337&amp;"",2)="09"),AND(LEN(E337&amp;"")=9,LEFT(E337&amp;"",1)="9")))),"mobile must be 09XXXXXXXX or status invalid; ","")&amp;IF(COUNTIFS($A$6:$A$505,A337,$B$6:$B$505,B337,$E$6:$E$505,E337)&gt;1,"duplicate number for same entity; ",""))))</x:f>
      </x:c>
    </x:row>
    <x:row r="338">
      <x:c r="A338" s="251"/>
      <x:c r="B338" s="252"/>
      <x:c r="C338" s="253"/>
      <x:c r="D338" s="253"/>
      <x:c r="E338" s="252"/>
      <x:c r="F338" s="252"/>
      <x:c r="G338" s="253"/>
      <x:c r="H338" s="253"/>
      <x:c r="I338" s="253"/>
      <x:c r="J338" s="253"/>
      <x:c r="K338" s="253"/>
      <x:c r="L338" s="253"/>
      <x:c r="M338" s="253" t="str">
        <x:f>IF(AND(A338="",B338="",E338=""),"",IF(OR(A338="",B338="",C338="",D338="",E338="",J338="",AND(A338="client",COUNTIF('الزبائن'!$A$6:$A$505,B338)=0),AND(A338="proposed_name",COUNTIF('أسماء مقترحة'!$A$6:$A$505,B338)=0),AND(D338="mobile",J338&lt;&gt;"invalid",NOT(OR(AND(LEN(E338&amp;"")=10,LEFT(E338&amp;"",2)="09"),AND(LEN(E338&amp;"")=9,LEFT(E338&amp;"",1)="9")))),COUNTIFS($A$6:$A$505,A338,$B$6:$B$505,B338,$E$6:$E$505,E338)&gt;1),"REVIEW","READY"))</x:f>
      </x:c>
      <x:c r="N338" s="255" t="str">
        <x:f>IF(M338="","",IF(M338="READY","",TRIM(IF(A338="","missing entity_type; ","")&amp;IF(B338="","missing entity_key; ","")&amp;IF(C338="","missing contact_order; ","")&amp;IF(D338="","missing contact_type; ","")&amp;IF(E338="","missing number; ","")&amp;IF(J338="","missing status; ","")&amp;IF(AND(A338="client",COUNTIF('الزبائن'!$A$6:$A$505,B338)=0),"client key not found; ","")&amp;IF(AND(A338="proposed_name",COUNTIF('أسماء مقترحة'!$A$6:$A$505,B338)=0),"proposed_name key not found; ","")&amp;IF(AND(D338="mobile",J338&lt;&gt;"invalid",NOT(OR(AND(LEN(E338&amp;"")=10,LEFT(E338&amp;"",2)="09"),AND(LEN(E338&amp;"")=9,LEFT(E338&amp;"",1)="9")))),"mobile must be 09XXXXXXXX or status invalid; ","")&amp;IF(COUNTIFS($A$6:$A$505,A338,$B$6:$B$505,B338,$E$6:$E$505,E338)&gt;1,"duplicate number for same entity; ",""))))</x:f>
      </x:c>
    </x:row>
    <x:row r="339">
      <x:c r="A339" s="251"/>
      <x:c r="B339" s="252"/>
      <x:c r="C339" s="253"/>
      <x:c r="D339" s="253"/>
      <x:c r="E339" s="252"/>
      <x:c r="F339" s="252"/>
      <x:c r="G339" s="253"/>
      <x:c r="H339" s="253"/>
      <x:c r="I339" s="253"/>
      <x:c r="J339" s="253"/>
      <x:c r="K339" s="253"/>
      <x:c r="L339" s="253"/>
      <x:c r="M339" s="253" t="str">
        <x:f>IF(AND(A339="",B339="",E339=""),"",IF(OR(A339="",B339="",C339="",D339="",E339="",J339="",AND(A339="client",COUNTIF('الزبائن'!$A$6:$A$505,B339)=0),AND(A339="proposed_name",COUNTIF('أسماء مقترحة'!$A$6:$A$505,B339)=0),AND(D339="mobile",J339&lt;&gt;"invalid",NOT(OR(AND(LEN(E339&amp;"")=10,LEFT(E339&amp;"",2)="09"),AND(LEN(E339&amp;"")=9,LEFT(E339&amp;"",1)="9")))),COUNTIFS($A$6:$A$505,A339,$B$6:$B$505,B339,$E$6:$E$505,E339)&gt;1),"REVIEW","READY"))</x:f>
      </x:c>
      <x:c r="N339" s="255" t="str">
        <x:f>IF(M339="","",IF(M339="READY","",TRIM(IF(A339="","missing entity_type; ","")&amp;IF(B339="","missing entity_key; ","")&amp;IF(C339="","missing contact_order; ","")&amp;IF(D339="","missing contact_type; ","")&amp;IF(E339="","missing number; ","")&amp;IF(J339="","missing status; ","")&amp;IF(AND(A339="client",COUNTIF('الزبائن'!$A$6:$A$505,B339)=0),"client key not found; ","")&amp;IF(AND(A339="proposed_name",COUNTIF('أسماء مقترحة'!$A$6:$A$505,B339)=0),"proposed_name key not found; ","")&amp;IF(AND(D339="mobile",J339&lt;&gt;"invalid",NOT(OR(AND(LEN(E339&amp;"")=10,LEFT(E339&amp;"",2)="09"),AND(LEN(E339&amp;"")=9,LEFT(E339&amp;"",1)="9")))),"mobile must be 09XXXXXXXX or status invalid; ","")&amp;IF(COUNTIFS($A$6:$A$505,A339,$B$6:$B$505,B339,$E$6:$E$505,E339)&gt;1,"duplicate number for same entity; ",""))))</x:f>
      </x:c>
    </x:row>
    <x:row r="340">
      <x:c r="A340" s="251"/>
      <x:c r="B340" s="252"/>
      <x:c r="C340" s="253"/>
      <x:c r="D340" s="253"/>
      <x:c r="E340" s="252"/>
      <x:c r="F340" s="252"/>
      <x:c r="G340" s="253"/>
      <x:c r="H340" s="253"/>
      <x:c r="I340" s="253"/>
      <x:c r="J340" s="253"/>
      <x:c r="K340" s="253"/>
      <x:c r="L340" s="253"/>
      <x:c r="M340" s="253" t="str">
        <x:f>IF(AND(A340="",B340="",E340=""),"",IF(OR(A340="",B340="",C340="",D340="",E340="",J340="",AND(A340="client",COUNTIF('الزبائن'!$A$6:$A$505,B340)=0),AND(A340="proposed_name",COUNTIF('أسماء مقترحة'!$A$6:$A$505,B340)=0),AND(D340="mobile",J340&lt;&gt;"invalid",NOT(OR(AND(LEN(E340&amp;"")=10,LEFT(E340&amp;"",2)="09"),AND(LEN(E340&amp;"")=9,LEFT(E340&amp;"",1)="9")))),COUNTIFS($A$6:$A$505,A340,$B$6:$B$505,B340,$E$6:$E$505,E340)&gt;1),"REVIEW","READY"))</x:f>
      </x:c>
      <x:c r="N340" s="255" t="str">
        <x:f>IF(M340="","",IF(M340="READY","",TRIM(IF(A340="","missing entity_type; ","")&amp;IF(B340="","missing entity_key; ","")&amp;IF(C340="","missing contact_order; ","")&amp;IF(D340="","missing contact_type; ","")&amp;IF(E340="","missing number; ","")&amp;IF(J340="","missing status; ","")&amp;IF(AND(A340="client",COUNTIF('الزبائن'!$A$6:$A$505,B340)=0),"client key not found; ","")&amp;IF(AND(A340="proposed_name",COUNTIF('أسماء مقترحة'!$A$6:$A$505,B340)=0),"proposed_name key not found; ","")&amp;IF(AND(D340="mobile",J340&lt;&gt;"invalid",NOT(OR(AND(LEN(E340&amp;"")=10,LEFT(E340&amp;"",2)="09"),AND(LEN(E340&amp;"")=9,LEFT(E340&amp;"",1)="9")))),"mobile must be 09XXXXXXXX or status invalid; ","")&amp;IF(COUNTIFS($A$6:$A$505,A340,$B$6:$B$505,B340,$E$6:$E$505,E340)&gt;1,"duplicate number for same entity; ",""))))</x:f>
      </x:c>
    </x:row>
    <x:row r="341">
      <x:c r="A341" s="251"/>
      <x:c r="B341" s="252"/>
      <x:c r="C341" s="253"/>
      <x:c r="D341" s="253"/>
      <x:c r="E341" s="252"/>
      <x:c r="F341" s="252"/>
      <x:c r="G341" s="253"/>
      <x:c r="H341" s="253"/>
      <x:c r="I341" s="253"/>
      <x:c r="J341" s="253"/>
      <x:c r="K341" s="253"/>
      <x:c r="L341" s="253"/>
      <x:c r="M341" s="253" t="str">
        <x:f>IF(AND(A341="",B341="",E341=""),"",IF(OR(A341="",B341="",C341="",D341="",E341="",J341="",AND(A341="client",COUNTIF('الزبائن'!$A$6:$A$505,B341)=0),AND(A341="proposed_name",COUNTIF('أسماء مقترحة'!$A$6:$A$505,B341)=0),AND(D341="mobile",J341&lt;&gt;"invalid",NOT(OR(AND(LEN(E341&amp;"")=10,LEFT(E341&amp;"",2)="09"),AND(LEN(E341&amp;"")=9,LEFT(E341&amp;"",1)="9")))),COUNTIFS($A$6:$A$505,A341,$B$6:$B$505,B341,$E$6:$E$505,E341)&gt;1),"REVIEW","READY"))</x:f>
      </x:c>
      <x:c r="N341" s="255" t="str">
        <x:f>IF(M341="","",IF(M341="READY","",TRIM(IF(A341="","missing entity_type; ","")&amp;IF(B341="","missing entity_key; ","")&amp;IF(C341="","missing contact_order; ","")&amp;IF(D341="","missing contact_type; ","")&amp;IF(E341="","missing number; ","")&amp;IF(J341="","missing status; ","")&amp;IF(AND(A341="client",COUNTIF('الزبائن'!$A$6:$A$505,B341)=0),"client key not found; ","")&amp;IF(AND(A341="proposed_name",COUNTIF('أسماء مقترحة'!$A$6:$A$505,B341)=0),"proposed_name key not found; ","")&amp;IF(AND(D341="mobile",J341&lt;&gt;"invalid",NOT(OR(AND(LEN(E341&amp;"")=10,LEFT(E341&amp;"",2)="09"),AND(LEN(E341&amp;"")=9,LEFT(E341&amp;"",1)="9")))),"mobile must be 09XXXXXXXX or status invalid; ","")&amp;IF(COUNTIFS($A$6:$A$505,A341,$B$6:$B$505,B341,$E$6:$E$505,E341)&gt;1,"duplicate number for same entity; ",""))))</x:f>
      </x:c>
    </x:row>
    <x:row r="342">
      <x:c r="A342" s="251"/>
      <x:c r="B342" s="252"/>
      <x:c r="C342" s="253"/>
      <x:c r="D342" s="253"/>
      <x:c r="E342" s="252"/>
      <x:c r="F342" s="252"/>
      <x:c r="G342" s="253"/>
      <x:c r="H342" s="253"/>
      <x:c r="I342" s="253"/>
      <x:c r="J342" s="253"/>
      <x:c r="K342" s="253"/>
      <x:c r="L342" s="253"/>
      <x:c r="M342" s="253" t="str">
        <x:f>IF(AND(A342="",B342="",E342=""),"",IF(OR(A342="",B342="",C342="",D342="",E342="",J342="",AND(A342="client",COUNTIF('الزبائن'!$A$6:$A$505,B342)=0),AND(A342="proposed_name",COUNTIF('أسماء مقترحة'!$A$6:$A$505,B342)=0),AND(D342="mobile",J342&lt;&gt;"invalid",NOT(OR(AND(LEN(E342&amp;"")=10,LEFT(E342&amp;"",2)="09"),AND(LEN(E342&amp;"")=9,LEFT(E342&amp;"",1)="9")))),COUNTIFS($A$6:$A$505,A342,$B$6:$B$505,B342,$E$6:$E$505,E342)&gt;1),"REVIEW","READY"))</x:f>
      </x:c>
      <x:c r="N342" s="255" t="str">
        <x:f>IF(M342="","",IF(M342="READY","",TRIM(IF(A342="","missing entity_type; ","")&amp;IF(B342="","missing entity_key; ","")&amp;IF(C342="","missing contact_order; ","")&amp;IF(D342="","missing contact_type; ","")&amp;IF(E342="","missing number; ","")&amp;IF(J342="","missing status; ","")&amp;IF(AND(A342="client",COUNTIF('الزبائن'!$A$6:$A$505,B342)=0),"client key not found; ","")&amp;IF(AND(A342="proposed_name",COUNTIF('أسماء مقترحة'!$A$6:$A$505,B342)=0),"proposed_name key not found; ","")&amp;IF(AND(D342="mobile",J342&lt;&gt;"invalid",NOT(OR(AND(LEN(E342&amp;"")=10,LEFT(E342&amp;"",2)="09"),AND(LEN(E342&amp;"")=9,LEFT(E342&amp;"",1)="9")))),"mobile must be 09XXXXXXXX or status invalid; ","")&amp;IF(COUNTIFS($A$6:$A$505,A342,$B$6:$B$505,B342,$E$6:$E$505,E342)&gt;1,"duplicate number for same entity; ",""))))</x:f>
      </x:c>
    </x:row>
    <x:row r="343">
      <x:c r="A343" s="251"/>
      <x:c r="B343" s="252"/>
      <x:c r="C343" s="253"/>
      <x:c r="D343" s="253"/>
      <x:c r="E343" s="252"/>
      <x:c r="F343" s="252"/>
      <x:c r="G343" s="253"/>
      <x:c r="H343" s="253"/>
      <x:c r="I343" s="253"/>
      <x:c r="J343" s="253"/>
      <x:c r="K343" s="253"/>
      <x:c r="L343" s="253"/>
      <x:c r="M343" s="253" t="str">
        <x:f>IF(AND(A343="",B343="",E343=""),"",IF(OR(A343="",B343="",C343="",D343="",E343="",J343="",AND(A343="client",COUNTIF('الزبائن'!$A$6:$A$505,B343)=0),AND(A343="proposed_name",COUNTIF('أسماء مقترحة'!$A$6:$A$505,B343)=0),AND(D343="mobile",J343&lt;&gt;"invalid",NOT(OR(AND(LEN(E343&amp;"")=10,LEFT(E343&amp;"",2)="09"),AND(LEN(E343&amp;"")=9,LEFT(E343&amp;"",1)="9")))),COUNTIFS($A$6:$A$505,A343,$B$6:$B$505,B343,$E$6:$E$505,E343)&gt;1),"REVIEW","READY"))</x:f>
      </x:c>
      <x:c r="N343" s="255" t="str">
        <x:f>IF(M343="","",IF(M343="READY","",TRIM(IF(A343="","missing entity_type; ","")&amp;IF(B343="","missing entity_key; ","")&amp;IF(C343="","missing contact_order; ","")&amp;IF(D343="","missing contact_type; ","")&amp;IF(E343="","missing number; ","")&amp;IF(J343="","missing status; ","")&amp;IF(AND(A343="client",COUNTIF('الزبائن'!$A$6:$A$505,B343)=0),"client key not found; ","")&amp;IF(AND(A343="proposed_name",COUNTIF('أسماء مقترحة'!$A$6:$A$505,B343)=0),"proposed_name key not found; ","")&amp;IF(AND(D343="mobile",J343&lt;&gt;"invalid",NOT(OR(AND(LEN(E343&amp;"")=10,LEFT(E343&amp;"",2)="09"),AND(LEN(E343&amp;"")=9,LEFT(E343&amp;"",1)="9")))),"mobile must be 09XXXXXXXX or status invalid; ","")&amp;IF(COUNTIFS($A$6:$A$505,A343,$B$6:$B$505,B343,$E$6:$E$505,E343)&gt;1,"duplicate number for same entity; ",""))))</x:f>
      </x:c>
    </x:row>
    <x:row r="344">
      <x:c r="A344" s="251"/>
      <x:c r="B344" s="252"/>
      <x:c r="C344" s="253"/>
      <x:c r="D344" s="253"/>
      <x:c r="E344" s="252"/>
      <x:c r="F344" s="252"/>
      <x:c r="G344" s="253"/>
      <x:c r="H344" s="253"/>
      <x:c r="I344" s="253"/>
      <x:c r="J344" s="253"/>
      <x:c r="K344" s="253"/>
      <x:c r="L344" s="253"/>
      <x:c r="M344" s="253" t="str">
        <x:f>IF(AND(A344="",B344="",E344=""),"",IF(OR(A344="",B344="",C344="",D344="",E344="",J344="",AND(A344="client",COUNTIF('الزبائن'!$A$6:$A$505,B344)=0),AND(A344="proposed_name",COUNTIF('أسماء مقترحة'!$A$6:$A$505,B344)=0),AND(D344="mobile",J344&lt;&gt;"invalid",NOT(OR(AND(LEN(E344&amp;"")=10,LEFT(E344&amp;"",2)="09"),AND(LEN(E344&amp;"")=9,LEFT(E344&amp;"",1)="9")))),COUNTIFS($A$6:$A$505,A344,$B$6:$B$505,B344,$E$6:$E$505,E344)&gt;1),"REVIEW","READY"))</x:f>
      </x:c>
      <x:c r="N344" s="255" t="str">
        <x:f>IF(M344="","",IF(M344="READY","",TRIM(IF(A344="","missing entity_type; ","")&amp;IF(B344="","missing entity_key; ","")&amp;IF(C344="","missing contact_order; ","")&amp;IF(D344="","missing contact_type; ","")&amp;IF(E344="","missing number; ","")&amp;IF(J344="","missing status; ","")&amp;IF(AND(A344="client",COUNTIF('الزبائن'!$A$6:$A$505,B344)=0),"client key not found; ","")&amp;IF(AND(A344="proposed_name",COUNTIF('أسماء مقترحة'!$A$6:$A$505,B344)=0),"proposed_name key not found; ","")&amp;IF(AND(D344="mobile",J344&lt;&gt;"invalid",NOT(OR(AND(LEN(E344&amp;"")=10,LEFT(E344&amp;"",2)="09"),AND(LEN(E344&amp;"")=9,LEFT(E344&amp;"",1)="9")))),"mobile must be 09XXXXXXXX or status invalid; ","")&amp;IF(COUNTIFS($A$6:$A$505,A344,$B$6:$B$505,B344,$E$6:$E$505,E344)&gt;1,"duplicate number for same entity; ",""))))</x:f>
      </x:c>
    </x:row>
    <x:row r="345">
      <x:c r="A345" s="251"/>
      <x:c r="B345" s="252"/>
      <x:c r="C345" s="253"/>
      <x:c r="D345" s="253"/>
      <x:c r="E345" s="252"/>
      <x:c r="F345" s="252"/>
      <x:c r="G345" s="253"/>
      <x:c r="H345" s="253"/>
      <x:c r="I345" s="253"/>
      <x:c r="J345" s="253"/>
      <x:c r="K345" s="253"/>
      <x:c r="L345" s="253"/>
      <x:c r="M345" s="253" t="str">
        <x:f>IF(AND(A345="",B345="",E345=""),"",IF(OR(A345="",B345="",C345="",D345="",E345="",J345="",AND(A345="client",COUNTIF('الزبائن'!$A$6:$A$505,B345)=0),AND(A345="proposed_name",COUNTIF('أسماء مقترحة'!$A$6:$A$505,B345)=0),AND(D345="mobile",J345&lt;&gt;"invalid",NOT(OR(AND(LEN(E345&amp;"")=10,LEFT(E345&amp;"",2)="09"),AND(LEN(E345&amp;"")=9,LEFT(E345&amp;"",1)="9")))),COUNTIFS($A$6:$A$505,A345,$B$6:$B$505,B345,$E$6:$E$505,E345)&gt;1),"REVIEW","READY"))</x:f>
      </x:c>
      <x:c r="N345" s="255" t="str">
        <x:f>IF(M345="","",IF(M345="READY","",TRIM(IF(A345="","missing entity_type; ","")&amp;IF(B345="","missing entity_key; ","")&amp;IF(C345="","missing contact_order; ","")&amp;IF(D345="","missing contact_type; ","")&amp;IF(E345="","missing number; ","")&amp;IF(J345="","missing status; ","")&amp;IF(AND(A345="client",COUNTIF('الزبائن'!$A$6:$A$505,B345)=0),"client key not found; ","")&amp;IF(AND(A345="proposed_name",COUNTIF('أسماء مقترحة'!$A$6:$A$505,B345)=0),"proposed_name key not found; ","")&amp;IF(AND(D345="mobile",J345&lt;&gt;"invalid",NOT(OR(AND(LEN(E345&amp;"")=10,LEFT(E345&amp;"",2)="09"),AND(LEN(E345&amp;"")=9,LEFT(E345&amp;"",1)="9")))),"mobile must be 09XXXXXXXX or status invalid; ","")&amp;IF(COUNTIFS($A$6:$A$505,A345,$B$6:$B$505,B345,$E$6:$E$505,E345)&gt;1,"duplicate number for same entity; ",""))))</x:f>
      </x:c>
    </x:row>
    <x:row r="346">
      <x:c r="A346" s="251"/>
      <x:c r="B346" s="252"/>
      <x:c r="C346" s="253"/>
      <x:c r="D346" s="253"/>
      <x:c r="E346" s="252"/>
      <x:c r="F346" s="252"/>
      <x:c r="G346" s="253"/>
      <x:c r="H346" s="253"/>
      <x:c r="I346" s="253"/>
      <x:c r="J346" s="253"/>
      <x:c r="K346" s="253"/>
      <x:c r="L346" s="253"/>
      <x:c r="M346" s="253" t="str">
        <x:f>IF(AND(A346="",B346="",E346=""),"",IF(OR(A346="",B346="",C346="",D346="",E346="",J346="",AND(A346="client",COUNTIF('الزبائن'!$A$6:$A$505,B346)=0),AND(A346="proposed_name",COUNTIF('أسماء مقترحة'!$A$6:$A$505,B346)=0),AND(D346="mobile",J346&lt;&gt;"invalid",NOT(OR(AND(LEN(E346&amp;"")=10,LEFT(E346&amp;"",2)="09"),AND(LEN(E346&amp;"")=9,LEFT(E346&amp;"",1)="9")))),COUNTIFS($A$6:$A$505,A346,$B$6:$B$505,B346,$E$6:$E$505,E346)&gt;1),"REVIEW","READY"))</x:f>
      </x:c>
      <x:c r="N346" s="255" t="str">
        <x:f>IF(M346="","",IF(M346="READY","",TRIM(IF(A346="","missing entity_type; ","")&amp;IF(B346="","missing entity_key; ","")&amp;IF(C346="","missing contact_order; ","")&amp;IF(D346="","missing contact_type; ","")&amp;IF(E346="","missing number; ","")&amp;IF(J346="","missing status; ","")&amp;IF(AND(A346="client",COUNTIF('الزبائن'!$A$6:$A$505,B346)=0),"client key not found; ","")&amp;IF(AND(A346="proposed_name",COUNTIF('أسماء مقترحة'!$A$6:$A$505,B346)=0),"proposed_name key not found; ","")&amp;IF(AND(D346="mobile",J346&lt;&gt;"invalid",NOT(OR(AND(LEN(E346&amp;"")=10,LEFT(E346&amp;"",2)="09"),AND(LEN(E346&amp;"")=9,LEFT(E346&amp;"",1)="9")))),"mobile must be 09XXXXXXXX or status invalid; ","")&amp;IF(COUNTIFS($A$6:$A$505,A346,$B$6:$B$505,B346,$E$6:$E$505,E346)&gt;1,"duplicate number for same entity; ",""))))</x:f>
      </x:c>
    </x:row>
    <x:row r="347">
      <x:c r="A347" s="251"/>
      <x:c r="B347" s="252"/>
      <x:c r="C347" s="253"/>
      <x:c r="D347" s="253"/>
      <x:c r="E347" s="252"/>
      <x:c r="F347" s="252"/>
      <x:c r="G347" s="253"/>
      <x:c r="H347" s="253"/>
      <x:c r="I347" s="253"/>
      <x:c r="J347" s="253"/>
      <x:c r="K347" s="253"/>
      <x:c r="L347" s="253"/>
      <x:c r="M347" s="253" t="str">
        <x:f>IF(AND(A347="",B347="",E347=""),"",IF(OR(A347="",B347="",C347="",D347="",E347="",J347="",AND(A347="client",COUNTIF('الزبائن'!$A$6:$A$505,B347)=0),AND(A347="proposed_name",COUNTIF('أسماء مقترحة'!$A$6:$A$505,B347)=0),AND(D347="mobile",J347&lt;&gt;"invalid",NOT(OR(AND(LEN(E347&amp;"")=10,LEFT(E347&amp;"",2)="09"),AND(LEN(E347&amp;"")=9,LEFT(E347&amp;"",1)="9")))),COUNTIFS($A$6:$A$505,A347,$B$6:$B$505,B347,$E$6:$E$505,E347)&gt;1),"REVIEW","READY"))</x:f>
      </x:c>
      <x:c r="N347" s="255" t="str">
        <x:f>IF(M347="","",IF(M347="READY","",TRIM(IF(A347="","missing entity_type; ","")&amp;IF(B347="","missing entity_key; ","")&amp;IF(C347="","missing contact_order; ","")&amp;IF(D347="","missing contact_type; ","")&amp;IF(E347="","missing number; ","")&amp;IF(J347="","missing status; ","")&amp;IF(AND(A347="client",COUNTIF('الزبائن'!$A$6:$A$505,B347)=0),"client key not found; ","")&amp;IF(AND(A347="proposed_name",COUNTIF('أسماء مقترحة'!$A$6:$A$505,B347)=0),"proposed_name key not found; ","")&amp;IF(AND(D347="mobile",J347&lt;&gt;"invalid",NOT(OR(AND(LEN(E347&amp;"")=10,LEFT(E347&amp;"",2)="09"),AND(LEN(E347&amp;"")=9,LEFT(E347&amp;"",1)="9")))),"mobile must be 09XXXXXXXX or status invalid; ","")&amp;IF(COUNTIFS($A$6:$A$505,A347,$B$6:$B$505,B347,$E$6:$E$505,E347)&gt;1,"duplicate number for same entity; ",""))))</x:f>
      </x:c>
    </x:row>
    <x:row r="348">
      <x:c r="A348" s="251"/>
      <x:c r="B348" s="252"/>
      <x:c r="C348" s="253"/>
      <x:c r="D348" s="253"/>
      <x:c r="E348" s="252"/>
      <x:c r="F348" s="252"/>
      <x:c r="G348" s="253"/>
      <x:c r="H348" s="253"/>
      <x:c r="I348" s="253"/>
      <x:c r="J348" s="253"/>
      <x:c r="K348" s="253"/>
      <x:c r="L348" s="253"/>
      <x:c r="M348" s="253" t="str">
        <x:f>IF(AND(A348="",B348="",E348=""),"",IF(OR(A348="",B348="",C348="",D348="",E348="",J348="",AND(A348="client",COUNTIF('الزبائن'!$A$6:$A$505,B348)=0),AND(A348="proposed_name",COUNTIF('أسماء مقترحة'!$A$6:$A$505,B348)=0),AND(D348="mobile",J348&lt;&gt;"invalid",NOT(OR(AND(LEN(E348&amp;"")=10,LEFT(E348&amp;"",2)="09"),AND(LEN(E348&amp;"")=9,LEFT(E348&amp;"",1)="9")))),COUNTIFS($A$6:$A$505,A348,$B$6:$B$505,B348,$E$6:$E$505,E348)&gt;1),"REVIEW","READY"))</x:f>
      </x:c>
      <x:c r="N348" s="255" t="str">
        <x:f>IF(M348="","",IF(M348="READY","",TRIM(IF(A348="","missing entity_type; ","")&amp;IF(B348="","missing entity_key; ","")&amp;IF(C348="","missing contact_order; ","")&amp;IF(D348="","missing contact_type; ","")&amp;IF(E348="","missing number; ","")&amp;IF(J348="","missing status; ","")&amp;IF(AND(A348="client",COUNTIF('الزبائن'!$A$6:$A$505,B348)=0),"client key not found; ","")&amp;IF(AND(A348="proposed_name",COUNTIF('أسماء مقترحة'!$A$6:$A$505,B348)=0),"proposed_name key not found; ","")&amp;IF(AND(D348="mobile",J348&lt;&gt;"invalid",NOT(OR(AND(LEN(E348&amp;"")=10,LEFT(E348&amp;"",2)="09"),AND(LEN(E348&amp;"")=9,LEFT(E348&amp;"",1)="9")))),"mobile must be 09XXXXXXXX or status invalid; ","")&amp;IF(COUNTIFS($A$6:$A$505,A348,$B$6:$B$505,B348,$E$6:$E$505,E348)&gt;1,"duplicate number for same entity; ",""))))</x:f>
      </x:c>
    </x:row>
    <x:row r="349">
      <x:c r="A349" s="251"/>
      <x:c r="B349" s="252"/>
      <x:c r="C349" s="253"/>
      <x:c r="D349" s="253"/>
      <x:c r="E349" s="252"/>
      <x:c r="F349" s="252"/>
      <x:c r="G349" s="253"/>
      <x:c r="H349" s="253"/>
      <x:c r="I349" s="253"/>
      <x:c r="J349" s="253"/>
      <x:c r="K349" s="253"/>
      <x:c r="L349" s="253"/>
      <x:c r="M349" s="253" t="str">
        <x:f>IF(AND(A349="",B349="",E349=""),"",IF(OR(A349="",B349="",C349="",D349="",E349="",J349="",AND(A349="client",COUNTIF('الزبائن'!$A$6:$A$505,B349)=0),AND(A349="proposed_name",COUNTIF('أسماء مقترحة'!$A$6:$A$505,B349)=0),AND(D349="mobile",J349&lt;&gt;"invalid",NOT(OR(AND(LEN(E349&amp;"")=10,LEFT(E349&amp;"",2)="09"),AND(LEN(E349&amp;"")=9,LEFT(E349&amp;"",1)="9")))),COUNTIFS($A$6:$A$505,A349,$B$6:$B$505,B349,$E$6:$E$505,E349)&gt;1),"REVIEW","READY"))</x:f>
      </x:c>
      <x:c r="N349" s="255" t="str">
        <x:f>IF(M349="","",IF(M349="READY","",TRIM(IF(A349="","missing entity_type; ","")&amp;IF(B349="","missing entity_key; ","")&amp;IF(C349="","missing contact_order; ","")&amp;IF(D349="","missing contact_type; ","")&amp;IF(E349="","missing number; ","")&amp;IF(J349="","missing status; ","")&amp;IF(AND(A349="client",COUNTIF('الزبائن'!$A$6:$A$505,B349)=0),"client key not found; ","")&amp;IF(AND(A349="proposed_name",COUNTIF('أسماء مقترحة'!$A$6:$A$505,B349)=0),"proposed_name key not found; ","")&amp;IF(AND(D349="mobile",J349&lt;&gt;"invalid",NOT(OR(AND(LEN(E349&amp;"")=10,LEFT(E349&amp;"",2)="09"),AND(LEN(E349&amp;"")=9,LEFT(E349&amp;"",1)="9")))),"mobile must be 09XXXXXXXX or status invalid; ","")&amp;IF(COUNTIFS($A$6:$A$505,A349,$B$6:$B$505,B349,$E$6:$E$505,E349)&gt;1,"duplicate number for same entity; ",""))))</x:f>
      </x:c>
    </x:row>
    <x:row r="350">
      <x:c r="A350" s="251"/>
      <x:c r="B350" s="252"/>
      <x:c r="C350" s="253"/>
      <x:c r="D350" s="253"/>
      <x:c r="E350" s="252"/>
      <x:c r="F350" s="252"/>
      <x:c r="G350" s="253"/>
      <x:c r="H350" s="253"/>
      <x:c r="I350" s="253"/>
      <x:c r="J350" s="253"/>
      <x:c r="K350" s="253"/>
      <x:c r="L350" s="253"/>
      <x:c r="M350" s="253" t="str">
        <x:f>IF(AND(A350="",B350="",E350=""),"",IF(OR(A350="",B350="",C350="",D350="",E350="",J350="",AND(A350="client",COUNTIF('الزبائن'!$A$6:$A$505,B350)=0),AND(A350="proposed_name",COUNTIF('أسماء مقترحة'!$A$6:$A$505,B350)=0),AND(D350="mobile",J350&lt;&gt;"invalid",NOT(OR(AND(LEN(E350&amp;"")=10,LEFT(E350&amp;"",2)="09"),AND(LEN(E350&amp;"")=9,LEFT(E350&amp;"",1)="9")))),COUNTIFS($A$6:$A$505,A350,$B$6:$B$505,B350,$E$6:$E$505,E350)&gt;1),"REVIEW","READY"))</x:f>
      </x:c>
      <x:c r="N350" s="255" t="str">
        <x:f>IF(M350="","",IF(M350="READY","",TRIM(IF(A350="","missing entity_type; ","")&amp;IF(B350="","missing entity_key; ","")&amp;IF(C350="","missing contact_order; ","")&amp;IF(D350="","missing contact_type; ","")&amp;IF(E350="","missing number; ","")&amp;IF(J350="","missing status; ","")&amp;IF(AND(A350="client",COUNTIF('الزبائن'!$A$6:$A$505,B350)=0),"client key not found; ","")&amp;IF(AND(A350="proposed_name",COUNTIF('أسماء مقترحة'!$A$6:$A$505,B350)=0),"proposed_name key not found; ","")&amp;IF(AND(D350="mobile",J350&lt;&gt;"invalid",NOT(OR(AND(LEN(E350&amp;"")=10,LEFT(E350&amp;"",2)="09"),AND(LEN(E350&amp;"")=9,LEFT(E350&amp;"",1)="9")))),"mobile must be 09XXXXXXXX or status invalid; ","")&amp;IF(COUNTIFS($A$6:$A$505,A350,$B$6:$B$505,B350,$E$6:$E$505,E350)&gt;1,"duplicate number for same entity; ",""))))</x:f>
      </x:c>
    </x:row>
    <x:row r="351">
      <x:c r="A351" s="251"/>
      <x:c r="B351" s="252"/>
      <x:c r="C351" s="253"/>
      <x:c r="D351" s="253"/>
      <x:c r="E351" s="252"/>
      <x:c r="F351" s="252"/>
      <x:c r="G351" s="253"/>
      <x:c r="H351" s="253"/>
      <x:c r="I351" s="253"/>
      <x:c r="J351" s="253"/>
      <x:c r="K351" s="253"/>
      <x:c r="L351" s="253"/>
      <x:c r="M351" s="253" t="str">
        <x:f>IF(AND(A351="",B351="",E351=""),"",IF(OR(A351="",B351="",C351="",D351="",E351="",J351="",AND(A351="client",COUNTIF('الزبائن'!$A$6:$A$505,B351)=0),AND(A351="proposed_name",COUNTIF('أسماء مقترحة'!$A$6:$A$505,B351)=0),AND(D351="mobile",J351&lt;&gt;"invalid",NOT(OR(AND(LEN(E351&amp;"")=10,LEFT(E351&amp;"",2)="09"),AND(LEN(E351&amp;"")=9,LEFT(E351&amp;"",1)="9")))),COUNTIFS($A$6:$A$505,A351,$B$6:$B$505,B351,$E$6:$E$505,E351)&gt;1),"REVIEW","READY"))</x:f>
      </x:c>
      <x:c r="N351" s="255" t="str">
        <x:f>IF(M351="","",IF(M351="READY","",TRIM(IF(A351="","missing entity_type; ","")&amp;IF(B351="","missing entity_key; ","")&amp;IF(C351="","missing contact_order; ","")&amp;IF(D351="","missing contact_type; ","")&amp;IF(E351="","missing number; ","")&amp;IF(J351="","missing status; ","")&amp;IF(AND(A351="client",COUNTIF('الزبائن'!$A$6:$A$505,B351)=0),"client key not found; ","")&amp;IF(AND(A351="proposed_name",COUNTIF('أسماء مقترحة'!$A$6:$A$505,B351)=0),"proposed_name key not found; ","")&amp;IF(AND(D351="mobile",J351&lt;&gt;"invalid",NOT(OR(AND(LEN(E351&amp;"")=10,LEFT(E351&amp;"",2)="09"),AND(LEN(E351&amp;"")=9,LEFT(E351&amp;"",1)="9")))),"mobile must be 09XXXXXXXX or status invalid; ","")&amp;IF(COUNTIFS($A$6:$A$505,A351,$B$6:$B$505,B351,$E$6:$E$505,E351)&gt;1,"duplicate number for same entity; ",""))))</x:f>
      </x:c>
    </x:row>
    <x:row r="352">
      <x:c r="A352" s="251"/>
      <x:c r="B352" s="252"/>
      <x:c r="C352" s="253"/>
      <x:c r="D352" s="253"/>
      <x:c r="E352" s="252"/>
      <x:c r="F352" s="252"/>
      <x:c r="G352" s="253"/>
      <x:c r="H352" s="253"/>
      <x:c r="I352" s="253"/>
      <x:c r="J352" s="253"/>
      <x:c r="K352" s="253"/>
      <x:c r="L352" s="253"/>
      <x:c r="M352" s="253" t="str">
        <x:f>IF(AND(A352="",B352="",E352=""),"",IF(OR(A352="",B352="",C352="",D352="",E352="",J352="",AND(A352="client",COUNTIF('الزبائن'!$A$6:$A$505,B352)=0),AND(A352="proposed_name",COUNTIF('أسماء مقترحة'!$A$6:$A$505,B352)=0),AND(D352="mobile",J352&lt;&gt;"invalid",NOT(OR(AND(LEN(E352&amp;"")=10,LEFT(E352&amp;"",2)="09"),AND(LEN(E352&amp;"")=9,LEFT(E352&amp;"",1)="9")))),COUNTIFS($A$6:$A$505,A352,$B$6:$B$505,B352,$E$6:$E$505,E352)&gt;1),"REVIEW","READY"))</x:f>
      </x:c>
      <x:c r="N352" s="255" t="str">
        <x:f>IF(M352="","",IF(M352="READY","",TRIM(IF(A352="","missing entity_type; ","")&amp;IF(B352="","missing entity_key; ","")&amp;IF(C352="","missing contact_order; ","")&amp;IF(D352="","missing contact_type; ","")&amp;IF(E352="","missing number; ","")&amp;IF(J352="","missing status; ","")&amp;IF(AND(A352="client",COUNTIF('الزبائن'!$A$6:$A$505,B352)=0),"client key not found; ","")&amp;IF(AND(A352="proposed_name",COUNTIF('أسماء مقترحة'!$A$6:$A$505,B352)=0),"proposed_name key not found; ","")&amp;IF(AND(D352="mobile",J352&lt;&gt;"invalid",NOT(OR(AND(LEN(E352&amp;"")=10,LEFT(E352&amp;"",2)="09"),AND(LEN(E352&amp;"")=9,LEFT(E352&amp;"",1)="9")))),"mobile must be 09XXXXXXXX or status invalid; ","")&amp;IF(COUNTIFS($A$6:$A$505,A352,$B$6:$B$505,B352,$E$6:$E$505,E352)&gt;1,"duplicate number for same entity; ",""))))</x:f>
      </x:c>
    </x:row>
    <x:row r="353">
      <x:c r="A353" s="251"/>
      <x:c r="B353" s="252"/>
      <x:c r="C353" s="253"/>
      <x:c r="D353" s="253"/>
      <x:c r="E353" s="252"/>
      <x:c r="F353" s="252"/>
      <x:c r="G353" s="253"/>
      <x:c r="H353" s="253"/>
      <x:c r="I353" s="253"/>
      <x:c r="J353" s="253"/>
      <x:c r="K353" s="253"/>
      <x:c r="L353" s="253"/>
      <x:c r="M353" s="253" t="str">
        <x:f>IF(AND(A353="",B353="",E353=""),"",IF(OR(A353="",B353="",C353="",D353="",E353="",J353="",AND(A353="client",COUNTIF('الزبائن'!$A$6:$A$505,B353)=0),AND(A353="proposed_name",COUNTIF('أسماء مقترحة'!$A$6:$A$505,B353)=0),AND(D353="mobile",J353&lt;&gt;"invalid",NOT(OR(AND(LEN(E353&amp;"")=10,LEFT(E353&amp;"",2)="09"),AND(LEN(E353&amp;"")=9,LEFT(E353&amp;"",1)="9")))),COUNTIFS($A$6:$A$505,A353,$B$6:$B$505,B353,$E$6:$E$505,E353)&gt;1),"REVIEW","READY"))</x:f>
      </x:c>
      <x:c r="N353" s="255" t="str">
        <x:f>IF(M353="","",IF(M353="READY","",TRIM(IF(A353="","missing entity_type; ","")&amp;IF(B353="","missing entity_key; ","")&amp;IF(C353="","missing contact_order; ","")&amp;IF(D353="","missing contact_type; ","")&amp;IF(E353="","missing number; ","")&amp;IF(J353="","missing status; ","")&amp;IF(AND(A353="client",COUNTIF('الزبائن'!$A$6:$A$505,B353)=0),"client key not found; ","")&amp;IF(AND(A353="proposed_name",COUNTIF('أسماء مقترحة'!$A$6:$A$505,B353)=0),"proposed_name key not found; ","")&amp;IF(AND(D353="mobile",J353&lt;&gt;"invalid",NOT(OR(AND(LEN(E353&amp;"")=10,LEFT(E353&amp;"",2)="09"),AND(LEN(E353&amp;"")=9,LEFT(E353&amp;"",1)="9")))),"mobile must be 09XXXXXXXX or status invalid; ","")&amp;IF(COUNTIFS($A$6:$A$505,A353,$B$6:$B$505,B353,$E$6:$E$505,E353)&gt;1,"duplicate number for same entity; ",""))))</x:f>
      </x:c>
    </x:row>
    <x:row r="354">
      <x:c r="A354" s="251"/>
      <x:c r="B354" s="252"/>
      <x:c r="C354" s="253"/>
      <x:c r="D354" s="253"/>
      <x:c r="E354" s="252"/>
      <x:c r="F354" s="252"/>
      <x:c r="G354" s="253"/>
      <x:c r="H354" s="253"/>
      <x:c r="I354" s="253"/>
      <x:c r="J354" s="253"/>
      <x:c r="K354" s="253"/>
      <x:c r="L354" s="253"/>
      <x:c r="M354" s="253" t="str">
        <x:f>IF(AND(A354="",B354="",E354=""),"",IF(OR(A354="",B354="",C354="",D354="",E354="",J354="",AND(A354="client",COUNTIF('الزبائن'!$A$6:$A$505,B354)=0),AND(A354="proposed_name",COUNTIF('أسماء مقترحة'!$A$6:$A$505,B354)=0),AND(D354="mobile",J354&lt;&gt;"invalid",NOT(OR(AND(LEN(E354&amp;"")=10,LEFT(E354&amp;"",2)="09"),AND(LEN(E354&amp;"")=9,LEFT(E354&amp;"",1)="9")))),COUNTIFS($A$6:$A$505,A354,$B$6:$B$505,B354,$E$6:$E$505,E354)&gt;1),"REVIEW","READY"))</x:f>
      </x:c>
      <x:c r="N354" s="255" t="str">
        <x:f>IF(M354="","",IF(M354="READY","",TRIM(IF(A354="","missing entity_type; ","")&amp;IF(B354="","missing entity_key; ","")&amp;IF(C354="","missing contact_order; ","")&amp;IF(D354="","missing contact_type; ","")&amp;IF(E354="","missing number; ","")&amp;IF(J354="","missing status; ","")&amp;IF(AND(A354="client",COUNTIF('الزبائن'!$A$6:$A$505,B354)=0),"client key not found; ","")&amp;IF(AND(A354="proposed_name",COUNTIF('أسماء مقترحة'!$A$6:$A$505,B354)=0),"proposed_name key not found; ","")&amp;IF(AND(D354="mobile",J354&lt;&gt;"invalid",NOT(OR(AND(LEN(E354&amp;"")=10,LEFT(E354&amp;"",2)="09"),AND(LEN(E354&amp;"")=9,LEFT(E354&amp;"",1)="9")))),"mobile must be 09XXXXXXXX or status invalid; ","")&amp;IF(COUNTIFS($A$6:$A$505,A354,$B$6:$B$505,B354,$E$6:$E$505,E354)&gt;1,"duplicate number for same entity; ",""))))</x:f>
      </x:c>
    </x:row>
    <x:row r="355">
      <x:c r="A355" s="251"/>
      <x:c r="B355" s="252"/>
      <x:c r="C355" s="253"/>
      <x:c r="D355" s="253"/>
      <x:c r="E355" s="252"/>
      <x:c r="F355" s="252"/>
      <x:c r="G355" s="253"/>
      <x:c r="H355" s="253"/>
      <x:c r="I355" s="253"/>
      <x:c r="J355" s="253"/>
      <x:c r="K355" s="253"/>
      <x:c r="L355" s="253"/>
      <x:c r="M355" s="253" t="str">
        <x:f>IF(AND(A355="",B355="",E355=""),"",IF(OR(A355="",B355="",C355="",D355="",E355="",J355="",AND(A355="client",COUNTIF('الزبائن'!$A$6:$A$505,B355)=0),AND(A355="proposed_name",COUNTIF('أسماء مقترحة'!$A$6:$A$505,B355)=0),AND(D355="mobile",J355&lt;&gt;"invalid",NOT(OR(AND(LEN(E355&amp;"")=10,LEFT(E355&amp;"",2)="09"),AND(LEN(E355&amp;"")=9,LEFT(E355&amp;"",1)="9")))),COUNTIFS($A$6:$A$505,A355,$B$6:$B$505,B355,$E$6:$E$505,E355)&gt;1),"REVIEW","READY"))</x:f>
      </x:c>
      <x:c r="N355" s="255" t="str">
        <x:f>IF(M355="","",IF(M355="READY","",TRIM(IF(A355="","missing entity_type; ","")&amp;IF(B355="","missing entity_key; ","")&amp;IF(C355="","missing contact_order; ","")&amp;IF(D355="","missing contact_type; ","")&amp;IF(E355="","missing number; ","")&amp;IF(J355="","missing status; ","")&amp;IF(AND(A355="client",COUNTIF('الزبائن'!$A$6:$A$505,B355)=0),"client key not found; ","")&amp;IF(AND(A355="proposed_name",COUNTIF('أسماء مقترحة'!$A$6:$A$505,B355)=0),"proposed_name key not found; ","")&amp;IF(AND(D355="mobile",J355&lt;&gt;"invalid",NOT(OR(AND(LEN(E355&amp;"")=10,LEFT(E355&amp;"",2)="09"),AND(LEN(E355&amp;"")=9,LEFT(E355&amp;"",1)="9")))),"mobile must be 09XXXXXXXX or status invalid; ","")&amp;IF(COUNTIFS($A$6:$A$505,A355,$B$6:$B$505,B355,$E$6:$E$505,E355)&gt;1,"duplicate number for same entity; ",""))))</x:f>
      </x:c>
    </x:row>
    <x:row r="356">
      <x:c r="A356" s="251"/>
      <x:c r="B356" s="252"/>
      <x:c r="C356" s="253"/>
      <x:c r="D356" s="253"/>
      <x:c r="E356" s="252"/>
      <x:c r="F356" s="252"/>
      <x:c r="G356" s="253"/>
      <x:c r="H356" s="253"/>
      <x:c r="I356" s="253"/>
      <x:c r="J356" s="253"/>
      <x:c r="K356" s="253"/>
      <x:c r="L356" s="253"/>
      <x:c r="M356" s="253" t="str">
        <x:f>IF(AND(A356="",B356="",E356=""),"",IF(OR(A356="",B356="",C356="",D356="",E356="",J356="",AND(A356="client",COUNTIF('الزبائن'!$A$6:$A$505,B356)=0),AND(A356="proposed_name",COUNTIF('أسماء مقترحة'!$A$6:$A$505,B356)=0),AND(D356="mobile",J356&lt;&gt;"invalid",NOT(OR(AND(LEN(E356&amp;"")=10,LEFT(E356&amp;"",2)="09"),AND(LEN(E356&amp;"")=9,LEFT(E356&amp;"",1)="9")))),COUNTIFS($A$6:$A$505,A356,$B$6:$B$505,B356,$E$6:$E$505,E356)&gt;1),"REVIEW","READY"))</x:f>
      </x:c>
      <x:c r="N356" s="255" t="str">
        <x:f>IF(M356="","",IF(M356="READY","",TRIM(IF(A356="","missing entity_type; ","")&amp;IF(B356="","missing entity_key; ","")&amp;IF(C356="","missing contact_order; ","")&amp;IF(D356="","missing contact_type; ","")&amp;IF(E356="","missing number; ","")&amp;IF(J356="","missing status; ","")&amp;IF(AND(A356="client",COUNTIF('الزبائن'!$A$6:$A$505,B356)=0),"client key not found; ","")&amp;IF(AND(A356="proposed_name",COUNTIF('أسماء مقترحة'!$A$6:$A$505,B356)=0),"proposed_name key not found; ","")&amp;IF(AND(D356="mobile",J356&lt;&gt;"invalid",NOT(OR(AND(LEN(E356&amp;"")=10,LEFT(E356&amp;"",2)="09"),AND(LEN(E356&amp;"")=9,LEFT(E356&amp;"",1)="9")))),"mobile must be 09XXXXXXXX or status invalid; ","")&amp;IF(COUNTIFS($A$6:$A$505,A356,$B$6:$B$505,B356,$E$6:$E$505,E356)&gt;1,"duplicate number for same entity; ",""))))</x:f>
      </x:c>
    </x:row>
    <x:row r="357">
      <x:c r="A357" s="251"/>
      <x:c r="B357" s="252"/>
      <x:c r="C357" s="253"/>
      <x:c r="D357" s="253"/>
      <x:c r="E357" s="252"/>
      <x:c r="F357" s="252"/>
      <x:c r="G357" s="253"/>
      <x:c r="H357" s="253"/>
      <x:c r="I357" s="253"/>
      <x:c r="J357" s="253"/>
      <x:c r="K357" s="253"/>
      <x:c r="L357" s="253"/>
      <x:c r="M357" s="253" t="str">
        <x:f>IF(AND(A357="",B357="",E357=""),"",IF(OR(A357="",B357="",C357="",D357="",E357="",J357="",AND(A357="client",COUNTIF('الزبائن'!$A$6:$A$505,B357)=0),AND(A357="proposed_name",COUNTIF('أسماء مقترحة'!$A$6:$A$505,B357)=0),AND(D357="mobile",J357&lt;&gt;"invalid",NOT(OR(AND(LEN(E357&amp;"")=10,LEFT(E357&amp;"",2)="09"),AND(LEN(E357&amp;"")=9,LEFT(E357&amp;"",1)="9")))),COUNTIFS($A$6:$A$505,A357,$B$6:$B$505,B357,$E$6:$E$505,E357)&gt;1),"REVIEW","READY"))</x:f>
      </x:c>
      <x:c r="N357" s="255" t="str">
        <x:f>IF(M357="","",IF(M357="READY","",TRIM(IF(A357="","missing entity_type; ","")&amp;IF(B357="","missing entity_key; ","")&amp;IF(C357="","missing contact_order; ","")&amp;IF(D357="","missing contact_type; ","")&amp;IF(E357="","missing number; ","")&amp;IF(J357="","missing status; ","")&amp;IF(AND(A357="client",COUNTIF('الزبائن'!$A$6:$A$505,B357)=0),"client key not found; ","")&amp;IF(AND(A357="proposed_name",COUNTIF('أسماء مقترحة'!$A$6:$A$505,B357)=0),"proposed_name key not found; ","")&amp;IF(AND(D357="mobile",J357&lt;&gt;"invalid",NOT(OR(AND(LEN(E357&amp;"")=10,LEFT(E357&amp;"",2)="09"),AND(LEN(E357&amp;"")=9,LEFT(E357&amp;"",1)="9")))),"mobile must be 09XXXXXXXX or status invalid; ","")&amp;IF(COUNTIFS($A$6:$A$505,A357,$B$6:$B$505,B357,$E$6:$E$505,E357)&gt;1,"duplicate number for same entity; ",""))))</x:f>
      </x:c>
    </x:row>
    <x:row r="358">
      <x:c r="A358" s="251"/>
      <x:c r="B358" s="252"/>
      <x:c r="C358" s="253"/>
      <x:c r="D358" s="253"/>
      <x:c r="E358" s="252"/>
      <x:c r="F358" s="252"/>
      <x:c r="G358" s="253"/>
      <x:c r="H358" s="253"/>
      <x:c r="I358" s="253"/>
      <x:c r="J358" s="253"/>
      <x:c r="K358" s="253"/>
      <x:c r="L358" s="253"/>
      <x:c r="M358" s="253" t="str">
        <x:f>IF(AND(A358="",B358="",E358=""),"",IF(OR(A358="",B358="",C358="",D358="",E358="",J358="",AND(A358="client",COUNTIF('الزبائن'!$A$6:$A$505,B358)=0),AND(A358="proposed_name",COUNTIF('أسماء مقترحة'!$A$6:$A$505,B358)=0),AND(D358="mobile",J358&lt;&gt;"invalid",NOT(OR(AND(LEN(E358&amp;"")=10,LEFT(E358&amp;"",2)="09"),AND(LEN(E358&amp;"")=9,LEFT(E358&amp;"",1)="9")))),COUNTIFS($A$6:$A$505,A358,$B$6:$B$505,B358,$E$6:$E$505,E358)&gt;1),"REVIEW","READY"))</x:f>
      </x:c>
      <x:c r="N358" s="255" t="str">
        <x:f>IF(M358="","",IF(M358="READY","",TRIM(IF(A358="","missing entity_type; ","")&amp;IF(B358="","missing entity_key; ","")&amp;IF(C358="","missing contact_order; ","")&amp;IF(D358="","missing contact_type; ","")&amp;IF(E358="","missing number; ","")&amp;IF(J358="","missing status; ","")&amp;IF(AND(A358="client",COUNTIF('الزبائن'!$A$6:$A$505,B358)=0),"client key not found; ","")&amp;IF(AND(A358="proposed_name",COUNTIF('أسماء مقترحة'!$A$6:$A$505,B358)=0),"proposed_name key not found; ","")&amp;IF(AND(D358="mobile",J358&lt;&gt;"invalid",NOT(OR(AND(LEN(E358&amp;"")=10,LEFT(E358&amp;"",2)="09"),AND(LEN(E358&amp;"")=9,LEFT(E358&amp;"",1)="9")))),"mobile must be 09XXXXXXXX or status invalid; ","")&amp;IF(COUNTIFS($A$6:$A$505,A358,$B$6:$B$505,B358,$E$6:$E$505,E358)&gt;1,"duplicate number for same entity; ",""))))</x:f>
      </x:c>
    </x:row>
    <x:row r="359">
      <x:c r="A359" s="251"/>
      <x:c r="B359" s="252"/>
      <x:c r="C359" s="253"/>
      <x:c r="D359" s="253"/>
      <x:c r="E359" s="252"/>
      <x:c r="F359" s="252"/>
      <x:c r="G359" s="253"/>
      <x:c r="H359" s="253"/>
      <x:c r="I359" s="253"/>
      <x:c r="J359" s="253"/>
      <x:c r="K359" s="253"/>
      <x:c r="L359" s="253"/>
      <x:c r="M359" s="253" t="str">
        <x:f>IF(AND(A359="",B359="",E359=""),"",IF(OR(A359="",B359="",C359="",D359="",E359="",J359="",AND(A359="client",COUNTIF('الزبائن'!$A$6:$A$505,B359)=0),AND(A359="proposed_name",COUNTIF('أسماء مقترحة'!$A$6:$A$505,B359)=0),AND(D359="mobile",J359&lt;&gt;"invalid",NOT(OR(AND(LEN(E359&amp;"")=10,LEFT(E359&amp;"",2)="09"),AND(LEN(E359&amp;"")=9,LEFT(E359&amp;"",1)="9")))),COUNTIFS($A$6:$A$505,A359,$B$6:$B$505,B359,$E$6:$E$505,E359)&gt;1),"REVIEW","READY"))</x:f>
      </x:c>
      <x:c r="N359" s="255" t="str">
        <x:f>IF(M359="","",IF(M359="READY","",TRIM(IF(A359="","missing entity_type; ","")&amp;IF(B359="","missing entity_key; ","")&amp;IF(C359="","missing contact_order; ","")&amp;IF(D359="","missing contact_type; ","")&amp;IF(E359="","missing number; ","")&amp;IF(J359="","missing status; ","")&amp;IF(AND(A359="client",COUNTIF('الزبائن'!$A$6:$A$505,B359)=0),"client key not found; ","")&amp;IF(AND(A359="proposed_name",COUNTIF('أسماء مقترحة'!$A$6:$A$505,B359)=0),"proposed_name key not found; ","")&amp;IF(AND(D359="mobile",J359&lt;&gt;"invalid",NOT(OR(AND(LEN(E359&amp;"")=10,LEFT(E359&amp;"",2)="09"),AND(LEN(E359&amp;"")=9,LEFT(E359&amp;"",1)="9")))),"mobile must be 09XXXXXXXX or status invalid; ","")&amp;IF(COUNTIFS($A$6:$A$505,A359,$B$6:$B$505,B359,$E$6:$E$505,E359)&gt;1,"duplicate number for same entity; ",""))))</x:f>
      </x:c>
    </x:row>
    <x:row r="360">
      <x:c r="A360" s="251"/>
      <x:c r="B360" s="252"/>
      <x:c r="C360" s="253"/>
      <x:c r="D360" s="253"/>
      <x:c r="E360" s="252"/>
      <x:c r="F360" s="252"/>
      <x:c r="G360" s="253"/>
      <x:c r="H360" s="253"/>
      <x:c r="I360" s="253"/>
      <x:c r="J360" s="253"/>
      <x:c r="K360" s="253"/>
      <x:c r="L360" s="253"/>
      <x:c r="M360" s="253" t="str">
        <x:f>IF(AND(A360="",B360="",E360=""),"",IF(OR(A360="",B360="",C360="",D360="",E360="",J360="",AND(A360="client",COUNTIF('الزبائن'!$A$6:$A$505,B360)=0),AND(A360="proposed_name",COUNTIF('أسماء مقترحة'!$A$6:$A$505,B360)=0),AND(D360="mobile",J360&lt;&gt;"invalid",NOT(OR(AND(LEN(E360&amp;"")=10,LEFT(E360&amp;"",2)="09"),AND(LEN(E360&amp;"")=9,LEFT(E360&amp;"",1)="9")))),COUNTIFS($A$6:$A$505,A360,$B$6:$B$505,B360,$E$6:$E$505,E360)&gt;1),"REVIEW","READY"))</x:f>
      </x:c>
      <x:c r="N360" s="255" t="str">
        <x:f>IF(M360="","",IF(M360="READY","",TRIM(IF(A360="","missing entity_type; ","")&amp;IF(B360="","missing entity_key; ","")&amp;IF(C360="","missing contact_order; ","")&amp;IF(D360="","missing contact_type; ","")&amp;IF(E360="","missing number; ","")&amp;IF(J360="","missing status; ","")&amp;IF(AND(A360="client",COUNTIF('الزبائن'!$A$6:$A$505,B360)=0),"client key not found; ","")&amp;IF(AND(A360="proposed_name",COUNTIF('أسماء مقترحة'!$A$6:$A$505,B360)=0),"proposed_name key not found; ","")&amp;IF(AND(D360="mobile",J360&lt;&gt;"invalid",NOT(OR(AND(LEN(E360&amp;"")=10,LEFT(E360&amp;"",2)="09"),AND(LEN(E360&amp;"")=9,LEFT(E360&amp;"",1)="9")))),"mobile must be 09XXXXXXXX or status invalid; ","")&amp;IF(COUNTIFS($A$6:$A$505,A360,$B$6:$B$505,B360,$E$6:$E$505,E360)&gt;1,"duplicate number for same entity; ",""))))</x:f>
      </x:c>
    </x:row>
    <x:row r="361">
      <x:c r="A361" s="251"/>
      <x:c r="B361" s="252"/>
      <x:c r="C361" s="253"/>
      <x:c r="D361" s="253"/>
      <x:c r="E361" s="252"/>
      <x:c r="F361" s="252"/>
      <x:c r="G361" s="253"/>
      <x:c r="H361" s="253"/>
      <x:c r="I361" s="253"/>
      <x:c r="J361" s="253"/>
      <x:c r="K361" s="253"/>
      <x:c r="L361" s="253"/>
      <x:c r="M361" s="253" t="str">
        <x:f>IF(AND(A361="",B361="",E361=""),"",IF(OR(A361="",B361="",C361="",D361="",E361="",J361="",AND(A361="client",COUNTIF('الزبائن'!$A$6:$A$505,B361)=0),AND(A361="proposed_name",COUNTIF('أسماء مقترحة'!$A$6:$A$505,B361)=0),AND(D361="mobile",J361&lt;&gt;"invalid",NOT(OR(AND(LEN(E361&amp;"")=10,LEFT(E361&amp;"",2)="09"),AND(LEN(E361&amp;"")=9,LEFT(E361&amp;"",1)="9")))),COUNTIFS($A$6:$A$505,A361,$B$6:$B$505,B361,$E$6:$E$505,E361)&gt;1),"REVIEW","READY"))</x:f>
      </x:c>
      <x:c r="N361" s="255" t="str">
        <x:f>IF(M361="","",IF(M361="READY","",TRIM(IF(A361="","missing entity_type; ","")&amp;IF(B361="","missing entity_key; ","")&amp;IF(C361="","missing contact_order; ","")&amp;IF(D361="","missing contact_type; ","")&amp;IF(E361="","missing number; ","")&amp;IF(J361="","missing status; ","")&amp;IF(AND(A361="client",COUNTIF('الزبائن'!$A$6:$A$505,B361)=0),"client key not found; ","")&amp;IF(AND(A361="proposed_name",COUNTIF('أسماء مقترحة'!$A$6:$A$505,B361)=0),"proposed_name key not found; ","")&amp;IF(AND(D361="mobile",J361&lt;&gt;"invalid",NOT(OR(AND(LEN(E361&amp;"")=10,LEFT(E361&amp;"",2)="09"),AND(LEN(E361&amp;"")=9,LEFT(E361&amp;"",1)="9")))),"mobile must be 09XXXXXXXX or status invalid; ","")&amp;IF(COUNTIFS($A$6:$A$505,A361,$B$6:$B$505,B361,$E$6:$E$505,E361)&gt;1,"duplicate number for same entity; ",""))))</x:f>
      </x:c>
    </x:row>
    <x:row r="362">
      <x:c r="A362" s="251"/>
      <x:c r="B362" s="252"/>
      <x:c r="C362" s="253"/>
      <x:c r="D362" s="253"/>
      <x:c r="E362" s="252"/>
      <x:c r="F362" s="252"/>
      <x:c r="G362" s="253"/>
      <x:c r="H362" s="253"/>
      <x:c r="I362" s="253"/>
      <x:c r="J362" s="253"/>
      <x:c r="K362" s="253"/>
      <x:c r="L362" s="253"/>
      <x:c r="M362" s="253" t="str">
        <x:f>IF(AND(A362="",B362="",E362=""),"",IF(OR(A362="",B362="",C362="",D362="",E362="",J362="",AND(A362="client",COUNTIF('الزبائن'!$A$6:$A$505,B362)=0),AND(A362="proposed_name",COUNTIF('أسماء مقترحة'!$A$6:$A$505,B362)=0),AND(D362="mobile",J362&lt;&gt;"invalid",NOT(OR(AND(LEN(E362&amp;"")=10,LEFT(E362&amp;"",2)="09"),AND(LEN(E362&amp;"")=9,LEFT(E362&amp;"",1)="9")))),COUNTIFS($A$6:$A$505,A362,$B$6:$B$505,B362,$E$6:$E$505,E362)&gt;1),"REVIEW","READY"))</x:f>
      </x:c>
      <x:c r="N362" s="255" t="str">
        <x:f>IF(M362="","",IF(M362="READY","",TRIM(IF(A362="","missing entity_type; ","")&amp;IF(B362="","missing entity_key; ","")&amp;IF(C362="","missing contact_order; ","")&amp;IF(D362="","missing contact_type; ","")&amp;IF(E362="","missing number; ","")&amp;IF(J362="","missing status; ","")&amp;IF(AND(A362="client",COUNTIF('الزبائن'!$A$6:$A$505,B362)=0),"client key not found; ","")&amp;IF(AND(A362="proposed_name",COUNTIF('أسماء مقترحة'!$A$6:$A$505,B362)=0),"proposed_name key not found; ","")&amp;IF(AND(D362="mobile",J362&lt;&gt;"invalid",NOT(OR(AND(LEN(E362&amp;"")=10,LEFT(E362&amp;"",2)="09"),AND(LEN(E362&amp;"")=9,LEFT(E362&amp;"",1)="9")))),"mobile must be 09XXXXXXXX or status invalid; ","")&amp;IF(COUNTIFS($A$6:$A$505,A362,$B$6:$B$505,B362,$E$6:$E$505,E362)&gt;1,"duplicate number for same entity; ",""))))</x:f>
      </x:c>
    </x:row>
    <x:row r="363">
      <x:c r="A363" s="251"/>
      <x:c r="B363" s="252"/>
      <x:c r="C363" s="253"/>
      <x:c r="D363" s="253"/>
      <x:c r="E363" s="252"/>
      <x:c r="F363" s="252"/>
      <x:c r="G363" s="253"/>
      <x:c r="H363" s="253"/>
      <x:c r="I363" s="253"/>
      <x:c r="J363" s="253"/>
      <x:c r="K363" s="253"/>
      <x:c r="L363" s="253"/>
      <x:c r="M363" s="253" t="str">
        <x:f>IF(AND(A363="",B363="",E363=""),"",IF(OR(A363="",B363="",C363="",D363="",E363="",J363="",AND(A363="client",COUNTIF('الزبائن'!$A$6:$A$505,B363)=0),AND(A363="proposed_name",COUNTIF('أسماء مقترحة'!$A$6:$A$505,B363)=0),AND(D363="mobile",J363&lt;&gt;"invalid",NOT(OR(AND(LEN(E363&amp;"")=10,LEFT(E363&amp;"",2)="09"),AND(LEN(E363&amp;"")=9,LEFT(E363&amp;"",1)="9")))),COUNTIFS($A$6:$A$505,A363,$B$6:$B$505,B363,$E$6:$E$505,E363)&gt;1),"REVIEW","READY"))</x:f>
      </x:c>
      <x:c r="N363" s="255" t="str">
        <x:f>IF(M363="","",IF(M363="READY","",TRIM(IF(A363="","missing entity_type; ","")&amp;IF(B363="","missing entity_key; ","")&amp;IF(C363="","missing contact_order; ","")&amp;IF(D363="","missing contact_type; ","")&amp;IF(E363="","missing number; ","")&amp;IF(J363="","missing status; ","")&amp;IF(AND(A363="client",COUNTIF('الزبائن'!$A$6:$A$505,B363)=0),"client key not found; ","")&amp;IF(AND(A363="proposed_name",COUNTIF('أسماء مقترحة'!$A$6:$A$505,B363)=0),"proposed_name key not found; ","")&amp;IF(AND(D363="mobile",J363&lt;&gt;"invalid",NOT(OR(AND(LEN(E363&amp;"")=10,LEFT(E363&amp;"",2)="09"),AND(LEN(E363&amp;"")=9,LEFT(E363&amp;"",1)="9")))),"mobile must be 09XXXXXXXX or status invalid; ","")&amp;IF(COUNTIFS($A$6:$A$505,A363,$B$6:$B$505,B363,$E$6:$E$505,E363)&gt;1,"duplicate number for same entity; ",""))))</x:f>
      </x:c>
    </x:row>
    <x:row r="364">
      <x:c r="A364" s="251"/>
      <x:c r="B364" s="252"/>
      <x:c r="C364" s="253"/>
      <x:c r="D364" s="253"/>
      <x:c r="E364" s="252"/>
      <x:c r="F364" s="252"/>
      <x:c r="G364" s="253"/>
      <x:c r="H364" s="253"/>
      <x:c r="I364" s="253"/>
      <x:c r="J364" s="253"/>
      <x:c r="K364" s="253"/>
      <x:c r="L364" s="253"/>
      <x:c r="M364" s="253" t="str">
        <x:f>IF(AND(A364="",B364="",E364=""),"",IF(OR(A364="",B364="",C364="",D364="",E364="",J364="",AND(A364="client",COUNTIF('الزبائن'!$A$6:$A$505,B364)=0),AND(A364="proposed_name",COUNTIF('أسماء مقترحة'!$A$6:$A$505,B364)=0),AND(D364="mobile",J364&lt;&gt;"invalid",NOT(OR(AND(LEN(E364&amp;"")=10,LEFT(E364&amp;"",2)="09"),AND(LEN(E364&amp;"")=9,LEFT(E364&amp;"",1)="9")))),COUNTIFS($A$6:$A$505,A364,$B$6:$B$505,B364,$E$6:$E$505,E364)&gt;1),"REVIEW","READY"))</x:f>
      </x:c>
      <x:c r="N364" s="255" t="str">
        <x:f>IF(M364="","",IF(M364="READY","",TRIM(IF(A364="","missing entity_type; ","")&amp;IF(B364="","missing entity_key; ","")&amp;IF(C364="","missing contact_order; ","")&amp;IF(D364="","missing contact_type; ","")&amp;IF(E364="","missing number; ","")&amp;IF(J364="","missing status; ","")&amp;IF(AND(A364="client",COUNTIF('الزبائن'!$A$6:$A$505,B364)=0),"client key not found; ","")&amp;IF(AND(A364="proposed_name",COUNTIF('أسماء مقترحة'!$A$6:$A$505,B364)=0),"proposed_name key not found; ","")&amp;IF(AND(D364="mobile",J364&lt;&gt;"invalid",NOT(OR(AND(LEN(E364&amp;"")=10,LEFT(E364&amp;"",2)="09"),AND(LEN(E364&amp;"")=9,LEFT(E364&amp;"",1)="9")))),"mobile must be 09XXXXXXXX or status invalid; ","")&amp;IF(COUNTIFS($A$6:$A$505,A364,$B$6:$B$505,B364,$E$6:$E$505,E364)&gt;1,"duplicate number for same entity; ",""))))</x:f>
      </x:c>
    </x:row>
    <x:row r="365">
      <x:c r="A365" s="251"/>
      <x:c r="B365" s="252"/>
      <x:c r="C365" s="253"/>
      <x:c r="D365" s="253"/>
      <x:c r="E365" s="252"/>
      <x:c r="F365" s="252"/>
      <x:c r="G365" s="253"/>
      <x:c r="H365" s="253"/>
      <x:c r="I365" s="253"/>
      <x:c r="J365" s="253"/>
      <x:c r="K365" s="253"/>
      <x:c r="L365" s="253"/>
      <x:c r="M365" s="253" t="str">
        <x:f>IF(AND(A365="",B365="",E365=""),"",IF(OR(A365="",B365="",C365="",D365="",E365="",J365="",AND(A365="client",COUNTIF('الزبائن'!$A$6:$A$505,B365)=0),AND(A365="proposed_name",COUNTIF('أسماء مقترحة'!$A$6:$A$505,B365)=0),AND(D365="mobile",J365&lt;&gt;"invalid",NOT(OR(AND(LEN(E365&amp;"")=10,LEFT(E365&amp;"",2)="09"),AND(LEN(E365&amp;"")=9,LEFT(E365&amp;"",1)="9")))),COUNTIFS($A$6:$A$505,A365,$B$6:$B$505,B365,$E$6:$E$505,E365)&gt;1),"REVIEW","READY"))</x:f>
      </x:c>
      <x:c r="N365" s="255" t="str">
        <x:f>IF(M365="","",IF(M365="READY","",TRIM(IF(A365="","missing entity_type; ","")&amp;IF(B365="","missing entity_key; ","")&amp;IF(C365="","missing contact_order; ","")&amp;IF(D365="","missing contact_type; ","")&amp;IF(E365="","missing number; ","")&amp;IF(J365="","missing status; ","")&amp;IF(AND(A365="client",COUNTIF('الزبائن'!$A$6:$A$505,B365)=0),"client key not found; ","")&amp;IF(AND(A365="proposed_name",COUNTIF('أسماء مقترحة'!$A$6:$A$505,B365)=0),"proposed_name key not found; ","")&amp;IF(AND(D365="mobile",J365&lt;&gt;"invalid",NOT(OR(AND(LEN(E365&amp;"")=10,LEFT(E365&amp;"",2)="09"),AND(LEN(E365&amp;"")=9,LEFT(E365&amp;"",1)="9")))),"mobile must be 09XXXXXXXX or status invalid; ","")&amp;IF(COUNTIFS($A$6:$A$505,A365,$B$6:$B$505,B365,$E$6:$E$505,E365)&gt;1,"duplicate number for same entity; ",""))))</x:f>
      </x:c>
    </x:row>
    <x:row r="366">
      <x:c r="A366" s="251"/>
      <x:c r="B366" s="252"/>
      <x:c r="C366" s="253"/>
      <x:c r="D366" s="253"/>
      <x:c r="E366" s="252"/>
      <x:c r="F366" s="252"/>
      <x:c r="G366" s="253"/>
      <x:c r="H366" s="253"/>
      <x:c r="I366" s="253"/>
      <x:c r="J366" s="253"/>
      <x:c r="K366" s="253"/>
      <x:c r="L366" s="253"/>
      <x:c r="M366" s="253" t="str">
        <x:f>IF(AND(A366="",B366="",E366=""),"",IF(OR(A366="",B366="",C366="",D366="",E366="",J366="",AND(A366="client",COUNTIF('الزبائن'!$A$6:$A$505,B366)=0),AND(A366="proposed_name",COUNTIF('أسماء مقترحة'!$A$6:$A$505,B366)=0),AND(D366="mobile",J366&lt;&gt;"invalid",NOT(OR(AND(LEN(E366&amp;"")=10,LEFT(E366&amp;"",2)="09"),AND(LEN(E366&amp;"")=9,LEFT(E366&amp;"",1)="9")))),COUNTIFS($A$6:$A$505,A366,$B$6:$B$505,B366,$E$6:$E$505,E366)&gt;1),"REVIEW","READY"))</x:f>
      </x:c>
      <x:c r="N366" s="255" t="str">
        <x:f>IF(M366="","",IF(M366="READY","",TRIM(IF(A366="","missing entity_type; ","")&amp;IF(B366="","missing entity_key; ","")&amp;IF(C366="","missing contact_order; ","")&amp;IF(D366="","missing contact_type; ","")&amp;IF(E366="","missing number; ","")&amp;IF(J366="","missing status; ","")&amp;IF(AND(A366="client",COUNTIF('الزبائن'!$A$6:$A$505,B366)=0),"client key not found; ","")&amp;IF(AND(A366="proposed_name",COUNTIF('أسماء مقترحة'!$A$6:$A$505,B366)=0),"proposed_name key not found; ","")&amp;IF(AND(D366="mobile",J366&lt;&gt;"invalid",NOT(OR(AND(LEN(E366&amp;"")=10,LEFT(E366&amp;"",2)="09"),AND(LEN(E366&amp;"")=9,LEFT(E366&amp;"",1)="9")))),"mobile must be 09XXXXXXXX or status invalid; ","")&amp;IF(COUNTIFS($A$6:$A$505,A366,$B$6:$B$505,B366,$E$6:$E$505,E366)&gt;1,"duplicate number for same entity; ",""))))</x:f>
      </x:c>
    </x:row>
    <x:row r="367">
      <x:c r="A367" s="251"/>
      <x:c r="B367" s="252"/>
      <x:c r="C367" s="253"/>
      <x:c r="D367" s="253"/>
      <x:c r="E367" s="252"/>
      <x:c r="F367" s="252"/>
      <x:c r="G367" s="253"/>
      <x:c r="H367" s="253"/>
      <x:c r="I367" s="253"/>
      <x:c r="J367" s="253"/>
      <x:c r="K367" s="253"/>
      <x:c r="L367" s="253"/>
      <x:c r="M367" s="253" t="str">
        <x:f>IF(AND(A367="",B367="",E367=""),"",IF(OR(A367="",B367="",C367="",D367="",E367="",J367="",AND(A367="client",COUNTIF('الزبائن'!$A$6:$A$505,B367)=0),AND(A367="proposed_name",COUNTIF('أسماء مقترحة'!$A$6:$A$505,B367)=0),AND(D367="mobile",J367&lt;&gt;"invalid",NOT(OR(AND(LEN(E367&amp;"")=10,LEFT(E367&amp;"",2)="09"),AND(LEN(E367&amp;"")=9,LEFT(E367&amp;"",1)="9")))),COUNTIFS($A$6:$A$505,A367,$B$6:$B$505,B367,$E$6:$E$505,E367)&gt;1),"REVIEW","READY"))</x:f>
      </x:c>
      <x:c r="N367" s="255" t="str">
        <x:f>IF(M367="","",IF(M367="READY","",TRIM(IF(A367="","missing entity_type; ","")&amp;IF(B367="","missing entity_key; ","")&amp;IF(C367="","missing contact_order; ","")&amp;IF(D367="","missing contact_type; ","")&amp;IF(E367="","missing number; ","")&amp;IF(J367="","missing status; ","")&amp;IF(AND(A367="client",COUNTIF('الزبائن'!$A$6:$A$505,B367)=0),"client key not found; ","")&amp;IF(AND(A367="proposed_name",COUNTIF('أسماء مقترحة'!$A$6:$A$505,B367)=0),"proposed_name key not found; ","")&amp;IF(AND(D367="mobile",J367&lt;&gt;"invalid",NOT(OR(AND(LEN(E367&amp;"")=10,LEFT(E367&amp;"",2)="09"),AND(LEN(E367&amp;"")=9,LEFT(E367&amp;"",1)="9")))),"mobile must be 09XXXXXXXX or status invalid; ","")&amp;IF(COUNTIFS($A$6:$A$505,A367,$B$6:$B$505,B367,$E$6:$E$505,E367)&gt;1,"duplicate number for same entity; ",""))))</x:f>
      </x:c>
    </x:row>
    <x:row r="368">
      <x:c r="A368" s="251"/>
      <x:c r="B368" s="252"/>
      <x:c r="C368" s="253"/>
      <x:c r="D368" s="253"/>
      <x:c r="E368" s="252"/>
      <x:c r="F368" s="252"/>
      <x:c r="G368" s="253"/>
      <x:c r="H368" s="253"/>
      <x:c r="I368" s="253"/>
      <x:c r="J368" s="253"/>
      <x:c r="K368" s="253"/>
      <x:c r="L368" s="253"/>
      <x:c r="M368" s="253" t="str">
        <x:f>IF(AND(A368="",B368="",E368=""),"",IF(OR(A368="",B368="",C368="",D368="",E368="",J368="",AND(A368="client",COUNTIF('الزبائن'!$A$6:$A$505,B368)=0),AND(A368="proposed_name",COUNTIF('أسماء مقترحة'!$A$6:$A$505,B368)=0),AND(D368="mobile",J368&lt;&gt;"invalid",NOT(OR(AND(LEN(E368&amp;"")=10,LEFT(E368&amp;"",2)="09"),AND(LEN(E368&amp;"")=9,LEFT(E368&amp;"",1)="9")))),COUNTIFS($A$6:$A$505,A368,$B$6:$B$505,B368,$E$6:$E$505,E368)&gt;1),"REVIEW","READY"))</x:f>
      </x:c>
      <x:c r="N368" s="255" t="str">
        <x:f>IF(M368="","",IF(M368="READY","",TRIM(IF(A368="","missing entity_type; ","")&amp;IF(B368="","missing entity_key; ","")&amp;IF(C368="","missing contact_order; ","")&amp;IF(D368="","missing contact_type; ","")&amp;IF(E368="","missing number; ","")&amp;IF(J368="","missing status; ","")&amp;IF(AND(A368="client",COUNTIF('الزبائن'!$A$6:$A$505,B368)=0),"client key not found; ","")&amp;IF(AND(A368="proposed_name",COUNTIF('أسماء مقترحة'!$A$6:$A$505,B368)=0),"proposed_name key not found; ","")&amp;IF(AND(D368="mobile",J368&lt;&gt;"invalid",NOT(OR(AND(LEN(E368&amp;"")=10,LEFT(E368&amp;"",2)="09"),AND(LEN(E368&amp;"")=9,LEFT(E368&amp;"",1)="9")))),"mobile must be 09XXXXXXXX or status invalid; ","")&amp;IF(COUNTIFS($A$6:$A$505,A368,$B$6:$B$505,B368,$E$6:$E$505,E368)&gt;1,"duplicate number for same entity; ",""))))</x:f>
      </x:c>
    </x:row>
    <x:row r="369">
      <x:c r="A369" s="251"/>
      <x:c r="B369" s="252"/>
      <x:c r="C369" s="253"/>
      <x:c r="D369" s="253"/>
      <x:c r="E369" s="252"/>
      <x:c r="F369" s="252"/>
      <x:c r="G369" s="253"/>
      <x:c r="H369" s="253"/>
      <x:c r="I369" s="253"/>
      <x:c r="J369" s="253"/>
      <x:c r="K369" s="253"/>
      <x:c r="L369" s="253"/>
      <x:c r="M369" s="253" t="str">
        <x:f>IF(AND(A369="",B369="",E369=""),"",IF(OR(A369="",B369="",C369="",D369="",E369="",J369="",AND(A369="client",COUNTIF('الزبائن'!$A$6:$A$505,B369)=0),AND(A369="proposed_name",COUNTIF('أسماء مقترحة'!$A$6:$A$505,B369)=0),AND(D369="mobile",J369&lt;&gt;"invalid",NOT(OR(AND(LEN(E369&amp;"")=10,LEFT(E369&amp;"",2)="09"),AND(LEN(E369&amp;"")=9,LEFT(E369&amp;"",1)="9")))),COUNTIFS($A$6:$A$505,A369,$B$6:$B$505,B369,$E$6:$E$505,E369)&gt;1),"REVIEW","READY"))</x:f>
      </x:c>
      <x:c r="N369" s="255" t="str">
        <x:f>IF(M369="","",IF(M369="READY","",TRIM(IF(A369="","missing entity_type; ","")&amp;IF(B369="","missing entity_key; ","")&amp;IF(C369="","missing contact_order; ","")&amp;IF(D369="","missing contact_type; ","")&amp;IF(E369="","missing number; ","")&amp;IF(J369="","missing status; ","")&amp;IF(AND(A369="client",COUNTIF('الزبائن'!$A$6:$A$505,B369)=0),"client key not found; ","")&amp;IF(AND(A369="proposed_name",COUNTIF('أسماء مقترحة'!$A$6:$A$505,B369)=0),"proposed_name key not found; ","")&amp;IF(AND(D369="mobile",J369&lt;&gt;"invalid",NOT(OR(AND(LEN(E369&amp;"")=10,LEFT(E369&amp;"",2)="09"),AND(LEN(E369&amp;"")=9,LEFT(E369&amp;"",1)="9")))),"mobile must be 09XXXXXXXX or status invalid; ","")&amp;IF(COUNTIFS($A$6:$A$505,A369,$B$6:$B$505,B369,$E$6:$E$505,E369)&gt;1,"duplicate number for same entity; ",""))))</x:f>
      </x:c>
    </x:row>
    <x:row r="370">
      <x:c r="A370" s="251"/>
      <x:c r="B370" s="252"/>
      <x:c r="C370" s="253"/>
      <x:c r="D370" s="253"/>
      <x:c r="E370" s="252"/>
      <x:c r="F370" s="252"/>
      <x:c r="G370" s="253"/>
      <x:c r="H370" s="253"/>
      <x:c r="I370" s="253"/>
      <x:c r="J370" s="253"/>
      <x:c r="K370" s="253"/>
      <x:c r="L370" s="253"/>
      <x:c r="M370" s="253" t="str">
        <x:f>IF(AND(A370="",B370="",E370=""),"",IF(OR(A370="",B370="",C370="",D370="",E370="",J370="",AND(A370="client",COUNTIF('الزبائن'!$A$6:$A$505,B370)=0),AND(A370="proposed_name",COUNTIF('أسماء مقترحة'!$A$6:$A$505,B370)=0),AND(D370="mobile",J370&lt;&gt;"invalid",NOT(OR(AND(LEN(E370&amp;"")=10,LEFT(E370&amp;"",2)="09"),AND(LEN(E370&amp;"")=9,LEFT(E370&amp;"",1)="9")))),COUNTIFS($A$6:$A$505,A370,$B$6:$B$505,B370,$E$6:$E$505,E370)&gt;1),"REVIEW","READY"))</x:f>
      </x:c>
      <x:c r="N370" s="255" t="str">
        <x:f>IF(M370="","",IF(M370="READY","",TRIM(IF(A370="","missing entity_type; ","")&amp;IF(B370="","missing entity_key; ","")&amp;IF(C370="","missing contact_order; ","")&amp;IF(D370="","missing contact_type; ","")&amp;IF(E370="","missing number; ","")&amp;IF(J370="","missing status; ","")&amp;IF(AND(A370="client",COUNTIF('الزبائن'!$A$6:$A$505,B370)=0),"client key not found; ","")&amp;IF(AND(A370="proposed_name",COUNTIF('أسماء مقترحة'!$A$6:$A$505,B370)=0),"proposed_name key not found; ","")&amp;IF(AND(D370="mobile",J370&lt;&gt;"invalid",NOT(OR(AND(LEN(E370&amp;"")=10,LEFT(E370&amp;"",2)="09"),AND(LEN(E370&amp;"")=9,LEFT(E370&amp;"",1)="9")))),"mobile must be 09XXXXXXXX or status invalid; ","")&amp;IF(COUNTIFS($A$6:$A$505,A370,$B$6:$B$505,B370,$E$6:$E$505,E370)&gt;1,"duplicate number for same entity; ",""))))</x:f>
      </x:c>
    </x:row>
    <x:row r="371">
      <x:c r="A371" s="251"/>
      <x:c r="B371" s="252"/>
      <x:c r="C371" s="253"/>
      <x:c r="D371" s="253"/>
      <x:c r="E371" s="252"/>
      <x:c r="F371" s="252"/>
      <x:c r="G371" s="253"/>
      <x:c r="H371" s="253"/>
      <x:c r="I371" s="253"/>
      <x:c r="J371" s="253"/>
      <x:c r="K371" s="253"/>
      <x:c r="L371" s="253"/>
      <x:c r="M371" s="253" t="str">
        <x:f>IF(AND(A371="",B371="",E371=""),"",IF(OR(A371="",B371="",C371="",D371="",E371="",J371="",AND(A371="client",COUNTIF('الزبائن'!$A$6:$A$505,B371)=0),AND(A371="proposed_name",COUNTIF('أسماء مقترحة'!$A$6:$A$505,B371)=0),AND(D371="mobile",J371&lt;&gt;"invalid",NOT(OR(AND(LEN(E371&amp;"")=10,LEFT(E371&amp;"",2)="09"),AND(LEN(E371&amp;"")=9,LEFT(E371&amp;"",1)="9")))),COUNTIFS($A$6:$A$505,A371,$B$6:$B$505,B371,$E$6:$E$505,E371)&gt;1),"REVIEW","READY"))</x:f>
      </x:c>
      <x:c r="N371" s="255" t="str">
        <x:f>IF(M371="","",IF(M371="READY","",TRIM(IF(A371="","missing entity_type; ","")&amp;IF(B371="","missing entity_key; ","")&amp;IF(C371="","missing contact_order; ","")&amp;IF(D371="","missing contact_type; ","")&amp;IF(E371="","missing number; ","")&amp;IF(J371="","missing status; ","")&amp;IF(AND(A371="client",COUNTIF('الزبائن'!$A$6:$A$505,B371)=0),"client key not found; ","")&amp;IF(AND(A371="proposed_name",COUNTIF('أسماء مقترحة'!$A$6:$A$505,B371)=0),"proposed_name key not found; ","")&amp;IF(AND(D371="mobile",J371&lt;&gt;"invalid",NOT(OR(AND(LEN(E371&amp;"")=10,LEFT(E371&amp;"",2)="09"),AND(LEN(E371&amp;"")=9,LEFT(E371&amp;"",1)="9")))),"mobile must be 09XXXXXXXX or status invalid; ","")&amp;IF(COUNTIFS($A$6:$A$505,A371,$B$6:$B$505,B371,$E$6:$E$505,E371)&gt;1,"duplicate number for same entity; ",""))))</x:f>
      </x:c>
    </x:row>
    <x:row r="372">
      <x:c r="A372" s="251"/>
      <x:c r="B372" s="252"/>
      <x:c r="C372" s="253"/>
      <x:c r="D372" s="253"/>
      <x:c r="E372" s="252"/>
      <x:c r="F372" s="252"/>
      <x:c r="G372" s="253"/>
      <x:c r="H372" s="253"/>
      <x:c r="I372" s="253"/>
      <x:c r="J372" s="253"/>
      <x:c r="K372" s="253"/>
      <x:c r="L372" s="253"/>
      <x:c r="M372" s="253" t="str">
        <x:f>IF(AND(A372="",B372="",E372=""),"",IF(OR(A372="",B372="",C372="",D372="",E372="",J372="",AND(A372="client",COUNTIF('الزبائن'!$A$6:$A$505,B372)=0),AND(A372="proposed_name",COUNTIF('أسماء مقترحة'!$A$6:$A$505,B372)=0),AND(D372="mobile",J372&lt;&gt;"invalid",NOT(OR(AND(LEN(E372&amp;"")=10,LEFT(E372&amp;"",2)="09"),AND(LEN(E372&amp;"")=9,LEFT(E372&amp;"",1)="9")))),COUNTIFS($A$6:$A$505,A372,$B$6:$B$505,B372,$E$6:$E$505,E372)&gt;1),"REVIEW","READY"))</x:f>
      </x:c>
      <x:c r="N372" s="255" t="str">
        <x:f>IF(M372="","",IF(M372="READY","",TRIM(IF(A372="","missing entity_type; ","")&amp;IF(B372="","missing entity_key; ","")&amp;IF(C372="","missing contact_order; ","")&amp;IF(D372="","missing contact_type; ","")&amp;IF(E372="","missing number; ","")&amp;IF(J372="","missing status; ","")&amp;IF(AND(A372="client",COUNTIF('الزبائن'!$A$6:$A$505,B372)=0),"client key not found; ","")&amp;IF(AND(A372="proposed_name",COUNTIF('أسماء مقترحة'!$A$6:$A$505,B372)=0),"proposed_name key not found; ","")&amp;IF(AND(D372="mobile",J372&lt;&gt;"invalid",NOT(OR(AND(LEN(E372&amp;"")=10,LEFT(E372&amp;"",2)="09"),AND(LEN(E372&amp;"")=9,LEFT(E372&amp;"",1)="9")))),"mobile must be 09XXXXXXXX or status invalid; ","")&amp;IF(COUNTIFS($A$6:$A$505,A372,$B$6:$B$505,B372,$E$6:$E$505,E372)&gt;1,"duplicate number for same entity; ",""))))</x:f>
      </x:c>
    </x:row>
    <x:row r="373">
      <x:c r="A373" s="251"/>
      <x:c r="B373" s="252"/>
      <x:c r="C373" s="253"/>
      <x:c r="D373" s="253"/>
      <x:c r="E373" s="252"/>
      <x:c r="F373" s="252"/>
      <x:c r="G373" s="253"/>
      <x:c r="H373" s="253"/>
      <x:c r="I373" s="253"/>
      <x:c r="J373" s="253"/>
      <x:c r="K373" s="253"/>
      <x:c r="L373" s="253"/>
      <x:c r="M373" s="253" t="str">
        <x:f>IF(AND(A373="",B373="",E373=""),"",IF(OR(A373="",B373="",C373="",D373="",E373="",J373="",AND(A373="client",COUNTIF('الزبائن'!$A$6:$A$505,B373)=0),AND(A373="proposed_name",COUNTIF('أسماء مقترحة'!$A$6:$A$505,B373)=0),AND(D373="mobile",J373&lt;&gt;"invalid",NOT(OR(AND(LEN(E373&amp;"")=10,LEFT(E373&amp;"",2)="09"),AND(LEN(E373&amp;"")=9,LEFT(E373&amp;"",1)="9")))),COUNTIFS($A$6:$A$505,A373,$B$6:$B$505,B373,$E$6:$E$505,E373)&gt;1),"REVIEW","READY"))</x:f>
      </x:c>
      <x:c r="N373" s="255" t="str">
        <x:f>IF(M373="","",IF(M373="READY","",TRIM(IF(A373="","missing entity_type; ","")&amp;IF(B373="","missing entity_key; ","")&amp;IF(C373="","missing contact_order; ","")&amp;IF(D373="","missing contact_type; ","")&amp;IF(E373="","missing number; ","")&amp;IF(J373="","missing status; ","")&amp;IF(AND(A373="client",COUNTIF('الزبائن'!$A$6:$A$505,B373)=0),"client key not found; ","")&amp;IF(AND(A373="proposed_name",COUNTIF('أسماء مقترحة'!$A$6:$A$505,B373)=0),"proposed_name key not found; ","")&amp;IF(AND(D373="mobile",J373&lt;&gt;"invalid",NOT(OR(AND(LEN(E373&amp;"")=10,LEFT(E373&amp;"",2)="09"),AND(LEN(E373&amp;"")=9,LEFT(E373&amp;"",1)="9")))),"mobile must be 09XXXXXXXX or status invalid; ","")&amp;IF(COUNTIFS($A$6:$A$505,A373,$B$6:$B$505,B373,$E$6:$E$505,E373)&gt;1,"duplicate number for same entity; ",""))))</x:f>
      </x:c>
    </x:row>
    <x:row r="374">
      <x:c r="A374" s="251"/>
      <x:c r="B374" s="252"/>
      <x:c r="C374" s="253"/>
      <x:c r="D374" s="253"/>
      <x:c r="E374" s="252"/>
      <x:c r="F374" s="252"/>
      <x:c r="G374" s="253"/>
      <x:c r="H374" s="253"/>
      <x:c r="I374" s="253"/>
      <x:c r="J374" s="253"/>
      <x:c r="K374" s="253"/>
      <x:c r="L374" s="253"/>
      <x:c r="M374" s="253" t="str">
        <x:f>IF(AND(A374="",B374="",E374=""),"",IF(OR(A374="",B374="",C374="",D374="",E374="",J374="",AND(A374="client",COUNTIF('الزبائن'!$A$6:$A$505,B374)=0),AND(A374="proposed_name",COUNTIF('أسماء مقترحة'!$A$6:$A$505,B374)=0),AND(D374="mobile",J374&lt;&gt;"invalid",NOT(OR(AND(LEN(E374&amp;"")=10,LEFT(E374&amp;"",2)="09"),AND(LEN(E374&amp;"")=9,LEFT(E374&amp;"",1)="9")))),COUNTIFS($A$6:$A$505,A374,$B$6:$B$505,B374,$E$6:$E$505,E374)&gt;1),"REVIEW","READY"))</x:f>
      </x:c>
      <x:c r="N374" s="255" t="str">
        <x:f>IF(M374="","",IF(M374="READY","",TRIM(IF(A374="","missing entity_type; ","")&amp;IF(B374="","missing entity_key; ","")&amp;IF(C374="","missing contact_order; ","")&amp;IF(D374="","missing contact_type; ","")&amp;IF(E374="","missing number; ","")&amp;IF(J374="","missing status; ","")&amp;IF(AND(A374="client",COUNTIF('الزبائن'!$A$6:$A$505,B374)=0),"client key not found; ","")&amp;IF(AND(A374="proposed_name",COUNTIF('أسماء مقترحة'!$A$6:$A$505,B374)=0),"proposed_name key not found; ","")&amp;IF(AND(D374="mobile",J374&lt;&gt;"invalid",NOT(OR(AND(LEN(E374&amp;"")=10,LEFT(E374&amp;"",2)="09"),AND(LEN(E374&amp;"")=9,LEFT(E374&amp;"",1)="9")))),"mobile must be 09XXXXXXXX or status invalid; ","")&amp;IF(COUNTIFS($A$6:$A$505,A374,$B$6:$B$505,B374,$E$6:$E$505,E374)&gt;1,"duplicate number for same entity; ",""))))</x:f>
      </x:c>
    </x:row>
    <x:row r="375">
      <x:c r="A375" s="251"/>
      <x:c r="B375" s="252"/>
      <x:c r="C375" s="253"/>
      <x:c r="D375" s="253"/>
      <x:c r="E375" s="252"/>
      <x:c r="F375" s="252"/>
      <x:c r="G375" s="253"/>
      <x:c r="H375" s="253"/>
      <x:c r="I375" s="253"/>
      <x:c r="J375" s="253"/>
      <x:c r="K375" s="253"/>
      <x:c r="L375" s="253"/>
      <x:c r="M375" s="253" t="str">
        <x:f>IF(AND(A375="",B375="",E375=""),"",IF(OR(A375="",B375="",C375="",D375="",E375="",J375="",AND(A375="client",COUNTIF('الزبائن'!$A$6:$A$505,B375)=0),AND(A375="proposed_name",COUNTIF('أسماء مقترحة'!$A$6:$A$505,B375)=0),AND(D375="mobile",J375&lt;&gt;"invalid",NOT(OR(AND(LEN(E375&amp;"")=10,LEFT(E375&amp;"",2)="09"),AND(LEN(E375&amp;"")=9,LEFT(E375&amp;"",1)="9")))),COUNTIFS($A$6:$A$505,A375,$B$6:$B$505,B375,$E$6:$E$505,E375)&gt;1),"REVIEW","READY"))</x:f>
      </x:c>
      <x:c r="N375" s="255" t="str">
        <x:f>IF(M375="","",IF(M375="READY","",TRIM(IF(A375="","missing entity_type; ","")&amp;IF(B375="","missing entity_key; ","")&amp;IF(C375="","missing contact_order; ","")&amp;IF(D375="","missing contact_type; ","")&amp;IF(E375="","missing number; ","")&amp;IF(J375="","missing status; ","")&amp;IF(AND(A375="client",COUNTIF('الزبائن'!$A$6:$A$505,B375)=0),"client key not found; ","")&amp;IF(AND(A375="proposed_name",COUNTIF('أسماء مقترحة'!$A$6:$A$505,B375)=0),"proposed_name key not found; ","")&amp;IF(AND(D375="mobile",J375&lt;&gt;"invalid",NOT(OR(AND(LEN(E375&amp;"")=10,LEFT(E375&amp;"",2)="09"),AND(LEN(E375&amp;"")=9,LEFT(E375&amp;"",1)="9")))),"mobile must be 09XXXXXXXX or status invalid; ","")&amp;IF(COUNTIFS($A$6:$A$505,A375,$B$6:$B$505,B375,$E$6:$E$505,E375)&gt;1,"duplicate number for same entity; ",""))))</x:f>
      </x:c>
    </x:row>
    <x:row r="376">
      <x:c r="A376" s="251"/>
      <x:c r="B376" s="252"/>
      <x:c r="C376" s="253"/>
      <x:c r="D376" s="253"/>
      <x:c r="E376" s="252"/>
      <x:c r="F376" s="252"/>
      <x:c r="G376" s="253"/>
      <x:c r="H376" s="253"/>
      <x:c r="I376" s="253"/>
      <x:c r="J376" s="253"/>
      <x:c r="K376" s="253"/>
      <x:c r="L376" s="253"/>
      <x:c r="M376" s="253" t="str">
        <x:f>IF(AND(A376="",B376="",E376=""),"",IF(OR(A376="",B376="",C376="",D376="",E376="",J376="",AND(A376="client",COUNTIF('الزبائن'!$A$6:$A$505,B376)=0),AND(A376="proposed_name",COUNTIF('أسماء مقترحة'!$A$6:$A$505,B376)=0),AND(D376="mobile",J376&lt;&gt;"invalid",NOT(OR(AND(LEN(E376&amp;"")=10,LEFT(E376&amp;"",2)="09"),AND(LEN(E376&amp;"")=9,LEFT(E376&amp;"",1)="9")))),COUNTIFS($A$6:$A$505,A376,$B$6:$B$505,B376,$E$6:$E$505,E376)&gt;1),"REVIEW","READY"))</x:f>
      </x:c>
      <x:c r="N376" s="255" t="str">
        <x:f>IF(M376="","",IF(M376="READY","",TRIM(IF(A376="","missing entity_type; ","")&amp;IF(B376="","missing entity_key; ","")&amp;IF(C376="","missing contact_order; ","")&amp;IF(D376="","missing contact_type; ","")&amp;IF(E376="","missing number; ","")&amp;IF(J376="","missing status; ","")&amp;IF(AND(A376="client",COUNTIF('الزبائن'!$A$6:$A$505,B376)=0),"client key not found; ","")&amp;IF(AND(A376="proposed_name",COUNTIF('أسماء مقترحة'!$A$6:$A$505,B376)=0),"proposed_name key not found; ","")&amp;IF(AND(D376="mobile",J376&lt;&gt;"invalid",NOT(OR(AND(LEN(E376&amp;"")=10,LEFT(E376&amp;"",2)="09"),AND(LEN(E376&amp;"")=9,LEFT(E376&amp;"",1)="9")))),"mobile must be 09XXXXXXXX or status invalid; ","")&amp;IF(COUNTIFS($A$6:$A$505,A376,$B$6:$B$505,B376,$E$6:$E$505,E376)&gt;1,"duplicate number for same entity; ",""))))</x:f>
      </x:c>
    </x:row>
    <x:row r="377">
      <x:c r="A377" s="251"/>
      <x:c r="B377" s="252"/>
      <x:c r="C377" s="253"/>
      <x:c r="D377" s="253"/>
      <x:c r="E377" s="252"/>
      <x:c r="F377" s="252"/>
      <x:c r="G377" s="253"/>
      <x:c r="H377" s="253"/>
      <x:c r="I377" s="253"/>
      <x:c r="J377" s="253"/>
      <x:c r="K377" s="253"/>
      <x:c r="L377" s="253"/>
      <x:c r="M377" s="253" t="str">
        <x:f>IF(AND(A377="",B377="",E377=""),"",IF(OR(A377="",B377="",C377="",D377="",E377="",J377="",AND(A377="client",COUNTIF('الزبائن'!$A$6:$A$505,B377)=0),AND(A377="proposed_name",COUNTIF('أسماء مقترحة'!$A$6:$A$505,B377)=0),AND(D377="mobile",J377&lt;&gt;"invalid",NOT(OR(AND(LEN(E377&amp;"")=10,LEFT(E377&amp;"",2)="09"),AND(LEN(E377&amp;"")=9,LEFT(E377&amp;"",1)="9")))),COUNTIFS($A$6:$A$505,A377,$B$6:$B$505,B377,$E$6:$E$505,E377)&gt;1),"REVIEW","READY"))</x:f>
      </x:c>
      <x:c r="N377" s="255" t="str">
        <x:f>IF(M377="","",IF(M377="READY","",TRIM(IF(A377="","missing entity_type; ","")&amp;IF(B377="","missing entity_key; ","")&amp;IF(C377="","missing contact_order; ","")&amp;IF(D377="","missing contact_type; ","")&amp;IF(E377="","missing number; ","")&amp;IF(J377="","missing status; ","")&amp;IF(AND(A377="client",COUNTIF('الزبائن'!$A$6:$A$505,B377)=0),"client key not found; ","")&amp;IF(AND(A377="proposed_name",COUNTIF('أسماء مقترحة'!$A$6:$A$505,B377)=0),"proposed_name key not found; ","")&amp;IF(AND(D377="mobile",J377&lt;&gt;"invalid",NOT(OR(AND(LEN(E377&amp;"")=10,LEFT(E377&amp;"",2)="09"),AND(LEN(E377&amp;"")=9,LEFT(E377&amp;"",1)="9")))),"mobile must be 09XXXXXXXX or status invalid; ","")&amp;IF(COUNTIFS($A$6:$A$505,A377,$B$6:$B$505,B377,$E$6:$E$505,E377)&gt;1,"duplicate number for same entity; ",""))))</x:f>
      </x:c>
    </x:row>
    <x:row r="378">
      <x:c r="A378" s="251"/>
      <x:c r="B378" s="252"/>
      <x:c r="C378" s="253"/>
      <x:c r="D378" s="253"/>
      <x:c r="E378" s="252"/>
      <x:c r="F378" s="252"/>
      <x:c r="G378" s="253"/>
      <x:c r="H378" s="253"/>
      <x:c r="I378" s="253"/>
      <x:c r="J378" s="253"/>
      <x:c r="K378" s="253"/>
      <x:c r="L378" s="253"/>
      <x:c r="M378" s="253" t="str">
        <x:f>IF(AND(A378="",B378="",E378=""),"",IF(OR(A378="",B378="",C378="",D378="",E378="",J378="",AND(A378="client",COUNTIF('الزبائن'!$A$6:$A$505,B378)=0),AND(A378="proposed_name",COUNTIF('أسماء مقترحة'!$A$6:$A$505,B378)=0),AND(D378="mobile",J378&lt;&gt;"invalid",NOT(OR(AND(LEN(E378&amp;"")=10,LEFT(E378&amp;"",2)="09"),AND(LEN(E378&amp;"")=9,LEFT(E378&amp;"",1)="9")))),COUNTIFS($A$6:$A$505,A378,$B$6:$B$505,B378,$E$6:$E$505,E378)&gt;1),"REVIEW","READY"))</x:f>
      </x:c>
      <x:c r="N378" s="255" t="str">
        <x:f>IF(M378="","",IF(M378="READY","",TRIM(IF(A378="","missing entity_type; ","")&amp;IF(B378="","missing entity_key; ","")&amp;IF(C378="","missing contact_order; ","")&amp;IF(D378="","missing contact_type; ","")&amp;IF(E378="","missing number; ","")&amp;IF(J378="","missing status; ","")&amp;IF(AND(A378="client",COUNTIF('الزبائن'!$A$6:$A$505,B378)=0),"client key not found; ","")&amp;IF(AND(A378="proposed_name",COUNTIF('أسماء مقترحة'!$A$6:$A$505,B378)=0),"proposed_name key not found; ","")&amp;IF(AND(D378="mobile",J378&lt;&gt;"invalid",NOT(OR(AND(LEN(E378&amp;"")=10,LEFT(E378&amp;"",2)="09"),AND(LEN(E378&amp;"")=9,LEFT(E378&amp;"",1)="9")))),"mobile must be 09XXXXXXXX or status invalid; ","")&amp;IF(COUNTIFS($A$6:$A$505,A378,$B$6:$B$505,B378,$E$6:$E$505,E378)&gt;1,"duplicate number for same entity; ",""))))</x:f>
      </x:c>
    </x:row>
    <x:row r="379">
      <x:c r="A379" s="251"/>
      <x:c r="B379" s="252"/>
      <x:c r="C379" s="253"/>
      <x:c r="D379" s="253"/>
      <x:c r="E379" s="252"/>
      <x:c r="F379" s="252"/>
      <x:c r="G379" s="253"/>
      <x:c r="H379" s="253"/>
      <x:c r="I379" s="253"/>
      <x:c r="J379" s="253"/>
      <x:c r="K379" s="253"/>
      <x:c r="L379" s="253"/>
      <x:c r="M379" s="253" t="str">
        <x:f>IF(AND(A379="",B379="",E379=""),"",IF(OR(A379="",B379="",C379="",D379="",E379="",J379="",AND(A379="client",COUNTIF('الزبائن'!$A$6:$A$505,B379)=0),AND(A379="proposed_name",COUNTIF('أسماء مقترحة'!$A$6:$A$505,B379)=0),AND(D379="mobile",J379&lt;&gt;"invalid",NOT(OR(AND(LEN(E379&amp;"")=10,LEFT(E379&amp;"",2)="09"),AND(LEN(E379&amp;"")=9,LEFT(E379&amp;"",1)="9")))),COUNTIFS($A$6:$A$505,A379,$B$6:$B$505,B379,$E$6:$E$505,E379)&gt;1),"REVIEW","READY"))</x:f>
      </x:c>
      <x:c r="N379" s="255" t="str">
        <x:f>IF(M379="","",IF(M379="READY","",TRIM(IF(A379="","missing entity_type; ","")&amp;IF(B379="","missing entity_key; ","")&amp;IF(C379="","missing contact_order; ","")&amp;IF(D379="","missing contact_type; ","")&amp;IF(E379="","missing number; ","")&amp;IF(J379="","missing status; ","")&amp;IF(AND(A379="client",COUNTIF('الزبائن'!$A$6:$A$505,B379)=0),"client key not found; ","")&amp;IF(AND(A379="proposed_name",COUNTIF('أسماء مقترحة'!$A$6:$A$505,B379)=0),"proposed_name key not found; ","")&amp;IF(AND(D379="mobile",J379&lt;&gt;"invalid",NOT(OR(AND(LEN(E379&amp;"")=10,LEFT(E379&amp;"",2)="09"),AND(LEN(E379&amp;"")=9,LEFT(E379&amp;"",1)="9")))),"mobile must be 09XXXXXXXX or status invalid; ","")&amp;IF(COUNTIFS($A$6:$A$505,A379,$B$6:$B$505,B379,$E$6:$E$505,E379)&gt;1,"duplicate number for same entity; ",""))))</x:f>
      </x:c>
    </x:row>
    <x:row r="380">
      <x:c r="A380" s="251"/>
      <x:c r="B380" s="252"/>
      <x:c r="C380" s="253"/>
      <x:c r="D380" s="253"/>
      <x:c r="E380" s="252"/>
      <x:c r="F380" s="252"/>
      <x:c r="G380" s="253"/>
      <x:c r="H380" s="253"/>
      <x:c r="I380" s="253"/>
      <x:c r="J380" s="253"/>
      <x:c r="K380" s="253"/>
      <x:c r="L380" s="253"/>
      <x:c r="M380" s="253" t="str">
        <x:f>IF(AND(A380="",B380="",E380=""),"",IF(OR(A380="",B380="",C380="",D380="",E380="",J380="",AND(A380="client",COUNTIF('الزبائن'!$A$6:$A$505,B380)=0),AND(A380="proposed_name",COUNTIF('أسماء مقترحة'!$A$6:$A$505,B380)=0),AND(D380="mobile",J380&lt;&gt;"invalid",NOT(OR(AND(LEN(E380&amp;"")=10,LEFT(E380&amp;"",2)="09"),AND(LEN(E380&amp;"")=9,LEFT(E380&amp;"",1)="9")))),COUNTIFS($A$6:$A$505,A380,$B$6:$B$505,B380,$E$6:$E$505,E380)&gt;1),"REVIEW","READY"))</x:f>
      </x:c>
      <x:c r="N380" s="255" t="str">
        <x:f>IF(M380="","",IF(M380="READY","",TRIM(IF(A380="","missing entity_type; ","")&amp;IF(B380="","missing entity_key; ","")&amp;IF(C380="","missing contact_order; ","")&amp;IF(D380="","missing contact_type; ","")&amp;IF(E380="","missing number; ","")&amp;IF(J380="","missing status; ","")&amp;IF(AND(A380="client",COUNTIF('الزبائن'!$A$6:$A$505,B380)=0),"client key not found; ","")&amp;IF(AND(A380="proposed_name",COUNTIF('أسماء مقترحة'!$A$6:$A$505,B380)=0),"proposed_name key not found; ","")&amp;IF(AND(D380="mobile",J380&lt;&gt;"invalid",NOT(OR(AND(LEN(E380&amp;"")=10,LEFT(E380&amp;"",2)="09"),AND(LEN(E380&amp;"")=9,LEFT(E380&amp;"",1)="9")))),"mobile must be 09XXXXXXXX or status invalid; ","")&amp;IF(COUNTIFS($A$6:$A$505,A380,$B$6:$B$505,B380,$E$6:$E$505,E380)&gt;1,"duplicate number for same entity; ",""))))</x:f>
      </x:c>
    </x:row>
    <x:row r="381">
      <x:c r="A381" s="251"/>
      <x:c r="B381" s="252"/>
      <x:c r="C381" s="253"/>
      <x:c r="D381" s="253"/>
      <x:c r="E381" s="252"/>
      <x:c r="F381" s="252"/>
      <x:c r="G381" s="253"/>
      <x:c r="H381" s="253"/>
      <x:c r="I381" s="253"/>
      <x:c r="J381" s="253"/>
      <x:c r="K381" s="253"/>
      <x:c r="L381" s="253"/>
      <x:c r="M381" s="253" t="str">
        <x:f>IF(AND(A381="",B381="",E381=""),"",IF(OR(A381="",B381="",C381="",D381="",E381="",J381="",AND(A381="client",COUNTIF('الزبائن'!$A$6:$A$505,B381)=0),AND(A381="proposed_name",COUNTIF('أسماء مقترحة'!$A$6:$A$505,B381)=0),AND(D381="mobile",J381&lt;&gt;"invalid",NOT(OR(AND(LEN(E381&amp;"")=10,LEFT(E381&amp;"",2)="09"),AND(LEN(E381&amp;"")=9,LEFT(E381&amp;"",1)="9")))),COUNTIFS($A$6:$A$505,A381,$B$6:$B$505,B381,$E$6:$E$505,E381)&gt;1),"REVIEW","READY"))</x:f>
      </x:c>
      <x:c r="N381" s="255" t="str">
        <x:f>IF(M381="","",IF(M381="READY","",TRIM(IF(A381="","missing entity_type; ","")&amp;IF(B381="","missing entity_key; ","")&amp;IF(C381="","missing contact_order; ","")&amp;IF(D381="","missing contact_type; ","")&amp;IF(E381="","missing number; ","")&amp;IF(J381="","missing status; ","")&amp;IF(AND(A381="client",COUNTIF('الزبائن'!$A$6:$A$505,B381)=0),"client key not found; ","")&amp;IF(AND(A381="proposed_name",COUNTIF('أسماء مقترحة'!$A$6:$A$505,B381)=0),"proposed_name key not found; ","")&amp;IF(AND(D381="mobile",J381&lt;&gt;"invalid",NOT(OR(AND(LEN(E381&amp;"")=10,LEFT(E381&amp;"",2)="09"),AND(LEN(E381&amp;"")=9,LEFT(E381&amp;"",1)="9")))),"mobile must be 09XXXXXXXX or status invalid; ","")&amp;IF(COUNTIFS($A$6:$A$505,A381,$B$6:$B$505,B381,$E$6:$E$505,E381)&gt;1,"duplicate number for same entity; ",""))))</x:f>
      </x:c>
    </x:row>
    <x:row r="382">
      <x:c r="A382" s="251"/>
      <x:c r="B382" s="252"/>
      <x:c r="C382" s="253"/>
      <x:c r="D382" s="253"/>
      <x:c r="E382" s="252"/>
      <x:c r="F382" s="252"/>
      <x:c r="G382" s="253"/>
      <x:c r="H382" s="253"/>
      <x:c r="I382" s="253"/>
      <x:c r="J382" s="253"/>
      <x:c r="K382" s="253"/>
      <x:c r="L382" s="253"/>
      <x:c r="M382" s="253" t="str">
        <x:f>IF(AND(A382="",B382="",E382=""),"",IF(OR(A382="",B382="",C382="",D382="",E382="",J382="",AND(A382="client",COUNTIF('الزبائن'!$A$6:$A$505,B382)=0),AND(A382="proposed_name",COUNTIF('أسماء مقترحة'!$A$6:$A$505,B382)=0),AND(D382="mobile",J382&lt;&gt;"invalid",NOT(OR(AND(LEN(E382&amp;"")=10,LEFT(E382&amp;"",2)="09"),AND(LEN(E382&amp;"")=9,LEFT(E382&amp;"",1)="9")))),COUNTIFS($A$6:$A$505,A382,$B$6:$B$505,B382,$E$6:$E$505,E382)&gt;1),"REVIEW","READY"))</x:f>
      </x:c>
      <x:c r="N382" s="255" t="str">
        <x:f>IF(M382="","",IF(M382="READY","",TRIM(IF(A382="","missing entity_type; ","")&amp;IF(B382="","missing entity_key; ","")&amp;IF(C382="","missing contact_order; ","")&amp;IF(D382="","missing contact_type; ","")&amp;IF(E382="","missing number; ","")&amp;IF(J382="","missing status; ","")&amp;IF(AND(A382="client",COUNTIF('الزبائن'!$A$6:$A$505,B382)=0),"client key not found; ","")&amp;IF(AND(A382="proposed_name",COUNTIF('أسماء مقترحة'!$A$6:$A$505,B382)=0),"proposed_name key not found; ","")&amp;IF(AND(D382="mobile",J382&lt;&gt;"invalid",NOT(OR(AND(LEN(E382&amp;"")=10,LEFT(E382&amp;"",2)="09"),AND(LEN(E382&amp;"")=9,LEFT(E382&amp;"",1)="9")))),"mobile must be 09XXXXXXXX or status invalid; ","")&amp;IF(COUNTIFS($A$6:$A$505,A382,$B$6:$B$505,B382,$E$6:$E$505,E382)&gt;1,"duplicate number for same entity; ",""))))</x:f>
      </x:c>
    </x:row>
    <x:row r="383">
      <x:c r="A383" s="251"/>
      <x:c r="B383" s="252"/>
      <x:c r="C383" s="253"/>
      <x:c r="D383" s="253"/>
      <x:c r="E383" s="252"/>
      <x:c r="F383" s="252"/>
      <x:c r="G383" s="253"/>
      <x:c r="H383" s="253"/>
      <x:c r="I383" s="253"/>
      <x:c r="J383" s="253"/>
      <x:c r="K383" s="253"/>
      <x:c r="L383" s="253"/>
      <x:c r="M383" s="253" t="str">
        <x:f>IF(AND(A383="",B383="",E383=""),"",IF(OR(A383="",B383="",C383="",D383="",E383="",J383="",AND(A383="client",COUNTIF('الزبائن'!$A$6:$A$505,B383)=0),AND(A383="proposed_name",COUNTIF('أسماء مقترحة'!$A$6:$A$505,B383)=0),AND(D383="mobile",J383&lt;&gt;"invalid",NOT(OR(AND(LEN(E383&amp;"")=10,LEFT(E383&amp;"",2)="09"),AND(LEN(E383&amp;"")=9,LEFT(E383&amp;"",1)="9")))),COUNTIFS($A$6:$A$505,A383,$B$6:$B$505,B383,$E$6:$E$505,E383)&gt;1),"REVIEW","READY"))</x:f>
      </x:c>
      <x:c r="N383" s="255" t="str">
        <x:f>IF(M383="","",IF(M383="READY","",TRIM(IF(A383="","missing entity_type; ","")&amp;IF(B383="","missing entity_key; ","")&amp;IF(C383="","missing contact_order; ","")&amp;IF(D383="","missing contact_type; ","")&amp;IF(E383="","missing number; ","")&amp;IF(J383="","missing status; ","")&amp;IF(AND(A383="client",COUNTIF('الزبائن'!$A$6:$A$505,B383)=0),"client key not found; ","")&amp;IF(AND(A383="proposed_name",COUNTIF('أسماء مقترحة'!$A$6:$A$505,B383)=0),"proposed_name key not found; ","")&amp;IF(AND(D383="mobile",J383&lt;&gt;"invalid",NOT(OR(AND(LEN(E383&amp;"")=10,LEFT(E383&amp;"",2)="09"),AND(LEN(E383&amp;"")=9,LEFT(E383&amp;"",1)="9")))),"mobile must be 09XXXXXXXX or status invalid; ","")&amp;IF(COUNTIFS($A$6:$A$505,A383,$B$6:$B$505,B383,$E$6:$E$505,E383)&gt;1,"duplicate number for same entity; ",""))))</x:f>
      </x:c>
    </x:row>
    <x:row r="384">
      <x:c r="A384" s="251"/>
      <x:c r="B384" s="252"/>
      <x:c r="C384" s="253"/>
      <x:c r="D384" s="253"/>
      <x:c r="E384" s="252"/>
      <x:c r="F384" s="252"/>
      <x:c r="G384" s="253"/>
      <x:c r="H384" s="253"/>
      <x:c r="I384" s="253"/>
      <x:c r="J384" s="253"/>
      <x:c r="K384" s="253"/>
      <x:c r="L384" s="253"/>
      <x:c r="M384" s="253" t="str">
        <x:f>IF(AND(A384="",B384="",E384=""),"",IF(OR(A384="",B384="",C384="",D384="",E384="",J384="",AND(A384="client",COUNTIF('الزبائن'!$A$6:$A$505,B384)=0),AND(A384="proposed_name",COUNTIF('أسماء مقترحة'!$A$6:$A$505,B384)=0),AND(D384="mobile",J384&lt;&gt;"invalid",NOT(OR(AND(LEN(E384&amp;"")=10,LEFT(E384&amp;"",2)="09"),AND(LEN(E384&amp;"")=9,LEFT(E384&amp;"",1)="9")))),COUNTIFS($A$6:$A$505,A384,$B$6:$B$505,B384,$E$6:$E$505,E384)&gt;1),"REVIEW","READY"))</x:f>
      </x:c>
      <x:c r="N384" s="255" t="str">
        <x:f>IF(M384="","",IF(M384="READY","",TRIM(IF(A384="","missing entity_type; ","")&amp;IF(B384="","missing entity_key; ","")&amp;IF(C384="","missing contact_order; ","")&amp;IF(D384="","missing contact_type; ","")&amp;IF(E384="","missing number; ","")&amp;IF(J384="","missing status; ","")&amp;IF(AND(A384="client",COUNTIF('الزبائن'!$A$6:$A$505,B384)=0),"client key not found; ","")&amp;IF(AND(A384="proposed_name",COUNTIF('أسماء مقترحة'!$A$6:$A$505,B384)=0),"proposed_name key not found; ","")&amp;IF(AND(D384="mobile",J384&lt;&gt;"invalid",NOT(OR(AND(LEN(E384&amp;"")=10,LEFT(E384&amp;"",2)="09"),AND(LEN(E384&amp;"")=9,LEFT(E384&amp;"",1)="9")))),"mobile must be 09XXXXXXXX or status invalid; ","")&amp;IF(COUNTIFS($A$6:$A$505,A384,$B$6:$B$505,B384,$E$6:$E$505,E384)&gt;1,"duplicate number for same entity; ",""))))</x:f>
      </x:c>
    </x:row>
    <x:row r="385">
      <x:c r="A385" s="251"/>
      <x:c r="B385" s="252"/>
      <x:c r="C385" s="253"/>
      <x:c r="D385" s="253"/>
      <x:c r="E385" s="252"/>
      <x:c r="F385" s="252"/>
      <x:c r="G385" s="253"/>
      <x:c r="H385" s="253"/>
      <x:c r="I385" s="253"/>
      <x:c r="J385" s="253"/>
      <x:c r="K385" s="253"/>
      <x:c r="L385" s="253"/>
      <x:c r="M385" s="253" t="str">
        <x:f>IF(AND(A385="",B385="",E385=""),"",IF(OR(A385="",B385="",C385="",D385="",E385="",J385="",AND(A385="client",COUNTIF('الزبائن'!$A$6:$A$505,B385)=0),AND(A385="proposed_name",COUNTIF('أسماء مقترحة'!$A$6:$A$505,B385)=0),AND(D385="mobile",J385&lt;&gt;"invalid",NOT(OR(AND(LEN(E385&amp;"")=10,LEFT(E385&amp;"",2)="09"),AND(LEN(E385&amp;"")=9,LEFT(E385&amp;"",1)="9")))),COUNTIFS($A$6:$A$505,A385,$B$6:$B$505,B385,$E$6:$E$505,E385)&gt;1),"REVIEW","READY"))</x:f>
      </x:c>
      <x:c r="N385" s="255" t="str">
        <x:f>IF(M385="","",IF(M385="READY","",TRIM(IF(A385="","missing entity_type; ","")&amp;IF(B385="","missing entity_key; ","")&amp;IF(C385="","missing contact_order; ","")&amp;IF(D385="","missing contact_type; ","")&amp;IF(E385="","missing number; ","")&amp;IF(J385="","missing status; ","")&amp;IF(AND(A385="client",COUNTIF('الزبائن'!$A$6:$A$505,B385)=0),"client key not found; ","")&amp;IF(AND(A385="proposed_name",COUNTIF('أسماء مقترحة'!$A$6:$A$505,B385)=0),"proposed_name key not found; ","")&amp;IF(AND(D385="mobile",J385&lt;&gt;"invalid",NOT(OR(AND(LEN(E385&amp;"")=10,LEFT(E385&amp;"",2)="09"),AND(LEN(E385&amp;"")=9,LEFT(E385&amp;"",1)="9")))),"mobile must be 09XXXXXXXX or status invalid; ","")&amp;IF(COUNTIFS($A$6:$A$505,A385,$B$6:$B$505,B385,$E$6:$E$505,E385)&gt;1,"duplicate number for same entity; ",""))))</x:f>
      </x:c>
    </x:row>
    <x:row r="386">
      <x:c r="A386" s="251"/>
      <x:c r="B386" s="252"/>
      <x:c r="C386" s="253"/>
      <x:c r="D386" s="253"/>
      <x:c r="E386" s="252"/>
      <x:c r="F386" s="252"/>
      <x:c r="G386" s="253"/>
      <x:c r="H386" s="253"/>
      <x:c r="I386" s="253"/>
      <x:c r="J386" s="253"/>
      <x:c r="K386" s="253"/>
      <x:c r="L386" s="253"/>
      <x:c r="M386" s="253" t="str">
        <x:f>IF(AND(A386="",B386="",E386=""),"",IF(OR(A386="",B386="",C386="",D386="",E386="",J386="",AND(A386="client",COUNTIF('الزبائن'!$A$6:$A$505,B386)=0),AND(A386="proposed_name",COUNTIF('أسماء مقترحة'!$A$6:$A$505,B386)=0),AND(D386="mobile",J386&lt;&gt;"invalid",NOT(OR(AND(LEN(E386&amp;"")=10,LEFT(E386&amp;"",2)="09"),AND(LEN(E386&amp;"")=9,LEFT(E386&amp;"",1)="9")))),COUNTIFS($A$6:$A$505,A386,$B$6:$B$505,B386,$E$6:$E$505,E386)&gt;1),"REVIEW","READY"))</x:f>
      </x:c>
      <x:c r="N386" s="255" t="str">
        <x:f>IF(M386="","",IF(M386="READY","",TRIM(IF(A386="","missing entity_type; ","")&amp;IF(B386="","missing entity_key; ","")&amp;IF(C386="","missing contact_order; ","")&amp;IF(D386="","missing contact_type; ","")&amp;IF(E386="","missing number; ","")&amp;IF(J386="","missing status; ","")&amp;IF(AND(A386="client",COUNTIF('الزبائن'!$A$6:$A$505,B386)=0),"client key not found; ","")&amp;IF(AND(A386="proposed_name",COUNTIF('أسماء مقترحة'!$A$6:$A$505,B386)=0),"proposed_name key not found; ","")&amp;IF(AND(D386="mobile",J386&lt;&gt;"invalid",NOT(OR(AND(LEN(E386&amp;"")=10,LEFT(E386&amp;"",2)="09"),AND(LEN(E386&amp;"")=9,LEFT(E386&amp;"",1)="9")))),"mobile must be 09XXXXXXXX or status invalid; ","")&amp;IF(COUNTIFS($A$6:$A$505,A386,$B$6:$B$505,B386,$E$6:$E$505,E386)&gt;1,"duplicate number for same entity; ",""))))</x:f>
      </x:c>
    </x:row>
    <x:row r="387">
      <x:c r="A387" s="251"/>
      <x:c r="B387" s="252"/>
      <x:c r="C387" s="253"/>
      <x:c r="D387" s="253"/>
      <x:c r="E387" s="252"/>
      <x:c r="F387" s="252"/>
      <x:c r="G387" s="253"/>
      <x:c r="H387" s="253"/>
      <x:c r="I387" s="253"/>
      <x:c r="J387" s="253"/>
      <x:c r="K387" s="253"/>
      <x:c r="L387" s="253"/>
      <x:c r="M387" s="253" t="str">
        <x:f>IF(AND(A387="",B387="",E387=""),"",IF(OR(A387="",B387="",C387="",D387="",E387="",J387="",AND(A387="client",COUNTIF('الزبائن'!$A$6:$A$505,B387)=0),AND(A387="proposed_name",COUNTIF('أسماء مقترحة'!$A$6:$A$505,B387)=0),AND(D387="mobile",J387&lt;&gt;"invalid",NOT(OR(AND(LEN(E387&amp;"")=10,LEFT(E387&amp;"",2)="09"),AND(LEN(E387&amp;"")=9,LEFT(E387&amp;"",1)="9")))),COUNTIFS($A$6:$A$505,A387,$B$6:$B$505,B387,$E$6:$E$505,E387)&gt;1),"REVIEW","READY"))</x:f>
      </x:c>
      <x:c r="N387" s="255" t="str">
        <x:f>IF(M387="","",IF(M387="READY","",TRIM(IF(A387="","missing entity_type; ","")&amp;IF(B387="","missing entity_key; ","")&amp;IF(C387="","missing contact_order; ","")&amp;IF(D387="","missing contact_type; ","")&amp;IF(E387="","missing number; ","")&amp;IF(J387="","missing status; ","")&amp;IF(AND(A387="client",COUNTIF('الزبائن'!$A$6:$A$505,B387)=0),"client key not found; ","")&amp;IF(AND(A387="proposed_name",COUNTIF('أسماء مقترحة'!$A$6:$A$505,B387)=0),"proposed_name key not found; ","")&amp;IF(AND(D387="mobile",J387&lt;&gt;"invalid",NOT(OR(AND(LEN(E387&amp;"")=10,LEFT(E387&amp;"",2)="09"),AND(LEN(E387&amp;"")=9,LEFT(E387&amp;"",1)="9")))),"mobile must be 09XXXXXXXX or status invalid; ","")&amp;IF(COUNTIFS($A$6:$A$505,A387,$B$6:$B$505,B387,$E$6:$E$505,E387)&gt;1,"duplicate number for same entity; ",""))))</x:f>
      </x:c>
    </x:row>
    <x:row r="388">
      <x:c r="A388" s="251"/>
      <x:c r="B388" s="252"/>
      <x:c r="C388" s="253"/>
      <x:c r="D388" s="253"/>
      <x:c r="E388" s="252"/>
      <x:c r="F388" s="252"/>
      <x:c r="G388" s="253"/>
      <x:c r="H388" s="253"/>
      <x:c r="I388" s="253"/>
      <x:c r="J388" s="253"/>
      <x:c r="K388" s="253"/>
      <x:c r="L388" s="253"/>
      <x:c r="M388" s="253" t="str">
        <x:f>IF(AND(A388="",B388="",E388=""),"",IF(OR(A388="",B388="",C388="",D388="",E388="",J388="",AND(A388="client",COUNTIF('الزبائن'!$A$6:$A$505,B388)=0),AND(A388="proposed_name",COUNTIF('أسماء مقترحة'!$A$6:$A$505,B388)=0),AND(D388="mobile",J388&lt;&gt;"invalid",NOT(OR(AND(LEN(E388&amp;"")=10,LEFT(E388&amp;"",2)="09"),AND(LEN(E388&amp;"")=9,LEFT(E388&amp;"",1)="9")))),COUNTIFS($A$6:$A$505,A388,$B$6:$B$505,B388,$E$6:$E$505,E388)&gt;1),"REVIEW","READY"))</x:f>
      </x:c>
      <x:c r="N388" s="255" t="str">
        <x:f>IF(M388="","",IF(M388="READY","",TRIM(IF(A388="","missing entity_type; ","")&amp;IF(B388="","missing entity_key; ","")&amp;IF(C388="","missing contact_order; ","")&amp;IF(D388="","missing contact_type; ","")&amp;IF(E388="","missing number; ","")&amp;IF(J388="","missing status; ","")&amp;IF(AND(A388="client",COUNTIF('الزبائن'!$A$6:$A$505,B388)=0),"client key not found; ","")&amp;IF(AND(A388="proposed_name",COUNTIF('أسماء مقترحة'!$A$6:$A$505,B388)=0),"proposed_name key not found; ","")&amp;IF(AND(D388="mobile",J388&lt;&gt;"invalid",NOT(OR(AND(LEN(E388&amp;"")=10,LEFT(E388&amp;"",2)="09"),AND(LEN(E388&amp;"")=9,LEFT(E388&amp;"",1)="9")))),"mobile must be 09XXXXXXXX or status invalid; ","")&amp;IF(COUNTIFS($A$6:$A$505,A388,$B$6:$B$505,B388,$E$6:$E$505,E388)&gt;1,"duplicate number for same entity; ",""))))</x:f>
      </x:c>
    </x:row>
    <x:row r="389">
      <x:c r="A389" s="251"/>
      <x:c r="B389" s="252"/>
      <x:c r="C389" s="253"/>
      <x:c r="D389" s="253"/>
      <x:c r="E389" s="252"/>
      <x:c r="F389" s="252"/>
      <x:c r="G389" s="253"/>
      <x:c r="H389" s="253"/>
      <x:c r="I389" s="253"/>
      <x:c r="J389" s="253"/>
      <x:c r="K389" s="253"/>
      <x:c r="L389" s="253"/>
      <x:c r="M389" s="253" t="str">
        <x:f>IF(AND(A389="",B389="",E389=""),"",IF(OR(A389="",B389="",C389="",D389="",E389="",J389="",AND(A389="client",COUNTIF('الزبائن'!$A$6:$A$505,B389)=0),AND(A389="proposed_name",COUNTIF('أسماء مقترحة'!$A$6:$A$505,B389)=0),AND(D389="mobile",J389&lt;&gt;"invalid",NOT(OR(AND(LEN(E389&amp;"")=10,LEFT(E389&amp;"",2)="09"),AND(LEN(E389&amp;"")=9,LEFT(E389&amp;"",1)="9")))),COUNTIFS($A$6:$A$505,A389,$B$6:$B$505,B389,$E$6:$E$505,E389)&gt;1),"REVIEW","READY"))</x:f>
      </x:c>
      <x:c r="N389" s="255" t="str">
        <x:f>IF(M389="","",IF(M389="READY","",TRIM(IF(A389="","missing entity_type; ","")&amp;IF(B389="","missing entity_key; ","")&amp;IF(C389="","missing contact_order; ","")&amp;IF(D389="","missing contact_type; ","")&amp;IF(E389="","missing number; ","")&amp;IF(J389="","missing status; ","")&amp;IF(AND(A389="client",COUNTIF('الزبائن'!$A$6:$A$505,B389)=0),"client key not found; ","")&amp;IF(AND(A389="proposed_name",COUNTIF('أسماء مقترحة'!$A$6:$A$505,B389)=0),"proposed_name key not found; ","")&amp;IF(AND(D389="mobile",J389&lt;&gt;"invalid",NOT(OR(AND(LEN(E389&amp;"")=10,LEFT(E389&amp;"",2)="09"),AND(LEN(E389&amp;"")=9,LEFT(E389&amp;"",1)="9")))),"mobile must be 09XXXXXXXX or status invalid; ","")&amp;IF(COUNTIFS($A$6:$A$505,A389,$B$6:$B$505,B389,$E$6:$E$505,E389)&gt;1,"duplicate number for same entity; ",""))))</x:f>
      </x:c>
    </x:row>
    <x:row r="390">
      <x:c r="A390" s="251"/>
      <x:c r="B390" s="252"/>
      <x:c r="C390" s="253"/>
      <x:c r="D390" s="253"/>
      <x:c r="E390" s="252"/>
      <x:c r="F390" s="252"/>
      <x:c r="G390" s="253"/>
      <x:c r="H390" s="253"/>
      <x:c r="I390" s="253"/>
      <x:c r="J390" s="253"/>
      <x:c r="K390" s="253"/>
      <x:c r="L390" s="253"/>
      <x:c r="M390" s="253" t="str">
        <x:f>IF(AND(A390="",B390="",E390=""),"",IF(OR(A390="",B390="",C390="",D390="",E390="",J390="",AND(A390="client",COUNTIF('الزبائن'!$A$6:$A$505,B390)=0),AND(A390="proposed_name",COUNTIF('أسماء مقترحة'!$A$6:$A$505,B390)=0),AND(D390="mobile",J390&lt;&gt;"invalid",NOT(OR(AND(LEN(E390&amp;"")=10,LEFT(E390&amp;"",2)="09"),AND(LEN(E390&amp;"")=9,LEFT(E390&amp;"",1)="9")))),COUNTIFS($A$6:$A$505,A390,$B$6:$B$505,B390,$E$6:$E$505,E390)&gt;1),"REVIEW","READY"))</x:f>
      </x:c>
      <x:c r="N390" s="255" t="str">
        <x:f>IF(M390="","",IF(M390="READY","",TRIM(IF(A390="","missing entity_type; ","")&amp;IF(B390="","missing entity_key; ","")&amp;IF(C390="","missing contact_order; ","")&amp;IF(D390="","missing contact_type; ","")&amp;IF(E390="","missing number; ","")&amp;IF(J390="","missing status; ","")&amp;IF(AND(A390="client",COUNTIF('الزبائن'!$A$6:$A$505,B390)=0),"client key not found; ","")&amp;IF(AND(A390="proposed_name",COUNTIF('أسماء مقترحة'!$A$6:$A$505,B390)=0),"proposed_name key not found; ","")&amp;IF(AND(D390="mobile",J390&lt;&gt;"invalid",NOT(OR(AND(LEN(E390&amp;"")=10,LEFT(E390&amp;"",2)="09"),AND(LEN(E390&amp;"")=9,LEFT(E390&amp;"",1)="9")))),"mobile must be 09XXXXXXXX or status invalid; ","")&amp;IF(COUNTIFS($A$6:$A$505,A390,$B$6:$B$505,B390,$E$6:$E$505,E390)&gt;1,"duplicate number for same entity; ",""))))</x:f>
      </x:c>
    </x:row>
    <x:row r="391">
      <x:c r="A391" s="251"/>
      <x:c r="B391" s="252"/>
      <x:c r="C391" s="253"/>
      <x:c r="D391" s="253"/>
      <x:c r="E391" s="252"/>
      <x:c r="F391" s="252"/>
      <x:c r="G391" s="253"/>
      <x:c r="H391" s="253"/>
      <x:c r="I391" s="253"/>
      <x:c r="J391" s="253"/>
      <x:c r="K391" s="253"/>
      <x:c r="L391" s="253"/>
      <x:c r="M391" s="253" t="str">
        <x:f>IF(AND(A391="",B391="",E391=""),"",IF(OR(A391="",B391="",C391="",D391="",E391="",J391="",AND(A391="client",COUNTIF('الزبائن'!$A$6:$A$505,B391)=0),AND(A391="proposed_name",COUNTIF('أسماء مقترحة'!$A$6:$A$505,B391)=0),AND(D391="mobile",J391&lt;&gt;"invalid",NOT(OR(AND(LEN(E391&amp;"")=10,LEFT(E391&amp;"",2)="09"),AND(LEN(E391&amp;"")=9,LEFT(E391&amp;"",1)="9")))),COUNTIFS($A$6:$A$505,A391,$B$6:$B$505,B391,$E$6:$E$505,E391)&gt;1),"REVIEW","READY"))</x:f>
      </x:c>
      <x:c r="N391" s="255" t="str">
        <x:f>IF(M391="","",IF(M391="READY","",TRIM(IF(A391="","missing entity_type; ","")&amp;IF(B391="","missing entity_key; ","")&amp;IF(C391="","missing contact_order; ","")&amp;IF(D391="","missing contact_type; ","")&amp;IF(E391="","missing number; ","")&amp;IF(J391="","missing status; ","")&amp;IF(AND(A391="client",COUNTIF('الزبائن'!$A$6:$A$505,B391)=0),"client key not found; ","")&amp;IF(AND(A391="proposed_name",COUNTIF('أسماء مقترحة'!$A$6:$A$505,B391)=0),"proposed_name key not found; ","")&amp;IF(AND(D391="mobile",J391&lt;&gt;"invalid",NOT(OR(AND(LEN(E391&amp;"")=10,LEFT(E391&amp;"",2)="09"),AND(LEN(E391&amp;"")=9,LEFT(E391&amp;"",1)="9")))),"mobile must be 09XXXXXXXX or status invalid; ","")&amp;IF(COUNTIFS($A$6:$A$505,A391,$B$6:$B$505,B391,$E$6:$E$505,E391)&gt;1,"duplicate number for same entity; ",""))))</x:f>
      </x:c>
    </x:row>
    <x:row r="392">
      <x:c r="A392" s="251"/>
      <x:c r="B392" s="252"/>
      <x:c r="C392" s="253"/>
      <x:c r="D392" s="253"/>
      <x:c r="E392" s="252"/>
      <x:c r="F392" s="252"/>
      <x:c r="G392" s="253"/>
      <x:c r="H392" s="253"/>
      <x:c r="I392" s="253"/>
      <x:c r="J392" s="253"/>
      <x:c r="K392" s="253"/>
      <x:c r="L392" s="253"/>
      <x:c r="M392" s="253" t="str">
        <x:f>IF(AND(A392="",B392="",E392=""),"",IF(OR(A392="",B392="",C392="",D392="",E392="",J392="",AND(A392="client",COUNTIF('الزبائن'!$A$6:$A$505,B392)=0),AND(A392="proposed_name",COUNTIF('أسماء مقترحة'!$A$6:$A$505,B392)=0),AND(D392="mobile",J392&lt;&gt;"invalid",NOT(OR(AND(LEN(E392&amp;"")=10,LEFT(E392&amp;"",2)="09"),AND(LEN(E392&amp;"")=9,LEFT(E392&amp;"",1)="9")))),COUNTIFS($A$6:$A$505,A392,$B$6:$B$505,B392,$E$6:$E$505,E392)&gt;1),"REVIEW","READY"))</x:f>
      </x:c>
      <x:c r="N392" s="255" t="str">
        <x:f>IF(M392="","",IF(M392="READY","",TRIM(IF(A392="","missing entity_type; ","")&amp;IF(B392="","missing entity_key; ","")&amp;IF(C392="","missing contact_order; ","")&amp;IF(D392="","missing contact_type; ","")&amp;IF(E392="","missing number; ","")&amp;IF(J392="","missing status; ","")&amp;IF(AND(A392="client",COUNTIF('الزبائن'!$A$6:$A$505,B392)=0),"client key not found; ","")&amp;IF(AND(A392="proposed_name",COUNTIF('أسماء مقترحة'!$A$6:$A$505,B392)=0),"proposed_name key not found; ","")&amp;IF(AND(D392="mobile",J392&lt;&gt;"invalid",NOT(OR(AND(LEN(E392&amp;"")=10,LEFT(E392&amp;"",2)="09"),AND(LEN(E392&amp;"")=9,LEFT(E392&amp;"",1)="9")))),"mobile must be 09XXXXXXXX or status invalid; ","")&amp;IF(COUNTIFS($A$6:$A$505,A392,$B$6:$B$505,B392,$E$6:$E$505,E392)&gt;1,"duplicate number for same entity; ",""))))</x:f>
      </x:c>
    </x:row>
    <x:row r="393">
      <x:c r="A393" s="251"/>
      <x:c r="B393" s="252"/>
      <x:c r="C393" s="253"/>
      <x:c r="D393" s="253"/>
      <x:c r="E393" s="252"/>
      <x:c r="F393" s="252"/>
      <x:c r="G393" s="253"/>
      <x:c r="H393" s="253"/>
      <x:c r="I393" s="253"/>
      <x:c r="J393" s="253"/>
      <x:c r="K393" s="253"/>
      <x:c r="L393" s="253"/>
      <x:c r="M393" s="253" t="str">
        <x:f>IF(AND(A393="",B393="",E393=""),"",IF(OR(A393="",B393="",C393="",D393="",E393="",J393="",AND(A393="client",COUNTIF('الزبائن'!$A$6:$A$505,B393)=0),AND(A393="proposed_name",COUNTIF('أسماء مقترحة'!$A$6:$A$505,B393)=0),AND(D393="mobile",J393&lt;&gt;"invalid",NOT(OR(AND(LEN(E393&amp;"")=10,LEFT(E393&amp;"",2)="09"),AND(LEN(E393&amp;"")=9,LEFT(E393&amp;"",1)="9")))),COUNTIFS($A$6:$A$505,A393,$B$6:$B$505,B393,$E$6:$E$505,E393)&gt;1),"REVIEW","READY"))</x:f>
      </x:c>
      <x:c r="N393" s="255" t="str">
        <x:f>IF(M393="","",IF(M393="READY","",TRIM(IF(A393="","missing entity_type; ","")&amp;IF(B393="","missing entity_key; ","")&amp;IF(C393="","missing contact_order; ","")&amp;IF(D393="","missing contact_type; ","")&amp;IF(E393="","missing number; ","")&amp;IF(J393="","missing status; ","")&amp;IF(AND(A393="client",COUNTIF('الزبائن'!$A$6:$A$505,B393)=0),"client key not found; ","")&amp;IF(AND(A393="proposed_name",COUNTIF('أسماء مقترحة'!$A$6:$A$505,B393)=0),"proposed_name key not found; ","")&amp;IF(AND(D393="mobile",J393&lt;&gt;"invalid",NOT(OR(AND(LEN(E393&amp;"")=10,LEFT(E393&amp;"",2)="09"),AND(LEN(E393&amp;"")=9,LEFT(E393&amp;"",1)="9")))),"mobile must be 09XXXXXXXX or status invalid; ","")&amp;IF(COUNTIFS($A$6:$A$505,A393,$B$6:$B$505,B393,$E$6:$E$505,E393)&gt;1,"duplicate number for same entity; ",""))))</x:f>
      </x:c>
    </x:row>
    <x:row r="394">
      <x:c r="A394" s="251"/>
      <x:c r="B394" s="252"/>
      <x:c r="C394" s="253"/>
      <x:c r="D394" s="253"/>
      <x:c r="E394" s="252"/>
      <x:c r="F394" s="252"/>
      <x:c r="G394" s="253"/>
      <x:c r="H394" s="253"/>
      <x:c r="I394" s="253"/>
      <x:c r="J394" s="253"/>
      <x:c r="K394" s="253"/>
      <x:c r="L394" s="253"/>
      <x:c r="M394" s="253" t="str">
        <x:f>IF(AND(A394="",B394="",E394=""),"",IF(OR(A394="",B394="",C394="",D394="",E394="",J394="",AND(A394="client",COUNTIF('الزبائن'!$A$6:$A$505,B394)=0),AND(A394="proposed_name",COUNTIF('أسماء مقترحة'!$A$6:$A$505,B394)=0),AND(D394="mobile",J394&lt;&gt;"invalid",NOT(OR(AND(LEN(E394&amp;"")=10,LEFT(E394&amp;"",2)="09"),AND(LEN(E394&amp;"")=9,LEFT(E394&amp;"",1)="9")))),COUNTIFS($A$6:$A$505,A394,$B$6:$B$505,B394,$E$6:$E$505,E394)&gt;1),"REVIEW","READY"))</x:f>
      </x:c>
      <x:c r="N394" s="255" t="str">
        <x:f>IF(M394="","",IF(M394="READY","",TRIM(IF(A394="","missing entity_type; ","")&amp;IF(B394="","missing entity_key; ","")&amp;IF(C394="","missing contact_order; ","")&amp;IF(D394="","missing contact_type; ","")&amp;IF(E394="","missing number; ","")&amp;IF(J394="","missing status; ","")&amp;IF(AND(A394="client",COUNTIF('الزبائن'!$A$6:$A$505,B394)=0),"client key not found; ","")&amp;IF(AND(A394="proposed_name",COUNTIF('أسماء مقترحة'!$A$6:$A$505,B394)=0),"proposed_name key not found; ","")&amp;IF(AND(D394="mobile",J394&lt;&gt;"invalid",NOT(OR(AND(LEN(E394&amp;"")=10,LEFT(E394&amp;"",2)="09"),AND(LEN(E394&amp;"")=9,LEFT(E394&amp;"",1)="9")))),"mobile must be 09XXXXXXXX or status invalid; ","")&amp;IF(COUNTIFS($A$6:$A$505,A394,$B$6:$B$505,B394,$E$6:$E$505,E394)&gt;1,"duplicate number for same entity; ",""))))</x:f>
      </x:c>
    </x:row>
    <x:row r="395">
      <x:c r="A395" s="251"/>
      <x:c r="B395" s="252"/>
      <x:c r="C395" s="253"/>
      <x:c r="D395" s="253"/>
      <x:c r="E395" s="252"/>
      <x:c r="F395" s="252"/>
      <x:c r="G395" s="253"/>
      <x:c r="H395" s="253"/>
      <x:c r="I395" s="253"/>
      <x:c r="J395" s="253"/>
      <x:c r="K395" s="253"/>
      <x:c r="L395" s="253"/>
      <x:c r="M395" s="253" t="str">
        <x:f>IF(AND(A395="",B395="",E395=""),"",IF(OR(A395="",B395="",C395="",D395="",E395="",J395="",AND(A395="client",COUNTIF('الزبائن'!$A$6:$A$505,B395)=0),AND(A395="proposed_name",COUNTIF('أسماء مقترحة'!$A$6:$A$505,B395)=0),AND(D395="mobile",J395&lt;&gt;"invalid",NOT(OR(AND(LEN(E395&amp;"")=10,LEFT(E395&amp;"",2)="09"),AND(LEN(E395&amp;"")=9,LEFT(E395&amp;"",1)="9")))),COUNTIFS($A$6:$A$505,A395,$B$6:$B$505,B395,$E$6:$E$505,E395)&gt;1),"REVIEW","READY"))</x:f>
      </x:c>
      <x:c r="N395" s="255" t="str">
        <x:f>IF(M395="","",IF(M395="READY","",TRIM(IF(A395="","missing entity_type; ","")&amp;IF(B395="","missing entity_key; ","")&amp;IF(C395="","missing contact_order; ","")&amp;IF(D395="","missing contact_type; ","")&amp;IF(E395="","missing number; ","")&amp;IF(J395="","missing status; ","")&amp;IF(AND(A395="client",COUNTIF('الزبائن'!$A$6:$A$505,B395)=0),"client key not found; ","")&amp;IF(AND(A395="proposed_name",COUNTIF('أسماء مقترحة'!$A$6:$A$505,B395)=0),"proposed_name key not found; ","")&amp;IF(AND(D395="mobile",J395&lt;&gt;"invalid",NOT(OR(AND(LEN(E395&amp;"")=10,LEFT(E395&amp;"",2)="09"),AND(LEN(E395&amp;"")=9,LEFT(E395&amp;"",1)="9")))),"mobile must be 09XXXXXXXX or status invalid; ","")&amp;IF(COUNTIFS($A$6:$A$505,A395,$B$6:$B$505,B395,$E$6:$E$505,E395)&gt;1,"duplicate number for same entity; ",""))))</x:f>
      </x:c>
    </x:row>
    <x:row r="396">
      <x:c r="A396" s="251"/>
      <x:c r="B396" s="252"/>
      <x:c r="C396" s="253"/>
      <x:c r="D396" s="253"/>
      <x:c r="E396" s="252"/>
      <x:c r="F396" s="252"/>
      <x:c r="G396" s="253"/>
      <x:c r="H396" s="253"/>
      <x:c r="I396" s="253"/>
      <x:c r="J396" s="253"/>
      <x:c r="K396" s="253"/>
      <x:c r="L396" s="253"/>
      <x:c r="M396" s="253" t="str">
        <x:f>IF(AND(A396="",B396="",E396=""),"",IF(OR(A396="",B396="",C396="",D396="",E396="",J396="",AND(A396="client",COUNTIF('الزبائن'!$A$6:$A$505,B396)=0),AND(A396="proposed_name",COUNTIF('أسماء مقترحة'!$A$6:$A$505,B396)=0),AND(D396="mobile",J396&lt;&gt;"invalid",NOT(OR(AND(LEN(E396&amp;"")=10,LEFT(E396&amp;"",2)="09"),AND(LEN(E396&amp;"")=9,LEFT(E396&amp;"",1)="9")))),COUNTIFS($A$6:$A$505,A396,$B$6:$B$505,B396,$E$6:$E$505,E396)&gt;1),"REVIEW","READY"))</x:f>
      </x:c>
      <x:c r="N396" s="255" t="str">
        <x:f>IF(M396="","",IF(M396="READY","",TRIM(IF(A396="","missing entity_type; ","")&amp;IF(B396="","missing entity_key; ","")&amp;IF(C396="","missing contact_order; ","")&amp;IF(D396="","missing contact_type; ","")&amp;IF(E396="","missing number; ","")&amp;IF(J396="","missing status; ","")&amp;IF(AND(A396="client",COUNTIF('الزبائن'!$A$6:$A$505,B396)=0),"client key not found; ","")&amp;IF(AND(A396="proposed_name",COUNTIF('أسماء مقترحة'!$A$6:$A$505,B396)=0),"proposed_name key not found; ","")&amp;IF(AND(D396="mobile",J396&lt;&gt;"invalid",NOT(OR(AND(LEN(E396&amp;"")=10,LEFT(E396&amp;"",2)="09"),AND(LEN(E396&amp;"")=9,LEFT(E396&amp;"",1)="9")))),"mobile must be 09XXXXXXXX or status invalid; ","")&amp;IF(COUNTIFS($A$6:$A$505,A396,$B$6:$B$505,B396,$E$6:$E$505,E396)&gt;1,"duplicate number for same entity; ",""))))</x:f>
      </x:c>
    </x:row>
    <x:row r="397">
      <x:c r="A397" s="251"/>
      <x:c r="B397" s="252"/>
      <x:c r="C397" s="253"/>
      <x:c r="D397" s="253"/>
      <x:c r="E397" s="252"/>
      <x:c r="F397" s="252"/>
      <x:c r="G397" s="253"/>
      <x:c r="H397" s="253"/>
      <x:c r="I397" s="253"/>
      <x:c r="J397" s="253"/>
      <x:c r="K397" s="253"/>
      <x:c r="L397" s="253"/>
      <x:c r="M397" s="253" t="str">
        <x:f>IF(AND(A397="",B397="",E397=""),"",IF(OR(A397="",B397="",C397="",D397="",E397="",J397="",AND(A397="client",COUNTIF('الزبائن'!$A$6:$A$505,B397)=0),AND(A397="proposed_name",COUNTIF('أسماء مقترحة'!$A$6:$A$505,B397)=0),AND(D397="mobile",J397&lt;&gt;"invalid",NOT(OR(AND(LEN(E397&amp;"")=10,LEFT(E397&amp;"",2)="09"),AND(LEN(E397&amp;"")=9,LEFT(E397&amp;"",1)="9")))),COUNTIFS($A$6:$A$505,A397,$B$6:$B$505,B397,$E$6:$E$505,E397)&gt;1),"REVIEW","READY"))</x:f>
      </x:c>
      <x:c r="N397" s="255" t="str">
        <x:f>IF(M397="","",IF(M397="READY","",TRIM(IF(A397="","missing entity_type; ","")&amp;IF(B397="","missing entity_key; ","")&amp;IF(C397="","missing contact_order; ","")&amp;IF(D397="","missing contact_type; ","")&amp;IF(E397="","missing number; ","")&amp;IF(J397="","missing status; ","")&amp;IF(AND(A397="client",COUNTIF('الزبائن'!$A$6:$A$505,B397)=0),"client key not found; ","")&amp;IF(AND(A397="proposed_name",COUNTIF('أسماء مقترحة'!$A$6:$A$505,B397)=0),"proposed_name key not found; ","")&amp;IF(AND(D397="mobile",J397&lt;&gt;"invalid",NOT(OR(AND(LEN(E397&amp;"")=10,LEFT(E397&amp;"",2)="09"),AND(LEN(E397&amp;"")=9,LEFT(E397&amp;"",1)="9")))),"mobile must be 09XXXXXXXX or status invalid; ","")&amp;IF(COUNTIFS($A$6:$A$505,A397,$B$6:$B$505,B397,$E$6:$E$505,E397)&gt;1,"duplicate number for same entity; ",""))))</x:f>
      </x:c>
    </x:row>
    <x:row r="398">
      <x:c r="A398" s="251"/>
      <x:c r="B398" s="252"/>
      <x:c r="C398" s="253"/>
      <x:c r="D398" s="253"/>
      <x:c r="E398" s="252"/>
      <x:c r="F398" s="252"/>
      <x:c r="G398" s="253"/>
      <x:c r="H398" s="253"/>
      <x:c r="I398" s="253"/>
      <x:c r="J398" s="253"/>
      <x:c r="K398" s="253"/>
      <x:c r="L398" s="253"/>
      <x:c r="M398" s="253" t="str">
        <x:f>IF(AND(A398="",B398="",E398=""),"",IF(OR(A398="",B398="",C398="",D398="",E398="",J398="",AND(A398="client",COUNTIF('الزبائن'!$A$6:$A$505,B398)=0),AND(A398="proposed_name",COUNTIF('أسماء مقترحة'!$A$6:$A$505,B398)=0),AND(D398="mobile",J398&lt;&gt;"invalid",NOT(OR(AND(LEN(E398&amp;"")=10,LEFT(E398&amp;"",2)="09"),AND(LEN(E398&amp;"")=9,LEFT(E398&amp;"",1)="9")))),COUNTIFS($A$6:$A$505,A398,$B$6:$B$505,B398,$E$6:$E$505,E398)&gt;1),"REVIEW","READY"))</x:f>
      </x:c>
      <x:c r="N398" s="255" t="str">
        <x:f>IF(M398="","",IF(M398="READY","",TRIM(IF(A398="","missing entity_type; ","")&amp;IF(B398="","missing entity_key; ","")&amp;IF(C398="","missing contact_order; ","")&amp;IF(D398="","missing contact_type; ","")&amp;IF(E398="","missing number; ","")&amp;IF(J398="","missing status; ","")&amp;IF(AND(A398="client",COUNTIF('الزبائن'!$A$6:$A$505,B398)=0),"client key not found; ","")&amp;IF(AND(A398="proposed_name",COUNTIF('أسماء مقترحة'!$A$6:$A$505,B398)=0),"proposed_name key not found; ","")&amp;IF(AND(D398="mobile",J398&lt;&gt;"invalid",NOT(OR(AND(LEN(E398&amp;"")=10,LEFT(E398&amp;"",2)="09"),AND(LEN(E398&amp;"")=9,LEFT(E398&amp;"",1)="9")))),"mobile must be 09XXXXXXXX or status invalid; ","")&amp;IF(COUNTIFS($A$6:$A$505,A398,$B$6:$B$505,B398,$E$6:$E$505,E398)&gt;1,"duplicate number for same entity; ",""))))</x:f>
      </x:c>
    </x:row>
    <x:row r="399">
      <x:c r="A399" s="251"/>
      <x:c r="B399" s="252"/>
      <x:c r="C399" s="253"/>
      <x:c r="D399" s="253"/>
      <x:c r="E399" s="252"/>
      <x:c r="F399" s="252"/>
      <x:c r="G399" s="253"/>
      <x:c r="H399" s="253"/>
      <x:c r="I399" s="253"/>
      <x:c r="J399" s="253"/>
      <x:c r="K399" s="253"/>
      <x:c r="L399" s="253"/>
      <x:c r="M399" s="253" t="str">
        <x:f>IF(AND(A399="",B399="",E399=""),"",IF(OR(A399="",B399="",C399="",D399="",E399="",J399="",AND(A399="client",COUNTIF('الزبائن'!$A$6:$A$505,B399)=0),AND(A399="proposed_name",COUNTIF('أسماء مقترحة'!$A$6:$A$505,B399)=0),AND(D399="mobile",J399&lt;&gt;"invalid",NOT(OR(AND(LEN(E399&amp;"")=10,LEFT(E399&amp;"",2)="09"),AND(LEN(E399&amp;"")=9,LEFT(E399&amp;"",1)="9")))),COUNTIFS($A$6:$A$505,A399,$B$6:$B$505,B399,$E$6:$E$505,E399)&gt;1),"REVIEW","READY"))</x:f>
      </x:c>
      <x:c r="N399" s="255" t="str">
        <x:f>IF(M399="","",IF(M399="READY","",TRIM(IF(A399="","missing entity_type; ","")&amp;IF(B399="","missing entity_key; ","")&amp;IF(C399="","missing contact_order; ","")&amp;IF(D399="","missing contact_type; ","")&amp;IF(E399="","missing number; ","")&amp;IF(J399="","missing status; ","")&amp;IF(AND(A399="client",COUNTIF('الزبائن'!$A$6:$A$505,B399)=0),"client key not found; ","")&amp;IF(AND(A399="proposed_name",COUNTIF('أسماء مقترحة'!$A$6:$A$505,B399)=0),"proposed_name key not found; ","")&amp;IF(AND(D399="mobile",J399&lt;&gt;"invalid",NOT(OR(AND(LEN(E399&amp;"")=10,LEFT(E399&amp;"",2)="09"),AND(LEN(E399&amp;"")=9,LEFT(E399&amp;"",1)="9")))),"mobile must be 09XXXXXXXX or status invalid; ","")&amp;IF(COUNTIFS($A$6:$A$505,A399,$B$6:$B$505,B399,$E$6:$E$505,E399)&gt;1,"duplicate number for same entity; ",""))))</x:f>
      </x:c>
    </x:row>
    <x:row r="400">
      <x:c r="A400" s="251"/>
      <x:c r="B400" s="252"/>
      <x:c r="C400" s="253"/>
      <x:c r="D400" s="253"/>
      <x:c r="E400" s="252"/>
      <x:c r="F400" s="252"/>
      <x:c r="G400" s="253"/>
      <x:c r="H400" s="253"/>
      <x:c r="I400" s="253"/>
      <x:c r="J400" s="253"/>
      <x:c r="K400" s="253"/>
      <x:c r="L400" s="253"/>
      <x:c r="M400" s="253" t="str">
        <x:f>IF(AND(A400="",B400="",E400=""),"",IF(OR(A400="",B400="",C400="",D400="",E400="",J400="",AND(A400="client",COUNTIF('الزبائن'!$A$6:$A$505,B400)=0),AND(A400="proposed_name",COUNTIF('أسماء مقترحة'!$A$6:$A$505,B400)=0),AND(D400="mobile",J400&lt;&gt;"invalid",NOT(OR(AND(LEN(E400&amp;"")=10,LEFT(E400&amp;"",2)="09"),AND(LEN(E400&amp;"")=9,LEFT(E400&amp;"",1)="9")))),COUNTIFS($A$6:$A$505,A400,$B$6:$B$505,B400,$E$6:$E$505,E400)&gt;1),"REVIEW","READY"))</x:f>
      </x:c>
      <x:c r="N400" s="255" t="str">
        <x:f>IF(M400="","",IF(M400="READY","",TRIM(IF(A400="","missing entity_type; ","")&amp;IF(B400="","missing entity_key; ","")&amp;IF(C400="","missing contact_order; ","")&amp;IF(D400="","missing contact_type; ","")&amp;IF(E400="","missing number; ","")&amp;IF(J400="","missing status; ","")&amp;IF(AND(A400="client",COUNTIF('الزبائن'!$A$6:$A$505,B400)=0),"client key not found; ","")&amp;IF(AND(A400="proposed_name",COUNTIF('أسماء مقترحة'!$A$6:$A$505,B400)=0),"proposed_name key not found; ","")&amp;IF(AND(D400="mobile",J400&lt;&gt;"invalid",NOT(OR(AND(LEN(E400&amp;"")=10,LEFT(E400&amp;"",2)="09"),AND(LEN(E400&amp;"")=9,LEFT(E400&amp;"",1)="9")))),"mobile must be 09XXXXXXXX or status invalid; ","")&amp;IF(COUNTIFS($A$6:$A$505,A400,$B$6:$B$505,B400,$E$6:$E$505,E400)&gt;1,"duplicate number for same entity; ",""))))</x:f>
      </x:c>
    </x:row>
    <x:row r="401">
      <x:c r="A401" s="251"/>
      <x:c r="B401" s="252"/>
      <x:c r="C401" s="253"/>
      <x:c r="D401" s="253"/>
      <x:c r="E401" s="252"/>
      <x:c r="F401" s="252"/>
      <x:c r="G401" s="253"/>
      <x:c r="H401" s="253"/>
      <x:c r="I401" s="253"/>
      <x:c r="J401" s="253"/>
      <x:c r="K401" s="253"/>
      <x:c r="L401" s="253"/>
      <x:c r="M401" s="253" t="str">
        <x:f>IF(AND(A401="",B401="",E401=""),"",IF(OR(A401="",B401="",C401="",D401="",E401="",J401="",AND(A401="client",COUNTIF('الزبائن'!$A$6:$A$505,B401)=0),AND(A401="proposed_name",COUNTIF('أسماء مقترحة'!$A$6:$A$505,B401)=0),AND(D401="mobile",J401&lt;&gt;"invalid",NOT(OR(AND(LEN(E401&amp;"")=10,LEFT(E401&amp;"",2)="09"),AND(LEN(E401&amp;"")=9,LEFT(E401&amp;"",1)="9")))),COUNTIFS($A$6:$A$505,A401,$B$6:$B$505,B401,$E$6:$E$505,E401)&gt;1),"REVIEW","READY"))</x:f>
      </x:c>
      <x:c r="N401" s="255" t="str">
        <x:f>IF(M401="","",IF(M401="READY","",TRIM(IF(A401="","missing entity_type; ","")&amp;IF(B401="","missing entity_key; ","")&amp;IF(C401="","missing contact_order; ","")&amp;IF(D401="","missing contact_type; ","")&amp;IF(E401="","missing number; ","")&amp;IF(J401="","missing status; ","")&amp;IF(AND(A401="client",COUNTIF('الزبائن'!$A$6:$A$505,B401)=0),"client key not found; ","")&amp;IF(AND(A401="proposed_name",COUNTIF('أسماء مقترحة'!$A$6:$A$505,B401)=0),"proposed_name key not found; ","")&amp;IF(AND(D401="mobile",J401&lt;&gt;"invalid",NOT(OR(AND(LEN(E401&amp;"")=10,LEFT(E401&amp;"",2)="09"),AND(LEN(E401&amp;"")=9,LEFT(E401&amp;"",1)="9")))),"mobile must be 09XXXXXXXX or status invalid; ","")&amp;IF(COUNTIFS($A$6:$A$505,A401,$B$6:$B$505,B401,$E$6:$E$505,E401)&gt;1,"duplicate number for same entity; ",""))))</x:f>
      </x:c>
    </x:row>
    <x:row r="402">
      <x:c r="A402" s="251"/>
      <x:c r="B402" s="252"/>
      <x:c r="C402" s="253"/>
      <x:c r="D402" s="253"/>
      <x:c r="E402" s="252"/>
      <x:c r="F402" s="252"/>
      <x:c r="G402" s="253"/>
      <x:c r="H402" s="253"/>
      <x:c r="I402" s="253"/>
      <x:c r="J402" s="253"/>
      <x:c r="K402" s="253"/>
      <x:c r="L402" s="253"/>
      <x:c r="M402" s="253" t="str">
        <x:f>IF(AND(A402="",B402="",E402=""),"",IF(OR(A402="",B402="",C402="",D402="",E402="",J402="",AND(A402="client",COUNTIF('الزبائن'!$A$6:$A$505,B402)=0),AND(A402="proposed_name",COUNTIF('أسماء مقترحة'!$A$6:$A$505,B402)=0),AND(D402="mobile",J402&lt;&gt;"invalid",NOT(OR(AND(LEN(E402&amp;"")=10,LEFT(E402&amp;"",2)="09"),AND(LEN(E402&amp;"")=9,LEFT(E402&amp;"",1)="9")))),COUNTIFS($A$6:$A$505,A402,$B$6:$B$505,B402,$E$6:$E$505,E402)&gt;1),"REVIEW","READY"))</x:f>
      </x:c>
      <x:c r="N402" s="255" t="str">
        <x:f>IF(M402="","",IF(M402="READY","",TRIM(IF(A402="","missing entity_type; ","")&amp;IF(B402="","missing entity_key; ","")&amp;IF(C402="","missing contact_order; ","")&amp;IF(D402="","missing contact_type; ","")&amp;IF(E402="","missing number; ","")&amp;IF(J402="","missing status; ","")&amp;IF(AND(A402="client",COUNTIF('الزبائن'!$A$6:$A$505,B402)=0),"client key not found; ","")&amp;IF(AND(A402="proposed_name",COUNTIF('أسماء مقترحة'!$A$6:$A$505,B402)=0),"proposed_name key not found; ","")&amp;IF(AND(D402="mobile",J402&lt;&gt;"invalid",NOT(OR(AND(LEN(E402&amp;"")=10,LEFT(E402&amp;"",2)="09"),AND(LEN(E402&amp;"")=9,LEFT(E402&amp;"",1)="9")))),"mobile must be 09XXXXXXXX or status invalid; ","")&amp;IF(COUNTIFS($A$6:$A$505,A402,$B$6:$B$505,B402,$E$6:$E$505,E402)&gt;1,"duplicate number for same entity; ",""))))</x:f>
      </x:c>
    </x:row>
    <x:row r="403">
      <x:c r="A403" s="251"/>
      <x:c r="B403" s="252"/>
      <x:c r="C403" s="253"/>
      <x:c r="D403" s="253"/>
      <x:c r="E403" s="252"/>
      <x:c r="F403" s="252"/>
      <x:c r="G403" s="253"/>
      <x:c r="H403" s="253"/>
      <x:c r="I403" s="253"/>
      <x:c r="J403" s="253"/>
      <x:c r="K403" s="253"/>
      <x:c r="L403" s="253"/>
      <x:c r="M403" s="253" t="str">
        <x:f>IF(AND(A403="",B403="",E403=""),"",IF(OR(A403="",B403="",C403="",D403="",E403="",J403="",AND(A403="client",COUNTIF('الزبائن'!$A$6:$A$505,B403)=0),AND(A403="proposed_name",COUNTIF('أسماء مقترحة'!$A$6:$A$505,B403)=0),AND(D403="mobile",J403&lt;&gt;"invalid",NOT(OR(AND(LEN(E403&amp;"")=10,LEFT(E403&amp;"",2)="09"),AND(LEN(E403&amp;"")=9,LEFT(E403&amp;"",1)="9")))),COUNTIFS($A$6:$A$505,A403,$B$6:$B$505,B403,$E$6:$E$505,E403)&gt;1),"REVIEW","READY"))</x:f>
      </x:c>
      <x:c r="N403" s="255" t="str">
        <x:f>IF(M403="","",IF(M403="READY","",TRIM(IF(A403="","missing entity_type; ","")&amp;IF(B403="","missing entity_key; ","")&amp;IF(C403="","missing contact_order; ","")&amp;IF(D403="","missing contact_type; ","")&amp;IF(E403="","missing number; ","")&amp;IF(J403="","missing status; ","")&amp;IF(AND(A403="client",COUNTIF('الزبائن'!$A$6:$A$505,B403)=0),"client key not found; ","")&amp;IF(AND(A403="proposed_name",COUNTIF('أسماء مقترحة'!$A$6:$A$505,B403)=0),"proposed_name key not found; ","")&amp;IF(AND(D403="mobile",J403&lt;&gt;"invalid",NOT(OR(AND(LEN(E403&amp;"")=10,LEFT(E403&amp;"",2)="09"),AND(LEN(E403&amp;"")=9,LEFT(E403&amp;"",1)="9")))),"mobile must be 09XXXXXXXX or status invalid; ","")&amp;IF(COUNTIFS($A$6:$A$505,A403,$B$6:$B$505,B403,$E$6:$E$505,E403)&gt;1,"duplicate number for same entity; ",""))))</x:f>
      </x:c>
    </x:row>
    <x:row r="404">
      <x:c r="A404" s="251"/>
      <x:c r="B404" s="252"/>
      <x:c r="C404" s="253"/>
      <x:c r="D404" s="253"/>
      <x:c r="E404" s="252"/>
      <x:c r="F404" s="252"/>
      <x:c r="G404" s="253"/>
      <x:c r="H404" s="253"/>
      <x:c r="I404" s="253"/>
      <x:c r="J404" s="253"/>
      <x:c r="K404" s="253"/>
      <x:c r="L404" s="253"/>
      <x:c r="M404" s="253" t="str">
        <x:f>IF(AND(A404="",B404="",E404=""),"",IF(OR(A404="",B404="",C404="",D404="",E404="",J404="",AND(A404="client",COUNTIF('الزبائن'!$A$6:$A$505,B404)=0),AND(A404="proposed_name",COUNTIF('أسماء مقترحة'!$A$6:$A$505,B404)=0),AND(D404="mobile",J404&lt;&gt;"invalid",NOT(OR(AND(LEN(E404&amp;"")=10,LEFT(E404&amp;"",2)="09"),AND(LEN(E404&amp;"")=9,LEFT(E404&amp;"",1)="9")))),COUNTIFS($A$6:$A$505,A404,$B$6:$B$505,B404,$E$6:$E$505,E404)&gt;1),"REVIEW","READY"))</x:f>
      </x:c>
      <x:c r="N404" s="255" t="str">
        <x:f>IF(M404="","",IF(M404="READY","",TRIM(IF(A404="","missing entity_type; ","")&amp;IF(B404="","missing entity_key; ","")&amp;IF(C404="","missing contact_order; ","")&amp;IF(D404="","missing contact_type; ","")&amp;IF(E404="","missing number; ","")&amp;IF(J404="","missing status; ","")&amp;IF(AND(A404="client",COUNTIF('الزبائن'!$A$6:$A$505,B404)=0),"client key not found; ","")&amp;IF(AND(A404="proposed_name",COUNTIF('أسماء مقترحة'!$A$6:$A$505,B404)=0),"proposed_name key not found; ","")&amp;IF(AND(D404="mobile",J404&lt;&gt;"invalid",NOT(OR(AND(LEN(E404&amp;"")=10,LEFT(E404&amp;"",2)="09"),AND(LEN(E404&amp;"")=9,LEFT(E404&amp;"",1)="9")))),"mobile must be 09XXXXXXXX or status invalid; ","")&amp;IF(COUNTIFS($A$6:$A$505,A404,$B$6:$B$505,B404,$E$6:$E$505,E404)&gt;1,"duplicate number for same entity; ",""))))</x:f>
      </x:c>
    </x:row>
    <x:row r="405">
      <x:c r="A405" s="251"/>
      <x:c r="B405" s="252"/>
      <x:c r="C405" s="253"/>
      <x:c r="D405" s="253"/>
      <x:c r="E405" s="252"/>
      <x:c r="F405" s="252"/>
      <x:c r="G405" s="253"/>
      <x:c r="H405" s="253"/>
      <x:c r="I405" s="253"/>
      <x:c r="J405" s="253"/>
      <x:c r="K405" s="253"/>
      <x:c r="L405" s="253"/>
      <x:c r="M405" s="253" t="str">
        <x:f>IF(AND(A405="",B405="",E405=""),"",IF(OR(A405="",B405="",C405="",D405="",E405="",J405="",AND(A405="client",COUNTIF('الزبائن'!$A$6:$A$505,B405)=0),AND(A405="proposed_name",COUNTIF('أسماء مقترحة'!$A$6:$A$505,B405)=0),AND(D405="mobile",J405&lt;&gt;"invalid",NOT(OR(AND(LEN(E405&amp;"")=10,LEFT(E405&amp;"",2)="09"),AND(LEN(E405&amp;"")=9,LEFT(E405&amp;"",1)="9")))),COUNTIFS($A$6:$A$505,A405,$B$6:$B$505,B405,$E$6:$E$505,E405)&gt;1),"REVIEW","READY"))</x:f>
      </x:c>
      <x:c r="N405" s="255" t="str">
        <x:f>IF(M405="","",IF(M405="READY","",TRIM(IF(A405="","missing entity_type; ","")&amp;IF(B405="","missing entity_key; ","")&amp;IF(C405="","missing contact_order; ","")&amp;IF(D405="","missing contact_type; ","")&amp;IF(E405="","missing number; ","")&amp;IF(J405="","missing status; ","")&amp;IF(AND(A405="client",COUNTIF('الزبائن'!$A$6:$A$505,B405)=0),"client key not found; ","")&amp;IF(AND(A405="proposed_name",COUNTIF('أسماء مقترحة'!$A$6:$A$505,B405)=0),"proposed_name key not found; ","")&amp;IF(AND(D405="mobile",J405&lt;&gt;"invalid",NOT(OR(AND(LEN(E405&amp;"")=10,LEFT(E405&amp;"",2)="09"),AND(LEN(E405&amp;"")=9,LEFT(E405&amp;"",1)="9")))),"mobile must be 09XXXXXXXX or status invalid; ","")&amp;IF(COUNTIFS($A$6:$A$505,A405,$B$6:$B$505,B405,$E$6:$E$505,E405)&gt;1,"duplicate number for same entity; ",""))))</x:f>
      </x:c>
    </x:row>
    <x:row r="406">
      <x:c r="A406" s="251"/>
      <x:c r="B406" s="252"/>
      <x:c r="C406" s="253"/>
      <x:c r="D406" s="253"/>
      <x:c r="E406" s="252"/>
      <x:c r="F406" s="252"/>
      <x:c r="G406" s="253"/>
      <x:c r="H406" s="253"/>
      <x:c r="I406" s="253"/>
      <x:c r="J406" s="253"/>
      <x:c r="K406" s="253"/>
      <x:c r="L406" s="253"/>
      <x:c r="M406" s="253" t="str">
        <x:f>IF(AND(A406="",B406="",E406=""),"",IF(OR(A406="",B406="",C406="",D406="",E406="",J406="",AND(A406="client",COUNTIF('الزبائن'!$A$6:$A$505,B406)=0),AND(A406="proposed_name",COUNTIF('أسماء مقترحة'!$A$6:$A$505,B406)=0),AND(D406="mobile",J406&lt;&gt;"invalid",NOT(OR(AND(LEN(E406&amp;"")=10,LEFT(E406&amp;"",2)="09"),AND(LEN(E406&amp;"")=9,LEFT(E406&amp;"",1)="9")))),COUNTIFS($A$6:$A$505,A406,$B$6:$B$505,B406,$E$6:$E$505,E406)&gt;1),"REVIEW","READY"))</x:f>
      </x:c>
      <x:c r="N406" s="255" t="str">
        <x:f>IF(M406="","",IF(M406="READY","",TRIM(IF(A406="","missing entity_type; ","")&amp;IF(B406="","missing entity_key; ","")&amp;IF(C406="","missing contact_order; ","")&amp;IF(D406="","missing contact_type; ","")&amp;IF(E406="","missing number; ","")&amp;IF(J406="","missing status; ","")&amp;IF(AND(A406="client",COUNTIF('الزبائن'!$A$6:$A$505,B406)=0),"client key not found; ","")&amp;IF(AND(A406="proposed_name",COUNTIF('أسماء مقترحة'!$A$6:$A$505,B406)=0),"proposed_name key not found; ","")&amp;IF(AND(D406="mobile",J406&lt;&gt;"invalid",NOT(OR(AND(LEN(E406&amp;"")=10,LEFT(E406&amp;"",2)="09"),AND(LEN(E406&amp;"")=9,LEFT(E406&amp;"",1)="9")))),"mobile must be 09XXXXXXXX or status invalid; ","")&amp;IF(COUNTIFS($A$6:$A$505,A406,$B$6:$B$505,B406,$E$6:$E$505,E406)&gt;1,"duplicate number for same entity; ",""))))</x:f>
      </x:c>
    </x:row>
    <x:row r="407">
      <x:c r="A407" s="251"/>
      <x:c r="B407" s="252"/>
      <x:c r="C407" s="253"/>
      <x:c r="D407" s="253"/>
      <x:c r="E407" s="252"/>
      <x:c r="F407" s="252"/>
      <x:c r="G407" s="253"/>
      <x:c r="H407" s="253"/>
      <x:c r="I407" s="253"/>
      <x:c r="J407" s="253"/>
      <x:c r="K407" s="253"/>
      <x:c r="L407" s="253"/>
      <x:c r="M407" s="253" t="str">
        <x:f>IF(AND(A407="",B407="",E407=""),"",IF(OR(A407="",B407="",C407="",D407="",E407="",J407="",AND(A407="client",COUNTIF('الزبائن'!$A$6:$A$505,B407)=0),AND(A407="proposed_name",COUNTIF('أسماء مقترحة'!$A$6:$A$505,B407)=0),AND(D407="mobile",J407&lt;&gt;"invalid",NOT(OR(AND(LEN(E407&amp;"")=10,LEFT(E407&amp;"",2)="09"),AND(LEN(E407&amp;"")=9,LEFT(E407&amp;"",1)="9")))),COUNTIFS($A$6:$A$505,A407,$B$6:$B$505,B407,$E$6:$E$505,E407)&gt;1),"REVIEW","READY"))</x:f>
      </x:c>
      <x:c r="N407" s="255" t="str">
        <x:f>IF(M407="","",IF(M407="READY","",TRIM(IF(A407="","missing entity_type; ","")&amp;IF(B407="","missing entity_key; ","")&amp;IF(C407="","missing contact_order; ","")&amp;IF(D407="","missing contact_type; ","")&amp;IF(E407="","missing number; ","")&amp;IF(J407="","missing status; ","")&amp;IF(AND(A407="client",COUNTIF('الزبائن'!$A$6:$A$505,B407)=0),"client key not found; ","")&amp;IF(AND(A407="proposed_name",COUNTIF('أسماء مقترحة'!$A$6:$A$505,B407)=0),"proposed_name key not found; ","")&amp;IF(AND(D407="mobile",J407&lt;&gt;"invalid",NOT(OR(AND(LEN(E407&amp;"")=10,LEFT(E407&amp;"",2)="09"),AND(LEN(E407&amp;"")=9,LEFT(E407&amp;"",1)="9")))),"mobile must be 09XXXXXXXX or status invalid; ","")&amp;IF(COUNTIFS($A$6:$A$505,A407,$B$6:$B$505,B407,$E$6:$E$505,E407)&gt;1,"duplicate number for same entity; ",""))))</x:f>
      </x:c>
    </x:row>
    <x:row r="408">
      <x:c r="A408" s="251"/>
      <x:c r="B408" s="252"/>
      <x:c r="C408" s="253"/>
      <x:c r="D408" s="253"/>
      <x:c r="E408" s="252"/>
      <x:c r="F408" s="252"/>
      <x:c r="G408" s="253"/>
      <x:c r="H408" s="253"/>
      <x:c r="I408" s="253"/>
      <x:c r="J408" s="253"/>
      <x:c r="K408" s="253"/>
      <x:c r="L408" s="253"/>
      <x:c r="M408" s="253" t="str">
        <x:f>IF(AND(A408="",B408="",E408=""),"",IF(OR(A408="",B408="",C408="",D408="",E408="",J408="",AND(A408="client",COUNTIF('الزبائن'!$A$6:$A$505,B408)=0),AND(A408="proposed_name",COUNTIF('أسماء مقترحة'!$A$6:$A$505,B408)=0),AND(D408="mobile",J408&lt;&gt;"invalid",NOT(OR(AND(LEN(E408&amp;"")=10,LEFT(E408&amp;"",2)="09"),AND(LEN(E408&amp;"")=9,LEFT(E408&amp;"",1)="9")))),COUNTIFS($A$6:$A$505,A408,$B$6:$B$505,B408,$E$6:$E$505,E408)&gt;1),"REVIEW","READY"))</x:f>
      </x:c>
      <x:c r="N408" s="255" t="str">
        <x:f>IF(M408="","",IF(M408="READY","",TRIM(IF(A408="","missing entity_type; ","")&amp;IF(B408="","missing entity_key; ","")&amp;IF(C408="","missing contact_order; ","")&amp;IF(D408="","missing contact_type; ","")&amp;IF(E408="","missing number; ","")&amp;IF(J408="","missing status; ","")&amp;IF(AND(A408="client",COUNTIF('الزبائن'!$A$6:$A$505,B408)=0),"client key not found; ","")&amp;IF(AND(A408="proposed_name",COUNTIF('أسماء مقترحة'!$A$6:$A$505,B408)=0),"proposed_name key not found; ","")&amp;IF(AND(D408="mobile",J408&lt;&gt;"invalid",NOT(OR(AND(LEN(E408&amp;"")=10,LEFT(E408&amp;"",2)="09"),AND(LEN(E408&amp;"")=9,LEFT(E408&amp;"",1)="9")))),"mobile must be 09XXXXXXXX or status invalid; ","")&amp;IF(COUNTIFS($A$6:$A$505,A408,$B$6:$B$505,B408,$E$6:$E$505,E408)&gt;1,"duplicate number for same entity; ",""))))</x:f>
      </x:c>
    </x:row>
    <x:row r="409">
      <x:c r="A409" s="251"/>
      <x:c r="B409" s="252"/>
      <x:c r="C409" s="253"/>
      <x:c r="D409" s="253"/>
      <x:c r="E409" s="252"/>
      <x:c r="F409" s="252"/>
      <x:c r="G409" s="253"/>
      <x:c r="H409" s="253"/>
      <x:c r="I409" s="253"/>
      <x:c r="J409" s="253"/>
      <x:c r="K409" s="253"/>
      <x:c r="L409" s="253"/>
      <x:c r="M409" s="253" t="str">
        <x:f>IF(AND(A409="",B409="",E409=""),"",IF(OR(A409="",B409="",C409="",D409="",E409="",J409="",AND(A409="client",COUNTIF('الزبائن'!$A$6:$A$505,B409)=0),AND(A409="proposed_name",COUNTIF('أسماء مقترحة'!$A$6:$A$505,B409)=0),AND(D409="mobile",J409&lt;&gt;"invalid",NOT(OR(AND(LEN(E409&amp;"")=10,LEFT(E409&amp;"",2)="09"),AND(LEN(E409&amp;"")=9,LEFT(E409&amp;"",1)="9")))),COUNTIFS($A$6:$A$505,A409,$B$6:$B$505,B409,$E$6:$E$505,E409)&gt;1),"REVIEW","READY"))</x:f>
      </x:c>
      <x:c r="N409" s="255" t="str">
        <x:f>IF(M409="","",IF(M409="READY","",TRIM(IF(A409="","missing entity_type; ","")&amp;IF(B409="","missing entity_key; ","")&amp;IF(C409="","missing contact_order; ","")&amp;IF(D409="","missing contact_type; ","")&amp;IF(E409="","missing number; ","")&amp;IF(J409="","missing status; ","")&amp;IF(AND(A409="client",COUNTIF('الزبائن'!$A$6:$A$505,B409)=0),"client key not found; ","")&amp;IF(AND(A409="proposed_name",COUNTIF('أسماء مقترحة'!$A$6:$A$505,B409)=0),"proposed_name key not found; ","")&amp;IF(AND(D409="mobile",J409&lt;&gt;"invalid",NOT(OR(AND(LEN(E409&amp;"")=10,LEFT(E409&amp;"",2)="09"),AND(LEN(E409&amp;"")=9,LEFT(E409&amp;"",1)="9")))),"mobile must be 09XXXXXXXX or status invalid; ","")&amp;IF(COUNTIFS($A$6:$A$505,A409,$B$6:$B$505,B409,$E$6:$E$505,E409)&gt;1,"duplicate number for same entity; ",""))))</x:f>
      </x:c>
    </x:row>
    <x:row r="410">
      <x:c r="A410" s="251"/>
      <x:c r="B410" s="252"/>
      <x:c r="C410" s="253"/>
      <x:c r="D410" s="253"/>
      <x:c r="E410" s="252"/>
      <x:c r="F410" s="252"/>
      <x:c r="G410" s="253"/>
      <x:c r="H410" s="253"/>
      <x:c r="I410" s="253"/>
      <x:c r="J410" s="253"/>
      <x:c r="K410" s="253"/>
      <x:c r="L410" s="253"/>
      <x:c r="M410" s="253" t="str">
        <x:f>IF(AND(A410="",B410="",E410=""),"",IF(OR(A410="",B410="",C410="",D410="",E410="",J410="",AND(A410="client",COUNTIF('الزبائن'!$A$6:$A$505,B410)=0),AND(A410="proposed_name",COUNTIF('أسماء مقترحة'!$A$6:$A$505,B410)=0),AND(D410="mobile",J410&lt;&gt;"invalid",NOT(OR(AND(LEN(E410&amp;"")=10,LEFT(E410&amp;"",2)="09"),AND(LEN(E410&amp;"")=9,LEFT(E410&amp;"",1)="9")))),COUNTIFS($A$6:$A$505,A410,$B$6:$B$505,B410,$E$6:$E$505,E410)&gt;1),"REVIEW","READY"))</x:f>
      </x:c>
      <x:c r="N410" s="255" t="str">
        <x:f>IF(M410="","",IF(M410="READY","",TRIM(IF(A410="","missing entity_type; ","")&amp;IF(B410="","missing entity_key; ","")&amp;IF(C410="","missing contact_order; ","")&amp;IF(D410="","missing contact_type; ","")&amp;IF(E410="","missing number; ","")&amp;IF(J410="","missing status; ","")&amp;IF(AND(A410="client",COUNTIF('الزبائن'!$A$6:$A$505,B410)=0),"client key not found; ","")&amp;IF(AND(A410="proposed_name",COUNTIF('أسماء مقترحة'!$A$6:$A$505,B410)=0),"proposed_name key not found; ","")&amp;IF(AND(D410="mobile",J410&lt;&gt;"invalid",NOT(OR(AND(LEN(E410&amp;"")=10,LEFT(E410&amp;"",2)="09"),AND(LEN(E410&amp;"")=9,LEFT(E410&amp;"",1)="9")))),"mobile must be 09XXXXXXXX or status invalid; ","")&amp;IF(COUNTIFS($A$6:$A$505,A410,$B$6:$B$505,B410,$E$6:$E$505,E410)&gt;1,"duplicate number for same entity; ",""))))</x:f>
      </x:c>
    </x:row>
    <x:row r="411">
      <x:c r="A411" s="251"/>
      <x:c r="B411" s="252"/>
      <x:c r="C411" s="253"/>
      <x:c r="D411" s="253"/>
      <x:c r="E411" s="252"/>
      <x:c r="F411" s="252"/>
      <x:c r="G411" s="253"/>
      <x:c r="H411" s="253"/>
      <x:c r="I411" s="253"/>
      <x:c r="J411" s="253"/>
      <x:c r="K411" s="253"/>
      <x:c r="L411" s="253"/>
      <x:c r="M411" s="253" t="str">
        <x:f>IF(AND(A411="",B411="",E411=""),"",IF(OR(A411="",B411="",C411="",D411="",E411="",J411="",AND(A411="client",COUNTIF('الزبائن'!$A$6:$A$505,B411)=0),AND(A411="proposed_name",COUNTIF('أسماء مقترحة'!$A$6:$A$505,B411)=0),AND(D411="mobile",J411&lt;&gt;"invalid",NOT(OR(AND(LEN(E411&amp;"")=10,LEFT(E411&amp;"",2)="09"),AND(LEN(E411&amp;"")=9,LEFT(E411&amp;"",1)="9")))),COUNTIFS($A$6:$A$505,A411,$B$6:$B$505,B411,$E$6:$E$505,E411)&gt;1),"REVIEW","READY"))</x:f>
      </x:c>
      <x:c r="N411" s="255" t="str">
        <x:f>IF(M411="","",IF(M411="READY","",TRIM(IF(A411="","missing entity_type; ","")&amp;IF(B411="","missing entity_key; ","")&amp;IF(C411="","missing contact_order; ","")&amp;IF(D411="","missing contact_type; ","")&amp;IF(E411="","missing number; ","")&amp;IF(J411="","missing status; ","")&amp;IF(AND(A411="client",COUNTIF('الزبائن'!$A$6:$A$505,B411)=0),"client key not found; ","")&amp;IF(AND(A411="proposed_name",COUNTIF('أسماء مقترحة'!$A$6:$A$505,B411)=0),"proposed_name key not found; ","")&amp;IF(AND(D411="mobile",J411&lt;&gt;"invalid",NOT(OR(AND(LEN(E411&amp;"")=10,LEFT(E411&amp;"",2)="09"),AND(LEN(E411&amp;"")=9,LEFT(E411&amp;"",1)="9")))),"mobile must be 09XXXXXXXX or status invalid; ","")&amp;IF(COUNTIFS($A$6:$A$505,A411,$B$6:$B$505,B411,$E$6:$E$505,E411)&gt;1,"duplicate number for same entity; ",""))))</x:f>
      </x:c>
    </x:row>
    <x:row r="412">
      <x:c r="A412" s="251"/>
      <x:c r="B412" s="252"/>
      <x:c r="C412" s="253"/>
      <x:c r="D412" s="253"/>
      <x:c r="E412" s="252"/>
      <x:c r="F412" s="252"/>
      <x:c r="G412" s="253"/>
      <x:c r="H412" s="253"/>
      <x:c r="I412" s="253"/>
      <x:c r="J412" s="253"/>
      <x:c r="K412" s="253"/>
      <x:c r="L412" s="253"/>
      <x:c r="M412" s="253" t="str">
        <x:f>IF(AND(A412="",B412="",E412=""),"",IF(OR(A412="",B412="",C412="",D412="",E412="",J412="",AND(A412="client",COUNTIF('الزبائن'!$A$6:$A$505,B412)=0),AND(A412="proposed_name",COUNTIF('أسماء مقترحة'!$A$6:$A$505,B412)=0),AND(D412="mobile",J412&lt;&gt;"invalid",NOT(OR(AND(LEN(E412&amp;"")=10,LEFT(E412&amp;"",2)="09"),AND(LEN(E412&amp;"")=9,LEFT(E412&amp;"",1)="9")))),COUNTIFS($A$6:$A$505,A412,$B$6:$B$505,B412,$E$6:$E$505,E412)&gt;1),"REVIEW","READY"))</x:f>
      </x:c>
      <x:c r="N412" s="255" t="str">
        <x:f>IF(M412="","",IF(M412="READY","",TRIM(IF(A412="","missing entity_type; ","")&amp;IF(B412="","missing entity_key; ","")&amp;IF(C412="","missing contact_order; ","")&amp;IF(D412="","missing contact_type; ","")&amp;IF(E412="","missing number; ","")&amp;IF(J412="","missing status; ","")&amp;IF(AND(A412="client",COUNTIF('الزبائن'!$A$6:$A$505,B412)=0),"client key not found; ","")&amp;IF(AND(A412="proposed_name",COUNTIF('أسماء مقترحة'!$A$6:$A$505,B412)=0),"proposed_name key not found; ","")&amp;IF(AND(D412="mobile",J412&lt;&gt;"invalid",NOT(OR(AND(LEN(E412&amp;"")=10,LEFT(E412&amp;"",2)="09"),AND(LEN(E412&amp;"")=9,LEFT(E412&amp;"",1)="9")))),"mobile must be 09XXXXXXXX or status invalid; ","")&amp;IF(COUNTIFS($A$6:$A$505,A412,$B$6:$B$505,B412,$E$6:$E$505,E412)&gt;1,"duplicate number for same entity; ",""))))</x:f>
      </x:c>
    </x:row>
    <x:row r="413">
      <x:c r="A413" s="251"/>
      <x:c r="B413" s="252"/>
      <x:c r="C413" s="253"/>
      <x:c r="D413" s="253"/>
      <x:c r="E413" s="252"/>
      <x:c r="F413" s="252"/>
      <x:c r="G413" s="253"/>
      <x:c r="H413" s="253"/>
      <x:c r="I413" s="253"/>
      <x:c r="J413" s="253"/>
      <x:c r="K413" s="253"/>
      <x:c r="L413" s="253"/>
      <x:c r="M413" s="253" t="str">
        <x:f>IF(AND(A413="",B413="",E413=""),"",IF(OR(A413="",B413="",C413="",D413="",E413="",J413="",AND(A413="client",COUNTIF('الزبائن'!$A$6:$A$505,B413)=0),AND(A413="proposed_name",COUNTIF('أسماء مقترحة'!$A$6:$A$505,B413)=0),AND(D413="mobile",J413&lt;&gt;"invalid",NOT(OR(AND(LEN(E413&amp;"")=10,LEFT(E413&amp;"",2)="09"),AND(LEN(E413&amp;"")=9,LEFT(E413&amp;"",1)="9")))),COUNTIFS($A$6:$A$505,A413,$B$6:$B$505,B413,$E$6:$E$505,E413)&gt;1),"REVIEW","READY"))</x:f>
      </x:c>
      <x:c r="N413" s="255" t="str">
        <x:f>IF(M413="","",IF(M413="READY","",TRIM(IF(A413="","missing entity_type; ","")&amp;IF(B413="","missing entity_key; ","")&amp;IF(C413="","missing contact_order; ","")&amp;IF(D413="","missing contact_type; ","")&amp;IF(E413="","missing number; ","")&amp;IF(J413="","missing status; ","")&amp;IF(AND(A413="client",COUNTIF('الزبائن'!$A$6:$A$505,B413)=0),"client key not found; ","")&amp;IF(AND(A413="proposed_name",COUNTIF('أسماء مقترحة'!$A$6:$A$505,B413)=0),"proposed_name key not found; ","")&amp;IF(AND(D413="mobile",J413&lt;&gt;"invalid",NOT(OR(AND(LEN(E413&amp;"")=10,LEFT(E413&amp;"",2)="09"),AND(LEN(E413&amp;"")=9,LEFT(E413&amp;"",1)="9")))),"mobile must be 09XXXXXXXX or status invalid; ","")&amp;IF(COUNTIFS($A$6:$A$505,A413,$B$6:$B$505,B413,$E$6:$E$505,E413)&gt;1,"duplicate number for same entity; ",""))))</x:f>
      </x:c>
    </x:row>
    <x:row r="414">
      <x:c r="A414" s="251"/>
      <x:c r="B414" s="252"/>
      <x:c r="C414" s="253"/>
      <x:c r="D414" s="253"/>
      <x:c r="E414" s="252"/>
      <x:c r="F414" s="252"/>
      <x:c r="G414" s="253"/>
      <x:c r="H414" s="253"/>
      <x:c r="I414" s="253"/>
      <x:c r="J414" s="253"/>
      <x:c r="K414" s="253"/>
      <x:c r="L414" s="253"/>
      <x:c r="M414" s="253" t="str">
        <x:f>IF(AND(A414="",B414="",E414=""),"",IF(OR(A414="",B414="",C414="",D414="",E414="",J414="",AND(A414="client",COUNTIF('الزبائن'!$A$6:$A$505,B414)=0),AND(A414="proposed_name",COUNTIF('أسماء مقترحة'!$A$6:$A$505,B414)=0),AND(D414="mobile",J414&lt;&gt;"invalid",NOT(OR(AND(LEN(E414&amp;"")=10,LEFT(E414&amp;"",2)="09"),AND(LEN(E414&amp;"")=9,LEFT(E414&amp;"",1)="9")))),COUNTIFS($A$6:$A$505,A414,$B$6:$B$505,B414,$E$6:$E$505,E414)&gt;1),"REVIEW","READY"))</x:f>
      </x:c>
      <x:c r="N414" s="255" t="str">
        <x:f>IF(M414="","",IF(M414="READY","",TRIM(IF(A414="","missing entity_type; ","")&amp;IF(B414="","missing entity_key; ","")&amp;IF(C414="","missing contact_order; ","")&amp;IF(D414="","missing contact_type; ","")&amp;IF(E414="","missing number; ","")&amp;IF(J414="","missing status; ","")&amp;IF(AND(A414="client",COUNTIF('الزبائن'!$A$6:$A$505,B414)=0),"client key not found; ","")&amp;IF(AND(A414="proposed_name",COUNTIF('أسماء مقترحة'!$A$6:$A$505,B414)=0),"proposed_name key not found; ","")&amp;IF(AND(D414="mobile",J414&lt;&gt;"invalid",NOT(OR(AND(LEN(E414&amp;"")=10,LEFT(E414&amp;"",2)="09"),AND(LEN(E414&amp;"")=9,LEFT(E414&amp;"",1)="9")))),"mobile must be 09XXXXXXXX or status invalid; ","")&amp;IF(COUNTIFS($A$6:$A$505,A414,$B$6:$B$505,B414,$E$6:$E$505,E414)&gt;1,"duplicate number for same entity; ",""))))</x:f>
      </x:c>
    </x:row>
    <x:row r="415">
      <x:c r="A415" s="251"/>
      <x:c r="B415" s="252"/>
      <x:c r="C415" s="253"/>
      <x:c r="D415" s="253"/>
      <x:c r="E415" s="252"/>
      <x:c r="F415" s="252"/>
      <x:c r="G415" s="253"/>
      <x:c r="H415" s="253"/>
      <x:c r="I415" s="253"/>
      <x:c r="J415" s="253"/>
      <x:c r="K415" s="253"/>
      <x:c r="L415" s="253"/>
      <x:c r="M415" s="253" t="str">
        <x:f>IF(AND(A415="",B415="",E415=""),"",IF(OR(A415="",B415="",C415="",D415="",E415="",J415="",AND(A415="client",COUNTIF('الزبائن'!$A$6:$A$505,B415)=0),AND(A415="proposed_name",COUNTIF('أسماء مقترحة'!$A$6:$A$505,B415)=0),AND(D415="mobile",J415&lt;&gt;"invalid",NOT(OR(AND(LEN(E415&amp;"")=10,LEFT(E415&amp;"",2)="09"),AND(LEN(E415&amp;"")=9,LEFT(E415&amp;"",1)="9")))),COUNTIFS($A$6:$A$505,A415,$B$6:$B$505,B415,$E$6:$E$505,E415)&gt;1),"REVIEW","READY"))</x:f>
      </x:c>
      <x:c r="N415" s="255" t="str">
        <x:f>IF(M415="","",IF(M415="READY","",TRIM(IF(A415="","missing entity_type; ","")&amp;IF(B415="","missing entity_key; ","")&amp;IF(C415="","missing contact_order; ","")&amp;IF(D415="","missing contact_type; ","")&amp;IF(E415="","missing number; ","")&amp;IF(J415="","missing status; ","")&amp;IF(AND(A415="client",COUNTIF('الزبائن'!$A$6:$A$505,B415)=0),"client key not found; ","")&amp;IF(AND(A415="proposed_name",COUNTIF('أسماء مقترحة'!$A$6:$A$505,B415)=0),"proposed_name key not found; ","")&amp;IF(AND(D415="mobile",J415&lt;&gt;"invalid",NOT(OR(AND(LEN(E415&amp;"")=10,LEFT(E415&amp;"",2)="09"),AND(LEN(E415&amp;"")=9,LEFT(E415&amp;"",1)="9")))),"mobile must be 09XXXXXXXX or status invalid; ","")&amp;IF(COUNTIFS($A$6:$A$505,A415,$B$6:$B$505,B415,$E$6:$E$505,E415)&gt;1,"duplicate number for same entity; ",""))))</x:f>
      </x:c>
    </x:row>
    <x:row r="416">
      <x:c r="A416" s="251"/>
      <x:c r="B416" s="252"/>
      <x:c r="C416" s="253"/>
      <x:c r="D416" s="253"/>
      <x:c r="E416" s="252"/>
      <x:c r="F416" s="252"/>
      <x:c r="G416" s="253"/>
      <x:c r="H416" s="253"/>
      <x:c r="I416" s="253"/>
      <x:c r="J416" s="253"/>
      <x:c r="K416" s="253"/>
      <x:c r="L416" s="253"/>
      <x:c r="M416" s="253" t="str">
        <x:f>IF(AND(A416="",B416="",E416=""),"",IF(OR(A416="",B416="",C416="",D416="",E416="",J416="",AND(A416="client",COUNTIF('الزبائن'!$A$6:$A$505,B416)=0),AND(A416="proposed_name",COUNTIF('أسماء مقترحة'!$A$6:$A$505,B416)=0),AND(D416="mobile",J416&lt;&gt;"invalid",NOT(OR(AND(LEN(E416&amp;"")=10,LEFT(E416&amp;"",2)="09"),AND(LEN(E416&amp;"")=9,LEFT(E416&amp;"",1)="9")))),COUNTIFS($A$6:$A$505,A416,$B$6:$B$505,B416,$E$6:$E$505,E416)&gt;1),"REVIEW","READY"))</x:f>
      </x:c>
      <x:c r="N416" s="255" t="str">
        <x:f>IF(M416="","",IF(M416="READY","",TRIM(IF(A416="","missing entity_type; ","")&amp;IF(B416="","missing entity_key; ","")&amp;IF(C416="","missing contact_order; ","")&amp;IF(D416="","missing contact_type; ","")&amp;IF(E416="","missing number; ","")&amp;IF(J416="","missing status; ","")&amp;IF(AND(A416="client",COUNTIF('الزبائن'!$A$6:$A$505,B416)=0),"client key not found; ","")&amp;IF(AND(A416="proposed_name",COUNTIF('أسماء مقترحة'!$A$6:$A$505,B416)=0),"proposed_name key not found; ","")&amp;IF(AND(D416="mobile",J416&lt;&gt;"invalid",NOT(OR(AND(LEN(E416&amp;"")=10,LEFT(E416&amp;"",2)="09"),AND(LEN(E416&amp;"")=9,LEFT(E416&amp;"",1)="9")))),"mobile must be 09XXXXXXXX or status invalid; ","")&amp;IF(COUNTIFS($A$6:$A$505,A416,$B$6:$B$505,B416,$E$6:$E$505,E416)&gt;1,"duplicate number for same entity; ",""))))</x:f>
      </x:c>
    </x:row>
    <x:row r="417">
      <x:c r="A417" s="251"/>
      <x:c r="B417" s="252"/>
      <x:c r="C417" s="253"/>
      <x:c r="D417" s="253"/>
      <x:c r="E417" s="252"/>
      <x:c r="F417" s="252"/>
      <x:c r="G417" s="253"/>
      <x:c r="H417" s="253"/>
      <x:c r="I417" s="253"/>
      <x:c r="J417" s="253"/>
      <x:c r="K417" s="253"/>
      <x:c r="L417" s="253"/>
      <x:c r="M417" s="253" t="str">
        <x:f>IF(AND(A417="",B417="",E417=""),"",IF(OR(A417="",B417="",C417="",D417="",E417="",J417="",AND(A417="client",COUNTIF('الزبائن'!$A$6:$A$505,B417)=0),AND(A417="proposed_name",COUNTIF('أسماء مقترحة'!$A$6:$A$505,B417)=0),AND(D417="mobile",J417&lt;&gt;"invalid",NOT(OR(AND(LEN(E417&amp;"")=10,LEFT(E417&amp;"",2)="09"),AND(LEN(E417&amp;"")=9,LEFT(E417&amp;"",1)="9")))),COUNTIFS($A$6:$A$505,A417,$B$6:$B$505,B417,$E$6:$E$505,E417)&gt;1),"REVIEW","READY"))</x:f>
      </x:c>
      <x:c r="N417" s="255" t="str">
        <x:f>IF(M417="","",IF(M417="READY","",TRIM(IF(A417="","missing entity_type; ","")&amp;IF(B417="","missing entity_key; ","")&amp;IF(C417="","missing contact_order; ","")&amp;IF(D417="","missing contact_type; ","")&amp;IF(E417="","missing number; ","")&amp;IF(J417="","missing status; ","")&amp;IF(AND(A417="client",COUNTIF('الزبائن'!$A$6:$A$505,B417)=0),"client key not found; ","")&amp;IF(AND(A417="proposed_name",COUNTIF('أسماء مقترحة'!$A$6:$A$505,B417)=0),"proposed_name key not found; ","")&amp;IF(AND(D417="mobile",J417&lt;&gt;"invalid",NOT(OR(AND(LEN(E417&amp;"")=10,LEFT(E417&amp;"",2)="09"),AND(LEN(E417&amp;"")=9,LEFT(E417&amp;"",1)="9")))),"mobile must be 09XXXXXXXX or status invalid; ","")&amp;IF(COUNTIFS($A$6:$A$505,A417,$B$6:$B$505,B417,$E$6:$E$505,E417)&gt;1,"duplicate number for same entity; ",""))))</x:f>
      </x:c>
    </x:row>
    <x:row r="418">
      <x:c r="A418" s="251"/>
      <x:c r="B418" s="252"/>
      <x:c r="C418" s="253"/>
      <x:c r="D418" s="253"/>
      <x:c r="E418" s="252"/>
      <x:c r="F418" s="252"/>
      <x:c r="G418" s="253"/>
      <x:c r="H418" s="253"/>
      <x:c r="I418" s="253"/>
      <x:c r="J418" s="253"/>
      <x:c r="K418" s="253"/>
      <x:c r="L418" s="253"/>
      <x:c r="M418" s="253" t="str">
        <x:f>IF(AND(A418="",B418="",E418=""),"",IF(OR(A418="",B418="",C418="",D418="",E418="",J418="",AND(A418="client",COUNTIF('الزبائن'!$A$6:$A$505,B418)=0),AND(A418="proposed_name",COUNTIF('أسماء مقترحة'!$A$6:$A$505,B418)=0),AND(D418="mobile",J418&lt;&gt;"invalid",NOT(OR(AND(LEN(E418&amp;"")=10,LEFT(E418&amp;"",2)="09"),AND(LEN(E418&amp;"")=9,LEFT(E418&amp;"",1)="9")))),COUNTIFS($A$6:$A$505,A418,$B$6:$B$505,B418,$E$6:$E$505,E418)&gt;1),"REVIEW","READY"))</x:f>
      </x:c>
      <x:c r="N418" s="255" t="str">
        <x:f>IF(M418="","",IF(M418="READY","",TRIM(IF(A418="","missing entity_type; ","")&amp;IF(B418="","missing entity_key; ","")&amp;IF(C418="","missing contact_order; ","")&amp;IF(D418="","missing contact_type; ","")&amp;IF(E418="","missing number; ","")&amp;IF(J418="","missing status; ","")&amp;IF(AND(A418="client",COUNTIF('الزبائن'!$A$6:$A$505,B418)=0),"client key not found; ","")&amp;IF(AND(A418="proposed_name",COUNTIF('أسماء مقترحة'!$A$6:$A$505,B418)=0),"proposed_name key not found; ","")&amp;IF(AND(D418="mobile",J418&lt;&gt;"invalid",NOT(OR(AND(LEN(E418&amp;"")=10,LEFT(E418&amp;"",2)="09"),AND(LEN(E418&amp;"")=9,LEFT(E418&amp;"",1)="9")))),"mobile must be 09XXXXXXXX or status invalid; ","")&amp;IF(COUNTIFS($A$6:$A$505,A418,$B$6:$B$505,B418,$E$6:$E$505,E418)&gt;1,"duplicate number for same entity; ",""))))</x:f>
      </x:c>
    </x:row>
    <x:row r="419">
      <x:c r="A419" s="251"/>
      <x:c r="B419" s="252"/>
      <x:c r="C419" s="253"/>
      <x:c r="D419" s="253"/>
      <x:c r="E419" s="252"/>
      <x:c r="F419" s="252"/>
      <x:c r="G419" s="253"/>
      <x:c r="H419" s="253"/>
      <x:c r="I419" s="253"/>
      <x:c r="J419" s="253"/>
      <x:c r="K419" s="253"/>
      <x:c r="L419" s="253"/>
      <x:c r="M419" s="253" t="str">
        <x:f>IF(AND(A419="",B419="",E419=""),"",IF(OR(A419="",B419="",C419="",D419="",E419="",J419="",AND(A419="client",COUNTIF('الزبائن'!$A$6:$A$505,B419)=0),AND(A419="proposed_name",COUNTIF('أسماء مقترحة'!$A$6:$A$505,B419)=0),AND(D419="mobile",J419&lt;&gt;"invalid",NOT(OR(AND(LEN(E419&amp;"")=10,LEFT(E419&amp;"",2)="09"),AND(LEN(E419&amp;"")=9,LEFT(E419&amp;"",1)="9")))),COUNTIFS($A$6:$A$505,A419,$B$6:$B$505,B419,$E$6:$E$505,E419)&gt;1),"REVIEW","READY"))</x:f>
      </x:c>
      <x:c r="N419" s="255" t="str">
        <x:f>IF(M419="","",IF(M419="READY","",TRIM(IF(A419="","missing entity_type; ","")&amp;IF(B419="","missing entity_key; ","")&amp;IF(C419="","missing contact_order; ","")&amp;IF(D419="","missing contact_type; ","")&amp;IF(E419="","missing number; ","")&amp;IF(J419="","missing status; ","")&amp;IF(AND(A419="client",COUNTIF('الزبائن'!$A$6:$A$505,B419)=0),"client key not found; ","")&amp;IF(AND(A419="proposed_name",COUNTIF('أسماء مقترحة'!$A$6:$A$505,B419)=0),"proposed_name key not found; ","")&amp;IF(AND(D419="mobile",J419&lt;&gt;"invalid",NOT(OR(AND(LEN(E419&amp;"")=10,LEFT(E419&amp;"",2)="09"),AND(LEN(E419&amp;"")=9,LEFT(E419&amp;"",1)="9")))),"mobile must be 09XXXXXXXX or status invalid; ","")&amp;IF(COUNTIFS($A$6:$A$505,A419,$B$6:$B$505,B419,$E$6:$E$505,E419)&gt;1,"duplicate number for same entity; ",""))))</x:f>
      </x:c>
    </x:row>
    <x:row r="420">
      <x:c r="A420" s="251"/>
      <x:c r="B420" s="252"/>
      <x:c r="C420" s="253"/>
      <x:c r="D420" s="253"/>
      <x:c r="E420" s="252"/>
      <x:c r="F420" s="252"/>
      <x:c r="G420" s="253"/>
      <x:c r="H420" s="253"/>
      <x:c r="I420" s="253"/>
      <x:c r="J420" s="253"/>
      <x:c r="K420" s="253"/>
      <x:c r="L420" s="253"/>
      <x:c r="M420" s="253" t="str">
        <x:f>IF(AND(A420="",B420="",E420=""),"",IF(OR(A420="",B420="",C420="",D420="",E420="",J420="",AND(A420="client",COUNTIF('الزبائن'!$A$6:$A$505,B420)=0),AND(A420="proposed_name",COUNTIF('أسماء مقترحة'!$A$6:$A$505,B420)=0),AND(D420="mobile",J420&lt;&gt;"invalid",NOT(OR(AND(LEN(E420&amp;"")=10,LEFT(E420&amp;"",2)="09"),AND(LEN(E420&amp;"")=9,LEFT(E420&amp;"",1)="9")))),COUNTIFS($A$6:$A$505,A420,$B$6:$B$505,B420,$E$6:$E$505,E420)&gt;1),"REVIEW","READY"))</x:f>
      </x:c>
      <x:c r="N420" s="255" t="str">
        <x:f>IF(M420="","",IF(M420="READY","",TRIM(IF(A420="","missing entity_type; ","")&amp;IF(B420="","missing entity_key; ","")&amp;IF(C420="","missing contact_order; ","")&amp;IF(D420="","missing contact_type; ","")&amp;IF(E420="","missing number; ","")&amp;IF(J420="","missing status; ","")&amp;IF(AND(A420="client",COUNTIF('الزبائن'!$A$6:$A$505,B420)=0),"client key not found; ","")&amp;IF(AND(A420="proposed_name",COUNTIF('أسماء مقترحة'!$A$6:$A$505,B420)=0),"proposed_name key not found; ","")&amp;IF(AND(D420="mobile",J420&lt;&gt;"invalid",NOT(OR(AND(LEN(E420&amp;"")=10,LEFT(E420&amp;"",2)="09"),AND(LEN(E420&amp;"")=9,LEFT(E420&amp;"",1)="9")))),"mobile must be 09XXXXXXXX or status invalid; ","")&amp;IF(COUNTIFS($A$6:$A$505,A420,$B$6:$B$505,B420,$E$6:$E$505,E420)&gt;1,"duplicate number for same entity; ",""))))</x:f>
      </x:c>
    </x:row>
    <x:row r="421">
      <x:c r="A421" s="251"/>
      <x:c r="B421" s="252"/>
      <x:c r="C421" s="253"/>
      <x:c r="D421" s="253"/>
      <x:c r="E421" s="252"/>
      <x:c r="F421" s="252"/>
      <x:c r="G421" s="253"/>
      <x:c r="H421" s="253"/>
      <x:c r="I421" s="253"/>
      <x:c r="J421" s="253"/>
      <x:c r="K421" s="253"/>
      <x:c r="L421" s="253"/>
      <x:c r="M421" s="253" t="str">
        <x:f>IF(AND(A421="",B421="",E421=""),"",IF(OR(A421="",B421="",C421="",D421="",E421="",J421="",AND(A421="client",COUNTIF('الزبائن'!$A$6:$A$505,B421)=0),AND(A421="proposed_name",COUNTIF('أسماء مقترحة'!$A$6:$A$505,B421)=0),AND(D421="mobile",J421&lt;&gt;"invalid",NOT(OR(AND(LEN(E421&amp;"")=10,LEFT(E421&amp;"",2)="09"),AND(LEN(E421&amp;"")=9,LEFT(E421&amp;"",1)="9")))),COUNTIFS($A$6:$A$505,A421,$B$6:$B$505,B421,$E$6:$E$505,E421)&gt;1),"REVIEW","READY"))</x:f>
      </x:c>
      <x:c r="N421" s="255" t="str">
        <x:f>IF(M421="","",IF(M421="READY","",TRIM(IF(A421="","missing entity_type; ","")&amp;IF(B421="","missing entity_key; ","")&amp;IF(C421="","missing contact_order; ","")&amp;IF(D421="","missing contact_type; ","")&amp;IF(E421="","missing number; ","")&amp;IF(J421="","missing status; ","")&amp;IF(AND(A421="client",COUNTIF('الزبائن'!$A$6:$A$505,B421)=0),"client key not found; ","")&amp;IF(AND(A421="proposed_name",COUNTIF('أسماء مقترحة'!$A$6:$A$505,B421)=0),"proposed_name key not found; ","")&amp;IF(AND(D421="mobile",J421&lt;&gt;"invalid",NOT(OR(AND(LEN(E421&amp;"")=10,LEFT(E421&amp;"",2)="09"),AND(LEN(E421&amp;"")=9,LEFT(E421&amp;"",1)="9")))),"mobile must be 09XXXXXXXX or status invalid; ","")&amp;IF(COUNTIFS($A$6:$A$505,A421,$B$6:$B$505,B421,$E$6:$E$505,E421)&gt;1,"duplicate number for same entity; ",""))))</x:f>
      </x:c>
    </x:row>
    <x:row r="422">
      <x:c r="A422" s="251"/>
      <x:c r="B422" s="252"/>
      <x:c r="C422" s="253"/>
      <x:c r="D422" s="253"/>
      <x:c r="E422" s="252"/>
      <x:c r="F422" s="252"/>
      <x:c r="G422" s="253"/>
      <x:c r="H422" s="253"/>
      <x:c r="I422" s="253"/>
      <x:c r="J422" s="253"/>
      <x:c r="K422" s="253"/>
      <x:c r="L422" s="253"/>
      <x:c r="M422" s="253" t="str">
        <x:f>IF(AND(A422="",B422="",E422=""),"",IF(OR(A422="",B422="",C422="",D422="",E422="",J422="",AND(A422="client",COUNTIF('الزبائن'!$A$6:$A$505,B422)=0),AND(A422="proposed_name",COUNTIF('أسماء مقترحة'!$A$6:$A$505,B422)=0),AND(D422="mobile",J422&lt;&gt;"invalid",NOT(OR(AND(LEN(E422&amp;"")=10,LEFT(E422&amp;"",2)="09"),AND(LEN(E422&amp;"")=9,LEFT(E422&amp;"",1)="9")))),COUNTIFS($A$6:$A$505,A422,$B$6:$B$505,B422,$E$6:$E$505,E422)&gt;1),"REVIEW","READY"))</x:f>
      </x:c>
      <x:c r="N422" s="255" t="str">
        <x:f>IF(M422="","",IF(M422="READY","",TRIM(IF(A422="","missing entity_type; ","")&amp;IF(B422="","missing entity_key; ","")&amp;IF(C422="","missing contact_order; ","")&amp;IF(D422="","missing contact_type; ","")&amp;IF(E422="","missing number; ","")&amp;IF(J422="","missing status; ","")&amp;IF(AND(A422="client",COUNTIF('الزبائن'!$A$6:$A$505,B422)=0),"client key not found; ","")&amp;IF(AND(A422="proposed_name",COUNTIF('أسماء مقترحة'!$A$6:$A$505,B422)=0),"proposed_name key not found; ","")&amp;IF(AND(D422="mobile",J422&lt;&gt;"invalid",NOT(OR(AND(LEN(E422&amp;"")=10,LEFT(E422&amp;"",2)="09"),AND(LEN(E422&amp;"")=9,LEFT(E422&amp;"",1)="9")))),"mobile must be 09XXXXXXXX or status invalid; ","")&amp;IF(COUNTIFS($A$6:$A$505,A422,$B$6:$B$505,B422,$E$6:$E$505,E422)&gt;1,"duplicate number for same entity; ",""))))</x:f>
      </x:c>
    </x:row>
    <x:row r="423">
      <x:c r="A423" s="251"/>
      <x:c r="B423" s="252"/>
      <x:c r="C423" s="253"/>
      <x:c r="D423" s="253"/>
      <x:c r="E423" s="252"/>
      <x:c r="F423" s="252"/>
      <x:c r="G423" s="253"/>
      <x:c r="H423" s="253"/>
      <x:c r="I423" s="253"/>
      <x:c r="J423" s="253"/>
      <x:c r="K423" s="253"/>
      <x:c r="L423" s="253"/>
      <x:c r="M423" s="253" t="str">
        <x:f>IF(AND(A423="",B423="",E423=""),"",IF(OR(A423="",B423="",C423="",D423="",E423="",J423="",AND(A423="client",COUNTIF('الزبائن'!$A$6:$A$505,B423)=0),AND(A423="proposed_name",COUNTIF('أسماء مقترحة'!$A$6:$A$505,B423)=0),AND(D423="mobile",J423&lt;&gt;"invalid",NOT(OR(AND(LEN(E423&amp;"")=10,LEFT(E423&amp;"",2)="09"),AND(LEN(E423&amp;"")=9,LEFT(E423&amp;"",1)="9")))),COUNTIFS($A$6:$A$505,A423,$B$6:$B$505,B423,$E$6:$E$505,E423)&gt;1),"REVIEW","READY"))</x:f>
      </x:c>
      <x:c r="N423" s="255" t="str">
        <x:f>IF(M423="","",IF(M423="READY","",TRIM(IF(A423="","missing entity_type; ","")&amp;IF(B423="","missing entity_key; ","")&amp;IF(C423="","missing contact_order; ","")&amp;IF(D423="","missing contact_type; ","")&amp;IF(E423="","missing number; ","")&amp;IF(J423="","missing status; ","")&amp;IF(AND(A423="client",COUNTIF('الزبائن'!$A$6:$A$505,B423)=0),"client key not found; ","")&amp;IF(AND(A423="proposed_name",COUNTIF('أسماء مقترحة'!$A$6:$A$505,B423)=0),"proposed_name key not found; ","")&amp;IF(AND(D423="mobile",J423&lt;&gt;"invalid",NOT(OR(AND(LEN(E423&amp;"")=10,LEFT(E423&amp;"",2)="09"),AND(LEN(E423&amp;"")=9,LEFT(E423&amp;"",1)="9")))),"mobile must be 09XXXXXXXX or status invalid; ","")&amp;IF(COUNTIFS($A$6:$A$505,A423,$B$6:$B$505,B423,$E$6:$E$505,E423)&gt;1,"duplicate number for same entity; ",""))))</x:f>
      </x:c>
    </x:row>
    <x:row r="424">
      <x:c r="A424" s="251"/>
      <x:c r="B424" s="252"/>
      <x:c r="C424" s="253"/>
      <x:c r="D424" s="253"/>
      <x:c r="E424" s="252"/>
      <x:c r="F424" s="252"/>
      <x:c r="G424" s="253"/>
      <x:c r="H424" s="253"/>
      <x:c r="I424" s="253"/>
      <x:c r="J424" s="253"/>
      <x:c r="K424" s="253"/>
      <x:c r="L424" s="253"/>
      <x:c r="M424" s="253" t="str">
        <x:f>IF(AND(A424="",B424="",E424=""),"",IF(OR(A424="",B424="",C424="",D424="",E424="",J424="",AND(A424="client",COUNTIF('الزبائن'!$A$6:$A$505,B424)=0),AND(A424="proposed_name",COUNTIF('أسماء مقترحة'!$A$6:$A$505,B424)=0),AND(D424="mobile",J424&lt;&gt;"invalid",NOT(OR(AND(LEN(E424&amp;"")=10,LEFT(E424&amp;"",2)="09"),AND(LEN(E424&amp;"")=9,LEFT(E424&amp;"",1)="9")))),COUNTIFS($A$6:$A$505,A424,$B$6:$B$505,B424,$E$6:$E$505,E424)&gt;1),"REVIEW","READY"))</x:f>
      </x:c>
      <x:c r="N424" s="255" t="str">
        <x:f>IF(M424="","",IF(M424="READY","",TRIM(IF(A424="","missing entity_type; ","")&amp;IF(B424="","missing entity_key; ","")&amp;IF(C424="","missing contact_order; ","")&amp;IF(D424="","missing contact_type; ","")&amp;IF(E424="","missing number; ","")&amp;IF(J424="","missing status; ","")&amp;IF(AND(A424="client",COUNTIF('الزبائن'!$A$6:$A$505,B424)=0),"client key not found; ","")&amp;IF(AND(A424="proposed_name",COUNTIF('أسماء مقترحة'!$A$6:$A$505,B424)=0),"proposed_name key not found; ","")&amp;IF(AND(D424="mobile",J424&lt;&gt;"invalid",NOT(OR(AND(LEN(E424&amp;"")=10,LEFT(E424&amp;"",2)="09"),AND(LEN(E424&amp;"")=9,LEFT(E424&amp;"",1)="9")))),"mobile must be 09XXXXXXXX or status invalid; ","")&amp;IF(COUNTIFS($A$6:$A$505,A424,$B$6:$B$505,B424,$E$6:$E$505,E424)&gt;1,"duplicate number for same entity; ",""))))</x:f>
      </x:c>
    </x:row>
    <x:row r="425">
      <x:c r="A425" s="251"/>
      <x:c r="B425" s="252"/>
      <x:c r="C425" s="253"/>
      <x:c r="D425" s="253"/>
      <x:c r="E425" s="252"/>
      <x:c r="F425" s="252"/>
      <x:c r="G425" s="253"/>
      <x:c r="H425" s="253"/>
      <x:c r="I425" s="253"/>
      <x:c r="J425" s="253"/>
      <x:c r="K425" s="253"/>
      <x:c r="L425" s="253"/>
      <x:c r="M425" s="253" t="str">
        <x:f>IF(AND(A425="",B425="",E425=""),"",IF(OR(A425="",B425="",C425="",D425="",E425="",J425="",AND(A425="client",COUNTIF('الزبائن'!$A$6:$A$505,B425)=0),AND(A425="proposed_name",COUNTIF('أسماء مقترحة'!$A$6:$A$505,B425)=0),AND(D425="mobile",J425&lt;&gt;"invalid",NOT(OR(AND(LEN(E425&amp;"")=10,LEFT(E425&amp;"",2)="09"),AND(LEN(E425&amp;"")=9,LEFT(E425&amp;"",1)="9")))),COUNTIFS($A$6:$A$505,A425,$B$6:$B$505,B425,$E$6:$E$505,E425)&gt;1),"REVIEW","READY"))</x:f>
      </x:c>
      <x:c r="N425" s="255" t="str">
        <x:f>IF(M425="","",IF(M425="READY","",TRIM(IF(A425="","missing entity_type; ","")&amp;IF(B425="","missing entity_key; ","")&amp;IF(C425="","missing contact_order; ","")&amp;IF(D425="","missing contact_type; ","")&amp;IF(E425="","missing number; ","")&amp;IF(J425="","missing status; ","")&amp;IF(AND(A425="client",COUNTIF('الزبائن'!$A$6:$A$505,B425)=0),"client key not found; ","")&amp;IF(AND(A425="proposed_name",COUNTIF('أسماء مقترحة'!$A$6:$A$505,B425)=0),"proposed_name key not found; ","")&amp;IF(AND(D425="mobile",J425&lt;&gt;"invalid",NOT(OR(AND(LEN(E425&amp;"")=10,LEFT(E425&amp;"",2)="09"),AND(LEN(E425&amp;"")=9,LEFT(E425&amp;"",1)="9")))),"mobile must be 09XXXXXXXX or status invalid; ","")&amp;IF(COUNTIFS($A$6:$A$505,A425,$B$6:$B$505,B425,$E$6:$E$505,E425)&gt;1,"duplicate number for same entity; ",""))))</x:f>
      </x:c>
    </x:row>
    <x:row r="426">
      <x:c r="A426" s="251"/>
      <x:c r="B426" s="252"/>
      <x:c r="C426" s="253"/>
      <x:c r="D426" s="253"/>
      <x:c r="E426" s="252"/>
      <x:c r="F426" s="252"/>
      <x:c r="G426" s="253"/>
      <x:c r="H426" s="253"/>
      <x:c r="I426" s="253"/>
      <x:c r="J426" s="253"/>
      <x:c r="K426" s="253"/>
      <x:c r="L426" s="253"/>
      <x:c r="M426" s="253" t="str">
        <x:f>IF(AND(A426="",B426="",E426=""),"",IF(OR(A426="",B426="",C426="",D426="",E426="",J426="",AND(A426="client",COUNTIF('الزبائن'!$A$6:$A$505,B426)=0),AND(A426="proposed_name",COUNTIF('أسماء مقترحة'!$A$6:$A$505,B426)=0),AND(D426="mobile",J426&lt;&gt;"invalid",NOT(OR(AND(LEN(E426&amp;"")=10,LEFT(E426&amp;"",2)="09"),AND(LEN(E426&amp;"")=9,LEFT(E426&amp;"",1)="9")))),COUNTIFS($A$6:$A$505,A426,$B$6:$B$505,B426,$E$6:$E$505,E426)&gt;1),"REVIEW","READY"))</x:f>
      </x:c>
      <x:c r="N426" s="255" t="str">
        <x:f>IF(M426="","",IF(M426="READY","",TRIM(IF(A426="","missing entity_type; ","")&amp;IF(B426="","missing entity_key; ","")&amp;IF(C426="","missing contact_order; ","")&amp;IF(D426="","missing contact_type; ","")&amp;IF(E426="","missing number; ","")&amp;IF(J426="","missing status; ","")&amp;IF(AND(A426="client",COUNTIF('الزبائن'!$A$6:$A$505,B426)=0),"client key not found; ","")&amp;IF(AND(A426="proposed_name",COUNTIF('أسماء مقترحة'!$A$6:$A$505,B426)=0),"proposed_name key not found; ","")&amp;IF(AND(D426="mobile",J426&lt;&gt;"invalid",NOT(OR(AND(LEN(E426&amp;"")=10,LEFT(E426&amp;"",2)="09"),AND(LEN(E426&amp;"")=9,LEFT(E426&amp;"",1)="9")))),"mobile must be 09XXXXXXXX or status invalid; ","")&amp;IF(COUNTIFS($A$6:$A$505,A426,$B$6:$B$505,B426,$E$6:$E$505,E426)&gt;1,"duplicate number for same entity; ",""))))</x:f>
      </x:c>
    </x:row>
    <x:row r="427">
      <x:c r="A427" s="251"/>
      <x:c r="B427" s="252"/>
      <x:c r="C427" s="253"/>
      <x:c r="D427" s="253"/>
      <x:c r="E427" s="252"/>
      <x:c r="F427" s="252"/>
      <x:c r="G427" s="253"/>
      <x:c r="H427" s="253"/>
      <x:c r="I427" s="253"/>
      <x:c r="J427" s="253"/>
      <x:c r="K427" s="253"/>
      <x:c r="L427" s="253"/>
      <x:c r="M427" s="253" t="str">
        <x:f>IF(AND(A427="",B427="",E427=""),"",IF(OR(A427="",B427="",C427="",D427="",E427="",J427="",AND(A427="client",COUNTIF('الزبائن'!$A$6:$A$505,B427)=0),AND(A427="proposed_name",COUNTIF('أسماء مقترحة'!$A$6:$A$505,B427)=0),AND(D427="mobile",J427&lt;&gt;"invalid",NOT(OR(AND(LEN(E427&amp;"")=10,LEFT(E427&amp;"",2)="09"),AND(LEN(E427&amp;"")=9,LEFT(E427&amp;"",1)="9")))),COUNTIFS($A$6:$A$505,A427,$B$6:$B$505,B427,$E$6:$E$505,E427)&gt;1),"REVIEW","READY"))</x:f>
      </x:c>
      <x:c r="N427" s="255" t="str">
        <x:f>IF(M427="","",IF(M427="READY","",TRIM(IF(A427="","missing entity_type; ","")&amp;IF(B427="","missing entity_key; ","")&amp;IF(C427="","missing contact_order; ","")&amp;IF(D427="","missing contact_type; ","")&amp;IF(E427="","missing number; ","")&amp;IF(J427="","missing status; ","")&amp;IF(AND(A427="client",COUNTIF('الزبائن'!$A$6:$A$505,B427)=0),"client key not found; ","")&amp;IF(AND(A427="proposed_name",COUNTIF('أسماء مقترحة'!$A$6:$A$505,B427)=0),"proposed_name key not found; ","")&amp;IF(AND(D427="mobile",J427&lt;&gt;"invalid",NOT(OR(AND(LEN(E427&amp;"")=10,LEFT(E427&amp;"",2)="09"),AND(LEN(E427&amp;"")=9,LEFT(E427&amp;"",1)="9")))),"mobile must be 09XXXXXXXX or status invalid; ","")&amp;IF(COUNTIFS($A$6:$A$505,A427,$B$6:$B$505,B427,$E$6:$E$505,E427)&gt;1,"duplicate number for same entity; ",""))))</x:f>
      </x:c>
    </x:row>
    <x:row r="428">
      <x:c r="A428" s="251"/>
      <x:c r="B428" s="252"/>
      <x:c r="C428" s="253"/>
      <x:c r="D428" s="253"/>
      <x:c r="E428" s="252"/>
      <x:c r="F428" s="252"/>
      <x:c r="G428" s="253"/>
      <x:c r="H428" s="253"/>
      <x:c r="I428" s="253"/>
      <x:c r="J428" s="253"/>
      <x:c r="K428" s="253"/>
      <x:c r="L428" s="253"/>
      <x:c r="M428" s="253" t="str">
        <x:f>IF(AND(A428="",B428="",E428=""),"",IF(OR(A428="",B428="",C428="",D428="",E428="",J428="",AND(A428="client",COUNTIF('الزبائن'!$A$6:$A$505,B428)=0),AND(A428="proposed_name",COUNTIF('أسماء مقترحة'!$A$6:$A$505,B428)=0),AND(D428="mobile",J428&lt;&gt;"invalid",NOT(OR(AND(LEN(E428&amp;"")=10,LEFT(E428&amp;"",2)="09"),AND(LEN(E428&amp;"")=9,LEFT(E428&amp;"",1)="9")))),COUNTIFS($A$6:$A$505,A428,$B$6:$B$505,B428,$E$6:$E$505,E428)&gt;1),"REVIEW","READY"))</x:f>
      </x:c>
      <x:c r="N428" s="255" t="str">
        <x:f>IF(M428="","",IF(M428="READY","",TRIM(IF(A428="","missing entity_type; ","")&amp;IF(B428="","missing entity_key; ","")&amp;IF(C428="","missing contact_order; ","")&amp;IF(D428="","missing contact_type; ","")&amp;IF(E428="","missing number; ","")&amp;IF(J428="","missing status; ","")&amp;IF(AND(A428="client",COUNTIF('الزبائن'!$A$6:$A$505,B428)=0),"client key not found; ","")&amp;IF(AND(A428="proposed_name",COUNTIF('أسماء مقترحة'!$A$6:$A$505,B428)=0),"proposed_name key not found; ","")&amp;IF(AND(D428="mobile",J428&lt;&gt;"invalid",NOT(OR(AND(LEN(E428&amp;"")=10,LEFT(E428&amp;"",2)="09"),AND(LEN(E428&amp;"")=9,LEFT(E428&amp;"",1)="9")))),"mobile must be 09XXXXXXXX or status invalid; ","")&amp;IF(COUNTIFS($A$6:$A$505,A428,$B$6:$B$505,B428,$E$6:$E$505,E428)&gt;1,"duplicate number for same entity; ",""))))</x:f>
      </x:c>
    </x:row>
    <x:row r="429">
      <x:c r="A429" s="251"/>
      <x:c r="B429" s="252"/>
      <x:c r="C429" s="253"/>
      <x:c r="D429" s="253"/>
      <x:c r="E429" s="252"/>
      <x:c r="F429" s="252"/>
      <x:c r="G429" s="253"/>
      <x:c r="H429" s="253"/>
      <x:c r="I429" s="253"/>
      <x:c r="J429" s="253"/>
      <x:c r="K429" s="253"/>
      <x:c r="L429" s="253"/>
      <x:c r="M429" s="253" t="str">
        <x:f>IF(AND(A429="",B429="",E429=""),"",IF(OR(A429="",B429="",C429="",D429="",E429="",J429="",AND(A429="client",COUNTIF('الزبائن'!$A$6:$A$505,B429)=0),AND(A429="proposed_name",COUNTIF('أسماء مقترحة'!$A$6:$A$505,B429)=0),AND(D429="mobile",J429&lt;&gt;"invalid",NOT(OR(AND(LEN(E429&amp;"")=10,LEFT(E429&amp;"",2)="09"),AND(LEN(E429&amp;"")=9,LEFT(E429&amp;"",1)="9")))),COUNTIFS($A$6:$A$505,A429,$B$6:$B$505,B429,$E$6:$E$505,E429)&gt;1),"REVIEW","READY"))</x:f>
      </x:c>
      <x:c r="N429" s="255" t="str">
        <x:f>IF(M429="","",IF(M429="READY","",TRIM(IF(A429="","missing entity_type; ","")&amp;IF(B429="","missing entity_key; ","")&amp;IF(C429="","missing contact_order; ","")&amp;IF(D429="","missing contact_type; ","")&amp;IF(E429="","missing number; ","")&amp;IF(J429="","missing status; ","")&amp;IF(AND(A429="client",COUNTIF('الزبائن'!$A$6:$A$505,B429)=0),"client key not found; ","")&amp;IF(AND(A429="proposed_name",COUNTIF('أسماء مقترحة'!$A$6:$A$505,B429)=0),"proposed_name key not found; ","")&amp;IF(AND(D429="mobile",J429&lt;&gt;"invalid",NOT(OR(AND(LEN(E429&amp;"")=10,LEFT(E429&amp;"",2)="09"),AND(LEN(E429&amp;"")=9,LEFT(E429&amp;"",1)="9")))),"mobile must be 09XXXXXXXX or status invalid; ","")&amp;IF(COUNTIFS($A$6:$A$505,A429,$B$6:$B$505,B429,$E$6:$E$505,E429)&gt;1,"duplicate number for same entity; ",""))))</x:f>
      </x:c>
    </x:row>
    <x:row r="430">
      <x:c r="A430" s="251"/>
      <x:c r="B430" s="252"/>
      <x:c r="C430" s="253"/>
      <x:c r="D430" s="253"/>
      <x:c r="E430" s="252"/>
      <x:c r="F430" s="252"/>
      <x:c r="G430" s="253"/>
      <x:c r="H430" s="253"/>
      <x:c r="I430" s="253"/>
      <x:c r="J430" s="253"/>
      <x:c r="K430" s="253"/>
      <x:c r="L430" s="253"/>
      <x:c r="M430" s="253" t="str">
        <x:f>IF(AND(A430="",B430="",E430=""),"",IF(OR(A430="",B430="",C430="",D430="",E430="",J430="",AND(A430="client",COUNTIF('الزبائن'!$A$6:$A$505,B430)=0),AND(A430="proposed_name",COUNTIF('أسماء مقترحة'!$A$6:$A$505,B430)=0),AND(D430="mobile",J430&lt;&gt;"invalid",NOT(OR(AND(LEN(E430&amp;"")=10,LEFT(E430&amp;"",2)="09"),AND(LEN(E430&amp;"")=9,LEFT(E430&amp;"",1)="9")))),COUNTIFS($A$6:$A$505,A430,$B$6:$B$505,B430,$E$6:$E$505,E430)&gt;1),"REVIEW","READY"))</x:f>
      </x:c>
      <x:c r="N430" s="255" t="str">
        <x:f>IF(M430="","",IF(M430="READY","",TRIM(IF(A430="","missing entity_type; ","")&amp;IF(B430="","missing entity_key; ","")&amp;IF(C430="","missing contact_order; ","")&amp;IF(D430="","missing contact_type; ","")&amp;IF(E430="","missing number; ","")&amp;IF(J430="","missing status; ","")&amp;IF(AND(A430="client",COUNTIF('الزبائن'!$A$6:$A$505,B430)=0),"client key not found; ","")&amp;IF(AND(A430="proposed_name",COUNTIF('أسماء مقترحة'!$A$6:$A$505,B430)=0),"proposed_name key not found; ","")&amp;IF(AND(D430="mobile",J430&lt;&gt;"invalid",NOT(OR(AND(LEN(E430&amp;"")=10,LEFT(E430&amp;"",2)="09"),AND(LEN(E430&amp;"")=9,LEFT(E430&amp;"",1)="9")))),"mobile must be 09XXXXXXXX or status invalid; ","")&amp;IF(COUNTIFS($A$6:$A$505,A430,$B$6:$B$505,B430,$E$6:$E$505,E430)&gt;1,"duplicate number for same entity; ",""))))</x:f>
      </x:c>
    </x:row>
    <x:row r="431">
      <x:c r="A431" s="251"/>
      <x:c r="B431" s="252"/>
      <x:c r="C431" s="253"/>
      <x:c r="D431" s="253"/>
      <x:c r="E431" s="252"/>
      <x:c r="F431" s="252"/>
      <x:c r="G431" s="253"/>
      <x:c r="H431" s="253"/>
      <x:c r="I431" s="253"/>
      <x:c r="J431" s="253"/>
      <x:c r="K431" s="253"/>
      <x:c r="L431" s="253"/>
      <x:c r="M431" s="253" t="str">
        <x:f>IF(AND(A431="",B431="",E431=""),"",IF(OR(A431="",B431="",C431="",D431="",E431="",J431="",AND(A431="client",COUNTIF('الزبائن'!$A$6:$A$505,B431)=0),AND(A431="proposed_name",COUNTIF('أسماء مقترحة'!$A$6:$A$505,B431)=0),AND(D431="mobile",J431&lt;&gt;"invalid",NOT(OR(AND(LEN(E431&amp;"")=10,LEFT(E431&amp;"",2)="09"),AND(LEN(E431&amp;"")=9,LEFT(E431&amp;"",1)="9")))),COUNTIFS($A$6:$A$505,A431,$B$6:$B$505,B431,$E$6:$E$505,E431)&gt;1),"REVIEW","READY"))</x:f>
      </x:c>
      <x:c r="N431" s="255" t="str">
        <x:f>IF(M431="","",IF(M431="READY","",TRIM(IF(A431="","missing entity_type; ","")&amp;IF(B431="","missing entity_key; ","")&amp;IF(C431="","missing contact_order; ","")&amp;IF(D431="","missing contact_type; ","")&amp;IF(E431="","missing number; ","")&amp;IF(J431="","missing status; ","")&amp;IF(AND(A431="client",COUNTIF('الزبائن'!$A$6:$A$505,B431)=0),"client key not found; ","")&amp;IF(AND(A431="proposed_name",COUNTIF('أسماء مقترحة'!$A$6:$A$505,B431)=0),"proposed_name key not found; ","")&amp;IF(AND(D431="mobile",J431&lt;&gt;"invalid",NOT(OR(AND(LEN(E431&amp;"")=10,LEFT(E431&amp;"",2)="09"),AND(LEN(E431&amp;"")=9,LEFT(E431&amp;"",1)="9")))),"mobile must be 09XXXXXXXX or status invalid; ","")&amp;IF(COUNTIFS($A$6:$A$505,A431,$B$6:$B$505,B431,$E$6:$E$505,E431)&gt;1,"duplicate number for same entity; ",""))))</x:f>
      </x:c>
    </x:row>
    <x:row r="432">
      <x:c r="A432" s="251"/>
      <x:c r="B432" s="252"/>
      <x:c r="C432" s="253"/>
      <x:c r="D432" s="253"/>
      <x:c r="E432" s="252"/>
      <x:c r="F432" s="252"/>
      <x:c r="G432" s="253"/>
      <x:c r="H432" s="253"/>
      <x:c r="I432" s="253"/>
      <x:c r="J432" s="253"/>
      <x:c r="K432" s="253"/>
      <x:c r="L432" s="253"/>
      <x:c r="M432" s="253" t="str">
        <x:f>IF(AND(A432="",B432="",E432=""),"",IF(OR(A432="",B432="",C432="",D432="",E432="",J432="",AND(A432="client",COUNTIF('الزبائن'!$A$6:$A$505,B432)=0),AND(A432="proposed_name",COUNTIF('أسماء مقترحة'!$A$6:$A$505,B432)=0),AND(D432="mobile",J432&lt;&gt;"invalid",NOT(OR(AND(LEN(E432&amp;"")=10,LEFT(E432&amp;"",2)="09"),AND(LEN(E432&amp;"")=9,LEFT(E432&amp;"",1)="9")))),COUNTIFS($A$6:$A$505,A432,$B$6:$B$505,B432,$E$6:$E$505,E432)&gt;1),"REVIEW","READY"))</x:f>
      </x:c>
      <x:c r="N432" s="255" t="str">
        <x:f>IF(M432="","",IF(M432="READY","",TRIM(IF(A432="","missing entity_type; ","")&amp;IF(B432="","missing entity_key; ","")&amp;IF(C432="","missing contact_order; ","")&amp;IF(D432="","missing contact_type; ","")&amp;IF(E432="","missing number; ","")&amp;IF(J432="","missing status; ","")&amp;IF(AND(A432="client",COUNTIF('الزبائن'!$A$6:$A$505,B432)=0),"client key not found; ","")&amp;IF(AND(A432="proposed_name",COUNTIF('أسماء مقترحة'!$A$6:$A$505,B432)=0),"proposed_name key not found; ","")&amp;IF(AND(D432="mobile",J432&lt;&gt;"invalid",NOT(OR(AND(LEN(E432&amp;"")=10,LEFT(E432&amp;"",2)="09"),AND(LEN(E432&amp;"")=9,LEFT(E432&amp;"",1)="9")))),"mobile must be 09XXXXXXXX or status invalid; ","")&amp;IF(COUNTIFS($A$6:$A$505,A432,$B$6:$B$505,B432,$E$6:$E$505,E432)&gt;1,"duplicate number for same entity; ",""))))</x:f>
      </x:c>
    </x:row>
    <x:row r="433">
      <x:c r="A433" s="251"/>
      <x:c r="B433" s="252"/>
      <x:c r="C433" s="253"/>
      <x:c r="D433" s="253"/>
      <x:c r="E433" s="252"/>
      <x:c r="F433" s="252"/>
      <x:c r="G433" s="253"/>
      <x:c r="H433" s="253"/>
      <x:c r="I433" s="253"/>
      <x:c r="J433" s="253"/>
      <x:c r="K433" s="253"/>
      <x:c r="L433" s="253"/>
      <x:c r="M433" s="253" t="str">
        <x:f>IF(AND(A433="",B433="",E433=""),"",IF(OR(A433="",B433="",C433="",D433="",E433="",J433="",AND(A433="client",COUNTIF('الزبائن'!$A$6:$A$505,B433)=0),AND(A433="proposed_name",COUNTIF('أسماء مقترحة'!$A$6:$A$505,B433)=0),AND(D433="mobile",J433&lt;&gt;"invalid",NOT(OR(AND(LEN(E433&amp;"")=10,LEFT(E433&amp;"",2)="09"),AND(LEN(E433&amp;"")=9,LEFT(E433&amp;"",1)="9")))),COUNTIFS($A$6:$A$505,A433,$B$6:$B$505,B433,$E$6:$E$505,E433)&gt;1),"REVIEW","READY"))</x:f>
      </x:c>
      <x:c r="N433" s="255" t="str">
        <x:f>IF(M433="","",IF(M433="READY","",TRIM(IF(A433="","missing entity_type; ","")&amp;IF(B433="","missing entity_key; ","")&amp;IF(C433="","missing contact_order; ","")&amp;IF(D433="","missing contact_type; ","")&amp;IF(E433="","missing number; ","")&amp;IF(J433="","missing status; ","")&amp;IF(AND(A433="client",COUNTIF('الزبائن'!$A$6:$A$505,B433)=0),"client key not found; ","")&amp;IF(AND(A433="proposed_name",COUNTIF('أسماء مقترحة'!$A$6:$A$505,B433)=0),"proposed_name key not found; ","")&amp;IF(AND(D433="mobile",J433&lt;&gt;"invalid",NOT(OR(AND(LEN(E433&amp;"")=10,LEFT(E433&amp;"",2)="09"),AND(LEN(E433&amp;"")=9,LEFT(E433&amp;"",1)="9")))),"mobile must be 09XXXXXXXX or status invalid; ","")&amp;IF(COUNTIFS($A$6:$A$505,A433,$B$6:$B$505,B433,$E$6:$E$505,E433)&gt;1,"duplicate number for same entity; ",""))))</x:f>
      </x:c>
    </x:row>
    <x:row r="434">
      <x:c r="A434" s="251"/>
      <x:c r="B434" s="252"/>
      <x:c r="C434" s="253"/>
      <x:c r="D434" s="253"/>
      <x:c r="E434" s="252"/>
      <x:c r="F434" s="252"/>
      <x:c r="G434" s="253"/>
      <x:c r="H434" s="253"/>
      <x:c r="I434" s="253"/>
      <x:c r="J434" s="253"/>
      <x:c r="K434" s="253"/>
      <x:c r="L434" s="253"/>
      <x:c r="M434" s="253" t="str">
        <x:f>IF(AND(A434="",B434="",E434=""),"",IF(OR(A434="",B434="",C434="",D434="",E434="",J434="",AND(A434="client",COUNTIF('الزبائن'!$A$6:$A$505,B434)=0),AND(A434="proposed_name",COUNTIF('أسماء مقترحة'!$A$6:$A$505,B434)=0),AND(D434="mobile",J434&lt;&gt;"invalid",NOT(OR(AND(LEN(E434&amp;"")=10,LEFT(E434&amp;"",2)="09"),AND(LEN(E434&amp;"")=9,LEFT(E434&amp;"",1)="9")))),COUNTIFS($A$6:$A$505,A434,$B$6:$B$505,B434,$E$6:$E$505,E434)&gt;1),"REVIEW","READY"))</x:f>
      </x:c>
      <x:c r="N434" s="255" t="str">
        <x:f>IF(M434="","",IF(M434="READY","",TRIM(IF(A434="","missing entity_type; ","")&amp;IF(B434="","missing entity_key; ","")&amp;IF(C434="","missing contact_order; ","")&amp;IF(D434="","missing contact_type; ","")&amp;IF(E434="","missing number; ","")&amp;IF(J434="","missing status; ","")&amp;IF(AND(A434="client",COUNTIF('الزبائن'!$A$6:$A$505,B434)=0),"client key not found; ","")&amp;IF(AND(A434="proposed_name",COUNTIF('أسماء مقترحة'!$A$6:$A$505,B434)=0),"proposed_name key not found; ","")&amp;IF(AND(D434="mobile",J434&lt;&gt;"invalid",NOT(OR(AND(LEN(E434&amp;"")=10,LEFT(E434&amp;"",2)="09"),AND(LEN(E434&amp;"")=9,LEFT(E434&amp;"",1)="9")))),"mobile must be 09XXXXXXXX or status invalid; ","")&amp;IF(COUNTIFS($A$6:$A$505,A434,$B$6:$B$505,B434,$E$6:$E$505,E434)&gt;1,"duplicate number for same entity; ",""))))</x:f>
      </x:c>
    </x:row>
    <x:row r="435">
      <x:c r="A435" s="251"/>
      <x:c r="B435" s="252"/>
      <x:c r="C435" s="253"/>
      <x:c r="D435" s="253"/>
      <x:c r="E435" s="252"/>
      <x:c r="F435" s="252"/>
      <x:c r="G435" s="253"/>
      <x:c r="H435" s="253"/>
      <x:c r="I435" s="253"/>
      <x:c r="J435" s="253"/>
      <x:c r="K435" s="253"/>
      <x:c r="L435" s="253"/>
      <x:c r="M435" s="253" t="str">
        <x:f>IF(AND(A435="",B435="",E435=""),"",IF(OR(A435="",B435="",C435="",D435="",E435="",J435="",AND(A435="client",COUNTIF('الزبائن'!$A$6:$A$505,B435)=0),AND(A435="proposed_name",COUNTIF('أسماء مقترحة'!$A$6:$A$505,B435)=0),AND(D435="mobile",J435&lt;&gt;"invalid",NOT(OR(AND(LEN(E435&amp;"")=10,LEFT(E435&amp;"",2)="09"),AND(LEN(E435&amp;"")=9,LEFT(E435&amp;"",1)="9")))),COUNTIFS($A$6:$A$505,A435,$B$6:$B$505,B435,$E$6:$E$505,E435)&gt;1),"REVIEW","READY"))</x:f>
      </x:c>
      <x:c r="N435" s="255" t="str">
        <x:f>IF(M435="","",IF(M435="READY","",TRIM(IF(A435="","missing entity_type; ","")&amp;IF(B435="","missing entity_key; ","")&amp;IF(C435="","missing contact_order; ","")&amp;IF(D435="","missing contact_type; ","")&amp;IF(E435="","missing number; ","")&amp;IF(J435="","missing status; ","")&amp;IF(AND(A435="client",COUNTIF('الزبائن'!$A$6:$A$505,B435)=0),"client key not found; ","")&amp;IF(AND(A435="proposed_name",COUNTIF('أسماء مقترحة'!$A$6:$A$505,B435)=0),"proposed_name key not found; ","")&amp;IF(AND(D435="mobile",J435&lt;&gt;"invalid",NOT(OR(AND(LEN(E435&amp;"")=10,LEFT(E435&amp;"",2)="09"),AND(LEN(E435&amp;"")=9,LEFT(E435&amp;"",1)="9")))),"mobile must be 09XXXXXXXX or status invalid; ","")&amp;IF(COUNTIFS($A$6:$A$505,A435,$B$6:$B$505,B435,$E$6:$E$505,E435)&gt;1,"duplicate number for same entity; ",""))))</x:f>
      </x:c>
    </x:row>
    <x:row r="436">
      <x:c r="A436" s="251"/>
      <x:c r="B436" s="252"/>
      <x:c r="C436" s="253"/>
      <x:c r="D436" s="253"/>
      <x:c r="E436" s="252"/>
      <x:c r="F436" s="252"/>
      <x:c r="G436" s="253"/>
      <x:c r="H436" s="253"/>
      <x:c r="I436" s="253"/>
      <x:c r="J436" s="253"/>
      <x:c r="K436" s="253"/>
      <x:c r="L436" s="253"/>
      <x:c r="M436" s="253" t="str">
        <x:f>IF(AND(A436="",B436="",E436=""),"",IF(OR(A436="",B436="",C436="",D436="",E436="",J436="",AND(A436="client",COUNTIF('الزبائن'!$A$6:$A$505,B436)=0),AND(A436="proposed_name",COUNTIF('أسماء مقترحة'!$A$6:$A$505,B436)=0),AND(D436="mobile",J436&lt;&gt;"invalid",NOT(OR(AND(LEN(E436&amp;"")=10,LEFT(E436&amp;"",2)="09"),AND(LEN(E436&amp;"")=9,LEFT(E436&amp;"",1)="9")))),COUNTIFS($A$6:$A$505,A436,$B$6:$B$505,B436,$E$6:$E$505,E436)&gt;1),"REVIEW","READY"))</x:f>
      </x:c>
      <x:c r="N436" s="255" t="str">
        <x:f>IF(M436="","",IF(M436="READY","",TRIM(IF(A436="","missing entity_type; ","")&amp;IF(B436="","missing entity_key; ","")&amp;IF(C436="","missing contact_order; ","")&amp;IF(D436="","missing contact_type; ","")&amp;IF(E436="","missing number; ","")&amp;IF(J436="","missing status; ","")&amp;IF(AND(A436="client",COUNTIF('الزبائن'!$A$6:$A$505,B436)=0),"client key not found; ","")&amp;IF(AND(A436="proposed_name",COUNTIF('أسماء مقترحة'!$A$6:$A$505,B436)=0),"proposed_name key not found; ","")&amp;IF(AND(D436="mobile",J436&lt;&gt;"invalid",NOT(OR(AND(LEN(E436&amp;"")=10,LEFT(E436&amp;"",2)="09"),AND(LEN(E436&amp;"")=9,LEFT(E436&amp;"",1)="9")))),"mobile must be 09XXXXXXXX or status invalid; ","")&amp;IF(COUNTIFS($A$6:$A$505,A436,$B$6:$B$505,B436,$E$6:$E$505,E436)&gt;1,"duplicate number for same entity; ",""))))</x:f>
      </x:c>
    </x:row>
    <x:row r="437">
      <x:c r="A437" s="251"/>
      <x:c r="B437" s="252"/>
      <x:c r="C437" s="253"/>
      <x:c r="D437" s="253"/>
      <x:c r="E437" s="252"/>
      <x:c r="F437" s="252"/>
      <x:c r="G437" s="253"/>
      <x:c r="H437" s="253"/>
      <x:c r="I437" s="253"/>
      <x:c r="J437" s="253"/>
      <x:c r="K437" s="253"/>
      <x:c r="L437" s="253"/>
      <x:c r="M437" s="253" t="str">
        <x:f>IF(AND(A437="",B437="",E437=""),"",IF(OR(A437="",B437="",C437="",D437="",E437="",J437="",AND(A437="client",COUNTIF('الزبائن'!$A$6:$A$505,B437)=0),AND(A437="proposed_name",COUNTIF('أسماء مقترحة'!$A$6:$A$505,B437)=0),AND(D437="mobile",J437&lt;&gt;"invalid",NOT(OR(AND(LEN(E437&amp;"")=10,LEFT(E437&amp;"",2)="09"),AND(LEN(E437&amp;"")=9,LEFT(E437&amp;"",1)="9")))),COUNTIFS($A$6:$A$505,A437,$B$6:$B$505,B437,$E$6:$E$505,E437)&gt;1),"REVIEW","READY"))</x:f>
      </x:c>
      <x:c r="N437" s="255" t="str">
        <x:f>IF(M437="","",IF(M437="READY","",TRIM(IF(A437="","missing entity_type; ","")&amp;IF(B437="","missing entity_key; ","")&amp;IF(C437="","missing contact_order; ","")&amp;IF(D437="","missing contact_type; ","")&amp;IF(E437="","missing number; ","")&amp;IF(J437="","missing status; ","")&amp;IF(AND(A437="client",COUNTIF('الزبائن'!$A$6:$A$505,B437)=0),"client key not found; ","")&amp;IF(AND(A437="proposed_name",COUNTIF('أسماء مقترحة'!$A$6:$A$505,B437)=0),"proposed_name key not found; ","")&amp;IF(AND(D437="mobile",J437&lt;&gt;"invalid",NOT(OR(AND(LEN(E437&amp;"")=10,LEFT(E437&amp;"",2)="09"),AND(LEN(E437&amp;"")=9,LEFT(E437&amp;"",1)="9")))),"mobile must be 09XXXXXXXX or status invalid; ","")&amp;IF(COUNTIFS($A$6:$A$505,A437,$B$6:$B$505,B437,$E$6:$E$505,E437)&gt;1,"duplicate number for same entity; ",""))))</x:f>
      </x:c>
    </x:row>
    <x:row r="438">
      <x:c r="A438" s="251"/>
      <x:c r="B438" s="252"/>
      <x:c r="C438" s="253"/>
      <x:c r="D438" s="253"/>
      <x:c r="E438" s="252"/>
      <x:c r="F438" s="252"/>
      <x:c r="G438" s="253"/>
      <x:c r="H438" s="253"/>
      <x:c r="I438" s="253"/>
      <x:c r="J438" s="253"/>
      <x:c r="K438" s="253"/>
      <x:c r="L438" s="253"/>
      <x:c r="M438" s="253" t="str">
        <x:f>IF(AND(A438="",B438="",E438=""),"",IF(OR(A438="",B438="",C438="",D438="",E438="",J438="",AND(A438="client",COUNTIF('الزبائن'!$A$6:$A$505,B438)=0),AND(A438="proposed_name",COUNTIF('أسماء مقترحة'!$A$6:$A$505,B438)=0),AND(D438="mobile",J438&lt;&gt;"invalid",NOT(OR(AND(LEN(E438&amp;"")=10,LEFT(E438&amp;"",2)="09"),AND(LEN(E438&amp;"")=9,LEFT(E438&amp;"",1)="9")))),COUNTIFS($A$6:$A$505,A438,$B$6:$B$505,B438,$E$6:$E$505,E438)&gt;1),"REVIEW","READY"))</x:f>
      </x:c>
      <x:c r="N438" s="255" t="str">
        <x:f>IF(M438="","",IF(M438="READY","",TRIM(IF(A438="","missing entity_type; ","")&amp;IF(B438="","missing entity_key; ","")&amp;IF(C438="","missing contact_order; ","")&amp;IF(D438="","missing contact_type; ","")&amp;IF(E438="","missing number; ","")&amp;IF(J438="","missing status; ","")&amp;IF(AND(A438="client",COUNTIF('الزبائن'!$A$6:$A$505,B438)=0),"client key not found; ","")&amp;IF(AND(A438="proposed_name",COUNTIF('أسماء مقترحة'!$A$6:$A$505,B438)=0),"proposed_name key not found; ","")&amp;IF(AND(D438="mobile",J438&lt;&gt;"invalid",NOT(OR(AND(LEN(E438&amp;"")=10,LEFT(E438&amp;"",2)="09"),AND(LEN(E438&amp;"")=9,LEFT(E438&amp;"",1)="9")))),"mobile must be 09XXXXXXXX or status invalid; ","")&amp;IF(COUNTIFS($A$6:$A$505,A438,$B$6:$B$505,B438,$E$6:$E$505,E438)&gt;1,"duplicate number for same entity; ",""))))</x:f>
      </x:c>
    </x:row>
    <x:row r="439">
      <x:c r="A439" s="251"/>
      <x:c r="B439" s="252"/>
      <x:c r="C439" s="253"/>
      <x:c r="D439" s="253"/>
      <x:c r="E439" s="252"/>
      <x:c r="F439" s="252"/>
      <x:c r="G439" s="253"/>
      <x:c r="H439" s="253"/>
      <x:c r="I439" s="253"/>
      <x:c r="J439" s="253"/>
      <x:c r="K439" s="253"/>
      <x:c r="L439" s="253"/>
      <x:c r="M439" s="253" t="str">
        <x:f>IF(AND(A439="",B439="",E439=""),"",IF(OR(A439="",B439="",C439="",D439="",E439="",J439="",AND(A439="client",COUNTIF('الزبائن'!$A$6:$A$505,B439)=0),AND(A439="proposed_name",COUNTIF('أسماء مقترحة'!$A$6:$A$505,B439)=0),AND(D439="mobile",J439&lt;&gt;"invalid",NOT(OR(AND(LEN(E439&amp;"")=10,LEFT(E439&amp;"",2)="09"),AND(LEN(E439&amp;"")=9,LEFT(E439&amp;"",1)="9")))),COUNTIFS($A$6:$A$505,A439,$B$6:$B$505,B439,$E$6:$E$505,E439)&gt;1),"REVIEW","READY"))</x:f>
      </x:c>
      <x:c r="N439" s="255" t="str">
        <x:f>IF(M439="","",IF(M439="READY","",TRIM(IF(A439="","missing entity_type; ","")&amp;IF(B439="","missing entity_key; ","")&amp;IF(C439="","missing contact_order; ","")&amp;IF(D439="","missing contact_type; ","")&amp;IF(E439="","missing number; ","")&amp;IF(J439="","missing status; ","")&amp;IF(AND(A439="client",COUNTIF('الزبائن'!$A$6:$A$505,B439)=0),"client key not found; ","")&amp;IF(AND(A439="proposed_name",COUNTIF('أسماء مقترحة'!$A$6:$A$505,B439)=0),"proposed_name key not found; ","")&amp;IF(AND(D439="mobile",J439&lt;&gt;"invalid",NOT(OR(AND(LEN(E439&amp;"")=10,LEFT(E439&amp;"",2)="09"),AND(LEN(E439&amp;"")=9,LEFT(E439&amp;"",1)="9")))),"mobile must be 09XXXXXXXX or status invalid; ","")&amp;IF(COUNTIFS($A$6:$A$505,A439,$B$6:$B$505,B439,$E$6:$E$505,E439)&gt;1,"duplicate number for same entity; ",""))))</x:f>
      </x:c>
    </x:row>
    <x:row r="440">
      <x:c r="A440" s="251"/>
      <x:c r="B440" s="252"/>
      <x:c r="C440" s="253"/>
      <x:c r="D440" s="253"/>
      <x:c r="E440" s="252"/>
      <x:c r="F440" s="252"/>
      <x:c r="G440" s="253"/>
      <x:c r="H440" s="253"/>
      <x:c r="I440" s="253"/>
      <x:c r="J440" s="253"/>
      <x:c r="K440" s="253"/>
      <x:c r="L440" s="253"/>
      <x:c r="M440" s="253" t="str">
        <x:f>IF(AND(A440="",B440="",E440=""),"",IF(OR(A440="",B440="",C440="",D440="",E440="",J440="",AND(A440="client",COUNTIF('الزبائن'!$A$6:$A$505,B440)=0),AND(A440="proposed_name",COUNTIF('أسماء مقترحة'!$A$6:$A$505,B440)=0),AND(D440="mobile",J440&lt;&gt;"invalid",NOT(OR(AND(LEN(E440&amp;"")=10,LEFT(E440&amp;"",2)="09"),AND(LEN(E440&amp;"")=9,LEFT(E440&amp;"",1)="9")))),COUNTIFS($A$6:$A$505,A440,$B$6:$B$505,B440,$E$6:$E$505,E440)&gt;1),"REVIEW","READY"))</x:f>
      </x:c>
      <x:c r="N440" s="255" t="str">
        <x:f>IF(M440="","",IF(M440="READY","",TRIM(IF(A440="","missing entity_type; ","")&amp;IF(B440="","missing entity_key; ","")&amp;IF(C440="","missing contact_order; ","")&amp;IF(D440="","missing contact_type; ","")&amp;IF(E440="","missing number; ","")&amp;IF(J440="","missing status; ","")&amp;IF(AND(A440="client",COUNTIF('الزبائن'!$A$6:$A$505,B440)=0),"client key not found; ","")&amp;IF(AND(A440="proposed_name",COUNTIF('أسماء مقترحة'!$A$6:$A$505,B440)=0),"proposed_name key not found; ","")&amp;IF(AND(D440="mobile",J440&lt;&gt;"invalid",NOT(OR(AND(LEN(E440&amp;"")=10,LEFT(E440&amp;"",2)="09"),AND(LEN(E440&amp;"")=9,LEFT(E440&amp;"",1)="9")))),"mobile must be 09XXXXXXXX or status invalid; ","")&amp;IF(COUNTIFS($A$6:$A$505,A440,$B$6:$B$505,B440,$E$6:$E$505,E440)&gt;1,"duplicate number for same entity; ",""))))</x:f>
      </x:c>
    </x:row>
    <x:row r="441">
      <x:c r="A441" s="251"/>
      <x:c r="B441" s="252"/>
      <x:c r="C441" s="253"/>
      <x:c r="D441" s="253"/>
      <x:c r="E441" s="252"/>
      <x:c r="F441" s="252"/>
      <x:c r="G441" s="253"/>
      <x:c r="H441" s="253"/>
      <x:c r="I441" s="253"/>
      <x:c r="J441" s="253"/>
      <x:c r="K441" s="253"/>
      <x:c r="L441" s="253"/>
      <x:c r="M441" s="253" t="str">
        <x:f>IF(AND(A441="",B441="",E441=""),"",IF(OR(A441="",B441="",C441="",D441="",E441="",J441="",AND(A441="client",COUNTIF('الزبائن'!$A$6:$A$505,B441)=0),AND(A441="proposed_name",COUNTIF('أسماء مقترحة'!$A$6:$A$505,B441)=0),AND(D441="mobile",J441&lt;&gt;"invalid",NOT(OR(AND(LEN(E441&amp;"")=10,LEFT(E441&amp;"",2)="09"),AND(LEN(E441&amp;"")=9,LEFT(E441&amp;"",1)="9")))),COUNTIFS($A$6:$A$505,A441,$B$6:$B$505,B441,$E$6:$E$505,E441)&gt;1),"REVIEW","READY"))</x:f>
      </x:c>
      <x:c r="N441" s="255" t="str">
        <x:f>IF(M441="","",IF(M441="READY","",TRIM(IF(A441="","missing entity_type; ","")&amp;IF(B441="","missing entity_key; ","")&amp;IF(C441="","missing contact_order; ","")&amp;IF(D441="","missing contact_type; ","")&amp;IF(E441="","missing number; ","")&amp;IF(J441="","missing status; ","")&amp;IF(AND(A441="client",COUNTIF('الزبائن'!$A$6:$A$505,B441)=0),"client key not found; ","")&amp;IF(AND(A441="proposed_name",COUNTIF('أسماء مقترحة'!$A$6:$A$505,B441)=0),"proposed_name key not found; ","")&amp;IF(AND(D441="mobile",J441&lt;&gt;"invalid",NOT(OR(AND(LEN(E441&amp;"")=10,LEFT(E441&amp;"",2)="09"),AND(LEN(E441&amp;"")=9,LEFT(E441&amp;"",1)="9")))),"mobile must be 09XXXXXXXX or status invalid; ","")&amp;IF(COUNTIFS($A$6:$A$505,A441,$B$6:$B$505,B441,$E$6:$E$505,E441)&gt;1,"duplicate number for same entity; ",""))))</x:f>
      </x:c>
    </x:row>
    <x:row r="442">
      <x:c r="A442" s="251"/>
      <x:c r="B442" s="252"/>
      <x:c r="C442" s="253"/>
      <x:c r="D442" s="253"/>
      <x:c r="E442" s="252"/>
      <x:c r="F442" s="252"/>
      <x:c r="G442" s="253"/>
      <x:c r="H442" s="253"/>
      <x:c r="I442" s="253"/>
      <x:c r="J442" s="253"/>
      <x:c r="K442" s="253"/>
      <x:c r="L442" s="253"/>
      <x:c r="M442" s="253" t="str">
        <x:f>IF(AND(A442="",B442="",E442=""),"",IF(OR(A442="",B442="",C442="",D442="",E442="",J442="",AND(A442="client",COUNTIF('الزبائن'!$A$6:$A$505,B442)=0),AND(A442="proposed_name",COUNTIF('أسماء مقترحة'!$A$6:$A$505,B442)=0),AND(D442="mobile",J442&lt;&gt;"invalid",NOT(OR(AND(LEN(E442&amp;"")=10,LEFT(E442&amp;"",2)="09"),AND(LEN(E442&amp;"")=9,LEFT(E442&amp;"",1)="9")))),COUNTIFS($A$6:$A$505,A442,$B$6:$B$505,B442,$E$6:$E$505,E442)&gt;1),"REVIEW","READY"))</x:f>
      </x:c>
      <x:c r="N442" s="255" t="str">
        <x:f>IF(M442="","",IF(M442="READY","",TRIM(IF(A442="","missing entity_type; ","")&amp;IF(B442="","missing entity_key; ","")&amp;IF(C442="","missing contact_order; ","")&amp;IF(D442="","missing contact_type; ","")&amp;IF(E442="","missing number; ","")&amp;IF(J442="","missing status; ","")&amp;IF(AND(A442="client",COUNTIF('الزبائن'!$A$6:$A$505,B442)=0),"client key not found; ","")&amp;IF(AND(A442="proposed_name",COUNTIF('أسماء مقترحة'!$A$6:$A$505,B442)=0),"proposed_name key not found; ","")&amp;IF(AND(D442="mobile",J442&lt;&gt;"invalid",NOT(OR(AND(LEN(E442&amp;"")=10,LEFT(E442&amp;"",2)="09"),AND(LEN(E442&amp;"")=9,LEFT(E442&amp;"",1)="9")))),"mobile must be 09XXXXXXXX or status invalid; ","")&amp;IF(COUNTIFS($A$6:$A$505,A442,$B$6:$B$505,B442,$E$6:$E$505,E442)&gt;1,"duplicate number for same entity; ",""))))</x:f>
      </x:c>
    </x:row>
    <x:row r="443">
      <x:c r="A443" s="251"/>
      <x:c r="B443" s="252"/>
      <x:c r="C443" s="253"/>
      <x:c r="D443" s="253"/>
      <x:c r="E443" s="252"/>
      <x:c r="F443" s="252"/>
      <x:c r="G443" s="253"/>
      <x:c r="H443" s="253"/>
      <x:c r="I443" s="253"/>
      <x:c r="J443" s="253"/>
      <x:c r="K443" s="253"/>
      <x:c r="L443" s="253"/>
      <x:c r="M443" s="253" t="str">
        <x:f>IF(AND(A443="",B443="",E443=""),"",IF(OR(A443="",B443="",C443="",D443="",E443="",J443="",AND(A443="client",COUNTIF('الزبائن'!$A$6:$A$505,B443)=0),AND(A443="proposed_name",COUNTIF('أسماء مقترحة'!$A$6:$A$505,B443)=0),AND(D443="mobile",J443&lt;&gt;"invalid",NOT(OR(AND(LEN(E443&amp;"")=10,LEFT(E443&amp;"",2)="09"),AND(LEN(E443&amp;"")=9,LEFT(E443&amp;"",1)="9")))),COUNTIFS($A$6:$A$505,A443,$B$6:$B$505,B443,$E$6:$E$505,E443)&gt;1),"REVIEW","READY"))</x:f>
      </x:c>
      <x:c r="N443" s="255" t="str">
        <x:f>IF(M443="","",IF(M443="READY","",TRIM(IF(A443="","missing entity_type; ","")&amp;IF(B443="","missing entity_key; ","")&amp;IF(C443="","missing contact_order; ","")&amp;IF(D443="","missing contact_type; ","")&amp;IF(E443="","missing number; ","")&amp;IF(J443="","missing status; ","")&amp;IF(AND(A443="client",COUNTIF('الزبائن'!$A$6:$A$505,B443)=0),"client key not found; ","")&amp;IF(AND(A443="proposed_name",COUNTIF('أسماء مقترحة'!$A$6:$A$505,B443)=0),"proposed_name key not found; ","")&amp;IF(AND(D443="mobile",J443&lt;&gt;"invalid",NOT(OR(AND(LEN(E443&amp;"")=10,LEFT(E443&amp;"",2)="09"),AND(LEN(E443&amp;"")=9,LEFT(E443&amp;"",1)="9")))),"mobile must be 09XXXXXXXX or status invalid; ","")&amp;IF(COUNTIFS($A$6:$A$505,A443,$B$6:$B$505,B443,$E$6:$E$505,E443)&gt;1,"duplicate number for same entity; ",""))))</x:f>
      </x:c>
    </x:row>
    <x:row r="444">
      <x:c r="A444" s="251"/>
      <x:c r="B444" s="252"/>
      <x:c r="C444" s="253"/>
      <x:c r="D444" s="253"/>
      <x:c r="E444" s="252"/>
      <x:c r="F444" s="252"/>
      <x:c r="G444" s="253"/>
      <x:c r="H444" s="253"/>
      <x:c r="I444" s="253"/>
      <x:c r="J444" s="253"/>
      <x:c r="K444" s="253"/>
      <x:c r="L444" s="253"/>
      <x:c r="M444" s="253" t="str">
        <x:f>IF(AND(A444="",B444="",E444=""),"",IF(OR(A444="",B444="",C444="",D444="",E444="",J444="",AND(A444="client",COUNTIF('الزبائن'!$A$6:$A$505,B444)=0),AND(A444="proposed_name",COUNTIF('أسماء مقترحة'!$A$6:$A$505,B444)=0),AND(D444="mobile",J444&lt;&gt;"invalid",NOT(OR(AND(LEN(E444&amp;"")=10,LEFT(E444&amp;"",2)="09"),AND(LEN(E444&amp;"")=9,LEFT(E444&amp;"",1)="9")))),COUNTIFS($A$6:$A$505,A444,$B$6:$B$505,B444,$E$6:$E$505,E444)&gt;1),"REVIEW","READY"))</x:f>
      </x:c>
      <x:c r="N444" s="255" t="str">
        <x:f>IF(M444="","",IF(M444="READY","",TRIM(IF(A444="","missing entity_type; ","")&amp;IF(B444="","missing entity_key; ","")&amp;IF(C444="","missing contact_order; ","")&amp;IF(D444="","missing contact_type; ","")&amp;IF(E444="","missing number; ","")&amp;IF(J444="","missing status; ","")&amp;IF(AND(A444="client",COUNTIF('الزبائن'!$A$6:$A$505,B444)=0),"client key not found; ","")&amp;IF(AND(A444="proposed_name",COUNTIF('أسماء مقترحة'!$A$6:$A$505,B444)=0),"proposed_name key not found; ","")&amp;IF(AND(D444="mobile",J444&lt;&gt;"invalid",NOT(OR(AND(LEN(E444&amp;"")=10,LEFT(E444&amp;"",2)="09"),AND(LEN(E444&amp;"")=9,LEFT(E444&amp;"",1)="9")))),"mobile must be 09XXXXXXXX or status invalid; ","")&amp;IF(COUNTIFS($A$6:$A$505,A444,$B$6:$B$505,B444,$E$6:$E$505,E444)&gt;1,"duplicate number for same entity; ",""))))</x:f>
      </x:c>
    </x:row>
    <x:row r="445">
      <x:c r="A445" s="251"/>
      <x:c r="B445" s="252"/>
      <x:c r="C445" s="253"/>
      <x:c r="D445" s="253"/>
      <x:c r="E445" s="252"/>
      <x:c r="F445" s="252"/>
      <x:c r="G445" s="253"/>
      <x:c r="H445" s="253"/>
      <x:c r="I445" s="253"/>
      <x:c r="J445" s="253"/>
      <x:c r="K445" s="253"/>
      <x:c r="L445" s="253"/>
      <x:c r="M445" s="253" t="str">
        <x:f>IF(AND(A445="",B445="",E445=""),"",IF(OR(A445="",B445="",C445="",D445="",E445="",J445="",AND(A445="client",COUNTIF('الزبائن'!$A$6:$A$505,B445)=0),AND(A445="proposed_name",COUNTIF('أسماء مقترحة'!$A$6:$A$505,B445)=0),AND(D445="mobile",J445&lt;&gt;"invalid",NOT(OR(AND(LEN(E445&amp;"")=10,LEFT(E445&amp;"",2)="09"),AND(LEN(E445&amp;"")=9,LEFT(E445&amp;"",1)="9")))),COUNTIFS($A$6:$A$505,A445,$B$6:$B$505,B445,$E$6:$E$505,E445)&gt;1),"REVIEW","READY"))</x:f>
      </x:c>
      <x:c r="N445" s="255" t="str">
        <x:f>IF(M445="","",IF(M445="READY","",TRIM(IF(A445="","missing entity_type; ","")&amp;IF(B445="","missing entity_key; ","")&amp;IF(C445="","missing contact_order; ","")&amp;IF(D445="","missing contact_type; ","")&amp;IF(E445="","missing number; ","")&amp;IF(J445="","missing status; ","")&amp;IF(AND(A445="client",COUNTIF('الزبائن'!$A$6:$A$505,B445)=0),"client key not found; ","")&amp;IF(AND(A445="proposed_name",COUNTIF('أسماء مقترحة'!$A$6:$A$505,B445)=0),"proposed_name key not found; ","")&amp;IF(AND(D445="mobile",J445&lt;&gt;"invalid",NOT(OR(AND(LEN(E445&amp;"")=10,LEFT(E445&amp;"",2)="09"),AND(LEN(E445&amp;"")=9,LEFT(E445&amp;"",1)="9")))),"mobile must be 09XXXXXXXX or status invalid; ","")&amp;IF(COUNTIFS($A$6:$A$505,A445,$B$6:$B$505,B445,$E$6:$E$505,E445)&gt;1,"duplicate number for same entity; ",""))))</x:f>
      </x:c>
    </x:row>
    <x:row r="446">
      <x:c r="A446" s="251"/>
      <x:c r="B446" s="252"/>
      <x:c r="C446" s="253"/>
      <x:c r="D446" s="253"/>
      <x:c r="E446" s="252"/>
      <x:c r="F446" s="252"/>
      <x:c r="G446" s="253"/>
      <x:c r="H446" s="253"/>
      <x:c r="I446" s="253"/>
      <x:c r="J446" s="253"/>
      <x:c r="K446" s="253"/>
      <x:c r="L446" s="253"/>
      <x:c r="M446" s="253" t="str">
        <x:f>IF(AND(A446="",B446="",E446=""),"",IF(OR(A446="",B446="",C446="",D446="",E446="",J446="",AND(A446="client",COUNTIF('الزبائن'!$A$6:$A$505,B446)=0),AND(A446="proposed_name",COUNTIF('أسماء مقترحة'!$A$6:$A$505,B446)=0),AND(D446="mobile",J446&lt;&gt;"invalid",NOT(OR(AND(LEN(E446&amp;"")=10,LEFT(E446&amp;"",2)="09"),AND(LEN(E446&amp;"")=9,LEFT(E446&amp;"",1)="9")))),COUNTIFS($A$6:$A$505,A446,$B$6:$B$505,B446,$E$6:$E$505,E446)&gt;1),"REVIEW","READY"))</x:f>
      </x:c>
      <x:c r="N446" s="255" t="str">
        <x:f>IF(M446="","",IF(M446="READY","",TRIM(IF(A446="","missing entity_type; ","")&amp;IF(B446="","missing entity_key; ","")&amp;IF(C446="","missing contact_order; ","")&amp;IF(D446="","missing contact_type; ","")&amp;IF(E446="","missing number; ","")&amp;IF(J446="","missing status; ","")&amp;IF(AND(A446="client",COUNTIF('الزبائن'!$A$6:$A$505,B446)=0),"client key not found; ","")&amp;IF(AND(A446="proposed_name",COUNTIF('أسماء مقترحة'!$A$6:$A$505,B446)=0),"proposed_name key not found; ","")&amp;IF(AND(D446="mobile",J446&lt;&gt;"invalid",NOT(OR(AND(LEN(E446&amp;"")=10,LEFT(E446&amp;"",2)="09"),AND(LEN(E446&amp;"")=9,LEFT(E446&amp;"",1)="9")))),"mobile must be 09XXXXXXXX or status invalid; ","")&amp;IF(COUNTIFS($A$6:$A$505,A446,$B$6:$B$505,B446,$E$6:$E$505,E446)&gt;1,"duplicate number for same entity; ",""))))</x:f>
      </x:c>
    </x:row>
    <x:row r="447">
      <x:c r="A447" s="251"/>
      <x:c r="B447" s="252"/>
      <x:c r="C447" s="253"/>
      <x:c r="D447" s="253"/>
      <x:c r="E447" s="252"/>
      <x:c r="F447" s="252"/>
      <x:c r="G447" s="253"/>
      <x:c r="H447" s="253"/>
      <x:c r="I447" s="253"/>
      <x:c r="J447" s="253"/>
      <x:c r="K447" s="253"/>
      <x:c r="L447" s="253"/>
      <x:c r="M447" s="253" t="str">
        <x:f>IF(AND(A447="",B447="",E447=""),"",IF(OR(A447="",B447="",C447="",D447="",E447="",J447="",AND(A447="client",COUNTIF('الزبائن'!$A$6:$A$505,B447)=0),AND(A447="proposed_name",COUNTIF('أسماء مقترحة'!$A$6:$A$505,B447)=0),AND(D447="mobile",J447&lt;&gt;"invalid",NOT(OR(AND(LEN(E447&amp;"")=10,LEFT(E447&amp;"",2)="09"),AND(LEN(E447&amp;"")=9,LEFT(E447&amp;"",1)="9")))),COUNTIFS($A$6:$A$505,A447,$B$6:$B$505,B447,$E$6:$E$505,E447)&gt;1),"REVIEW","READY"))</x:f>
      </x:c>
      <x:c r="N447" s="255" t="str">
        <x:f>IF(M447="","",IF(M447="READY","",TRIM(IF(A447="","missing entity_type; ","")&amp;IF(B447="","missing entity_key; ","")&amp;IF(C447="","missing contact_order; ","")&amp;IF(D447="","missing contact_type; ","")&amp;IF(E447="","missing number; ","")&amp;IF(J447="","missing status; ","")&amp;IF(AND(A447="client",COUNTIF('الزبائن'!$A$6:$A$505,B447)=0),"client key not found; ","")&amp;IF(AND(A447="proposed_name",COUNTIF('أسماء مقترحة'!$A$6:$A$505,B447)=0),"proposed_name key not found; ","")&amp;IF(AND(D447="mobile",J447&lt;&gt;"invalid",NOT(OR(AND(LEN(E447&amp;"")=10,LEFT(E447&amp;"",2)="09"),AND(LEN(E447&amp;"")=9,LEFT(E447&amp;"",1)="9")))),"mobile must be 09XXXXXXXX or status invalid; ","")&amp;IF(COUNTIFS($A$6:$A$505,A447,$B$6:$B$505,B447,$E$6:$E$505,E447)&gt;1,"duplicate number for same entity; ",""))))</x:f>
      </x:c>
    </x:row>
    <x:row r="448">
      <x:c r="A448" s="251"/>
      <x:c r="B448" s="252"/>
      <x:c r="C448" s="253"/>
      <x:c r="D448" s="253"/>
      <x:c r="E448" s="252"/>
      <x:c r="F448" s="252"/>
      <x:c r="G448" s="253"/>
      <x:c r="H448" s="253"/>
      <x:c r="I448" s="253"/>
      <x:c r="J448" s="253"/>
      <x:c r="K448" s="253"/>
      <x:c r="L448" s="253"/>
      <x:c r="M448" s="253" t="str">
        <x:f>IF(AND(A448="",B448="",E448=""),"",IF(OR(A448="",B448="",C448="",D448="",E448="",J448="",AND(A448="client",COUNTIF('الزبائن'!$A$6:$A$505,B448)=0),AND(A448="proposed_name",COUNTIF('أسماء مقترحة'!$A$6:$A$505,B448)=0),AND(D448="mobile",J448&lt;&gt;"invalid",NOT(OR(AND(LEN(E448&amp;"")=10,LEFT(E448&amp;"",2)="09"),AND(LEN(E448&amp;"")=9,LEFT(E448&amp;"",1)="9")))),COUNTIFS($A$6:$A$505,A448,$B$6:$B$505,B448,$E$6:$E$505,E448)&gt;1),"REVIEW","READY"))</x:f>
      </x:c>
      <x:c r="N448" s="255" t="str">
        <x:f>IF(M448="","",IF(M448="READY","",TRIM(IF(A448="","missing entity_type; ","")&amp;IF(B448="","missing entity_key; ","")&amp;IF(C448="","missing contact_order; ","")&amp;IF(D448="","missing contact_type; ","")&amp;IF(E448="","missing number; ","")&amp;IF(J448="","missing status; ","")&amp;IF(AND(A448="client",COUNTIF('الزبائن'!$A$6:$A$505,B448)=0),"client key not found; ","")&amp;IF(AND(A448="proposed_name",COUNTIF('أسماء مقترحة'!$A$6:$A$505,B448)=0),"proposed_name key not found; ","")&amp;IF(AND(D448="mobile",J448&lt;&gt;"invalid",NOT(OR(AND(LEN(E448&amp;"")=10,LEFT(E448&amp;"",2)="09"),AND(LEN(E448&amp;"")=9,LEFT(E448&amp;"",1)="9")))),"mobile must be 09XXXXXXXX or status invalid; ","")&amp;IF(COUNTIFS($A$6:$A$505,A448,$B$6:$B$505,B448,$E$6:$E$505,E448)&gt;1,"duplicate number for same entity; ",""))))</x:f>
      </x:c>
    </x:row>
    <x:row r="449">
      <x:c r="A449" s="251"/>
      <x:c r="B449" s="252"/>
      <x:c r="C449" s="253"/>
      <x:c r="D449" s="253"/>
      <x:c r="E449" s="252"/>
      <x:c r="F449" s="252"/>
      <x:c r="G449" s="253"/>
      <x:c r="H449" s="253"/>
      <x:c r="I449" s="253"/>
      <x:c r="J449" s="253"/>
      <x:c r="K449" s="253"/>
      <x:c r="L449" s="253"/>
      <x:c r="M449" s="253" t="str">
        <x:f>IF(AND(A449="",B449="",E449=""),"",IF(OR(A449="",B449="",C449="",D449="",E449="",J449="",AND(A449="client",COUNTIF('الزبائن'!$A$6:$A$505,B449)=0),AND(A449="proposed_name",COUNTIF('أسماء مقترحة'!$A$6:$A$505,B449)=0),AND(D449="mobile",J449&lt;&gt;"invalid",NOT(OR(AND(LEN(E449&amp;"")=10,LEFT(E449&amp;"",2)="09"),AND(LEN(E449&amp;"")=9,LEFT(E449&amp;"",1)="9")))),COUNTIFS($A$6:$A$505,A449,$B$6:$B$505,B449,$E$6:$E$505,E449)&gt;1),"REVIEW","READY"))</x:f>
      </x:c>
      <x:c r="N449" s="255" t="str">
        <x:f>IF(M449="","",IF(M449="READY","",TRIM(IF(A449="","missing entity_type; ","")&amp;IF(B449="","missing entity_key; ","")&amp;IF(C449="","missing contact_order; ","")&amp;IF(D449="","missing contact_type; ","")&amp;IF(E449="","missing number; ","")&amp;IF(J449="","missing status; ","")&amp;IF(AND(A449="client",COUNTIF('الزبائن'!$A$6:$A$505,B449)=0),"client key not found; ","")&amp;IF(AND(A449="proposed_name",COUNTIF('أسماء مقترحة'!$A$6:$A$505,B449)=0),"proposed_name key not found; ","")&amp;IF(AND(D449="mobile",J449&lt;&gt;"invalid",NOT(OR(AND(LEN(E449&amp;"")=10,LEFT(E449&amp;"",2)="09"),AND(LEN(E449&amp;"")=9,LEFT(E449&amp;"",1)="9")))),"mobile must be 09XXXXXXXX or status invalid; ","")&amp;IF(COUNTIFS($A$6:$A$505,A449,$B$6:$B$505,B449,$E$6:$E$505,E449)&gt;1,"duplicate number for same entity; ",""))))</x:f>
      </x:c>
    </x:row>
    <x:row r="450">
      <x:c r="A450" s="251"/>
      <x:c r="B450" s="252"/>
      <x:c r="C450" s="253"/>
      <x:c r="D450" s="253"/>
      <x:c r="E450" s="252"/>
      <x:c r="F450" s="252"/>
      <x:c r="G450" s="253"/>
      <x:c r="H450" s="253"/>
      <x:c r="I450" s="253"/>
      <x:c r="J450" s="253"/>
      <x:c r="K450" s="253"/>
      <x:c r="L450" s="253"/>
      <x:c r="M450" s="253" t="str">
        <x:f>IF(AND(A450="",B450="",E450=""),"",IF(OR(A450="",B450="",C450="",D450="",E450="",J450="",AND(A450="client",COUNTIF('الزبائن'!$A$6:$A$505,B450)=0),AND(A450="proposed_name",COUNTIF('أسماء مقترحة'!$A$6:$A$505,B450)=0),AND(D450="mobile",J450&lt;&gt;"invalid",NOT(OR(AND(LEN(E450&amp;"")=10,LEFT(E450&amp;"",2)="09"),AND(LEN(E450&amp;"")=9,LEFT(E450&amp;"",1)="9")))),COUNTIFS($A$6:$A$505,A450,$B$6:$B$505,B450,$E$6:$E$505,E450)&gt;1),"REVIEW","READY"))</x:f>
      </x:c>
      <x:c r="N450" s="255" t="str">
        <x:f>IF(M450="","",IF(M450="READY","",TRIM(IF(A450="","missing entity_type; ","")&amp;IF(B450="","missing entity_key; ","")&amp;IF(C450="","missing contact_order; ","")&amp;IF(D450="","missing contact_type; ","")&amp;IF(E450="","missing number; ","")&amp;IF(J450="","missing status; ","")&amp;IF(AND(A450="client",COUNTIF('الزبائن'!$A$6:$A$505,B450)=0),"client key not found; ","")&amp;IF(AND(A450="proposed_name",COUNTIF('أسماء مقترحة'!$A$6:$A$505,B450)=0),"proposed_name key not found; ","")&amp;IF(AND(D450="mobile",J450&lt;&gt;"invalid",NOT(OR(AND(LEN(E450&amp;"")=10,LEFT(E450&amp;"",2)="09"),AND(LEN(E450&amp;"")=9,LEFT(E450&amp;"",1)="9")))),"mobile must be 09XXXXXXXX or status invalid; ","")&amp;IF(COUNTIFS($A$6:$A$505,A450,$B$6:$B$505,B450,$E$6:$E$505,E450)&gt;1,"duplicate number for same entity; ",""))))</x:f>
      </x:c>
    </x:row>
    <x:row r="451">
      <x:c r="A451" s="251"/>
      <x:c r="B451" s="252"/>
      <x:c r="C451" s="253"/>
      <x:c r="D451" s="253"/>
      <x:c r="E451" s="252"/>
      <x:c r="F451" s="252"/>
      <x:c r="G451" s="253"/>
      <x:c r="H451" s="253"/>
      <x:c r="I451" s="253"/>
      <x:c r="J451" s="253"/>
      <x:c r="K451" s="253"/>
      <x:c r="L451" s="253"/>
      <x:c r="M451" s="253" t="str">
        <x:f>IF(AND(A451="",B451="",E451=""),"",IF(OR(A451="",B451="",C451="",D451="",E451="",J451="",AND(A451="client",COUNTIF('الزبائن'!$A$6:$A$505,B451)=0),AND(A451="proposed_name",COUNTIF('أسماء مقترحة'!$A$6:$A$505,B451)=0),AND(D451="mobile",J451&lt;&gt;"invalid",NOT(OR(AND(LEN(E451&amp;"")=10,LEFT(E451&amp;"",2)="09"),AND(LEN(E451&amp;"")=9,LEFT(E451&amp;"",1)="9")))),COUNTIFS($A$6:$A$505,A451,$B$6:$B$505,B451,$E$6:$E$505,E451)&gt;1),"REVIEW","READY"))</x:f>
      </x:c>
      <x:c r="N451" s="255" t="str">
        <x:f>IF(M451="","",IF(M451="READY","",TRIM(IF(A451="","missing entity_type; ","")&amp;IF(B451="","missing entity_key; ","")&amp;IF(C451="","missing contact_order; ","")&amp;IF(D451="","missing contact_type; ","")&amp;IF(E451="","missing number; ","")&amp;IF(J451="","missing status; ","")&amp;IF(AND(A451="client",COUNTIF('الزبائن'!$A$6:$A$505,B451)=0),"client key not found; ","")&amp;IF(AND(A451="proposed_name",COUNTIF('أسماء مقترحة'!$A$6:$A$505,B451)=0),"proposed_name key not found; ","")&amp;IF(AND(D451="mobile",J451&lt;&gt;"invalid",NOT(OR(AND(LEN(E451&amp;"")=10,LEFT(E451&amp;"",2)="09"),AND(LEN(E451&amp;"")=9,LEFT(E451&amp;"",1)="9")))),"mobile must be 09XXXXXXXX or status invalid; ","")&amp;IF(COUNTIFS($A$6:$A$505,A451,$B$6:$B$505,B451,$E$6:$E$505,E451)&gt;1,"duplicate number for same entity; ",""))))</x:f>
      </x:c>
    </x:row>
    <x:row r="452">
      <x:c r="A452" s="251"/>
      <x:c r="B452" s="252"/>
      <x:c r="C452" s="253"/>
      <x:c r="D452" s="253"/>
      <x:c r="E452" s="252"/>
      <x:c r="F452" s="252"/>
      <x:c r="G452" s="253"/>
      <x:c r="H452" s="253"/>
      <x:c r="I452" s="253"/>
      <x:c r="J452" s="253"/>
      <x:c r="K452" s="253"/>
      <x:c r="L452" s="253"/>
      <x:c r="M452" s="253" t="str">
        <x:f>IF(AND(A452="",B452="",E452=""),"",IF(OR(A452="",B452="",C452="",D452="",E452="",J452="",AND(A452="client",COUNTIF('الزبائن'!$A$6:$A$505,B452)=0),AND(A452="proposed_name",COUNTIF('أسماء مقترحة'!$A$6:$A$505,B452)=0),AND(D452="mobile",J452&lt;&gt;"invalid",NOT(OR(AND(LEN(E452&amp;"")=10,LEFT(E452&amp;"",2)="09"),AND(LEN(E452&amp;"")=9,LEFT(E452&amp;"",1)="9")))),COUNTIFS($A$6:$A$505,A452,$B$6:$B$505,B452,$E$6:$E$505,E452)&gt;1),"REVIEW","READY"))</x:f>
      </x:c>
      <x:c r="N452" s="255" t="str">
        <x:f>IF(M452="","",IF(M452="READY","",TRIM(IF(A452="","missing entity_type; ","")&amp;IF(B452="","missing entity_key; ","")&amp;IF(C452="","missing contact_order; ","")&amp;IF(D452="","missing contact_type; ","")&amp;IF(E452="","missing number; ","")&amp;IF(J452="","missing status; ","")&amp;IF(AND(A452="client",COUNTIF('الزبائن'!$A$6:$A$505,B452)=0),"client key not found; ","")&amp;IF(AND(A452="proposed_name",COUNTIF('أسماء مقترحة'!$A$6:$A$505,B452)=0),"proposed_name key not found; ","")&amp;IF(AND(D452="mobile",J452&lt;&gt;"invalid",NOT(OR(AND(LEN(E452&amp;"")=10,LEFT(E452&amp;"",2)="09"),AND(LEN(E452&amp;"")=9,LEFT(E452&amp;"",1)="9")))),"mobile must be 09XXXXXXXX or status invalid; ","")&amp;IF(COUNTIFS($A$6:$A$505,A452,$B$6:$B$505,B452,$E$6:$E$505,E452)&gt;1,"duplicate number for same entity; ",""))))</x:f>
      </x:c>
    </x:row>
    <x:row r="453">
      <x:c r="A453" s="251"/>
      <x:c r="B453" s="252"/>
      <x:c r="C453" s="253"/>
      <x:c r="D453" s="253"/>
      <x:c r="E453" s="252"/>
      <x:c r="F453" s="252"/>
      <x:c r="G453" s="253"/>
      <x:c r="H453" s="253"/>
      <x:c r="I453" s="253"/>
      <x:c r="J453" s="253"/>
      <x:c r="K453" s="253"/>
      <x:c r="L453" s="253"/>
      <x:c r="M453" s="253" t="str">
        <x:f>IF(AND(A453="",B453="",E453=""),"",IF(OR(A453="",B453="",C453="",D453="",E453="",J453="",AND(A453="client",COUNTIF('الزبائن'!$A$6:$A$505,B453)=0),AND(A453="proposed_name",COUNTIF('أسماء مقترحة'!$A$6:$A$505,B453)=0),AND(D453="mobile",J453&lt;&gt;"invalid",NOT(OR(AND(LEN(E453&amp;"")=10,LEFT(E453&amp;"",2)="09"),AND(LEN(E453&amp;"")=9,LEFT(E453&amp;"",1)="9")))),COUNTIFS($A$6:$A$505,A453,$B$6:$B$505,B453,$E$6:$E$505,E453)&gt;1),"REVIEW","READY"))</x:f>
      </x:c>
      <x:c r="N453" s="255" t="str">
        <x:f>IF(M453="","",IF(M453="READY","",TRIM(IF(A453="","missing entity_type; ","")&amp;IF(B453="","missing entity_key; ","")&amp;IF(C453="","missing contact_order; ","")&amp;IF(D453="","missing contact_type; ","")&amp;IF(E453="","missing number; ","")&amp;IF(J453="","missing status; ","")&amp;IF(AND(A453="client",COUNTIF('الزبائن'!$A$6:$A$505,B453)=0),"client key not found; ","")&amp;IF(AND(A453="proposed_name",COUNTIF('أسماء مقترحة'!$A$6:$A$505,B453)=0),"proposed_name key not found; ","")&amp;IF(AND(D453="mobile",J453&lt;&gt;"invalid",NOT(OR(AND(LEN(E453&amp;"")=10,LEFT(E453&amp;"",2)="09"),AND(LEN(E453&amp;"")=9,LEFT(E453&amp;"",1)="9")))),"mobile must be 09XXXXXXXX or status invalid; ","")&amp;IF(COUNTIFS($A$6:$A$505,A453,$B$6:$B$505,B453,$E$6:$E$505,E453)&gt;1,"duplicate number for same entity; ",""))))</x:f>
      </x:c>
    </x:row>
    <x:row r="454">
      <x:c r="A454" s="251"/>
      <x:c r="B454" s="252"/>
      <x:c r="C454" s="253"/>
      <x:c r="D454" s="253"/>
      <x:c r="E454" s="252"/>
      <x:c r="F454" s="252"/>
      <x:c r="G454" s="253"/>
      <x:c r="H454" s="253"/>
      <x:c r="I454" s="253"/>
      <x:c r="J454" s="253"/>
      <x:c r="K454" s="253"/>
      <x:c r="L454" s="253"/>
      <x:c r="M454" s="253" t="str">
        <x:f>IF(AND(A454="",B454="",E454=""),"",IF(OR(A454="",B454="",C454="",D454="",E454="",J454="",AND(A454="client",COUNTIF('الزبائن'!$A$6:$A$505,B454)=0),AND(A454="proposed_name",COUNTIF('أسماء مقترحة'!$A$6:$A$505,B454)=0),AND(D454="mobile",J454&lt;&gt;"invalid",NOT(OR(AND(LEN(E454&amp;"")=10,LEFT(E454&amp;"",2)="09"),AND(LEN(E454&amp;"")=9,LEFT(E454&amp;"",1)="9")))),COUNTIFS($A$6:$A$505,A454,$B$6:$B$505,B454,$E$6:$E$505,E454)&gt;1),"REVIEW","READY"))</x:f>
      </x:c>
      <x:c r="N454" s="255" t="str">
        <x:f>IF(M454="","",IF(M454="READY","",TRIM(IF(A454="","missing entity_type; ","")&amp;IF(B454="","missing entity_key; ","")&amp;IF(C454="","missing contact_order; ","")&amp;IF(D454="","missing contact_type; ","")&amp;IF(E454="","missing number; ","")&amp;IF(J454="","missing status; ","")&amp;IF(AND(A454="client",COUNTIF('الزبائن'!$A$6:$A$505,B454)=0),"client key not found; ","")&amp;IF(AND(A454="proposed_name",COUNTIF('أسماء مقترحة'!$A$6:$A$505,B454)=0),"proposed_name key not found; ","")&amp;IF(AND(D454="mobile",J454&lt;&gt;"invalid",NOT(OR(AND(LEN(E454&amp;"")=10,LEFT(E454&amp;"",2)="09"),AND(LEN(E454&amp;"")=9,LEFT(E454&amp;"",1)="9")))),"mobile must be 09XXXXXXXX or status invalid; ","")&amp;IF(COUNTIFS($A$6:$A$505,A454,$B$6:$B$505,B454,$E$6:$E$505,E454)&gt;1,"duplicate number for same entity; ",""))))</x:f>
      </x:c>
    </x:row>
    <x:row r="455">
      <x:c r="A455" s="251"/>
      <x:c r="B455" s="252"/>
      <x:c r="C455" s="253"/>
      <x:c r="D455" s="253"/>
      <x:c r="E455" s="252"/>
      <x:c r="F455" s="252"/>
      <x:c r="G455" s="253"/>
      <x:c r="H455" s="253"/>
      <x:c r="I455" s="253"/>
      <x:c r="J455" s="253"/>
      <x:c r="K455" s="253"/>
      <x:c r="L455" s="253"/>
      <x:c r="M455" s="253" t="str">
        <x:f>IF(AND(A455="",B455="",E455=""),"",IF(OR(A455="",B455="",C455="",D455="",E455="",J455="",AND(A455="client",COUNTIF('الزبائن'!$A$6:$A$505,B455)=0),AND(A455="proposed_name",COUNTIF('أسماء مقترحة'!$A$6:$A$505,B455)=0),AND(D455="mobile",J455&lt;&gt;"invalid",NOT(OR(AND(LEN(E455&amp;"")=10,LEFT(E455&amp;"",2)="09"),AND(LEN(E455&amp;"")=9,LEFT(E455&amp;"",1)="9")))),COUNTIFS($A$6:$A$505,A455,$B$6:$B$505,B455,$E$6:$E$505,E455)&gt;1),"REVIEW","READY"))</x:f>
      </x:c>
      <x:c r="N455" s="255" t="str">
        <x:f>IF(M455="","",IF(M455="READY","",TRIM(IF(A455="","missing entity_type; ","")&amp;IF(B455="","missing entity_key; ","")&amp;IF(C455="","missing contact_order; ","")&amp;IF(D455="","missing contact_type; ","")&amp;IF(E455="","missing number; ","")&amp;IF(J455="","missing status; ","")&amp;IF(AND(A455="client",COUNTIF('الزبائن'!$A$6:$A$505,B455)=0),"client key not found; ","")&amp;IF(AND(A455="proposed_name",COUNTIF('أسماء مقترحة'!$A$6:$A$505,B455)=0),"proposed_name key not found; ","")&amp;IF(AND(D455="mobile",J455&lt;&gt;"invalid",NOT(OR(AND(LEN(E455&amp;"")=10,LEFT(E455&amp;"",2)="09"),AND(LEN(E455&amp;"")=9,LEFT(E455&amp;"",1)="9")))),"mobile must be 09XXXXXXXX or status invalid; ","")&amp;IF(COUNTIFS($A$6:$A$505,A455,$B$6:$B$505,B455,$E$6:$E$505,E455)&gt;1,"duplicate number for same entity; ",""))))</x:f>
      </x:c>
    </x:row>
    <x:row r="456">
      <x:c r="A456" s="251"/>
      <x:c r="B456" s="252"/>
      <x:c r="C456" s="253"/>
      <x:c r="D456" s="253"/>
      <x:c r="E456" s="252"/>
      <x:c r="F456" s="252"/>
      <x:c r="G456" s="253"/>
      <x:c r="H456" s="253"/>
      <x:c r="I456" s="253"/>
      <x:c r="J456" s="253"/>
      <x:c r="K456" s="253"/>
      <x:c r="L456" s="253"/>
      <x:c r="M456" s="253" t="str">
        <x:f>IF(AND(A456="",B456="",E456=""),"",IF(OR(A456="",B456="",C456="",D456="",E456="",J456="",AND(A456="client",COUNTIF('الزبائن'!$A$6:$A$505,B456)=0),AND(A456="proposed_name",COUNTIF('أسماء مقترحة'!$A$6:$A$505,B456)=0),AND(D456="mobile",J456&lt;&gt;"invalid",NOT(OR(AND(LEN(E456&amp;"")=10,LEFT(E456&amp;"",2)="09"),AND(LEN(E456&amp;"")=9,LEFT(E456&amp;"",1)="9")))),COUNTIFS($A$6:$A$505,A456,$B$6:$B$505,B456,$E$6:$E$505,E456)&gt;1),"REVIEW","READY"))</x:f>
      </x:c>
      <x:c r="N456" s="255" t="str">
        <x:f>IF(M456="","",IF(M456="READY","",TRIM(IF(A456="","missing entity_type; ","")&amp;IF(B456="","missing entity_key; ","")&amp;IF(C456="","missing contact_order; ","")&amp;IF(D456="","missing contact_type; ","")&amp;IF(E456="","missing number; ","")&amp;IF(J456="","missing status; ","")&amp;IF(AND(A456="client",COUNTIF('الزبائن'!$A$6:$A$505,B456)=0),"client key not found; ","")&amp;IF(AND(A456="proposed_name",COUNTIF('أسماء مقترحة'!$A$6:$A$505,B456)=0),"proposed_name key not found; ","")&amp;IF(AND(D456="mobile",J456&lt;&gt;"invalid",NOT(OR(AND(LEN(E456&amp;"")=10,LEFT(E456&amp;"",2)="09"),AND(LEN(E456&amp;"")=9,LEFT(E456&amp;"",1)="9")))),"mobile must be 09XXXXXXXX or status invalid; ","")&amp;IF(COUNTIFS($A$6:$A$505,A456,$B$6:$B$505,B456,$E$6:$E$505,E456)&gt;1,"duplicate number for same entity; ",""))))</x:f>
      </x:c>
    </x:row>
    <x:row r="457">
      <x:c r="A457" s="251"/>
      <x:c r="B457" s="252"/>
      <x:c r="C457" s="253"/>
      <x:c r="D457" s="253"/>
      <x:c r="E457" s="252"/>
      <x:c r="F457" s="252"/>
      <x:c r="G457" s="253"/>
      <x:c r="H457" s="253"/>
      <x:c r="I457" s="253"/>
      <x:c r="J457" s="253"/>
      <x:c r="K457" s="253"/>
      <x:c r="L457" s="253"/>
      <x:c r="M457" s="253" t="str">
        <x:f>IF(AND(A457="",B457="",E457=""),"",IF(OR(A457="",B457="",C457="",D457="",E457="",J457="",AND(A457="client",COUNTIF('الزبائن'!$A$6:$A$505,B457)=0),AND(A457="proposed_name",COUNTIF('أسماء مقترحة'!$A$6:$A$505,B457)=0),AND(D457="mobile",J457&lt;&gt;"invalid",NOT(OR(AND(LEN(E457&amp;"")=10,LEFT(E457&amp;"",2)="09"),AND(LEN(E457&amp;"")=9,LEFT(E457&amp;"",1)="9")))),COUNTIFS($A$6:$A$505,A457,$B$6:$B$505,B457,$E$6:$E$505,E457)&gt;1),"REVIEW","READY"))</x:f>
      </x:c>
      <x:c r="N457" s="255" t="str">
        <x:f>IF(M457="","",IF(M457="READY","",TRIM(IF(A457="","missing entity_type; ","")&amp;IF(B457="","missing entity_key; ","")&amp;IF(C457="","missing contact_order; ","")&amp;IF(D457="","missing contact_type; ","")&amp;IF(E457="","missing number; ","")&amp;IF(J457="","missing status; ","")&amp;IF(AND(A457="client",COUNTIF('الزبائن'!$A$6:$A$505,B457)=0),"client key not found; ","")&amp;IF(AND(A457="proposed_name",COUNTIF('أسماء مقترحة'!$A$6:$A$505,B457)=0),"proposed_name key not found; ","")&amp;IF(AND(D457="mobile",J457&lt;&gt;"invalid",NOT(OR(AND(LEN(E457&amp;"")=10,LEFT(E457&amp;"",2)="09"),AND(LEN(E457&amp;"")=9,LEFT(E457&amp;"",1)="9")))),"mobile must be 09XXXXXXXX or status invalid; ","")&amp;IF(COUNTIFS($A$6:$A$505,A457,$B$6:$B$505,B457,$E$6:$E$505,E457)&gt;1,"duplicate number for same entity; ",""))))</x:f>
      </x:c>
    </x:row>
    <x:row r="458">
      <x:c r="A458" s="251"/>
      <x:c r="B458" s="252"/>
      <x:c r="C458" s="253"/>
      <x:c r="D458" s="253"/>
      <x:c r="E458" s="252"/>
      <x:c r="F458" s="252"/>
      <x:c r="G458" s="253"/>
      <x:c r="H458" s="253"/>
      <x:c r="I458" s="253"/>
      <x:c r="J458" s="253"/>
      <x:c r="K458" s="253"/>
      <x:c r="L458" s="253"/>
      <x:c r="M458" s="253" t="str">
        <x:f>IF(AND(A458="",B458="",E458=""),"",IF(OR(A458="",B458="",C458="",D458="",E458="",J458="",AND(A458="client",COUNTIF('الزبائن'!$A$6:$A$505,B458)=0),AND(A458="proposed_name",COUNTIF('أسماء مقترحة'!$A$6:$A$505,B458)=0),AND(D458="mobile",J458&lt;&gt;"invalid",NOT(OR(AND(LEN(E458&amp;"")=10,LEFT(E458&amp;"",2)="09"),AND(LEN(E458&amp;"")=9,LEFT(E458&amp;"",1)="9")))),COUNTIFS($A$6:$A$505,A458,$B$6:$B$505,B458,$E$6:$E$505,E458)&gt;1),"REVIEW","READY"))</x:f>
      </x:c>
      <x:c r="N458" s="255" t="str">
        <x:f>IF(M458="","",IF(M458="READY","",TRIM(IF(A458="","missing entity_type; ","")&amp;IF(B458="","missing entity_key; ","")&amp;IF(C458="","missing contact_order; ","")&amp;IF(D458="","missing contact_type; ","")&amp;IF(E458="","missing number; ","")&amp;IF(J458="","missing status; ","")&amp;IF(AND(A458="client",COUNTIF('الزبائن'!$A$6:$A$505,B458)=0),"client key not found; ","")&amp;IF(AND(A458="proposed_name",COUNTIF('أسماء مقترحة'!$A$6:$A$505,B458)=0),"proposed_name key not found; ","")&amp;IF(AND(D458="mobile",J458&lt;&gt;"invalid",NOT(OR(AND(LEN(E458&amp;"")=10,LEFT(E458&amp;"",2)="09"),AND(LEN(E458&amp;"")=9,LEFT(E458&amp;"",1)="9")))),"mobile must be 09XXXXXXXX or status invalid; ","")&amp;IF(COUNTIFS($A$6:$A$505,A458,$B$6:$B$505,B458,$E$6:$E$505,E458)&gt;1,"duplicate number for same entity; ",""))))</x:f>
      </x:c>
    </x:row>
    <x:row r="459">
      <x:c r="A459" s="251"/>
      <x:c r="B459" s="252"/>
      <x:c r="C459" s="253"/>
      <x:c r="D459" s="253"/>
      <x:c r="E459" s="252"/>
      <x:c r="F459" s="252"/>
      <x:c r="G459" s="253"/>
      <x:c r="H459" s="253"/>
      <x:c r="I459" s="253"/>
      <x:c r="J459" s="253"/>
      <x:c r="K459" s="253"/>
      <x:c r="L459" s="253"/>
      <x:c r="M459" s="253" t="str">
        <x:f>IF(AND(A459="",B459="",E459=""),"",IF(OR(A459="",B459="",C459="",D459="",E459="",J459="",AND(A459="client",COUNTIF('الزبائن'!$A$6:$A$505,B459)=0),AND(A459="proposed_name",COUNTIF('أسماء مقترحة'!$A$6:$A$505,B459)=0),AND(D459="mobile",J459&lt;&gt;"invalid",NOT(OR(AND(LEN(E459&amp;"")=10,LEFT(E459&amp;"",2)="09"),AND(LEN(E459&amp;"")=9,LEFT(E459&amp;"",1)="9")))),COUNTIFS($A$6:$A$505,A459,$B$6:$B$505,B459,$E$6:$E$505,E459)&gt;1),"REVIEW","READY"))</x:f>
      </x:c>
      <x:c r="N459" s="255" t="str">
        <x:f>IF(M459="","",IF(M459="READY","",TRIM(IF(A459="","missing entity_type; ","")&amp;IF(B459="","missing entity_key; ","")&amp;IF(C459="","missing contact_order; ","")&amp;IF(D459="","missing contact_type; ","")&amp;IF(E459="","missing number; ","")&amp;IF(J459="","missing status; ","")&amp;IF(AND(A459="client",COUNTIF('الزبائن'!$A$6:$A$505,B459)=0),"client key not found; ","")&amp;IF(AND(A459="proposed_name",COUNTIF('أسماء مقترحة'!$A$6:$A$505,B459)=0),"proposed_name key not found; ","")&amp;IF(AND(D459="mobile",J459&lt;&gt;"invalid",NOT(OR(AND(LEN(E459&amp;"")=10,LEFT(E459&amp;"",2)="09"),AND(LEN(E459&amp;"")=9,LEFT(E459&amp;"",1)="9")))),"mobile must be 09XXXXXXXX or status invalid; ","")&amp;IF(COUNTIFS($A$6:$A$505,A459,$B$6:$B$505,B459,$E$6:$E$505,E459)&gt;1,"duplicate number for same entity; ",""))))</x:f>
      </x:c>
    </x:row>
    <x:row r="460">
      <x:c r="A460" s="251"/>
      <x:c r="B460" s="252"/>
      <x:c r="C460" s="253"/>
      <x:c r="D460" s="253"/>
      <x:c r="E460" s="252"/>
      <x:c r="F460" s="252"/>
      <x:c r="G460" s="253"/>
      <x:c r="H460" s="253"/>
      <x:c r="I460" s="253"/>
      <x:c r="J460" s="253"/>
      <x:c r="K460" s="253"/>
      <x:c r="L460" s="253"/>
      <x:c r="M460" s="253" t="str">
        <x:f>IF(AND(A460="",B460="",E460=""),"",IF(OR(A460="",B460="",C460="",D460="",E460="",J460="",AND(A460="client",COUNTIF('الزبائن'!$A$6:$A$505,B460)=0),AND(A460="proposed_name",COUNTIF('أسماء مقترحة'!$A$6:$A$505,B460)=0),AND(D460="mobile",J460&lt;&gt;"invalid",NOT(OR(AND(LEN(E460&amp;"")=10,LEFT(E460&amp;"",2)="09"),AND(LEN(E460&amp;"")=9,LEFT(E460&amp;"",1)="9")))),COUNTIFS($A$6:$A$505,A460,$B$6:$B$505,B460,$E$6:$E$505,E460)&gt;1),"REVIEW","READY"))</x:f>
      </x:c>
      <x:c r="N460" s="255" t="str">
        <x:f>IF(M460="","",IF(M460="READY","",TRIM(IF(A460="","missing entity_type; ","")&amp;IF(B460="","missing entity_key; ","")&amp;IF(C460="","missing contact_order; ","")&amp;IF(D460="","missing contact_type; ","")&amp;IF(E460="","missing number; ","")&amp;IF(J460="","missing status; ","")&amp;IF(AND(A460="client",COUNTIF('الزبائن'!$A$6:$A$505,B460)=0),"client key not found; ","")&amp;IF(AND(A460="proposed_name",COUNTIF('أسماء مقترحة'!$A$6:$A$505,B460)=0),"proposed_name key not found; ","")&amp;IF(AND(D460="mobile",J460&lt;&gt;"invalid",NOT(OR(AND(LEN(E460&amp;"")=10,LEFT(E460&amp;"",2)="09"),AND(LEN(E460&amp;"")=9,LEFT(E460&amp;"",1)="9")))),"mobile must be 09XXXXXXXX or status invalid; ","")&amp;IF(COUNTIFS($A$6:$A$505,A460,$B$6:$B$505,B460,$E$6:$E$505,E460)&gt;1,"duplicate number for same entity; ",""))))</x:f>
      </x:c>
    </x:row>
    <x:row r="461">
      <x:c r="A461" s="251"/>
      <x:c r="B461" s="252"/>
      <x:c r="C461" s="253"/>
      <x:c r="D461" s="253"/>
      <x:c r="E461" s="252"/>
      <x:c r="F461" s="252"/>
      <x:c r="G461" s="253"/>
      <x:c r="H461" s="253"/>
      <x:c r="I461" s="253"/>
      <x:c r="J461" s="253"/>
      <x:c r="K461" s="253"/>
      <x:c r="L461" s="253"/>
      <x:c r="M461" s="253" t="str">
        <x:f>IF(AND(A461="",B461="",E461=""),"",IF(OR(A461="",B461="",C461="",D461="",E461="",J461="",AND(A461="client",COUNTIF('الزبائن'!$A$6:$A$505,B461)=0),AND(A461="proposed_name",COUNTIF('أسماء مقترحة'!$A$6:$A$505,B461)=0),AND(D461="mobile",J461&lt;&gt;"invalid",NOT(OR(AND(LEN(E461&amp;"")=10,LEFT(E461&amp;"",2)="09"),AND(LEN(E461&amp;"")=9,LEFT(E461&amp;"",1)="9")))),COUNTIFS($A$6:$A$505,A461,$B$6:$B$505,B461,$E$6:$E$505,E461)&gt;1),"REVIEW","READY"))</x:f>
      </x:c>
      <x:c r="N461" s="255" t="str">
        <x:f>IF(M461="","",IF(M461="READY","",TRIM(IF(A461="","missing entity_type; ","")&amp;IF(B461="","missing entity_key; ","")&amp;IF(C461="","missing contact_order; ","")&amp;IF(D461="","missing contact_type; ","")&amp;IF(E461="","missing number; ","")&amp;IF(J461="","missing status; ","")&amp;IF(AND(A461="client",COUNTIF('الزبائن'!$A$6:$A$505,B461)=0),"client key not found; ","")&amp;IF(AND(A461="proposed_name",COUNTIF('أسماء مقترحة'!$A$6:$A$505,B461)=0),"proposed_name key not found; ","")&amp;IF(AND(D461="mobile",J461&lt;&gt;"invalid",NOT(OR(AND(LEN(E461&amp;"")=10,LEFT(E461&amp;"",2)="09"),AND(LEN(E461&amp;"")=9,LEFT(E461&amp;"",1)="9")))),"mobile must be 09XXXXXXXX or status invalid; ","")&amp;IF(COUNTIFS($A$6:$A$505,A461,$B$6:$B$505,B461,$E$6:$E$505,E461)&gt;1,"duplicate number for same entity; ",""))))</x:f>
      </x:c>
    </x:row>
    <x:row r="462">
      <x:c r="A462" s="251"/>
      <x:c r="B462" s="252"/>
      <x:c r="C462" s="253"/>
      <x:c r="D462" s="253"/>
      <x:c r="E462" s="252"/>
      <x:c r="F462" s="252"/>
      <x:c r="G462" s="253"/>
      <x:c r="H462" s="253"/>
      <x:c r="I462" s="253"/>
      <x:c r="J462" s="253"/>
      <x:c r="K462" s="253"/>
      <x:c r="L462" s="253"/>
      <x:c r="M462" s="253" t="str">
        <x:f>IF(AND(A462="",B462="",E462=""),"",IF(OR(A462="",B462="",C462="",D462="",E462="",J462="",AND(A462="client",COUNTIF('الزبائن'!$A$6:$A$505,B462)=0),AND(A462="proposed_name",COUNTIF('أسماء مقترحة'!$A$6:$A$505,B462)=0),AND(D462="mobile",J462&lt;&gt;"invalid",NOT(OR(AND(LEN(E462&amp;"")=10,LEFT(E462&amp;"",2)="09"),AND(LEN(E462&amp;"")=9,LEFT(E462&amp;"",1)="9")))),COUNTIFS($A$6:$A$505,A462,$B$6:$B$505,B462,$E$6:$E$505,E462)&gt;1),"REVIEW","READY"))</x:f>
      </x:c>
      <x:c r="N462" s="255" t="str">
        <x:f>IF(M462="","",IF(M462="READY","",TRIM(IF(A462="","missing entity_type; ","")&amp;IF(B462="","missing entity_key; ","")&amp;IF(C462="","missing contact_order; ","")&amp;IF(D462="","missing contact_type; ","")&amp;IF(E462="","missing number; ","")&amp;IF(J462="","missing status; ","")&amp;IF(AND(A462="client",COUNTIF('الزبائن'!$A$6:$A$505,B462)=0),"client key not found; ","")&amp;IF(AND(A462="proposed_name",COUNTIF('أسماء مقترحة'!$A$6:$A$505,B462)=0),"proposed_name key not found; ","")&amp;IF(AND(D462="mobile",J462&lt;&gt;"invalid",NOT(OR(AND(LEN(E462&amp;"")=10,LEFT(E462&amp;"",2)="09"),AND(LEN(E462&amp;"")=9,LEFT(E462&amp;"",1)="9")))),"mobile must be 09XXXXXXXX or status invalid; ","")&amp;IF(COUNTIFS($A$6:$A$505,A462,$B$6:$B$505,B462,$E$6:$E$505,E462)&gt;1,"duplicate number for same entity; ",""))))</x:f>
      </x:c>
    </x:row>
    <x:row r="463">
      <x:c r="A463" s="251"/>
      <x:c r="B463" s="252"/>
      <x:c r="C463" s="253"/>
      <x:c r="D463" s="253"/>
      <x:c r="E463" s="252"/>
      <x:c r="F463" s="252"/>
      <x:c r="G463" s="253"/>
      <x:c r="H463" s="253"/>
      <x:c r="I463" s="253"/>
      <x:c r="J463" s="253"/>
      <x:c r="K463" s="253"/>
      <x:c r="L463" s="253"/>
      <x:c r="M463" s="253" t="str">
        <x:f>IF(AND(A463="",B463="",E463=""),"",IF(OR(A463="",B463="",C463="",D463="",E463="",J463="",AND(A463="client",COUNTIF('الزبائن'!$A$6:$A$505,B463)=0),AND(A463="proposed_name",COUNTIF('أسماء مقترحة'!$A$6:$A$505,B463)=0),AND(D463="mobile",J463&lt;&gt;"invalid",NOT(OR(AND(LEN(E463&amp;"")=10,LEFT(E463&amp;"",2)="09"),AND(LEN(E463&amp;"")=9,LEFT(E463&amp;"",1)="9")))),COUNTIFS($A$6:$A$505,A463,$B$6:$B$505,B463,$E$6:$E$505,E463)&gt;1),"REVIEW","READY"))</x:f>
      </x:c>
      <x:c r="N463" s="255" t="str">
        <x:f>IF(M463="","",IF(M463="READY","",TRIM(IF(A463="","missing entity_type; ","")&amp;IF(B463="","missing entity_key; ","")&amp;IF(C463="","missing contact_order; ","")&amp;IF(D463="","missing contact_type; ","")&amp;IF(E463="","missing number; ","")&amp;IF(J463="","missing status; ","")&amp;IF(AND(A463="client",COUNTIF('الزبائن'!$A$6:$A$505,B463)=0),"client key not found; ","")&amp;IF(AND(A463="proposed_name",COUNTIF('أسماء مقترحة'!$A$6:$A$505,B463)=0),"proposed_name key not found; ","")&amp;IF(AND(D463="mobile",J463&lt;&gt;"invalid",NOT(OR(AND(LEN(E463&amp;"")=10,LEFT(E463&amp;"",2)="09"),AND(LEN(E463&amp;"")=9,LEFT(E463&amp;"",1)="9")))),"mobile must be 09XXXXXXXX or status invalid; ","")&amp;IF(COUNTIFS($A$6:$A$505,A463,$B$6:$B$505,B463,$E$6:$E$505,E463)&gt;1,"duplicate number for same entity; ",""))))</x:f>
      </x:c>
    </x:row>
    <x:row r="464">
      <x:c r="A464" s="251"/>
      <x:c r="B464" s="252"/>
      <x:c r="C464" s="253"/>
      <x:c r="D464" s="253"/>
      <x:c r="E464" s="252"/>
      <x:c r="F464" s="252"/>
      <x:c r="G464" s="253"/>
      <x:c r="H464" s="253"/>
      <x:c r="I464" s="253"/>
      <x:c r="J464" s="253"/>
      <x:c r="K464" s="253"/>
      <x:c r="L464" s="253"/>
      <x:c r="M464" s="253" t="str">
        <x:f>IF(AND(A464="",B464="",E464=""),"",IF(OR(A464="",B464="",C464="",D464="",E464="",J464="",AND(A464="client",COUNTIF('الزبائن'!$A$6:$A$505,B464)=0),AND(A464="proposed_name",COUNTIF('أسماء مقترحة'!$A$6:$A$505,B464)=0),AND(D464="mobile",J464&lt;&gt;"invalid",NOT(OR(AND(LEN(E464&amp;"")=10,LEFT(E464&amp;"",2)="09"),AND(LEN(E464&amp;"")=9,LEFT(E464&amp;"",1)="9")))),COUNTIFS($A$6:$A$505,A464,$B$6:$B$505,B464,$E$6:$E$505,E464)&gt;1),"REVIEW","READY"))</x:f>
      </x:c>
      <x:c r="N464" s="255" t="str">
        <x:f>IF(M464="","",IF(M464="READY","",TRIM(IF(A464="","missing entity_type; ","")&amp;IF(B464="","missing entity_key; ","")&amp;IF(C464="","missing contact_order; ","")&amp;IF(D464="","missing contact_type; ","")&amp;IF(E464="","missing number; ","")&amp;IF(J464="","missing status; ","")&amp;IF(AND(A464="client",COUNTIF('الزبائن'!$A$6:$A$505,B464)=0),"client key not found; ","")&amp;IF(AND(A464="proposed_name",COUNTIF('أسماء مقترحة'!$A$6:$A$505,B464)=0),"proposed_name key not found; ","")&amp;IF(AND(D464="mobile",J464&lt;&gt;"invalid",NOT(OR(AND(LEN(E464&amp;"")=10,LEFT(E464&amp;"",2)="09"),AND(LEN(E464&amp;"")=9,LEFT(E464&amp;"",1)="9")))),"mobile must be 09XXXXXXXX or status invalid; ","")&amp;IF(COUNTIFS($A$6:$A$505,A464,$B$6:$B$505,B464,$E$6:$E$505,E464)&gt;1,"duplicate number for same entity; ",""))))</x:f>
      </x:c>
    </x:row>
    <x:row r="465">
      <x:c r="A465" s="251"/>
      <x:c r="B465" s="252"/>
      <x:c r="C465" s="253"/>
      <x:c r="D465" s="253"/>
      <x:c r="E465" s="252"/>
      <x:c r="F465" s="252"/>
      <x:c r="G465" s="253"/>
      <x:c r="H465" s="253"/>
      <x:c r="I465" s="253"/>
      <x:c r="J465" s="253"/>
      <x:c r="K465" s="253"/>
      <x:c r="L465" s="253"/>
      <x:c r="M465" s="253" t="str">
        <x:f>IF(AND(A465="",B465="",E465=""),"",IF(OR(A465="",B465="",C465="",D465="",E465="",J465="",AND(A465="client",COUNTIF('الزبائن'!$A$6:$A$505,B465)=0),AND(A465="proposed_name",COUNTIF('أسماء مقترحة'!$A$6:$A$505,B465)=0),AND(D465="mobile",J465&lt;&gt;"invalid",NOT(OR(AND(LEN(E465&amp;"")=10,LEFT(E465&amp;"",2)="09"),AND(LEN(E465&amp;"")=9,LEFT(E465&amp;"",1)="9")))),COUNTIFS($A$6:$A$505,A465,$B$6:$B$505,B465,$E$6:$E$505,E465)&gt;1),"REVIEW","READY"))</x:f>
      </x:c>
      <x:c r="N465" s="255" t="str">
        <x:f>IF(M465="","",IF(M465="READY","",TRIM(IF(A465="","missing entity_type; ","")&amp;IF(B465="","missing entity_key; ","")&amp;IF(C465="","missing contact_order; ","")&amp;IF(D465="","missing contact_type; ","")&amp;IF(E465="","missing number; ","")&amp;IF(J465="","missing status; ","")&amp;IF(AND(A465="client",COUNTIF('الزبائن'!$A$6:$A$505,B465)=0),"client key not found; ","")&amp;IF(AND(A465="proposed_name",COUNTIF('أسماء مقترحة'!$A$6:$A$505,B465)=0),"proposed_name key not found; ","")&amp;IF(AND(D465="mobile",J465&lt;&gt;"invalid",NOT(OR(AND(LEN(E465&amp;"")=10,LEFT(E465&amp;"",2)="09"),AND(LEN(E465&amp;"")=9,LEFT(E465&amp;"",1)="9")))),"mobile must be 09XXXXXXXX or status invalid; ","")&amp;IF(COUNTIFS($A$6:$A$505,A465,$B$6:$B$505,B465,$E$6:$E$505,E465)&gt;1,"duplicate number for same entity; ",""))))</x:f>
      </x:c>
    </x:row>
    <x:row r="466">
      <x:c r="A466" s="251"/>
      <x:c r="B466" s="252"/>
      <x:c r="C466" s="253"/>
      <x:c r="D466" s="253"/>
      <x:c r="E466" s="252"/>
      <x:c r="F466" s="252"/>
      <x:c r="G466" s="253"/>
      <x:c r="H466" s="253"/>
      <x:c r="I466" s="253"/>
      <x:c r="J466" s="253"/>
      <x:c r="K466" s="253"/>
      <x:c r="L466" s="253"/>
      <x:c r="M466" s="253" t="str">
        <x:f>IF(AND(A466="",B466="",E466=""),"",IF(OR(A466="",B466="",C466="",D466="",E466="",J466="",AND(A466="client",COUNTIF('الزبائن'!$A$6:$A$505,B466)=0),AND(A466="proposed_name",COUNTIF('أسماء مقترحة'!$A$6:$A$505,B466)=0),AND(D466="mobile",J466&lt;&gt;"invalid",NOT(OR(AND(LEN(E466&amp;"")=10,LEFT(E466&amp;"",2)="09"),AND(LEN(E466&amp;"")=9,LEFT(E466&amp;"",1)="9")))),COUNTIFS($A$6:$A$505,A466,$B$6:$B$505,B466,$E$6:$E$505,E466)&gt;1),"REVIEW","READY"))</x:f>
      </x:c>
      <x:c r="N466" s="255" t="str">
        <x:f>IF(M466="","",IF(M466="READY","",TRIM(IF(A466="","missing entity_type; ","")&amp;IF(B466="","missing entity_key; ","")&amp;IF(C466="","missing contact_order; ","")&amp;IF(D466="","missing contact_type; ","")&amp;IF(E466="","missing number; ","")&amp;IF(J466="","missing status; ","")&amp;IF(AND(A466="client",COUNTIF('الزبائن'!$A$6:$A$505,B466)=0),"client key not found; ","")&amp;IF(AND(A466="proposed_name",COUNTIF('أسماء مقترحة'!$A$6:$A$505,B466)=0),"proposed_name key not found; ","")&amp;IF(AND(D466="mobile",J466&lt;&gt;"invalid",NOT(OR(AND(LEN(E466&amp;"")=10,LEFT(E466&amp;"",2)="09"),AND(LEN(E466&amp;"")=9,LEFT(E466&amp;"",1)="9")))),"mobile must be 09XXXXXXXX or status invalid; ","")&amp;IF(COUNTIFS($A$6:$A$505,A466,$B$6:$B$505,B466,$E$6:$E$505,E466)&gt;1,"duplicate number for same entity; ",""))))</x:f>
      </x:c>
    </x:row>
    <x:row r="467">
      <x:c r="A467" s="251"/>
      <x:c r="B467" s="252"/>
      <x:c r="C467" s="253"/>
      <x:c r="D467" s="253"/>
      <x:c r="E467" s="252"/>
      <x:c r="F467" s="252"/>
      <x:c r="G467" s="253"/>
      <x:c r="H467" s="253"/>
      <x:c r="I467" s="253"/>
      <x:c r="J467" s="253"/>
      <x:c r="K467" s="253"/>
      <x:c r="L467" s="253"/>
      <x:c r="M467" s="253" t="str">
        <x:f>IF(AND(A467="",B467="",E467=""),"",IF(OR(A467="",B467="",C467="",D467="",E467="",J467="",AND(A467="client",COUNTIF('الزبائن'!$A$6:$A$505,B467)=0),AND(A467="proposed_name",COUNTIF('أسماء مقترحة'!$A$6:$A$505,B467)=0),AND(D467="mobile",J467&lt;&gt;"invalid",NOT(OR(AND(LEN(E467&amp;"")=10,LEFT(E467&amp;"",2)="09"),AND(LEN(E467&amp;"")=9,LEFT(E467&amp;"",1)="9")))),COUNTIFS($A$6:$A$505,A467,$B$6:$B$505,B467,$E$6:$E$505,E467)&gt;1),"REVIEW","READY"))</x:f>
      </x:c>
      <x:c r="N467" s="255" t="str">
        <x:f>IF(M467="","",IF(M467="READY","",TRIM(IF(A467="","missing entity_type; ","")&amp;IF(B467="","missing entity_key; ","")&amp;IF(C467="","missing contact_order; ","")&amp;IF(D467="","missing contact_type; ","")&amp;IF(E467="","missing number; ","")&amp;IF(J467="","missing status; ","")&amp;IF(AND(A467="client",COUNTIF('الزبائن'!$A$6:$A$505,B467)=0),"client key not found; ","")&amp;IF(AND(A467="proposed_name",COUNTIF('أسماء مقترحة'!$A$6:$A$505,B467)=0),"proposed_name key not found; ","")&amp;IF(AND(D467="mobile",J467&lt;&gt;"invalid",NOT(OR(AND(LEN(E467&amp;"")=10,LEFT(E467&amp;"",2)="09"),AND(LEN(E467&amp;"")=9,LEFT(E467&amp;"",1)="9")))),"mobile must be 09XXXXXXXX or status invalid; ","")&amp;IF(COUNTIFS($A$6:$A$505,A467,$B$6:$B$505,B467,$E$6:$E$505,E467)&gt;1,"duplicate number for same entity; ",""))))</x:f>
      </x:c>
    </x:row>
    <x:row r="468">
      <x:c r="A468" s="251"/>
      <x:c r="B468" s="252"/>
      <x:c r="C468" s="253"/>
      <x:c r="D468" s="253"/>
      <x:c r="E468" s="252"/>
      <x:c r="F468" s="252"/>
      <x:c r="G468" s="253"/>
      <x:c r="H468" s="253"/>
      <x:c r="I468" s="253"/>
      <x:c r="J468" s="253"/>
      <x:c r="K468" s="253"/>
      <x:c r="L468" s="253"/>
      <x:c r="M468" s="253" t="str">
        <x:f>IF(AND(A468="",B468="",E468=""),"",IF(OR(A468="",B468="",C468="",D468="",E468="",J468="",AND(A468="client",COUNTIF('الزبائن'!$A$6:$A$505,B468)=0),AND(A468="proposed_name",COUNTIF('أسماء مقترحة'!$A$6:$A$505,B468)=0),AND(D468="mobile",J468&lt;&gt;"invalid",NOT(OR(AND(LEN(E468&amp;"")=10,LEFT(E468&amp;"",2)="09"),AND(LEN(E468&amp;"")=9,LEFT(E468&amp;"",1)="9")))),COUNTIFS($A$6:$A$505,A468,$B$6:$B$505,B468,$E$6:$E$505,E468)&gt;1),"REVIEW","READY"))</x:f>
      </x:c>
      <x:c r="N468" s="255" t="str">
        <x:f>IF(M468="","",IF(M468="READY","",TRIM(IF(A468="","missing entity_type; ","")&amp;IF(B468="","missing entity_key; ","")&amp;IF(C468="","missing contact_order; ","")&amp;IF(D468="","missing contact_type; ","")&amp;IF(E468="","missing number; ","")&amp;IF(J468="","missing status; ","")&amp;IF(AND(A468="client",COUNTIF('الزبائن'!$A$6:$A$505,B468)=0),"client key not found; ","")&amp;IF(AND(A468="proposed_name",COUNTIF('أسماء مقترحة'!$A$6:$A$505,B468)=0),"proposed_name key not found; ","")&amp;IF(AND(D468="mobile",J468&lt;&gt;"invalid",NOT(OR(AND(LEN(E468&amp;"")=10,LEFT(E468&amp;"",2)="09"),AND(LEN(E468&amp;"")=9,LEFT(E468&amp;"",1)="9")))),"mobile must be 09XXXXXXXX or status invalid; ","")&amp;IF(COUNTIFS($A$6:$A$505,A468,$B$6:$B$505,B468,$E$6:$E$505,E468)&gt;1,"duplicate number for same entity; ",""))))</x:f>
      </x:c>
    </x:row>
    <x:row r="469">
      <x:c r="A469" s="251"/>
      <x:c r="B469" s="252"/>
      <x:c r="C469" s="253"/>
      <x:c r="D469" s="253"/>
      <x:c r="E469" s="252"/>
      <x:c r="F469" s="252"/>
      <x:c r="G469" s="253"/>
      <x:c r="H469" s="253"/>
      <x:c r="I469" s="253"/>
      <x:c r="J469" s="253"/>
      <x:c r="K469" s="253"/>
      <x:c r="L469" s="253"/>
      <x:c r="M469" s="253" t="str">
        <x:f>IF(AND(A469="",B469="",E469=""),"",IF(OR(A469="",B469="",C469="",D469="",E469="",J469="",AND(A469="client",COUNTIF('الزبائن'!$A$6:$A$505,B469)=0),AND(A469="proposed_name",COUNTIF('أسماء مقترحة'!$A$6:$A$505,B469)=0),AND(D469="mobile",J469&lt;&gt;"invalid",NOT(OR(AND(LEN(E469&amp;"")=10,LEFT(E469&amp;"",2)="09"),AND(LEN(E469&amp;"")=9,LEFT(E469&amp;"",1)="9")))),COUNTIFS($A$6:$A$505,A469,$B$6:$B$505,B469,$E$6:$E$505,E469)&gt;1),"REVIEW","READY"))</x:f>
      </x:c>
      <x:c r="N469" s="255" t="str">
        <x:f>IF(M469="","",IF(M469="READY","",TRIM(IF(A469="","missing entity_type; ","")&amp;IF(B469="","missing entity_key; ","")&amp;IF(C469="","missing contact_order; ","")&amp;IF(D469="","missing contact_type; ","")&amp;IF(E469="","missing number; ","")&amp;IF(J469="","missing status; ","")&amp;IF(AND(A469="client",COUNTIF('الزبائن'!$A$6:$A$505,B469)=0),"client key not found; ","")&amp;IF(AND(A469="proposed_name",COUNTIF('أسماء مقترحة'!$A$6:$A$505,B469)=0),"proposed_name key not found; ","")&amp;IF(AND(D469="mobile",J469&lt;&gt;"invalid",NOT(OR(AND(LEN(E469&amp;"")=10,LEFT(E469&amp;"",2)="09"),AND(LEN(E469&amp;"")=9,LEFT(E469&amp;"",1)="9")))),"mobile must be 09XXXXXXXX or status invalid; ","")&amp;IF(COUNTIFS($A$6:$A$505,A469,$B$6:$B$505,B469,$E$6:$E$505,E469)&gt;1,"duplicate number for same entity; ",""))))</x:f>
      </x:c>
    </x:row>
    <x:row r="470">
      <x:c r="A470" s="251"/>
      <x:c r="B470" s="252"/>
      <x:c r="C470" s="253"/>
      <x:c r="D470" s="253"/>
      <x:c r="E470" s="252"/>
      <x:c r="F470" s="252"/>
      <x:c r="G470" s="253"/>
      <x:c r="H470" s="253"/>
      <x:c r="I470" s="253"/>
      <x:c r="J470" s="253"/>
      <x:c r="K470" s="253"/>
      <x:c r="L470" s="253"/>
      <x:c r="M470" s="253" t="str">
        <x:f>IF(AND(A470="",B470="",E470=""),"",IF(OR(A470="",B470="",C470="",D470="",E470="",J470="",AND(A470="client",COUNTIF('الزبائن'!$A$6:$A$505,B470)=0),AND(A470="proposed_name",COUNTIF('أسماء مقترحة'!$A$6:$A$505,B470)=0),AND(D470="mobile",J470&lt;&gt;"invalid",NOT(OR(AND(LEN(E470&amp;"")=10,LEFT(E470&amp;"",2)="09"),AND(LEN(E470&amp;"")=9,LEFT(E470&amp;"",1)="9")))),COUNTIFS($A$6:$A$505,A470,$B$6:$B$505,B470,$E$6:$E$505,E470)&gt;1),"REVIEW","READY"))</x:f>
      </x:c>
      <x:c r="N470" s="255" t="str">
        <x:f>IF(M470="","",IF(M470="READY","",TRIM(IF(A470="","missing entity_type; ","")&amp;IF(B470="","missing entity_key; ","")&amp;IF(C470="","missing contact_order; ","")&amp;IF(D470="","missing contact_type; ","")&amp;IF(E470="","missing number; ","")&amp;IF(J470="","missing status; ","")&amp;IF(AND(A470="client",COUNTIF('الزبائن'!$A$6:$A$505,B470)=0),"client key not found; ","")&amp;IF(AND(A470="proposed_name",COUNTIF('أسماء مقترحة'!$A$6:$A$505,B470)=0),"proposed_name key not found; ","")&amp;IF(AND(D470="mobile",J470&lt;&gt;"invalid",NOT(OR(AND(LEN(E470&amp;"")=10,LEFT(E470&amp;"",2)="09"),AND(LEN(E470&amp;"")=9,LEFT(E470&amp;"",1)="9")))),"mobile must be 09XXXXXXXX or status invalid; ","")&amp;IF(COUNTIFS($A$6:$A$505,A470,$B$6:$B$505,B470,$E$6:$E$505,E470)&gt;1,"duplicate number for same entity; ",""))))</x:f>
      </x:c>
    </x:row>
    <x:row r="471">
      <x:c r="A471" s="251"/>
      <x:c r="B471" s="252"/>
      <x:c r="C471" s="253"/>
      <x:c r="D471" s="253"/>
      <x:c r="E471" s="252"/>
      <x:c r="F471" s="252"/>
      <x:c r="G471" s="253"/>
      <x:c r="H471" s="253"/>
      <x:c r="I471" s="253"/>
      <x:c r="J471" s="253"/>
      <x:c r="K471" s="253"/>
      <x:c r="L471" s="253"/>
      <x:c r="M471" s="253" t="str">
        <x:f>IF(AND(A471="",B471="",E471=""),"",IF(OR(A471="",B471="",C471="",D471="",E471="",J471="",AND(A471="client",COUNTIF('الزبائن'!$A$6:$A$505,B471)=0),AND(A471="proposed_name",COUNTIF('أسماء مقترحة'!$A$6:$A$505,B471)=0),AND(D471="mobile",J471&lt;&gt;"invalid",NOT(OR(AND(LEN(E471&amp;"")=10,LEFT(E471&amp;"",2)="09"),AND(LEN(E471&amp;"")=9,LEFT(E471&amp;"",1)="9")))),COUNTIFS($A$6:$A$505,A471,$B$6:$B$505,B471,$E$6:$E$505,E471)&gt;1),"REVIEW","READY"))</x:f>
      </x:c>
      <x:c r="N471" s="255" t="str">
        <x:f>IF(M471="","",IF(M471="READY","",TRIM(IF(A471="","missing entity_type; ","")&amp;IF(B471="","missing entity_key; ","")&amp;IF(C471="","missing contact_order; ","")&amp;IF(D471="","missing contact_type; ","")&amp;IF(E471="","missing number; ","")&amp;IF(J471="","missing status; ","")&amp;IF(AND(A471="client",COUNTIF('الزبائن'!$A$6:$A$505,B471)=0),"client key not found; ","")&amp;IF(AND(A471="proposed_name",COUNTIF('أسماء مقترحة'!$A$6:$A$505,B471)=0),"proposed_name key not found; ","")&amp;IF(AND(D471="mobile",J471&lt;&gt;"invalid",NOT(OR(AND(LEN(E471&amp;"")=10,LEFT(E471&amp;"",2)="09"),AND(LEN(E471&amp;"")=9,LEFT(E471&amp;"",1)="9")))),"mobile must be 09XXXXXXXX or status invalid; ","")&amp;IF(COUNTIFS($A$6:$A$505,A471,$B$6:$B$505,B471,$E$6:$E$505,E471)&gt;1,"duplicate number for same entity; ",""))))</x:f>
      </x:c>
    </x:row>
    <x:row r="472">
      <x:c r="A472" s="251"/>
      <x:c r="B472" s="252"/>
      <x:c r="C472" s="253"/>
      <x:c r="D472" s="253"/>
      <x:c r="E472" s="252"/>
      <x:c r="F472" s="252"/>
      <x:c r="G472" s="253"/>
      <x:c r="H472" s="253"/>
      <x:c r="I472" s="253"/>
      <x:c r="J472" s="253"/>
      <x:c r="K472" s="253"/>
      <x:c r="L472" s="253"/>
      <x:c r="M472" s="253" t="str">
        <x:f>IF(AND(A472="",B472="",E472=""),"",IF(OR(A472="",B472="",C472="",D472="",E472="",J472="",AND(A472="client",COUNTIF('الزبائن'!$A$6:$A$505,B472)=0),AND(A472="proposed_name",COUNTIF('أسماء مقترحة'!$A$6:$A$505,B472)=0),AND(D472="mobile",J472&lt;&gt;"invalid",NOT(OR(AND(LEN(E472&amp;"")=10,LEFT(E472&amp;"",2)="09"),AND(LEN(E472&amp;"")=9,LEFT(E472&amp;"",1)="9")))),COUNTIFS($A$6:$A$505,A472,$B$6:$B$505,B472,$E$6:$E$505,E472)&gt;1),"REVIEW","READY"))</x:f>
      </x:c>
      <x:c r="N472" s="255" t="str">
        <x:f>IF(M472="","",IF(M472="READY","",TRIM(IF(A472="","missing entity_type; ","")&amp;IF(B472="","missing entity_key; ","")&amp;IF(C472="","missing contact_order; ","")&amp;IF(D472="","missing contact_type; ","")&amp;IF(E472="","missing number; ","")&amp;IF(J472="","missing status; ","")&amp;IF(AND(A472="client",COUNTIF('الزبائن'!$A$6:$A$505,B472)=0),"client key not found; ","")&amp;IF(AND(A472="proposed_name",COUNTIF('أسماء مقترحة'!$A$6:$A$505,B472)=0),"proposed_name key not found; ","")&amp;IF(AND(D472="mobile",J472&lt;&gt;"invalid",NOT(OR(AND(LEN(E472&amp;"")=10,LEFT(E472&amp;"",2)="09"),AND(LEN(E472&amp;"")=9,LEFT(E472&amp;"",1)="9")))),"mobile must be 09XXXXXXXX or status invalid; ","")&amp;IF(COUNTIFS($A$6:$A$505,A472,$B$6:$B$505,B472,$E$6:$E$505,E472)&gt;1,"duplicate number for same entity; ",""))))</x:f>
      </x:c>
    </x:row>
    <x:row r="473">
      <x:c r="A473" s="251"/>
      <x:c r="B473" s="252"/>
      <x:c r="C473" s="253"/>
      <x:c r="D473" s="253"/>
      <x:c r="E473" s="252"/>
      <x:c r="F473" s="252"/>
      <x:c r="G473" s="253"/>
      <x:c r="H473" s="253"/>
      <x:c r="I473" s="253"/>
      <x:c r="J473" s="253"/>
      <x:c r="K473" s="253"/>
      <x:c r="L473" s="253"/>
      <x:c r="M473" s="253" t="str">
        <x:f>IF(AND(A473="",B473="",E473=""),"",IF(OR(A473="",B473="",C473="",D473="",E473="",J473="",AND(A473="client",COUNTIF('الزبائن'!$A$6:$A$505,B473)=0),AND(A473="proposed_name",COUNTIF('أسماء مقترحة'!$A$6:$A$505,B473)=0),AND(D473="mobile",J473&lt;&gt;"invalid",NOT(OR(AND(LEN(E473&amp;"")=10,LEFT(E473&amp;"",2)="09"),AND(LEN(E473&amp;"")=9,LEFT(E473&amp;"",1)="9")))),COUNTIFS($A$6:$A$505,A473,$B$6:$B$505,B473,$E$6:$E$505,E473)&gt;1),"REVIEW","READY"))</x:f>
      </x:c>
      <x:c r="N473" s="255" t="str">
        <x:f>IF(M473="","",IF(M473="READY","",TRIM(IF(A473="","missing entity_type; ","")&amp;IF(B473="","missing entity_key; ","")&amp;IF(C473="","missing contact_order; ","")&amp;IF(D473="","missing contact_type; ","")&amp;IF(E473="","missing number; ","")&amp;IF(J473="","missing status; ","")&amp;IF(AND(A473="client",COUNTIF('الزبائن'!$A$6:$A$505,B473)=0),"client key not found; ","")&amp;IF(AND(A473="proposed_name",COUNTIF('أسماء مقترحة'!$A$6:$A$505,B473)=0),"proposed_name key not found; ","")&amp;IF(AND(D473="mobile",J473&lt;&gt;"invalid",NOT(OR(AND(LEN(E473&amp;"")=10,LEFT(E473&amp;"",2)="09"),AND(LEN(E473&amp;"")=9,LEFT(E473&amp;"",1)="9")))),"mobile must be 09XXXXXXXX or status invalid; ","")&amp;IF(COUNTIFS($A$6:$A$505,A473,$B$6:$B$505,B473,$E$6:$E$505,E473)&gt;1,"duplicate number for same entity; ",""))))</x:f>
      </x:c>
    </x:row>
    <x:row r="474">
      <x:c r="A474" s="251"/>
      <x:c r="B474" s="252"/>
      <x:c r="C474" s="253"/>
      <x:c r="D474" s="253"/>
      <x:c r="E474" s="252"/>
      <x:c r="F474" s="252"/>
      <x:c r="G474" s="253"/>
      <x:c r="H474" s="253"/>
      <x:c r="I474" s="253"/>
      <x:c r="J474" s="253"/>
      <x:c r="K474" s="253"/>
      <x:c r="L474" s="253"/>
      <x:c r="M474" s="253" t="str">
        <x:f>IF(AND(A474="",B474="",E474=""),"",IF(OR(A474="",B474="",C474="",D474="",E474="",J474="",AND(A474="client",COUNTIF('الزبائن'!$A$6:$A$505,B474)=0),AND(A474="proposed_name",COUNTIF('أسماء مقترحة'!$A$6:$A$505,B474)=0),AND(D474="mobile",J474&lt;&gt;"invalid",NOT(OR(AND(LEN(E474&amp;"")=10,LEFT(E474&amp;"",2)="09"),AND(LEN(E474&amp;"")=9,LEFT(E474&amp;"",1)="9")))),COUNTIFS($A$6:$A$505,A474,$B$6:$B$505,B474,$E$6:$E$505,E474)&gt;1),"REVIEW","READY"))</x:f>
      </x:c>
      <x:c r="N474" s="255" t="str">
        <x:f>IF(M474="","",IF(M474="READY","",TRIM(IF(A474="","missing entity_type; ","")&amp;IF(B474="","missing entity_key; ","")&amp;IF(C474="","missing contact_order; ","")&amp;IF(D474="","missing contact_type; ","")&amp;IF(E474="","missing number; ","")&amp;IF(J474="","missing status; ","")&amp;IF(AND(A474="client",COUNTIF('الزبائن'!$A$6:$A$505,B474)=0),"client key not found; ","")&amp;IF(AND(A474="proposed_name",COUNTIF('أسماء مقترحة'!$A$6:$A$505,B474)=0),"proposed_name key not found; ","")&amp;IF(AND(D474="mobile",J474&lt;&gt;"invalid",NOT(OR(AND(LEN(E474&amp;"")=10,LEFT(E474&amp;"",2)="09"),AND(LEN(E474&amp;"")=9,LEFT(E474&amp;"",1)="9")))),"mobile must be 09XXXXXXXX or status invalid; ","")&amp;IF(COUNTIFS($A$6:$A$505,A474,$B$6:$B$505,B474,$E$6:$E$505,E474)&gt;1,"duplicate number for same entity; ",""))))</x:f>
      </x:c>
    </x:row>
    <x:row r="475">
      <x:c r="A475" s="251"/>
      <x:c r="B475" s="252"/>
      <x:c r="C475" s="253"/>
      <x:c r="D475" s="253"/>
      <x:c r="E475" s="252"/>
      <x:c r="F475" s="252"/>
      <x:c r="G475" s="253"/>
      <x:c r="H475" s="253"/>
      <x:c r="I475" s="253"/>
      <x:c r="J475" s="253"/>
      <x:c r="K475" s="253"/>
      <x:c r="L475" s="253"/>
      <x:c r="M475" s="253" t="str">
        <x:f>IF(AND(A475="",B475="",E475=""),"",IF(OR(A475="",B475="",C475="",D475="",E475="",J475="",AND(A475="client",COUNTIF('الزبائن'!$A$6:$A$505,B475)=0),AND(A475="proposed_name",COUNTIF('أسماء مقترحة'!$A$6:$A$505,B475)=0),AND(D475="mobile",J475&lt;&gt;"invalid",NOT(OR(AND(LEN(E475&amp;"")=10,LEFT(E475&amp;"",2)="09"),AND(LEN(E475&amp;"")=9,LEFT(E475&amp;"",1)="9")))),COUNTIFS($A$6:$A$505,A475,$B$6:$B$505,B475,$E$6:$E$505,E475)&gt;1),"REVIEW","READY"))</x:f>
      </x:c>
      <x:c r="N475" s="255" t="str">
        <x:f>IF(M475="","",IF(M475="READY","",TRIM(IF(A475="","missing entity_type; ","")&amp;IF(B475="","missing entity_key; ","")&amp;IF(C475="","missing contact_order; ","")&amp;IF(D475="","missing contact_type; ","")&amp;IF(E475="","missing number; ","")&amp;IF(J475="","missing status; ","")&amp;IF(AND(A475="client",COUNTIF('الزبائن'!$A$6:$A$505,B475)=0),"client key not found; ","")&amp;IF(AND(A475="proposed_name",COUNTIF('أسماء مقترحة'!$A$6:$A$505,B475)=0),"proposed_name key not found; ","")&amp;IF(AND(D475="mobile",J475&lt;&gt;"invalid",NOT(OR(AND(LEN(E475&amp;"")=10,LEFT(E475&amp;"",2)="09"),AND(LEN(E475&amp;"")=9,LEFT(E475&amp;"",1)="9")))),"mobile must be 09XXXXXXXX or status invalid; ","")&amp;IF(COUNTIFS($A$6:$A$505,A475,$B$6:$B$505,B475,$E$6:$E$505,E475)&gt;1,"duplicate number for same entity; ",""))))</x:f>
      </x:c>
    </x:row>
    <x:row r="476">
      <x:c r="A476" s="251"/>
      <x:c r="B476" s="252"/>
      <x:c r="C476" s="253"/>
      <x:c r="D476" s="253"/>
      <x:c r="E476" s="252"/>
      <x:c r="F476" s="252"/>
      <x:c r="G476" s="253"/>
      <x:c r="H476" s="253"/>
      <x:c r="I476" s="253"/>
      <x:c r="J476" s="253"/>
      <x:c r="K476" s="253"/>
      <x:c r="L476" s="253"/>
      <x:c r="M476" s="253" t="str">
        <x:f>IF(AND(A476="",B476="",E476=""),"",IF(OR(A476="",B476="",C476="",D476="",E476="",J476="",AND(A476="client",COUNTIF('الزبائن'!$A$6:$A$505,B476)=0),AND(A476="proposed_name",COUNTIF('أسماء مقترحة'!$A$6:$A$505,B476)=0),AND(D476="mobile",J476&lt;&gt;"invalid",NOT(OR(AND(LEN(E476&amp;"")=10,LEFT(E476&amp;"",2)="09"),AND(LEN(E476&amp;"")=9,LEFT(E476&amp;"",1)="9")))),COUNTIFS($A$6:$A$505,A476,$B$6:$B$505,B476,$E$6:$E$505,E476)&gt;1),"REVIEW","READY"))</x:f>
      </x:c>
      <x:c r="N476" s="255" t="str">
        <x:f>IF(M476="","",IF(M476="READY","",TRIM(IF(A476="","missing entity_type; ","")&amp;IF(B476="","missing entity_key; ","")&amp;IF(C476="","missing contact_order; ","")&amp;IF(D476="","missing contact_type; ","")&amp;IF(E476="","missing number; ","")&amp;IF(J476="","missing status; ","")&amp;IF(AND(A476="client",COUNTIF('الزبائن'!$A$6:$A$505,B476)=0),"client key not found; ","")&amp;IF(AND(A476="proposed_name",COUNTIF('أسماء مقترحة'!$A$6:$A$505,B476)=0),"proposed_name key not found; ","")&amp;IF(AND(D476="mobile",J476&lt;&gt;"invalid",NOT(OR(AND(LEN(E476&amp;"")=10,LEFT(E476&amp;"",2)="09"),AND(LEN(E476&amp;"")=9,LEFT(E476&amp;"",1)="9")))),"mobile must be 09XXXXXXXX or status invalid; ","")&amp;IF(COUNTIFS($A$6:$A$505,A476,$B$6:$B$505,B476,$E$6:$E$505,E476)&gt;1,"duplicate number for same entity; ",""))))</x:f>
      </x:c>
    </x:row>
    <x:row r="477">
      <x:c r="A477" s="251"/>
      <x:c r="B477" s="252"/>
      <x:c r="C477" s="253"/>
      <x:c r="D477" s="253"/>
      <x:c r="E477" s="252"/>
      <x:c r="F477" s="252"/>
      <x:c r="G477" s="253"/>
      <x:c r="H477" s="253"/>
      <x:c r="I477" s="253"/>
      <x:c r="J477" s="253"/>
      <x:c r="K477" s="253"/>
      <x:c r="L477" s="253"/>
      <x:c r="M477" s="253" t="str">
        <x:f>IF(AND(A477="",B477="",E477=""),"",IF(OR(A477="",B477="",C477="",D477="",E477="",J477="",AND(A477="client",COUNTIF('الزبائن'!$A$6:$A$505,B477)=0),AND(A477="proposed_name",COUNTIF('أسماء مقترحة'!$A$6:$A$505,B477)=0),AND(D477="mobile",J477&lt;&gt;"invalid",NOT(OR(AND(LEN(E477&amp;"")=10,LEFT(E477&amp;"",2)="09"),AND(LEN(E477&amp;"")=9,LEFT(E477&amp;"",1)="9")))),COUNTIFS($A$6:$A$505,A477,$B$6:$B$505,B477,$E$6:$E$505,E477)&gt;1),"REVIEW","READY"))</x:f>
      </x:c>
      <x:c r="N477" s="255" t="str">
        <x:f>IF(M477="","",IF(M477="READY","",TRIM(IF(A477="","missing entity_type; ","")&amp;IF(B477="","missing entity_key; ","")&amp;IF(C477="","missing contact_order; ","")&amp;IF(D477="","missing contact_type; ","")&amp;IF(E477="","missing number; ","")&amp;IF(J477="","missing status; ","")&amp;IF(AND(A477="client",COUNTIF('الزبائن'!$A$6:$A$505,B477)=0),"client key not found; ","")&amp;IF(AND(A477="proposed_name",COUNTIF('أسماء مقترحة'!$A$6:$A$505,B477)=0),"proposed_name key not found; ","")&amp;IF(AND(D477="mobile",J477&lt;&gt;"invalid",NOT(OR(AND(LEN(E477&amp;"")=10,LEFT(E477&amp;"",2)="09"),AND(LEN(E477&amp;"")=9,LEFT(E477&amp;"",1)="9")))),"mobile must be 09XXXXXXXX or status invalid; ","")&amp;IF(COUNTIFS($A$6:$A$505,A477,$B$6:$B$505,B477,$E$6:$E$505,E477)&gt;1,"duplicate number for same entity; ",""))))</x:f>
      </x:c>
    </x:row>
    <x:row r="478">
      <x:c r="A478" s="251"/>
      <x:c r="B478" s="252"/>
      <x:c r="C478" s="253"/>
      <x:c r="D478" s="253"/>
      <x:c r="E478" s="252"/>
      <x:c r="F478" s="252"/>
      <x:c r="G478" s="253"/>
      <x:c r="H478" s="253"/>
      <x:c r="I478" s="253"/>
      <x:c r="J478" s="253"/>
      <x:c r="K478" s="253"/>
      <x:c r="L478" s="253"/>
      <x:c r="M478" s="253" t="str">
        <x:f>IF(AND(A478="",B478="",E478=""),"",IF(OR(A478="",B478="",C478="",D478="",E478="",J478="",AND(A478="client",COUNTIF('الزبائن'!$A$6:$A$505,B478)=0),AND(A478="proposed_name",COUNTIF('أسماء مقترحة'!$A$6:$A$505,B478)=0),AND(D478="mobile",J478&lt;&gt;"invalid",NOT(OR(AND(LEN(E478&amp;"")=10,LEFT(E478&amp;"",2)="09"),AND(LEN(E478&amp;"")=9,LEFT(E478&amp;"",1)="9")))),COUNTIFS($A$6:$A$505,A478,$B$6:$B$505,B478,$E$6:$E$505,E478)&gt;1),"REVIEW","READY"))</x:f>
      </x:c>
      <x:c r="N478" s="255" t="str">
        <x:f>IF(M478="","",IF(M478="READY","",TRIM(IF(A478="","missing entity_type; ","")&amp;IF(B478="","missing entity_key; ","")&amp;IF(C478="","missing contact_order; ","")&amp;IF(D478="","missing contact_type; ","")&amp;IF(E478="","missing number; ","")&amp;IF(J478="","missing status; ","")&amp;IF(AND(A478="client",COUNTIF('الزبائن'!$A$6:$A$505,B478)=0),"client key not found; ","")&amp;IF(AND(A478="proposed_name",COUNTIF('أسماء مقترحة'!$A$6:$A$505,B478)=0),"proposed_name key not found; ","")&amp;IF(AND(D478="mobile",J478&lt;&gt;"invalid",NOT(OR(AND(LEN(E478&amp;"")=10,LEFT(E478&amp;"",2)="09"),AND(LEN(E478&amp;"")=9,LEFT(E478&amp;"",1)="9")))),"mobile must be 09XXXXXXXX or status invalid; ","")&amp;IF(COUNTIFS($A$6:$A$505,A478,$B$6:$B$505,B478,$E$6:$E$505,E478)&gt;1,"duplicate number for same entity; ",""))))</x:f>
      </x:c>
    </x:row>
    <x:row r="479">
      <x:c r="A479" s="251"/>
      <x:c r="B479" s="252"/>
      <x:c r="C479" s="253"/>
      <x:c r="D479" s="253"/>
      <x:c r="E479" s="252"/>
      <x:c r="F479" s="252"/>
      <x:c r="G479" s="253"/>
      <x:c r="H479" s="253"/>
      <x:c r="I479" s="253"/>
      <x:c r="J479" s="253"/>
      <x:c r="K479" s="253"/>
      <x:c r="L479" s="253"/>
      <x:c r="M479" s="253" t="str">
        <x:f>IF(AND(A479="",B479="",E479=""),"",IF(OR(A479="",B479="",C479="",D479="",E479="",J479="",AND(A479="client",COUNTIF('الزبائن'!$A$6:$A$505,B479)=0),AND(A479="proposed_name",COUNTIF('أسماء مقترحة'!$A$6:$A$505,B479)=0),AND(D479="mobile",J479&lt;&gt;"invalid",NOT(OR(AND(LEN(E479&amp;"")=10,LEFT(E479&amp;"",2)="09"),AND(LEN(E479&amp;"")=9,LEFT(E479&amp;"",1)="9")))),COUNTIFS($A$6:$A$505,A479,$B$6:$B$505,B479,$E$6:$E$505,E479)&gt;1),"REVIEW","READY"))</x:f>
      </x:c>
      <x:c r="N479" s="255" t="str">
        <x:f>IF(M479="","",IF(M479="READY","",TRIM(IF(A479="","missing entity_type; ","")&amp;IF(B479="","missing entity_key; ","")&amp;IF(C479="","missing contact_order; ","")&amp;IF(D479="","missing contact_type; ","")&amp;IF(E479="","missing number; ","")&amp;IF(J479="","missing status; ","")&amp;IF(AND(A479="client",COUNTIF('الزبائن'!$A$6:$A$505,B479)=0),"client key not found; ","")&amp;IF(AND(A479="proposed_name",COUNTIF('أسماء مقترحة'!$A$6:$A$505,B479)=0),"proposed_name key not found; ","")&amp;IF(AND(D479="mobile",J479&lt;&gt;"invalid",NOT(OR(AND(LEN(E479&amp;"")=10,LEFT(E479&amp;"",2)="09"),AND(LEN(E479&amp;"")=9,LEFT(E479&amp;"",1)="9")))),"mobile must be 09XXXXXXXX or status invalid; ","")&amp;IF(COUNTIFS($A$6:$A$505,A479,$B$6:$B$505,B479,$E$6:$E$505,E479)&gt;1,"duplicate number for same entity; ",""))))</x:f>
      </x:c>
    </x:row>
    <x:row r="480">
      <x:c r="A480" s="251"/>
      <x:c r="B480" s="252"/>
      <x:c r="C480" s="253"/>
      <x:c r="D480" s="253"/>
      <x:c r="E480" s="252"/>
      <x:c r="F480" s="252"/>
      <x:c r="G480" s="253"/>
      <x:c r="H480" s="253"/>
      <x:c r="I480" s="253"/>
      <x:c r="J480" s="253"/>
      <x:c r="K480" s="253"/>
      <x:c r="L480" s="253"/>
      <x:c r="M480" s="253" t="str">
        <x:f>IF(AND(A480="",B480="",E480=""),"",IF(OR(A480="",B480="",C480="",D480="",E480="",J480="",AND(A480="client",COUNTIF('الزبائن'!$A$6:$A$505,B480)=0),AND(A480="proposed_name",COUNTIF('أسماء مقترحة'!$A$6:$A$505,B480)=0),AND(D480="mobile",J480&lt;&gt;"invalid",NOT(OR(AND(LEN(E480&amp;"")=10,LEFT(E480&amp;"",2)="09"),AND(LEN(E480&amp;"")=9,LEFT(E480&amp;"",1)="9")))),COUNTIFS($A$6:$A$505,A480,$B$6:$B$505,B480,$E$6:$E$505,E480)&gt;1),"REVIEW","READY"))</x:f>
      </x:c>
      <x:c r="N480" s="255" t="str">
        <x:f>IF(M480="","",IF(M480="READY","",TRIM(IF(A480="","missing entity_type; ","")&amp;IF(B480="","missing entity_key; ","")&amp;IF(C480="","missing contact_order; ","")&amp;IF(D480="","missing contact_type; ","")&amp;IF(E480="","missing number; ","")&amp;IF(J480="","missing status; ","")&amp;IF(AND(A480="client",COUNTIF('الزبائن'!$A$6:$A$505,B480)=0),"client key not found; ","")&amp;IF(AND(A480="proposed_name",COUNTIF('أسماء مقترحة'!$A$6:$A$505,B480)=0),"proposed_name key not found; ","")&amp;IF(AND(D480="mobile",J480&lt;&gt;"invalid",NOT(OR(AND(LEN(E480&amp;"")=10,LEFT(E480&amp;"",2)="09"),AND(LEN(E480&amp;"")=9,LEFT(E480&amp;"",1)="9")))),"mobile must be 09XXXXXXXX or status invalid; ","")&amp;IF(COUNTIFS($A$6:$A$505,A480,$B$6:$B$505,B480,$E$6:$E$505,E480)&gt;1,"duplicate number for same entity; ",""))))</x:f>
      </x:c>
    </x:row>
    <x:row r="481">
      <x:c r="A481" s="251"/>
      <x:c r="B481" s="252"/>
      <x:c r="C481" s="253"/>
      <x:c r="D481" s="253"/>
      <x:c r="E481" s="252"/>
      <x:c r="F481" s="252"/>
      <x:c r="G481" s="253"/>
      <x:c r="H481" s="253"/>
      <x:c r="I481" s="253"/>
      <x:c r="J481" s="253"/>
      <x:c r="K481" s="253"/>
      <x:c r="L481" s="253"/>
      <x:c r="M481" s="253" t="str">
        <x:f>IF(AND(A481="",B481="",E481=""),"",IF(OR(A481="",B481="",C481="",D481="",E481="",J481="",AND(A481="client",COUNTIF('الزبائن'!$A$6:$A$505,B481)=0),AND(A481="proposed_name",COUNTIF('أسماء مقترحة'!$A$6:$A$505,B481)=0),AND(D481="mobile",J481&lt;&gt;"invalid",NOT(OR(AND(LEN(E481&amp;"")=10,LEFT(E481&amp;"",2)="09"),AND(LEN(E481&amp;"")=9,LEFT(E481&amp;"",1)="9")))),COUNTIFS($A$6:$A$505,A481,$B$6:$B$505,B481,$E$6:$E$505,E481)&gt;1),"REVIEW","READY"))</x:f>
      </x:c>
      <x:c r="N481" s="255" t="str">
        <x:f>IF(M481="","",IF(M481="READY","",TRIM(IF(A481="","missing entity_type; ","")&amp;IF(B481="","missing entity_key; ","")&amp;IF(C481="","missing contact_order; ","")&amp;IF(D481="","missing contact_type; ","")&amp;IF(E481="","missing number; ","")&amp;IF(J481="","missing status; ","")&amp;IF(AND(A481="client",COUNTIF('الزبائن'!$A$6:$A$505,B481)=0),"client key not found; ","")&amp;IF(AND(A481="proposed_name",COUNTIF('أسماء مقترحة'!$A$6:$A$505,B481)=0),"proposed_name key not found; ","")&amp;IF(AND(D481="mobile",J481&lt;&gt;"invalid",NOT(OR(AND(LEN(E481&amp;"")=10,LEFT(E481&amp;"",2)="09"),AND(LEN(E481&amp;"")=9,LEFT(E481&amp;"",1)="9")))),"mobile must be 09XXXXXXXX or status invalid; ","")&amp;IF(COUNTIFS($A$6:$A$505,A481,$B$6:$B$505,B481,$E$6:$E$505,E481)&gt;1,"duplicate number for same entity; ",""))))</x:f>
      </x:c>
    </x:row>
    <x:row r="482">
      <x:c r="A482" s="251"/>
      <x:c r="B482" s="252"/>
      <x:c r="C482" s="253"/>
      <x:c r="D482" s="253"/>
      <x:c r="E482" s="252"/>
      <x:c r="F482" s="252"/>
      <x:c r="G482" s="253"/>
      <x:c r="H482" s="253"/>
      <x:c r="I482" s="253"/>
      <x:c r="J482" s="253"/>
      <x:c r="K482" s="253"/>
      <x:c r="L482" s="253"/>
      <x:c r="M482" s="253" t="str">
        <x:f>IF(AND(A482="",B482="",E482=""),"",IF(OR(A482="",B482="",C482="",D482="",E482="",J482="",AND(A482="client",COUNTIF('الزبائن'!$A$6:$A$505,B482)=0),AND(A482="proposed_name",COUNTIF('أسماء مقترحة'!$A$6:$A$505,B482)=0),AND(D482="mobile",J482&lt;&gt;"invalid",NOT(OR(AND(LEN(E482&amp;"")=10,LEFT(E482&amp;"",2)="09"),AND(LEN(E482&amp;"")=9,LEFT(E482&amp;"",1)="9")))),COUNTIFS($A$6:$A$505,A482,$B$6:$B$505,B482,$E$6:$E$505,E482)&gt;1),"REVIEW","READY"))</x:f>
      </x:c>
      <x:c r="N482" s="255" t="str">
        <x:f>IF(M482="","",IF(M482="READY","",TRIM(IF(A482="","missing entity_type; ","")&amp;IF(B482="","missing entity_key; ","")&amp;IF(C482="","missing contact_order; ","")&amp;IF(D482="","missing contact_type; ","")&amp;IF(E482="","missing number; ","")&amp;IF(J482="","missing status; ","")&amp;IF(AND(A482="client",COUNTIF('الزبائن'!$A$6:$A$505,B482)=0),"client key not found; ","")&amp;IF(AND(A482="proposed_name",COUNTIF('أسماء مقترحة'!$A$6:$A$505,B482)=0),"proposed_name key not found; ","")&amp;IF(AND(D482="mobile",J482&lt;&gt;"invalid",NOT(OR(AND(LEN(E482&amp;"")=10,LEFT(E482&amp;"",2)="09"),AND(LEN(E482&amp;"")=9,LEFT(E482&amp;"",1)="9")))),"mobile must be 09XXXXXXXX or status invalid; ","")&amp;IF(COUNTIFS($A$6:$A$505,A482,$B$6:$B$505,B482,$E$6:$E$505,E482)&gt;1,"duplicate number for same entity; ",""))))</x:f>
      </x:c>
    </x:row>
    <x:row r="483">
      <x:c r="A483" s="251"/>
      <x:c r="B483" s="252"/>
      <x:c r="C483" s="253"/>
      <x:c r="D483" s="253"/>
      <x:c r="E483" s="252"/>
      <x:c r="F483" s="252"/>
      <x:c r="G483" s="253"/>
      <x:c r="H483" s="253"/>
      <x:c r="I483" s="253"/>
      <x:c r="J483" s="253"/>
      <x:c r="K483" s="253"/>
      <x:c r="L483" s="253"/>
      <x:c r="M483" s="253" t="str">
        <x:f>IF(AND(A483="",B483="",E483=""),"",IF(OR(A483="",B483="",C483="",D483="",E483="",J483="",AND(A483="client",COUNTIF('الزبائن'!$A$6:$A$505,B483)=0),AND(A483="proposed_name",COUNTIF('أسماء مقترحة'!$A$6:$A$505,B483)=0),AND(D483="mobile",J483&lt;&gt;"invalid",NOT(OR(AND(LEN(E483&amp;"")=10,LEFT(E483&amp;"",2)="09"),AND(LEN(E483&amp;"")=9,LEFT(E483&amp;"",1)="9")))),COUNTIFS($A$6:$A$505,A483,$B$6:$B$505,B483,$E$6:$E$505,E483)&gt;1),"REVIEW","READY"))</x:f>
      </x:c>
      <x:c r="N483" s="255" t="str">
        <x:f>IF(M483="","",IF(M483="READY","",TRIM(IF(A483="","missing entity_type; ","")&amp;IF(B483="","missing entity_key; ","")&amp;IF(C483="","missing contact_order; ","")&amp;IF(D483="","missing contact_type; ","")&amp;IF(E483="","missing number; ","")&amp;IF(J483="","missing status; ","")&amp;IF(AND(A483="client",COUNTIF('الزبائن'!$A$6:$A$505,B483)=0),"client key not found; ","")&amp;IF(AND(A483="proposed_name",COUNTIF('أسماء مقترحة'!$A$6:$A$505,B483)=0),"proposed_name key not found; ","")&amp;IF(AND(D483="mobile",J483&lt;&gt;"invalid",NOT(OR(AND(LEN(E483&amp;"")=10,LEFT(E483&amp;"",2)="09"),AND(LEN(E483&amp;"")=9,LEFT(E483&amp;"",1)="9")))),"mobile must be 09XXXXXXXX or status invalid; ","")&amp;IF(COUNTIFS($A$6:$A$505,A483,$B$6:$B$505,B483,$E$6:$E$505,E483)&gt;1,"duplicate number for same entity; ",""))))</x:f>
      </x:c>
    </x:row>
    <x:row r="484">
      <x:c r="A484" s="251"/>
      <x:c r="B484" s="252"/>
      <x:c r="C484" s="253"/>
      <x:c r="D484" s="253"/>
      <x:c r="E484" s="252"/>
      <x:c r="F484" s="252"/>
      <x:c r="G484" s="253"/>
      <x:c r="H484" s="253"/>
      <x:c r="I484" s="253"/>
      <x:c r="J484" s="253"/>
      <x:c r="K484" s="253"/>
      <x:c r="L484" s="253"/>
      <x:c r="M484" s="253" t="str">
        <x:f>IF(AND(A484="",B484="",E484=""),"",IF(OR(A484="",B484="",C484="",D484="",E484="",J484="",AND(A484="client",COUNTIF('الزبائن'!$A$6:$A$505,B484)=0),AND(A484="proposed_name",COUNTIF('أسماء مقترحة'!$A$6:$A$505,B484)=0),AND(D484="mobile",J484&lt;&gt;"invalid",NOT(OR(AND(LEN(E484&amp;"")=10,LEFT(E484&amp;"",2)="09"),AND(LEN(E484&amp;"")=9,LEFT(E484&amp;"",1)="9")))),COUNTIFS($A$6:$A$505,A484,$B$6:$B$505,B484,$E$6:$E$505,E484)&gt;1),"REVIEW","READY"))</x:f>
      </x:c>
      <x:c r="N484" s="255" t="str">
        <x:f>IF(M484="","",IF(M484="READY","",TRIM(IF(A484="","missing entity_type; ","")&amp;IF(B484="","missing entity_key; ","")&amp;IF(C484="","missing contact_order; ","")&amp;IF(D484="","missing contact_type; ","")&amp;IF(E484="","missing number; ","")&amp;IF(J484="","missing status; ","")&amp;IF(AND(A484="client",COUNTIF('الزبائن'!$A$6:$A$505,B484)=0),"client key not found; ","")&amp;IF(AND(A484="proposed_name",COUNTIF('أسماء مقترحة'!$A$6:$A$505,B484)=0),"proposed_name key not found; ","")&amp;IF(AND(D484="mobile",J484&lt;&gt;"invalid",NOT(OR(AND(LEN(E484&amp;"")=10,LEFT(E484&amp;"",2)="09"),AND(LEN(E484&amp;"")=9,LEFT(E484&amp;"",1)="9")))),"mobile must be 09XXXXXXXX or status invalid; ","")&amp;IF(COUNTIFS($A$6:$A$505,A484,$B$6:$B$505,B484,$E$6:$E$505,E484)&gt;1,"duplicate number for same entity; ",""))))</x:f>
      </x:c>
    </x:row>
    <x:row r="485">
      <x:c r="A485" s="251"/>
      <x:c r="B485" s="252"/>
      <x:c r="C485" s="253"/>
      <x:c r="D485" s="253"/>
      <x:c r="E485" s="252"/>
      <x:c r="F485" s="252"/>
      <x:c r="G485" s="253"/>
      <x:c r="H485" s="253"/>
      <x:c r="I485" s="253"/>
      <x:c r="J485" s="253"/>
      <x:c r="K485" s="253"/>
      <x:c r="L485" s="253"/>
      <x:c r="M485" s="253" t="str">
        <x:f>IF(AND(A485="",B485="",E485=""),"",IF(OR(A485="",B485="",C485="",D485="",E485="",J485="",AND(A485="client",COUNTIF('الزبائن'!$A$6:$A$505,B485)=0),AND(A485="proposed_name",COUNTIF('أسماء مقترحة'!$A$6:$A$505,B485)=0),AND(D485="mobile",J485&lt;&gt;"invalid",NOT(OR(AND(LEN(E485&amp;"")=10,LEFT(E485&amp;"",2)="09"),AND(LEN(E485&amp;"")=9,LEFT(E485&amp;"",1)="9")))),COUNTIFS($A$6:$A$505,A485,$B$6:$B$505,B485,$E$6:$E$505,E485)&gt;1),"REVIEW","READY"))</x:f>
      </x:c>
      <x:c r="N485" s="255" t="str">
        <x:f>IF(M485="","",IF(M485="READY","",TRIM(IF(A485="","missing entity_type; ","")&amp;IF(B485="","missing entity_key; ","")&amp;IF(C485="","missing contact_order; ","")&amp;IF(D485="","missing contact_type; ","")&amp;IF(E485="","missing number; ","")&amp;IF(J485="","missing status; ","")&amp;IF(AND(A485="client",COUNTIF('الزبائن'!$A$6:$A$505,B485)=0),"client key not found; ","")&amp;IF(AND(A485="proposed_name",COUNTIF('أسماء مقترحة'!$A$6:$A$505,B485)=0),"proposed_name key not found; ","")&amp;IF(AND(D485="mobile",J485&lt;&gt;"invalid",NOT(OR(AND(LEN(E485&amp;"")=10,LEFT(E485&amp;"",2)="09"),AND(LEN(E485&amp;"")=9,LEFT(E485&amp;"",1)="9")))),"mobile must be 09XXXXXXXX or status invalid; ","")&amp;IF(COUNTIFS($A$6:$A$505,A485,$B$6:$B$505,B485,$E$6:$E$505,E485)&gt;1,"duplicate number for same entity; ",""))))</x:f>
      </x:c>
    </x:row>
    <x:row r="486">
      <x:c r="A486" s="251"/>
      <x:c r="B486" s="252"/>
      <x:c r="C486" s="253"/>
      <x:c r="D486" s="253"/>
      <x:c r="E486" s="252"/>
      <x:c r="F486" s="252"/>
      <x:c r="G486" s="253"/>
      <x:c r="H486" s="253"/>
      <x:c r="I486" s="253"/>
      <x:c r="J486" s="253"/>
      <x:c r="K486" s="253"/>
      <x:c r="L486" s="253"/>
      <x:c r="M486" s="253" t="str">
        <x:f>IF(AND(A486="",B486="",E486=""),"",IF(OR(A486="",B486="",C486="",D486="",E486="",J486="",AND(A486="client",COUNTIF('الزبائن'!$A$6:$A$505,B486)=0),AND(A486="proposed_name",COUNTIF('أسماء مقترحة'!$A$6:$A$505,B486)=0),AND(D486="mobile",J486&lt;&gt;"invalid",NOT(OR(AND(LEN(E486&amp;"")=10,LEFT(E486&amp;"",2)="09"),AND(LEN(E486&amp;"")=9,LEFT(E486&amp;"",1)="9")))),COUNTIFS($A$6:$A$505,A486,$B$6:$B$505,B486,$E$6:$E$505,E486)&gt;1),"REVIEW","READY"))</x:f>
      </x:c>
      <x:c r="N486" s="255" t="str">
        <x:f>IF(M486="","",IF(M486="READY","",TRIM(IF(A486="","missing entity_type; ","")&amp;IF(B486="","missing entity_key; ","")&amp;IF(C486="","missing contact_order; ","")&amp;IF(D486="","missing contact_type; ","")&amp;IF(E486="","missing number; ","")&amp;IF(J486="","missing status; ","")&amp;IF(AND(A486="client",COUNTIF('الزبائن'!$A$6:$A$505,B486)=0),"client key not found; ","")&amp;IF(AND(A486="proposed_name",COUNTIF('أسماء مقترحة'!$A$6:$A$505,B486)=0),"proposed_name key not found; ","")&amp;IF(AND(D486="mobile",J486&lt;&gt;"invalid",NOT(OR(AND(LEN(E486&amp;"")=10,LEFT(E486&amp;"",2)="09"),AND(LEN(E486&amp;"")=9,LEFT(E486&amp;"",1)="9")))),"mobile must be 09XXXXXXXX or status invalid; ","")&amp;IF(COUNTIFS($A$6:$A$505,A486,$B$6:$B$505,B486,$E$6:$E$505,E486)&gt;1,"duplicate number for same entity; ",""))))</x:f>
      </x:c>
    </x:row>
    <x:row r="487">
      <x:c r="A487" s="251"/>
      <x:c r="B487" s="252"/>
      <x:c r="C487" s="253"/>
      <x:c r="D487" s="253"/>
      <x:c r="E487" s="252"/>
      <x:c r="F487" s="252"/>
      <x:c r="G487" s="253"/>
      <x:c r="H487" s="253"/>
      <x:c r="I487" s="253"/>
      <x:c r="J487" s="253"/>
      <x:c r="K487" s="253"/>
      <x:c r="L487" s="253"/>
      <x:c r="M487" s="253" t="str">
        <x:f>IF(AND(A487="",B487="",E487=""),"",IF(OR(A487="",B487="",C487="",D487="",E487="",J487="",AND(A487="client",COUNTIF('الزبائن'!$A$6:$A$505,B487)=0),AND(A487="proposed_name",COUNTIF('أسماء مقترحة'!$A$6:$A$505,B487)=0),AND(D487="mobile",J487&lt;&gt;"invalid",NOT(OR(AND(LEN(E487&amp;"")=10,LEFT(E487&amp;"",2)="09"),AND(LEN(E487&amp;"")=9,LEFT(E487&amp;"",1)="9")))),COUNTIFS($A$6:$A$505,A487,$B$6:$B$505,B487,$E$6:$E$505,E487)&gt;1),"REVIEW","READY"))</x:f>
      </x:c>
      <x:c r="N487" s="255" t="str">
        <x:f>IF(M487="","",IF(M487="READY","",TRIM(IF(A487="","missing entity_type; ","")&amp;IF(B487="","missing entity_key; ","")&amp;IF(C487="","missing contact_order; ","")&amp;IF(D487="","missing contact_type; ","")&amp;IF(E487="","missing number; ","")&amp;IF(J487="","missing status; ","")&amp;IF(AND(A487="client",COUNTIF('الزبائن'!$A$6:$A$505,B487)=0),"client key not found; ","")&amp;IF(AND(A487="proposed_name",COUNTIF('أسماء مقترحة'!$A$6:$A$505,B487)=0),"proposed_name key not found; ","")&amp;IF(AND(D487="mobile",J487&lt;&gt;"invalid",NOT(OR(AND(LEN(E487&amp;"")=10,LEFT(E487&amp;"",2)="09"),AND(LEN(E487&amp;"")=9,LEFT(E487&amp;"",1)="9")))),"mobile must be 09XXXXXXXX or status invalid; ","")&amp;IF(COUNTIFS($A$6:$A$505,A487,$B$6:$B$505,B487,$E$6:$E$505,E487)&gt;1,"duplicate number for same entity; ",""))))</x:f>
      </x:c>
    </x:row>
    <x:row r="488">
      <x:c r="A488" s="251"/>
      <x:c r="B488" s="252"/>
      <x:c r="C488" s="253"/>
      <x:c r="D488" s="253"/>
      <x:c r="E488" s="252"/>
      <x:c r="F488" s="252"/>
      <x:c r="G488" s="253"/>
      <x:c r="H488" s="253"/>
      <x:c r="I488" s="253"/>
      <x:c r="J488" s="253"/>
      <x:c r="K488" s="253"/>
      <x:c r="L488" s="253"/>
      <x:c r="M488" s="253" t="str">
        <x:f>IF(AND(A488="",B488="",E488=""),"",IF(OR(A488="",B488="",C488="",D488="",E488="",J488="",AND(A488="client",COUNTIF('الزبائن'!$A$6:$A$505,B488)=0),AND(A488="proposed_name",COUNTIF('أسماء مقترحة'!$A$6:$A$505,B488)=0),AND(D488="mobile",J488&lt;&gt;"invalid",NOT(OR(AND(LEN(E488&amp;"")=10,LEFT(E488&amp;"",2)="09"),AND(LEN(E488&amp;"")=9,LEFT(E488&amp;"",1)="9")))),COUNTIFS($A$6:$A$505,A488,$B$6:$B$505,B488,$E$6:$E$505,E488)&gt;1),"REVIEW","READY"))</x:f>
      </x:c>
      <x:c r="N488" s="255" t="str">
        <x:f>IF(M488="","",IF(M488="READY","",TRIM(IF(A488="","missing entity_type; ","")&amp;IF(B488="","missing entity_key; ","")&amp;IF(C488="","missing contact_order; ","")&amp;IF(D488="","missing contact_type; ","")&amp;IF(E488="","missing number; ","")&amp;IF(J488="","missing status; ","")&amp;IF(AND(A488="client",COUNTIF('الزبائن'!$A$6:$A$505,B488)=0),"client key not found; ","")&amp;IF(AND(A488="proposed_name",COUNTIF('أسماء مقترحة'!$A$6:$A$505,B488)=0),"proposed_name key not found; ","")&amp;IF(AND(D488="mobile",J488&lt;&gt;"invalid",NOT(OR(AND(LEN(E488&amp;"")=10,LEFT(E488&amp;"",2)="09"),AND(LEN(E488&amp;"")=9,LEFT(E488&amp;"",1)="9")))),"mobile must be 09XXXXXXXX or status invalid; ","")&amp;IF(COUNTIFS($A$6:$A$505,A488,$B$6:$B$505,B488,$E$6:$E$505,E488)&gt;1,"duplicate number for same entity; ",""))))</x:f>
      </x:c>
    </x:row>
    <x:row r="489">
      <x:c r="A489" s="251"/>
      <x:c r="B489" s="252"/>
      <x:c r="C489" s="253"/>
      <x:c r="D489" s="253"/>
      <x:c r="E489" s="252"/>
      <x:c r="F489" s="252"/>
      <x:c r="G489" s="253"/>
      <x:c r="H489" s="253"/>
      <x:c r="I489" s="253"/>
      <x:c r="J489" s="253"/>
      <x:c r="K489" s="253"/>
      <x:c r="L489" s="253"/>
      <x:c r="M489" s="253" t="str">
        <x:f>IF(AND(A489="",B489="",E489=""),"",IF(OR(A489="",B489="",C489="",D489="",E489="",J489="",AND(A489="client",COUNTIF('الزبائن'!$A$6:$A$505,B489)=0),AND(A489="proposed_name",COUNTIF('أسماء مقترحة'!$A$6:$A$505,B489)=0),AND(D489="mobile",J489&lt;&gt;"invalid",NOT(OR(AND(LEN(E489&amp;"")=10,LEFT(E489&amp;"",2)="09"),AND(LEN(E489&amp;"")=9,LEFT(E489&amp;"",1)="9")))),COUNTIFS($A$6:$A$505,A489,$B$6:$B$505,B489,$E$6:$E$505,E489)&gt;1),"REVIEW","READY"))</x:f>
      </x:c>
      <x:c r="N489" s="255" t="str">
        <x:f>IF(M489="","",IF(M489="READY","",TRIM(IF(A489="","missing entity_type; ","")&amp;IF(B489="","missing entity_key; ","")&amp;IF(C489="","missing contact_order; ","")&amp;IF(D489="","missing contact_type; ","")&amp;IF(E489="","missing number; ","")&amp;IF(J489="","missing status; ","")&amp;IF(AND(A489="client",COUNTIF('الزبائن'!$A$6:$A$505,B489)=0),"client key not found; ","")&amp;IF(AND(A489="proposed_name",COUNTIF('أسماء مقترحة'!$A$6:$A$505,B489)=0),"proposed_name key not found; ","")&amp;IF(AND(D489="mobile",J489&lt;&gt;"invalid",NOT(OR(AND(LEN(E489&amp;"")=10,LEFT(E489&amp;"",2)="09"),AND(LEN(E489&amp;"")=9,LEFT(E489&amp;"",1)="9")))),"mobile must be 09XXXXXXXX or status invalid; ","")&amp;IF(COUNTIFS($A$6:$A$505,A489,$B$6:$B$505,B489,$E$6:$E$505,E489)&gt;1,"duplicate number for same entity; ",""))))</x:f>
      </x:c>
    </x:row>
    <x:row r="490">
      <x:c r="A490" s="251"/>
      <x:c r="B490" s="252"/>
      <x:c r="C490" s="253"/>
      <x:c r="D490" s="253"/>
      <x:c r="E490" s="252"/>
      <x:c r="F490" s="252"/>
      <x:c r="G490" s="253"/>
      <x:c r="H490" s="253"/>
      <x:c r="I490" s="253"/>
      <x:c r="J490" s="253"/>
      <x:c r="K490" s="253"/>
      <x:c r="L490" s="253"/>
      <x:c r="M490" s="253" t="str">
        <x:f>IF(AND(A490="",B490="",E490=""),"",IF(OR(A490="",B490="",C490="",D490="",E490="",J490="",AND(A490="client",COUNTIF('الزبائن'!$A$6:$A$505,B490)=0),AND(A490="proposed_name",COUNTIF('أسماء مقترحة'!$A$6:$A$505,B490)=0),AND(D490="mobile",J490&lt;&gt;"invalid",NOT(OR(AND(LEN(E490&amp;"")=10,LEFT(E490&amp;"",2)="09"),AND(LEN(E490&amp;"")=9,LEFT(E490&amp;"",1)="9")))),COUNTIFS($A$6:$A$505,A490,$B$6:$B$505,B490,$E$6:$E$505,E490)&gt;1),"REVIEW","READY"))</x:f>
      </x:c>
      <x:c r="N490" s="255" t="str">
        <x:f>IF(M490="","",IF(M490="READY","",TRIM(IF(A490="","missing entity_type; ","")&amp;IF(B490="","missing entity_key; ","")&amp;IF(C490="","missing contact_order; ","")&amp;IF(D490="","missing contact_type; ","")&amp;IF(E490="","missing number; ","")&amp;IF(J490="","missing status; ","")&amp;IF(AND(A490="client",COUNTIF('الزبائن'!$A$6:$A$505,B490)=0),"client key not found; ","")&amp;IF(AND(A490="proposed_name",COUNTIF('أسماء مقترحة'!$A$6:$A$505,B490)=0),"proposed_name key not found; ","")&amp;IF(AND(D490="mobile",J490&lt;&gt;"invalid",NOT(OR(AND(LEN(E490&amp;"")=10,LEFT(E490&amp;"",2)="09"),AND(LEN(E490&amp;"")=9,LEFT(E490&amp;"",1)="9")))),"mobile must be 09XXXXXXXX or status invalid; ","")&amp;IF(COUNTIFS($A$6:$A$505,A490,$B$6:$B$505,B490,$E$6:$E$505,E490)&gt;1,"duplicate number for same entity; ",""))))</x:f>
      </x:c>
    </x:row>
    <x:row r="491">
      <x:c r="A491" s="251"/>
      <x:c r="B491" s="252"/>
      <x:c r="C491" s="253"/>
      <x:c r="D491" s="253"/>
      <x:c r="E491" s="252"/>
      <x:c r="F491" s="252"/>
      <x:c r="G491" s="253"/>
      <x:c r="H491" s="253"/>
      <x:c r="I491" s="253"/>
      <x:c r="J491" s="253"/>
      <x:c r="K491" s="253"/>
      <x:c r="L491" s="253"/>
      <x:c r="M491" s="253" t="str">
        <x:f>IF(AND(A491="",B491="",E491=""),"",IF(OR(A491="",B491="",C491="",D491="",E491="",J491="",AND(A491="client",COUNTIF('الزبائن'!$A$6:$A$505,B491)=0),AND(A491="proposed_name",COUNTIF('أسماء مقترحة'!$A$6:$A$505,B491)=0),AND(D491="mobile",J491&lt;&gt;"invalid",NOT(OR(AND(LEN(E491&amp;"")=10,LEFT(E491&amp;"",2)="09"),AND(LEN(E491&amp;"")=9,LEFT(E491&amp;"",1)="9")))),COUNTIFS($A$6:$A$505,A491,$B$6:$B$505,B491,$E$6:$E$505,E491)&gt;1),"REVIEW","READY"))</x:f>
      </x:c>
      <x:c r="N491" s="255" t="str">
        <x:f>IF(M491="","",IF(M491="READY","",TRIM(IF(A491="","missing entity_type; ","")&amp;IF(B491="","missing entity_key; ","")&amp;IF(C491="","missing contact_order; ","")&amp;IF(D491="","missing contact_type; ","")&amp;IF(E491="","missing number; ","")&amp;IF(J491="","missing status; ","")&amp;IF(AND(A491="client",COUNTIF('الزبائن'!$A$6:$A$505,B491)=0),"client key not found; ","")&amp;IF(AND(A491="proposed_name",COUNTIF('أسماء مقترحة'!$A$6:$A$505,B491)=0),"proposed_name key not found; ","")&amp;IF(AND(D491="mobile",J491&lt;&gt;"invalid",NOT(OR(AND(LEN(E491&amp;"")=10,LEFT(E491&amp;"",2)="09"),AND(LEN(E491&amp;"")=9,LEFT(E491&amp;"",1)="9")))),"mobile must be 09XXXXXXXX or status invalid; ","")&amp;IF(COUNTIFS($A$6:$A$505,A491,$B$6:$B$505,B491,$E$6:$E$505,E491)&gt;1,"duplicate number for same entity; ",""))))</x:f>
      </x:c>
    </x:row>
    <x:row r="492">
      <x:c r="A492" s="251"/>
      <x:c r="B492" s="252"/>
      <x:c r="C492" s="253"/>
      <x:c r="D492" s="253"/>
      <x:c r="E492" s="252"/>
      <x:c r="F492" s="252"/>
      <x:c r="G492" s="253"/>
      <x:c r="H492" s="253"/>
      <x:c r="I492" s="253"/>
      <x:c r="J492" s="253"/>
      <x:c r="K492" s="253"/>
      <x:c r="L492" s="253"/>
      <x:c r="M492" s="253" t="str">
        <x:f>IF(AND(A492="",B492="",E492=""),"",IF(OR(A492="",B492="",C492="",D492="",E492="",J492="",AND(A492="client",COUNTIF('الزبائن'!$A$6:$A$505,B492)=0),AND(A492="proposed_name",COUNTIF('أسماء مقترحة'!$A$6:$A$505,B492)=0),AND(D492="mobile",J492&lt;&gt;"invalid",NOT(OR(AND(LEN(E492&amp;"")=10,LEFT(E492&amp;"",2)="09"),AND(LEN(E492&amp;"")=9,LEFT(E492&amp;"",1)="9")))),COUNTIFS($A$6:$A$505,A492,$B$6:$B$505,B492,$E$6:$E$505,E492)&gt;1),"REVIEW","READY"))</x:f>
      </x:c>
      <x:c r="N492" s="255" t="str">
        <x:f>IF(M492="","",IF(M492="READY","",TRIM(IF(A492="","missing entity_type; ","")&amp;IF(B492="","missing entity_key; ","")&amp;IF(C492="","missing contact_order; ","")&amp;IF(D492="","missing contact_type; ","")&amp;IF(E492="","missing number; ","")&amp;IF(J492="","missing status; ","")&amp;IF(AND(A492="client",COUNTIF('الزبائن'!$A$6:$A$505,B492)=0),"client key not found; ","")&amp;IF(AND(A492="proposed_name",COUNTIF('أسماء مقترحة'!$A$6:$A$505,B492)=0),"proposed_name key not found; ","")&amp;IF(AND(D492="mobile",J492&lt;&gt;"invalid",NOT(OR(AND(LEN(E492&amp;"")=10,LEFT(E492&amp;"",2)="09"),AND(LEN(E492&amp;"")=9,LEFT(E492&amp;"",1)="9")))),"mobile must be 09XXXXXXXX or status invalid; ","")&amp;IF(COUNTIFS($A$6:$A$505,A492,$B$6:$B$505,B492,$E$6:$E$505,E492)&gt;1,"duplicate number for same entity; ",""))))</x:f>
      </x:c>
    </x:row>
    <x:row r="493">
      <x:c r="A493" s="251"/>
      <x:c r="B493" s="252"/>
      <x:c r="C493" s="253"/>
      <x:c r="D493" s="253"/>
      <x:c r="E493" s="252"/>
      <x:c r="F493" s="252"/>
      <x:c r="G493" s="253"/>
      <x:c r="H493" s="253"/>
      <x:c r="I493" s="253"/>
      <x:c r="J493" s="253"/>
      <x:c r="K493" s="253"/>
      <x:c r="L493" s="253"/>
      <x:c r="M493" s="253" t="str">
        <x:f>IF(AND(A493="",B493="",E493=""),"",IF(OR(A493="",B493="",C493="",D493="",E493="",J493="",AND(A493="client",COUNTIF('الزبائن'!$A$6:$A$505,B493)=0),AND(A493="proposed_name",COUNTIF('أسماء مقترحة'!$A$6:$A$505,B493)=0),AND(D493="mobile",J493&lt;&gt;"invalid",NOT(OR(AND(LEN(E493&amp;"")=10,LEFT(E493&amp;"",2)="09"),AND(LEN(E493&amp;"")=9,LEFT(E493&amp;"",1)="9")))),COUNTIFS($A$6:$A$505,A493,$B$6:$B$505,B493,$E$6:$E$505,E493)&gt;1),"REVIEW","READY"))</x:f>
      </x:c>
      <x:c r="N493" s="255" t="str">
        <x:f>IF(M493="","",IF(M493="READY","",TRIM(IF(A493="","missing entity_type; ","")&amp;IF(B493="","missing entity_key; ","")&amp;IF(C493="","missing contact_order; ","")&amp;IF(D493="","missing contact_type; ","")&amp;IF(E493="","missing number; ","")&amp;IF(J493="","missing status; ","")&amp;IF(AND(A493="client",COUNTIF('الزبائن'!$A$6:$A$505,B493)=0),"client key not found; ","")&amp;IF(AND(A493="proposed_name",COUNTIF('أسماء مقترحة'!$A$6:$A$505,B493)=0),"proposed_name key not found; ","")&amp;IF(AND(D493="mobile",J493&lt;&gt;"invalid",NOT(OR(AND(LEN(E493&amp;"")=10,LEFT(E493&amp;"",2)="09"),AND(LEN(E493&amp;"")=9,LEFT(E493&amp;"",1)="9")))),"mobile must be 09XXXXXXXX or status invalid; ","")&amp;IF(COUNTIFS($A$6:$A$505,A493,$B$6:$B$505,B493,$E$6:$E$505,E493)&gt;1,"duplicate number for same entity; ",""))))</x:f>
      </x:c>
    </x:row>
    <x:row r="494">
      <x:c r="A494" s="251"/>
      <x:c r="B494" s="252"/>
      <x:c r="C494" s="253"/>
      <x:c r="D494" s="253"/>
      <x:c r="E494" s="252"/>
      <x:c r="F494" s="252"/>
      <x:c r="G494" s="253"/>
      <x:c r="H494" s="253"/>
      <x:c r="I494" s="253"/>
      <x:c r="J494" s="253"/>
      <x:c r="K494" s="253"/>
      <x:c r="L494" s="253"/>
      <x:c r="M494" s="253" t="str">
        <x:f>IF(AND(A494="",B494="",E494=""),"",IF(OR(A494="",B494="",C494="",D494="",E494="",J494="",AND(A494="client",COUNTIF('الزبائن'!$A$6:$A$505,B494)=0),AND(A494="proposed_name",COUNTIF('أسماء مقترحة'!$A$6:$A$505,B494)=0),AND(D494="mobile",J494&lt;&gt;"invalid",NOT(OR(AND(LEN(E494&amp;"")=10,LEFT(E494&amp;"",2)="09"),AND(LEN(E494&amp;"")=9,LEFT(E494&amp;"",1)="9")))),COUNTIFS($A$6:$A$505,A494,$B$6:$B$505,B494,$E$6:$E$505,E494)&gt;1),"REVIEW","READY"))</x:f>
      </x:c>
      <x:c r="N494" s="255" t="str">
        <x:f>IF(M494="","",IF(M494="READY","",TRIM(IF(A494="","missing entity_type; ","")&amp;IF(B494="","missing entity_key; ","")&amp;IF(C494="","missing contact_order; ","")&amp;IF(D494="","missing contact_type; ","")&amp;IF(E494="","missing number; ","")&amp;IF(J494="","missing status; ","")&amp;IF(AND(A494="client",COUNTIF('الزبائن'!$A$6:$A$505,B494)=0),"client key not found; ","")&amp;IF(AND(A494="proposed_name",COUNTIF('أسماء مقترحة'!$A$6:$A$505,B494)=0),"proposed_name key not found; ","")&amp;IF(AND(D494="mobile",J494&lt;&gt;"invalid",NOT(OR(AND(LEN(E494&amp;"")=10,LEFT(E494&amp;"",2)="09"),AND(LEN(E494&amp;"")=9,LEFT(E494&amp;"",1)="9")))),"mobile must be 09XXXXXXXX or status invalid; ","")&amp;IF(COUNTIFS($A$6:$A$505,A494,$B$6:$B$505,B494,$E$6:$E$505,E494)&gt;1,"duplicate number for same entity; ",""))))</x:f>
      </x:c>
    </x:row>
    <x:row r="495">
      <x:c r="A495" s="251"/>
      <x:c r="B495" s="252"/>
      <x:c r="C495" s="253"/>
      <x:c r="D495" s="253"/>
      <x:c r="E495" s="252"/>
      <x:c r="F495" s="252"/>
      <x:c r="G495" s="253"/>
      <x:c r="H495" s="253"/>
      <x:c r="I495" s="253"/>
      <x:c r="J495" s="253"/>
      <x:c r="K495" s="253"/>
      <x:c r="L495" s="253"/>
      <x:c r="M495" s="253" t="str">
        <x:f>IF(AND(A495="",B495="",E495=""),"",IF(OR(A495="",B495="",C495="",D495="",E495="",J495="",AND(A495="client",COUNTIF('الزبائن'!$A$6:$A$505,B495)=0),AND(A495="proposed_name",COUNTIF('أسماء مقترحة'!$A$6:$A$505,B495)=0),AND(D495="mobile",J495&lt;&gt;"invalid",NOT(OR(AND(LEN(E495&amp;"")=10,LEFT(E495&amp;"",2)="09"),AND(LEN(E495&amp;"")=9,LEFT(E495&amp;"",1)="9")))),COUNTIFS($A$6:$A$505,A495,$B$6:$B$505,B495,$E$6:$E$505,E495)&gt;1),"REVIEW","READY"))</x:f>
      </x:c>
      <x:c r="N495" s="255" t="str">
        <x:f>IF(M495="","",IF(M495="READY","",TRIM(IF(A495="","missing entity_type; ","")&amp;IF(B495="","missing entity_key; ","")&amp;IF(C495="","missing contact_order; ","")&amp;IF(D495="","missing contact_type; ","")&amp;IF(E495="","missing number; ","")&amp;IF(J495="","missing status; ","")&amp;IF(AND(A495="client",COUNTIF('الزبائن'!$A$6:$A$505,B495)=0),"client key not found; ","")&amp;IF(AND(A495="proposed_name",COUNTIF('أسماء مقترحة'!$A$6:$A$505,B495)=0),"proposed_name key not found; ","")&amp;IF(AND(D495="mobile",J495&lt;&gt;"invalid",NOT(OR(AND(LEN(E495&amp;"")=10,LEFT(E495&amp;"",2)="09"),AND(LEN(E495&amp;"")=9,LEFT(E495&amp;"",1)="9")))),"mobile must be 09XXXXXXXX or status invalid; ","")&amp;IF(COUNTIFS($A$6:$A$505,A495,$B$6:$B$505,B495,$E$6:$E$505,E495)&gt;1,"duplicate number for same entity; ",""))))</x:f>
      </x:c>
    </x:row>
    <x:row r="496">
      <x:c r="A496" s="251"/>
      <x:c r="B496" s="252"/>
      <x:c r="C496" s="253"/>
      <x:c r="D496" s="253"/>
      <x:c r="E496" s="252"/>
      <x:c r="F496" s="252"/>
      <x:c r="G496" s="253"/>
      <x:c r="H496" s="253"/>
      <x:c r="I496" s="253"/>
      <x:c r="J496" s="253"/>
      <x:c r="K496" s="253"/>
      <x:c r="L496" s="253"/>
      <x:c r="M496" s="253" t="str">
        <x:f>IF(AND(A496="",B496="",E496=""),"",IF(OR(A496="",B496="",C496="",D496="",E496="",J496="",AND(A496="client",COUNTIF('الزبائن'!$A$6:$A$505,B496)=0),AND(A496="proposed_name",COUNTIF('أسماء مقترحة'!$A$6:$A$505,B496)=0),AND(D496="mobile",J496&lt;&gt;"invalid",NOT(OR(AND(LEN(E496&amp;"")=10,LEFT(E496&amp;"",2)="09"),AND(LEN(E496&amp;"")=9,LEFT(E496&amp;"",1)="9")))),COUNTIFS($A$6:$A$505,A496,$B$6:$B$505,B496,$E$6:$E$505,E496)&gt;1),"REVIEW","READY"))</x:f>
      </x:c>
      <x:c r="N496" s="255" t="str">
        <x:f>IF(M496="","",IF(M496="READY","",TRIM(IF(A496="","missing entity_type; ","")&amp;IF(B496="","missing entity_key; ","")&amp;IF(C496="","missing contact_order; ","")&amp;IF(D496="","missing contact_type; ","")&amp;IF(E496="","missing number; ","")&amp;IF(J496="","missing status; ","")&amp;IF(AND(A496="client",COUNTIF('الزبائن'!$A$6:$A$505,B496)=0),"client key not found; ","")&amp;IF(AND(A496="proposed_name",COUNTIF('أسماء مقترحة'!$A$6:$A$505,B496)=0),"proposed_name key not found; ","")&amp;IF(AND(D496="mobile",J496&lt;&gt;"invalid",NOT(OR(AND(LEN(E496&amp;"")=10,LEFT(E496&amp;"",2)="09"),AND(LEN(E496&amp;"")=9,LEFT(E496&amp;"",1)="9")))),"mobile must be 09XXXXXXXX or status invalid; ","")&amp;IF(COUNTIFS($A$6:$A$505,A496,$B$6:$B$505,B496,$E$6:$E$505,E496)&gt;1,"duplicate number for same entity; ",""))))</x:f>
      </x:c>
    </x:row>
    <x:row r="497">
      <x:c r="A497" s="251"/>
      <x:c r="B497" s="252"/>
      <x:c r="C497" s="253"/>
      <x:c r="D497" s="253"/>
      <x:c r="E497" s="252"/>
      <x:c r="F497" s="252"/>
      <x:c r="G497" s="253"/>
      <x:c r="H497" s="253"/>
      <x:c r="I497" s="253"/>
      <x:c r="J497" s="253"/>
      <x:c r="K497" s="253"/>
      <x:c r="L497" s="253"/>
      <x:c r="M497" s="253" t="str">
        <x:f>IF(AND(A497="",B497="",E497=""),"",IF(OR(A497="",B497="",C497="",D497="",E497="",J497="",AND(A497="client",COUNTIF('الزبائن'!$A$6:$A$505,B497)=0),AND(A497="proposed_name",COUNTIF('أسماء مقترحة'!$A$6:$A$505,B497)=0),AND(D497="mobile",J497&lt;&gt;"invalid",NOT(OR(AND(LEN(E497&amp;"")=10,LEFT(E497&amp;"",2)="09"),AND(LEN(E497&amp;"")=9,LEFT(E497&amp;"",1)="9")))),COUNTIFS($A$6:$A$505,A497,$B$6:$B$505,B497,$E$6:$E$505,E497)&gt;1),"REVIEW","READY"))</x:f>
      </x:c>
      <x:c r="N497" s="255" t="str">
        <x:f>IF(M497="","",IF(M497="READY","",TRIM(IF(A497="","missing entity_type; ","")&amp;IF(B497="","missing entity_key; ","")&amp;IF(C497="","missing contact_order; ","")&amp;IF(D497="","missing contact_type; ","")&amp;IF(E497="","missing number; ","")&amp;IF(J497="","missing status; ","")&amp;IF(AND(A497="client",COUNTIF('الزبائن'!$A$6:$A$505,B497)=0),"client key not found; ","")&amp;IF(AND(A497="proposed_name",COUNTIF('أسماء مقترحة'!$A$6:$A$505,B497)=0),"proposed_name key not found; ","")&amp;IF(AND(D497="mobile",J497&lt;&gt;"invalid",NOT(OR(AND(LEN(E497&amp;"")=10,LEFT(E497&amp;"",2)="09"),AND(LEN(E497&amp;"")=9,LEFT(E497&amp;"",1)="9")))),"mobile must be 09XXXXXXXX or status invalid; ","")&amp;IF(COUNTIFS($A$6:$A$505,A497,$B$6:$B$505,B497,$E$6:$E$505,E497)&gt;1,"duplicate number for same entity; ",""))))</x:f>
      </x:c>
    </x:row>
    <x:row r="498">
      <x:c r="A498" s="251"/>
      <x:c r="B498" s="252"/>
      <x:c r="C498" s="253"/>
      <x:c r="D498" s="253"/>
      <x:c r="E498" s="252"/>
      <x:c r="F498" s="252"/>
      <x:c r="G498" s="253"/>
      <x:c r="H498" s="253"/>
      <x:c r="I498" s="253"/>
      <x:c r="J498" s="253"/>
      <x:c r="K498" s="253"/>
      <x:c r="L498" s="253"/>
      <x:c r="M498" s="253" t="str">
        <x:f>IF(AND(A498="",B498="",E498=""),"",IF(OR(A498="",B498="",C498="",D498="",E498="",J498="",AND(A498="client",COUNTIF('الزبائن'!$A$6:$A$505,B498)=0),AND(A498="proposed_name",COUNTIF('أسماء مقترحة'!$A$6:$A$505,B498)=0),AND(D498="mobile",J498&lt;&gt;"invalid",NOT(OR(AND(LEN(E498&amp;"")=10,LEFT(E498&amp;"",2)="09"),AND(LEN(E498&amp;"")=9,LEFT(E498&amp;"",1)="9")))),COUNTIFS($A$6:$A$505,A498,$B$6:$B$505,B498,$E$6:$E$505,E498)&gt;1),"REVIEW","READY"))</x:f>
      </x:c>
      <x:c r="N498" s="255" t="str">
        <x:f>IF(M498="","",IF(M498="READY","",TRIM(IF(A498="","missing entity_type; ","")&amp;IF(B498="","missing entity_key; ","")&amp;IF(C498="","missing contact_order; ","")&amp;IF(D498="","missing contact_type; ","")&amp;IF(E498="","missing number; ","")&amp;IF(J498="","missing status; ","")&amp;IF(AND(A498="client",COUNTIF('الزبائن'!$A$6:$A$505,B498)=0),"client key not found; ","")&amp;IF(AND(A498="proposed_name",COUNTIF('أسماء مقترحة'!$A$6:$A$505,B498)=0),"proposed_name key not found; ","")&amp;IF(AND(D498="mobile",J498&lt;&gt;"invalid",NOT(OR(AND(LEN(E498&amp;"")=10,LEFT(E498&amp;"",2)="09"),AND(LEN(E498&amp;"")=9,LEFT(E498&amp;"",1)="9")))),"mobile must be 09XXXXXXXX or status invalid; ","")&amp;IF(COUNTIFS($A$6:$A$505,A498,$B$6:$B$505,B498,$E$6:$E$505,E498)&gt;1,"duplicate number for same entity; ",""))))</x:f>
      </x:c>
    </x:row>
    <x:row r="499">
      <x:c r="A499" s="251"/>
      <x:c r="B499" s="252"/>
      <x:c r="C499" s="253"/>
      <x:c r="D499" s="253"/>
      <x:c r="E499" s="252"/>
      <x:c r="F499" s="252"/>
      <x:c r="G499" s="253"/>
      <x:c r="H499" s="253"/>
      <x:c r="I499" s="253"/>
      <x:c r="J499" s="253"/>
      <x:c r="K499" s="253"/>
      <x:c r="L499" s="253"/>
      <x:c r="M499" s="253" t="str">
        <x:f>IF(AND(A499="",B499="",E499=""),"",IF(OR(A499="",B499="",C499="",D499="",E499="",J499="",AND(A499="client",COUNTIF('الزبائن'!$A$6:$A$505,B499)=0),AND(A499="proposed_name",COUNTIF('أسماء مقترحة'!$A$6:$A$505,B499)=0),AND(D499="mobile",J499&lt;&gt;"invalid",NOT(OR(AND(LEN(E499&amp;"")=10,LEFT(E499&amp;"",2)="09"),AND(LEN(E499&amp;"")=9,LEFT(E499&amp;"",1)="9")))),COUNTIFS($A$6:$A$505,A499,$B$6:$B$505,B499,$E$6:$E$505,E499)&gt;1),"REVIEW","READY"))</x:f>
      </x:c>
      <x:c r="N499" s="255" t="str">
        <x:f>IF(M499="","",IF(M499="READY","",TRIM(IF(A499="","missing entity_type; ","")&amp;IF(B499="","missing entity_key; ","")&amp;IF(C499="","missing contact_order; ","")&amp;IF(D499="","missing contact_type; ","")&amp;IF(E499="","missing number; ","")&amp;IF(J499="","missing status; ","")&amp;IF(AND(A499="client",COUNTIF('الزبائن'!$A$6:$A$505,B499)=0),"client key not found; ","")&amp;IF(AND(A499="proposed_name",COUNTIF('أسماء مقترحة'!$A$6:$A$505,B499)=0),"proposed_name key not found; ","")&amp;IF(AND(D499="mobile",J499&lt;&gt;"invalid",NOT(OR(AND(LEN(E499&amp;"")=10,LEFT(E499&amp;"",2)="09"),AND(LEN(E499&amp;"")=9,LEFT(E499&amp;"",1)="9")))),"mobile must be 09XXXXXXXX or status invalid; ","")&amp;IF(COUNTIFS($A$6:$A$505,A499,$B$6:$B$505,B499,$E$6:$E$505,E499)&gt;1,"duplicate number for same entity; ",""))))</x:f>
      </x:c>
    </x:row>
    <x:row r="500">
      <x:c r="A500" s="251"/>
      <x:c r="B500" s="252"/>
      <x:c r="C500" s="253"/>
      <x:c r="D500" s="253"/>
      <x:c r="E500" s="252"/>
      <x:c r="F500" s="252"/>
      <x:c r="G500" s="253"/>
      <x:c r="H500" s="253"/>
      <x:c r="I500" s="253"/>
      <x:c r="J500" s="253"/>
      <x:c r="K500" s="253"/>
      <x:c r="L500" s="253"/>
      <x:c r="M500" s="253" t="str">
        <x:f>IF(AND(A500="",B500="",E500=""),"",IF(OR(A500="",B500="",C500="",D500="",E500="",J500="",AND(A500="client",COUNTIF('الزبائن'!$A$6:$A$505,B500)=0),AND(A500="proposed_name",COUNTIF('أسماء مقترحة'!$A$6:$A$505,B500)=0),AND(D500="mobile",J500&lt;&gt;"invalid",NOT(OR(AND(LEN(E500&amp;"")=10,LEFT(E500&amp;"",2)="09"),AND(LEN(E500&amp;"")=9,LEFT(E500&amp;"",1)="9")))),COUNTIFS($A$6:$A$505,A500,$B$6:$B$505,B500,$E$6:$E$505,E500)&gt;1),"REVIEW","READY"))</x:f>
      </x:c>
      <x:c r="N500" s="255" t="str">
        <x:f>IF(M500="","",IF(M500="READY","",TRIM(IF(A500="","missing entity_type; ","")&amp;IF(B500="","missing entity_key; ","")&amp;IF(C500="","missing contact_order; ","")&amp;IF(D500="","missing contact_type; ","")&amp;IF(E500="","missing number; ","")&amp;IF(J500="","missing status; ","")&amp;IF(AND(A500="client",COUNTIF('الزبائن'!$A$6:$A$505,B500)=0),"client key not found; ","")&amp;IF(AND(A500="proposed_name",COUNTIF('أسماء مقترحة'!$A$6:$A$505,B500)=0),"proposed_name key not found; ","")&amp;IF(AND(D500="mobile",J500&lt;&gt;"invalid",NOT(OR(AND(LEN(E500&amp;"")=10,LEFT(E500&amp;"",2)="09"),AND(LEN(E500&amp;"")=9,LEFT(E500&amp;"",1)="9")))),"mobile must be 09XXXXXXXX or status invalid; ","")&amp;IF(COUNTIFS($A$6:$A$505,A500,$B$6:$B$505,B500,$E$6:$E$505,E500)&gt;1,"duplicate number for same entity; ",""))))</x:f>
      </x:c>
    </x:row>
    <x:row r="501">
      <x:c r="A501" s="251"/>
      <x:c r="B501" s="252"/>
      <x:c r="C501" s="253"/>
      <x:c r="D501" s="253"/>
      <x:c r="E501" s="252"/>
      <x:c r="F501" s="252"/>
      <x:c r="G501" s="253"/>
      <x:c r="H501" s="253"/>
      <x:c r="I501" s="253"/>
      <x:c r="J501" s="253"/>
      <x:c r="K501" s="253"/>
      <x:c r="L501" s="253"/>
      <x:c r="M501" s="253" t="str">
        <x:f>IF(AND(A501="",B501="",E501=""),"",IF(OR(A501="",B501="",C501="",D501="",E501="",J501="",AND(A501="client",COUNTIF('الزبائن'!$A$6:$A$505,B501)=0),AND(A501="proposed_name",COUNTIF('أسماء مقترحة'!$A$6:$A$505,B501)=0),AND(D501="mobile",J501&lt;&gt;"invalid",NOT(OR(AND(LEN(E501&amp;"")=10,LEFT(E501&amp;"",2)="09"),AND(LEN(E501&amp;"")=9,LEFT(E501&amp;"",1)="9")))),COUNTIFS($A$6:$A$505,A501,$B$6:$B$505,B501,$E$6:$E$505,E501)&gt;1),"REVIEW","READY"))</x:f>
      </x:c>
      <x:c r="N501" s="255" t="str">
        <x:f>IF(M501="","",IF(M501="READY","",TRIM(IF(A501="","missing entity_type; ","")&amp;IF(B501="","missing entity_key; ","")&amp;IF(C501="","missing contact_order; ","")&amp;IF(D501="","missing contact_type; ","")&amp;IF(E501="","missing number; ","")&amp;IF(J501="","missing status; ","")&amp;IF(AND(A501="client",COUNTIF('الزبائن'!$A$6:$A$505,B501)=0),"client key not found; ","")&amp;IF(AND(A501="proposed_name",COUNTIF('أسماء مقترحة'!$A$6:$A$505,B501)=0),"proposed_name key not found; ","")&amp;IF(AND(D501="mobile",J501&lt;&gt;"invalid",NOT(OR(AND(LEN(E501&amp;"")=10,LEFT(E501&amp;"",2)="09"),AND(LEN(E501&amp;"")=9,LEFT(E501&amp;"",1)="9")))),"mobile must be 09XXXXXXXX or status invalid; ","")&amp;IF(COUNTIFS($A$6:$A$505,A501,$B$6:$B$505,B501,$E$6:$E$505,E501)&gt;1,"duplicate number for same entity; ",""))))</x:f>
      </x:c>
    </x:row>
    <x:row r="502">
      <x:c r="A502" s="251"/>
      <x:c r="B502" s="252"/>
      <x:c r="C502" s="253"/>
      <x:c r="D502" s="253"/>
      <x:c r="E502" s="252"/>
      <x:c r="F502" s="252"/>
      <x:c r="G502" s="253"/>
      <x:c r="H502" s="253"/>
      <x:c r="I502" s="253"/>
      <x:c r="J502" s="253"/>
      <x:c r="K502" s="253"/>
      <x:c r="L502" s="253"/>
      <x:c r="M502" s="253" t="str">
        <x:f>IF(AND(A502="",B502="",E502=""),"",IF(OR(A502="",B502="",C502="",D502="",E502="",J502="",AND(A502="client",COUNTIF('الزبائن'!$A$6:$A$505,B502)=0),AND(A502="proposed_name",COUNTIF('أسماء مقترحة'!$A$6:$A$505,B502)=0),AND(D502="mobile",J502&lt;&gt;"invalid",NOT(OR(AND(LEN(E502&amp;"")=10,LEFT(E502&amp;"",2)="09"),AND(LEN(E502&amp;"")=9,LEFT(E502&amp;"",1)="9")))),COUNTIFS($A$6:$A$505,A502,$B$6:$B$505,B502,$E$6:$E$505,E502)&gt;1),"REVIEW","READY"))</x:f>
      </x:c>
      <x:c r="N502" s="255" t="str">
        <x:f>IF(M502="","",IF(M502="READY","",TRIM(IF(A502="","missing entity_type; ","")&amp;IF(B502="","missing entity_key; ","")&amp;IF(C502="","missing contact_order; ","")&amp;IF(D502="","missing contact_type; ","")&amp;IF(E502="","missing number; ","")&amp;IF(J502="","missing status; ","")&amp;IF(AND(A502="client",COUNTIF('الزبائن'!$A$6:$A$505,B502)=0),"client key not found; ","")&amp;IF(AND(A502="proposed_name",COUNTIF('أسماء مقترحة'!$A$6:$A$505,B502)=0),"proposed_name key not found; ","")&amp;IF(AND(D502="mobile",J502&lt;&gt;"invalid",NOT(OR(AND(LEN(E502&amp;"")=10,LEFT(E502&amp;"",2)="09"),AND(LEN(E502&amp;"")=9,LEFT(E502&amp;"",1)="9")))),"mobile must be 09XXXXXXXX or status invalid; ","")&amp;IF(COUNTIFS($A$6:$A$505,A502,$B$6:$B$505,B502,$E$6:$E$505,E502)&gt;1,"duplicate number for same entity; ",""))))</x:f>
      </x:c>
    </x:row>
    <x:row r="503">
      <x:c r="A503" s="251"/>
      <x:c r="B503" s="252"/>
      <x:c r="C503" s="253"/>
      <x:c r="D503" s="253"/>
      <x:c r="E503" s="252"/>
      <x:c r="F503" s="252"/>
      <x:c r="G503" s="253"/>
      <x:c r="H503" s="253"/>
      <x:c r="I503" s="253"/>
      <x:c r="J503" s="253"/>
      <x:c r="K503" s="253"/>
      <x:c r="L503" s="253"/>
      <x:c r="M503" s="253" t="str">
        <x:f>IF(AND(A503="",B503="",E503=""),"",IF(OR(A503="",B503="",C503="",D503="",E503="",J503="",AND(A503="client",COUNTIF('الزبائن'!$A$6:$A$505,B503)=0),AND(A503="proposed_name",COUNTIF('أسماء مقترحة'!$A$6:$A$505,B503)=0),AND(D503="mobile",J503&lt;&gt;"invalid",NOT(OR(AND(LEN(E503&amp;"")=10,LEFT(E503&amp;"",2)="09"),AND(LEN(E503&amp;"")=9,LEFT(E503&amp;"",1)="9")))),COUNTIFS($A$6:$A$505,A503,$B$6:$B$505,B503,$E$6:$E$505,E503)&gt;1),"REVIEW","READY"))</x:f>
      </x:c>
      <x:c r="N503" s="255" t="str">
        <x:f>IF(M503="","",IF(M503="READY","",TRIM(IF(A503="","missing entity_type; ","")&amp;IF(B503="","missing entity_key; ","")&amp;IF(C503="","missing contact_order; ","")&amp;IF(D503="","missing contact_type; ","")&amp;IF(E503="","missing number; ","")&amp;IF(J503="","missing status; ","")&amp;IF(AND(A503="client",COUNTIF('الزبائن'!$A$6:$A$505,B503)=0),"client key not found; ","")&amp;IF(AND(A503="proposed_name",COUNTIF('أسماء مقترحة'!$A$6:$A$505,B503)=0),"proposed_name key not found; ","")&amp;IF(AND(D503="mobile",J503&lt;&gt;"invalid",NOT(OR(AND(LEN(E503&amp;"")=10,LEFT(E503&amp;"",2)="09"),AND(LEN(E503&amp;"")=9,LEFT(E503&amp;"",1)="9")))),"mobile must be 09XXXXXXXX or status invalid; ","")&amp;IF(COUNTIFS($A$6:$A$505,A503,$B$6:$B$505,B503,$E$6:$E$505,E503)&gt;1,"duplicate number for same entity; ",""))))</x:f>
      </x:c>
    </x:row>
    <x:row r="504">
      <x:c r="A504" s="251"/>
      <x:c r="B504" s="252"/>
      <x:c r="C504" s="253"/>
      <x:c r="D504" s="253"/>
      <x:c r="E504" s="252"/>
      <x:c r="F504" s="252"/>
      <x:c r="G504" s="253"/>
      <x:c r="H504" s="253"/>
      <x:c r="I504" s="253"/>
      <x:c r="J504" s="253"/>
      <x:c r="K504" s="253"/>
      <x:c r="L504" s="253"/>
      <x:c r="M504" s="253" t="str">
        <x:f>IF(AND(A504="",B504="",E504=""),"",IF(OR(A504="",B504="",C504="",D504="",E504="",J504="",AND(A504="client",COUNTIF('الزبائن'!$A$6:$A$505,B504)=0),AND(A504="proposed_name",COUNTIF('أسماء مقترحة'!$A$6:$A$505,B504)=0),AND(D504="mobile",J504&lt;&gt;"invalid",NOT(OR(AND(LEN(E504&amp;"")=10,LEFT(E504&amp;"",2)="09"),AND(LEN(E504&amp;"")=9,LEFT(E504&amp;"",1)="9")))),COUNTIFS($A$6:$A$505,A504,$B$6:$B$505,B504,$E$6:$E$505,E504)&gt;1),"REVIEW","READY"))</x:f>
      </x:c>
      <x:c r="N504" s="255" t="str">
        <x:f>IF(M504="","",IF(M504="READY","",TRIM(IF(A504="","missing entity_type; ","")&amp;IF(B504="","missing entity_key; ","")&amp;IF(C504="","missing contact_order; ","")&amp;IF(D504="","missing contact_type; ","")&amp;IF(E504="","missing number; ","")&amp;IF(J504="","missing status; ","")&amp;IF(AND(A504="client",COUNTIF('الزبائن'!$A$6:$A$505,B504)=0),"client key not found; ","")&amp;IF(AND(A504="proposed_name",COUNTIF('أسماء مقترحة'!$A$6:$A$505,B504)=0),"proposed_name key not found; ","")&amp;IF(AND(D504="mobile",J504&lt;&gt;"invalid",NOT(OR(AND(LEN(E504&amp;"")=10,LEFT(E504&amp;"",2)="09"),AND(LEN(E504&amp;"")=9,LEFT(E504&amp;"",1)="9")))),"mobile must be 09XXXXXXXX or status invalid; ","")&amp;IF(COUNTIFS($A$6:$A$505,A504,$B$6:$B$505,B504,$E$6:$E$505,E504)&gt;1,"duplicate number for same entity; ",""))))</x:f>
      </x:c>
    </x:row>
    <x:row r="505">
      <x:c r="A505" s="256"/>
      <x:c r="B505" s="257"/>
      <x:c r="C505" s="258"/>
      <x:c r="D505" s="258"/>
      <x:c r="E505" s="257"/>
      <x:c r="F505" s="257"/>
      <x:c r="G505" s="258"/>
      <x:c r="H505" s="258"/>
      <x:c r="I505" s="258"/>
      <x:c r="J505" s="258"/>
      <x:c r="K505" s="258"/>
      <x:c r="L505" s="258"/>
      <x:c r="M505" s="258" t="str">
        <x:f>IF(AND(A505="",B505="",E505=""),"",IF(OR(A505="",B505="",C505="",D505="",E505="",J505="",AND(A505="client",COUNTIF('الزبائن'!$A$6:$A$505,B505)=0),AND(A505="proposed_name",COUNTIF('أسماء مقترحة'!$A$6:$A$505,B505)=0),AND(D505="mobile",J505&lt;&gt;"invalid",NOT(OR(AND(LEN(E505&amp;"")=10,LEFT(E505&amp;"",2)="09"),AND(LEN(E505&amp;"")=9,LEFT(E505&amp;"",1)="9")))),COUNTIFS($A$6:$A$505,A505,$B$6:$B$505,B505,$E$6:$E$505,E505)&gt;1),"REVIEW","READY"))</x:f>
      </x:c>
      <x:c r="N505" s="259" t="str">
        <x:f>IF(M505="","",IF(M505="READY","",TRIM(IF(A505="","missing entity_type; ","")&amp;IF(B505="","missing entity_key; ","")&amp;IF(C505="","missing contact_order; ","")&amp;IF(D505="","missing contact_type; ","")&amp;IF(E505="","missing number; ","")&amp;IF(J505="","missing status; ","")&amp;IF(AND(A505="client",COUNTIF('الزبائن'!$A$6:$A$505,B505)=0),"client key not found; ","")&amp;IF(AND(A505="proposed_name",COUNTIF('أسماء مقترحة'!$A$6:$A$505,B505)=0),"proposed_name key not found; ","")&amp;IF(AND(D505="mobile",J505&lt;&gt;"invalid",NOT(OR(AND(LEN(E505&amp;"")=10,LEFT(E505&amp;"",2)="09"),AND(LEN(E505&amp;"")=9,LEFT(E505&amp;"",1)="9")))),"mobile must be 09XXXXXXXX or status invalid; ","")&amp;IF(COUNTIFS($A$6:$A$505,A505,$B$6:$B$505,B505,$E$6:$E$505,E505)&gt;1,"duplicate number for same entity; ",""))))</x:f>
      </x:c>
    </x:row>
  </x:sheetData>
  <x:mergeCells>
    <x:mergeCell ref="A1:N1"/>
    <x:mergeCell ref="A2:N2"/>
    <x:mergeCell ref="A4:B4"/>
    <x:mergeCell ref="C4:J4"/>
    <x:mergeCell ref="K4:N4"/>
  </x:mergeCells>
  <x:conditionalFormatting sqref="M6:M505">
    <x:cfRule type="containsText" dxfId="4" priority="1" operator="containsText" text="READY"/>
    <x:cfRule type="containsText" dxfId="5" priority="2" operator="containsText" text="TO_PROPOSED"/>
    <x:cfRule type="containsText" dxfId="6" priority="3" operator="containsText" text="REVIEW"/>
    <x:cfRule type="containsText" dxfId="7" priority="4" operator="containsText" text="SKIP"/>
  </x:conditionalFormatting>
  <x:dataValidations count="6">
    <x:dataValidation type="list" sqref="A6:A505">
      <x:formula1>"client,proposed_name"</x:formula1>
    </x:dataValidation>
    <x:dataValidation type="list" sqref="D6:D505">
      <x:formula1>"mobile,landline,other"</x:formula1>
    </x:dataValidation>
    <x:dataValidation type="list" sqref="H6:H505">
      <x:formula1>"TRUE,FALSE"</x:formula1>
    </x:dataValidation>
    <x:dataValidation type="list" sqref="I6:I505">
      <x:formula1>"TRUE,FALSE"</x:formula1>
    </x:dataValidation>
    <x:dataValidation type="list" sqref="J6:J505">
      <x:formula1>"active,preferred,out-of-coverage,unused,invalid"</x:formula1>
    </x:dataValidation>
    <x:dataValidation type="list" sqref="K6:K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e1a5fd99fc4e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24" hidden="0" customWidth="1"/>
    <x:col min="9" max="9" width="14" hidden="0" customWidth="1"/>
    <x:col min="10" max="10" width="28" hidden="0" customWidth="1"/>
    <x:col min="11" max="11" width="18" hidden="0" customWidth="1"/>
    <x:col min="12" max="12" width="34" hidden="0" customWidth="1"/>
    <x:col min="13" max="13" width="18" hidden="0" customWidth="1"/>
    <x:col min="14" max="14" width="38" hidden="0" customWidth="1"/>
    <x:col min="15" max="15" width="18" hidden="0" customWidth="1"/>
    <x:col min="16" max="16" width="14" hidden="0" customWidth="1"/>
    <x:col min="17" max="17" width="52" hidden="0" customWidth="1"/>
  </x:cols>
  <x:sheetData>
    <x:row r="1" ht="34" customHeight="1">
      <x:c r="A1" s="24" t="str">
        <x:v>الوسطاء ومصادر الإحالة</x:v>
      </x:c>
      <x:c r="B1" s="24" t="str">
        <x:v>الوسطاء ومصادر الإحالة</x:v>
      </x:c>
      <x:c r="C1" s="24" t="str">
        <x:v>الوسطاء ومصادر الإحالة</x:v>
      </x:c>
      <x:c r="D1" s="24" t="str">
        <x:v>الوسطاء ومصادر الإحالة</x:v>
      </x:c>
      <x:c r="E1" s="24" t="str">
        <x:v>الوسطاء ومصادر الإحالة</x:v>
      </x:c>
      <x:c r="F1" s="24" t="str">
        <x:v>الوسطاء ومصادر الإحالة</x:v>
      </x:c>
      <x:c r="G1" s="24" t="str">
        <x:v>الوسطاء ومصادر الإحالة</x:v>
      </x:c>
      <x:c r="H1" s="24" t="str">
        <x:v>الوسطاء ومصادر الإحالة</x:v>
      </x:c>
      <x:c r="I1" s="24" t="str">
        <x:v>الوسطاء ومصادر الإحالة</x:v>
      </x:c>
      <x:c r="J1" s="24" t="str">
        <x:v>الوسطاء ومصادر الإحالة</x:v>
      </x:c>
      <x:c r="K1" s="24" t="str">
        <x:v>الوسطاء ومصادر الإحالة</x:v>
      </x:c>
      <x:c r="L1" s="24" t="str">
        <x:v>الوسطاء ومصادر الإحالة</x:v>
      </x:c>
      <x:c r="M1" s="24" t="str">
        <x:v>الوسطاء ومصادر الإحالة</x:v>
      </x:c>
      <x:c r="N1" s="24" t="str">
        <x:v>الوسطاء ومصادر الإحالة</x:v>
      </x:c>
      <x:c r="O1" s="24" t="str">
        <x:v>الوسطاء ومصادر الإحالة</x:v>
      </x:c>
      <x:c r="P1" s="24" t="str">
        <x:v>الوسطاء ومصادر الإحالة</x:v>
      </x:c>
      <x:c r="Q1" s="24" t="str">
        <x:v>الوسطاء ومصادر الإحالة</x:v>
      </x:c>
    </x:row>
    <x:row r="2" ht="28" customHeight="1">
      <x:c r="A2" s="25" t="str">
        <x:v>كل الوسطاء هنا للزبائن والأسماء المقترحة. اربط الصف عبر entity_type + entity_key. referrer_order=1 هو الوسيط الأساسي.</x:v>
      </x:c>
      <x:c r="B2" s="25" t="str">
        <x:v>كل الوسطاء هنا للزبائن والأسماء المقترحة. اربط الصف عبر entity_type + entity_key. referrer_order=1 هو الوسيط الأساسي.</x:v>
      </x:c>
      <x:c r="C2" s="25" t="str">
        <x:v>كل الوسطاء هنا للزبائن والأسماء المقترحة. اربط الصف عبر entity_type + entity_key. referrer_order=1 هو الوسيط الأساسي.</x:v>
      </x:c>
      <x:c r="D2" s="25" t="str">
        <x:v>كل الوسطاء هنا للزبائن والأسماء المقترحة. اربط الصف عبر entity_type + entity_key. referrer_order=1 هو الوسيط الأساسي.</x:v>
      </x:c>
      <x:c r="E2" s="25" t="str">
        <x:v>كل الوسطاء هنا للزبائن والأسماء المقترحة. اربط الصف عبر entity_type + entity_key. referrer_order=1 هو الوسيط الأساسي.</x:v>
      </x:c>
      <x:c r="F2" s="25" t="str">
        <x:v>كل الوسطاء هنا للزبائن والأسماء المقترحة. اربط الصف عبر entity_type + entity_key. referrer_order=1 هو الوسيط الأساسي.</x:v>
      </x:c>
      <x:c r="G2" s="25" t="str">
        <x:v>كل الوسطاء هنا للزبائن والأسماء المقترحة. اربط الصف عبر entity_type + entity_key. referrer_order=1 هو الوسيط الأساسي.</x:v>
      </x:c>
      <x:c r="H2" s="25" t="str">
        <x:v>كل الوسطاء هنا للزبائن والأسماء المقترحة. اربط الصف عبر entity_type + entity_key. referrer_order=1 هو الوسيط الأساسي.</x:v>
      </x:c>
      <x:c r="I2" s="25" t="str">
        <x:v>كل الوسطاء هنا للزبائن والأسماء المقترحة. اربط الصف عبر entity_type + entity_key. referrer_order=1 هو الوسيط الأساسي.</x:v>
      </x:c>
      <x:c r="J2" s="25" t="str">
        <x:v>كل الوسطاء هنا للزبائن والأسماء المقترحة. اربط الصف عبر entity_type + entity_key. referrer_order=1 هو الوسيط الأساسي.</x:v>
      </x:c>
      <x:c r="K2" s="25" t="str">
        <x:v>كل الوسطاء هنا للزبائن والأسماء المقترحة. اربط الصف عبر entity_type + entity_key. referrer_order=1 هو الوسيط الأساسي.</x:v>
      </x:c>
      <x:c r="L2" s="25" t="str">
        <x:v>كل الوسطاء هنا للزبائن والأسماء المقترحة. اربط الصف عبر entity_type + entity_key. referrer_order=1 هو الوسيط الأساسي.</x:v>
      </x:c>
      <x:c r="M2" s="25" t="str">
        <x:v>كل الوسطاء هنا للزبائن والأسماء المقترحة. اربط الصف عبر entity_type + entity_key. referrer_order=1 هو الوسيط الأساسي.</x:v>
      </x:c>
      <x:c r="N2" s="25" t="str">
        <x:v>كل الوسطاء هنا للزبائن والأسماء المقترحة. اربط الصف عبر entity_type + entity_key. referrer_order=1 هو الوسيط الأساسي.</x:v>
      </x:c>
      <x:c r="O2" s="25" t="str">
        <x:v>كل الوسطاء هنا للزبائن والأسماء المقترحة. اربط الصف عبر entity_type + entity_key. referrer_order=1 هو الوسيط الأساسي.</x:v>
      </x:c>
      <x:c r="P2" s="25" t="str">
        <x:v>كل الوسطاء هنا للزبائن والأسماء المقترحة. اربط الصف عبر entity_type + entity_key. referrer_order=1 هو الوسيط الأساسي.</x:v>
      </x:c>
      <x:c r="Q2" s="25" t="str">
        <x:v>كل الوسطاء هنا للزبائن والأسماء المقترحة. اربط الصف عبر entity_type + entity_key. referrer_order=1 هو الوسيط الأساسي.</x:v>
      </x:c>
    </x:row>
    <x:row r="3">
      <x:c r="A3" s="186" t="str">
        <x:v>entity_type</x:v>
      </x:c>
      <x:c r="B3" s="186" t="str">
        <x:v>entity_key</x:v>
      </x:c>
      <x:c r="C3" s="186" t="str">
        <x:v>referrer_order</x:v>
      </x:c>
      <x:c r="D3" s="186" t="str">
        <x:v>is_primary</x:v>
      </x:c>
      <x:c r="E3" s="186" t="str">
        <x:v>referrer_type</x:v>
      </x:c>
      <x:c r="F3" s="186" t="str">
        <x:v>referral_origin_channel</x:v>
      </x:c>
      <x:c r="G3" s="186" t="str">
        <x:v>referrer_entity_id</x:v>
      </x:c>
      <x:c r="H3" s="186" t="str">
        <x:v>referrer_name_snapshot</x:v>
      </x:c>
      <x:c r="I3" s="186" t="str">
        <x:v>referral_date</x:v>
      </x:c>
      <x:c r="J3" s="186" t="str">
        <x:v>referral_reason</x:v>
      </x:c>
      <x:c r="K3" s="186" t="str">
        <x:v>referral_sheet_id</x:v>
      </x:c>
      <x:c r="L3" s="186" t="str">
        <x:v>referral_address_text</x:v>
      </x:c>
      <x:c r="M3" s="186" t="str">
        <x:v>referral_confirmation_status</x:v>
      </x:c>
      <x:c r="N3" s="186" t="str">
        <x:v>referral_notes</x:v>
      </x:c>
      <x:c r="O3" s="186" t="str">
        <x:v>cleanup_status</x:v>
      </x:c>
      <x:c r="P3" s="186" t="str">
        <x:v>row_status</x:v>
      </x:c>
      <x:c r="Q3" s="186" t="str">
        <x:v>row_issues</x:v>
      </x:c>
    </x:row>
    <x:row r="4">
      <x:c r="A4" s="187" t="str">
        <x:v>ربط</x:v>
      </x:c>
      <x:c r="B4" s="189" t="str">
        <x:v>ربط</x:v>
      </x:c>
      <x:c r="C4" s="269" t="str">
        <x:v>الوسطاء</x:v>
      </x:c>
      <x:c r="D4" s="270" t="str">
        <x:v>الوسطاء</x:v>
      </x:c>
      <x:c r="E4" s="270" t="str">
        <x:v>الوسطاء</x:v>
      </x:c>
      <x:c r="F4" s="270" t="str">
        <x:v>الوسطاء</x:v>
      </x:c>
      <x:c r="G4" s="270" t="str">
        <x:v>الوسطاء</x:v>
      </x:c>
      <x:c r="H4" s="270" t="str">
        <x:v>الوسطاء</x:v>
      </x:c>
      <x:c r="I4" s="270" t="str">
        <x:v>الوسطاء</x:v>
      </x:c>
      <x:c r="J4" s="270" t="str">
        <x:v>الوسطاء</x:v>
      </x:c>
      <x:c r="K4" s="270" t="str">
        <x:v>الوسطاء</x:v>
      </x:c>
      <x:c r="L4" s="270" t="str">
        <x:v>الوسطاء</x:v>
      </x:c>
      <x:c r="M4" s="271" t="str">
        <x:v>الوسطاء</x:v>
      </x:c>
      <x:c r="N4" s="209" t="str">
        <x:v>مراجعة</x:v>
      </x:c>
      <x:c r="O4" s="210" t="str">
        <x:v>مراجعة</x:v>
      </x:c>
      <x:c r="P4" s="210" t="str">
        <x:v>مراجعة</x:v>
      </x:c>
      <x:c r="Q4" s="211" t="str">
        <x:v>مراجعة</x:v>
      </x:c>
    </x:row>
    <x:row r="5" ht="42" customHeight="1">
      <x:c r="A5" s="215" t="str">
        <x:v>نوع السجل</x:v>
      </x:c>
      <x:c r="B5" s="216" t="str">
        <x:v>مفتاح السجل</x:v>
      </x:c>
      <x:c r="C5" s="216" t="str">
        <x:v>ترتيب الوسيط</x:v>
      </x:c>
      <x:c r="D5" s="217" t="str">
        <x:v>أساسي؟</x:v>
      </x:c>
      <x:c r="E5" s="216" t="str">
        <x:v>نوع الوسيط</x:v>
      </x:c>
      <x:c r="F5" s="216" t="str">
        <x:v>قناة المصدر</x:v>
      </x:c>
      <x:c r="G5" s="217" t="str">
        <x:v>ID الوسيط إن وجد</x:v>
      </x:c>
      <x:c r="H5" s="216" t="str">
        <x:v>اسم الوسيط</x:v>
      </x:c>
      <x:c r="I5" s="217" t="str">
        <x:v>تاريخ الإحالة</x:v>
      </x:c>
      <x:c r="J5" s="217" t="str">
        <x:v>سبب/تفصيل الإحالة</x:v>
      </x:c>
      <x:c r="K5" s="217" t="str">
        <x:v>رقم دفتر/ورقة الإحالة</x:v>
      </x:c>
      <x:c r="L5" s="217" t="str">
        <x:v>عنوان الوسيط/المصدر</x:v>
      </x:c>
      <x:c r="M5" s="217" t="str">
        <x:v>حالة تأكيد الإحالة</x:v>
      </x:c>
      <x:c r="N5" s="217" t="str">
        <x:v>ملاحظات الوسيط</x:v>
      </x:c>
      <x:c r="O5" s="217" t="str">
        <x:v>حالة التنظيف</x:v>
      </x:c>
      <x:c r="P5" s="217" t="str">
        <x:v>حالة الصف - تلقائي</x:v>
      </x:c>
      <x:c r="Q5" s="218" t="str">
        <x:v>مشاكل الصف - تلقائي</x:v>
      </x:c>
    </x:row>
    <x:row r="6">
      <x:c r="A6" s="251" t="str">
        <x:v>client</x:v>
      </x:c>
      <x:c r="B6" s="252" t="str">
        <x:v>CUST-0001</x:v>
      </x:c>
      <x:c r="C6" s="253" t="n">
        <x:v>1</x:v>
      </x:c>
      <x:c r="D6" s="253" t="str">
        <x:v>TRUE</x:v>
      </x:c>
      <x:c r="E6" s="253" t="str">
        <x:v>Personal</x:v>
      </x:c>
      <x:c r="F6" s="253" t="str">
        <x:v>PhoneCall</x:v>
      </x:c>
      <x:c r="G6" s="252"/>
      <x:c r="H6" s="253" t="str">
        <x:v>مستخدم النظام</x:v>
      </x:c>
      <x:c r="I6" s="272" t="n">
        <x:v>46204</x:v>
      </x:c>
      <x:c r="J6" s="253" t="str">
        <x:v>استيراد أولي</x:v>
      </x:c>
      <x:c r="K6" s="252"/>
      <x:c r="L6" s="253"/>
      <x:c r="M6" s="253" t="str">
        <x:v>Confirmed</x:v>
      </x:c>
      <x:c r="N6" s="253"/>
      <x:c r="O6" s="253" t="str">
        <x:v>cleaned</x:v>
      </x:c>
      <x:c r="P6" s="253" t="str">
        <x:f>IF(AND(A6="",B6="",H6=""),"",IF(OR(A6="",B6="",C6="",E6="",F6="",H6="",AND(A6="client",COUNTIF('الزبائن'!$A$6:$A$505,B6)=0),AND(A6="proposed_name",COUNTIF('أسماء مقترحة'!$A$6:$A$505,B6)=0)),"REVIEW","READY"))</x:f>
        <x:v>READY</x:v>
      </x:c>
      <x:c r="Q6" s="255" t="str">
        <x:f>IF(P6="","",IF(P6="READY","",TRIM(IF(A6="","missing entity_type; ","")&amp;IF(B6="","missing entity_key; ","")&amp;IF(C6="","missing referrer_order; ","")&amp;IF(E6="","missing referrer_type; ","")&amp;IF(F6="","missing referral_origin_channel; ","")&amp;IF(H6="","missing referrer_name_snapshot; ","")&amp;IF(AND(A6="client",COUNTIF('الزبائن'!$A$6:$A$505,B6)=0),"client key not found; ","")&amp;IF(AND(A6="proposed_name",COUNTIF('أسماء مقترحة'!$A$6:$A$505,B6)=0),"proposed_name key not found; ",""))))</x:f>
      </x:c>
    </x:row>
    <x:row r="7">
      <x:c r="A7" s="251" t="str">
        <x:v>proposed_name</x:v>
      </x:c>
      <x:c r="B7" s="252" t="str">
        <x:v>PN-CUST-0002</x:v>
      </x:c>
      <x:c r="C7" s="253" t="n">
        <x:v>1</x:v>
      </x:c>
      <x:c r="D7" s="253" t="str">
        <x:v>TRUE</x:v>
      </x:c>
      <x:c r="E7" s="253" t="str">
        <x:v>Unknown</x:v>
      </x:c>
      <x:c r="F7" s="253" t="str">
        <x:v>SocialMedia</x:v>
      </x:c>
      <x:c r="G7" s="252"/>
      <x:c r="H7" s="253" t="str">
        <x:v>مجهول</x:v>
      </x:c>
      <x:c r="I7" s="272"/>
      <x:c r="J7" s="253"/>
      <x:c r="K7" s="252"/>
      <x:c r="L7" s="253"/>
      <x:c r="M7" s="253" t="str">
        <x:v>Pending</x:v>
      </x:c>
      <x:c r="N7" s="253" t="str">
        <x:v>مصدر غير مؤكد</x:v>
      </x:c>
      <x:c r="O7" s="253" t="str">
        <x:v>review_needed</x:v>
      </x:c>
      <x:c r="P7" s="253" t="str">
        <x:f>IF(AND(A7="",B7="",H7=""),"",IF(OR(A7="",B7="",C7="",E7="",F7="",H7="",AND(A7="client",COUNTIF('الزبائن'!$A$6:$A$505,B7)=0),AND(A7="proposed_name",COUNTIF('أسماء مقترحة'!$A$6:$A$505,B7)=0)),"REVIEW","READY"))</x:f>
        <x:v>READY</x:v>
      </x:c>
      <x:c r="Q7" s="255" t="str">
        <x:f>IF(P7="","",IF(P7="READY","",TRIM(IF(A7="","missing entity_type; ","")&amp;IF(B7="","missing entity_key; ","")&amp;IF(C7="","missing referrer_order; ","")&amp;IF(E7="","missing referrer_type; ","")&amp;IF(F7="","missing referral_origin_channel; ","")&amp;IF(H7="","missing referrer_name_snapshot; ","")&amp;IF(AND(A7="client",COUNTIF('الزبائن'!$A$6:$A$505,B7)=0),"client key not found; ","")&amp;IF(AND(A7="proposed_name",COUNTIF('أسماء مقترحة'!$A$6:$A$505,B7)=0),"proposed_name key not found; ",""))))</x:f>
      </x:c>
    </x:row>
    <x:row r="8">
      <x:c r="A8" s="251"/>
      <x:c r="B8" s="252"/>
      <x:c r="C8" s="253"/>
      <x:c r="D8" s="253"/>
      <x:c r="E8" s="253"/>
      <x:c r="F8" s="253"/>
      <x:c r="G8" s="252"/>
      <x:c r="H8" s="253"/>
      <x:c r="I8" s="272"/>
      <x:c r="J8" s="253"/>
      <x:c r="K8" s="252"/>
      <x:c r="L8" s="253"/>
      <x:c r="M8" s="253"/>
      <x:c r="N8" s="253"/>
      <x:c r="O8" s="253"/>
      <x:c r="P8" s="253" t="str">
        <x:f>IF(AND(A8="",B8="",H8=""),"",IF(OR(A8="",B8="",C8="",E8="",F8="",H8="",AND(A8="client",COUNTIF('الزبائن'!$A$6:$A$505,B8)=0),AND(A8="proposed_name",COUNTIF('أسماء مقترحة'!$A$6:$A$505,B8)=0)),"REVIEW","READY"))</x:f>
      </x:c>
      <x:c r="Q8" s="255" t="str">
        <x:f>IF(P8="","",IF(P8="READY","",TRIM(IF(A8="","missing entity_type; ","")&amp;IF(B8="","missing entity_key; ","")&amp;IF(C8="","missing referrer_order; ","")&amp;IF(E8="","missing referrer_type; ","")&amp;IF(F8="","missing referral_origin_channel; ","")&amp;IF(H8="","missing referrer_name_snapshot; ","")&amp;IF(AND(A8="client",COUNTIF('الزبائن'!$A$6:$A$505,B8)=0),"client key not found; ","")&amp;IF(AND(A8="proposed_name",COUNTIF('أسماء مقترحة'!$A$6:$A$505,B8)=0),"proposed_name key not found; ",""))))</x:f>
      </x:c>
    </x:row>
    <x:row r="9">
      <x:c r="A9" s="251"/>
      <x:c r="B9" s="252"/>
      <x:c r="C9" s="253"/>
      <x:c r="D9" s="253"/>
      <x:c r="E9" s="253"/>
      <x:c r="F9" s="253"/>
      <x:c r="G9" s="252"/>
      <x:c r="H9" s="253"/>
      <x:c r="I9" s="272"/>
      <x:c r="J9" s="253"/>
      <x:c r="K9" s="252"/>
      <x:c r="L9" s="253"/>
      <x:c r="M9" s="253"/>
      <x:c r="N9" s="253"/>
      <x:c r="O9" s="253"/>
      <x:c r="P9" s="253" t="str">
        <x:f>IF(AND(A9="",B9="",H9=""),"",IF(OR(A9="",B9="",C9="",E9="",F9="",H9="",AND(A9="client",COUNTIF('الزبائن'!$A$6:$A$505,B9)=0),AND(A9="proposed_name",COUNTIF('أسماء مقترحة'!$A$6:$A$505,B9)=0)),"REVIEW","READY"))</x:f>
      </x:c>
      <x:c r="Q9" s="255" t="str">
        <x:f>IF(P9="","",IF(P9="READY","",TRIM(IF(A9="","missing entity_type; ","")&amp;IF(B9="","missing entity_key; ","")&amp;IF(C9="","missing referrer_order; ","")&amp;IF(E9="","missing referrer_type; ","")&amp;IF(F9="","missing referral_origin_channel; ","")&amp;IF(H9="","missing referrer_name_snapshot; ","")&amp;IF(AND(A9="client",COUNTIF('الزبائن'!$A$6:$A$505,B9)=0),"client key not found; ","")&amp;IF(AND(A9="proposed_name",COUNTIF('أسماء مقترحة'!$A$6:$A$505,B9)=0),"proposed_name key not found; ",""))))</x:f>
      </x:c>
    </x:row>
    <x:row r="10">
      <x:c r="A10" s="251"/>
      <x:c r="B10" s="252"/>
      <x:c r="C10" s="253"/>
      <x:c r="D10" s="253"/>
      <x:c r="E10" s="253"/>
      <x:c r="F10" s="253"/>
      <x:c r="G10" s="252"/>
      <x:c r="H10" s="253"/>
      <x:c r="I10" s="272"/>
      <x:c r="J10" s="253"/>
      <x:c r="K10" s="252"/>
      <x:c r="L10" s="253"/>
      <x:c r="M10" s="253"/>
      <x:c r="N10" s="253"/>
      <x:c r="O10" s="253"/>
      <x:c r="P10" s="253" t="str">
        <x:f>IF(AND(A10="",B10="",H10=""),"",IF(OR(A10="",B10="",C10="",E10="",F10="",H10="",AND(A10="client",COUNTIF('الزبائن'!$A$6:$A$505,B10)=0),AND(A10="proposed_name",COUNTIF('أسماء مقترحة'!$A$6:$A$505,B10)=0)),"REVIEW","READY"))</x:f>
      </x:c>
      <x:c r="Q10" s="255" t="str">
        <x:f>IF(P10="","",IF(P10="READY","",TRIM(IF(A10="","missing entity_type; ","")&amp;IF(B10="","missing entity_key; ","")&amp;IF(C10="","missing referrer_order; ","")&amp;IF(E10="","missing referrer_type; ","")&amp;IF(F10="","missing referral_origin_channel; ","")&amp;IF(H10="","missing referrer_name_snapshot; ","")&amp;IF(AND(A10="client",COUNTIF('الزبائن'!$A$6:$A$505,B10)=0),"client key not found; ","")&amp;IF(AND(A10="proposed_name",COUNTIF('أسماء مقترحة'!$A$6:$A$505,B10)=0),"proposed_name key not found; ",""))))</x:f>
      </x:c>
    </x:row>
    <x:row r="11">
      <x:c r="A11" s="251"/>
      <x:c r="B11" s="252"/>
      <x:c r="C11" s="253"/>
      <x:c r="D11" s="253"/>
      <x:c r="E11" s="253"/>
      <x:c r="F11" s="253"/>
      <x:c r="G11" s="252"/>
      <x:c r="H11" s="253"/>
      <x:c r="I11" s="272"/>
      <x:c r="J11" s="253"/>
      <x:c r="K11" s="252"/>
      <x:c r="L11" s="253"/>
      <x:c r="M11" s="253"/>
      <x:c r="N11" s="253"/>
      <x:c r="O11" s="253"/>
      <x:c r="P11" s="253" t="str">
        <x:f>IF(AND(A11="",B11="",H11=""),"",IF(OR(A11="",B11="",C11="",E11="",F11="",H11="",AND(A11="client",COUNTIF('الزبائن'!$A$6:$A$505,B11)=0),AND(A11="proposed_name",COUNTIF('أسماء مقترحة'!$A$6:$A$505,B11)=0)),"REVIEW","READY"))</x:f>
      </x:c>
      <x:c r="Q11" s="255" t="str">
        <x:f>IF(P11="","",IF(P11="READY","",TRIM(IF(A11="","missing entity_type; ","")&amp;IF(B11="","missing entity_key; ","")&amp;IF(C11="","missing referrer_order; ","")&amp;IF(E11="","missing referrer_type; ","")&amp;IF(F11="","missing referral_origin_channel; ","")&amp;IF(H11="","missing referrer_name_snapshot; ","")&amp;IF(AND(A11="client",COUNTIF('الزبائن'!$A$6:$A$505,B11)=0),"client key not found; ","")&amp;IF(AND(A11="proposed_name",COUNTIF('أسماء مقترحة'!$A$6:$A$505,B11)=0),"proposed_name key not found; ",""))))</x:f>
      </x:c>
    </x:row>
    <x:row r="12">
      <x:c r="A12" s="251"/>
      <x:c r="B12" s="252"/>
      <x:c r="C12" s="253"/>
      <x:c r="D12" s="253"/>
      <x:c r="E12" s="253"/>
      <x:c r="F12" s="253"/>
      <x:c r="G12" s="252"/>
      <x:c r="H12" s="253"/>
      <x:c r="I12" s="272"/>
      <x:c r="J12" s="253"/>
      <x:c r="K12" s="252"/>
      <x:c r="L12" s="253"/>
      <x:c r="M12" s="253"/>
      <x:c r="N12" s="253"/>
      <x:c r="O12" s="253"/>
      <x:c r="P12" s="253" t="str">
        <x:f>IF(AND(A12="",B12="",H12=""),"",IF(OR(A12="",B12="",C12="",E12="",F12="",H12="",AND(A12="client",COUNTIF('الزبائن'!$A$6:$A$505,B12)=0),AND(A12="proposed_name",COUNTIF('أسماء مقترحة'!$A$6:$A$505,B12)=0)),"REVIEW","READY"))</x:f>
      </x:c>
      <x:c r="Q12" s="255" t="str">
        <x:f>IF(P12="","",IF(P12="READY","",TRIM(IF(A12="","missing entity_type; ","")&amp;IF(B12="","missing entity_key; ","")&amp;IF(C12="","missing referrer_order; ","")&amp;IF(E12="","missing referrer_type; ","")&amp;IF(F12="","missing referral_origin_channel; ","")&amp;IF(H12="","missing referrer_name_snapshot; ","")&amp;IF(AND(A12="client",COUNTIF('الزبائن'!$A$6:$A$505,B12)=0),"client key not found; ","")&amp;IF(AND(A12="proposed_name",COUNTIF('أسماء مقترحة'!$A$6:$A$505,B12)=0),"proposed_name key not found; ",""))))</x:f>
      </x:c>
    </x:row>
    <x:row r="13">
      <x:c r="A13" s="251"/>
      <x:c r="B13" s="252"/>
      <x:c r="C13" s="253"/>
      <x:c r="D13" s="253"/>
      <x:c r="E13" s="253"/>
      <x:c r="F13" s="253"/>
      <x:c r="G13" s="252"/>
      <x:c r="H13" s="253"/>
      <x:c r="I13" s="272"/>
      <x:c r="J13" s="253"/>
      <x:c r="K13" s="252"/>
      <x:c r="L13" s="253"/>
      <x:c r="M13" s="253"/>
      <x:c r="N13" s="253"/>
      <x:c r="O13" s="253"/>
      <x:c r="P13" s="253" t="str">
        <x:f>IF(AND(A13="",B13="",H13=""),"",IF(OR(A13="",B13="",C13="",E13="",F13="",H13="",AND(A13="client",COUNTIF('الزبائن'!$A$6:$A$505,B13)=0),AND(A13="proposed_name",COUNTIF('أسماء مقترحة'!$A$6:$A$505,B13)=0)),"REVIEW","READY"))</x:f>
      </x:c>
      <x:c r="Q13" s="255" t="str">
        <x:f>IF(P13="","",IF(P13="READY","",TRIM(IF(A13="","missing entity_type; ","")&amp;IF(B13="","missing entity_key; ","")&amp;IF(C13="","missing referrer_order; ","")&amp;IF(E13="","missing referrer_type; ","")&amp;IF(F13="","missing referral_origin_channel; ","")&amp;IF(H13="","missing referrer_name_snapshot; ","")&amp;IF(AND(A13="client",COUNTIF('الزبائن'!$A$6:$A$505,B13)=0),"client key not found; ","")&amp;IF(AND(A13="proposed_name",COUNTIF('أسماء مقترحة'!$A$6:$A$505,B13)=0),"proposed_name key not found; ",""))))</x:f>
      </x:c>
    </x:row>
    <x:row r="14">
      <x:c r="A14" s="251"/>
      <x:c r="B14" s="252"/>
      <x:c r="C14" s="253"/>
      <x:c r="D14" s="253"/>
      <x:c r="E14" s="253"/>
      <x:c r="F14" s="253"/>
      <x:c r="G14" s="252"/>
      <x:c r="H14" s="253"/>
      <x:c r="I14" s="272"/>
      <x:c r="J14" s="253"/>
      <x:c r="K14" s="252"/>
      <x:c r="L14" s="253"/>
      <x:c r="M14" s="253"/>
      <x:c r="N14" s="253"/>
      <x:c r="O14" s="253"/>
      <x:c r="P14" s="253" t="str">
        <x:f>IF(AND(A14="",B14="",H14=""),"",IF(OR(A14="",B14="",C14="",E14="",F14="",H14="",AND(A14="client",COUNTIF('الزبائن'!$A$6:$A$505,B14)=0),AND(A14="proposed_name",COUNTIF('أسماء مقترحة'!$A$6:$A$505,B14)=0)),"REVIEW","READY"))</x:f>
      </x:c>
      <x:c r="Q14" s="255" t="str">
        <x:f>IF(P14="","",IF(P14="READY","",TRIM(IF(A14="","missing entity_type; ","")&amp;IF(B14="","missing entity_key; ","")&amp;IF(C14="","missing referrer_order; ","")&amp;IF(E14="","missing referrer_type; ","")&amp;IF(F14="","missing referral_origin_channel; ","")&amp;IF(H14="","missing referrer_name_snapshot; ","")&amp;IF(AND(A14="client",COUNTIF('الزبائن'!$A$6:$A$505,B14)=0),"client key not found; ","")&amp;IF(AND(A14="proposed_name",COUNTIF('أسماء مقترحة'!$A$6:$A$505,B14)=0),"proposed_name key not found; ",""))))</x:f>
      </x:c>
    </x:row>
    <x:row r="15">
      <x:c r="A15" s="251"/>
      <x:c r="B15" s="252"/>
      <x:c r="C15" s="253"/>
      <x:c r="D15" s="253"/>
      <x:c r="E15" s="253"/>
      <x:c r="F15" s="253"/>
      <x:c r="G15" s="252"/>
      <x:c r="H15" s="253"/>
      <x:c r="I15" s="272"/>
      <x:c r="J15" s="253"/>
      <x:c r="K15" s="252"/>
      <x:c r="L15" s="253"/>
      <x:c r="M15" s="253"/>
      <x:c r="N15" s="253"/>
      <x:c r="O15" s="253"/>
      <x:c r="P15" s="253" t="str">
        <x:f>IF(AND(A15="",B15="",H15=""),"",IF(OR(A15="",B15="",C15="",E15="",F15="",H15="",AND(A15="client",COUNTIF('الزبائن'!$A$6:$A$505,B15)=0),AND(A15="proposed_name",COUNTIF('أسماء مقترحة'!$A$6:$A$505,B15)=0)),"REVIEW","READY"))</x:f>
      </x:c>
      <x:c r="Q15" s="255" t="str">
        <x:f>IF(P15="","",IF(P15="READY","",TRIM(IF(A15="","missing entity_type; ","")&amp;IF(B15="","missing entity_key; ","")&amp;IF(C15="","missing referrer_order; ","")&amp;IF(E15="","missing referrer_type; ","")&amp;IF(F15="","missing referral_origin_channel; ","")&amp;IF(H15="","missing referrer_name_snapshot; ","")&amp;IF(AND(A15="client",COUNTIF('الزبائن'!$A$6:$A$505,B15)=0),"client key not found; ","")&amp;IF(AND(A15="proposed_name",COUNTIF('أسماء مقترحة'!$A$6:$A$505,B15)=0),"proposed_name key not found; ",""))))</x:f>
      </x:c>
    </x:row>
    <x:row r="16">
      <x:c r="A16" s="251"/>
      <x:c r="B16" s="252"/>
      <x:c r="C16" s="253"/>
      <x:c r="D16" s="253"/>
      <x:c r="E16" s="253"/>
      <x:c r="F16" s="253"/>
      <x:c r="G16" s="252"/>
      <x:c r="H16" s="253"/>
      <x:c r="I16" s="272"/>
      <x:c r="J16" s="253"/>
      <x:c r="K16" s="252"/>
      <x:c r="L16" s="253"/>
      <x:c r="M16" s="253"/>
      <x:c r="N16" s="253"/>
      <x:c r="O16" s="253"/>
      <x:c r="P16" s="253" t="str">
        <x:f>IF(AND(A16="",B16="",H16=""),"",IF(OR(A16="",B16="",C16="",E16="",F16="",H16="",AND(A16="client",COUNTIF('الزبائن'!$A$6:$A$505,B16)=0),AND(A16="proposed_name",COUNTIF('أسماء مقترحة'!$A$6:$A$505,B16)=0)),"REVIEW","READY"))</x:f>
      </x:c>
      <x:c r="Q16" s="255" t="str">
        <x:f>IF(P16="","",IF(P16="READY","",TRIM(IF(A16="","missing entity_type; ","")&amp;IF(B16="","missing entity_key; ","")&amp;IF(C16="","missing referrer_order; ","")&amp;IF(E16="","missing referrer_type; ","")&amp;IF(F16="","missing referral_origin_channel; ","")&amp;IF(H16="","missing referrer_name_snapshot; ","")&amp;IF(AND(A16="client",COUNTIF('الزبائن'!$A$6:$A$505,B16)=0),"client key not found; ","")&amp;IF(AND(A16="proposed_name",COUNTIF('أسماء مقترحة'!$A$6:$A$505,B16)=0),"proposed_name key not found; ",""))))</x:f>
      </x:c>
    </x:row>
    <x:row r="17">
      <x:c r="A17" s="251"/>
      <x:c r="B17" s="252"/>
      <x:c r="C17" s="253"/>
      <x:c r="D17" s="253"/>
      <x:c r="E17" s="253"/>
      <x:c r="F17" s="253"/>
      <x:c r="G17" s="252"/>
      <x:c r="H17" s="253"/>
      <x:c r="I17" s="272"/>
      <x:c r="J17" s="253"/>
      <x:c r="K17" s="252"/>
      <x:c r="L17" s="253"/>
      <x:c r="M17" s="253"/>
      <x:c r="N17" s="253"/>
      <x:c r="O17" s="253"/>
      <x:c r="P17" s="253" t="str">
        <x:f>IF(AND(A17="",B17="",H17=""),"",IF(OR(A17="",B17="",C17="",E17="",F17="",H17="",AND(A17="client",COUNTIF('الزبائن'!$A$6:$A$505,B17)=0),AND(A17="proposed_name",COUNTIF('أسماء مقترحة'!$A$6:$A$505,B17)=0)),"REVIEW","READY"))</x:f>
      </x:c>
      <x:c r="Q17" s="255" t="str">
        <x:f>IF(P17="","",IF(P17="READY","",TRIM(IF(A17="","missing entity_type; ","")&amp;IF(B17="","missing entity_key; ","")&amp;IF(C17="","missing referrer_order; ","")&amp;IF(E17="","missing referrer_type; ","")&amp;IF(F17="","missing referral_origin_channel; ","")&amp;IF(H17="","missing referrer_name_snapshot; ","")&amp;IF(AND(A17="client",COUNTIF('الزبائن'!$A$6:$A$505,B17)=0),"client key not found; ","")&amp;IF(AND(A17="proposed_name",COUNTIF('أسماء مقترحة'!$A$6:$A$505,B17)=0),"proposed_name key not found; ",""))))</x:f>
      </x:c>
    </x:row>
    <x:row r="18">
      <x:c r="A18" s="251"/>
      <x:c r="B18" s="252"/>
      <x:c r="C18" s="253"/>
      <x:c r="D18" s="253"/>
      <x:c r="E18" s="253"/>
      <x:c r="F18" s="253"/>
      <x:c r="G18" s="252"/>
      <x:c r="H18" s="253"/>
      <x:c r="I18" s="272"/>
      <x:c r="J18" s="253"/>
      <x:c r="K18" s="252"/>
      <x:c r="L18" s="253"/>
      <x:c r="M18" s="253"/>
      <x:c r="N18" s="253"/>
      <x:c r="O18" s="253"/>
      <x:c r="P18" s="253" t="str">
        <x:f>IF(AND(A18="",B18="",H18=""),"",IF(OR(A18="",B18="",C18="",E18="",F18="",H18="",AND(A18="client",COUNTIF('الزبائن'!$A$6:$A$505,B18)=0),AND(A18="proposed_name",COUNTIF('أسماء مقترحة'!$A$6:$A$505,B18)=0)),"REVIEW","READY"))</x:f>
      </x:c>
      <x:c r="Q18" s="255" t="str">
        <x:f>IF(P18="","",IF(P18="READY","",TRIM(IF(A18="","missing entity_type; ","")&amp;IF(B18="","missing entity_key; ","")&amp;IF(C18="","missing referrer_order; ","")&amp;IF(E18="","missing referrer_type; ","")&amp;IF(F18="","missing referral_origin_channel; ","")&amp;IF(H18="","missing referrer_name_snapshot; ","")&amp;IF(AND(A18="client",COUNTIF('الزبائن'!$A$6:$A$505,B18)=0),"client key not found; ","")&amp;IF(AND(A18="proposed_name",COUNTIF('أسماء مقترحة'!$A$6:$A$505,B18)=0),"proposed_name key not found; ",""))))</x:f>
      </x:c>
    </x:row>
    <x:row r="19">
      <x:c r="A19" s="251"/>
      <x:c r="B19" s="252"/>
      <x:c r="C19" s="253"/>
      <x:c r="D19" s="253"/>
      <x:c r="E19" s="253"/>
      <x:c r="F19" s="253"/>
      <x:c r="G19" s="252"/>
      <x:c r="H19" s="253"/>
      <x:c r="I19" s="272"/>
      <x:c r="J19" s="253"/>
      <x:c r="K19" s="252"/>
      <x:c r="L19" s="253"/>
      <x:c r="M19" s="253"/>
      <x:c r="N19" s="253"/>
      <x:c r="O19" s="253"/>
      <x:c r="P19" s="253" t="str">
        <x:f>IF(AND(A19="",B19="",H19=""),"",IF(OR(A19="",B19="",C19="",E19="",F19="",H19="",AND(A19="client",COUNTIF('الزبائن'!$A$6:$A$505,B19)=0),AND(A19="proposed_name",COUNTIF('أسماء مقترحة'!$A$6:$A$505,B19)=0)),"REVIEW","READY"))</x:f>
      </x:c>
      <x:c r="Q19" s="255" t="str">
        <x:f>IF(P19="","",IF(P19="READY","",TRIM(IF(A19="","missing entity_type; ","")&amp;IF(B19="","missing entity_key; ","")&amp;IF(C19="","missing referrer_order; ","")&amp;IF(E19="","missing referrer_type; ","")&amp;IF(F19="","missing referral_origin_channel; ","")&amp;IF(H19="","missing referrer_name_snapshot; ","")&amp;IF(AND(A19="client",COUNTIF('الزبائن'!$A$6:$A$505,B19)=0),"client key not found; ","")&amp;IF(AND(A19="proposed_name",COUNTIF('أسماء مقترحة'!$A$6:$A$505,B19)=0),"proposed_name key not found; ",""))))</x:f>
      </x:c>
    </x:row>
    <x:row r="20">
      <x:c r="A20" s="251"/>
      <x:c r="B20" s="252"/>
      <x:c r="C20" s="253"/>
      <x:c r="D20" s="253"/>
      <x:c r="E20" s="253"/>
      <x:c r="F20" s="253"/>
      <x:c r="G20" s="252"/>
      <x:c r="H20" s="253"/>
      <x:c r="I20" s="272"/>
      <x:c r="J20" s="253"/>
      <x:c r="K20" s="252"/>
      <x:c r="L20" s="253"/>
      <x:c r="M20" s="253"/>
      <x:c r="N20" s="253"/>
      <x:c r="O20" s="253"/>
      <x:c r="P20" s="253" t="str">
        <x:f>IF(AND(A20="",B20="",H20=""),"",IF(OR(A20="",B20="",C20="",E20="",F20="",H20="",AND(A20="client",COUNTIF('الزبائن'!$A$6:$A$505,B20)=0),AND(A20="proposed_name",COUNTIF('أسماء مقترحة'!$A$6:$A$505,B20)=0)),"REVIEW","READY"))</x:f>
      </x:c>
      <x:c r="Q20" s="255" t="str">
        <x:f>IF(P20="","",IF(P20="READY","",TRIM(IF(A20="","missing entity_type; ","")&amp;IF(B20="","missing entity_key; ","")&amp;IF(C20="","missing referrer_order; ","")&amp;IF(E20="","missing referrer_type; ","")&amp;IF(F20="","missing referral_origin_channel; ","")&amp;IF(H20="","missing referrer_name_snapshot; ","")&amp;IF(AND(A20="client",COUNTIF('الزبائن'!$A$6:$A$505,B20)=0),"client key not found; ","")&amp;IF(AND(A20="proposed_name",COUNTIF('أسماء مقترحة'!$A$6:$A$505,B20)=0),"proposed_name key not found; ",""))))</x:f>
      </x:c>
    </x:row>
    <x:row r="21">
      <x:c r="A21" s="251"/>
      <x:c r="B21" s="252"/>
      <x:c r="C21" s="253"/>
      <x:c r="D21" s="253"/>
      <x:c r="E21" s="253"/>
      <x:c r="F21" s="253"/>
      <x:c r="G21" s="252"/>
      <x:c r="H21" s="253"/>
      <x:c r="I21" s="272"/>
      <x:c r="J21" s="253"/>
      <x:c r="K21" s="252"/>
      <x:c r="L21" s="253"/>
      <x:c r="M21" s="253"/>
      <x:c r="N21" s="253"/>
      <x:c r="O21" s="253"/>
      <x:c r="P21" s="253" t="str">
        <x:f>IF(AND(A21="",B21="",H21=""),"",IF(OR(A21="",B21="",C21="",E21="",F21="",H21="",AND(A21="client",COUNTIF('الزبائن'!$A$6:$A$505,B21)=0),AND(A21="proposed_name",COUNTIF('أسماء مقترحة'!$A$6:$A$505,B21)=0)),"REVIEW","READY"))</x:f>
      </x:c>
      <x:c r="Q21" s="255" t="str">
        <x:f>IF(P21="","",IF(P21="READY","",TRIM(IF(A21="","missing entity_type; ","")&amp;IF(B21="","missing entity_key; ","")&amp;IF(C21="","missing referrer_order; ","")&amp;IF(E21="","missing referrer_type; ","")&amp;IF(F21="","missing referral_origin_channel; ","")&amp;IF(H21="","missing referrer_name_snapshot; ","")&amp;IF(AND(A21="client",COUNTIF('الزبائن'!$A$6:$A$505,B21)=0),"client key not found; ","")&amp;IF(AND(A21="proposed_name",COUNTIF('أسماء مقترحة'!$A$6:$A$505,B21)=0),"proposed_name key not found; ",""))))</x:f>
      </x:c>
    </x:row>
    <x:row r="22">
      <x:c r="A22" s="251"/>
      <x:c r="B22" s="252"/>
      <x:c r="C22" s="253"/>
      <x:c r="D22" s="253"/>
      <x:c r="E22" s="253"/>
      <x:c r="F22" s="253"/>
      <x:c r="G22" s="252"/>
      <x:c r="H22" s="253"/>
      <x:c r="I22" s="272"/>
      <x:c r="J22" s="253"/>
      <x:c r="K22" s="252"/>
      <x:c r="L22" s="253"/>
      <x:c r="M22" s="253"/>
      <x:c r="N22" s="253"/>
      <x:c r="O22" s="253"/>
      <x:c r="P22" s="253" t="str">
        <x:f>IF(AND(A22="",B22="",H22=""),"",IF(OR(A22="",B22="",C22="",E22="",F22="",H22="",AND(A22="client",COUNTIF('الزبائن'!$A$6:$A$505,B22)=0),AND(A22="proposed_name",COUNTIF('أسماء مقترحة'!$A$6:$A$505,B22)=0)),"REVIEW","READY"))</x:f>
      </x:c>
      <x:c r="Q22" s="255" t="str">
        <x:f>IF(P22="","",IF(P22="READY","",TRIM(IF(A22="","missing entity_type; ","")&amp;IF(B22="","missing entity_key; ","")&amp;IF(C22="","missing referrer_order; ","")&amp;IF(E22="","missing referrer_type; ","")&amp;IF(F22="","missing referral_origin_channel; ","")&amp;IF(H22="","missing referrer_name_snapshot; ","")&amp;IF(AND(A22="client",COUNTIF('الزبائن'!$A$6:$A$505,B22)=0),"client key not found; ","")&amp;IF(AND(A22="proposed_name",COUNTIF('أسماء مقترحة'!$A$6:$A$505,B22)=0),"proposed_name key not found; ",""))))</x:f>
      </x:c>
    </x:row>
    <x:row r="23">
      <x:c r="A23" s="251"/>
      <x:c r="B23" s="252"/>
      <x:c r="C23" s="253"/>
      <x:c r="D23" s="253"/>
      <x:c r="E23" s="253"/>
      <x:c r="F23" s="253"/>
      <x:c r="G23" s="252"/>
      <x:c r="H23" s="253"/>
      <x:c r="I23" s="272"/>
      <x:c r="J23" s="253"/>
      <x:c r="K23" s="252"/>
      <x:c r="L23" s="253"/>
      <x:c r="M23" s="253"/>
      <x:c r="N23" s="253"/>
      <x:c r="O23" s="253"/>
      <x:c r="P23" s="253" t="str">
        <x:f>IF(AND(A23="",B23="",H23=""),"",IF(OR(A23="",B23="",C23="",E23="",F23="",H23="",AND(A23="client",COUNTIF('الزبائن'!$A$6:$A$505,B23)=0),AND(A23="proposed_name",COUNTIF('أسماء مقترحة'!$A$6:$A$505,B23)=0)),"REVIEW","READY"))</x:f>
      </x:c>
      <x:c r="Q23" s="255" t="str">
        <x:f>IF(P23="","",IF(P23="READY","",TRIM(IF(A23="","missing entity_type; ","")&amp;IF(B23="","missing entity_key; ","")&amp;IF(C23="","missing referrer_order; ","")&amp;IF(E23="","missing referrer_type; ","")&amp;IF(F23="","missing referral_origin_channel; ","")&amp;IF(H23="","missing referrer_name_snapshot; ","")&amp;IF(AND(A23="client",COUNTIF('الزبائن'!$A$6:$A$505,B23)=0),"client key not found; ","")&amp;IF(AND(A23="proposed_name",COUNTIF('أسماء مقترحة'!$A$6:$A$505,B23)=0),"proposed_name key not found; ",""))))</x:f>
      </x:c>
    </x:row>
    <x:row r="24">
      <x:c r="A24" s="251"/>
      <x:c r="B24" s="252"/>
      <x:c r="C24" s="253"/>
      <x:c r="D24" s="253"/>
      <x:c r="E24" s="253"/>
      <x:c r="F24" s="253"/>
      <x:c r="G24" s="252"/>
      <x:c r="H24" s="253"/>
      <x:c r="I24" s="272"/>
      <x:c r="J24" s="253"/>
      <x:c r="K24" s="252"/>
      <x:c r="L24" s="253"/>
      <x:c r="M24" s="253"/>
      <x:c r="N24" s="253"/>
      <x:c r="O24" s="253"/>
      <x:c r="P24" s="253" t="str">
        <x:f>IF(AND(A24="",B24="",H24=""),"",IF(OR(A24="",B24="",C24="",E24="",F24="",H24="",AND(A24="client",COUNTIF('الزبائن'!$A$6:$A$505,B24)=0),AND(A24="proposed_name",COUNTIF('أسماء مقترحة'!$A$6:$A$505,B24)=0)),"REVIEW","READY"))</x:f>
      </x:c>
      <x:c r="Q24" s="255" t="str">
        <x:f>IF(P24="","",IF(P24="READY","",TRIM(IF(A24="","missing entity_type; ","")&amp;IF(B24="","missing entity_key; ","")&amp;IF(C24="","missing referrer_order; ","")&amp;IF(E24="","missing referrer_type; ","")&amp;IF(F24="","missing referral_origin_channel; ","")&amp;IF(H24="","missing referrer_name_snapshot; ","")&amp;IF(AND(A24="client",COUNTIF('الزبائن'!$A$6:$A$505,B24)=0),"client key not found; ","")&amp;IF(AND(A24="proposed_name",COUNTIF('أسماء مقترحة'!$A$6:$A$505,B24)=0),"proposed_name key not found; ",""))))</x:f>
      </x:c>
    </x:row>
    <x:row r="25">
      <x:c r="A25" s="251"/>
      <x:c r="B25" s="252"/>
      <x:c r="C25" s="253"/>
      <x:c r="D25" s="253"/>
      <x:c r="E25" s="253"/>
      <x:c r="F25" s="253"/>
      <x:c r="G25" s="252"/>
      <x:c r="H25" s="253"/>
      <x:c r="I25" s="272"/>
      <x:c r="J25" s="253"/>
      <x:c r="K25" s="252"/>
      <x:c r="L25" s="253"/>
      <x:c r="M25" s="253"/>
      <x:c r="N25" s="253"/>
      <x:c r="O25" s="253"/>
      <x:c r="P25" s="253" t="str">
        <x:f>IF(AND(A25="",B25="",H25=""),"",IF(OR(A25="",B25="",C25="",E25="",F25="",H25="",AND(A25="client",COUNTIF('الزبائن'!$A$6:$A$505,B25)=0),AND(A25="proposed_name",COUNTIF('أسماء مقترحة'!$A$6:$A$505,B25)=0)),"REVIEW","READY"))</x:f>
      </x:c>
      <x:c r="Q25" s="255" t="str">
        <x:f>IF(P25="","",IF(P25="READY","",TRIM(IF(A25="","missing entity_type; ","")&amp;IF(B25="","missing entity_key; ","")&amp;IF(C25="","missing referrer_order; ","")&amp;IF(E25="","missing referrer_type; ","")&amp;IF(F25="","missing referral_origin_channel; ","")&amp;IF(H25="","missing referrer_name_snapshot; ","")&amp;IF(AND(A25="client",COUNTIF('الزبائن'!$A$6:$A$505,B25)=0),"client key not found; ","")&amp;IF(AND(A25="proposed_name",COUNTIF('أسماء مقترحة'!$A$6:$A$505,B25)=0),"proposed_name key not found; ",""))))</x:f>
      </x:c>
    </x:row>
    <x:row r="26">
      <x:c r="A26" s="251"/>
      <x:c r="B26" s="252"/>
      <x:c r="C26" s="253"/>
      <x:c r="D26" s="253"/>
      <x:c r="E26" s="253"/>
      <x:c r="F26" s="253"/>
      <x:c r="G26" s="252"/>
      <x:c r="H26" s="253"/>
      <x:c r="I26" s="272"/>
      <x:c r="J26" s="253"/>
      <x:c r="K26" s="252"/>
      <x:c r="L26" s="253"/>
      <x:c r="M26" s="253"/>
      <x:c r="N26" s="253"/>
      <x:c r="O26" s="253"/>
      <x:c r="P26" s="253" t="str">
        <x:f>IF(AND(A26="",B26="",H26=""),"",IF(OR(A26="",B26="",C26="",E26="",F26="",H26="",AND(A26="client",COUNTIF('الزبائن'!$A$6:$A$505,B26)=0),AND(A26="proposed_name",COUNTIF('أسماء مقترحة'!$A$6:$A$505,B26)=0)),"REVIEW","READY"))</x:f>
      </x:c>
      <x:c r="Q26" s="255" t="str">
        <x:f>IF(P26="","",IF(P26="READY","",TRIM(IF(A26="","missing entity_type; ","")&amp;IF(B26="","missing entity_key; ","")&amp;IF(C26="","missing referrer_order; ","")&amp;IF(E26="","missing referrer_type; ","")&amp;IF(F26="","missing referral_origin_channel; ","")&amp;IF(H26="","missing referrer_name_snapshot; ","")&amp;IF(AND(A26="client",COUNTIF('الزبائن'!$A$6:$A$505,B26)=0),"client key not found; ","")&amp;IF(AND(A26="proposed_name",COUNTIF('أسماء مقترحة'!$A$6:$A$505,B26)=0),"proposed_name key not found; ",""))))</x:f>
      </x:c>
    </x:row>
    <x:row r="27">
      <x:c r="A27" s="251"/>
      <x:c r="B27" s="252"/>
      <x:c r="C27" s="253"/>
      <x:c r="D27" s="253"/>
      <x:c r="E27" s="253"/>
      <x:c r="F27" s="253"/>
      <x:c r="G27" s="252"/>
      <x:c r="H27" s="253"/>
      <x:c r="I27" s="272"/>
      <x:c r="J27" s="253"/>
      <x:c r="K27" s="252"/>
      <x:c r="L27" s="253"/>
      <x:c r="M27" s="253"/>
      <x:c r="N27" s="253"/>
      <x:c r="O27" s="253"/>
      <x:c r="P27" s="253" t="str">
        <x:f>IF(AND(A27="",B27="",H27=""),"",IF(OR(A27="",B27="",C27="",E27="",F27="",H27="",AND(A27="client",COUNTIF('الزبائن'!$A$6:$A$505,B27)=0),AND(A27="proposed_name",COUNTIF('أسماء مقترحة'!$A$6:$A$505,B27)=0)),"REVIEW","READY"))</x:f>
      </x:c>
      <x:c r="Q27" s="255" t="str">
        <x:f>IF(P27="","",IF(P27="READY","",TRIM(IF(A27="","missing entity_type; ","")&amp;IF(B27="","missing entity_key; ","")&amp;IF(C27="","missing referrer_order; ","")&amp;IF(E27="","missing referrer_type; ","")&amp;IF(F27="","missing referral_origin_channel; ","")&amp;IF(H27="","missing referrer_name_snapshot; ","")&amp;IF(AND(A27="client",COUNTIF('الزبائن'!$A$6:$A$505,B27)=0),"client key not found; ","")&amp;IF(AND(A27="proposed_name",COUNTIF('أسماء مقترحة'!$A$6:$A$505,B27)=0),"proposed_name key not found; ",""))))</x:f>
      </x:c>
    </x:row>
    <x:row r="28">
      <x:c r="A28" s="251"/>
      <x:c r="B28" s="252"/>
      <x:c r="C28" s="253"/>
      <x:c r="D28" s="253"/>
      <x:c r="E28" s="253"/>
      <x:c r="F28" s="253"/>
      <x:c r="G28" s="252"/>
      <x:c r="H28" s="253"/>
      <x:c r="I28" s="272"/>
      <x:c r="J28" s="253"/>
      <x:c r="K28" s="252"/>
      <x:c r="L28" s="253"/>
      <x:c r="M28" s="253"/>
      <x:c r="N28" s="253"/>
      <x:c r="O28" s="253"/>
      <x:c r="P28" s="253" t="str">
        <x:f>IF(AND(A28="",B28="",H28=""),"",IF(OR(A28="",B28="",C28="",E28="",F28="",H28="",AND(A28="client",COUNTIF('الزبائن'!$A$6:$A$505,B28)=0),AND(A28="proposed_name",COUNTIF('أسماء مقترحة'!$A$6:$A$505,B28)=0)),"REVIEW","READY"))</x:f>
      </x:c>
      <x:c r="Q28" s="255" t="str">
        <x:f>IF(P28="","",IF(P28="READY","",TRIM(IF(A28="","missing entity_type; ","")&amp;IF(B28="","missing entity_key; ","")&amp;IF(C28="","missing referrer_order; ","")&amp;IF(E28="","missing referrer_type; ","")&amp;IF(F28="","missing referral_origin_channel; ","")&amp;IF(H28="","missing referrer_name_snapshot; ","")&amp;IF(AND(A28="client",COUNTIF('الزبائن'!$A$6:$A$505,B28)=0),"client key not found; ","")&amp;IF(AND(A28="proposed_name",COUNTIF('أسماء مقترحة'!$A$6:$A$505,B28)=0),"proposed_name key not found; ",""))))</x:f>
      </x:c>
    </x:row>
    <x:row r="29">
      <x:c r="A29" s="251"/>
      <x:c r="B29" s="252"/>
      <x:c r="C29" s="253"/>
      <x:c r="D29" s="253"/>
      <x:c r="E29" s="253"/>
      <x:c r="F29" s="253"/>
      <x:c r="G29" s="252"/>
      <x:c r="H29" s="253"/>
      <x:c r="I29" s="272"/>
      <x:c r="J29" s="253"/>
      <x:c r="K29" s="252"/>
      <x:c r="L29" s="253"/>
      <x:c r="M29" s="253"/>
      <x:c r="N29" s="253"/>
      <x:c r="O29" s="253"/>
      <x:c r="P29" s="253" t="str">
        <x:f>IF(AND(A29="",B29="",H29=""),"",IF(OR(A29="",B29="",C29="",E29="",F29="",H29="",AND(A29="client",COUNTIF('الزبائن'!$A$6:$A$505,B29)=0),AND(A29="proposed_name",COUNTIF('أسماء مقترحة'!$A$6:$A$505,B29)=0)),"REVIEW","READY"))</x:f>
      </x:c>
      <x:c r="Q29" s="255" t="str">
        <x:f>IF(P29="","",IF(P29="READY","",TRIM(IF(A29="","missing entity_type; ","")&amp;IF(B29="","missing entity_key; ","")&amp;IF(C29="","missing referrer_order; ","")&amp;IF(E29="","missing referrer_type; ","")&amp;IF(F29="","missing referral_origin_channel; ","")&amp;IF(H29="","missing referrer_name_snapshot; ","")&amp;IF(AND(A29="client",COUNTIF('الزبائن'!$A$6:$A$505,B29)=0),"client key not found; ","")&amp;IF(AND(A29="proposed_name",COUNTIF('أسماء مقترحة'!$A$6:$A$505,B29)=0),"proposed_name key not found; ",""))))</x:f>
      </x:c>
    </x:row>
    <x:row r="30">
      <x:c r="A30" s="251"/>
      <x:c r="B30" s="252"/>
      <x:c r="C30" s="253"/>
      <x:c r="D30" s="253"/>
      <x:c r="E30" s="253"/>
      <x:c r="F30" s="253"/>
      <x:c r="G30" s="252"/>
      <x:c r="H30" s="253"/>
      <x:c r="I30" s="272"/>
      <x:c r="J30" s="253"/>
      <x:c r="K30" s="252"/>
      <x:c r="L30" s="253"/>
      <x:c r="M30" s="253"/>
      <x:c r="N30" s="253"/>
      <x:c r="O30" s="253"/>
      <x:c r="P30" s="253" t="str">
        <x:f>IF(AND(A30="",B30="",H30=""),"",IF(OR(A30="",B30="",C30="",E30="",F30="",H30="",AND(A30="client",COUNTIF('الزبائن'!$A$6:$A$505,B30)=0),AND(A30="proposed_name",COUNTIF('أسماء مقترحة'!$A$6:$A$505,B30)=0)),"REVIEW","READY"))</x:f>
      </x:c>
      <x:c r="Q30" s="255" t="str">
        <x:f>IF(P30="","",IF(P30="READY","",TRIM(IF(A30="","missing entity_type; ","")&amp;IF(B30="","missing entity_key; ","")&amp;IF(C30="","missing referrer_order; ","")&amp;IF(E30="","missing referrer_type; ","")&amp;IF(F30="","missing referral_origin_channel; ","")&amp;IF(H30="","missing referrer_name_snapshot; ","")&amp;IF(AND(A30="client",COUNTIF('الزبائن'!$A$6:$A$505,B30)=0),"client key not found; ","")&amp;IF(AND(A30="proposed_name",COUNTIF('أسماء مقترحة'!$A$6:$A$505,B30)=0),"proposed_name key not found; ",""))))</x:f>
      </x:c>
    </x:row>
    <x:row r="31">
      <x:c r="A31" s="251"/>
      <x:c r="B31" s="252"/>
      <x:c r="C31" s="253"/>
      <x:c r="D31" s="253"/>
      <x:c r="E31" s="253"/>
      <x:c r="F31" s="253"/>
      <x:c r="G31" s="252"/>
      <x:c r="H31" s="253"/>
      <x:c r="I31" s="272"/>
      <x:c r="J31" s="253"/>
      <x:c r="K31" s="252"/>
      <x:c r="L31" s="253"/>
      <x:c r="M31" s="253"/>
      <x:c r="N31" s="253"/>
      <x:c r="O31" s="253"/>
      <x:c r="P31" s="253" t="str">
        <x:f>IF(AND(A31="",B31="",H31=""),"",IF(OR(A31="",B31="",C31="",E31="",F31="",H31="",AND(A31="client",COUNTIF('الزبائن'!$A$6:$A$505,B31)=0),AND(A31="proposed_name",COUNTIF('أسماء مقترحة'!$A$6:$A$505,B31)=0)),"REVIEW","READY"))</x:f>
      </x:c>
      <x:c r="Q31" s="255" t="str">
        <x:f>IF(P31="","",IF(P31="READY","",TRIM(IF(A31="","missing entity_type; ","")&amp;IF(B31="","missing entity_key; ","")&amp;IF(C31="","missing referrer_order; ","")&amp;IF(E31="","missing referrer_type; ","")&amp;IF(F31="","missing referral_origin_channel; ","")&amp;IF(H31="","missing referrer_name_snapshot; ","")&amp;IF(AND(A31="client",COUNTIF('الزبائن'!$A$6:$A$505,B31)=0),"client key not found; ","")&amp;IF(AND(A31="proposed_name",COUNTIF('أسماء مقترحة'!$A$6:$A$505,B31)=0),"proposed_name key not found; ",""))))</x:f>
      </x:c>
    </x:row>
    <x:row r="32">
      <x:c r="A32" s="251"/>
      <x:c r="B32" s="252"/>
      <x:c r="C32" s="253"/>
      <x:c r="D32" s="253"/>
      <x:c r="E32" s="253"/>
      <x:c r="F32" s="253"/>
      <x:c r="G32" s="252"/>
      <x:c r="H32" s="253"/>
      <x:c r="I32" s="272"/>
      <x:c r="J32" s="253"/>
      <x:c r="K32" s="252"/>
      <x:c r="L32" s="253"/>
      <x:c r="M32" s="253"/>
      <x:c r="N32" s="253"/>
      <x:c r="O32" s="253"/>
      <x:c r="P32" s="253" t="str">
        <x:f>IF(AND(A32="",B32="",H32=""),"",IF(OR(A32="",B32="",C32="",E32="",F32="",H32="",AND(A32="client",COUNTIF('الزبائن'!$A$6:$A$505,B32)=0),AND(A32="proposed_name",COUNTIF('أسماء مقترحة'!$A$6:$A$505,B32)=0)),"REVIEW","READY"))</x:f>
      </x:c>
      <x:c r="Q32" s="255" t="str">
        <x:f>IF(P32="","",IF(P32="READY","",TRIM(IF(A32="","missing entity_type; ","")&amp;IF(B32="","missing entity_key; ","")&amp;IF(C32="","missing referrer_order; ","")&amp;IF(E32="","missing referrer_type; ","")&amp;IF(F32="","missing referral_origin_channel; ","")&amp;IF(H32="","missing referrer_name_snapshot; ","")&amp;IF(AND(A32="client",COUNTIF('الزبائن'!$A$6:$A$505,B32)=0),"client key not found; ","")&amp;IF(AND(A32="proposed_name",COUNTIF('أسماء مقترحة'!$A$6:$A$505,B32)=0),"proposed_name key not found; ",""))))</x:f>
      </x:c>
    </x:row>
    <x:row r="33">
      <x:c r="A33" s="251"/>
      <x:c r="B33" s="252"/>
      <x:c r="C33" s="253"/>
      <x:c r="D33" s="253"/>
      <x:c r="E33" s="253"/>
      <x:c r="F33" s="253"/>
      <x:c r="G33" s="252"/>
      <x:c r="H33" s="253"/>
      <x:c r="I33" s="272"/>
      <x:c r="J33" s="253"/>
      <x:c r="K33" s="252"/>
      <x:c r="L33" s="253"/>
      <x:c r="M33" s="253"/>
      <x:c r="N33" s="253"/>
      <x:c r="O33" s="253"/>
      <x:c r="P33" s="253" t="str">
        <x:f>IF(AND(A33="",B33="",H33=""),"",IF(OR(A33="",B33="",C33="",E33="",F33="",H33="",AND(A33="client",COUNTIF('الزبائن'!$A$6:$A$505,B33)=0),AND(A33="proposed_name",COUNTIF('أسماء مقترحة'!$A$6:$A$505,B33)=0)),"REVIEW","READY"))</x:f>
      </x:c>
      <x:c r="Q33" s="255" t="str">
        <x:f>IF(P33="","",IF(P33="READY","",TRIM(IF(A33="","missing entity_type; ","")&amp;IF(B33="","missing entity_key; ","")&amp;IF(C33="","missing referrer_order; ","")&amp;IF(E33="","missing referrer_type; ","")&amp;IF(F33="","missing referral_origin_channel; ","")&amp;IF(H33="","missing referrer_name_snapshot; ","")&amp;IF(AND(A33="client",COUNTIF('الزبائن'!$A$6:$A$505,B33)=0),"client key not found; ","")&amp;IF(AND(A33="proposed_name",COUNTIF('أسماء مقترحة'!$A$6:$A$505,B33)=0),"proposed_name key not found; ",""))))</x:f>
      </x:c>
    </x:row>
    <x:row r="34">
      <x:c r="A34" s="251"/>
      <x:c r="B34" s="252"/>
      <x:c r="C34" s="253"/>
      <x:c r="D34" s="253"/>
      <x:c r="E34" s="253"/>
      <x:c r="F34" s="253"/>
      <x:c r="G34" s="252"/>
      <x:c r="H34" s="253"/>
      <x:c r="I34" s="272"/>
      <x:c r="J34" s="253"/>
      <x:c r="K34" s="252"/>
      <x:c r="L34" s="253"/>
      <x:c r="M34" s="253"/>
      <x:c r="N34" s="253"/>
      <x:c r="O34" s="253"/>
      <x:c r="P34" s="253" t="str">
        <x:f>IF(AND(A34="",B34="",H34=""),"",IF(OR(A34="",B34="",C34="",E34="",F34="",H34="",AND(A34="client",COUNTIF('الزبائن'!$A$6:$A$505,B34)=0),AND(A34="proposed_name",COUNTIF('أسماء مقترحة'!$A$6:$A$505,B34)=0)),"REVIEW","READY"))</x:f>
      </x:c>
      <x:c r="Q34" s="255" t="str">
        <x:f>IF(P34="","",IF(P34="READY","",TRIM(IF(A34="","missing entity_type; ","")&amp;IF(B34="","missing entity_key; ","")&amp;IF(C34="","missing referrer_order; ","")&amp;IF(E34="","missing referrer_type; ","")&amp;IF(F34="","missing referral_origin_channel; ","")&amp;IF(H34="","missing referrer_name_snapshot; ","")&amp;IF(AND(A34="client",COUNTIF('الزبائن'!$A$6:$A$505,B34)=0),"client key not found; ","")&amp;IF(AND(A34="proposed_name",COUNTIF('أسماء مقترحة'!$A$6:$A$505,B34)=0),"proposed_name key not found; ",""))))</x:f>
      </x:c>
    </x:row>
    <x:row r="35">
      <x:c r="A35" s="251"/>
      <x:c r="B35" s="252"/>
      <x:c r="C35" s="253"/>
      <x:c r="D35" s="253"/>
      <x:c r="E35" s="253"/>
      <x:c r="F35" s="253"/>
      <x:c r="G35" s="252"/>
      <x:c r="H35" s="253"/>
      <x:c r="I35" s="272"/>
      <x:c r="J35" s="253"/>
      <x:c r="K35" s="252"/>
      <x:c r="L35" s="253"/>
      <x:c r="M35" s="253"/>
      <x:c r="N35" s="253"/>
      <x:c r="O35" s="253"/>
      <x:c r="P35" s="253" t="str">
        <x:f>IF(AND(A35="",B35="",H35=""),"",IF(OR(A35="",B35="",C35="",E35="",F35="",H35="",AND(A35="client",COUNTIF('الزبائن'!$A$6:$A$505,B35)=0),AND(A35="proposed_name",COUNTIF('أسماء مقترحة'!$A$6:$A$505,B35)=0)),"REVIEW","READY"))</x:f>
      </x:c>
      <x:c r="Q35" s="255" t="str">
        <x:f>IF(P35="","",IF(P35="READY","",TRIM(IF(A35="","missing entity_type; ","")&amp;IF(B35="","missing entity_key; ","")&amp;IF(C35="","missing referrer_order; ","")&amp;IF(E35="","missing referrer_type; ","")&amp;IF(F35="","missing referral_origin_channel; ","")&amp;IF(H35="","missing referrer_name_snapshot; ","")&amp;IF(AND(A35="client",COUNTIF('الزبائن'!$A$6:$A$505,B35)=0),"client key not found; ","")&amp;IF(AND(A35="proposed_name",COUNTIF('أسماء مقترحة'!$A$6:$A$505,B35)=0),"proposed_name key not found; ",""))))</x:f>
      </x:c>
    </x:row>
    <x:row r="36">
      <x:c r="A36" s="251"/>
      <x:c r="B36" s="252"/>
      <x:c r="C36" s="253"/>
      <x:c r="D36" s="253"/>
      <x:c r="E36" s="253"/>
      <x:c r="F36" s="253"/>
      <x:c r="G36" s="252"/>
      <x:c r="H36" s="253"/>
      <x:c r="I36" s="272"/>
      <x:c r="J36" s="253"/>
      <x:c r="K36" s="252"/>
      <x:c r="L36" s="253"/>
      <x:c r="M36" s="253"/>
      <x:c r="N36" s="253"/>
      <x:c r="O36" s="253"/>
      <x:c r="P36" s="253" t="str">
        <x:f>IF(AND(A36="",B36="",H36=""),"",IF(OR(A36="",B36="",C36="",E36="",F36="",H36="",AND(A36="client",COUNTIF('الزبائن'!$A$6:$A$505,B36)=0),AND(A36="proposed_name",COUNTIF('أسماء مقترحة'!$A$6:$A$505,B36)=0)),"REVIEW","READY"))</x:f>
      </x:c>
      <x:c r="Q36" s="255" t="str">
        <x:f>IF(P36="","",IF(P36="READY","",TRIM(IF(A36="","missing entity_type; ","")&amp;IF(B36="","missing entity_key; ","")&amp;IF(C36="","missing referrer_order; ","")&amp;IF(E36="","missing referrer_type; ","")&amp;IF(F36="","missing referral_origin_channel; ","")&amp;IF(H36="","missing referrer_name_snapshot; ","")&amp;IF(AND(A36="client",COUNTIF('الزبائن'!$A$6:$A$505,B36)=0),"client key not found; ","")&amp;IF(AND(A36="proposed_name",COUNTIF('أسماء مقترحة'!$A$6:$A$505,B36)=0),"proposed_name key not found; ",""))))</x:f>
      </x:c>
    </x:row>
    <x:row r="37">
      <x:c r="A37" s="251"/>
      <x:c r="B37" s="252"/>
      <x:c r="C37" s="253"/>
      <x:c r="D37" s="253"/>
      <x:c r="E37" s="253"/>
      <x:c r="F37" s="253"/>
      <x:c r="G37" s="252"/>
      <x:c r="H37" s="253"/>
      <x:c r="I37" s="272"/>
      <x:c r="J37" s="253"/>
      <x:c r="K37" s="252"/>
      <x:c r="L37" s="253"/>
      <x:c r="M37" s="253"/>
      <x:c r="N37" s="253"/>
      <x:c r="O37" s="253"/>
      <x:c r="P37" s="253" t="str">
        <x:f>IF(AND(A37="",B37="",H37=""),"",IF(OR(A37="",B37="",C37="",E37="",F37="",H37="",AND(A37="client",COUNTIF('الزبائن'!$A$6:$A$505,B37)=0),AND(A37="proposed_name",COUNTIF('أسماء مقترحة'!$A$6:$A$505,B37)=0)),"REVIEW","READY"))</x:f>
      </x:c>
      <x:c r="Q37" s="255" t="str">
        <x:f>IF(P37="","",IF(P37="READY","",TRIM(IF(A37="","missing entity_type; ","")&amp;IF(B37="","missing entity_key; ","")&amp;IF(C37="","missing referrer_order; ","")&amp;IF(E37="","missing referrer_type; ","")&amp;IF(F37="","missing referral_origin_channel; ","")&amp;IF(H37="","missing referrer_name_snapshot; ","")&amp;IF(AND(A37="client",COUNTIF('الزبائن'!$A$6:$A$505,B37)=0),"client key not found; ","")&amp;IF(AND(A37="proposed_name",COUNTIF('أسماء مقترحة'!$A$6:$A$505,B37)=0),"proposed_name key not found; ",""))))</x:f>
      </x:c>
    </x:row>
    <x:row r="38">
      <x:c r="A38" s="251"/>
      <x:c r="B38" s="252"/>
      <x:c r="C38" s="253"/>
      <x:c r="D38" s="253"/>
      <x:c r="E38" s="253"/>
      <x:c r="F38" s="253"/>
      <x:c r="G38" s="252"/>
      <x:c r="H38" s="253"/>
      <x:c r="I38" s="272"/>
      <x:c r="J38" s="253"/>
      <x:c r="K38" s="252"/>
      <x:c r="L38" s="253"/>
      <x:c r="M38" s="253"/>
      <x:c r="N38" s="253"/>
      <x:c r="O38" s="253"/>
      <x:c r="P38" s="253" t="str">
        <x:f>IF(AND(A38="",B38="",H38=""),"",IF(OR(A38="",B38="",C38="",E38="",F38="",H38="",AND(A38="client",COUNTIF('الزبائن'!$A$6:$A$505,B38)=0),AND(A38="proposed_name",COUNTIF('أسماء مقترحة'!$A$6:$A$505,B38)=0)),"REVIEW","READY"))</x:f>
      </x:c>
      <x:c r="Q38" s="255" t="str">
        <x:f>IF(P38="","",IF(P38="READY","",TRIM(IF(A38="","missing entity_type; ","")&amp;IF(B38="","missing entity_key; ","")&amp;IF(C38="","missing referrer_order; ","")&amp;IF(E38="","missing referrer_type; ","")&amp;IF(F38="","missing referral_origin_channel; ","")&amp;IF(H38="","missing referrer_name_snapshot; ","")&amp;IF(AND(A38="client",COUNTIF('الزبائن'!$A$6:$A$505,B38)=0),"client key not found; ","")&amp;IF(AND(A38="proposed_name",COUNTIF('أسماء مقترحة'!$A$6:$A$505,B38)=0),"proposed_name key not found; ",""))))</x:f>
      </x:c>
    </x:row>
    <x:row r="39">
      <x:c r="A39" s="251"/>
      <x:c r="B39" s="252"/>
      <x:c r="C39" s="253"/>
      <x:c r="D39" s="253"/>
      <x:c r="E39" s="253"/>
      <x:c r="F39" s="253"/>
      <x:c r="G39" s="252"/>
      <x:c r="H39" s="253"/>
      <x:c r="I39" s="272"/>
      <x:c r="J39" s="253"/>
      <x:c r="K39" s="252"/>
      <x:c r="L39" s="253"/>
      <x:c r="M39" s="253"/>
      <x:c r="N39" s="253"/>
      <x:c r="O39" s="253"/>
      <x:c r="P39" s="253" t="str">
        <x:f>IF(AND(A39="",B39="",H39=""),"",IF(OR(A39="",B39="",C39="",E39="",F39="",H39="",AND(A39="client",COUNTIF('الزبائن'!$A$6:$A$505,B39)=0),AND(A39="proposed_name",COUNTIF('أسماء مقترحة'!$A$6:$A$505,B39)=0)),"REVIEW","READY"))</x:f>
      </x:c>
      <x:c r="Q39" s="255" t="str">
        <x:f>IF(P39="","",IF(P39="READY","",TRIM(IF(A39="","missing entity_type; ","")&amp;IF(B39="","missing entity_key; ","")&amp;IF(C39="","missing referrer_order; ","")&amp;IF(E39="","missing referrer_type; ","")&amp;IF(F39="","missing referral_origin_channel; ","")&amp;IF(H39="","missing referrer_name_snapshot; ","")&amp;IF(AND(A39="client",COUNTIF('الزبائن'!$A$6:$A$505,B39)=0),"client key not found; ","")&amp;IF(AND(A39="proposed_name",COUNTIF('أسماء مقترحة'!$A$6:$A$505,B39)=0),"proposed_name key not found; ",""))))</x:f>
      </x:c>
    </x:row>
    <x:row r="40">
      <x:c r="A40" s="251"/>
      <x:c r="B40" s="252"/>
      <x:c r="C40" s="253"/>
      <x:c r="D40" s="253"/>
      <x:c r="E40" s="253"/>
      <x:c r="F40" s="253"/>
      <x:c r="G40" s="252"/>
      <x:c r="H40" s="253"/>
      <x:c r="I40" s="272"/>
      <x:c r="J40" s="253"/>
      <x:c r="K40" s="252"/>
      <x:c r="L40" s="253"/>
      <x:c r="M40" s="253"/>
      <x:c r="N40" s="253"/>
      <x:c r="O40" s="253"/>
      <x:c r="P40" s="253" t="str">
        <x:f>IF(AND(A40="",B40="",H40=""),"",IF(OR(A40="",B40="",C40="",E40="",F40="",H40="",AND(A40="client",COUNTIF('الزبائن'!$A$6:$A$505,B40)=0),AND(A40="proposed_name",COUNTIF('أسماء مقترحة'!$A$6:$A$505,B40)=0)),"REVIEW","READY"))</x:f>
      </x:c>
      <x:c r="Q40" s="255" t="str">
        <x:f>IF(P40="","",IF(P40="READY","",TRIM(IF(A40="","missing entity_type; ","")&amp;IF(B40="","missing entity_key; ","")&amp;IF(C40="","missing referrer_order; ","")&amp;IF(E40="","missing referrer_type; ","")&amp;IF(F40="","missing referral_origin_channel; ","")&amp;IF(H40="","missing referrer_name_snapshot; ","")&amp;IF(AND(A40="client",COUNTIF('الزبائن'!$A$6:$A$505,B40)=0),"client key not found; ","")&amp;IF(AND(A40="proposed_name",COUNTIF('أسماء مقترحة'!$A$6:$A$505,B40)=0),"proposed_name key not found; ",""))))</x:f>
      </x:c>
    </x:row>
    <x:row r="41">
      <x:c r="A41" s="251"/>
      <x:c r="B41" s="252"/>
      <x:c r="C41" s="253"/>
      <x:c r="D41" s="253"/>
      <x:c r="E41" s="253"/>
      <x:c r="F41" s="253"/>
      <x:c r="G41" s="252"/>
      <x:c r="H41" s="253"/>
      <x:c r="I41" s="272"/>
      <x:c r="J41" s="253"/>
      <x:c r="K41" s="252"/>
      <x:c r="L41" s="253"/>
      <x:c r="M41" s="253"/>
      <x:c r="N41" s="253"/>
      <x:c r="O41" s="253"/>
      <x:c r="P41" s="253" t="str">
        <x:f>IF(AND(A41="",B41="",H41=""),"",IF(OR(A41="",B41="",C41="",E41="",F41="",H41="",AND(A41="client",COUNTIF('الزبائن'!$A$6:$A$505,B41)=0),AND(A41="proposed_name",COUNTIF('أسماء مقترحة'!$A$6:$A$505,B41)=0)),"REVIEW","READY"))</x:f>
      </x:c>
      <x:c r="Q41" s="255" t="str">
        <x:f>IF(P41="","",IF(P41="READY","",TRIM(IF(A41="","missing entity_type; ","")&amp;IF(B41="","missing entity_key; ","")&amp;IF(C41="","missing referrer_order; ","")&amp;IF(E41="","missing referrer_type; ","")&amp;IF(F41="","missing referral_origin_channel; ","")&amp;IF(H41="","missing referrer_name_snapshot; ","")&amp;IF(AND(A41="client",COUNTIF('الزبائن'!$A$6:$A$505,B41)=0),"client key not found; ","")&amp;IF(AND(A41="proposed_name",COUNTIF('أسماء مقترحة'!$A$6:$A$505,B41)=0),"proposed_name key not found; ",""))))</x:f>
      </x:c>
    </x:row>
    <x:row r="42">
      <x:c r="A42" s="251"/>
      <x:c r="B42" s="252"/>
      <x:c r="C42" s="253"/>
      <x:c r="D42" s="253"/>
      <x:c r="E42" s="253"/>
      <x:c r="F42" s="253"/>
      <x:c r="G42" s="252"/>
      <x:c r="H42" s="253"/>
      <x:c r="I42" s="272"/>
      <x:c r="J42" s="253"/>
      <x:c r="K42" s="252"/>
      <x:c r="L42" s="253"/>
      <x:c r="M42" s="253"/>
      <x:c r="N42" s="253"/>
      <x:c r="O42" s="253"/>
      <x:c r="P42" s="253" t="str">
        <x:f>IF(AND(A42="",B42="",H42=""),"",IF(OR(A42="",B42="",C42="",E42="",F42="",H42="",AND(A42="client",COUNTIF('الزبائن'!$A$6:$A$505,B42)=0),AND(A42="proposed_name",COUNTIF('أسماء مقترحة'!$A$6:$A$505,B42)=0)),"REVIEW","READY"))</x:f>
      </x:c>
      <x:c r="Q42" s="255" t="str">
        <x:f>IF(P42="","",IF(P42="READY","",TRIM(IF(A42="","missing entity_type; ","")&amp;IF(B42="","missing entity_key; ","")&amp;IF(C42="","missing referrer_order; ","")&amp;IF(E42="","missing referrer_type; ","")&amp;IF(F42="","missing referral_origin_channel; ","")&amp;IF(H42="","missing referrer_name_snapshot; ","")&amp;IF(AND(A42="client",COUNTIF('الزبائن'!$A$6:$A$505,B42)=0),"client key not found; ","")&amp;IF(AND(A42="proposed_name",COUNTIF('أسماء مقترحة'!$A$6:$A$505,B42)=0),"proposed_name key not found; ",""))))</x:f>
      </x:c>
    </x:row>
    <x:row r="43">
      <x:c r="A43" s="251"/>
      <x:c r="B43" s="252"/>
      <x:c r="C43" s="253"/>
      <x:c r="D43" s="253"/>
      <x:c r="E43" s="253"/>
      <x:c r="F43" s="253"/>
      <x:c r="G43" s="252"/>
      <x:c r="H43" s="253"/>
      <x:c r="I43" s="272"/>
      <x:c r="J43" s="253"/>
      <x:c r="K43" s="252"/>
      <x:c r="L43" s="253"/>
      <x:c r="M43" s="253"/>
      <x:c r="N43" s="253"/>
      <x:c r="O43" s="253"/>
      <x:c r="P43" s="253" t="str">
        <x:f>IF(AND(A43="",B43="",H43=""),"",IF(OR(A43="",B43="",C43="",E43="",F43="",H43="",AND(A43="client",COUNTIF('الزبائن'!$A$6:$A$505,B43)=0),AND(A43="proposed_name",COUNTIF('أسماء مقترحة'!$A$6:$A$505,B43)=0)),"REVIEW","READY"))</x:f>
      </x:c>
      <x:c r="Q43" s="255" t="str">
        <x:f>IF(P43="","",IF(P43="READY","",TRIM(IF(A43="","missing entity_type; ","")&amp;IF(B43="","missing entity_key; ","")&amp;IF(C43="","missing referrer_order; ","")&amp;IF(E43="","missing referrer_type; ","")&amp;IF(F43="","missing referral_origin_channel; ","")&amp;IF(H43="","missing referrer_name_snapshot; ","")&amp;IF(AND(A43="client",COUNTIF('الزبائن'!$A$6:$A$505,B43)=0),"client key not found; ","")&amp;IF(AND(A43="proposed_name",COUNTIF('أسماء مقترحة'!$A$6:$A$505,B43)=0),"proposed_name key not found; ",""))))</x:f>
      </x:c>
    </x:row>
    <x:row r="44">
      <x:c r="A44" s="251"/>
      <x:c r="B44" s="252"/>
      <x:c r="C44" s="253"/>
      <x:c r="D44" s="253"/>
      <x:c r="E44" s="253"/>
      <x:c r="F44" s="253"/>
      <x:c r="G44" s="252"/>
      <x:c r="H44" s="253"/>
      <x:c r="I44" s="272"/>
      <x:c r="J44" s="253"/>
      <x:c r="K44" s="252"/>
      <x:c r="L44" s="253"/>
      <x:c r="M44" s="253"/>
      <x:c r="N44" s="253"/>
      <x:c r="O44" s="253"/>
      <x:c r="P44" s="253" t="str">
        <x:f>IF(AND(A44="",B44="",H44=""),"",IF(OR(A44="",B44="",C44="",E44="",F44="",H44="",AND(A44="client",COUNTIF('الزبائن'!$A$6:$A$505,B44)=0),AND(A44="proposed_name",COUNTIF('أسماء مقترحة'!$A$6:$A$505,B44)=0)),"REVIEW","READY"))</x:f>
      </x:c>
      <x:c r="Q44" s="255" t="str">
        <x:f>IF(P44="","",IF(P44="READY","",TRIM(IF(A44="","missing entity_type; ","")&amp;IF(B44="","missing entity_key; ","")&amp;IF(C44="","missing referrer_order; ","")&amp;IF(E44="","missing referrer_type; ","")&amp;IF(F44="","missing referral_origin_channel; ","")&amp;IF(H44="","missing referrer_name_snapshot; ","")&amp;IF(AND(A44="client",COUNTIF('الزبائن'!$A$6:$A$505,B44)=0),"client key not found; ","")&amp;IF(AND(A44="proposed_name",COUNTIF('أسماء مقترحة'!$A$6:$A$505,B44)=0),"proposed_name key not found; ",""))))</x:f>
      </x:c>
    </x:row>
    <x:row r="45">
      <x:c r="A45" s="251"/>
      <x:c r="B45" s="252"/>
      <x:c r="C45" s="253"/>
      <x:c r="D45" s="253"/>
      <x:c r="E45" s="253"/>
      <x:c r="F45" s="253"/>
      <x:c r="G45" s="252"/>
      <x:c r="H45" s="253"/>
      <x:c r="I45" s="272"/>
      <x:c r="J45" s="253"/>
      <x:c r="K45" s="252"/>
      <x:c r="L45" s="253"/>
      <x:c r="M45" s="253"/>
      <x:c r="N45" s="253"/>
      <x:c r="O45" s="253"/>
      <x:c r="P45" s="253" t="str">
        <x:f>IF(AND(A45="",B45="",H45=""),"",IF(OR(A45="",B45="",C45="",E45="",F45="",H45="",AND(A45="client",COUNTIF('الزبائن'!$A$6:$A$505,B45)=0),AND(A45="proposed_name",COUNTIF('أسماء مقترحة'!$A$6:$A$505,B45)=0)),"REVIEW","READY"))</x:f>
      </x:c>
      <x:c r="Q45" s="255" t="str">
        <x:f>IF(P45="","",IF(P45="READY","",TRIM(IF(A45="","missing entity_type; ","")&amp;IF(B45="","missing entity_key; ","")&amp;IF(C45="","missing referrer_order; ","")&amp;IF(E45="","missing referrer_type; ","")&amp;IF(F45="","missing referral_origin_channel; ","")&amp;IF(H45="","missing referrer_name_snapshot; ","")&amp;IF(AND(A45="client",COUNTIF('الزبائن'!$A$6:$A$505,B45)=0),"client key not found; ","")&amp;IF(AND(A45="proposed_name",COUNTIF('أسماء مقترحة'!$A$6:$A$505,B45)=0),"proposed_name key not found; ",""))))</x:f>
      </x:c>
    </x:row>
    <x:row r="46">
      <x:c r="A46" s="251"/>
      <x:c r="B46" s="252"/>
      <x:c r="C46" s="253"/>
      <x:c r="D46" s="253"/>
      <x:c r="E46" s="253"/>
      <x:c r="F46" s="253"/>
      <x:c r="G46" s="252"/>
      <x:c r="H46" s="253"/>
      <x:c r="I46" s="272"/>
      <x:c r="J46" s="253"/>
      <x:c r="K46" s="252"/>
      <x:c r="L46" s="253"/>
      <x:c r="M46" s="253"/>
      <x:c r="N46" s="253"/>
      <x:c r="O46" s="253"/>
      <x:c r="P46" s="253" t="str">
        <x:f>IF(AND(A46="",B46="",H46=""),"",IF(OR(A46="",B46="",C46="",E46="",F46="",H46="",AND(A46="client",COUNTIF('الزبائن'!$A$6:$A$505,B46)=0),AND(A46="proposed_name",COUNTIF('أسماء مقترحة'!$A$6:$A$505,B46)=0)),"REVIEW","READY"))</x:f>
      </x:c>
      <x:c r="Q46" s="255" t="str">
        <x:f>IF(P46="","",IF(P46="READY","",TRIM(IF(A46="","missing entity_type; ","")&amp;IF(B46="","missing entity_key; ","")&amp;IF(C46="","missing referrer_order; ","")&amp;IF(E46="","missing referrer_type; ","")&amp;IF(F46="","missing referral_origin_channel; ","")&amp;IF(H46="","missing referrer_name_snapshot; ","")&amp;IF(AND(A46="client",COUNTIF('الزبائن'!$A$6:$A$505,B46)=0),"client key not found; ","")&amp;IF(AND(A46="proposed_name",COUNTIF('أسماء مقترحة'!$A$6:$A$505,B46)=0),"proposed_name key not found; ",""))))</x:f>
      </x:c>
    </x:row>
    <x:row r="47">
      <x:c r="A47" s="251"/>
      <x:c r="B47" s="252"/>
      <x:c r="C47" s="253"/>
      <x:c r="D47" s="253"/>
      <x:c r="E47" s="253"/>
      <x:c r="F47" s="253"/>
      <x:c r="G47" s="252"/>
      <x:c r="H47" s="253"/>
      <x:c r="I47" s="272"/>
      <x:c r="J47" s="253"/>
      <x:c r="K47" s="252"/>
      <x:c r="L47" s="253"/>
      <x:c r="M47" s="253"/>
      <x:c r="N47" s="253"/>
      <x:c r="O47" s="253"/>
      <x:c r="P47" s="253" t="str">
        <x:f>IF(AND(A47="",B47="",H47=""),"",IF(OR(A47="",B47="",C47="",E47="",F47="",H47="",AND(A47="client",COUNTIF('الزبائن'!$A$6:$A$505,B47)=0),AND(A47="proposed_name",COUNTIF('أسماء مقترحة'!$A$6:$A$505,B47)=0)),"REVIEW","READY"))</x:f>
      </x:c>
      <x:c r="Q47" s="255" t="str">
        <x:f>IF(P47="","",IF(P47="READY","",TRIM(IF(A47="","missing entity_type; ","")&amp;IF(B47="","missing entity_key; ","")&amp;IF(C47="","missing referrer_order; ","")&amp;IF(E47="","missing referrer_type; ","")&amp;IF(F47="","missing referral_origin_channel; ","")&amp;IF(H47="","missing referrer_name_snapshot; ","")&amp;IF(AND(A47="client",COUNTIF('الزبائن'!$A$6:$A$505,B47)=0),"client key not found; ","")&amp;IF(AND(A47="proposed_name",COUNTIF('أسماء مقترحة'!$A$6:$A$505,B47)=0),"proposed_name key not found; ",""))))</x:f>
      </x:c>
    </x:row>
    <x:row r="48">
      <x:c r="A48" s="251"/>
      <x:c r="B48" s="252"/>
      <x:c r="C48" s="253"/>
      <x:c r="D48" s="253"/>
      <x:c r="E48" s="253"/>
      <x:c r="F48" s="253"/>
      <x:c r="G48" s="252"/>
      <x:c r="H48" s="253"/>
      <x:c r="I48" s="272"/>
      <x:c r="J48" s="253"/>
      <x:c r="K48" s="252"/>
      <x:c r="L48" s="253"/>
      <x:c r="M48" s="253"/>
      <x:c r="N48" s="253"/>
      <x:c r="O48" s="253"/>
      <x:c r="P48" s="253" t="str">
        <x:f>IF(AND(A48="",B48="",H48=""),"",IF(OR(A48="",B48="",C48="",E48="",F48="",H48="",AND(A48="client",COUNTIF('الزبائن'!$A$6:$A$505,B48)=0),AND(A48="proposed_name",COUNTIF('أسماء مقترحة'!$A$6:$A$505,B48)=0)),"REVIEW","READY"))</x:f>
      </x:c>
      <x:c r="Q48" s="255" t="str">
        <x:f>IF(P48="","",IF(P48="READY","",TRIM(IF(A48="","missing entity_type; ","")&amp;IF(B48="","missing entity_key; ","")&amp;IF(C48="","missing referrer_order; ","")&amp;IF(E48="","missing referrer_type; ","")&amp;IF(F48="","missing referral_origin_channel; ","")&amp;IF(H48="","missing referrer_name_snapshot; ","")&amp;IF(AND(A48="client",COUNTIF('الزبائن'!$A$6:$A$505,B48)=0),"client key not found; ","")&amp;IF(AND(A48="proposed_name",COUNTIF('أسماء مقترحة'!$A$6:$A$505,B48)=0),"proposed_name key not found; ",""))))</x:f>
      </x:c>
    </x:row>
    <x:row r="49">
      <x:c r="A49" s="251"/>
      <x:c r="B49" s="252"/>
      <x:c r="C49" s="253"/>
      <x:c r="D49" s="253"/>
      <x:c r="E49" s="253"/>
      <x:c r="F49" s="253"/>
      <x:c r="G49" s="252"/>
      <x:c r="H49" s="253"/>
      <x:c r="I49" s="272"/>
      <x:c r="J49" s="253"/>
      <x:c r="K49" s="252"/>
      <x:c r="L49" s="253"/>
      <x:c r="M49" s="253"/>
      <x:c r="N49" s="253"/>
      <x:c r="O49" s="253"/>
      <x:c r="P49" s="253" t="str">
        <x:f>IF(AND(A49="",B49="",H49=""),"",IF(OR(A49="",B49="",C49="",E49="",F49="",H49="",AND(A49="client",COUNTIF('الزبائن'!$A$6:$A$505,B49)=0),AND(A49="proposed_name",COUNTIF('أسماء مقترحة'!$A$6:$A$505,B49)=0)),"REVIEW","READY"))</x:f>
      </x:c>
      <x:c r="Q49" s="255" t="str">
        <x:f>IF(P49="","",IF(P49="READY","",TRIM(IF(A49="","missing entity_type; ","")&amp;IF(B49="","missing entity_key; ","")&amp;IF(C49="","missing referrer_order; ","")&amp;IF(E49="","missing referrer_type; ","")&amp;IF(F49="","missing referral_origin_channel; ","")&amp;IF(H49="","missing referrer_name_snapshot; ","")&amp;IF(AND(A49="client",COUNTIF('الزبائن'!$A$6:$A$505,B49)=0),"client key not found; ","")&amp;IF(AND(A49="proposed_name",COUNTIF('أسماء مقترحة'!$A$6:$A$505,B49)=0),"proposed_name key not found; ",""))))</x:f>
      </x:c>
    </x:row>
    <x:row r="50">
      <x:c r="A50" s="251"/>
      <x:c r="B50" s="252"/>
      <x:c r="C50" s="253"/>
      <x:c r="D50" s="253"/>
      <x:c r="E50" s="253"/>
      <x:c r="F50" s="253"/>
      <x:c r="G50" s="252"/>
      <x:c r="H50" s="253"/>
      <x:c r="I50" s="272"/>
      <x:c r="J50" s="253"/>
      <x:c r="K50" s="252"/>
      <x:c r="L50" s="253"/>
      <x:c r="M50" s="253"/>
      <x:c r="N50" s="253"/>
      <x:c r="O50" s="253"/>
      <x:c r="P50" s="253" t="str">
        <x:f>IF(AND(A50="",B50="",H50=""),"",IF(OR(A50="",B50="",C50="",E50="",F50="",H50="",AND(A50="client",COUNTIF('الزبائن'!$A$6:$A$505,B50)=0),AND(A50="proposed_name",COUNTIF('أسماء مقترحة'!$A$6:$A$505,B50)=0)),"REVIEW","READY"))</x:f>
      </x:c>
      <x:c r="Q50" s="255" t="str">
        <x:f>IF(P50="","",IF(P50="READY","",TRIM(IF(A50="","missing entity_type; ","")&amp;IF(B50="","missing entity_key; ","")&amp;IF(C50="","missing referrer_order; ","")&amp;IF(E50="","missing referrer_type; ","")&amp;IF(F50="","missing referral_origin_channel; ","")&amp;IF(H50="","missing referrer_name_snapshot; ","")&amp;IF(AND(A50="client",COUNTIF('الزبائن'!$A$6:$A$505,B50)=0),"client key not found; ","")&amp;IF(AND(A50="proposed_name",COUNTIF('أسماء مقترحة'!$A$6:$A$505,B50)=0),"proposed_name key not found; ",""))))</x:f>
      </x:c>
    </x:row>
    <x:row r="51">
      <x:c r="A51" s="251"/>
      <x:c r="B51" s="252"/>
      <x:c r="C51" s="253"/>
      <x:c r="D51" s="253"/>
      <x:c r="E51" s="253"/>
      <x:c r="F51" s="253"/>
      <x:c r="G51" s="252"/>
      <x:c r="H51" s="253"/>
      <x:c r="I51" s="272"/>
      <x:c r="J51" s="253"/>
      <x:c r="K51" s="252"/>
      <x:c r="L51" s="253"/>
      <x:c r="M51" s="253"/>
      <x:c r="N51" s="253"/>
      <x:c r="O51" s="253"/>
      <x:c r="P51" s="253" t="str">
        <x:f>IF(AND(A51="",B51="",H51=""),"",IF(OR(A51="",B51="",C51="",E51="",F51="",H51="",AND(A51="client",COUNTIF('الزبائن'!$A$6:$A$505,B51)=0),AND(A51="proposed_name",COUNTIF('أسماء مقترحة'!$A$6:$A$505,B51)=0)),"REVIEW","READY"))</x:f>
      </x:c>
      <x:c r="Q51" s="255" t="str">
        <x:f>IF(P51="","",IF(P51="READY","",TRIM(IF(A51="","missing entity_type; ","")&amp;IF(B51="","missing entity_key; ","")&amp;IF(C51="","missing referrer_order; ","")&amp;IF(E51="","missing referrer_type; ","")&amp;IF(F51="","missing referral_origin_channel; ","")&amp;IF(H51="","missing referrer_name_snapshot; ","")&amp;IF(AND(A51="client",COUNTIF('الزبائن'!$A$6:$A$505,B51)=0),"client key not found; ","")&amp;IF(AND(A51="proposed_name",COUNTIF('أسماء مقترحة'!$A$6:$A$505,B51)=0),"proposed_name key not found; ",""))))</x:f>
      </x:c>
    </x:row>
    <x:row r="52">
      <x:c r="A52" s="251"/>
      <x:c r="B52" s="252"/>
      <x:c r="C52" s="253"/>
      <x:c r="D52" s="253"/>
      <x:c r="E52" s="253"/>
      <x:c r="F52" s="253"/>
      <x:c r="G52" s="252"/>
      <x:c r="H52" s="253"/>
      <x:c r="I52" s="272"/>
      <x:c r="J52" s="253"/>
      <x:c r="K52" s="252"/>
      <x:c r="L52" s="253"/>
      <x:c r="M52" s="253"/>
      <x:c r="N52" s="253"/>
      <x:c r="O52" s="253"/>
      <x:c r="P52" s="253" t="str">
        <x:f>IF(AND(A52="",B52="",H52=""),"",IF(OR(A52="",B52="",C52="",E52="",F52="",H52="",AND(A52="client",COUNTIF('الزبائن'!$A$6:$A$505,B52)=0),AND(A52="proposed_name",COUNTIF('أسماء مقترحة'!$A$6:$A$505,B52)=0)),"REVIEW","READY"))</x:f>
      </x:c>
      <x:c r="Q52" s="255" t="str">
        <x:f>IF(P52="","",IF(P52="READY","",TRIM(IF(A52="","missing entity_type; ","")&amp;IF(B52="","missing entity_key; ","")&amp;IF(C52="","missing referrer_order; ","")&amp;IF(E52="","missing referrer_type; ","")&amp;IF(F52="","missing referral_origin_channel; ","")&amp;IF(H52="","missing referrer_name_snapshot; ","")&amp;IF(AND(A52="client",COUNTIF('الزبائن'!$A$6:$A$505,B52)=0),"client key not found; ","")&amp;IF(AND(A52="proposed_name",COUNTIF('أسماء مقترحة'!$A$6:$A$505,B52)=0),"proposed_name key not found; ",""))))</x:f>
      </x:c>
    </x:row>
    <x:row r="53">
      <x:c r="A53" s="251"/>
      <x:c r="B53" s="252"/>
      <x:c r="C53" s="253"/>
      <x:c r="D53" s="253"/>
      <x:c r="E53" s="253"/>
      <x:c r="F53" s="253"/>
      <x:c r="G53" s="252"/>
      <x:c r="H53" s="253"/>
      <x:c r="I53" s="272"/>
      <x:c r="J53" s="253"/>
      <x:c r="K53" s="252"/>
      <x:c r="L53" s="253"/>
      <x:c r="M53" s="253"/>
      <x:c r="N53" s="253"/>
      <x:c r="O53" s="253"/>
      <x:c r="P53" s="253" t="str">
        <x:f>IF(AND(A53="",B53="",H53=""),"",IF(OR(A53="",B53="",C53="",E53="",F53="",H53="",AND(A53="client",COUNTIF('الزبائن'!$A$6:$A$505,B53)=0),AND(A53="proposed_name",COUNTIF('أسماء مقترحة'!$A$6:$A$505,B53)=0)),"REVIEW","READY"))</x:f>
      </x:c>
      <x:c r="Q53" s="255" t="str">
        <x:f>IF(P53="","",IF(P53="READY","",TRIM(IF(A53="","missing entity_type; ","")&amp;IF(B53="","missing entity_key; ","")&amp;IF(C53="","missing referrer_order; ","")&amp;IF(E53="","missing referrer_type; ","")&amp;IF(F53="","missing referral_origin_channel; ","")&amp;IF(H53="","missing referrer_name_snapshot; ","")&amp;IF(AND(A53="client",COUNTIF('الزبائن'!$A$6:$A$505,B53)=0),"client key not found; ","")&amp;IF(AND(A53="proposed_name",COUNTIF('أسماء مقترحة'!$A$6:$A$505,B53)=0),"proposed_name key not found; ",""))))</x:f>
      </x:c>
    </x:row>
    <x:row r="54">
      <x:c r="A54" s="251"/>
      <x:c r="B54" s="252"/>
      <x:c r="C54" s="253"/>
      <x:c r="D54" s="253"/>
      <x:c r="E54" s="253"/>
      <x:c r="F54" s="253"/>
      <x:c r="G54" s="252"/>
      <x:c r="H54" s="253"/>
      <x:c r="I54" s="272"/>
      <x:c r="J54" s="253"/>
      <x:c r="K54" s="252"/>
      <x:c r="L54" s="253"/>
      <x:c r="M54" s="253"/>
      <x:c r="N54" s="253"/>
      <x:c r="O54" s="253"/>
      <x:c r="P54" s="253" t="str">
        <x:f>IF(AND(A54="",B54="",H54=""),"",IF(OR(A54="",B54="",C54="",E54="",F54="",H54="",AND(A54="client",COUNTIF('الزبائن'!$A$6:$A$505,B54)=0),AND(A54="proposed_name",COUNTIF('أسماء مقترحة'!$A$6:$A$505,B54)=0)),"REVIEW","READY"))</x:f>
      </x:c>
      <x:c r="Q54" s="255" t="str">
        <x:f>IF(P54="","",IF(P54="READY","",TRIM(IF(A54="","missing entity_type; ","")&amp;IF(B54="","missing entity_key; ","")&amp;IF(C54="","missing referrer_order; ","")&amp;IF(E54="","missing referrer_type; ","")&amp;IF(F54="","missing referral_origin_channel; ","")&amp;IF(H54="","missing referrer_name_snapshot; ","")&amp;IF(AND(A54="client",COUNTIF('الزبائن'!$A$6:$A$505,B54)=0),"client key not found; ","")&amp;IF(AND(A54="proposed_name",COUNTIF('أسماء مقترحة'!$A$6:$A$505,B54)=0),"proposed_name key not found; ",""))))</x:f>
      </x:c>
    </x:row>
    <x:row r="55">
      <x:c r="A55" s="251"/>
      <x:c r="B55" s="252"/>
      <x:c r="C55" s="253"/>
      <x:c r="D55" s="253"/>
      <x:c r="E55" s="253"/>
      <x:c r="F55" s="253"/>
      <x:c r="G55" s="252"/>
      <x:c r="H55" s="253"/>
      <x:c r="I55" s="272"/>
      <x:c r="J55" s="253"/>
      <x:c r="K55" s="252"/>
      <x:c r="L55" s="253"/>
      <x:c r="M55" s="253"/>
      <x:c r="N55" s="253"/>
      <x:c r="O55" s="253"/>
      <x:c r="P55" s="253" t="str">
        <x:f>IF(AND(A55="",B55="",H55=""),"",IF(OR(A55="",B55="",C55="",E55="",F55="",H55="",AND(A55="client",COUNTIF('الزبائن'!$A$6:$A$505,B55)=0),AND(A55="proposed_name",COUNTIF('أسماء مقترحة'!$A$6:$A$505,B55)=0)),"REVIEW","READY"))</x:f>
      </x:c>
      <x:c r="Q55" s="255" t="str">
        <x:f>IF(P55="","",IF(P55="READY","",TRIM(IF(A55="","missing entity_type; ","")&amp;IF(B55="","missing entity_key; ","")&amp;IF(C55="","missing referrer_order; ","")&amp;IF(E55="","missing referrer_type; ","")&amp;IF(F55="","missing referral_origin_channel; ","")&amp;IF(H55="","missing referrer_name_snapshot; ","")&amp;IF(AND(A55="client",COUNTIF('الزبائن'!$A$6:$A$505,B55)=0),"client key not found; ","")&amp;IF(AND(A55="proposed_name",COUNTIF('أسماء مقترحة'!$A$6:$A$505,B55)=0),"proposed_name key not found; ",""))))</x:f>
      </x:c>
    </x:row>
    <x:row r="56">
      <x:c r="A56" s="251"/>
      <x:c r="B56" s="252"/>
      <x:c r="C56" s="253"/>
      <x:c r="D56" s="253"/>
      <x:c r="E56" s="253"/>
      <x:c r="F56" s="253"/>
      <x:c r="G56" s="252"/>
      <x:c r="H56" s="253"/>
      <x:c r="I56" s="272"/>
      <x:c r="J56" s="253"/>
      <x:c r="K56" s="252"/>
      <x:c r="L56" s="253"/>
      <x:c r="M56" s="253"/>
      <x:c r="N56" s="253"/>
      <x:c r="O56" s="253"/>
      <x:c r="P56" s="253" t="str">
        <x:f>IF(AND(A56="",B56="",H56=""),"",IF(OR(A56="",B56="",C56="",E56="",F56="",H56="",AND(A56="client",COUNTIF('الزبائن'!$A$6:$A$505,B56)=0),AND(A56="proposed_name",COUNTIF('أسماء مقترحة'!$A$6:$A$505,B56)=0)),"REVIEW","READY"))</x:f>
      </x:c>
      <x:c r="Q56" s="255" t="str">
        <x:f>IF(P56="","",IF(P56="READY","",TRIM(IF(A56="","missing entity_type; ","")&amp;IF(B56="","missing entity_key; ","")&amp;IF(C56="","missing referrer_order; ","")&amp;IF(E56="","missing referrer_type; ","")&amp;IF(F56="","missing referral_origin_channel; ","")&amp;IF(H56="","missing referrer_name_snapshot; ","")&amp;IF(AND(A56="client",COUNTIF('الزبائن'!$A$6:$A$505,B56)=0),"client key not found; ","")&amp;IF(AND(A56="proposed_name",COUNTIF('أسماء مقترحة'!$A$6:$A$505,B56)=0),"proposed_name key not found; ",""))))</x:f>
      </x:c>
    </x:row>
    <x:row r="57">
      <x:c r="A57" s="251"/>
      <x:c r="B57" s="252"/>
      <x:c r="C57" s="253"/>
      <x:c r="D57" s="253"/>
      <x:c r="E57" s="253"/>
      <x:c r="F57" s="253"/>
      <x:c r="G57" s="252"/>
      <x:c r="H57" s="253"/>
      <x:c r="I57" s="272"/>
      <x:c r="J57" s="253"/>
      <x:c r="K57" s="252"/>
      <x:c r="L57" s="253"/>
      <x:c r="M57" s="253"/>
      <x:c r="N57" s="253"/>
      <x:c r="O57" s="253"/>
      <x:c r="P57" s="253" t="str">
        <x:f>IF(AND(A57="",B57="",H57=""),"",IF(OR(A57="",B57="",C57="",E57="",F57="",H57="",AND(A57="client",COUNTIF('الزبائن'!$A$6:$A$505,B57)=0),AND(A57="proposed_name",COUNTIF('أسماء مقترحة'!$A$6:$A$505,B57)=0)),"REVIEW","READY"))</x:f>
      </x:c>
      <x:c r="Q57" s="255" t="str">
        <x:f>IF(P57="","",IF(P57="READY","",TRIM(IF(A57="","missing entity_type; ","")&amp;IF(B57="","missing entity_key; ","")&amp;IF(C57="","missing referrer_order; ","")&amp;IF(E57="","missing referrer_type; ","")&amp;IF(F57="","missing referral_origin_channel; ","")&amp;IF(H57="","missing referrer_name_snapshot; ","")&amp;IF(AND(A57="client",COUNTIF('الزبائن'!$A$6:$A$505,B57)=0),"client key not found; ","")&amp;IF(AND(A57="proposed_name",COUNTIF('أسماء مقترحة'!$A$6:$A$505,B57)=0),"proposed_name key not found; ",""))))</x:f>
      </x:c>
    </x:row>
    <x:row r="58">
      <x:c r="A58" s="251"/>
      <x:c r="B58" s="252"/>
      <x:c r="C58" s="253"/>
      <x:c r="D58" s="253"/>
      <x:c r="E58" s="253"/>
      <x:c r="F58" s="253"/>
      <x:c r="G58" s="252"/>
      <x:c r="H58" s="253"/>
      <x:c r="I58" s="272"/>
      <x:c r="J58" s="253"/>
      <x:c r="K58" s="252"/>
      <x:c r="L58" s="253"/>
      <x:c r="M58" s="253"/>
      <x:c r="N58" s="253"/>
      <x:c r="O58" s="253"/>
      <x:c r="P58" s="253" t="str">
        <x:f>IF(AND(A58="",B58="",H58=""),"",IF(OR(A58="",B58="",C58="",E58="",F58="",H58="",AND(A58="client",COUNTIF('الزبائن'!$A$6:$A$505,B58)=0),AND(A58="proposed_name",COUNTIF('أسماء مقترحة'!$A$6:$A$505,B58)=0)),"REVIEW","READY"))</x:f>
      </x:c>
      <x:c r="Q58" s="255" t="str">
        <x:f>IF(P58="","",IF(P58="READY","",TRIM(IF(A58="","missing entity_type; ","")&amp;IF(B58="","missing entity_key; ","")&amp;IF(C58="","missing referrer_order; ","")&amp;IF(E58="","missing referrer_type; ","")&amp;IF(F58="","missing referral_origin_channel; ","")&amp;IF(H58="","missing referrer_name_snapshot; ","")&amp;IF(AND(A58="client",COUNTIF('الزبائن'!$A$6:$A$505,B58)=0),"client key not found; ","")&amp;IF(AND(A58="proposed_name",COUNTIF('أسماء مقترحة'!$A$6:$A$505,B58)=0),"proposed_name key not found; ",""))))</x:f>
      </x:c>
    </x:row>
    <x:row r="59">
      <x:c r="A59" s="251"/>
      <x:c r="B59" s="252"/>
      <x:c r="C59" s="253"/>
      <x:c r="D59" s="253"/>
      <x:c r="E59" s="253"/>
      <x:c r="F59" s="253"/>
      <x:c r="G59" s="252"/>
      <x:c r="H59" s="253"/>
      <x:c r="I59" s="272"/>
      <x:c r="J59" s="253"/>
      <x:c r="K59" s="252"/>
      <x:c r="L59" s="253"/>
      <x:c r="M59" s="253"/>
      <x:c r="N59" s="253"/>
      <x:c r="O59" s="253"/>
      <x:c r="P59" s="253" t="str">
        <x:f>IF(AND(A59="",B59="",H59=""),"",IF(OR(A59="",B59="",C59="",E59="",F59="",H59="",AND(A59="client",COUNTIF('الزبائن'!$A$6:$A$505,B59)=0),AND(A59="proposed_name",COUNTIF('أسماء مقترحة'!$A$6:$A$505,B59)=0)),"REVIEW","READY"))</x:f>
      </x:c>
      <x:c r="Q59" s="255" t="str">
        <x:f>IF(P59="","",IF(P59="READY","",TRIM(IF(A59="","missing entity_type; ","")&amp;IF(B59="","missing entity_key; ","")&amp;IF(C59="","missing referrer_order; ","")&amp;IF(E59="","missing referrer_type; ","")&amp;IF(F59="","missing referral_origin_channel; ","")&amp;IF(H59="","missing referrer_name_snapshot; ","")&amp;IF(AND(A59="client",COUNTIF('الزبائن'!$A$6:$A$505,B59)=0),"client key not found; ","")&amp;IF(AND(A59="proposed_name",COUNTIF('أسماء مقترحة'!$A$6:$A$505,B59)=0),"proposed_name key not found; ",""))))</x:f>
      </x:c>
    </x:row>
    <x:row r="60">
      <x:c r="A60" s="251"/>
      <x:c r="B60" s="252"/>
      <x:c r="C60" s="253"/>
      <x:c r="D60" s="253"/>
      <x:c r="E60" s="253"/>
      <x:c r="F60" s="253"/>
      <x:c r="G60" s="252"/>
      <x:c r="H60" s="253"/>
      <x:c r="I60" s="272"/>
      <x:c r="J60" s="253"/>
      <x:c r="K60" s="252"/>
      <x:c r="L60" s="253"/>
      <x:c r="M60" s="253"/>
      <x:c r="N60" s="253"/>
      <x:c r="O60" s="253"/>
      <x:c r="P60" s="253" t="str">
        <x:f>IF(AND(A60="",B60="",H60=""),"",IF(OR(A60="",B60="",C60="",E60="",F60="",H60="",AND(A60="client",COUNTIF('الزبائن'!$A$6:$A$505,B60)=0),AND(A60="proposed_name",COUNTIF('أسماء مقترحة'!$A$6:$A$505,B60)=0)),"REVIEW","READY"))</x:f>
      </x:c>
      <x:c r="Q60" s="255" t="str">
        <x:f>IF(P60="","",IF(P60="READY","",TRIM(IF(A60="","missing entity_type; ","")&amp;IF(B60="","missing entity_key; ","")&amp;IF(C60="","missing referrer_order; ","")&amp;IF(E60="","missing referrer_type; ","")&amp;IF(F60="","missing referral_origin_channel; ","")&amp;IF(H60="","missing referrer_name_snapshot; ","")&amp;IF(AND(A60="client",COUNTIF('الزبائن'!$A$6:$A$505,B60)=0),"client key not found; ","")&amp;IF(AND(A60="proposed_name",COUNTIF('أسماء مقترحة'!$A$6:$A$505,B60)=0),"proposed_name key not found; ",""))))</x:f>
      </x:c>
    </x:row>
    <x:row r="61">
      <x:c r="A61" s="251"/>
      <x:c r="B61" s="252"/>
      <x:c r="C61" s="253"/>
      <x:c r="D61" s="253"/>
      <x:c r="E61" s="253"/>
      <x:c r="F61" s="253"/>
      <x:c r="G61" s="252"/>
      <x:c r="H61" s="253"/>
      <x:c r="I61" s="272"/>
      <x:c r="J61" s="253"/>
      <x:c r="K61" s="252"/>
      <x:c r="L61" s="253"/>
      <x:c r="M61" s="253"/>
      <x:c r="N61" s="253"/>
      <x:c r="O61" s="253"/>
      <x:c r="P61" s="253" t="str">
        <x:f>IF(AND(A61="",B61="",H61=""),"",IF(OR(A61="",B61="",C61="",E61="",F61="",H61="",AND(A61="client",COUNTIF('الزبائن'!$A$6:$A$505,B61)=0),AND(A61="proposed_name",COUNTIF('أسماء مقترحة'!$A$6:$A$505,B61)=0)),"REVIEW","READY"))</x:f>
      </x:c>
      <x:c r="Q61" s="255" t="str">
        <x:f>IF(P61="","",IF(P61="READY","",TRIM(IF(A61="","missing entity_type; ","")&amp;IF(B61="","missing entity_key; ","")&amp;IF(C61="","missing referrer_order; ","")&amp;IF(E61="","missing referrer_type; ","")&amp;IF(F61="","missing referral_origin_channel; ","")&amp;IF(H61="","missing referrer_name_snapshot; ","")&amp;IF(AND(A61="client",COUNTIF('الزبائن'!$A$6:$A$505,B61)=0),"client key not found; ","")&amp;IF(AND(A61="proposed_name",COUNTIF('أسماء مقترحة'!$A$6:$A$505,B61)=0),"proposed_name key not found; ",""))))</x:f>
      </x:c>
    </x:row>
    <x:row r="62">
      <x:c r="A62" s="251"/>
      <x:c r="B62" s="252"/>
      <x:c r="C62" s="253"/>
      <x:c r="D62" s="253"/>
      <x:c r="E62" s="253"/>
      <x:c r="F62" s="253"/>
      <x:c r="G62" s="252"/>
      <x:c r="H62" s="253"/>
      <x:c r="I62" s="272"/>
      <x:c r="J62" s="253"/>
      <x:c r="K62" s="252"/>
      <x:c r="L62" s="253"/>
      <x:c r="M62" s="253"/>
      <x:c r="N62" s="253"/>
      <x:c r="O62" s="253"/>
      <x:c r="P62" s="253" t="str">
        <x:f>IF(AND(A62="",B62="",H62=""),"",IF(OR(A62="",B62="",C62="",E62="",F62="",H62="",AND(A62="client",COUNTIF('الزبائن'!$A$6:$A$505,B62)=0),AND(A62="proposed_name",COUNTIF('أسماء مقترحة'!$A$6:$A$505,B62)=0)),"REVIEW","READY"))</x:f>
      </x:c>
      <x:c r="Q62" s="255" t="str">
        <x:f>IF(P62="","",IF(P62="READY","",TRIM(IF(A62="","missing entity_type; ","")&amp;IF(B62="","missing entity_key; ","")&amp;IF(C62="","missing referrer_order; ","")&amp;IF(E62="","missing referrer_type; ","")&amp;IF(F62="","missing referral_origin_channel; ","")&amp;IF(H62="","missing referrer_name_snapshot; ","")&amp;IF(AND(A62="client",COUNTIF('الزبائن'!$A$6:$A$505,B62)=0),"client key not found; ","")&amp;IF(AND(A62="proposed_name",COUNTIF('أسماء مقترحة'!$A$6:$A$505,B62)=0),"proposed_name key not found; ",""))))</x:f>
      </x:c>
    </x:row>
    <x:row r="63">
      <x:c r="A63" s="251"/>
      <x:c r="B63" s="252"/>
      <x:c r="C63" s="253"/>
      <x:c r="D63" s="253"/>
      <x:c r="E63" s="253"/>
      <x:c r="F63" s="253"/>
      <x:c r="G63" s="252"/>
      <x:c r="H63" s="253"/>
      <x:c r="I63" s="272"/>
      <x:c r="J63" s="253"/>
      <x:c r="K63" s="252"/>
      <x:c r="L63" s="253"/>
      <x:c r="M63" s="253"/>
      <x:c r="N63" s="253"/>
      <x:c r="O63" s="253"/>
      <x:c r="P63" s="253" t="str">
        <x:f>IF(AND(A63="",B63="",H63=""),"",IF(OR(A63="",B63="",C63="",E63="",F63="",H63="",AND(A63="client",COUNTIF('الزبائن'!$A$6:$A$505,B63)=0),AND(A63="proposed_name",COUNTIF('أسماء مقترحة'!$A$6:$A$505,B63)=0)),"REVIEW","READY"))</x:f>
      </x:c>
      <x:c r="Q63" s="255" t="str">
        <x:f>IF(P63="","",IF(P63="READY","",TRIM(IF(A63="","missing entity_type; ","")&amp;IF(B63="","missing entity_key; ","")&amp;IF(C63="","missing referrer_order; ","")&amp;IF(E63="","missing referrer_type; ","")&amp;IF(F63="","missing referral_origin_channel; ","")&amp;IF(H63="","missing referrer_name_snapshot; ","")&amp;IF(AND(A63="client",COUNTIF('الزبائن'!$A$6:$A$505,B63)=0),"client key not found; ","")&amp;IF(AND(A63="proposed_name",COUNTIF('أسماء مقترحة'!$A$6:$A$505,B63)=0),"proposed_name key not found; ",""))))</x:f>
      </x:c>
    </x:row>
    <x:row r="64">
      <x:c r="A64" s="251"/>
      <x:c r="B64" s="252"/>
      <x:c r="C64" s="253"/>
      <x:c r="D64" s="253"/>
      <x:c r="E64" s="253"/>
      <x:c r="F64" s="253"/>
      <x:c r="G64" s="252"/>
      <x:c r="H64" s="253"/>
      <x:c r="I64" s="272"/>
      <x:c r="J64" s="253"/>
      <x:c r="K64" s="252"/>
      <x:c r="L64" s="253"/>
      <x:c r="M64" s="253"/>
      <x:c r="N64" s="253"/>
      <x:c r="O64" s="253"/>
      <x:c r="P64" s="253" t="str">
        <x:f>IF(AND(A64="",B64="",H64=""),"",IF(OR(A64="",B64="",C64="",E64="",F64="",H64="",AND(A64="client",COUNTIF('الزبائن'!$A$6:$A$505,B64)=0),AND(A64="proposed_name",COUNTIF('أسماء مقترحة'!$A$6:$A$505,B64)=0)),"REVIEW","READY"))</x:f>
      </x:c>
      <x:c r="Q64" s="255" t="str">
        <x:f>IF(P64="","",IF(P64="READY","",TRIM(IF(A64="","missing entity_type; ","")&amp;IF(B64="","missing entity_key; ","")&amp;IF(C64="","missing referrer_order; ","")&amp;IF(E64="","missing referrer_type; ","")&amp;IF(F64="","missing referral_origin_channel; ","")&amp;IF(H64="","missing referrer_name_snapshot; ","")&amp;IF(AND(A64="client",COUNTIF('الزبائن'!$A$6:$A$505,B64)=0),"client key not found; ","")&amp;IF(AND(A64="proposed_name",COUNTIF('أسماء مقترحة'!$A$6:$A$505,B64)=0),"proposed_name key not found; ",""))))</x:f>
      </x:c>
    </x:row>
    <x:row r="65">
      <x:c r="A65" s="251"/>
      <x:c r="B65" s="252"/>
      <x:c r="C65" s="253"/>
      <x:c r="D65" s="253"/>
      <x:c r="E65" s="253"/>
      <x:c r="F65" s="253"/>
      <x:c r="G65" s="252"/>
      <x:c r="H65" s="253"/>
      <x:c r="I65" s="272"/>
      <x:c r="J65" s="253"/>
      <x:c r="K65" s="252"/>
      <x:c r="L65" s="253"/>
      <x:c r="M65" s="253"/>
      <x:c r="N65" s="253"/>
      <x:c r="O65" s="253"/>
      <x:c r="P65" s="253" t="str">
        <x:f>IF(AND(A65="",B65="",H65=""),"",IF(OR(A65="",B65="",C65="",E65="",F65="",H65="",AND(A65="client",COUNTIF('الزبائن'!$A$6:$A$505,B65)=0),AND(A65="proposed_name",COUNTIF('أسماء مقترحة'!$A$6:$A$505,B65)=0)),"REVIEW","READY"))</x:f>
      </x:c>
      <x:c r="Q65" s="255" t="str">
        <x:f>IF(P65="","",IF(P65="READY","",TRIM(IF(A65="","missing entity_type; ","")&amp;IF(B65="","missing entity_key; ","")&amp;IF(C65="","missing referrer_order; ","")&amp;IF(E65="","missing referrer_type; ","")&amp;IF(F65="","missing referral_origin_channel; ","")&amp;IF(H65="","missing referrer_name_snapshot; ","")&amp;IF(AND(A65="client",COUNTIF('الزبائن'!$A$6:$A$505,B65)=0),"client key not found; ","")&amp;IF(AND(A65="proposed_name",COUNTIF('أسماء مقترحة'!$A$6:$A$505,B65)=0),"proposed_name key not found; ",""))))</x:f>
      </x:c>
    </x:row>
    <x:row r="66">
      <x:c r="A66" s="251"/>
      <x:c r="B66" s="252"/>
      <x:c r="C66" s="253"/>
      <x:c r="D66" s="253"/>
      <x:c r="E66" s="253"/>
      <x:c r="F66" s="253"/>
      <x:c r="G66" s="252"/>
      <x:c r="H66" s="253"/>
      <x:c r="I66" s="272"/>
      <x:c r="J66" s="253"/>
      <x:c r="K66" s="252"/>
      <x:c r="L66" s="253"/>
      <x:c r="M66" s="253"/>
      <x:c r="N66" s="253"/>
      <x:c r="O66" s="253"/>
      <x:c r="P66" s="253" t="str">
        <x:f>IF(AND(A66="",B66="",H66=""),"",IF(OR(A66="",B66="",C66="",E66="",F66="",H66="",AND(A66="client",COUNTIF('الزبائن'!$A$6:$A$505,B66)=0),AND(A66="proposed_name",COUNTIF('أسماء مقترحة'!$A$6:$A$505,B66)=0)),"REVIEW","READY"))</x:f>
      </x:c>
      <x:c r="Q66" s="255" t="str">
        <x:f>IF(P66="","",IF(P66="READY","",TRIM(IF(A66="","missing entity_type; ","")&amp;IF(B66="","missing entity_key; ","")&amp;IF(C66="","missing referrer_order; ","")&amp;IF(E66="","missing referrer_type; ","")&amp;IF(F66="","missing referral_origin_channel; ","")&amp;IF(H66="","missing referrer_name_snapshot; ","")&amp;IF(AND(A66="client",COUNTIF('الزبائن'!$A$6:$A$505,B66)=0),"client key not found; ","")&amp;IF(AND(A66="proposed_name",COUNTIF('أسماء مقترحة'!$A$6:$A$505,B66)=0),"proposed_name key not found; ",""))))</x:f>
      </x:c>
    </x:row>
    <x:row r="67">
      <x:c r="A67" s="251"/>
      <x:c r="B67" s="252"/>
      <x:c r="C67" s="253"/>
      <x:c r="D67" s="253"/>
      <x:c r="E67" s="253"/>
      <x:c r="F67" s="253"/>
      <x:c r="G67" s="252"/>
      <x:c r="H67" s="253"/>
      <x:c r="I67" s="272"/>
      <x:c r="J67" s="253"/>
      <x:c r="K67" s="252"/>
      <x:c r="L67" s="253"/>
      <x:c r="M67" s="253"/>
      <x:c r="N67" s="253"/>
      <x:c r="O67" s="253"/>
      <x:c r="P67" s="253" t="str">
        <x:f>IF(AND(A67="",B67="",H67=""),"",IF(OR(A67="",B67="",C67="",E67="",F67="",H67="",AND(A67="client",COUNTIF('الزبائن'!$A$6:$A$505,B67)=0),AND(A67="proposed_name",COUNTIF('أسماء مقترحة'!$A$6:$A$505,B67)=0)),"REVIEW","READY"))</x:f>
      </x:c>
      <x:c r="Q67" s="255" t="str">
        <x:f>IF(P67="","",IF(P67="READY","",TRIM(IF(A67="","missing entity_type; ","")&amp;IF(B67="","missing entity_key; ","")&amp;IF(C67="","missing referrer_order; ","")&amp;IF(E67="","missing referrer_type; ","")&amp;IF(F67="","missing referral_origin_channel; ","")&amp;IF(H67="","missing referrer_name_snapshot; ","")&amp;IF(AND(A67="client",COUNTIF('الزبائن'!$A$6:$A$505,B67)=0),"client key not found; ","")&amp;IF(AND(A67="proposed_name",COUNTIF('أسماء مقترحة'!$A$6:$A$505,B67)=0),"proposed_name key not found; ",""))))</x:f>
      </x:c>
    </x:row>
    <x:row r="68">
      <x:c r="A68" s="251"/>
      <x:c r="B68" s="252"/>
      <x:c r="C68" s="253"/>
      <x:c r="D68" s="253"/>
      <x:c r="E68" s="253"/>
      <x:c r="F68" s="253"/>
      <x:c r="G68" s="252"/>
      <x:c r="H68" s="253"/>
      <x:c r="I68" s="272"/>
      <x:c r="J68" s="253"/>
      <x:c r="K68" s="252"/>
      <x:c r="L68" s="253"/>
      <x:c r="M68" s="253"/>
      <x:c r="N68" s="253"/>
      <x:c r="O68" s="253"/>
      <x:c r="P68" s="253" t="str">
        <x:f>IF(AND(A68="",B68="",H68=""),"",IF(OR(A68="",B68="",C68="",E68="",F68="",H68="",AND(A68="client",COUNTIF('الزبائن'!$A$6:$A$505,B68)=0),AND(A68="proposed_name",COUNTIF('أسماء مقترحة'!$A$6:$A$505,B68)=0)),"REVIEW","READY"))</x:f>
      </x:c>
      <x:c r="Q68" s="255" t="str">
        <x:f>IF(P68="","",IF(P68="READY","",TRIM(IF(A68="","missing entity_type; ","")&amp;IF(B68="","missing entity_key; ","")&amp;IF(C68="","missing referrer_order; ","")&amp;IF(E68="","missing referrer_type; ","")&amp;IF(F68="","missing referral_origin_channel; ","")&amp;IF(H68="","missing referrer_name_snapshot; ","")&amp;IF(AND(A68="client",COUNTIF('الزبائن'!$A$6:$A$505,B68)=0),"client key not found; ","")&amp;IF(AND(A68="proposed_name",COUNTIF('أسماء مقترحة'!$A$6:$A$505,B68)=0),"proposed_name key not found; ",""))))</x:f>
      </x:c>
    </x:row>
    <x:row r="69">
      <x:c r="A69" s="251"/>
      <x:c r="B69" s="252"/>
      <x:c r="C69" s="253"/>
      <x:c r="D69" s="253"/>
      <x:c r="E69" s="253"/>
      <x:c r="F69" s="253"/>
      <x:c r="G69" s="252"/>
      <x:c r="H69" s="253"/>
      <x:c r="I69" s="272"/>
      <x:c r="J69" s="253"/>
      <x:c r="K69" s="252"/>
      <x:c r="L69" s="253"/>
      <x:c r="M69" s="253"/>
      <x:c r="N69" s="253"/>
      <x:c r="O69" s="253"/>
      <x:c r="P69" s="253" t="str">
        <x:f>IF(AND(A69="",B69="",H69=""),"",IF(OR(A69="",B69="",C69="",E69="",F69="",H69="",AND(A69="client",COUNTIF('الزبائن'!$A$6:$A$505,B69)=0),AND(A69="proposed_name",COUNTIF('أسماء مقترحة'!$A$6:$A$505,B69)=0)),"REVIEW","READY"))</x:f>
      </x:c>
      <x:c r="Q69" s="255" t="str">
        <x:f>IF(P69="","",IF(P69="READY","",TRIM(IF(A69="","missing entity_type; ","")&amp;IF(B69="","missing entity_key; ","")&amp;IF(C69="","missing referrer_order; ","")&amp;IF(E69="","missing referrer_type; ","")&amp;IF(F69="","missing referral_origin_channel; ","")&amp;IF(H69="","missing referrer_name_snapshot; ","")&amp;IF(AND(A69="client",COUNTIF('الزبائن'!$A$6:$A$505,B69)=0),"client key not found; ","")&amp;IF(AND(A69="proposed_name",COUNTIF('أسماء مقترحة'!$A$6:$A$505,B69)=0),"proposed_name key not found; ",""))))</x:f>
      </x:c>
    </x:row>
    <x:row r="70">
      <x:c r="A70" s="251"/>
      <x:c r="B70" s="252"/>
      <x:c r="C70" s="253"/>
      <x:c r="D70" s="253"/>
      <x:c r="E70" s="253"/>
      <x:c r="F70" s="253"/>
      <x:c r="G70" s="252"/>
      <x:c r="H70" s="253"/>
      <x:c r="I70" s="272"/>
      <x:c r="J70" s="253"/>
      <x:c r="K70" s="252"/>
      <x:c r="L70" s="253"/>
      <x:c r="M70" s="253"/>
      <x:c r="N70" s="253"/>
      <x:c r="O70" s="253"/>
      <x:c r="P70" s="253" t="str">
        <x:f>IF(AND(A70="",B70="",H70=""),"",IF(OR(A70="",B70="",C70="",E70="",F70="",H70="",AND(A70="client",COUNTIF('الزبائن'!$A$6:$A$505,B70)=0),AND(A70="proposed_name",COUNTIF('أسماء مقترحة'!$A$6:$A$505,B70)=0)),"REVIEW","READY"))</x:f>
      </x:c>
      <x:c r="Q70" s="255" t="str">
        <x:f>IF(P70="","",IF(P70="READY","",TRIM(IF(A70="","missing entity_type; ","")&amp;IF(B70="","missing entity_key; ","")&amp;IF(C70="","missing referrer_order; ","")&amp;IF(E70="","missing referrer_type; ","")&amp;IF(F70="","missing referral_origin_channel; ","")&amp;IF(H70="","missing referrer_name_snapshot; ","")&amp;IF(AND(A70="client",COUNTIF('الزبائن'!$A$6:$A$505,B70)=0),"client key not found; ","")&amp;IF(AND(A70="proposed_name",COUNTIF('أسماء مقترحة'!$A$6:$A$505,B70)=0),"proposed_name key not found; ",""))))</x:f>
      </x:c>
    </x:row>
    <x:row r="71">
      <x:c r="A71" s="251"/>
      <x:c r="B71" s="252"/>
      <x:c r="C71" s="253"/>
      <x:c r="D71" s="253"/>
      <x:c r="E71" s="253"/>
      <x:c r="F71" s="253"/>
      <x:c r="G71" s="252"/>
      <x:c r="H71" s="253"/>
      <x:c r="I71" s="272"/>
      <x:c r="J71" s="253"/>
      <x:c r="K71" s="252"/>
      <x:c r="L71" s="253"/>
      <x:c r="M71" s="253"/>
      <x:c r="N71" s="253"/>
      <x:c r="O71" s="253"/>
      <x:c r="P71" s="253" t="str">
        <x:f>IF(AND(A71="",B71="",H71=""),"",IF(OR(A71="",B71="",C71="",E71="",F71="",H71="",AND(A71="client",COUNTIF('الزبائن'!$A$6:$A$505,B71)=0),AND(A71="proposed_name",COUNTIF('أسماء مقترحة'!$A$6:$A$505,B71)=0)),"REVIEW","READY"))</x:f>
      </x:c>
      <x:c r="Q71" s="255" t="str">
        <x:f>IF(P71="","",IF(P71="READY","",TRIM(IF(A71="","missing entity_type; ","")&amp;IF(B71="","missing entity_key; ","")&amp;IF(C71="","missing referrer_order; ","")&amp;IF(E71="","missing referrer_type; ","")&amp;IF(F71="","missing referral_origin_channel; ","")&amp;IF(H71="","missing referrer_name_snapshot; ","")&amp;IF(AND(A71="client",COUNTIF('الزبائن'!$A$6:$A$505,B71)=0),"client key not found; ","")&amp;IF(AND(A71="proposed_name",COUNTIF('أسماء مقترحة'!$A$6:$A$505,B71)=0),"proposed_name key not found; ",""))))</x:f>
      </x:c>
    </x:row>
    <x:row r="72">
      <x:c r="A72" s="251"/>
      <x:c r="B72" s="252"/>
      <x:c r="C72" s="253"/>
      <x:c r="D72" s="253"/>
      <x:c r="E72" s="253"/>
      <x:c r="F72" s="253"/>
      <x:c r="G72" s="252"/>
      <x:c r="H72" s="253"/>
      <x:c r="I72" s="272"/>
      <x:c r="J72" s="253"/>
      <x:c r="K72" s="252"/>
      <x:c r="L72" s="253"/>
      <x:c r="M72" s="253"/>
      <x:c r="N72" s="253"/>
      <x:c r="O72" s="253"/>
      <x:c r="P72" s="253" t="str">
        <x:f>IF(AND(A72="",B72="",H72=""),"",IF(OR(A72="",B72="",C72="",E72="",F72="",H72="",AND(A72="client",COUNTIF('الزبائن'!$A$6:$A$505,B72)=0),AND(A72="proposed_name",COUNTIF('أسماء مقترحة'!$A$6:$A$505,B72)=0)),"REVIEW","READY"))</x:f>
      </x:c>
      <x:c r="Q72" s="255" t="str">
        <x:f>IF(P72="","",IF(P72="READY","",TRIM(IF(A72="","missing entity_type; ","")&amp;IF(B72="","missing entity_key; ","")&amp;IF(C72="","missing referrer_order; ","")&amp;IF(E72="","missing referrer_type; ","")&amp;IF(F72="","missing referral_origin_channel; ","")&amp;IF(H72="","missing referrer_name_snapshot; ","")&amp;IF(AND(A72="client",COUNTIF('الزبائن'!$A$6:$A$505,B72)=0),"client key not found; ","")&amp;IF(AND(A72="proposed_name",COUNTIF('أسماء مقترحة'!$A$6:$A$505,B72)=0),"proposed_name key not found; ",""))))</x:f>
      </x:c>
    </x:row>
    <x:row r="73">
      <x:c r="A73" s="251"/>
      <x:c r="B73" s="252"/>
      <x:c r="C73" s="253"/>
      <x:c r="D73" s="253"/>
      <x:c r="E73" s="253"/>
      <x:c r="F73" s="253"/>
      <x:c r="G73" s="252"/>
      <x:c r="H73" s="253"/>
      <x:c r="I73" s="272"/>
      <x:c r="J73" s="253"/>
      <x:c r="K73" s="252"/>
      <x:c r="L73" s="253"/>
      <x:c r="M73" s="253"/>
      <x:c r="N73" s="253"/>
      <x:c r="O73" s="253"/>
      <x:c r="P73" s="253" t="str">
        <x:f>IF(AND(A73="",B73="",H73=""),"",IF(OR(A73="",B73="",C73="",E73="",F73="",H73="",AND(A73="client",COUNTIF('الزبائن'!$A$6:$A$505,B73)=0),AND(A73="proposed_name",COUNTIF('أسماء مقترحة'!$A$6:$A$505,B73)=0)),"REVIEW","READY"))</x:f>
      </x:c>
      <x:c r="Q73" s="255" t="str">
        <x:f>IF(P73="","",IF(P73="READY","",TRIM(IF(A73="","missing entity_type; ","")&amp;IF(B73="","missing entity_key; ","")&amp;IF(C73="","missing referrer_order; ","")&amp;IF(E73="","missing referrer_type; ","")&amp;IF(F73="","missing referral_origin_channel; ","")&amp;IF(H73="","missing referrer_name_snapshot; ","")&amp;IF(AND(A73="client",COUNTIF('الزبائن'!$A$6:$A$505,B73)=0),"client key not found; ","")&amp;IF(AND(A73="proposed_name",COUNTIF('أسماء مقترحة'!$A$6:$A$505,B73)=0),"proposed_name key not found; ",""))))</x:f>
      </x:c>
    </x:row>
    <x:row r="74">
      <x:c r="A74" s="251"/>
      <x:c r="B74" s="252"/>
      <x:c r="C74" s="253"/>
      <x:c r="D74" s="253"/>
      <x:c r="E74" s="253"/>
      <x:c r="F74" s="253"/>
      <x:c r="G74" s="252"/>
      <x:c r="H74" s="253"/>
      <x:c r="I74" s="272"/>
      <x:c r="J74" s="253"/>
      <x:c r="K74" s="252"/>
      <x:c r="L74" s="253"/>
      <x:c r="M74" s="253"/>
      <x:c r="N74" s="253"/>
      <x:c r="O74" s="253"/>
      <x:c r="P74" s="253" t="str">
        <x:f>IF(AND(A74="",B74="",H74=""),"",IF(OR(A74="",B74="",C74="",E74="",F74="",H74="",AND(A74="client",COUNTIF('الزبائن'!$A$6:$A$505,B74)=0),AND(A74="proposed_name",COUNTIF('أسماء مقترحة'!$A$6:$A$505,B74)=0)),"REVIEW","READY"))</x:f>
      </x:c>
      <x:c r="Q74" s="255" t="str">
        <x:f>IF(P74="","",IF(P74="READY","",TRIM(IF(A74="","missing entity_type; ","")&amp;IF(B74="","missing entity_key; ","")&amp;IF(C74="","missing referrer_order; ","")&amp;IF(E74="","missing referrer_type; ","")&amp;IF(F74="","missing referral_origin_channel; ","")&amp;IF(H74="","missing referrer_name_snapshot; ","")&amp;IF(AND(A74="client",COUNTIF('الزبائن'!$A$6:$A$505,B74)=0),"client key not found; ","")&amp;IF(AND(A74="proposed_name",COUNTIF('أسماء مقترحة'!$A$6:$A$505,B74)=0),"proposed_name key not found; ",""))))</x:f>
      </x:c>
    </x:row>
    <x:row r="75">
      <x:c r="A75" s="251"/>
      <x:c r="B75" s="252"/>
      <x:c r="C75" s="253"/>
      <x:c r="D75" s="253"/>
      <x:c r="E75" s="253"/>
      <x:c r="F75" s="253"/>
      <x:c r="G75" s="252"/>
      <x:c r="H75" s="253"/>
      <x:c r="I75" s="272"/>
      <x:c r="J75" s="253"/>
      <x:c r="K75" s="252"/>
      <x:c r="L75" s="253"/>
      <x:c r="M75" s="253"/>
      <x:c r="N75" s="253"/>
      <x:c r="O75" s="253"/>
      <x:c r="P75" s="253" t="str">
        <x:f>IF(AND(A75="",B75="",H75=""),"",IF(OR(A75="",B75="",C75="",E75="",F75="",H75="",AND(A75="client",COUNTIF('الزبائن'!$A$6:$A$505,B75)=0),AND(A75="proposed_name",COUNTIF('أسماء مقترحة'!$A$6:$A$505,B75)=0)),"REVIEW","READY"))</x:f>
      </x:c>
      <x:c r="Q75" s="255" t="str">
        <x:f>IF(P75="","",IF(P75="READY","",TRIM(IF(A75="","missing entity_type; ","")&amp;IF(B75="","missing entity_key; ","")&amp;IF(C75="","missing referrer_order; ","")&amp;IF(E75="","missing referrer_type; ","")&amp;IF(F75="","missing referral_origin_channel; ","")&amp;IF(H75="","missing referrer_name_snapshot; ","")&amp;IF(AND(A75="client",COUNTIF('الزبائن'!$A$6:$A$505,B75)=0),"client key not found; ","")&amp;IF(AND(A75="proposed_name",COUNTIF('أسماء مقترحة'!$A$6:$A$505,B75)=0),"proposed_name key not found; ",""))))</x:f>
      </x:c>
    </x:row>
    <x:row r="76">
      <x:c r="A76" s="251"/>
      <x:c r="B76" s="252"/>
      <x:c r="C76" s="253"/>
      <x:c r="D76" s="253"/>
      <x:c r="E76" s="253"/>
      <x:c r="F76" s="253"/>
      <x:c r="G76" s="252"/>
      <x:c r="H76" s="253"/>
      <x:c r="I76" s="272"/>
      <x:c r="J76" s="253"/>
      <x:c r="K76" s="252"/>
      <x:c r="L76" s="253"/>
      <x:c r="M76" s="253"/>
      <x:c r="N76" s="253"/>
      <x:c r="O76" s="253"/>
      <x:c r="P76" s="253" t="str">
        <x:f>IF(AND(A76="",B76="",H76=""),"",IF(OR(A76="",B76="",C76="",E76="",F76="",H76="",AND(A76="client",COUNTIF('الزبائن'!$A$6:$A$505,B76)=0),AND(A76="proposed_name",COUNTIF('أسماء مقترحة'!$A$6:$A$505,B76)=0)),"REVIEW","READY"))</x:f>
      </x:c>
      <x:c r="Q76" s="255" t="str">
        <x:f>IF(P76="","",IF(P76="READY","",TRIM(IF(A76="","missing entity_type; ","")&amp;IF(B76="","missing entity_key; ","")&amp;IF(C76="","missing referrer_order; ","")&amp;IF(E76="","missing referrer_type; ","")&amp;IF(F76="","missing referral_origin_channel; ","")&amp;IF(H76="","missing referrer_name_snapshot; ","")&amp;IF(AND(A76="client",COUNTIF('الزبائن'!$A$6:$A$505,B76)=0),"client key not found; ","")&amp;IF(AND(A76="proposed_name",COUNTIF('أسماء مقترحة'!$A$6:$A$505,B76)=0),"proposed_name key not found; ",""))))</x:f>
      </x:c>
    </x:row>
    <x:row r="77">
      <x:c r="A77" s="251"/>
      <x:c r="B77" s="252"/>
      <x:c r="C77" s="253"/>
      <x:c r="D77" s="253"/>
      <x:c r="E77" s="253"/>
      <x:c r="F77" s="253"/>
      <x:c r="G77" s="252"/>
      <x:c r="H77" s="253"/>
      <x:c r="I77" s="272"/>
      <x:c r="J77" s="253"/>
      <x:c r="K77" s="252"/>
      <x:c r="L77" s="253"/>
      <x:c r="M77" s="253"/>
      <x:c r="N77" s="253"/>
      <x:c r="O77" s="253"/>
      <x:c r="P77" s="253" t="str">
        <x:f>IF(AND(A77="",B77="",H77=""),"",IF(OR(A77="",B77="",C77="",E77="",F77="",H77="",AND(A77="client",COUNTIF('الزبائن'!$A$6:$A$505,B77)=0),AND(A77="proposed_name",COUNTIF('أسماء مقترحة'!$A$6:$A$505,B77)=0)),"REVIEW","READY"))</x:f>
      </x:c>
      <x:c r="Q77" s="255" t="str">
        <x:f>IF(P77="","",IF(P77="READY","",TRIM(IF(A77="","missing entity_type; ","")&amp;IF(B77="","missing entity_key; ","")&amp;IF(C77="","missing referrer_order; ","")&amp;IF(E77="","missing referrer_type; ","")&amp;IF(F77="","missing referral_origin_channel; ","")&amp;IF(H77="","missing referrer_name_snapshot; ","")&amp;IF(AND(A77="client",COUNTIF('الزبائن'!$A$6:$A$505,B77)=0),"client key not found; ","")&amp;IF(AND(A77="proposed_name",COUNTIF('أسماء مقترحة'!$A$6:$A$505,B77)=0),"proposed_name key not found; ",""))))</x:f>
      </x:c>
    </x:row>
    <x:row r="78">
      <x:c r="A78" s="251"/>
      <x:c r="B78" s="252"/>
      <x:c r="C78" s="253"/>
      <x:c r="D78" s="253"/>
      <x:c r="E78" s="253"/>
      <x:c r="F78" s="253"/>
      <x:c r="G78" s="252"/>
      <x:c r="H78" s="253"/>
      <x:c r="I78" s="272"/>
      <x:c r="J78" s="253"/>
      <x:c r="K78" s="252"/>
      <x:c r="L78" s="253"/>
      <x:c r="M78" s="253"/>
      <x:c r="N78" s="253"/>
      <x:c r="O78" s="253"/>
      <x:c r="P78" s="253" t="str">
        <x:f>IF(AND(A78="",B78="",H78=""),"",IF(OR(A78="",B78="",C78="",E78="",F78="",H78="",AND(A78="client",COUNTIF('الزبائن'!$A$6:$A$505,B78)=0),AND(A78="proposed_name",COUNTIF('أسماء مقترحة'!$A$6:$A$505,B78)=0)),"REVIEW","READY"))</x:f>
      </x:c>
      <x:c r="Q78" s="255" t="str">
        <x:f>IF(P78="","",IF(P78="READY","",TRIM(IF(A78="","missing entity_type; ","")&amp;IF(B78="","missing entity_key; ","")&amp;IF(C78="","missing referrer_order; ","")&amp;IF(E78="","missing referrer_type; ","")&amp;IF(F78="","missing referral_origin_channel; ","")&amp;IF(H78="","missing referrer_name_snapshot; ","")&amp;IF(AND(A78="client",COUNTIF('الزبائن'!$A$6:$A$505,B78)=0),"client key not found; ","")&amp;IF(AND(A78="proposed_name",COUNTIF('أسماء مقترحة'!$A$6:$A$505,B78)=0),"proposed_name key not found; ",""))))</x:f>
      </x:c>
    </x:row>
    <x:row r="79">
      <x:c r="A79" s="251"/>
      <x:c r="B79" s="252"/>
      <x:c r="C79" s="253"/>
      <x:c r="D79" s="253"/>
      <x:c r="E79" s="253"/>
      <x:c r="F79" s="253"/>
      <x:c r="G79" s="252"/>
      <x:c r="H79" s="253"/>
      <x:c r="I79" s="272"/>
      <x:c r="J79" s="253"/>
      <x:c r="K79" s="252"/>
      <x:c r="L79" s="253"/>
      <x:c r="M79" s="253"/>
      <x:c r="N79" s="253"/>
      <x:c r="O79" s="253"/>
      <x:c r="P79" s="253" t="str">
        <x:f>IF(AND(A79="",B79="",H79=""),"",IF(OR(A79="",B79="",C79="",E79="",F79="",H79="",AND(A79="client",COUNTIF('الزبائن'!$A$6:$A$505,B79)=0),AND(A79="proposed_name",COUNTIF('أسماء مقترحة'!$A$6:$A$505,B79)=0)),"REVIEW","READY"))</x:f>
      </x:c>
      <x:c r="Q79" s="255" t="str">
        <x:f>IF(P79="","",IF(P79="READY","",TRIM(IF(A79="","missing entity_type; ","")&amp;IF(B79="","missing entity_key; ","")&amp;IF(C79="","missing referrer_order; ","")&amp;IF(E79="","missing referrer_type; ","")&amp;IF(F79="","missing referral_origin_channel; ","")&amp;IF(H79="","missing referrer_name_snapshot; ","")&amp;IF(AND(A79="client",COUNTIF('الزبائن'!$A$6:$A$505,B79)=0),"client key not found; ","")&amp;IF(AND(A79="proposed_name",COUNTIF('أسماء مقترحة'!$A$6:$A$505,B79)=0),"proposed_name key not found; ",""))))</x:f>
      </x:c>
    </x:row>
    <x:row r="80">
      <x:c r="A80" s="251"/>
      <x:c r="B80" s="252"/>
      <x:c r="C80" s="253"/>
      <x:c r="D80" s="253"/>
      <x:c r="E80" s="253"/>
      <x:c r="F80" s="253"/>
      <x:c r="G80" s="252"/>
      <x:c r="H80" s="253"/>
      <x:c r="I80" s="272"/>
      <x:c r="J80" s="253"/>
      <x:c r="K80" s="252"/>
      <x:c r="L80" s="253"/>
      <x:c r="M80" s="253"/>
      <x:c r="N80" s="253"/>
      <x:c r="O80" s="253"/>
      <x:c r="P80" s="253" t="str">
        <x:f>IF(AND(A80="",B80="",H80=""),"",IF(OR(A80="",B80="",C80="",E80="",F80="",H80="",AND(A80="client",COUNTIF('الزبائن'!$A$6:$A$505,B80)=0),AND(A80="proposed_name",COUNTIF('أسماء مقترحة'!$A$6:$A$505,B80)=0)),"REVIEW","READY"))</x:f>
      </x:c>
      <x:c r="Q80" s="255" t="str">
        <x:f>IF(P80="","",IF(P80="READY","",TRIM(IF(A80="","missing entity_type; ","")&amp;IF(B80="","missing entity_key; ","")&amp;IF(C80="","missing referrer_order; ","")&amp;IF(E80="","missing referrer_type; ","")&amp;IF(F80="","missing referral_origin_channel; ","")&amp;IF(H80="","missing referrer_name_snapshot; ","")&amp;IF(AND(A80="client",COUNTIF('الزبائن'!$A$6:$A$505,B80)=0),"client key not found; ","")&amp;IF(AND(A80="proposed_name",COUNTIF('أسماء مقترحة'!$A$6:$A$505,B80)=0),"proposed_name key not found; ",""))))</x:f>
      </x:c>
    </x:row>
    <x:row r="81">
      <x:c r="A81" s="251"/>
      <x:c r="B81" s="252"/>
      <x:c r="C81" s="253"/>
      <x:c r="D81" s="253"/>
      <x:c r="E81" s="253"/>
      <x:c r="F81" s="253"/>
      <x:c r="G81" s="252"/>
      <x:c r="H81" s="253"/>
      <x:c r="I81" s="272"/>
      <x:c r="J81" s="253"/>
      <x:c r="K81" s="252"/>
      <x:c r="L81" s="253"/>
      <x:c r="M81" s="253"/>
      <x:c r="N81" s="253"/>
      <x:c r="O81" s="253"/>
      <x:c r="P81" s="253" t="str">
        <x:f>IF(AND(A81="",B81="",H81=""),"",IF(OR(A81="",B81="",C81="",E81="",F81="",H81="",AND(A81="client",COUNTIF('الزبائن'!$A$6:$A$505,B81)=0),AND(A81="proposed_name",COUNTIF('أسماء مقترحة'!$A$6:$A$505,B81)=0)),"REVIEW","READY"))</x:f>
      </x:c>
      <x:c r="Q81" s="255" t="str">
        <x:f>IF(P81="","",IF(P81="READY","",TRIM(IF(A81="","missing entity_type; ","")&amp;IF(B81="","missing entity_key; ","")&amp;IF(C81="","missing referrer_order; ","")&amp;IF(E81="","missing referrer_type; ","")&amp;IF(F81="","missing referral_origin_channel; ","")&amp;IF(H81="","missing referrer_name_snapshot; ","")&amp;IF(AND(A81="client",COUNTIF('الزبائن'!$A$6:$A$505,B81)=0),"client key not found; ","")&amp;IF(AND(A81="proposed_name",COUNTIF('أسماء مقترحة'!$A$6:$A$505,B81)=0),"proposed_name key not found; ",""))))</x:f>
      </x:c>
    </x:row>
    <x:row r="82">
      <x:c r="A82" s="251"/>
      <x:c r="B82" s="252"/>
      <x:c r="C82" s="253"/>
      <x:c r="D82" s="253"/>
      <x:c r="E82" s="253"/>
      <x:c r="F82" s="253"/>
      <x:c r="G82" s="252"/>
      <x:c r="H82" s="253"/>
      <x:c r="I82" s="272"/>
      <x:c r="J82" s="253"/>
      <x:c r="K82" s="252"/>
      <x:c r="L82" s="253"/>
      <x:c r="M82" s="253"/>
      <x:c r="N82" s="253"/>
      <x:c r="O82" s="253"/>
      <x:c r="P82" s="253" t="str">
        <x:f>IF(AND(A82="",B82="",H82=""),"",IF(OR(A82="",B82="",C82="",E82="",F82="",H82="",AND(A82="client",COUNTIF('الزبائن'!$A$6:$A$505,B82)=0),AND(A82="proposed_name",COUNTIF('أسماء مقترحة'!$A$6:$A$505,B82)=0)),"REVIEW","READY"))</x:f>
      </x:c>
      <x:c r="Q82" s="255" t="str">
        <x:f>IF(P82="","",IF(P82="READY","",TRIM(IF(A82="","missing entity_type; ","")&amp;IF(B82="","missing entity_key; ","")&amp;IF(C82="","missing referrer_order; ","")&amp;IF(E82="","missing referrer_type; ","")&amp;IF(F82="","missing referral_origin_channel; ","")&amp;IF(H82="","missing referrer_name_snapshot; ","")&amp;IF(AND(A82="client",COUNTIF('الزبائن'!$A$6:$A$505,B82)=0),"client key not found; ","")&amp;IF(AND(A82="proposed_name",COUNTIF('أسماء مقترحة'!$A$6:$A$505,B82)=0),"proposed_name key not found; ",""))))</x:f>
      </x:c>
    </x:row>
    <x:row r="83">
      <x:c r="A83" s="251"/>
      <x:c r="B83" s="252"/>
      <x:c r="C83" s="253"/>
      <x:c r="D83" s="253"/>
      <x:c r="E83" s="253"/>
      <x:c r="F83" s="253"/>
      <x:c r="G83" s="252"/>
      <x:c r="H83" s="253"/>
      <x:c r="I83" s="272"/>
      <x:c r="J83" s="253"/>
      <x:c r="K83" s="252"/>
      <x:c r="L83" s="253"/>
      <x:c r="M83" s="253"/>
      <x:c r="N83" s="253"/>
      <x:c r="O83" s="253"/>
      <x:c r="P83" s="253" t="str">
        <x:f>IF(AND(A83="",B83="",H83=""),"",IF(OR(A83="",B83="",C83="",E83="",F83="",H83="",AND(A83="client",COUNTIF('الزبائن'!$A$6:$A$505,B83)=0),AND(A83="proposed_name",COUNTIF('أسماء مقترحة'!$A$6:$A$505,B83)=0)),"REVIEW","READY"))</x:f>
      </x:c>
      <x:c r="Q83" s="255" t="str">
        <x:f>IF(P83="","",IF(P83="READY","",TRIM(IF(A83="","missing entity_type; ","")&amp;IF(B83="","missing entity_key; ","")&amp;IF(C83="","missing referrer_order; ","")&amp;IF(E83="","missing referrer_type; ","")&amp;IF(F83="","missing referral_origin_channel; ","")&amp;IF(H83="","missing referrer_name_snapshot; ","")&amp;IF(AND(A83="client",COUNTIF('الزبائن'!$A$6:$A$505,B83)=0),"client key not found; ","")&amp;IF(AND(A83="proposed_name",COUNTIF('أسماء مقترحة'!$A$6:$A$505,B83)=0),"proposed_name key not found; ",""))))</x:f>
      </x:c>
    </x:row>
    <x:row r="84">
      <x:c r="A84" s="251"/>
      <x:c r="B84" s="252"/>
      <x:c r="C84" s="253"/>
      <x:c r="D84" s="253"/>
      <x:c r="E84" s="253"/>
      <x:c r="F84" s="253"/>
      <x:c r="G84" s="252"/>
      <x:c r="H84" s="253"/>
      <x:c r="I84" s="272"/>
      <x:c r="J84" s="253"/>
      <x:c r="K84" s="252"/>
      <x:c r="L84" s="253"/>
      <x:c r="M84" s="253"/>
      <x:c r="N84" s="253"/>
      <x:c r="O84" s="253"/>
      <x:c r="P84" s="253" t="str">
        <x:f>IF(AND(A84="",B84="",H84=""),"",IF(OR(A84="",B84="",C84="",E84="",F84="",H84="",AND(A84="client",COUNTIF('الزبائن'!$A$6:$A$505,B84)=0),AND(A84="proposed_name",COUNTIF('أسماء مقترحة'!$A$6:$A$505,B84)=0)),"REVIEW","READY"))</x:f>
      </x:c>
      <x:c r="Q84" s="255" t="str">
        <x:f>IF(P84="","",IF(P84="READY","",TRIM(IF(A84="","missing entity_type; ","")&amp;IF(B84="","missing entity_key; ","")&amp;IF(C84="","missing referrer_order; ","")&amp;IF(E84="","missing referrer_type; ","")&amp;IF(F84="","missing referral_origin_channel; ","")&amp;IF(H84="","missing referrer_name_snapshot; ","")&amp;IF(AND(A84="client",COUNTIF('الزبائن'!$A$6:$A$505,B84)=0),"client key not found; ","")&amp;IF(AND(A84="proposed_name",COUNTIF('أسماء مقترحة'!$A$6:$A$505,B84)=0),"proposed_name key not found; ",""))))</x:f>
      </x:c>
    </x:row>
    <x:row r="85">
      <x:c r="A85" s="251"/>
      <x:c r="B85" s="252"/>
      <x:c r="C85" s="253"/>
      <x:c r="D85" s="253"/>
      <x:c r="E85" s="253"/>
      <x:c r="F85" s="253"/>
      <x:c r="G85" s="252"/>
      <x:c r="H85" s="253"/>
      <x:c r="I85" s="272"/>
      <x:c r="J85" s="253"/>
      <x:c r="K85" s="252"/>
      <x:c r="L85" s="253"/>
      <x:c r="M85" s="253"/>
      <x:c r="N85" s="253"/>
      <x:c r="O85" s="253"/>
      <x:c r="P85" s="253" t="str">
        <x:f>IF(AND(A85="",B85="",H85=""),"",IF(OR(A85="",B85="",C85="",E85="",F85="",H85="",AND(A85="client",COUNTIF('الزبائن'!$A$6:$A$505,B85)=0),AND(A85="proposed_name",COUNTIF('أسماء مقترحة'!$A$6:$A$505,B85)=0)),"REVIEW","READY"))</x:f>
      </x:c>
      <x:c r="Q85" s="255" t="str">
        <x:f>IF(P85="","",IF(P85="READY","",TRIM(IF(A85="","missing entity_type; ","")&amp;IF(B85="","missing entity_key; ","")&amp;IF(C85="","missing referrer_order; ","")&amp;IF(E85="","missing referrer_type; ","")&amp;IF(F85="","missing referral_origin_channel; ","")&amp;IF(H85="","missing referrer_name_snapshot; ","")&amp;IF(AND(A85="client",COUNTIF('الزبائن'!$A$6:$A$505,B85)=0),"client key not found; ","")&amp;IF(AND(A85="proposed_name",COUNTIF('أسماء مقترحة'!$A$6:$A$505,B85)=0),"proposed_name key not found; ",""))))</x:f>
      </x:c>
    </x:row>
    <x:row r="86">
      <x:c r="A86" s="251"/>
      <x:c r="B86" s="252"/>
      <x:c r="C86" s="253"/>
      <x:c r="D86" s="253"/>
      <x:c r="E86" s="253"/>
      <x:c r="F86" s="253"/>
      <x:c r="G86" s="252"/>
      <x:c r="H86" s="253"/>
      <x:c r="I86" s="272"/>
      <x:c r="J86" s="253"/>
      <x:c r="K86" s="252"/>
      <x:c r="L86" s="253"/>
      <x:c r="M86" s="253"/>
      <x:c r="N86" s="253"/>
      <x:c r="O86" s="253"/>
      <x:c r="P86" s="253" t="str">
        <x:f>IF(AND(A86="",B86="",H86=""),"",IF(OR(A86="",B86="",C86="",E86="",F86="",H86="",AND(A86="client",COUNTIF('الزبائن'!$A$6:$A$505,B86)=0),AND(A86="proposed_name",COUNTIF('أسماء مقترحة'!$A$6:$A$505,B86)=0)),"REVIEW","READY"))</x:f>
      </x:c>
      <x:c r="Q86" s="255" t="str">
        <x:f>IF(P86="","",IF(P86="READY","",TRIM(IF(A86="","missing entity_type; ","")&amp;IF(B86="","missing entity_key; ","")&amp;IF(C86="","missing referrer_order; ","")&amp;IF(E86="","missing referrer_type; ","")&amp;IF(F86="","missing referral_origin_channel; ","")&amp;IF(H86="","missing referrer_name_snapshot; ","")&amp;IF(AND(A86="client",COUNTIF('الزبائن'!$A$6:$A$505,B86)=0),"client key not found; ","")&amp;IF(AND(A86="proposed_name",COUNTIF('أسماء مقترحة'!$A$6:$A$505,B86)=0),"proposed_name key not found; ",""))))</x:f>
      </x:c>
    </x:row>
    <x:row r="87">
      <x:c r="A87" s="251"/>
      <x:c r="B87" s="252"/>
      <x:c r="C87" s="253"/>
      <x:c r="D87" s="253"/>
      <x:c r="E87" s="253"/>
      <x:c r="F87" s="253"/>
      <x:c r="G87" s="252"/>
      <x:c r="H87" s="253"/>
      <x:c r="I87" s="272"/>
      <x:c r="J87" s="253"/>
      <x:c r="K87" s="252"/>
      <x:c r="L87" s="253"/>
      <x:c r="M87" s="253"/>
      <x:c r="N87" s="253"/>
      <x:c r="O87" s="253"/>
      <x:c r="P87" s="253" t="str">
        <x:f>IF(AND(A87="",B87="",H87=""),"",IF(OR(A87="",B87="",C87="",E87="",F87="",H87="",AND(A87="client",COUNTIF('الزبائن'!$A$6:$A$505,B87)=0),AND(A87="proposed_name",COUNTIF('أسماء مقترحة'!$A$6:$A$505,B87)=0)),"REVIEW","READY"))</x:f>
      </x:c>
      <x:c r="Q87" s="255" t="str">
        <x:f>IF(P87="","",IF(P87="READY","",TRIM(IF(A87="","missing entity_type; ","")&amp;IF(B87="","missing entity_key; ","")&amp;IF(C87="","missing referrer_order; ","")&amp;IF(E87="","missing referrer_type; ","")&amp;IF(F87="","missing referral_origin_channel; ","")&amp;IF(H87="","missing referrer_name_snapshot; ","")&amp;IF(AND(A87="client",COUNTIF('الزبائن'!$A$6:$A$505,B87)=0),"client key not found; ","")&amp;IF(AND(A87="proposed_name",COUNTIF('أسماء مقترحة'!$A$6:$A$505,B87)=0),"proposed_name key not found; ",""))))</x:f>
      </x:c>
    </x:row>
    <x:row r="88">
      <x:c r="A88" s="251"/>
      <x:c r="B88" s="252"/>
      <x:c r="C88" s="253"/>
      <x:c r="D88" s="253"/>
      <x:c r="E88" s="253"/>
      <x:c r="F88" s="253"/>
      <x:c r="G88" s="252"/>
      <x:c r="H88" s="253"/>
      <x:c r="I88" s="272"/>
      <x:c r="J88" s="253"/>
      <x:c r="K88" s="252"/>
      <x:c r="L88" s="253"/>
      <x:c r="M88" s="253"/>
      <x:c r="N88" s="253"/>
      <x:c r="O88" s="253"/>
      <x:c r="P88" s="253" t="str">
        <x:f>IF(AND(A88="",B88="",H88=""),"",IF(OR(A88="",B88="",C88="",E88="",F88="",H88="",AND(A88="client",COUNTIF('الزبائن'!$A$6:$A$505,B88)=0),AND(A88="proposed_name",COUNTIF('أسماء مقترحة'!$A$6:$A$505,B88)=0)),"REVIEW","READY"))</x:f>
      </x:c>
      <x:c r="Q88" s="255" t="str">
        <x:f>IF(P88="","",IF(P88="READY","",TRIM(IF(A88="","missing entity_type; ","")&amp;IF(B88="","missing entity_key; ","")&amp;IF(C88="","missing referrer_order; ","")&amp;IF(E88="","missing referrer_type; ","")&amp;IF(F88="","missing referral_origin_channel; ","")&amp;IF(H88="","missing referrer_name_snapshot; ","")&amp;IF(AND(A88="client",COUNTIF('الزبائن'!$A$6:$A$505,B88)=0),"client key not found; ","")&amp;IF(AND(A88="proposed_name",COUNTIF('أسماء مقترحة'!$A$6:$A$505,B88)=0),"proposed_name key not found; ",""))))</x:f>
      </x:c>
    </x:row>
    <x:row r="89">
      <x:c r="A89" s="251"/>
      <x:c r="B89" s="252"/>
      <x:c r="C89" s="253"/>
      <x:c r="D89" s="253"/>
      <x:c r="E89" s="253"/>
      <x:c r="F89" s="253"/>
      <x:c r="G89" s="252"/>
      <x:c r="H89" s="253"/>
      <x:c r="I89" s="272"/>
      <x:c r="J89" s="253"/>
      <x:c r="K89" s="252"/>
      <x:c r="L89" s="253"/>
      <x:c r="M89" s="253"/>
      <x:c r="N89" s="253"/>
      <x:c r="O89" s="253"/>
      <x:c r="P89" s="253" t="str">
        <x:f>IF(AND(A89="",B89="",H89=""),"",IF(OR(A89="",B89="",C89="",E89="",F89="",H89="",AND(A89="client",COUNTIF('الزبائن'!$A$6:$A$505,B89)=0),AND(A89="proposed_name",COUNTIF('أسماء مقترحة'!$A$6:$A$505,B89)=0)),"REVIEW","READY"))</x:f>
      </x:c>
      <x:c r="Q89" s="255" t="str">
        <x:f>IF(P89="","",IF(P89="READY","",TRIM(IF(A89="","missing entity_type; ","")&amp;IF(B89="","missing entity_key; ","")&amp;IF(C89="","missing referrer_order; ","")&amp;IF(E89="","missing referrer_type; ","")&amp;IF(F89="","missing referral_origin_channel; ","")&amp;IF(H89="","missing referrer_name_snapshot; ","")&amp;IF(AND(A89="client",COUNTIF('الزبائن'!$A$6:$A$505,B89)=0),"client key not found; ","")&amp;IF(AND(A89="proposed_name",COUNTIF('أسماء مقترحة'!$A$6:$A$505,B89)=0),"proposed_name key not found; ",""))))</x:f>
      </x:c>
    </x:row>
    <x:row r="90">
      <x:c r="A90" s="251"/>
      <x:c r="B90" s="252"/>
      <x:c r="C90" s="253"/>
      <x:c r="D90" s="253"/>
      <x:c r="E90" s="253"/>
      <x:c r="F90" s="253"/>
      <x:c r="G90" s="252"/>
      <x:c r="H90" s="253"/>
      <x:c r="I90" s="272"/>
      <x:c r="J90" s="253"/>
      <x:c r="K90" s="252"/>
      <x:c r="L90" s="253"/>
      <x:c r="M90" s="253"/>
      <x:c r="N90" s="253"/>
      <x:c r="O90" s="253"/>
      <x:c r="P90" s="253" t="str">
        <x:f>IF(AND(A90="",B90="",H90=""),"",IF(OR(A90="",B90="",C90="",E90="",F90="",H90="",AND(A90="client",COUNTIF('الزبائن'!$A$6:$A$505,B90)=0),AND(A90="proposed_name",COUNTIF('أسماء مقترحة'!$A$6:$A$505,B90)=0)),"REVIEW","READY"))</x:f>
      </x:c>
      <x:c r="Q90" s="255" t="str">
        <x:f>IF(P90="","",IF(P90="READY","",TRIM(IF(A90="","missing entity_type; ","")&amp;IF(B90="","missing entity_key; ","")&amp;IF(C90="","missing referrer_order; ","")&amp;IF(E90="","missing referrer_type; ","")&amp;IF(F90="","missing referral_origin_channel; ","")&amp;IF(H90="","missing referrer_name_snapshot; ","")&amp;IF(AND(A90="client",COUNTIF('الزبائن'!$A$6:$A$505,B90)=0),"client key not found; ","")&amp;IF(AND(A90="proposed_name",COUNTIF('أسماء مقترحة'!$A$6:$A$505,B90)=0),"proposed_name key not found; ",""))))</x:f>
      </x:c>
    </x:row>
    <x:row r="91">
      <x:c r="A91" s="251"/>
      <x:c r="B91" s="252"/>
      <x:c r="C91" s="253"/>
      <x:c r="D91" s="253"/>
      <x:c r="E91" s="253"/>
      <x:c r="F91" s="253"/>
      <x:c r="G91" s="252"/>
      <x:c r="H91" s="253"/>
      <x:c r="I91" s="272"/>
      <x:c r="J91" s="253"/>
      <x:c r="K91" s="252"/>
      <x:c r="L91" s="253"/>
      <x:c r="M91" s="253"/>
      <x:c r="N91" s="253"/>
      <x:c r="O91" s="253"/>
      <x:c r="P91" s="253" t="str">
        <x:f>IF(AND(A91="",B91="",H91=""),"",IF(OR(A91="",B91="",C91="",E91="",F91="",H91="",AND(A91="client",COUNTIF('الزبائن'!$A$6:$A$505,B91)=0),AND(A91="proposed_name",COUNTIF('أسماء مقترحة'!$A$6:$A$505,B91)=0)),"REVIEW","READY"))</x:f>
      </x:c>
      <x:c r="Q91" s="255" t="str">
        <x:f>IF(P91="","",IF(P91="READY","",TRIM(IF(A91="","missing entity_type; ","")&amp;IF(B91="","missing entity_key; ","")&amp;IF(C91="","missing referrer_order; ","")&amp;IF(E91="","missing referrer_type; ","")&amp;IF(F91="","missing referral_origin_channel; ","")&amp;IF(H91="","missing referrer_name_snapshot; ","")&amp;IF(AND(A91="client",COUNTIF('الزبائن'!$A$6:$A$505,B91)=0),"client key not found; ","")&amp;IF(AND(A91="proposed_name",COUNTIF('أسماء مقترحة'!$A$6:$A$505,B91)=0),"proposed_name key not found; ",""))))</x:f>
      </x:c>
    </x:row>
    <x:row r="92">
      <x:c r="A92" s="251"/>
      <x:c r="B92" s="252"/>
      <x:c r="C92" s="253"/>
      <x:c r="D92" s="253"/>
      <x:c r="E92" s="253"/>
      <x:c r="F92" s="253"/>
      <x:c r="G92" s="252"/>
      <x:c r="H92" s="253"/>
      <x:c r="I92" s="272"/>
      <x:c r="J92" s="253"/>
      <x:c r="K92" s="252"/>
      <x:c r="L92" s="253"/>
      <x:c r="M92" s="253"/>
      <x:c r="N92" s="253"/>
      <x:c r="O92" s="253"/>
      <x:c r="P92" s="253" t="str">
        <x:f>IF(AND(A92="",B92="",H92=""),"",IF(OR(A92="",B92="",C92="",E92="",F92="",H92="",AND(A92="client",COUNTIF('الزبائن'!$A$6:$A$505,B92)=0),AND(A92="proposed_name",COUNTIF('أسماء مقترحة'!$A$6:$A$505,B92)=0)),"REVIEW","READY"))</x:f>
      </x:c>
      <x:c r="Q92" s="255" t="str">
        <x:f>IF(P92="","",IF(P92="READY","",TRIM(IF(A92="","missing entity_type; ","")&amp;IF(B92="","missing entity_key; ","")&amp;IF(C92="","missing referrer_order; ","")&amp;IF(E92="","missing referrer_type; ","")&amp;IF(F92="","missing referral_origin_channel; ","")&amp;IF(H92="","missing referrer_name_snapshot; ","")&amp;IF(AND(A92="client",COUNTIF('الزبائن'!$A$6:$A$505,B92)=0),"client key not found; ","")&amp;IF(AND(A92="proposed_name",COUNTIF('أسماء مقترحة'!$A$6:$A$505,B92)=0),"proposed_name key not found; ",""))))</x:f>
      </x:c>
    </x:row>
    <x:row r="93">
      <x:c r="A93" s="251"/>
      <x:c r="B93" s="252"/>
      <x:c r="C93" s="253"/>
      <x:c r="D93" s="253"/>
      <x:c r="E93" s="253"/>
      <x:c r="F93" s="253"/>
      <x:c r="G93" s="252"/>
      <x:c r="H93" s="253"/>
      <x:c r="I93" s="272"/>
      <x:c r="J93" s="253"/>
      <x:c r="K93" s="252"/>
      <x:c r="L93" s="253"/>
      <x:c r="M93" s="253"/>
      <x:c r="N93" s="253"/>
      <x:c r="O93" s="253"/>
      <x:c r="P93" s="253" t="str">
        <x:f>IF(AND(A93="",B93="",H93=""),"",IF(OR(A93="",B93="",C93="",E93="",F93="",H93="",AND(A93="client",COUNTIF('الزبائن'!$A$6:$A$505,B93)=0),AND(A93="proposed_name",COUNTIF('أسماء مقترحة'!$A$6:$A$505,B93)=0)),"REVIEW","READY"))</x:f>
      </x:c>
      <x:c r="Q93" s="255" t="str">
        <x:f>IF(P93="","",IF(P93="READY","",TRIM(IF(A93="","missing entity_type; ","")&amp;IF(B93="","missing entity_key; ","")&amp;IF(C93="","missing referrer_order; ","")&amp;IF(E93="","missing referrer_type; ","")&amp;IF(F93="","missing referral_origin_channel; ","")&amp;IF(H93="","missing referrer_name_snapshot; ","")&amp;IF(AND(A93="client",COUNTIF('الزبائن'!$A$6:$A$505,B93)=0),"client key not found; ","")&amp;IF(AND(A93="proposed_name",COUNTIF('أسماء مقترحة'!$A$6:$A$505,B93)=0),"proposed_name key not found; ",""))))</x:f>
      </x:c>
    </x:row>
    <x:row r="94">
      <x:c r="A94" s="251"/>
      <x:c r="B94" s="252"/>
      <x:c r="C94" s="253"/>
      <x:c r="D94" s="253"/>
      <x:c r="E94" s="253"/>
      <x:c r="F94" s="253"/>
      <x:c r="G94" s="252"/>
      <x:c r="H94" s="253"/>
      <x:c r="I94" s="272"/>
      <x:c r="J94" s="253"/>
      <x:c r="K94" s="252"/>
      <x:c r="L94" s="253"/>
      <x:c r="M94" s="253"/>
      <x:c r="N94" s="253"/>
      <x:c r="O94" s="253"/>
      <x:c r="P94" s="253" t="str">
        <x:f>IF(AND(A94="",B94="",H94=""),"",IF(OR(A94="",B94="",C94="",E94="",F94="",H94="",AND(A94="client",COUNTIF('الزبائن'!$A$6:$A$505,B94)=0),AND(A94="proposed_name",COUNTIF('أسماء مقترحة'!$A$6:$A$505,B94)=0)),"REVIEW","READY"))</x:f>
      </x:c>
      <x:c r="Q94" s="255" t="str">
        <x:f>IF(P94="","",IF(P94="READY","",TRIM(IF(A94="","missing entity_type; ","")&amp;IF(B94="","missing entity_key; ","")&amp;IF(C94="","missing referrer_order; ","")&amp;IF(E94="","missing referrer_type; ","")&amp;IF(F94="","missing referral_origin_channel; ","")&amp;IF(H94="","missing referrer_name_snapshot; ","")&amp;IF(AND(A94="client",COUNTIF('الزبائن'!$A$6:$A$505,B94)=0),"client key not found; ","")&amp;IF(AND(A94="proposed_name",COUNTIF('أسماء مقترحة'!$A$6:$A$505,B94)=0),"proposed_name key not found; ",""))))</x:f>
      </x:c>
    </x:row>
    <x:row r="95">
      <x:c r="A95" s="251"/>
      <x:c r="B95" s="252"/>
      <x:c r="C95" s="253"/>
      <x:c r="D95" s="253"/>
      <x:c r="E95" s="253"/>
      <x:c r="F95" s="253"/>
      <x:c r="G95" s="252"/>
      <x:c r="H95" s="253"/>
      <x:c r="I95" s="272"/>
      <x:c r="J95" s="253"/>
      <x:c r="K95" s="252"/>
      <x:c r="L95" s="253"/>
      <x:c r="M95" s="253"/>
      <x:c r="N95" s="253"/>
      <x:c r="O95" s="253"/>
      <x:c r="P95" s="253" t="str">
        <x:f>IF(AND(A95="",B95="",H95=""),"",IF(OR(A95="",B95="",C95="",E95="",F95="",H95="",AND(A95="client",COUNTIF('الزبائن'!$A$6:$A$505,B95)=0),AND(A95="proposed_name",COUNTIF('أسماء مقترحة'!$A$6:$A$505,B95)=0)),"REVIEW","READY"))</x:f>
      </x:c>
      <x:c r="Q95" s="255" t="str">
        <x:f>IF(P95="","",IF(P95="READY","",TRIM(IF(A95="","missing entity_type; ","")&amp;IF(B95="","missing entity_key; ","")&amp;IF(C95="","missing referrer_order; ","")&amp;IF(E95="","missing referrer_type; ","")&amp;IF(F95="","missing referral_origin_channel; ","")&amp;IF(H95="","missing referrer_name_snapshot; ","")&amp;IF(AND(A95="client",COUNTIF('الزبائن'!$A$6:$A$505,B95)=0),"client key not found; ","")&amp;IF(AND(A95="proposed_name",COUNTIF('أسماء مقترحة'!$A$6:$A$505,B95)=0),"proposed_name key not found; ",""))))</x:f>
      </x:c>
    </x:row>
    <x:row r="96">
      <x:c r="A96" s="251"/>
      <x:c r="B96" s="252"/>
      <x:c r="C96" s="253"/>
      <x:c r="D96" s="253"/>
      <x:c r="E96" s="253"/>
      <x:c r="F96" s="253"/>
      <x:c r="G96" s="252"/>
      <x:c r="H96" s="253"/>
      <x:c r="I96" s="272"/>
      <x:c r="J96" s="253"/>
      <x:c r="K96" s="252"/>
      <x:c r="L96" s="253"/>
      <x:c r="M96" s="253"/>
      <x:c r="N96" s="253"/>
      <x:c r="O96" s="253"/>
      <x:c r="P96" s="253" t="str">
        <x:f>IF(AND(A96="",B96="",H96=""),"",IF(OR(A96="",B96="",C96="",E96="",F96="",H96="",AND(A96="client",COUNTIF('الزبائن'!$A$6:$A$505,B96)=0),AND(A96="proposed_name",COUNTIF('أسماء مقترحة'!$A$6:$A$505,B96)=0)),"REVIEW","READY"))</x:f>
      </x:c>
      <x:c r="Q96" s="255" t="str">
        <x:f>IF(P96="","",IF(P96="READY","",TRIM(IF(A96="","missing entity_type; ","")&amp;IF(B96="","missing entity_key; ","")&amp;IF(C96="","missing referrer_order; ","")&amp;IF(E96="","missing referrer_type; ","")&amp;IF(F96="","missing referral_origin_channel; ","")&amp;IF(H96="","missing referrer_name_snapshot; ","")&amp;IF(AND(A96="client",COUNTIF('الزبائن'!$A$6:$A$505,B96)=0),"client key not found; ","")&amp;IF(AND(A96="proposed_name",COUNTIF('أسماء مقترحة'!$A$6:$A$505,B96)=0),"proposed_name key not found; ",""))))</x:f>
      </x:c>
    </x:row>
    <x:row r="97">
      <x:c r="A97" s="251"/>
      <x:c r="B97" s="252"/>
      <x:c r="C97" s="253"/>
      <x:c r="D97" s="253"/>
      <x:c r="E97" s="253"/>
      <x:c r="F97" s="253"/>
      <x:c r="G97" s="252"/>
      <x:c r="H97" s="253"/>
      <x:c r="I97" s="272"/>
      <x:c r="J97" s="253"/>
      <x:c r="K97" s="252"/>
      <x:c r="L97" s="253"/>
      <x:c r="M97" s="253"/>
      <x:c r="N97" s="253"/>
      <x:c r="O97" s="253"/>
      <x:c r="P97" s="253" t="str">
        <x:f>IF(AND(A97="",B97="",H97=""),"",IF(OR(A97="",B97="",C97="",E97="",F97="",H97="",AND(A97="client",COUNTIF('الزبائن'!$A$6:$A$505,B97)=0),AND(A97="proposed_name",COUNTIF('أسماء مقترحة'!$A$6:$A$505,B97)=0)),"REVIEW","READY"))</x:f>
      </x:c>
      <x:c r="Q97" s="255" t="str">
        <x:f>IF(P97="","",IF(P97="READY","",TRIM(IF(A97="","missing entity_type; ","")&amp;IF(B97="","missing entity_key; ","")&amp;IF(C97="","missing referrer_order; ","")&amp;IF(E97="","missing referrer_type; ","")&amp;IF(F97="","missing referral_origin_channel; ","")&amp;IF(H97="","missing referrer_name_snapshot; ","")&amp;IF(AND(A97="client",COUNTIF('الزبائن'!$A$6:$A$505,B97)=0),"client key not found; ","")&amp;IF(AND(A97="proposed_name",COUNTIF('أسماء مقترحة'!$A$6:$A$505,B97)=0),"proposed_name key not found; ",""))))</x:f>
      </x:c>
    </x:row>
    <x:row r="98">
      <x:c r="A98" s="251"/>
      <x:c r="B98" s="252"/>
      <x:c r="C98" s="253"/>
      <x:c r="D98" s="253"/>
      <x:c r="E98" s="253"/>
      <x:c r="F98" s="253"/>
      <x:c r="G98" s="252"/>
      <x:c r="H98" s="253"/>
      <x:c r="I98" s="272"/>
      <x:c r="J98" s="253"/>
      <x:c r="K98" s="252"/>
      <x:c r="L98" s="253"/>
      <x:c r="M98" s="253"/>
      <x:c r="N98" s="253"/>
      <x:c r="O98" s="253"/>
      <x:c r="P98" s="253" t="str">
        <x:f>IF(AND(A98="",B98="",H98=""),"",IF(OR(A98="",B98="",C98="",E98="",F98="",H98="",AND(A98="client",COUNTIF('الزبائن'!$A$6:$A$505,B98)=0),AND(A98="proposed_name",COUNTIF('أسماء مقترحة'!$A$6:$A$505,B98)=0)),"REVIEW","READY"))</x:f>
      </x:c>
      <x:c r="Q98" s="255" t="str">
        <x:f>IF(P98="","",IF(P98="READY","",TRIM(IF(A98="","missing entity_type; ","")&amp;IF(B98="","missing entity_key; ","")&amp;IF(C98="","missing referrer_order; ","")&amp;IF(E98="","missing referrer_type; ","")&amp;IF(F98="","missing referral_origin_channel; ","")&amp;IF(H98="","missing referrer_name_snapshot; ","")&amp;IF(AND(A98="client",COUNTIF('الزبائن'!$A$6:$A$505,B98)=0),"client key not found; ","")&amp;IF(AND(A98="proposed_name",COUNTIF('أسماء مقترحة'!$A$6:$A$505,B98)=0),"proposed_name key not found; ",""))))</x:f>
      </x:c>
    </x:row>
    <x:row r="99">
      <x:c r="A99" s="251"/>
      <x:c r="B99" s="252"/>
      <x:c r="C99" s="253"/>
      <x:c r="D99" s="253"/>
      <x:c r="E99" s="253"/>
      <x:c r="F99" s="253"/>
      <x:c r="G99" s="252"/>
      <x:c r="H99" s="253"/>
      <x:c r="I99" s="272"/>
      <x:c r="J99" s="253"/>
      <x:c r="K99" s="252"/>
      <x:c r="L99" s="253"/>
      <x:c r="M99" s="253"/>
      <x:c r="N99" s="253"/>
      <x:c r="O99" s="253"/>
      <x:c r="P99" s="253" t="str">
        <x:f>IF(AND(A99="",B99="",H99=""),"",IF(OR(A99="",B99="",C99="",E99="",F99="",H99="",AND(A99="client",COUNTIF('الزبائن'!$A$6:$A$505,B99)=0),AND(A99="proposed_name",COUNTIF('أسماء مقترحة'!$A$6:$A$505,B99)=0)),"REVIEW","READY"))</x:f>
      </x:c>
      <x:c r="Q99" s="255" t="str">
        <x:f>IF(P99="","",IF(P99="READY","",TRIM(IF(A99="","missing entity_type; ","")&amp;IF(B99="","missing entity_key; ","")&amp;IF(C99="","missing referrer_order; ","")&amp;IF(E99="","missing referrer_type; ","")&amp;IF(F99="","missing referral_origin_channel; ","")&amp;IF(H99="","missing referrer_name_snapshot; ","")&amp;IF(AND(A99="client",COUNTIF('الزبائن'!$A$6:$A$505,B99)=0),"client key not found; ","")&amp;IF(AND(A99="proposed_name",COUNTIF('أسماء مقترحة'!$A$6:$A$505,B99)=0),"proposed_name key not found; ",""))))</x:f>
      </x:c>
    </x:row>
    <x:row r="100">
      <x:c r="A100" s="251"/>
      <x:c r="B100" s="252"/>
      <x:c r="C100" s="253"/>
      <x:c r="D100" s="253"/>
      <x:c r="E100" s="253"/>
      <x:c r="F100" s="253"/>
      <x:c r="G100" s="252"/>
      <x:c r="H100" s="253"/>
      <x:c r="I100" s="272"/>
      <x:c r="J100" s="253"/>
      <x:c r="K100" s="252"/>
      <x:c r="L100" s="253"/>
      <x:c r="M100" s="253"/>
      <x:c r="N100" s="253"/>
      <x:c r="O100" s="253"/>
      <x:c r="P100" s="253" t="str">
        <x:f>IF(AND(A100="",B100="",H100=""),"",IF(OR(A100="",B100="",C100="",E100="",F100="",H100="",AND(A100="client",COUNTIF('الزبائن'!$A$6:$A$505,B100)=0),AND(A100="proposed_name",COUNTIF('أسماء مقترحة'!$A$6:$A$505,B100)=0)),"REVIEW","READY"))</x:f>
      </x:c>
      <x:c r="Q100" s="255" t="str">
        <x:f>IF(P100="","",IF(P100="READY","",TRIM(IF(A100="","missing entity_type; ","")&amp;IF(B100="","missing entity_key; ","")&amp;IF(C100="","missing referrer_order; ","")&amp;IF(E100="","missing referrer_type; ","")&amp;IF(F100="","missing referral_origin_channel; ","")&amp;IF(H100="","missing referrer_name_snapshot; ","")&amp;IF(AND(A100="client",COUNTIF('الزبائن'!$A$6:$A$505,B100)=0),"client key not found; ","")&amp;IF(AND(A100="proposed_name",COUNTIF('أسماء مقترحة'!$A$6:$A$505,B100)=0),"proposed_name key not found; ",""))))</x:f>
      </x:c>
    </x:row>
    <x:row r="101">
      <x:c r="A101" s="251"/>
      <x:c r="B101" s="252"/>
      <x:c r="C101" s="253"/>
      <x:c r="D101" s="253"/>
      <x:c r="E101" s="253"/>
      <x:c r="F101" s="253"/>
      <x:c r="G101" s="252"/>
      <x:c r="H101" s="253"/>
      <x:c r="I101" s="272"/>
      <x:c r="J101" s="253"/>
      <x:c r="K101" s="252"/>
      <x:c r="L101" s="253"/>
      <x:c r="M101" s="253"/>
      <x:c r="N101" s="253"/>
      <x:c r="O101" s="253"/>
      <x:c r="P101" s="253" t="str">
        <x:f>IF(AND(A101="",B101="",H101=""),"",IF(OR(A101="",B101="",C101="",E101="",F101="",H101="",AND(A101="client",COUNTIF('الزبائن'!$A$6:$A$505,B101)=0),AND(A101="proposed_name",COUNTIF('أسماء مقترحة'!$A$6:$A$505,B101)=0)),"REVIEW","READY"))</x:f>
      </x:c>
      <x:c r="Q101" s="255" t="str">
        <x:f>IF(P101="","",IF(P101="READY","",TRIM(IF(A101="","missing entity_type; ","")&amp;IF(B101="","missing entity_key; ","")&amp;IF(C101="","missing referrer_order; ","")&amp;IF(E101="","missing referrer_type; ","")&amp;IF(F101="","missing referral_origin_channel; ","")&amp;IF(H101="","missing referrer_name_snapshot; ","")&amp;IF(AND(A101="client",COUNTIF('الزبائن'!$A$6:$A$505,B101)=0),"client key not found; ","")&amp;IF(AND(A101="proposed_name",COUNTIF('أسماء مقترحة'!$A$6:$A$505,B101)=0),"proposed_name key not found; ",""))))</x:f>
      </x:c>
    </x:row>
    <x:row r="102">
      <x:c r="A102" s="251"/>
      <x:c r="B102" s="252"/>
      <x:c r="C102" s="253"/>
      <x:c r="D102" s="253"/>
      <x:c r="E102" s="253"/>
      <x:c r="F102" s="253"/>
      <x:c r="G102" s="252"/>
      <x:c r="H102" s="253"/>
      <x:c r="I102" s="272"/>
      <x:c r="J102" s="253"/>
      <x:c r="K102" s="252"/>
      <x:c r="L102" s="253"/>
      <x:c r="M102" s="253"/>
      <x:c r="N102" s="253"/>
      <x:c r="O102" s="253"/>
      <x:c r="P102" s="253" t="str">
        <x:f>IF(AND(A102="",B102="",H102=""),"",IF(OR(A102="",B102="",C102="",E102="",F102="",H102="",AND(A102="client",COUNTIF('الزبائن'!$A$6:$A$505,B102)=0),AND(A102="proposed_name",COUNTIF('أسماء مقترحة'!$A$6:$A$505,B102)=0)),"REVIEW","READY"))</x:f>
      </x:c>
      <x:c r="Q102" s="255" t="str">
        <x:f>IF(P102="","",IF(P102="READY","",TRIM(IF(A102="","missing entity_type; ","")&amp;IF(B102="","missing entity_key; ","")&amp;IF(C102="","missing referrer_order; ","")&amp;IF(E102="","missing referrer_type; ","")&amp;IF(F102="","missing referral_origin_channel; ","")&amp;IF(H102="","missing referrer_name_snapshot; ","")&amp;IF(AND(A102="client",COUNTIF('الزبائن'!$A$6:$A$505,B102)=0),"client key not found; ","")&amp;IF(AND(A102="proposed_name",COUNTIF('أسماء مقترحة'!$A$6:$A$505,B102)=0),"proposed_name key not found; ",""))))</x:f>
      </x:c>
    </x:row>
    <x:row r="103">
      <x:c r="A103" s="251"/>
      <x:c r="B103" s="252"/>
      <x:c r="C103" s="253"/>
      <x:c r="D103" s="253"/>
      <x:c r="E103" s="253"/>
      <x:c r="F103" s="253"/>
      <x:c r="G103" s="252"/>
      <x:c r="H103" s="253"/>
      <x:c r="I103" s="272"/>
      <x:c r="J103" s="253"/>
      <x:c r="K103" s="252"/>
      <x:c r="L103" s="253"/>
      <x:c r="M103" s="253"/>
      <x:c r="N103" s="253"/>
      <x:c r="O103" s="253"/>
      <x:c r="P103" s="253" t="str">
        <x:f>IF(AND(A103="",B103="",H103=""),"",IF(OR(A103="",B103="",C103="",E103="",F103="",H103="",AND(A103="client",COUNTIF('الزبائن'!$A$6:$A$505,B103)=0),AND(A103="proposed_name",COUNTIF('أسماء مقترحة'!$A$6:$A$505,B103)=0)),"REVIEW","READY"))</x:f>
      </x:c>
      <x:c r="Q103" s="255" t="str">
        <x:f>IF(P103="","",IF(P103="READY","",TRIM(IF(A103="","missing entity_type; ","")&amp;IF(B103="","missing entity_key; ","")&amp;IF(C103="","missing referrer_order; ","")&amp;IF(E103="","missing referrer_type; ","")&amp;IF(F103="","missing referral_origin_channel; ","")&amp;IF(H103="","missing referrer_name_snapshot; ","")&amp;IF(AND(A103="client",COUNTIF('الزبائن'!$A$6:$A$505,B103)=0),"client key not found; ","")&amp;IF(AND(A103="proposed_name",COUNTIF('أسماء مقترحة'!$A$6:$A$505,B103)=0),"proposed_name key not found; ",""))))</x:f>
      </x:c>
    </x:row>
    <x:row r="104">
      <x:c r="A104" s="251"/>
      <x:c r="B104" s="252"/>
      <x:c r="C104" s="253"/>
      <x:c r="D104" s="253"/>
      <x:c r="E104" s="253"/>
      <x:c r="F104" s="253"/>
      <x:c r="G104" s="252"/>
      <x:c r="H104" s="253"/>
      <x:c r="I104" s="272"/>
      <x:c r="J104" s="253"/>
      <x:c r="K104" s="252"/>
      <x:c r="L104" s="253"/>
      <x:c r="M104" s="253"/>
      <x:c r="N104" s="253"/>
      <x:c r="O104" s="253"/>
      <x:c r="P104" s="253" t="str">
        <x:f>IF(AND(A104="",B104="",H104=""),"",IF(OR(A104="",B104="",C104="",E104="",F104="",H104="",AND(A104="client",COUNTIF('الزبائن'!$A$6:$A$505,B104)=0),AND(A104="proposed_name",COUNTIF('أسماء مقترحة'!$A$6:$A$505,B104)=0)),"REVIEW","READY"))</x:f>
      </x:c>
      <x:c r="Q104" s="255" t="str">
        <x:f>IF(P104="","",IF(P104="READY","",TRIM(IF(A104="","missing entity_type; ","")&amp;IF(B104="","missing entity_key; ","")&amp;IF(C104="","missing referrer_order; ","")&amp;IF(E104="","missing referrer_type; ","")&amp;IF(F104="","missing referral_origin_channel; ","")&amp;IF(H104="","missing referrer_name_snapshot; ","")&amp;IF(AND(A104="client",COUNTIF('الزبائن'!$A$6:$A$505,B104)=0),"client key not found; ","")&amp;IF(AND(A104="proposed_name",COUNTIF('أسماء مقترحة'!$A$6:$A$505,B104)=0),"proposed_name key not found; ",""))))</x:f>
      </x:c>
    </x:row>
    <x:row r="105">
      <x:c r="A105" s="251"/>
      <x:c r="B105" s="252"/>
      <x:c r="C105" s="253"/>
      <x:c r="D105" s="253"/>
      <x:c r="E105" s="253"/>
      <x:c r="F105" s="253"/>
      <x:c r="G105" s="252"/>
      <x:c r="H105" s="253"/>
      <x:c r="I105" s="272"/>
      <x:c r="J105" s="253"/>
      <x:c r="K105" s="252"/>
      <x:c r="L105" s="253"/>
      <x:c r="M105" s="253"/>
      <x:c r="N105" s="253"/>
      <x:c r="O105" s="253"/>
      <x:c r="P105" s="253" t="str">
        <x:f>IF(AND(A105="",B105="",H105=""),"",IF(OR(A105="",B105="",C105="",E105="",F105="",H105="",AND(A105="client",COUNTIF('الزبائن'!$A$6:$A$505,B105)=0),AND(A105="proposed_name",COUNTIF('أسماء مقترحة'!$A$6:$A$505,B105)=0)),"REVIEW","READY"))</x:f>
      </x:c>
      <x:c r="Q105" s="255" t="str">
        <x:f>IF(P105="","",IF(P105="READY","",TRIM(IF(A105="","missing entity_type; ","")&amp;IF(B105="","missing entity_key; ","")&amp;IF(C105="","missing referrer_order; ","")&amp;IF(E105="","missing referrer_type; ","")&amp;IF(F105="","missing referral_origin_channel; ","")&amp;IF(H105="","missing referrer_name_snapshot; ","")&amp;IF(AND(A105="client",COUNTIF('الزبائن'!$A$6:$A$505,B105)=0),"client key not found; ","")&amp;IF(AND(A105="proposed_name",COUNTIF('أسماء مقترحة'!$A$6:$A$505,B105)=0),"proposed_name key not found; ",""))))</x:f>
      </x:c>
    </x:row>
    <x:row r="106">
      <x:c r="A106" s="251"/>
      <x:c r="B106" s="252"/>
      <x:c r="C106" s="253"/>
      <x:c r="D106" s="253"/>
      <x:c r="E106" s="253"/>
      <x:c r="F106" s="253"/>
      <x:c r="G106" s="252"/>
      <x:c r="H106" s="253"/>
      <x:c r="I106" s="272"/>
      <x:c r="J106" s="253"/>
      <x:c r="K106" s="252"/>
      <x:c r="L106" s="253"/>
      <x:c r="M106" s="253"/>
      <x:c r="N106" s="253"/>
      <x:c r="O106" s="253"/>
      <x:c r="P106" s="253" t="str">
        <x:f>IF(AND(A106="",B106="",H106=""),"",IF(OR(A106="",B106="",C106="",E106="",F106="",H106="",AND(A106="client",COUNTIF('الزبائن'!$A$6:$A$505,B106)=0),AND(A106="proposed_name",COUNTIF('أسماء مقترحة'!$A$6:$A$505,B106)=0)),"REVIEW","READY"))</x:f>
      </x:c>
      <x:c r="Q106" s="255" t="str">
        <x:f>IF(P106="","",IF(P106="READY","",TRIM(IF(A106="","missing entity_type; ","")&amp;IF(B106="","missing entity_key; ","")&amp;IF(C106="","missing referrer_order; ","")&amp;IF(E106="","missing referrer_type; ","")&amp;IF(F106="","missing referral_origin_channel; ","")&amp;IF(H106="","missing referrer_name_snapshot; ","")&amp;IF(AND(A106="client",COUNTIF('الزبائن'!$A$6:$A$505,B106)=0),"client key not found; ","")&amp;IF(AND(A106="proposed_name",COUNTIF('أسماء مقترحة'!$A$6:$A$505,B106)=0),"proposed_name key not found; ",""))))</x:f>
      </x:c>
    </x:row>
    <x:row r="107">
      <x:c r="A107" s="251"/>
      <x:c r="B107" s="252"/>
      <x:c r="C107" s="253"/>
      <x:c r="D107" s="253"/>
      <x:c r="E107" s="253"/>
      <x:c r="F107" s="253"/>
      <x:c r="G107" s="252"/>
      <x:c r="H107" s="253"/>
      <x:c r="I107" s="272"/>
      <x:c r="J107" s="253"/>
      <x:c r="K107" s="252"/>
      <x:c r="L107" s="253"/>
      <x:c r="M107" s="253"/>
      <x:c r="N107" s="253"/>
      <x:c r="O107" s="253"/>
      <x:c r="P107" s="253" t="str">
        <x:f>IF(AND(A107="",B107="",H107=""),"",IF(OR(A107="",B107="",C107="",E107="",F107="",H107="",AND(A107="client",COUNTIF('الزبائن'!$A$6:$A$505,B107)=0),AND(A107="proposed_name",COUNTIF('أسماء مقترحة'!$A$6:$A$505,B107)=0)),"REVIEW","READY"))</x:f>
      </x:c>
      <x:c r="Q107" s="255" t="str">
        <x:f>IF(P107="","",IF(P107="READY","",TRIM(IF(A107="","missing entity_type; ","")&amp;IF(B107="","missing entity_key; ","")&amp;IF(C107="","missing referrer_order; ","")&amp;IF(E107="","missing referrer_type; ","")&amp;IF(F107="","missing referral_origin_channel; ","")&amp;IF(H107="","missing referrer_name_snapshot; ","")&amp;IF(AND(A107="client",COUNTIF('الزبائن'!$A$6:$A$505,B107)=0),"client key not found; ","")&amp;IF(AND(A107="proposed_name",COUNTIF('أسماء مقترحة'!$A$6:$A$505,B107)=0),"proposed_name key not found; ",""))))</x:f>
      </x:c>
    </x:row>
    <x:row r="108">
      <x:c r="A108" s="251"/>
      <x:c r="B108" s="252"/>
      <x:c r="C108" s="253"/>
      <x:c r="D108" s="253"/>
      <x:c r="E108" s="253"/>
      <x:c r="F108" s="253"/>
      <x:c r="G108" s="252"/>
      <x:c r="H108" s="253"/>
      <x:c r="I108" s="272"/>
      <x:c r="J108" s="253"/>
      <x:c r="K108" s="252"/>
      <x:c r="L108" s="253"/>
      <x:c r="M108" s="253"/>
      <x:c r="N108" s="253"/>
      <x:c r="O108" s="253"/>
      <x:c r="P108" s="253" t="str">
        <x:f>IF(AND(A108="",B108="",H108=""),"",IF(OR(A108="",B108="",C108="",E108="",F108="",H108="",AND(A108="client",COUNTIF('الزبائن'!$A$6:$A$505,B108)=0),AND(A108="proposed_name",COUNTIF('أسماء مقترحة'!$A$6:$A$505,B108)=0)),"REVIEW","READY"))</x:f>
      </x:c>
      <x:c r="Q108" s="255" t="str">
        <x:f>IF(P108="","",IF(P108="READY","",TRIM(IF(A108="","missing entity_type; ","")&amp;IF(B108="","missing entity_key; ","")&amp;IF(C108="","missing referrer_order; ","")&amp;IF(E108="","missing referrer_type; ","")&amp;IF(F108="","missing referral_origin_channel; ","")&amp;IF(H108="","missing referrer_name_snapshot; ","")&amp;IF(AND(A108="client",COUNTIF('الزبائن'!$A$6:$A$505,B108)=0),"client key not found; ","")&amp;IF(AND(A108="proposed_name",COUNTIF('أسماء مقترحة'!$A$6:$A$505,B108)=0),"proposed_name key not found; ",""))))</x:f>
      </x:c>
    </x:row>
    <x:row r="109">
      <x:c r="A109" s="251"/>
      <x:c r="B109" s="252"/>
      <x:c r="C109" s="253"/>
      <x:c r="D109" s="253"/>
      <x:c r="E109" s="253"/>
      <x:c r="F109" s="253"/>
      <x:c r="G109" s="252"/>
      <x:c r="H109" s="253"/>
      <x:c r="I109" s="272"/>
      <x:c r="J109" s="253"/>
      <x:c r="K109" s="252"/>
      <x:c r="L109" s="253"/>
      <x:c r="M109" s="253"/>
      <x:c r="N109" s="253"/>
      <x:c r="O109" s="253"/>
      <x:c r="P109" s="253" t="str">
        <x:f>IF(AND(A109="",B109="",H109=""),"",IF(OR(A109="",B109="",C109="",E109="",F109="",H109="",AND(A109="client",COUNTIF('الزبائن'!$A$6:$A$505,B109)=0),AND(A109="proposed_name",COUNTIF('أسماء مقترحة'!$A$6:$A$505,B109)=0)),"REVIEW","READY"))</x:f>
      </x:c>
      <x:c r="Q109" s="255" t="str">
        <x:f>IF(P109="","",IF(P109="READY","",TRIM(IF(A109="","missing entity_type; ","")&amp;IF(B109="","missing entity_key; ","")&amp;IF(C109="","missing referrer_order; ","")&amp;IF(E109="","missing referrer_type; ","")&amp;IF(F109="","missing referral_origin_channel; ","")&amp;IF(H109="","missing referrer_name_snapshot; ","")&amp;IF(AND(A109="client",COUNTIF('الزبائن'!$A$6:$A$505,B109)=0),"client key not found; ","")&amp;IF(AND(A109="proposed_name",COUNTIF('أسماء مقترحة'!$A$6:$A$505,B109)=0),"proposed_name key not found; ",""))))</x:f>
      </x:c>
    </x:row>
    <x:row r="110">
      <x:c r="A110" s="251"/>
      <x:c r="B110" s="252"/>
      <x:c r="C110" s="253"/>
      <x:c r="D110" s="253"/>
      <x:c r="E110" s="253"/>
      <x:c r="F110" s="253"/>
      <x:c r="G110" s="252"/>
      <x:c r="H110" s="253"/>
      <x:c r="I110" s="272"/>
      <x:c r="J110" s="253"/>
      <x:c r="K110" s="252"/>
      <x:c r="L110" s="253"/>
      <x:c r="M110" s="253"/>
      <x:c r="N110" s="253"/>
      <x:c r="O110" s="253"/>
      <x:c r="P110" s="253" t="str">
        <x:f>IF(AND(A110="",B110="",H110=""),"",IF(OR(A110="",B110="",C110="",E110="",F110="",H110="",AND(A110="client",COUNTIF('الزبائن'!$A$6:$A$505,B110)=0),AND(A110="proposed_name",COUNTIF('أسماء مقترحة'!$A$6:$A$505,B110)=0)),"REVIEW","READY"))</x:f>
      </x:c>
      <x:c r="Q110" s="255" t="str">
        <x:f>IF(P110="","",IF(P110="READY","",TRIM(IF(A110="","missing entity_type; ","")&amp;IF(B110="","missing entity_key; ","")&amp;IF(C110="","missing referrer_order; ","")&amp;IF(E110="","missing referrer_type; ","")&amp;IF(F110="","missing referral_origin_channel; ","")&amp;IF(H110="","missing referrer_name_snapshot; ","")&amp;IF(AND(A110="client",COUNTIF('الزبائن'!$A$6:$A$505,B110)=0),"client key not found; ","")&amp;IF(AND(A110="proposed_name",COUNTIF('أسماء مقترحة'!$A$6:$A$505,B110)=0),"proposed_name key not found; ",""))))</x:f>
      </x:c>
    </x:row>
    <x:row r="111">
      <x:c r="A111" s="251"/>
      <x:c r="B111" s="252"/>
      <x:c r="C111" s="253"/>
      <x:c r="D111" s="253"/>
      <x:c r="E111" s="253"/>
      <x:c r="F111" s="253"/>
      <x:c r="G111" s="252"/>
      <x:c r="H111" s="253"/>
      <x:c r="I111" s="272"/>
      <x:c r="J111" s="253"/>
      <x:c r="K111" s="252"/>
      <x:c r="L111" s="253"/>
      <x:c r="M111" s="253"/>
      <x:c r="N111" s="253"/>
      <x:c r="O111" s="253"/>
      <x:c r="P111" s="253" t="str">
        <x:f>IF(AND(A111="",B111="",H111=""),"",IF(OR(A111="",B111="",C111="",E111="",F111="",H111="",AND(A111="client",COUNTIF('الزبائن'!$A$6:$A$505,B111)=0),AND(A111="proposed_name",COUNTIF('أسماء مقترحة'!$A$6:$A$505,B111)=0)),"REVIEW","READY"))</x:f>
      </x:c>
      <x:c r="Q111" s="255" t="str">
        <x:f>IF(P111="","",IF(P111="READY","",TRIM(IF(A111="","missing entity_type; ","")&amp;IF(B111="","missing entity_key; ","")&amp;IF(C111="","missing referrer_order; ","")&amp;IF(E111="","missing referrer_type; ","")&amp;IF(F111="","missing referral_origin_channel; ","")&amp;IF(H111="","missing referrer_name_snapshot; ","")&amp;IF(AND(A111="client",COUNTIF('الزبائن'!$A$6:$A$505,B111)=0),"client key not found; ","")&amp;IF(AND(A111="proposed_name",COUNTIF('أسماء مقترحة'!$A$6:$A$505,B111)=0),"proposed_name key not found; ",""))))</x:f>
      </x:c>
    </x:row>
    <x:row r="112">
      <x:c r="A112" s="251"/>
      <x:c r="B112" s="252"/>
      <x:c r="C112" s="253"/>
      <x:c r="D112" s="253"/>
      <x:c r="E112" s="253"/>
      <x:c r="F112" s="253"/>
      <x:c r="G112" s="252"/>
      <x:c r="H112" s="253"/>
      <x:c r="I112" s="272"/>
      <x:c r="J112" s="253"/>
      <x:c r="K112" s="252"/>
      <x:c r="L112" s="253"/>
      <x:c r="M112" s="253"/>
      <x:c r="N112" s="253"/>
      <x:c r="O112" s="253"/>
      <x:c r="P112" s="253" t="str">
        <x:f>IF(AND(A112="",B112="",H112=""),"",IF(OR(A112="",B112="",C112="",E112="",F112="",H112="",AND(A112="client",COUNTIF('الزبائن'!$A$6:$A$505,B112)=0),AND(A112="proposed_name",COUNTIF('أسماء مقترحة'!$A$6:$A$505,B112)=0)),"REVIEW","READY"))</x:f>
      </x:c>
      <x:c r="Q112" s="255" t="str">
        <x:f>IF(P112="","",IF(P112="READY","",TRIM(IF(A112="","missing entity_type; ","")&amp;IF(B112="","missing entity_key; ","")&amp;IF(C112="","missing referrer_order; ","")&amp;IF(E112="","missing referrer_type; ","")&amp;IF(F112="","missing referral_origin_channel; ","")&amp;IF(H112="","missing referrer_name_snapshot; ","")&amp;IF(AND(A112="client",COUNTIF('الزبائن'!$A$6:$A$505,B112)=0),"client key not found; ","")&amp;IF(AND(A112="proposed_name",COUNTIF('أسماء مقترحة'!$A$6:$A$505,B112)=0),"proposed_name key not found; ",""))))</x:f>
      </x:c>
    </x:row>
    <x:row r="113">
      <x:c r="A113" s="251"/>
      <x:c r="B113" s="252"/>
      <x:c r="C113" s="253"/>
      <x:c r="D113" s="253"/>
      <x:c r="E113" s="253"/>
      <x:c r="F113" s="253"/>
      <x:c r="G113" s="252"/>
      <x:c r="H113" s="253"/>
      <x:c r="I113" s="272"/>
      <x:c r="J113" s="253"/>
      <x:c r="K113" s="252"/>
      <x:c r="L113" s="253"/>
      <x:c r="M113" s="253"/>
      <x:c r="N113" s="253"/>
      <x:c r="O113" s="253"/>
      <x:c r="P113" s="253" t="str">
        <x:f>IF(AND(A113="",B113="",H113=""),"",IF(OR(A113="",B113="",C113="",E113="",F113="",H113="",AND(A113="client",COUNTIF('الزبائن'!$A$6:$A$505,B113)=0),AND(A113="proposed_name",COUNTIF('أسماء مقترحة'!$A$6:$A$505,B113)=0)),"REVIEW","READY"))</x:f>
      </x:c>
      <x:c r="Q113" s="255" t="str">
        <x:f>IF(P113="","",IF(P113="READY","",TRIM(IF(A113="","missing entity_type; ","")&amp;IF(B113="","missing entity_key; ","")&amp;IF(C113="","missing referrer_order; ","")&amp;IF(E113="","missing referrer_type; ","")&amp;IF(F113="","missing referral_origin_channel; ","")&amp;IF(H113="","missing referrer_name_snapshot; ","")&amp;IF(AND(A113="client",COUNTIF('الزبائن'!$A$6:$A$505,B113)=0),"client key not found; ","")&amp;IF(AND(A113="proposed_name",COUNTIF('أسماء مقترحة'!$A$6:$A$505,B113)=0),"proposed_name key not found; ",""))))</x:f>
      </x:c>
    </x:row>
    <x:row r="114">
      <x:c r="A114" s="251"/>
      <x:c r="B114" s="252"/>
      <x:c r="C114" s="253"/>
      <x:c r="D114" s="253"/>
      <x:c r="E114" s="253"/>
      <x:c r="F114" s="253"/>
      <x:c r="G114" s="252"/>
      <x:c r="H114" s="253"/>
      <x:c r="I114" s="272"/>
      <x:c r="J114" s="253"/>
      <x:c r="K114" s="252"/>
      <x:c r="L114" s="253"/>
      <x:c r="M114" s="253"/>
      <x:c r="N114" s="253"/>
      <x:c r="O114" s="253"/>
      <x:c r="P114" s="253" t="str">
        <x:f>IF(AND(A114="",B114="",H114=""),"",IF(OR(A114="",B114="",C114="",E114="",F114="",H114="",AND(A114="client",COUNTIF('الزبائن'!$A$6:$A$505,B114)=0),AND(A114="proposed_name",COUNTIF('أسماء مقترحة'!$A$6:$A$505,B114)=0)),"REVIEW","READY"))</x:f>
      </x:c>
      <x:c r="Q114" s="255" t="str">
        <x:f>IF(P114="","",IF(P114="READY","",TRIM(IF(A114="","missing entity_type; ","")&amp;IF(B114="","missing entity_key; ","")&amp;IF(C114="","missing referrer_order; ","")&amp;IF(E114="","missing referrer_type; ","")&amp;IF(F114="","missing referral_origin_channel; ","")&amp;IF(H114="","missing referrer_name_snapshot; ","")&amp;IF(AND(A114="client",COUNTIF('الزبائن'!$A$6:$A$505,B114)=0),"client key not found; ","")&amp;IF(AND(A114="proposed_name",COUNTIF('أسماء مقترحة'!$A$6:$A$505,B114)=0),"proposed_name key not found; ",""))))</x:f>
      </x:c>
    </x:row>
    <x:row r="115">
      <x:c r="A115" s="251"/>
      <x:c r="B115" s="252"/>
      <x:c r="C115" s="253"/>
      <x:c r="D115" s="253"/>
      <x:c r="E115" s="253"/>
      <x:c r="F115" s="253"/>
      <x:c r="G115" s="252"/>
      <x:c r="H115" s="253"/>
      <x:c r="I115" s="272"/>
      <x:c r="J115" s="253"/>
      <x:c r="K115" s="252"/>
      <x:c r="L115" s="253"/>
      <x:c r="M115" s="253"/>
      <x:c r="N115" s="253"/>
      <x:c r="O115" s="253"/>
      <x:c r="P115" s="253" t="str">
        <x:f>IF(AND(A115="",B115="",H115=""),"",IF(OR(A115="",B115="",C115="",E115="",F115="",H115="",AND(A115="client",COUNTIF('الزبائن'!$A$6:$A$505,B115)=0),AND(A115="proposed_name",COUNTIF('أسماء مقترحة'!$A$6:$A$505,B115)=0)),"REVIEW","READY"))</x:f>
      </x:c>
      <x:c r="Q115" s="255" t="str">
        <x:f>IF(P115="","",IF(P115="READY","",TRIM(IF(A115="","missing entity_type; ","")&amp;IF(B115="","missing entity_key; ","")&amp;IF(C115="","missing referrer_order; ","")&amp;IF(E115="","missing referrer_type; ","")&amp;IF(F115="","missing referral_origin_channel; ","")&amp;IF(H115="","missing referrer_name_snapshot; ","")&amp;IF(AND(A115="client",COUNTIF('الزبائن'!$A$6:$A$505,B115)=0),"client key not found; ","")&amp;IF(AND(A115="proposed_name",COUNTIF('أسماء مقترحة'!$A$6:$A$505,B115)=0),"proposed_name key not found; ",""))))</x:f>
      </x:c>
    </x:row>
    <x:row r="116">
      <x:c r="A116" s="251"/>
      <x:c r="B116" s="252"/>
      <x:c r="C116" s="253"/>
      <x:c r="D116" s="253"/>
      <x:c r="E116" s="253"/>
      <x:c r="F116" s="253"/>
      <x:c r="G116" s="252"/>
      <x:c r="H116" s="253"/>
      <x:c r="I116" s="272"/>
      <x:c r="J116" s="253"/>
      <x:c r="K116" s="252"/>
      <x:c r="L116" s="253"/>
      <x:c r="M116" s="253"/>
      <x:c r="N116" s="253"/>
      <x:c r="O116" s="253"/>
      <x:c r="P116" s="253" t="str">
        <x:f>IF(AND(A116="",B116="",H116=""),"",IF(OR(A116="",B116="",C116="",E116="",F116="",H116="",AND(A116="client",COUNTIF('الزبائن'!$A$6:$A$505,B116)=0),AND(A116="proposed_name",COUNTIF('أسماء مقترحة'!$A$6:$A$505,B116)=0)),"REVIEW","READY"))</x:f>
      </x:c>
      <x:c r="Q116" s="255" t="str">
        <x:f>IF(P116="","",IF(P116="READY","",TRIM(IF(A116="","missing entity_type; ","")&amp;IF(B116="","missing entity_key; ","")&amp;IF(C116="","missing referrer_order; ","")&amp;IF(E116="","missing referrer_type; ","")&amp;IF(F116="","missing referral_origin_channel; ","")&amp;IF(H116="","missing referrer_name_snapshot; ","")&amp;IF(AND(A116="client",COUNTIF('الزبائن'!$A$6:$A$505,B116)=0),"client key not found; ","")&amp;IF(AND(A116="proposed_name",COUNTIF('أسماء مقترحة'!$A$6:$A$505,B116)=0),"proposed_name key not found; ",""))))</x:f>
      </x:c>
    </x:row>
    <x:row r="117">
      <x:c r="A117" s="251"/>
      <x:c r="B117" s="252"/>
      <x:c r="C117" s="253"/>
      <x:c r="D117" s="253"/>
      <x:c r="E117" s="253"/>
      <x:c r="F117" s="253"/>
      <x:c r="G117" s="252"/>
      <x:c r="H117" s="253"/>
      <x:c r="I117" s="272"/>
      <x:c r="J117" s="253"/>
      <x:c r="K117" s="252"/>
      <x:c r="L117" s="253"/>
      <x:c r="M117" s="253"/>
      <x:c r="N117" s="253"/>
      <x:c r="O117" s="253"/>
      <x:c r="P117" s="253" t="str">
        <x:f>IF(AND(A117="",B117="",H117=""),"",IF(OR(A117="",B117="",C117="",E117="",F117="",H117="",AND(A117="client",COUNTIF('الزبائن'!$A$6:$A$505,B117)=0),AND(A117="proposed_name",COUNTIF('أسماء مقترحة'!$A$6:$A$505,B117)=0)),"REVIEW","READY"))</x:f>
      </x:c>
      <x:c r="Q117" s="255" t="str">
        <x:f>IF(P117="","",IF(P117="READY","",TRIM(IF(A117="","missing entity_type; ","")&amp;IF(B117="","missing entity_key; ","")&amp;IF(C117="","missing referrer_order; ","")&amp;IF(E117="","missing referrer_type; ","")&amp;IF(F117="","missing referral_origin_channel; ","")&amp;IF(H117="","missing referrer_name_snapshot; ","")&amp;IF(AND(A117="client",COUNTIF('الزبائن'!$A$6:$A$505,B117)=0),"client key not found; ","")&amp;IF(AND(A117="proposed_name",COUNTIF('أسماء مقترحة'!$A$6:$A$505,B117)=0),"proposed_name key not found; ",""))))</x:f>
      </x:c>
    </x:row>
    <x:row r="118">
      <x:c r="A118" s="251"/>
      <x:c r="B118" s="252"/>
      <x:c r="C118" s="253"/>
      <x:c r="D118" s="253"/>
      <x:c r="E118" s="253"/>
      <x:c r="F118" s="253"/>
      <x:c r="G118" s="252"/>
      <x:c r="H118" s="253"/>
      <x:c r="I118" s="272"/>
      <x:c r="J118" s="253"/>
      <x:c r="K118" s="252"/>
      <x:c r="L118" s="253"/>
      <x:c r="M118" s="253"/>
      <x:c r="N118" s="253"/>
      <x:c r="O118" s="253"/>
      <x:c r="P118" s="253" t="str">
        <x:f>IF(AND(A118="",B118="",H118=""),"",IF(OR(A118="",B118="",C118="",E118="",F118="",H118="",AND(A118="client",COUNTIF('الزبائن'!$A$6:$A$505,B118)=0),AND(A118="proposed_name",COUNTIF('أسماء مقترحة'!$A$6:$A$505,B118)=0)),"REVIEW","READY"))</x:f>
      </x:c>
      <x:c r="Q118" s="255" t="str">
        <x:f>IF(P118="","",IF(P118="READY","",TRIM(IF(A118="","missing entity_type; ","")&amp;IF(B118="","missing entity_key; ","")&amp;IF(C118="","missing referrer_order; ","")&amp;IF(E118="","missing referrer_type; ","")&amp;IF(F118="","missing referral_origin_channel; ","")&amp;IF(H118="","missing referrer_name_snapshot; ","")&amp;IF(AND(A118="client",COUNTIF('الزبائن'!$A$6:$A$505,B118)=0),"client key not found; ","")&amp;IF(AND(A118="proposed_name",COUNTIF('أسماء مقترحة'!$A$6:$A$505,B118)=0),"proposed_name key not found; ",""))))</x:f>
      </x:c>
    </x:row>
    <x:row r="119">
      <x:c r="A119" s="251"/>
      <x:c r="B119" s="252"/>
      <x:c r="C119" s="253"/>
      <x:c r="D119" s="253"/>
      <x:c r="E119" s="253"/>
      <x:c r="F119" s="253"/>
      <x:c r="G119" s="252"/>
      <x:c r="H119" s="253"/>
      <x:c r="I119" s="272"/>
      <x:c r="J119" s="253"/>
      <x:c r="K119" s="252"/>
      <x:c r="L119" s="253"/>
      <x:c r="M119" s="253"/>
      <x:c r="N119" s="253"/>
      <x:c r="O119" s="253"/>
      <x:c r="P119" s="253" t="str">
        <x:f>IF(AND(A119="",B119="",H119=""),"",IF(OR(A119="",B119="",C119="",E119="",F119="",H119="",AND(A119="client",COUNTIF('الزبائن'!$A$6:$A$505,B119)=0),AND(A119="proposed_name",COUNTIF('أسماء مقترحة'!$A$6:$A$505,B119)=0)),"REVIEW","READY"))</x:f>
      </x:c>
      <x:c r="Q119" s="255" t="str">
        <x:f>IF(P119="","",IF(P119="READY","",TRIM(IF(A119="","missing entity_type; ","")&amp;IF(B119="","missing entity_key; ","")&amp;IF(C119="","missing referrer_order; ","")&amp;IF(E119="","missing referrer_type; ","")&amp;IF(F119="","missing referral_origin_channel; ","")&amp;IF(H119="","missing referrer_name_snapshot; ","")&amp;IF(AND(A119="client",COUNTIF('الزبائن'!$A$6:$A$505,B119)=0),"client key not found; ","")&amp;IF(AND(A119="proposed_name",COUNTIF('أسماء مقترحة'!$A$6:$A$505,B119)=0),"proposed_name key not found; ",""))))</x:f>
      </x:c>
    </x:row>
    <x:row r="120">
      <x:c r="A120" s="251"/>
      <x:c r="B120" s="252"/>
      <x:c r="C120" s="253"/>
      <x:c r="D120" s="253"/>
      <x:c r="E120" s="253"/>
      <x:c r="F120" s="253"/>
      <x:c r="G120" s="252"/>
      <x:c r="H120" s="253"/>
      <x:c r="I120" s="272"/>
      <x:c r="J120" s="253"/>
      <x:c r="K120" s="252"/>
      <x:c r="L120" s="253"/>
      <x:c r="M120" s="253"/>
      <x:c r="N120" s="253"/>
      <x:c r="O120" s="253"/>
      <x:c r="P120" s="253" t="str">
        <x:f>IF(AND(A120="",B120="",H120=""),"",IF(OR(A120="",B120="",C120="",E120="",F120="",H120="",AND(A120="client",COUNTIF('الزبائن'!$A$6:$A$505,B120)=0),AND(A120="proposed_name",COUNTIF('أسماء مقترحة'!$A$6:$A$505,B120)=0)),"REVIEW","READY"))</x:f>
      </x:c>
      <x:c r="Q120" s="255" t="str">
        <x:f>IF(P120="","",IF(P120="READY","",TRIM(IF(A120="","missing entity_type; ","")&amp;IF(B120="","missing entity_key; ","")&amp;IF(C120="","missing referrer_order; ","")&amp;IF(E120="","missing referrer_type; ","")&amp;IF(F120="","missing referral_origin_channel; ","")&amp;IF(H120="","missing referrer_name_snapshot; ","")&amp;IF(AND(A120="client",COUNTIF('الزبائن'!$A$6:$A$505,B120)=0),"client key not found; ","")&amp;IF(AND(A120="proposed_name",COUNTIF('أسماء مقترحة'!$A$6:$A$505,B120)=0),"proposed_name key not found; ",""))))</x:f>
      </x:c>
    </x:row>
    <x:row r="121">
      <x:c r="A121" s="251"/>
      <x:c r="B121" s="252"/>
      <x:c r="C121" s="253"/>
      <x:c r="D121" s="253"/>
      <x:c r="E121" s="253"/>
      <x:c r="F121" s="253"/>
      <x:c r="G121" s="252"/>
      <x:c r="H121" s="253"/>
      <x:c r="I121" s="272"/>
      <x:c r="J121" s="253"/>
      <x:c r="K121" s="252"/>
      <x:c r="L121" s="253"/>
      <x:c r="M121" s="253"/>
      <x:c r="N121" s="253"/>
      <x:c r="O121" s="253"/>
      <x:c r="P121" s="253" t="str">
        <x:f>IF(AND(A121="",B121="",H121=""),"",IF(OR(A121="",B121="",C121="",E121="",F121="",H121="",AND(A121="client",COUNTIF('الزبائن'!$A$6:$A$505,B121)=0),AND(A121="proposed_name",COUNTIF('أسماء مقترحة'!$A$6:$A$505,B121)=0)),"REVIEW","READY"))</x:f>
      </x:c>
      <x:c r="Q121" s="255" t="str">
        <x:f>IF(P121="","",IF(P121="READY","",TRIM(IF(A121="","missing entity_type; ","")&amp;IF(B121="","missing entity_key; ","")&amp;IF(C121="","missing referrer_order; ","")&amp;IF(E121="","missing referrer_type; ","")&amp;IF(F121="","missing referral_origin_channel; ","")&amp;IF(H121="","missing referrer_name_snapshot; ","")&amp;IF(AND(A121="client",COUNTIF('الزبائن'!$A$6:$A$505,B121)=0),"client key not found; ","")&amp;IF(AND(A121="proposed_name",COUNTIF('أسماء مقترحة'!$A$6:$A$505,B121)=0),"proposed_name key not found; ",""))))</x:f>
      </x:c>
    </x:row>
    <x:row r="122">
      <x:c r="A122" s="251"/>
      <x:c r="B122" s="252"/>
      <x:c r="C122" s="253"/>
      <x:c r="D122" s="253"/>
      <x:c r="E122" s="253"/>
      <x:c r="F122" s="253"/>
      <x:c r="G122" s="252"/>
      <x:c r="H122" s="253"/>
      <x:c r="I122" s="272"/>
      <x:c r="J122" s="253"/>
      <x:c r="K122" s="252"/>
      <x:c r="L122" s="253"/>
      <x:c r="M122" s="253"/>
      <x:c r="N122" s="253"/>
      <x:c r="O122" s="253"/>
      <x:c r="P122" s="253" t="str">
        <x:f>IF(AND(A122="",B122="",H122=""),"",IF(OR(A122="",B122="",C122="",E122="",F122="",H122="",AND(A122="client",COUNTIF('الزبائن'!$A$6:$A$505,B122)=0),AND(A122="proposed_name",COUNTIF('أسماء مقترحة'!$A$6:$A$505,B122)=0)),"REVIEW","READY"))</x:f>
      </x:c>
      <x:c r="Q122" s="255" t="str">
        <x:f>IF(P122="","",IF(P122="READY","",TRIM(IF(A122="","missing entity_type; ","")&amp;IF(B122="","missing entity_key; ","")&amp;IF(C122="","missing referrer_order; ","")&amp;IF(E122="","missing referrer_type; ","")&amp;IF(F122="","missing referral_origin_channel; ","")&amp;IF(H122="","missing referrer_name_snapshot; ","")&amp;IF(AND(A122="client",COUNTIF('الزبائن'!$A$6:$A$505,B122)=0),"client key not found; ","")&amp;IF(AND(A122="proposed_name",COUNTIF('أسماء مقترحة'!$A$6:$A$505,B122)=0),"proposed_name key not found; ",""))))</x:f>
      </x:c>
    </x:row>
    <x:row r="123">
      <x:c r="A123" s="251"/>
      <x:c r="B123" s="252"/>
      <x:c r="C123" s="253"/>
      <x:c r="D123" s="253"/>
      <x:c r="E123" s="253"/>
      <x:c r="F123" s="253"/>
      <x:c r="G123" s="252"/>
      <x:c r="H123" s="253"/>
      <x:c r="I123" s="272"/>
      <x:c r="J123" s="253"/>
      <x:c r="K123" s="252"/>
      <x:c r="L123" s="253"/>
      <x:c r="M123" s="253"/>
      <x:c r="N123" s="253"/>
      <x:c r="O123" s="253"/>
      <x:c r="P123" s="253" t="str">
        <x:f>IF(AND(A123="",B123="",H123=""),"",IF(OR(A123="",B123="",C123="",E123="",F123="",H123="",AND(A123="client",COUNTIF('الزبائن'!$A$6:$A$505,B123)=0),AND(A123="proposed_name",COUNTIF('أسماء مقترحة'!$A$6:$A$505,B123)=0)),"REVIEW","READY"))</x:f>
      </x:c>
      <x:c r="Q123" s="255" t="str">
        <x:f>IF(P123="","",IF(P123="READY","",TRIM(IF(A123="","missing entity_type; ","")&amp;IF(B123="","missing entity_key; ","")&amp;IF(C123="","missing referrer_order; ","")&amp;IF(E123="","missing referrer_type; ","")&amp;IF(F123="","missing referral_origin_channel; ","")&amp;IF(H123="","missing referrer_name_snapshot; ","")&amp;IF(AND(A123="client",COUNTIF('الزبائن'!$A$6:$A$505,B123)=0),"client key not found; ","")&amp;IF(AND(A123="proposed_name",COUNTIF('أسماء مقترحة'!$A$6:$A$505,B123)=0),"proposed_name key not found; ",""))))</x:f>
      </x:c>
    </x:row>
    <x:row r="124">
      <x:c r="A124" s="251"/>
      <x:c r="B124" s="252"/>
      <x:c r="C124" s="253"/>
      <x:c r="D124" s="253"/>
      <x:c r="E124" s="253"/>
      <x:c r="F124" s="253"/>
      <x:c r="G124" s="252"/>
      <x:c r="H124" s="253"/>
      <x:c r="I124" s="272"/>
      <x:c r="J124" s="253"/>
      <x:c r="K124" s="252"/>
      <x:c r="L124" s="253"/>
      <x:c r="M124" s="253"/>
      <x:c r="N124" s="253"/>
      <x:c r="O124" s="253"/>
      <x:c r="P124" s="253" t="str">
        <x:f>IF(AND(A124="",B124="",H124=""),"",IF(OR(A124="",B124="",C124="",E124="",F124="",H124="",AND(A124="client",COUNTIF('الزبائن'!$A$6:$A$505,B124)=0),AND(A124="proposed_name",COUNTIF('أسماء مقترحة'!$A$6:$A$505,B124)=0)),"REVIEW","READY"))</x:f>
      </x:c>
      <x:c r="Q124" s="255" t="str">
        <x:f>IF(P124="","",IF(P124="READY","",TRIM(IF(A124="","missing entity_type; ","")&amp;IF(B124="","missing entity_key; ","")&amp;IF(C124="","missing referrer_order; ","")&amp;IF(E124="","missing referrer_type; ","")&amp;IF(F124="","missing referral_origin_channel; ","")&amp;IF(H124="","missing referrer_name_snapshot; ","")&amp;IF(AND(A124="client",COUNTIF('الزبائن'!$A$6:$A$505,B124)=0),"client key not found; ","")&amp;IF(AND(A124="proposed_name",COUNTIF('أسماء مقترحة'!$A$6:$A$505,B124)=0),"proposed_name key not found; ",""))))</x:f>
      </x:c>
    </x:row>
    <x:row r="125">
      <x:c r="A125" s="251"/>
      <x:c r="B125" s="252"/>
      <x:c r="C125" s="253"/>
      <x:c r="D125" s="253"/>
      <x:c r="E125" s="253"/>
      <x:c r="F125" s="253"/>
      <x:c r="G125" s="252"/>
      <x:c r="H125" s="253"/>
      <x:c r="I125" s="272"/>
      <x:c r="J125" s="253"/>
      <x:c r="K125" s="252"/>
      <x:c r="L125" s="253"/>
      <x:c r="M125" s="253"/>
      <x:c r="N125" s="253"/>
      <x:c r="O125" s="253"/>
      <x:c r="P125" s="253" t="str">
        <x:f>IF(AND(A125="",B125="",H125=""),"",IF(OR(A125="",B125="",C125="",E125="",F125="",H125="",AND(A125="client",COUNTIF('الزبائن'!$A$6:$A$505,B125)=0),AND(A125="proposed_name",COUNTIF('أسماء مقترحة'!$A$6:$A$505,B125)=0)),"REVIEW","READY"))</x:f>
      </x:c>
      <x:c r="Q125" s="255" t="str">
        <x:f>IF(P125="","",IF(P125="READY","",TRIM(IF(A125="","missing entity_type; ","")&amp;IF(B125="","missing entity_key; ","")&amp;IF(C125="","missing referrer_order; ","")&amp;IF(E125="","missing referrer_type; ","")&amp;IF(F125="","missing referral_origin_channel; ","")&amp;IF(H125="","missing referrer_name_snapshot; ","")&amp;IF(AND(A125="client",COUNTIF('الزبائن'!$A$6:$A$505,B125)=0),"client key not found; ","")&amp;IF(AND(A125="proposed_name",COUNTIF('أسماء مقترحة'!$A$6:$A$505,B125)=0),"proposed_name key not found; ",""))))</x:f>
      </x:c>
    </x:row>
    <x:row r="126">
      <x:c r="A126" s="251"/>
      <x:c r="B126" s="252"/>
      <x:c r="C126" s="253"/>
      <x:c r="D126" s="253"/>
      <x:c r="E126" s="253"/>
      <x:c r="F126" s="253"/>
      <x:c r="G126" s="252"/>
      <x:c r="H126" s="253"/>
      <x:c r="I126" s="272"/>
      <x:c r="J126" s="253"/>
      <x:c r="K126" s="252"/>
      <x:c r="L126" s="253"/>
      <x:c r="M126" s="253"/>
      <x:c r="N126" s="253"/>
      <x:c r="O126" s="253"/>
      <x:c r="P126" s="253" t="str">
        <x:f>IF(AND(A126="",B126="",H126=""),"",IF(OR(A126="",B126="",C126="",E126="",F126="",H126="",AND(A126="client",COUNTIF('الزبائن'!$A$6:$A$505,B126)=0),AND(A126="proposed_name",COUNTIF('أسماء مقترحة'!$A$6:$A$505,B126)=0)),"REVIEW","READY"))</x:f>
      </x:c>
      <x:c r="Q126" s="255" t="str">
        <x:f>IF(P126="","",IF(P126="READY","",TRIM(IF(A126="","missing entity_type; ","")&amp;IF(B126="","missing entity_key; ","")&amp;IF(C126="","missing referrer_order; ","")&amp;IF(E126="","missing referrer_type; ","")&amp;IF(F126="","missing referral_origin_channel; ","")&amp;IF(H126="","missing referrer_name_snapshot; ","")&amp;IF(AND(A126="client",COUNTIF('الزبائن'!$A$6:$A$505,B126)=0),"client key not found; ","")&amp;IF(AND(A126="proposed_name",COUNTIF('أسماء مقترحة'!$A$6:$A$505,B126)=0),"proposed_name key not found; ",""))))</x:f>
      </x:c>
    </x:row>
    <x:row r="127">
      <x:c r="A127" s="251"/>
      <x:c r="B127" s="252"/>
      <x:c r="C127" s="253"/>
      <x:c r="D127" s="253"/>
      <x:c r="E127" s="253"/>
      <x:c r="F127" s="253"/>
      <x:c r="G127" s="252"/>
      <x:c r="H127" s="253"/>
      <x:c r="I127" s="272"/>
      <x:c r="J127" s="253"/>
      <x:c r="K127" s="252"/>
      <x:c r="L127" s="253"/>
      <x:c r="M127" s="253"/>
      <x:c r="N127" s="253"/>
      <x:c r="O127" s="253"/>
      <x:c r="P127" s="253" t="str">
        <x:f>IF(AND(A127="",B127="",H127=""),"",IF(OR(A127="",B127="",C127="",E127="",F127="",H127="",AND(A127="client",COUNTIF('الزبائن'!$A$6:$A$505,B127)=0),AND(A127="proposed_name",COUNTIF('أسماء مقترحة'!$A$6:$A$505,B127)=0)),"REVIEW","READY"))</x:f>
      </x:c>
      <x:c r="Q127" s="255" t="str">
        <x:f>IF(P127="","",IF(P127="READY","",TRIM(IF(A127="","missing entity_type; ","")&amp;IF(B127="","missing entity_key; ","")&amp;IF(C127="","missing referrer_order; ","")&amp;IF(E127="","missing referrer_type; ","")&amp;IF(F127="","missing referral_origin_channel; ","")&amp;IF(H127="","missing referrer_name_snapshot; ","")&amp;IF(AND(A127="client",COUNTIF('الزبائن'!$A$6:$A$505,B127)=0),"client key not found; ","")&amp;IF(AND(A127="proposed_name",COUNTIF('أسماء مقترحة'!$A$6:$A$505,B127)=0),"proposed_name key not found; ",""))))</x:f>
      </x:c>
    </x:row>
    <x:row r="128">
      <x:c r="A128" s="251"/>
      <x:c r="B128" s="252"/>
      <x:c r="C128" s="253"/>
      <x:c r="D128" s="253"/>
      <x:c r="E128" s="253"/>
      <x:c r="F128" s="253"/>
      <x:c r="G128" s="252"/>
      <x:c r="H128" s="253"/>
      <x:c r="I128" s="272"/>
      <x:c r="J128" s="253"/>
      <x:c r="K128" s="252"/>
      <x:c r="L128" s="253"/>
      <x:c r="M128" s="253"/>
      <x:c r="N128" s="253"/>
      <x:c r="O128" s="253"/>
      <x:c r="P128" s="253" t="str">
        <x:f>IF(AND(A128="",B128="",H128=""),"",IF(OR(A128="",B128="",C128="",E128="",F128="",H128="",AND(A128="client",COUNTIF('الزبائن'!$A$6:$A$505,B128)=0),AND(A128="proposed_name",COUNTIF('أسماء مقترحة'!$A$6:$A$505,B128)=0)),"REVIEW","READY"))</x:f>
      </x:c>
      <x:c r="Q128" s="255" t="str">
        <x:f>IF(P128="","",IF(P128="READY","",TRIM(IF(A128="","missing entity_type; ","")&amp;IF(B128="","missing entity_key; ","")&amp;IF(C128="","missing referrer_order; ","")&amp;IF(E128="","missing referrer_type; ","")&amp;IF(F128="","missing referral_origin_channel; ","")&amp;IF(H128="","missing referrer_name_snapshot; ","")&amp;IF(AND(A128="client",COUNTIF('الزبائن'!$A$6:$A$505,B128)=0),"client key not found; ","")&amp;IF(AND(A128="proposed_name",COUNTIF('أسماء مقترحة'!$A$6:$A$505,B128)=0),"proposed_name key not found; ",""))))</x:f>
      </x:c>
    </x:row>
    <x:row r="129">
      <x:c r="A129" s="251"/>
      <x:c r="B129" s="252"/>
      <x:c r="C129" s="253"/>
      <x:c r="D129" s="253"/>
      <x:c r="E129" s="253"/>
      <x:c r="F129" s="253"/>
      <x:c r="G129" s="252"/>
      <x:c r="H129" s="253"/>
      <x:c r="I129" s="272"/>
      <x:c r="J129" s="253"/>
      <x:c r="K129" s="252"/>
      <x:c r="L129" s="253"/>
      <x:c r="M129" s="253"/>
      <x:c r="N129" s="253"/>
      <x:c r="O129" s="253"/>
      <x:c r="P129" s="253" t="str">
        <x:f>IF(AND(A129="",B129="",H129=""),"",IF(OR(A129="",B129="",C129="",E129="",F129="",H129="",AND(A129="client",COUNTIF('الزبائن'!$A$6:$A$505,B129)=0),AND(A129="proposed_name",COUNTIF('أسماء مقترحة'!$A$6:$A$505,B129)=0)),"REVIEW","READY"))</x:f>
      </x:c>
      <x:c r="Q129" s="255" t="str">
        <x:f>IF(P129="","",IF(P129="READY","",TRIM(IF(A129="","missing entity_type; ","")&amp;IF(B129="","missing entity_key; ","")&amp;IF(C129="","missing referrer_order; ","")&amp;IF(E129="","missing referrer_type; ","")&amp;IF(F129="","missing referral_origin_channel; ","")&amp;IF(H129="","missing referrer_name_snapshot; ","")&amp;IF(AND(A129="client",COUNTIF('الزبائن'!$A$6:$A$505,B129)=0),"client key not found; ","")&amp;IF(AND(A129="proposed_name",COUNTIF('أسماء مقترحة'!$A$6:$A$505,B129)=0),"proposed_name key not found; ",""))))</x:f>
      </x:c>
    </x:row>
    <x:row r="130">
      <x:c r="A130" s="251"/>
      <x:c r="B130" s="252"/>
      <x:c r="C130" s="253"/>
      <x:c r="D130" s="253"/>
      <x:c r="E130" s="253"/>
      <x:c r="F130" s="253"/>
      <x:c r="G130" s="252"/>
      <x:c r="H130" s="253"/>
      <x:c r="I130" s="272"/>
      <x:c r="J130" s="253"/>
      <x:c r="K130" s="252"/>
      <x:c r="L130" s="253"/>
      <x:c r="M130" s="253"/>
      <x:c r="N130" s="253"/>
      <x:c r="O130" s="253"/>
      <x:c r="P130" s="253" t="str">
        <x:f>IF(AND(A130="",B130="",H130=""),"",IF(OR(A130="",B130="",C130="",E130="",F130="",H130="",AND(A130="client",COUNTIF('الزبائن'!$A$6:$A$505,B130)=0),AND(A130="proposed_name",COUNTIF('أسماء مقترحة'!$A$6:$A$505,B130)=0)),"REVIEW","READY"))</x:f>
      </x:c>
      <x:c r="Q130" s="255" t="str">
        <x:f>IF(P130="","",IF(P130="READY","",TRIM(IF(A130="","missing entity_type; ","")&amp;IF(B130="","missing entity_key; ","")&amp;IF(C130="","missing referrer_order; ","")&amp;IF(E130="","missing referrer_type; ","")&amp;IF(F130="","missing referral_origin_channel; ","")&amp;IF(H130="","missing referrer_name_snapshot; ","")&amp;IF(AND(A130="client",COUNTIF('الزبائن'!$A$6:$A$505,B130)=0),"client key not found; ","")&amp;IF(AND(A130="proposed_name",COUNTIF('أسماء مقترحة'!$A$6:$A$505,B130)=0),"proposed_name key not found; ",""))))</x:f>
      </x:c>
    </x:row>
    <x:row r="131">
      <x:c r="A131" s="251"/>
      <x:c r="B131" s="252"/>
      <x:c r="C131" s="253"/>
      <x:c r="D131" s="253"/>
      <x:c r="E131" s="253"/>
      <x:c r="F131" s="253"/>
      <x:c r="G131" s="252"/>
      <x:c r="H131" s="253"/>
      <x:c r="I131" s="272"/>
      <x:c r="J131" s="253"/>
      <x:c r="K131" s="252"/>
      <x:c r="L131" s="253"/>
      <x:c r="M131" s="253"/>
      <x:c r="N131" s="253"/>
      <x:c r="O131" s="253"/>
      <x:c r="P131" s="253" t="str">
        <x:f>IF(AND(A131="",B131="",H131=""),"",IF(OR(A131="",B131="",C131="",E131="",F131="",H131="",AND(A131="client",COUNTIF('الزبائن'!$A$6:$A$505,B131)=0),AND(A131="proposed_name",COUNTIF('أسماء مقترحة'!$A$6:$A$505,B131)=0)),"REVIEW","READY"))</x:f>
      </x:c>
      <x:c r="Q131" s="255" t="str">
        <x:f>IF(P131="","",IF(P131="READY","",TRIM(IF(A131="","missing entity_type; ","")&amp;IF(B131="","missing entity_key; ","")&amp;IF(C131="","missing referrer_order; ","")&amp;IF(E131="","missing referrer_type; ","")&amp;IF(F131="","missing referral_origin_channel; ","")&amp;IF(H131="","missing referrer_name_snapshot; ","")&amp;IF(AND(A131="client",COUNTIF('الزبائن'!$A$6:$A$505,B131)=0),"client key not found; ","")&amp;IF(AND(A131="proposed_name",COUNTIF('أسماء مقترحة'!$A$6:$A$505,B131)=0),"proposed_name key not found; ",""))))</x:f>
      </x:c>
    </x:row>
    <x:row r="132">
      <x:c r="A132" s="251"/>
      <x:c r="B132" s="252"/>
      <x:c r="C132" s="253"/>
      <x:c r="D132" s="253"/>
      <x:c r="E132" s="253"/>
      <x:c r="F132" s="253"/>
      <x:c r="G132" s="252"/>
      <x:c r="H132" s="253"/>
      <x:c r="I132" s="272"/>
      <x:c r="J132" s="253"/>
      <x:c r="K132" s="252"/>
      <x:c r="L132" s="253"/>
      <x:c r="M132" s="253"/>
      <x:c r="N132" s="253"/>
      <x:c r="O132" s="253"/>
      <x:c r="P132" s="253" t="str">
        <x:f>IF(AND(A132="",B132="",H132=""),"",IF(OR(A132="",B132="",C132="",E132="",F132="",H132="",AND(A132="client",COUNTIF('الزبائن'!$A$6:$A$505,B132)=0),AND(A132="proposed_name",COUNTIF('أسماء مقترحة'!$A$6:$A$505,B132)=0)),"REVIEW","READY"))</x:f>
      </x:c>
      <x:c r="Q132" s="255" t="str">
        <x:f>IF(P132="","",IF(P132="READY","",TRIM(IF(A132="","missing entity_type; ","")&amp;IF(B132="","missing entity_key; ","")&amp;IF(C132="","missing referrer_order; ","")&amp;IF(E132="","missing referrer_type; ","")&amp;IF(F132="","missing referral_origin_channel; ","")&amp;IF(H132="","missing referrer_name_snapshot; ","")&amp;IF(AND(A132="client",COUNTIF('الزبائن'!$A$6:$A$505,B132)=0),"client key not found; ","")&amp;IF(AND(A132="proposed_name",COUNTIF('أسماء مقترحة'!$A$6:$A$505,B132)=0),"proposed_name key not found; ",""))))</x:f>
      </x:c>
    </x:row>
    <x:row r="133">
      <x:c r="A133" s="251"/>
      <x:c r="B133" s="252"/>
      <x:c r="C133" s="253"/>
      <x:c r="D133" s="253"/>
      <x:c r="E133" s="253"/>
      <x:c r="F133" s="253"/>
      <x:c r="G133" s="252"/>
      <x:c r="H133" s="253"/>
      <x:c r="I133" s="272"/>
      <x:c r="J133" s="253"/>
      <x:c r="K133" s="252"/>
      <x:c r="L133" s="253"/>
      <x:c r="M133" s="253"/>
      <x:c r="N133" s="253"/>
      <x:c r="O133" s="253"/>
      <x:c r="P133" s="253" t="str">
        <x:f>IF(AND(A133="",B133="",H133=""),"",IF(OR(A133="",B133="",C133="",E133="",F133="",H133="",AND(A133="client",COUNTIF('الزبائن'!$A$6:$A$505,B133)=0),AND(A133="proposed_name",COUNTIF('أسماء مقترحة'!$A$6:$A$505,B133)=0)),"REVIEW","READY"))</x:f>
      </x:c>
      <x:c r="Q133" s="255" t="str">
        <x:f>IF(P133="","",IF(P133="READY","",TRIM(IF(A133="","missing entity_type; ","")&amp;IF(B133="","missing entity_key; ","")&amp;IF(C133="","missing referrer_order; ","")&amp;IF(E133="","missing referrer_type; ","")&amp;IF(F133="","missing referral_origin_channel; ","")&amp;IF(H133="","missing referrer_name_snapshot; ","")&amp;IF(AND(A133="client",COUNTIF('الزبائن'!$A$6:$A$505,B133)=0),"client key not found; ","")&amp;IF(AND(A133="proposed_name",COUNTIF('أسماء مقترحة'!$A$6:$A$505,B133)=0),"proposed_name key not found; ",""))))</x:f>
      </x:c>
    </x:row>
    <x:row r="134">
      <x:c r="A134" s="251"/>
      <x:c r="B134" s="252"/>
      <x:c r="C134" s="253"/>
      <x:c r="D134" s="253"/>
      <x:c r="E134" s="253"/>
      <x:c r="F134" s="253"/>
      <x:c r="G134" s="252"/>
      <x:c r="H134" s="253"/>
      <x:c r="I134" s="272"/>
      <x:c r="J134" s="253"/>
      <x:c r="K134" s="252"/>
      <x:c r="L134" s="253"/>
      <x:c r="M134" s="253"/>
      <x:c r="N134" s="253"/>
      <x:c r="O134" s="253"/>
      <x:c r="P134" s="253" t="str">
        <x:f>IF(AND(A134="",B134="",H134=""),"",IF(OR(A134="",B134="",C134="",E134="",F134="",H134="",AND(A134="client",COUNTIF('الزبائن'!$A$6:$A$505,B134)=0),AND(A134="proposed_name",COUNTIF('أسماء مقترحة'!$A$6:$A$505,B134)=0)),"REVIEW","READY"))</x:f>
      </x:c>
      <x:c r="Q134" s="255" t="str">
        <x:f>IF(P134="","",IF(P134="READY","",TRIM(IF(A134="","missing entity_type; ","")&amp;IF(B134="","missing entity_key; ","")&amp;IF(C134="","missing referrer_order; ","")&amp;IF(E134="","missing referrer_type; ","")&amp;IF(F134="","missing referral_origin_channel; ","")&amp;IF(H134="","missing referrer_name_snapshot; ","")&amp;IF(AND(A134="client",COUNTIF('الزبائن'!$A$6:$A$505,B134)=0),"client key not found; ","")&amp;IF(AND(A134="proposed_name",COUNTIF('أسماء مقترحة'!$A$6:$A$505,B134)=0),"proposed_name key not found; ",""))))</x:f>
      </x:c>
    </x:row>
    <x:row r="135">
      <x:c r="A135" s="251"/>
      <x:c r="B135" s="252"/>
      <x:c r="C135" s="253"/>
      <x:c r="D135" s="253"/>
      <x:c r="E135" s="253"/>
      <x:c r="F135" s="253"/>
      <x:c r="G135" s="252"/>
      <x:c r="H135" s="253"/>
      <x:c r="I135" s="272"/>
      <x:c r="J135" s="253"/>
      <x:c r="K135" s="252"/>
      <x:c r="L135" s="253"/>
      <x:c r="M135" s="253"/>
      <x:c r="N135" s="253"/>
      <x:c r="O135" s="253"/>
      <x:c r="P135" s="253" t="str">
        <x:f>IF(AND(A135="",B135="",H135=""),"",IF(OR(A135="",B135="",C135="",E135="",F135="",H135="",AND(A135="client",COUNTIF('الزبائن'!$A$6:$A$505,B135)=0),AND(A135="proposed_name",COUNTIF('أسماء مقترحة'!$A$6:$A$505,B135)=0)),"REVIEW","READY"))</x:f>
      </x:c>
      <x:c r="Q135" s="255" t="str">
        <x:f>IF(P135="","",IF(P135="READY","",TRIM(IF(A135="","missing entity_type; ","")&amp;IF(B135="","missing entity_key; ","")&amp;IF(C135="","missing referrer_order; ","")&amp;IF(E135="","missing referrer_type; ","")&amp;IF(F135="","missing referral_origin_channel; ","")&amp;IF(H135="","missing referrer_name_snapshot; ","")&amp;IF(AND(A135="client",COUNTIF('الزبائن'!$A$6:$A$505,B135)=0),"client key not found; ","")&amp;IF(AND(A135="proposed_name",COUNTIF('أسماء مقترحة'!$A$6:$A$505,B135)=0),"proposed_name key not found; ",""))))</x:f>
      </x:c>
    </x:row>
    <x:row r="136">
      <x:c r="A136" s="251"/>
      <x:c r="B136" s="252"/>
      <x:c r="C136" s="253"/>
      <x:c r="D136" s="253"/>
      <x:c r="E136" s="253"/>
      <x:c r="F136" s="253"/>
      <x:c r="G136" s="252"/>
      <x:c r="H136" s="253"/>
      <x:c r="I136" s="272"/>
      <x:c r="J136" s="253"/>
      <x:c r="K136" s="252"/>
      <x:c r="L136" s="253"/>
      <x:c r="M136" s="253"/>
      <x:c r="N136" s="253"/>
      <x:c r="O136" s="253"/>
      <x:c r="P136" s="253" t="str">
        <x:f>IF(AND(A136="",B136="",H136=""),"",IF(OR(A136="",B136="",C136="",E136="",F136="",H136="",AND(A136="client",COUNTIF('الزبائن'!$A$6:$A$505,B136)=0),AND(A136="proposed_name",COUNTIF('أسماء مقترحة'!$A$6:$A$505,B136)=0)),"REVIEW","READY"))</x:f>
      </x:c>
      <x:c r="Q136" s="255" t="str">
        <x:f>IF(P136="","",IF(P136="READY","",TRIM(IF(A136="","missing entity_type; ","")&amp;IF(B136="","missing entity_key; ","")&amp;IF(C136="","missing referrer_order; ","")&amp;IF(E136="","missing referrer_type; ","")&amp;IF(F136="","missing referral_origin_channel; ","")&amp;IF(H136="","missing referrer_name_snapshot; ","")&amp;IF(AND(A136="client",COUNTIF('الزبائن'!$A$6:$A$505,B136)=0),"client key not found; ","")&amp;IF(AND(A136="proposed_name",COUNTIF('أسماء مقترحة'!$A$6:$A$505,B136)=0),"proposed_name key not found; ",""))))</x:f>
      </x:c>
    </x:row>
    <x:row r="137">
      <x:c r="A137" s="251"/>
      <x:c r="B137" s="252"/>
      <x:c r="C137" s="253"/>
      <x:c r="D137" s="253"/>
      <x:c r="E137" s="253"/>
      <x:c r="F137" s="253"/>
      <x:c r="G137" s="252"/>
      <x:c r="H137" s="253"/>
      <x:c r="I137" s="272"/>
      <x:c r="J137" s="253"/>
      <x:c r="K137" s="252"/>
      <x:c r="L137" s="253"/>
      <x:c r="M137" s="253"/>
      <x:c r="N137" s="253"/>
      <x:c r="O137" s="253"/>
      <x:c r="P137" s="253" t="str">
        <x:f>IF(AND(A137="",B137="",H137=""),"",IF(OR(A137="",B137="",C137="",E137="",F137="",H137="",AND(A137="client",COUNTIF('الزبائن'!$A$6:$A$505,B137)=0),AND(A137="proposed_name",COUNTIF('أسماء مقترحة'!$A$6:$A$505,B137)=0)),"REVIEW","READY"))</x:f>
      </x:c>
      <x:c r="Q137" s="255" t="str">
        <x:f>IF(P137="","",IF(P137="READY","",TRIM(IF(A137="","missing entity_type; ","")&amp;IF(B137="","missing entity_key; ","")&amp;IF(C137="","missing referrer_order; ","")&amp;IF(E137="","missing referrer_type; ","")&amp;IF(F137="","missing referral_origin_channel; ","")&amp;IF(H137="","missing referrer_name_snapshot; ","")&amp;IF(AND(A137="client",COUNTIF('الزبائن'!$A$6:$A$505,B137)=0),"client key not found; ","")&amp;IF(AND(A137="proposed_name",COUNTIF('أسماء مقترحة'!$A$6:$A$505,B137)=0),"proposed_name key not found; ",""))))</x:f>
      </x:c>
    </x:row>
    <x:row r="138">
      <x:c r="A138" s="251"/>
      <x:c r="B138" s="252"/>
      <x:c r="C138" s="253"/>
      <x:c r="D138" s="253"/>
      <x:c r="E138" s="253"/>
      <x:c r="F138" s="253"/>
      <x:c r="G138" s="252"/>
      <x:c r="H138" s="253"/>
      <x:c r="I138" s="272"/>
      <x:c r="J138" s="253"/>
      <x:c r="K138" s="252"/>
      <x:c r="L138" s="253"/>
      <x:c r="M138" s="253"/>
      <x:c r="N138" s="253"/>
      <x:c r="O138" s="253"/>
      <x:c r="P138" s="253" t="str">
        <x:f>IF(AND(A138="",B138="",H138=""),"",IF(OR(A138="",B138="",C138="",E138="",F138="",H138="",AND(A138="client",COUNTIF('الزبائن'!$A$6:$A$505,B138)=0),AND(A138="proposed_name",COUNTIF('أسماء مقترحة'!$A$6:$A$505,B138)=0)),"REVIEW","READY"))</x:f>
      </x:c>
      <x:c r="Q138" s="255" t="str">
        <x:f>IF(P138="","",IF(P138="READY","",TRIM(IF(A138="","missing entity_type; ","")&amp;IF(B138="","missing entity_key; ","")&amp;IF(C138="","missing referrer_order; ","")&amp;IF(E138="","missing referrer_type; ","")&amp;IF(F138="","missing referral_origin_channel; ","")&amp;IF(H138="","missing referrer_name_snapshot; ","")&amp;IF(AND(A138="client",COUNTIF('الزبائن'!$A$6:$A$505,B138)=0),"client key not found; ","")&amp;IF(AND(A138="proposed_name",COUNTIF('أسماء مقترحة'!$A$6:$A$505,B138)=0),"proposed_name key not found; ",""))))</x:f>
      </x:c>
    </x:row>
    <x:row r="139">
      <x:c r="A139" s="251"/>
      <x:c r="B139" s="252"/>
      <x:c r="C139" s="253"/>
      <x:c r="D139" s="253"/>
      <x:c r="E139" s="253"/>
      <x:c r="F139" s="253"/>
      <x:c r="G139" s="252"/>
      <x:c r="H139" s="253"/>
      <x:c r="I139" s="272"/>
      <x:c r="J139" s="253"/>
      <x:c r="K139" s="252"/>
      <x:c r="L139" s="253"/>
      <x:c r="M139" s="253"/>
      <x:c r="N139" s="253"/>
      <x:c r="O139" s="253"/>
      <x:c r="P139" s="253" t="str">
        <x:f>IF(AND(A139="",B139="",H139=""),"",IF(OR(A139="",B139="",C139="",E139="",F139="",H139="",AND(A139="client",COUNTIF('الزبائن'!$A$6:$A$505,B139)=0),AND(A139="proposed_name",COUNTIF('أسماء مقترحة'!$A$6:$A$505,B139)=0)),"REVIEW","READY"))</x:f>
      </x:c>
      <x:c r="Q139" s="255" t="str">
        <x:f>IF(P139="","",IF(P139="READY","",TRIM(IF(A139="","missing entity_type; ","")&amp;IF(B139="","missing entity_key; ","")&amp;IF(C139="","missing referrer_order; ","")&amp;IF(E139="","missing referrer_type; ","")&amp;IF(F139="","missing referral_origin_channel; ","")&amp;IF(H139="","missing referrer_name_snapshot; ","")&amp;IF(AND(A139="client",COUNTIF('الزبائن'!$A$6:$A$505,B139)=0),"client key not found; ","")&amp;IF(AND(A139="proposed_name",COUNTIF('أسماء مقترحة'!$A$6:$A$505,B139)=0),"proposed_name key not found; ",""))))</x:f>
      </x:c>
    </x:row>
    <x:row r="140">
      <x:c r="A140" s="251"/>
      <x:c r="B140" s="252"/>
      <x:c r="C140" s="253"/>
      <x:c r="D140" s="253"/>
      <x:c r="E140" s="253"/>
      <x:c r="F140" s="253"/>
      <x:c r="G140" s="252"/>
      <x:c r="H140" s="253"/>
      <x:c r="I140" s="272"/>
      <x:c r="J140" s="253"/>
      <x:c r="K140" s="252"/>
      <x:c r="L140" s="253"/>
      <x:c r="M140" s="253"/>
      <x:c r="N140" s="253"/>
      <x:c r="O140" s="253"/>
      <x:c r="P140" s="253" t="str">
        <x:f>IF(AND(A140="",B140="",H140=""),"",IF(OR(A140="",B140="",C140="",E140="",F140="",H140="",AND(A140="client",COUNTIF('الزبائن'!$A$6:$A$505,B140)=0),AND(A140="proposed_name",COUNTIF('أسماء مقترحة'!$A$6:$A$505,B140)=0)),"REVIEW","READY"))</x:f>
      </x:c>
      <x:c r="Q140" s="255" t="str">
        <x:f>IF(P140="","",IF(P140="READY","",TRIM(IF(A140="","missing entity_type; ","")&amp;IF(B140="","missing entity_key; ","")&amp;IF(C140="","missing referrer_order; ","")&amp;IF(E140="","missing referrer_type; ","")&amp;IF(F140="","missing referral_origin_channel; ","")&amp;IF(H140="","missing referrer_name_snapshot; ","")&amp;IF(AND(A140="client",COUNTIF('الزبائن'!$A$6:$A$505,B140)=0),"client key not found; ","")&amp;IF(AND(A140="proposed_name",COUNTIF('أسماء مقترحة'!$A$6:$A$505,B140)=0),"proposed_name key not found; ",""))))</x:f>
      </x:c>
    </x:row>
    <x:row r="141">
      <x:c r="A141" s="251"/>
      <x:c r="B141" s="252"/>
      <x:c r="C141" s="253"/>
      <x:c r="D141" s="253"/>
      <x:c r="E141" s="253"/>
      <x:c r="F141" s="253"/>
      <x:c r="G141" s="252"/>
      <x:c r="H141" s="253"/>
      <x:c r="I141" s="272"/>
      <x:c r="J141" s="253"/>
      <x:c r="K141" s="252"/>
      <x:c r="L141" s="253"/>
      <x:c r="M141" s="253"/>
      <x:c r="N141" s="253"/>
      <x:c r="O141" s="253"/>
      <x:c r="P141" s="253" t="str">
        <x:f>IF(AND(A141="",B141="",H141=""),"",IF(OR(A141="",B141="",C141="",E141="",F141="",H141="",AND(A141="client",COUNTIF('الزبائن'!$A$6:$A$505,B141)=0),AND(A141="proposed_name",COUNTIF('أسماء مقترحة'!$A$6:$A$505,B141)=0)),"REVIEW","READY"))</x:f>
      </x:c>
      <x:c r="Q141" s="255" t="str">
        <x:f>IF(P141="","",IF(P141="READY","",TRIM(IF(A141="","missing entity_type; ","")&amp;IF(B141="","missing entity_key; ","")&amp;IF(C141="","missing referrer_order; ","")&amp;IF(E141="","missing referrer_type; ","")&amp;IF(F141="","missing referral_origin_channel; ","")&amp;IF(H141="","missing referrer_name_snapshot; ","")&amp;IF(AND(A141="client",COUNTIF('الزبائن'!$A$6:$A$505,B141)=0),"client key not found; ","")&amp;IF(AND(A141="proposed_name",COUNTIF('أسماء مقترحة'!$A$6:$A$505,B141)=0),"proposed_name key not found; ",""))))</x:f>
      </x:c>
    </x:row>
    <x:row r="142">
      <x:c r="A142" s="251"/>
      <x:c r="B142" s="252"/>
      <x:c r="C142" s="253"/>
      <x:c r="D142" s="253"/>
      <x:c r="E142" s="253"/>
      <x:c r="F142" s="253"/>
      <x:c r="G142" s="252"/>
      <x:c r="H142" s="253"/>
      <x:c r="I142" s="272"/>
      <x:c r="J142" s="253"/>
      <x:c r="K142" s="252"/>
      <x:c r="L142" s="253"/>
      <x:c r="M142" s="253"/>
      <x:c r="N142" s="253"/>
      <x:c r="O142" s="253"/>
      <x:c r="P142" s="253" t="str">
        <x:f>IF(AND(A142="",B142="",H142=""),"",IF(OR(A142="",B142="",C142="",E142="",F142="",H142="",AND(A142="client",COUNTIF('الزبائن'!$A$6:$A$505,B142)=0),AND(A142="proposed_name",COUNTIF('أسماء مقترحة'!$A$6:$A$505,B142)=0)),"REVIEW","READY"))</x:f>
      </x:c>
      <x:c r="Q142" s="255" t="str">
        <x:f>IF(P142="","",IF(P142="READY","",TRIM(IF(A142="","missing entity_type; ","")&amp;IF(B142="","missing entity_key; ","")&amp;IF(C142="","missing referrer_order; ","")&amp;IF(E142="","missing referrer_type; ","")&amp;IF(F142="","missing referral_origin_channel; ","")&amp;IF(H142="","missing referrer_name_snapshot; ","")&amp;IF(AND(A142="client",COUNTIF('الزبائن'!$A$6:$A$505,B142)=0),"client key not found; ","")&amp;IF(AND(A142="proposed_name",COUNTIF('أسماء مقترحة'!$A$6:$A$505,B142)=0),"proposed_name key not found; ",""))))</x:f>
      </x:c>
    </x:row>
    <x:row r="143">
      <x:c r="A143" s="251"/>
      <x:c r="B143" s="252"/>
      <x:c r="C143" s="253"/>
      <x:c r="D143" s="253"/>
      <x:c r="E143" s="253"/>
      <x:c r="F143" s="253"/>
      <x:c r="G143" s="252"/>
      <x:c r="H143" s="253"/>
      <x:c r="I143" s="272"/>
      <x:c r="J143" s="253"/>
      <x:c r="K143" s="252"/>
      <x:c r="L143" s="253"/>
      <x:c r="M143" s="253"/>
      <x:c r="N143" s="253"/>
      <x:c r="O143" s="253"/>
      <x:c r="P143" s="253" t="str">
        <x:f>IF(AND(A143="",B143="",H143=""),"",IF(OR(A143="",B143="",C143="",E143="",F143="",H143="",AND(A143="client",COUNTIF('الزبائن'!$A$6:$A$505,B143)=0),AND(A143="proposed_name",COUNTIF('أسماء مقترحة'!$A$6:$A$505,B143)=0)),"REVIEW","READY"))</x:f>
      </x:c>
      <x:c r="Q143" s="255" t="str">
        <x:f>IF(P143="","",IF(P143="READY","",TRIM(IF(A143="","missing entity_type; ","")&amp;IF(B143="","missing entity_key; ","")&amp;IF(C143="","missing referrer_order; ","")&amp;IF(E143="","missing referrer_type; ","")&amp;IF(F143="","missing referral_origin_channel; ","")&amp;IF(H143="","missing referrer_name_snapshot; ","")&amp;IF(AND(A143="client",COUNTIF('الزبائن'!$A$6:$A$505,B143)=0),"client key not found; ","")&amp;IF(AND(A143="proposed_name",COUNTIF('أسماء مقترحة'!$A$6:$A$505,B143)=0),"proposed_name key not found; ",""))))</x:f>
      </x:c>
    </x:row>
    <x:row r="144">
      <x:c r="A144" s="251"/>
      <x:c r="B144" s="252"/>
      <x:c r="C144" s="253"/>
      <x:c r="D144" s="253"/>
      <x:c r="E144" s="253"/>
      <x:c r="F144" s="253"/>
      <x:c r="G144" s="252"/>
      <x:c r="H144" s="253"/>
      <x:c r="I144" s="272"/>
      <x:c r="J144" s="253"/>
      <x:c r="K144" s="252"/>
      <x:c r="L144" s="253"/>
      <x:c r="M144" s="253"/>
      <x:c r="N144" s="253"/>
      <x:c r="O144" s="253"/>
      <x:c r="P144" s="253" t="str">
        <x:f>IF(AND(A144="",B144="",H144=""),"",IF(OR(A144="",B144="",C144="",E144="",F144="",H144="",AND(A144="client",COUNTIF('الزبائن'!$A$6:$A$505,B144)=0),AND(A144="proposed_name",COUNTIF('أسماء مقترحة'!$A$6:$A$505,B144)=0)),"REVIEW","READY"))</x:f>
      </x:c>
      <x:c r="Q144" s="255" t="str">
        <x:f>IF(P144="","",IF(P144="READY","",TRIM(IF(A144="","missing entity_type; ","")&amp;IF(B144="","missing entity_key; ","")&amp;IF(C144="","missing referrer_order; ","")&amp;IF(E144="","missing referrer_type; ","")&amp;IF(F144="","missing referral_origin_channel; ","")&amp;IF(H144="","missing referrer_name_snapshot; ","")&amp;IF(AND(A144="client",COUNTIF('الزبائن'!$A$6:$A$505,B144)=0),"client key not found; ","")&amp;IF(AND(A144="proposed_name",COUNTIF('أسماء مقترحة'!$A$6:$A$505,B144)=0),"proposed_name key not found; ",""))))</x:f>
      </x:c>
    </x:row>
    <x:row r="145">
      <x:c r="A145" s="251"/>
      <x:c r="B145" s="252"/>
      <x:c r="C145" s="253"/>
      <x:c r="D145" s="253"/>
      <x:c r="E145" s="253"/>
      <x:c r="F145" s="253"/>
      <x:c r="G145" s="252"/>
      <x:c r="H145" s="253"/>
      <x:c r="I145" s="272"/>
      <x:c r="J145" s="253"/>
      <x:c r="K145" s="252"/>
      <x:c r="L145" s="253"/>
      <x:c r="M145" s="253"/>
      <x:c r="N145" s="253"/>
      <x:c r="O145" s="253"/>
      <x:c r="P145" s="253" t="str">
        <x:f>IF(AND(A145="",B145="",H145=""),"",IF(OR(A145="",B145="",C145="",E145="",F145="",H145="",AND(A145="client",COUNTIF('الزبائن'!$A$6:$A$505,B145)=0),AND(A145="proposed_name",COUNTIF('أسماء مقترحة'!$A$6:$A$505,B145)=0)),"REVIEW","READY"))</x:f>
      </x:c>
      <x:c r="Q145" s="255" t="str">
        <x:f>IF(P145="","",IF(P145="READY","",TRIM(IF(A145="","missing entity_type; ","")&amp;IF(B145="","missing entity_key; ","")&amp;IF(C145="","missing referrer_order; ","")&amp;IF(E145="","missing referrer_type; ","")&amp;IF(F145="","missing referral_origin_channel; ","")&amp;IF(H145="","missing referrer_name_snapshot; ","")&amp;IF(AND(A145="client",COUNTIF('الزبائن'!$A$6:$A$505,B145)=0),"client key not found; ","")&amp;IF(AND(A145="proposed_name",COUNTIF('أسماء مقترحة'!$A$6:$A$505,B145)=0),"proposed_name key not found; ",""))))</x:f>
      </x:c>
    </x:row>
    <x:row r="146">
      <x:c r="A146" s="251"/>
      <x:c r="B146" s="252"/>
      <x:c r="C146" s="253"/>
      <x:c r="D146" s="253"/>
      <x:c r="E146" s="253"/>
      <x:c r="F146" s="253"/>
      <x:c r="G146" s="252"/>
      <x:c r="H146" s="253"/>
      <x:c r="I146" s="272"/>
      <x:c r="J146" s="253"/>
      <x:c r="K146" s="252"/>
      <x:c r="L146" s="253"/>
      <x:c r="M146" s="253"/>
      <x:c r="N146" s="253"/>
      <x:c r="O146" s="253"/>
      <x:c r="P146" s="253" t="str">
        <x:f>IF(AND(A146="",B146="",H146=""),"",IF(OR(A146="",B146="",C146="",E146="",F146="",H146="",AND(A146="client",COUNTIF('الزبائن'!$A$6:$A$505,B146)=0),AND(A146="proposed_name",COUNTIF('أسماء مقترحة'!$A$6:$A$505,B146)=0)),"REVIEW","READY"))</x:f>
      </x:c>
      <x:c r="Q146" s="255" t="str">
        <x:f>IF(P146="","",IF(P146="READY","",TRIM(IF(A146="","missing entity_type; ","")&amp;IF(B146="","missing entity_key; ","")&amp;IF(C146="","missing referrer_order; ","")&amp;IF(E146="","missing referrer_type; ","")&amp;IF(F146="","missing referral_origin_channel; ","")&amp;IF(H146="","missing referrer_name_snapshot; ","")&amp;IF(AND(A146="client",COUNTIF('الزبائن'!$A$6:$A$505,B146)=0),"client key not found; ","")&amp;IF(AND(A146="proposed_name",COUNTIF('أسماء مقترحة'!$A$6:$A$505,B146)=0),"proposed_name key not found; ",""))))</x:f>
      </x:c>
    </x:row>
    <x:row r="147">
      <x:c r="A147" s="251"/>
      <x:c r="B147" s="252"/>
      <x:c r="C147" s="253"/>
      <x:c r="D147" s="253"/>
      <x:c r="E147" s="253"/>
      <x:c r="F147" s="253"/>
      <x:c r="G147" s="252"/>
      <x:c r="H147" s="253"/>
      <x:c r="I147" s="272"/>
      <x:c r="J147" s="253"/>
      <x:c r="K147" s="252"/>
      <x:c r="L147" s="253"/>
      <x:c r="M147" s="253"/>
      <x:c r="N147" s="253"/>
      <x:c r="O147" s="253"/>
      <x:c r="P147" s="253" t="str">
        <x:f>IF(AND(A147="",B147="",H147=""),"",IF(OR(A147="",B147="",C147="",E147="",F147="",H147="",AND(A147="client",COUNTIF('الزبائن'!$A$6:$A$505,B147)=0),AND(A147="proposed_name",COUNTIF('أسماء مقترحة'!$A$6:$A$505,B147)=0)),"REVIEW","READY"))</x:f>
      </x:c>
      <x:c r="Q147" s="255" t="str">
        <x:f>IF(P147="","",IF(P147="READY","",TRIM(IF(A147="","missing entity_type; ","")&amp;IF(B147="","missing entity_key; ","")&amp;IF(C147="","missing referrer_order; ","")&amp;IF(E147="","missing referrer_type; ","")&amp;IF(F147="","missing referral_origin_channel; ","")&amp;IF(H147="","missing referrer_name_snapshot; ","")&amp;IF(AND(A147="client",COUNTIF('الزبائن'!$A$6:$A$505,B147)=0),"client key not found; ","")&amp;IF(AND(A147="proposed_name",COUNTIF('أسماء مقترحة'!$A$6:$A$505,B147)=0),"proposed_name key not found; ",""))))</x:f>
      </x:c>
    </x:row>
    <x:row r="148">
      <x:c r="A148" s="251"/>
      <x:c r="B148" s="252"/>
      <x:c r="C148" s="253"/>
      <x:c r="D148" s="253"/>
      <x:c r="E148" s="253"/>
      <x:c r="F148" s="253"/>
      <x:c r="G148" s="252"/>
      <x:c r="H148" s="253"/>
      <x:c r="I148" s="272"/>
      <x:c r="J148" s="253"/>
      <x:c r="K148" s="252"/>
      <x:c r="L148" s="253"/>
      <x:c r="M148" s="253"/>
      <x:c r="N148" s="253"/>
      <x:c r="O148" s="253"/>
      <x:c r="P148" s="253" t="str">
        <x:f>IF(AND(A148="",B148="",H148=""),"",IF(OR(A148="",B148="",C148="",E148="",F148="",H148="",AND(A148="client",COUNTIF('الزبائن'!$A$6:$A$505,B148)=0),AND(A148="proposed_name",COUNTIF('أسماء مقترحة'!$A$6:$A$505,B148)=0)),"REVIEW","READY"))</x:f>
      </x:c>
      <x:c r="Q148" s="255" t="str">
        <x:f>IF(P148="","",IF(P148="READY","",TRIM(IF(A148="","missing entity_type; ","")&amp;IF(B148="","missing entity_key; ","")&amp;IF(C148="","missing referrer_order; ","")&amp;IF(E148="","missing referrer_type; ","")&amp;IF(F148="","missing referral_origin_channel; ","")&amp;IF(H148="","missing referrer_name_snapshot; ","")&amp;IF(AND(A148="client",COUNTIF('الزبائن'!$A$6:$A$505,B148)=0),"client key not found; ","")&amp;IF(AND(A148="proposed_name",COUNTIF('أسماء مقترحة'!$A$6:$A$505,B148)=0),"proposed_name key not found; ",""))))</x:f>
      </x:c>
    </x:row>
    <x:row r="149">
      <x:c r="A149" s="251"/>
      <x:c r="B149" s="252"/>
      <x:c r="C149" s="253"/>
      <x:c r="D149" s="253"/>
      <x:c r="E149" s="253"/>
      <x:c r="F149" s="253"/>
      <x:c r="G149" s="252"/>
      <x:c r="H149" s="253"/>
      <x:c r="I149" s="272"/>
      <x:c r="J149" s="253"/>
      <x:c r="K149" s="252"/>
      <x:c r="L149" s="253"/>
      <x:c r="M149" s="253"/>
      <x:c r="N149" s="253"/>
      <x:c r="O149" s="253"/>
      <x:c r="P149" s="253" t="str">
        <x:f>IF(AND(A149="",B149="",H149=""),"",IF(OR(A149="",B149="",C149="",E149="",F149="",H149="",AND(A149="client",COUNTIF('الزبائن'!$A$6:$A$505,B149)=0),AND(A149="proposed_name",COUNTIF('أسماء مقترحة'!$A$6:$A$505,B149)=0)),"REVIEW","READY"))</x:f>
      </x:c>
      <x:c r="Q149" s="255" t="str">
        <x:f>IF(P149="","",IF(P149="READY","",TRIM(IF(A149="","missing entity_type; ","")&amp;IF(B149="","missing entity_key; ","")&amp;IF(C149="","missing referrer_order; ","")&amp;IF(E149="","missing referrer_type; ","")&amp;IF(F149="","missing referral_origin_channel; ","")&amp;IF(H149="","missing referrer_name_snapshot; ","")&amp;IF(AND(A149="client",COUNTIF('الزبائن'!$A$6:$A$505,B149)=0),"client key not found; ","")&amp;IF(AND(A149="proposed_name",COUNTIF('أسماء مقترحة'!$A$6:$A$505,B149)=0),"proposed_name key not found; ",""))))</x:f>
      </x:c>
    </x:row>
    <x:row r="150">
      <x:c r="A150" s="251"/>
      <x:c r="B150" s="252"/>
      <x:c r="C150" s="253"/>
      <x:c r="D150" s="253"/>
      <x:c r="E150" s="253"/>
      <x:c r="F150" s="253"/>
      <x:c r="G150" s="252"/>
      <x:c r="H150" s="253"/>
      <x:c r="I150" s="272"/>
      <x:c r="J150" s="253"/>
      <x:c r="K150" s="252"/>
      <x:c r="L150" s="253"/>
      <x:c r="M150" s="253"/>
      <x:c r="N150" s="253"/>
      <x:c r="O150" s="253"/>
      <x:c r="P150" s="253" t="str">
        <x:f>IF(AND(A150="",B150="",H150=""),"",IF(OR(A150="",B150="",C150="",E150="",F150="",H150="",AND(A150="client",COUNTIF('الزبائن'!$A$6:$A$505,B150)=0),AND(A150="proposed_name",COUNTIF('أسماء مقترحة'!$A$6:$A$505,B150)=0)),"REVIEW","READY"))</x:f>
      </x:c>
      <x:c r="Q150" s="255" t="str">
        <x:f>IF(P150="","",IF(P150="READY","",TRIM(IF(A150="","missing entity_type; ","")&amp;IF(B150="","missing entity_key; ","")&amp;IF(C150="","missing referrer_order; ","")&amp;IF(E150="","missing referrer_type; ","")&amp;IF(F150="","missing referral_origin_channel; ","")&amp;IF(H150="","missing referrer_name_snapshot; ","")&amp;IF(AND(A150="client",COUNTIF('الزبائن'!$A$6:$A$505,B150)=0),"client key not found; ","")&amp;IF(AND(A150="proposed_name",COUNTIF('أسماء مقترحة'!$A$6:$A$505,B150)=0),"proposed_name key not found; ",""))))</x:f>
      </x:c>
    </x:row>
    <x:row r="151">
      <x:c r="A151" s="251"/>
      <x:c r="B151" s="252"/>
      <x:c r="C151" s="253"/>
      <x:c r="D151" s="253"/>
      <x:c r="E151" s="253"/>
      <x:c r="F151" s="253"/>
      <x:c r="G151" s="252"/>
      <x:c r="H151" s="253"/>
      <x:c r="I151" s="272"/>
      <x:c r="J151" s="253"/>
      <x:c r="K151" s="252"/>
      <x:c r="L151" s="253"/>
      <x:c r="M151" s="253"/>
      <x:c r="N151" s="253"/>
      <x:c r="O151" s="253"/>
      <x:c r="P151" s="253" t="str">
        <x:f>IF(AND(A151="",B151="",H151=""),"",IF(OR(A151="",B151="",C151="",E151="",F151="",H151="",AND(A151="client",COUNTIF('الزبائن'!$A$6:$A$505,B151)=0),AND(A151="proposed_name",COUNTIF('أسماء مقترحة'!$A$6:$A$505,B151)=0)),"REVIEW","READY"))</x:f>
      </x:c>
      <x:c r="Q151" s="255" t="str">
        <x:f>IF(P151="","",IF(P151="READY","",TRIM(IF(A151="","missing entity_type; ","")&amp;IF(B151="","missing entity_key; ","")&amp;IF(C151="","missing referrer_order; ","")&amp;IF(E151="","missing referrer_type; ","")&amp;IF(F151="","missing referral_origin_channel; ","")&amp;IF(H151="","missing referrer_name_snapshot; ","")&amp;IF(AND(A151="client",COUNTIF('الزبائن'!$A$6:$A$505,B151)=0),"client key not found; ","")&amp;IF(AND(A151="proposed_name",COUNTIF('أسماء مقترحة'!$A$6:$A$505,B151)=0),"proposed_name key not found; ",""))))</x:f>
      </x:c>
    </x:row>
    <x:row r="152">
      <x:c r="A152" s="251"/>
      <x:c r="B152" s="252"/>
      <x:c r="C152" s="253"/>
      <x:c r="D152" s="253"/>
      <x:c r="E152" s="253"/>
      <x:c r="F152" s="253"/>
      <x:c r="G152" s="252"/>
      <x:c r="H152" s="253"/>
      <x:c r="I152" s="272"/>
      <x:c r="J152" s="253"/>
      <x:c r="K152" s="252"/>
      <x:c r="L152" s="253"/>
      <x:c r="M152" s="253"/>
      <x:c r="N152" s="253"/>
      <x:c r="O152" s="253"/>
      <x:c r="P152" s="253" t="str">
        <x:f>IF(AND(A152="",B152="",H152=""),"",IF(OR(A152="",B152="",C152="",E152="",F152="",H152="",AND(A152="client",COUNTIF('الزبائن'!$A$6:$A$505,B152)=0),AND(A152="proposed_name",COUNTIF('أسماء مقترحة'!$A$6:$A$505,B152)=0)),"REVIEW","READY"))</x:f>
      </x:c>
      <x:c r="Q152" s="255" t="str">
        <x:f>IF(P152="","",IF(P152="READY","",TRIM(IF(A152="","missing entity_type; ","")&amp;IF(B152="","missing entity_key; ","")&amp;IF(C152="","missing referrer_order; ","")&amp;IF(E152="","missing referrer_type; ","")&amp;IF(F152="","missing referral_origin_channel; ","")&amp;IF(H152="","missing referrer_name_snapshot; ","")&amp;IF(AND(A152="client",COUNTIF('الزبائن'!$A$6:$A$505,B152)=0),"client key not found; ","")&amp;IF(AND(A152="proposed_name",COUNTIF('أسماء مقترحة'!$A$6:$A$505,B152)=0),"proposed_name key not found; ",""))))</x:f>
      </x:c>
    </x:row>
    <x:row r="153">
      <x:c r="A153" s="251"/>
      <x:c r="B153" s="252"/>
      <x:c r="C153" s="253"/>
      <x:c r="D153" s="253"/>
      <x:c r="E153" s="253"/>
      <x:c r="F153" s="253"/>
      <x:c r="G153" s="252"/>
      <x:c r="H153" s="253"/>
      <x:c r="I153" s="272"/>
      <x:c r="J153" s="253"/>
      <x:c r="K153" s="252"/>
      <x:c r="L153" s="253"/>
      <x:c r="M153" s="253"/>
      <x:c r="N153" s="253"/>
      <x:c r="O153" s="253"/>
      <x:c r="P153" s="253" t="str">
        <x:f>IF(AND(A153="",B153="",H153=""),"",IF(OR(A153="",B153="",C153="",E153="",F153="",H153="",AND(A153="client",COUNTIF('الزبائن'!$A$6:$A$505,B153)=0),AND(A153="proposed_name",COUNTIF('أسماء مقترحة'!$A$6:$A$505,B153)=0)),"REVIEW","READY"))</x:f>
      </x:c>
      <x:c r="Q153" s="255" t="str">
        <x:f>IF(P153="","",IF(P153="READY","",TRIM(IF(A153="","missing entity_type; ","")&amp;IF(B153="","missing entity_key; ","")&amp;IF(C153="","missing referrer_order; ","")&amp;IF(E153="","missing referrer_type; ","")&amp;IF(F153="","missing referral_origin_channel; ","")&amp;IF(H153="","missing referrer_name_snapshot; ","")&amp;IF(AND(A153="client",COUNTIF('الزبائن'!$A$6:$A$505,B153)=0),"client key not found; ","")&amp;IF(AND(A153="proposed_name",COUNTIF('أسماء مقترحة'!$A$6:$A$505,B153)=0),"proposed_name key not found; ",""))))</x:f>
      </x:c>
    </x:row>
    <x:row r="154">
      <x:c r="A154" s="251"/>
      <x:c r="B154" s="252"/>
      <x:c r="C154" s="253"/>
      <x:c r="D154" s="253"/>
      <x:c r="E154" s="253"/>
      <x:c r="F154" s="253"/>
      <x:c r="G154" s="252"/>
      <x:c r="H154" s="253"/>
      <x:c r="I154" s="272"/>
      <x:c r="J154" s="253"/>
      <x:c r="K154" s="252"/>
      <x:c r="L154" s="253"/>
      <x:c r="M154" s="253"/>
      <x:c r="N154" s="253"/>
      <x:c r="O154" s="253"/>
      <x:c r="P154" s="253" t="str">
        <x:f>IF(AND(A154="",B154="",H154=""),"",IF(OR(A154="",B154="",C154="",E154="",F154="",H154="",AND(A154="client",COUNTIF('الزبائن'!$A$6:$A$505,B154)=0),AND(A154="proposed_name",COUNTIF('أسماء مقترحة'!$A$6:$A$505,B154)=0)),"REVIEW","READY"))</x:f>
      </x:c>
      <x:c r="Q154" s="255" t="str">
        <x:f>IF(P154="","",IF(P154="READY","",TRIM(IF(A154="","missing entity_type; ","")&amp;IF(B154="","missing entity_key; ","")&amp;IF(C154="","missing referrer_order; ","")&amp;IF(E154="","missing referrer_type; ","")&amp;IF(F154="","missing referral_origin_channel; ","")&amp;IF(H154="","missing referrer_name_snapshot; ","")&amp;IF(AND(A154="client",COUNTIF('الزبائن'!$A$6:$A$505,B154)=0),"client key not found; ","")&amp;IF(AND(A154="proposed_name",COUNTIF('أسماء مقترحة'!$A$6:$A$505,B154)=0),"proposed_name key not found; ",""))))</x:f>
      </x:c>
    </x:row>
    <x:row r="155">
      <x:c r="A155" s="251"/>
      <x:c r="B155" s="252"/>
      <x:c r="C155" s="253"/>
      <x:c r="D155" s="253"/>
      <x:c r="E155" s="253"/>
      <x:c r="F155" s="253"/>
      <x:c r="G155" s="252"/>
      <x:c r="H155" s="253"/>
      <x:c r="I155" s="272"/>
      <x:c r="J155" s="253"/>
      <x:c r="K155" s="252"/>
      <x:c r="L155" s="253"/>
      <x:c r="M155" s="253"/>
      <x:c r="N155" s="253"/>
      <x:c r="O155" s="253"/>
      <x:c r="P155" s="253" t="str">
        <x:f>IF(AND(A155="",B155="",H155=""),"",IF(OR(A155="",B155="",C155="",E155="",F155="",H155="",AND(A155="client",COUNTIF('الزبائن'!$A$6:$A$505,B155)=0),AND(A155="proposed_name",COUNTIF('أسماء مقترحة'!$A$6:$A$505,B155)=0)),"REVIEW","READY"))</x:f>
      </x:c>
      <x:c r="Q155" s="255" t="str">
        <x:f>IF(P155="","",IF(P155="READY","",TRIM(IF(A155="","missing entity_type; ","")&amp;IF(B155="","missing entity_key; ","")&amp;IF(C155="","missing referrer_order; ","")&amp;IF(E155="","missing referrer_type; ","")&amp;IF(F155="","missing referral_origin_channel; ","")&amp;IF(H155="","missing referrer_name_snapshot; ","")&amp;IF(AND(A155="client",COUNTIF('الزبائن'!$A$6:$A$505,B155)=0),"client key not found; ","")&amp;IF(AND(A155="proposed_name",COUNTIF('أسماء مقترحة'!$A$6:$A$505,B155)=0),"proposed_name key not found; ",""))))</x:f>
      </x:c>
    </x:row>
    <x:row r="156">
      <x:c r="A156" s="251"/>
      <x:c r="B156" s="252"/>
      <x:c r="C156" s="253"/>
      <x:c r="D156" s="253"/>
      <x:c r="E156" s="253"/>
      <x:c r="F156" s="253"/>
      <x:c r="G156" s="252"/>
      <x:c r="H156" s="253"/>
      <x:c r="I156" s="272"/>
      <x:c r="J156" s="253"/>
      <x:c r="K156" s="252"/>
      <x:c r="L156" s="253"/>
      <x:c r="M156" s="253"/>
      <x:c r="N156" s="253"/>
      <x:c r="O156" s="253"/>
      <x:c r="P156" s="253" t="str">
        <x:f>IF(AND(A156="",B156="",H156=""),"",IF(OR(A156="",B156="",C156="",E156="",F156="",H156="",AND(A156="client",COUNTIF('الزبائن'!$A$6:$A$505,B156)=0),AND(A156="proposed_name",COUNTIF('أسماء مقترحة'!$A$6:$A$505,B156)=0)),"REVIEW","READY"))</x:f>
      </x:c>
      <x:c r="Q156" s="255" t="str">
        <x:f>IF(P156="","",IF(P156="READY","",TRIM(IF(A156="","missing entity_type; ","")&amp;IF(B156="","missing entity_key; ","")&amp;IF(C156="","missing referrer_order; ","")&amp;IF(E156="","missing referrer_type; ","")&amp;IF(F156="","missing referral_origin_channel; ","")&amp;IF(H156="","missing referrer_name_snapshot; ","")&amp;IF(AND(A156="client",COUNTIF('الزبائن'!$A$6:$A$505,B156)=0),"client key not found; ","")&amp;IF(AND(A156="proposed_name",COUNTIF('أسماء مقترحة'!$A$6:$A$505,B156)=0),"proposed_name key not found; ",""))))</x:f>
      </x:c>
    </x:row>
    <x:row r="157">
      <x:c r="A157" s="251"/>
      <x:c r="B157" s="252"/>
      <x:c r="C157" s="253"/>
      <x:c r="D157" s="253"/>
      <x:c r="E157" s="253"/>
      <x:c r="F157" s="253"/>
      <x:c r="G157" s="252"/>
      <x:c r="H157" s="253"/>
      <x:c r="I157" s="272"/>
      <x:c r="J157" s="253"/>
      <x:c r="K157" s="252"/>
      <x:c r="L157" s="253"/>
      <x:c r="M157" s="253"/>
      <x:c r="N157" s="253"/>
      <x:c r="O157" s="253"/>
      <x:c r="P157" s="253" t="str">
        <x:f>IF(AND(A157="",B157="",H157=""),"",IF(OR(A157="",B157="",C157="",E157="",F157="",H157="",AND(A157="client",COUNTIF('الزبائن'!$A$6:$A$505,B157)=0),AND(A157="proposed_name",COUNTIF('أسماء مقترحة'!$A$6:$A$505,B157)=0)),"REVIEW","READY"))</x:f>
      </x:c>
      <x:c r="Q157" s="255" t="str">
        <x:f>IF(P157="","",IF(P157="READY","",TRIM(IF(A157="","missing entity_type; ","")&amp;IF(B157="","missing entity_key; ","")&amp;IF(C157="","missing referrer_order; ","")&amp;IF(E157="","missing referrer_type; ","")&amp;IF(F157="","missing referral_origin_channel; ","")&amp;IF(H157="","missing referrer_name_snapshot; ","")&amp;IF(AND(A157="client",COUNTIF('الزبائن'!$A$6:$A$505,B157)=0),"client key not found; ","")&amp;IF(AND(A157="proposed_name",COUNTIF('أسماء مقترحة'!$A$6:$A$505,B157)=0),"proposed_name key not found; ",""))))</x:f>
      </x:c>
    </x:row>
    <x:row r="158">
      <x:c r="A158" s="251"/>
      <x:c r="B158" s="252"/>
      <x:c r="C158" s="253"/>
      <x:c r="D158" s="253"/>
      <x:c r="E158" s="253"/>
      <x:c r="F158" s="253"/>
      <x:c r="G158" s="252"/>
      <x:c r="H158" s="253"/>
      <x:c r="I158" s="272"/>
      <x:c r="J158" s="253"/>
      <x:c r="K158" s="252"/>
      <x:c r="L158" s="253"/>
      <x:c r="M158" s="253"/>
      <x:c r="N158" s="253"/>
      <x:c r="O158" s="253"/>
      <x:c r="P158" s="253" t="str">
        <x:f>IF(AND(A158="",B158="",H158=""),"",IF(OR(A158="",B158="",C158="",E158="",F158="",H158="",AND(A158="client",COUNTIF('الزبائن'!$A$6:$A$505,B158)=0),AND(A158="proposed_name",COUNTIF('أسماء مقترحة'!$A$6:$A$505,B158)=0)),"REVIEW","READY"))</x:f>
      </x:c>
      <x:c r="Q158" s="255" t="str">
        <x:f>IF(P158="","",IF(P158="READY","",TRIM(IF(A158="","missing entity_type; ","")&amp;IF(B158="","missing entity_key; ","")&amp;IF(C158="","missing referrer_order; ","")&amp;IF(E158="","missing referrer_type; ","")&amp;IF(F158="","missing referral_origin_channel; ","")&amp;IF(H158="","missing referrer_name_snapshot; ","")&amp;IF(AND(A158="client",COUNTIF('الزبائن'!$A$6:$A$505,B158)=0),"client key not found; ","")&amp;IF(AND(A158="proposed_name",COUNTIF('أسماء مقترحة'!$A$6:$A$505,B158)=0),"proposed_name key not found; ",""))))</x:f>
      </x:c>
    </x:row>
    <x:row r="159">
      <x:c r="A159" s="251"/>
      <x:c r="B159" s="252"/>
      <x:c r="C159" s="253"/>
      <x:c r="D159" s="253"/>
      <x:c r="E159" s="253"/>
      <x:c r="F159" s="253"/>
      <x:c r="G159" s="252"/>
      <x:c r="H159" s="253"/>
      <x:c r="I159" s="272"/>
      <x:c r="J159" s="253"/>
      <x:c r="K159" s="252"/>
      <x:c r="L159" s="253"/>
      <x:c r="M159" s="253"/>
      <x:c r="N159" s="253"/>
      <x:c r="O159" s="253"/>
      <x:c r="P159" s="253" t="str">
        <x:f>IF(AND(A159="",B159="",H159=""),"",IF(OR(A159="",B159="",C159="",E159="",F159="",H159="",AND(A159="client",COUNTIF('الزبائن'!$A$6:$A$505,B159)=0),AND(A159="proposed_name",COUNTIF('أسماء مقترحة'!$A$6:$A$505,B159)=0)),"REVIEW","READY"))</x:f>
      </x:c>
      <x:c r="Q159" s="255" t="str">
        <x:f>IF(P159="","",IF(P159="READY","",TRIM(IF(A159="","missing entity_type; ","")&amp;IF(B159="","missing entity_key; ","")&amp;IF(C159="","missing referrer_order; ","")&amp;IF(E159="","missing referrer_type; ","")&amp;IF(F159="","missing referral_origin_channel; ","")&amp;IF(H159="","missing referrer_name_snapshot; ","")&amp;IF(AND(A159="client",COUNTIF('الزبائن'!$A$6:$A$505,B159)=0),"client key not found; ","")&amp;IF(AND(A159="proposed_name",COUNTIF('أسماء مقترحة'!$A$6:$A$505,B159)=0),"proposed_name key not found; ",""))))</x:f>
      </x:c>
    </x:row>
    <x:row r="160">
      <x:c r="A160" s="251"/>
      <x:c r="B160" s="252"/>
      <x:c r="C160" s="253"/>
      <x:c r="D160" s="253"/>
      <x:c r="E160" s="253"/>
      <x:c r="F160" s="253"/>
      <x:c r="G160" s="252"/>
      <x:c r="H160" s="253"/>
      <x:c r="I160" s="272"/>
      <x:c r="J160" s="253"/>
      <x:c r="K160" s="252"/>
      <x:c r="L160" s="253"/>
      <x:c r="M160" s="253"/>
      <x:c r="N160" s="253"/>
      <x:c r="O160" s="253"/>
      <x:c r="P160" s="253" t="str">
        <x:f>IF(AND(A160="",B160="",H160=""),"",IF(OR(A160="",B160="",C160="",E160="",F160="",H160="",AND(A160="client",COUNTIF('الزبائن'!$A$6:$A$505,B160)=0),AND(A160="proposed_name",COUNTIF('أسماء مقترحة'!$A$6:$A$505,B160)=0)),"REVIEW","READY"))</x:f>
      </x:c>
      <x:c r="Q160" s="255" t="str">
        <x:f>IF(P160="","",IF(P160="READY","",TRIM(IF(A160="","missing entity_type; ","")&amp;IF(B160="","missing entity_key; ","")&amp;IF(C160="","missing referrer_order; ","")&amp;IF(E160="","missing referrer_type; ","")&amp;IF(F160="","missing referral_origin_channel; ","")&amp;IF(H160="","missing referrer_name_snapshot; ","")&amp;IF(AND(A160="client",COUNTIF('الزبائن'!$A$6:$A$505,B160)=0),"client key not found; ","")&amp;IF(AND(A160="proposed_name",COUNTIF('أسماء مقترحة'!$A$6:$A$505,B160)=0),"proposed_name key not found; ",""))))</x:f>
      </x:c>
    </x:row>
    <x:row r="161">
      <x:c r="A161" s="251"/>
      <x:c r="B161" s="252"/>
      <x:c r="C161" s="253"/>
      <x:c r="D161" s="253"/>
      <x:c r="E161" s="253"/>
      <x:c r="F161" s="253"/>
      <x:c r="G161" s="252"/>
      <x:c r="H161" s="253"/>
      <x:c r="I161" s="272"/>
      <x:c r="J161" s="253"/>
      <x:c r="K161" s="252"/>
      <x:c r="L161" s="253"/>
      <x:c r="M161" s="253"/>
      <x:c r="N161" s="253"/>
      <x:c r="O161" s="253"/>
      <x:c r="P161" s="253" t="str">
        <x:f>IF(AND(A161="",B161="",H161=""),"",IF(OR(A161="",B161="",C161="",E161="",F161="",H161="",AND(A161="client",COUNTIF('الزبائن'!$A$6:$A$505,B161)=0),AND(A161="proposed_name",COUNTIF('أسماء مقترحة'!$A$6:$A$505,B161)=0)),"REVIEW","READY"))</x:f>
      </x:c>
      <x:c r="Q161" s="255" t="str">
        <x:f>IF(P161="","",IF(P161="READY","",TRIM(IF(A161="","missing entity_type; ","")&amp;IF(B161="","missing entity_key; ","")&amp;IF(C161="","missing referrer_order; ","")&amp;IF(E161="","missing referrer_type; ","")&amp;IF(F161="","missing referral_origin_channel; ","")&amp;IF(H161="","missing referrer_name_snapshot; ","")&amp;IF(AND(A161="client",COUNTIF('الزبائن'!$A$6:$A$505,B161)=0),"client key not found; ","")&amp;IF(AND(A161="proposed_name",COUNTIF('أسماء مقترحة'!$A$6:$A$505,B161)=0),"proposed_name key not found; ",""))))</x:f>
      </x:c>
    </x:row>
    <x:row r="162">
      <x:c r="A162" s="251"/>
      <x:c r="B162" s="252"/>
      <x:c r="C162" s="253"/>
      <x:c r="D162" s="253"/>
      <x:c r="E162" s="253"/>
      <x:c r="F162" s="253"/>
      <x:c r="G162" s="252"/>
      <x:c r="H162" s="253"/>
      <x:c r="I162" s="272"/>
      <x:c r="J162" s="253"/>
      <x:c r="K162" s="252"/>
      <x:c r="L162" s="253"/>
      <x:c r="M162" s="253"/>
      <x:c r="N162" s="253"/>
      <x:c r="O162" s="253"/>
      <x:c r="P162" s="253" t="str">
        <x:f>IF(AND(A162="",B162="",H162=""),"",IF(OR(A162="",B162="",C162="",E162="",F162="",H162="",AND(A162="client",COUNTIF('الزبائن'!$A$6:$A$505,B162)=0),AND(A162="proposed_name",COUNTIF('أسماء مقترحة'!$A$6:$A$505,B162)=0)),"REVIEW","READY"))</x:f>
      </x:c>
      <x:c r="Q162" s="255" t="str">
        <x:f>IF(P162="","",IF(P162="READY","",TRIM(IF(A162="","missing entity_type; ","")&amp;IF(B162="","missing entity_key; ","")&amp;IF(C162="","missing referrer_order; ","")&amp;IF(E162="","missing referrer_type; ","")&amp;IF(F162="","missing referral_origin_channel; ","")&amp;IF(H162="","missing referrer_name_snapshot; ","")&amp;IF(AND(A162="client",COUNTIF('الزبائن'!$A$6:$A$505,B162)=0),"client key not found; ","")&amp;IF(AND(A162="proposed_name",COUNTIF('أسماء مقترحة'!$A$6:$A$505,B162)=0),"proposed_name key not found; ",""))))</x:f>
      </x:c>
    </x:row>
    <x:row r="163">
      <x:c r="A163" s="251"/>
      <x:c r="B163" s="252"/>
      <x:c r="C163" s="253"/>
      <x:c r="D163" s="253"/>
      <x:c r="E163" s="253"/>
      <x:c r="F163" s="253"/>
      <x:c r="G163" s="252"/>
      <x:c r="H163" s="253"/>
      <x:c r="I163" s="272"/>
      <x:c r="J163" s="253"/>
      <x:c r="K163" s="252"/>
      <x:c r="L163" s="253"/>
      <x:c r="M163" s="253"/>
      <x:c r="N163" s="253"/>
      <x:c r="O163" s="253"/>
      <x:c r="P163" s="253" t="str">
        <x:f>IF(AND(A163="",B163="",H163=""),"",IF(OR(A163="",B163="",C163="",E163="",F163="",H163="",AND(A163="client",COUNTIF('الزبائن'!$A$6:$A$505,B163)=0),AND(A163="proposed_name",COUNTIF('أسماء مقترحة'!$A$6:$A$505,B163)=0)),"REVIEW","READY"))</x:f>
      </x:c>
      <x:c r="Q163" s="255" t="str">
        <x:f>IF(P163="","",IF(P163="READY","",TRIM(IF(A163="","missing entity_type; ","")&amp;IF(B163="","missing entity_key; ","")&amp;IF(C163="","missing referrer_order; ","")&amp;IF(E163="","missing referrer_type; ","")&amp;IF(F163="","missing referral_origin_channel; ","")&amp;IF(H163="","missing referrer_name_snapshot; ","")&amp;IF(AND(A163="client",COUNTIF('الزبائن'!$A$6:$A$505,B163)=0),"client key not found; ","")&amp;IF(AND(A163="proposed_name",COUNTIF('أسماء مقترحة'!$A$6:$A$505,B163)=0),"proposed_name key not found; ",""))))</x:f>
      </x:c>
    </x:row>
    <x:row r="164">
      <x:c r="A164" s="251"/>
      <x:c r="B164" s="252"/>
      <x:c r="C164" s="253"/>
      <x:c r="D164" s="253"/>
      <x:c r="E164" s="253"/>
      <x:c r="F164" s="253"/>
      <x:c r="G164" s="252"/>
      <x:c r="H164" s="253"/>
      <x:c r="I164" s="272"/>
      <x:c r="J164" s="253"/>
      <x:c r="K164" s="252"/>
      <x:c r="L164" s="253"/>
      <x:c r="M164" s="253"/>
      <x:c r="N164" s="253"/>
      <x:c r="O164" s="253"/>
      <x:c r="P164" s="253" t="str">
        <x:f>IF(AND(A164="",B164="",H164=""),"",IF(OR(A164="",B164="",C164="",E164="",F164="",H164="",AND(A164="client",COUNTIF('الزبائن'!$A$6:$A$505,B164)=0),AND(A164="proposed_name",COUNTIF('أسماء مقترحة'!$A$6:$A$505,B164)=0)),"REVIEW","READY"))</x:f>
      </x:c>
      <x:c r="Q164" s="255" t="str">
        <x:f>IF(P164="","",IF(P164="READY","",TRIM(IF(A164="","missing entity_type; ","")&amp;IF(B164="","missing entity_key; ","")&amp;IF(C164="","missing referrer_order; ","")&amp;IF(E164="","missing referrer_type; ","")&amp;IF(F164="","missing referral_origin_channel; ","")&amp;IF(H164="","missing referrer_name_snapshot; ","")&amp;IF(AND(A164="client",COUNTIF('الزبائن'!$A$6:$A$505,B164)=0),"client key not found; ","")&amp;IF(AND(A164="proposed_name",COUNTIF('أسماء مقترحة'!$A$6:$A$505,B164)=0),"proposed_name key not found; ",""))))</x:f>
      </x:c>
    </x:row>
    <x:row r="165">
      <x:c r="A165" s="251"/>
      <x:c r="B165" s="252"/>
      <x:c r="C165" s="253"/>
      <x:c r="D165" s="253"/>
      <x:c r="E165" s="253"/>
      <x:c r="F165" s="253"/>
      <x:c r="G165" s="252"/>
      <x:c r="H165" s="253"/>
      <x:c r="I165" s="272"/>
      <x:c r="J165" s="253"/>
      <x:c r="K165" s="252"/>
      <x:c r="L165" s="253"/>
      <x:c r="M165" s="253"/>
      <x:c r="N165" s="253"/>
      <x:c r="O165" s="253"/>
      <x:c r="P165" s="253" t="str">
        <x:f>IF(AND(A165="",B165="",H165=""),"",IF(OR(A165="",B165="",C165="",E165="",F165="",H165="",AND(A165="client",COUNTIF('الزبائن'!$A$6:$A$505,B165)=0),AND(A165="proposed_name",COUNTIF('أسماء مقترحة'!$A$6:$A$505,B165)=0)),"REVIEW","READY"))</x:f>
      </x:c>
      <x:c r="Q165" s="255" t="str">
        <x:f>IF(P165="","",IF(P165="READY","",TRIM(IF(A165="","missing entity_type; ","")&amp;IF(B165="","missing entity_key; ","")&amp;IF(C165="","missing referrer_order; ","")&amp;IF(E165="","missing referrer_type; ","")&amp;IF(F165="","missing referral_origin_channel; ","")&amp;IF(H165="","missing referrer_name_snapshot; ","")&amp;IF(AND(A165="client",COUNTIF('الزبائن'!$A$6:$A$505,B165)=0),"client key not found; ","")&amp;IF(AND(A165="proposed_name",COUNTIF('أسماء مقترحة'!$A$6:$A$505,B165)=0),"proposed_name key not found; ",""))))</x:f>
      </x:c>
    </x:row>
    <x:row r="166">
      <x:c r="A166" s="251"/>
      <x:c r="B166" s="252"/>
      <x:c r="C166" s="253"/>
      <x:c r="D166" s="253"/>
      <x:c r="E166" s="253"/>
      <x:c r="F166" s="253"/>
      <x:c r="G166" s="252"/>
      <x:c r="H166" s="253"/>
      <x:c r="I166" s="272"/>
      <x:c r="J166" s="253"/>
      <x:c r="K166" s="252"/>
      <x:c r="L166" s="253"/>
      <x:c r="M166" s="253"/>
      <x:c r="N166" s="253"/>
      <x:c r="O166" s="253"/>
      <x:c r="P166" s="253" t="str">
        <x:f>IF(AND(A166="",B166="",H166=""),"",IF(OR(A166="",B166="",C166="",E166="",F166="",H166="",AND(A166="client",COUNTIF('الزبائن'!$A$6:$A$505,B166)=0),AND(A166="proposed_name",COUNTIF('أسماء مقترحة'!$A$6:$A$505,B166)=0)),"REVIEW","READY"))</x:f>
      </x:c>
      <x:c r="Q166" s="255" t="str">
        <x:f>IF(P166="","",IF(P166="READY","",TRIM(IF(A166="","missing entity_type; ","")&amp;IF(B166="","missing entity_key; ","")&amp;IF(C166="","missing referrer_order; ","")&amp;IF(E166="","missing referrer_type; ","")&amp;IF(F166="","missing referral_origin_channel; ","")&amp;IF(H166="","missing referrer_name_snapshot; ","")&amp;IF(AND(A166="client",COUNTIF('الزبائن'!$A$6:$A$505,B166)=0),"client key not found; ","")&amp;IF(AND(A166="proposed_name",COUNTIF('أسماء مقترحة'!$A$6:$A$505,B166)=0),"proposed_name key not found; ",""))))</x:f>
      </x:c>
    </x:row>
    <x:row r="167">
      <x:c r="A167" s="251"/>
      <x:c r="B167" s="252"/>
      <x:c r="C167" s="253"/>
      <x:c r="D167" s="253"/>
      <x:c r="E167" s="253"/>
      <x:c r="F167" s="253"/>
      <x:c r="G167" s="252"/>
      <x:c r="H167" s="253"/>
      <x:c r="I167" s="272"/>
      <x:c r="J167" s="253"/>
      <x:c r="K167" s="252"/>
      <x:c r="L167" s="253"/>
      <x:c r="M167" s="253"/>
      <x:c r="N167" s="253"/>
      <x:c r="O167" s="253"/>
      <x:c r="P167" s="253" t="str">
        <x:f>IF(AND(A167="",B167="",H167=""),"",IF(OR(A167="",B167="",C167="",E167="",F167="",H167="",AND(A167="client",COUNTIF('الزبائن'!$A$6:$A$505,B167)=0),AND(A167="proposed_name",COUNTIF('أسماء مقترحة'!$A$6:$A$505,B167)=0)),"REVIEW","READY"))</x:f>
      </x:c>
      <x:c r="Q167" s="255" t="str">
        <x:f>IF(P167="","",IF(P167="READY","",TRIM(IF(A167="","missing entity_type; ","")&amp;IF(B167="","missing entity_key; ","")&amp;IF(C167="","missing referrer_order; ","")&amp;IF(E167="","missing referrer_type; ","")&amp;IF(F167="","missing referral_origin_channel; ","")&amp;IF(H167="","missing referrer_name_snapshot; ","")&amp;IF(AND(A167="client",COUNTIF('الزبائن'!$A$6:$A$505,B167)=0),"client key not found; ","")&amp;IF(AND(A167="proposed_name",COUNTIF('أسماء مقترحة'!$A$6:$A$505,B167)=0),"proposed_name key not found; ",""))))</x:f>
      </x:c>
    </x:row>
    <x:row r="168">
      <x:c r="A168" s="251"/>
      <x:c r="B168" s="252"/>
      <x:c r="C168" s="253"/>
      <x:c r="D168" s="253"/>
      <x:c r="E168" s="253"/>
      <x:c r="F168" s="253"/>
      <x:c r="G168" s="252"/>
      <x:c r="H168" s="253"/>
      <x:c r="I168" s="272"/>
      <x:c r="J168" s="253"/>
      <x:c r="K168" s="252"/>
      <x:c r="L168" s="253"/>
      <x:c r="M168" s="253"/>
      <x:c r="N168" s="253"/>
      <x:c r="O168" s="253"/>
      <x:c r="P168" s="253" t="str">
        <x:f>IF(AND(A168="",B168="",H168=""),"",IF(OR(A168="",B168="",C168="",E168="",F168="",H168="",AND(A168="client",COUNTIF('الزبائن'!$A$6:$A$505,B168)=0),AND(A168="proposed_name",COUNTIF('أسماء مقترحة'!$A$6:$A$505,B168)=0)),"REVIEW","READY"))</x:f>
      </x:c>
      <x:c r="Q168" s="255" t="str">
        <x:f>IF(P168="","",IF(P168="READY","",TRIM(IF(A168="","missing entity_type; ","")&amp;IF(B168="","missing entity_key; ","")&amp;IF(C168="","missing referrer_order; ","")&amp;IF(E168="","missing referrer_type; ","")&amp;IF(F168="","missing referral_origin_channel; ","")&amp;IF(H168="","missing referrer_name_snapshot; ","")&amp;IF(AND(A168="client",COUNTIF('الزبائن'!$A$6:$A$505,B168)=0),"client key not found; ","")&amp;IF(AND(A168="proposed_name",COUNTIF('أسماء مقترحة'!$A$6:$A$505,B168)=0),"proposed_name key not found; ",""))))</x:f>
      </x:c>
    </x:row>
    <x:row r="169">
      <x:c r="A169" s="251"/>
      <x:c r="B169" s="252"/>
      <x:c r="C169" s="253"/>
      <x:c r="D169" s="253"/>
      <x:c r="E169" s="253"/>
      <x:c r="F169" s="253"/>
      <x:c r="G169" s="252"/>
      <x:c r="H169" s="253"/>
      <x:c r="I169" s="272"/>
      <x:c r="J169" s="253"/>
      <x:c r="K169" s="252"/>
      <x:c r="L169" s="253"/>
      <x:c r="M169" s="253"/>
      <x:c r="N169" s="253"/>
      <x:c r="O169" s="253"/>
      <x:c r="P169" s="253" t="str">
        <x:f>IF(AND(A169="",B169="",H169=""),"",IF(OR(A169="",B169="",C169="",E169="",F169="",H169="",AND(A169="client",COUNTIF('الزبائن'!$A$6:$A$505,B169)=0),AND(A169="proposed_name",COUNTIF('أسماء مقترحة'!$A$6:$A$505,B169)=0)),"REVIEW","READY"))</x:f>
      </x:c>
      <x:c r="Q169" s="255" t="str">
        <x:f>IF(P169="","",IF(P169="READY","",TRIM(IF(A169="","missing entity_type; ","")&amp;IF(B169="","missing entity_key; ","")&amp;IF(C169="","missing referrer_order; ","")&amp;IF(E169="","missing referrer_type; ","")&amp;IF(F169="","missing referral_origin_channel; ","")&amp;IF(H169="","missing referrer_name_snapshot; ","")&amp;IF(AND(A169="client",COUNTIF('الزبائن'!$A$6:$A$505,B169)=0),"client key not found; ","")&amp;IF(AND(A169="proposed_name",COUNTIF('أسماء مقترحة'!$A$6:$A$505,B169)=0),"proposed_name key not found; ",""))))</x:f>
      </x:c>
    </x:row>
    <x:row r="170">
      <x:c r="A170" s="251"/>
      <x:c r="B170" s="252"/>
      <x:c r="C170" s="253"/>
      <x:c r="D170" s="253"/>
      <x:c r="E170" s="253"/>
      <x:c r="F170" s="253"/>
      <x:c r="G170" s="252"/>
      <x:c r="H170" s="253"/>
      <x:c r="I170" s="272"/>
      <x:c r="J170" s="253"/>
      <x:c r="K170" s="252"/>
      <x:c r="L170" s="253"/>
      <x:c r="M170" s="253"/>
      <x:c r="N170" s="253"/>
      <x:c r="O170" s="253"/>
      <x:c r="P170" s="253" t="str">
        <x:f>IF(AND(A170="",B170="",H170=""),"",IF(OR(A170="",B170="",C170="",E170="",F170="",H170="",AND(A170="client",COUNTIF('الزبائن'!$A$6:$A$505,B170)=0),AND(A170="proposed_name",COUNTIF('أسماء مقترحة'!$A$6:$A$505,B170)=0)),"REVIEW","READY"))</x:f>
      </x:c>
      <x:c r="Q170" s="255" t="str">
        <x:f>IF(P170="","",IF(P170="READY","",TRIM(IF(A170="","missing entity_type; ","")&amp;IF(B170="","missing entity_key; ","")&amp;IF(C170="","missing referrer_order; ","")&amp;IF(E170="","missing referrer_type; ","")&amp;IF(F170="","missing referral_origin_channel; ","")&amp;IF(H170="","missing referrer_name_snapshot; ","")&amp;IF(AND(A170="client",COUNTIF('الزبائن'!$A$6:$A$505,B170)=0),"client key not found; ","")&amp;IF(AND(A170="proposed_name",COUNTIF('أسماء مقترحة'!$A$6:$A$505,B170)=0),"proposed_name key not found; ",""))))</x:f>
      </x:c>
    </x:row>
    <x:row r="171">
      <x:c r="A171" s="251"/>
      <x:c r="B171" s="252"/>
      <x:c r="C171" s="253"/>
      <x:c r="D171" s="253"/>
      <x:c r="E171" s="253"/>
      <x:c r="F171" s="253"/>
      <x:c r="G171" s="252"/>
      <x:c r="H171" s="253"/>
      <x:c r="I171" s="272"/>
      <x:c r="J171" s="253"/>
      <x:c r="K171" s="252"/>
      <x:c r="L171" s="253"/>
      <x:c r="M171" s="253"/>
      <x:c r="N171" s="253"/>
      <x:c r="O171" s="253"/>
      <x:c r="P171" s="253" t="str">
        <x:f>IF(AND(A171="",B171="",H171=""),"",IF(OR(A171="",B171="",C171="",E171="",F171="",H171="",AND(A171="client",COUNTIF('الزبائن'!$A$6:$A$505,B171)=0),AND(A171="proposed_name",COUNTIF('أسماء مقترحة'!$A$6:$A$505,B171)=0)),"REVIEW","READY"))</x:f>
      </x:c>
      <x:c r="Q171" s="255" t="str">
        <x:f>IF(P171="","",IF(P171="READY","",TRIM(IF(A171="","missing entity_type; ","")&amp;IF(B171="","missing entity_key; ","")&amp;IF(C171="","missing referrer_order; ","")&amp;IF(E171="","missing referrer_type; ","")&amp;IF(F171="","missing referral_origin_channel; ","")&amp;IF(H171="","missing referrer_name_snapshot; ","")&amp;IF(AND(A171="client",COUNTIF('الزبائن'!$A$6:$A$505,B171)=0),"client key not found; ","")&amp;IF(AND(A171="proposed_name",COUNTIF('أسماء مقترحة'!$A$6:$A$505,B171)=0),"proposed_name key not found; ",""))))</x:f>
      </x:c>
    </x:row>
    <x:row r="172">
      <x:c r="A172" s="251"/>
      <x:c r="B172" s="252"/>
      <x:c r="C172" s="253"/>
      <x:c r="D172" s="253"/>
      <x:c r="E172" s="253"/>
      <x:c r="F172" s="253"/>
      <x:c r="G172" s="252"/>
      <x:c r="H172" s="253"/>
      <x:c r="I172" s="272"/>
      <x:c r="J172" s="253"/>
      <x:c r="K172" s="252"/>
      <x:c r="L172" s="253"/>
      <x:c r="M172" s="253"/>
      <x:c r="N172" s="253"/>
      <x:c r="O172" s="253"/>
      <x:c r="P172" s="253" t="str">
        <x:f>IF(AND(A172="",B172="",H172=""),"",IF(OR(A172="",B172="",C172="",E172="",F172="",H172="",AND(A172="client",COUNTIF('الزبائن'!$A$6:$A$505,B172)=0),AND(A172="proposed_name",COUNTIF('أسماء مقترحة'!$A$6:$A$505,B172)=0)),"REVIEW","READY"))</x:f>
      </x:c>
      <x:c r="Q172" s="255" t="str">
        <x:f>IF(P172="","",IF(P172="READY","",TRIM(IF(A172="","missing entity_type; ","")&amp;IF(B172="","missing entity_key; ","")&amp;IF(C172="","missing referrer_order; ","")&amp;IF(E172="","missing referrer_type; ","")&amp;IF(F172="","missing referral_origin_channel; ","")&amp;IF(H172="","missing referrer_name_snapshot; ","")&amp;IF(AND(A172="client",COUNTIF('الزبائن'!$A$6:$A$505,B172)=0),"client key not found; ","")&amp;IF(AND(A172="proposed_name",COUNTIF('أسماء مقترحة'!$A$6:$A$505,B172)=0),"proposed_name key not found; ",""))))</x:f>
      </x:c>
    </x:row>
    <x:row r="173">
      <x:c r="A173" s="251"/>
      <x:c r="B173" s="252"/>
      <x:c r="C173" s="253"/>
      <x:c r="D173" s="253"/>
      <x:c r="E173" s="253"/>
      <x:c r="F173" s="253"/>
      <x:c r="G173" s="252"/>
      <x:c r="H173" s="253"/>
      <x:c r="I173" s="272"/>
      <x:c r="J173" s="253"/>
      <x:c r="K173" s="252"/>
      <x:c r="L173" s="253"/>
      <x:c r="M173" s="253"/>
      <x:c r="N173" s="253"/>
      <x:c r="O173" s="253"/>
      <x:c r="P173" s="253" t="str">
        <x:f>IF(AND(A173="",B173="",H173=""),"",IF(OR(A173="",B173="",C173="",E173="",F173="",H173="",AND(A173="client",COUNTIF('الزبائن'!$A$6:$A$505,B173)=0),AND(A173="proposed_name",COUNTIF('أسماء مقترحة'!$A$6:$A$505,B173)=0)),"REVIEW","READY"))</x:f>
      </x:c>
      <x:c r="Q173" s="255" t="str">
        <x:f>IF(P173="","",IF(P173="READY","",TRIM(IF(A173="","missing entity_type; ","")&amp;IF(B173="","missing entity_key; ","")&amp;IF(C173="","missing referrer_order; ","")&amp;IF(E173="","missing referrer_type; ","")&amp;IF(F173="","missing referral_origin_channel; ","")&amp;IF(H173="","missing referrer_name_snapshot; ","")&amp;IF(AND(A173="client",COUNTIF('الزبائن'!$A$6:$A$505,B173)=0),"client key not found; ","")&amp;IF(AND(A173="proposed_name",COUNTIF('أسماء مقترحة'!$A$6:$A$505,B173)=0),"proposed_name key not found; ",""))))</x:f>
      </x:c>
    </x:row>
    <x:row r="174">
      <x:c r="A174" s="251"/>
      <x:c r="B174" s="252"/>
      <x:c r="C174" s="253"/>
      <x:c r="D174" s="253"/>
      <x:c r="E174" s="253"/>
      <x:c r="F174" s="253"/>
      <x:c r="G174" s="252"/>
      <x:c r="H174" s="253"/>
      <x:c r="I174" s="272"/>
      <x:c r="J174" s="253"/>
      <x:c r="K174" s="252"/>
      <x:c r="L174" s="253"/>
      <x:c r="M174" s="253"/>
      <x:c r="N174" s="253"/>
      <x:c r="O174" s="253"/>
      <x:c r="P174" s="253" t="str">
        <x:f>IF(AND(A174="",B174="",H174=""),"",IF(OR(A174="",B174="",C174="",E174="",F174="",H174="",AND(A174="client",COUNTIF('الزبائن'!$A$6:$A$505,B174)=0),AND(A174="proposed_name",COUNTIF('أسماء مقترحة'!$A$6:$A$505,B174)=0)),"REVIEW","READY"))</x:f>
      </x:c>
      <x:c r="Q174" s="255" t="str">
        <x:f>IF(P174="","",IF(P174="READY","",TRIM(IF(A174="","missing entity_type; ","")&amp;IF(B174="","missing entity_key; ","")&amp;IF(C174="","missing referrer_order; ","")&amp;IF(E174="","missing referrer_type; ","")&amp;IF(F174="","missing referral_origin_channel; ","")&amp;IF(H174="","missing referrer_name_snapshot; ","")&amp;IF(AND(A174="client",COUNTIF('الزبائن'!$A$6:$A$505,B174)=0),"client key not found; ","")&amp;IF(AND(A174="proposed_name",COUNTIF('أسماء مقترحة'!$A$6:$A$505,B174)=0),"proposed_name key not found; ",""))))</x:f>
      </x:c>
    </x:row>
    <x:row r="175">
      <x:c r="A175" s="251"/>
      <x:c r="B175" s="252"/>
      <x:c r="C175" s="253"/>
      <x:c r="D175" s="253"/>
      <x:c r="E175" s="253"/>
      <x:c r="F175" s="253"/>
      <x:c r="G175" s="252"/>
      <x:c r="H175" s="253"/>
      <x:c r="I175" s="272"/>
      <x:c r="J175" s="253"/>
      <x:c r="K175" s="252"/>
      <x:c r="L175" s="253"/>
      <x:c r="M175" s="253"/>
      <x:c r="N175" s="253"/>
      <x:c r="O175" s="253"/>
      <x:c r="P175" s="253" t="str">
        <x:f>IF(AND(A175="",B175="",H175=""),"",IF(OR(A175="",B175="",C175="",E175="",F175="",H175="",AND(A175="client",COUNTIF('الزبائن'!$A$6:$A$505,B175)=0),AND(A175="proposed_name",COUNTIF('أسماء مقترحة'!$A$6:$A$505,B175)=0)),"REVIEW","READY"))</x:f>
      </x:c>
      <x:c r="Q175" s="255" t="str">
        <x:f>IF(P175="","",IF(P175="READY","",TRIM(IF(A175="","missing entity_type; ","")&amp;IF(B175="","missing entity_key; ","")&amp;IF(C175="","missing referrer_order; ","")&amp;IF(E175="","missing referrer_type; ","")&amp;IF(F175="","missing referral_origin_channel; ","")&amp;IF(H175="","missing referrer_name_snapshot; ","")&amp;IF(AND(A175="client",COUNTIF('الزبائن'!$A$6:$A$505,B175)=0),"client key not found; ","")&amp;IF(AND(A175="proposed_name",COUNTIF('أسماء مقترحة'!$A$6:$A$505,B175)=0),"proposed_name key not found; ",""))))</x:f>
      </x:c>
    </x:row>
    <x:row r="176">
      <x:c r="A176" s="251"/>
      <x:c r="B176" s="252"/>
      <x:c r="C176" s="253"/>
      <x:c r="D176" s="253"/>
      <x:c r="E176" s="253"/>
      <x:c r="F176" s="253"/>
      <x:c r="G176" s="252"/>
      <x:c r="H176" s="253"/>
      <x:c r="I176" s="272"/>
      <x:c r="J176" s="253"/>
      <x:c r="K176" s="252"/>
      <x:c r="L176" s="253"/>
      <x:c r="M176" s="253"/>
      <x:c r="N176" s="253"/>
      <x:c r="O176" s="253"/>
      <x:c r="P176" s="253" t="str">
        <x:f>IF(AND(A176="",B176="",H176=""),"",IF(OR(A176="",B176="",C176="",E176="",F176="",H176="",AND(A176="client",COUNTIF('الزبائن'!$A$6:$A$505,B176)=0),AND(A176="proposed_name",COUNTIF('أسماء مقترحة'!$A$6:$A$505,B176)=0)),"REVIEW","READY"))</x:f>
      </x:c>
      <x:c r="Q176" s="255" t="str">
        <x:f>IF(P176="","",IF(P176="READY","",TRIM(IF(A176="","missing entity_type; ","")&amp;IF(B176="","missing entity_key; ","")&amp;IF(C176="","missing referrer_order; ","")&amp;IF(E176="","missing referrer_type; ","")&amp;IF(F176="","missing referral_origin_channel; ","")&amp;IF(H176="","missing referrer_name_snapshot; ","")&amp;IF(AND(A176="client",COUNTIF('الزبائن'!$A$6:$A$505,B176)=0),"client key not found; ","")&amp;IF(AND(A176="proposed_name",COUNTIF('أسماء مقترحة'!$A$6:$A$505,B176)=0),"proposed_name key not found; ",""))))</x:f>
      </x:c>
    </x:row>
    <x:row r="177">
      <x:c r="A177" s="251"/>
      <x:c r="B177" s="252"/>
      <x:c r="C177" s="253"/>
      <x:c r="D177" s="253"/>
      <x:c r="E177" s="253"/>
      <x:c r="F177" s="253"/>
      <x:c r="G177" s="252"/>
      <x:c r="H177" s="253"/>
      <x:c r="I177" s="272"/>
      <x:c r="J177" s="253"/>
      <x:c r="K177" s="252"/>
      <x:c r="L177" s="253"/>
      <x:c r="M177" s="253"/>
      <x:c r="N177" s="253"/>
      <x:c r="O177" s="253"/>
      <x:c r="P177" s="253" t="str">
        <x:f>IF(AND(A177="",B177="",H177=""),"",IF(OR(A177="",B177="",C177="",E177="",F177="",H177="",AND(A177="client",COUNTIF('الزبائن'!$A$6:$A$505,B177)=0),AND(A177="proposed_name",COUNTIF('أسماء مقترحة'!$A$6:$A$505,B177)=0)),"REVIEW","READY"))</x:f>
      </x:c>
      <x:c r="Q177" s="255" t="str">
        <x:f>IF(P177="","",IF(P177="READY","",TRIM(IF(A177="","missing entity_type; ","")&amp;IF(B177="","missing entity_key; ","")&amp;IF(C177="","missing referrer_order; ","")&amp;IF(E177="","missing referrer_type; ","")&amp;IF(F177="","missing referral_origin_channel; ","")&amp;IF(H177="","missing referrer_name_snapshot; ","")&amp;IF(AND(A177="client",COUNTIF('الزبائن'!$A$6:$A$505,B177)=0),"client key not found; ","")&amp;IF(AND(A177="proposed_name",COUNTIF('أسماء مقترحة'!$A$6:$A$505,B177)=0),"proposed_name key not found; ",""))))</x:f>
      </x:c>
    </x:row>
    <x:row r="178">
      <x:c r="A178" s="251"/>
      <x:c r="B178" s="252"/>
      <x:c r="C178" s="253"/>
      <x:c r="D178" s="253"/>
      <x:c r="E178" s="253"/>
      <x:c r="F178" s="253"/>
      <x:c r="G178" s="252"/>
      <x:c r="H178" s="253"/>
      <x:c r="I178" s="272"/>
      <x:c r="J178" s="253"/>
      <x:c r="K178" s="252"/>
      <x:c r="L178" s="253"/>
      <x:c r="M178" s="253"/>
      <x:c r="N178" s="253"/>
      <x:c r="O178" s="253"/>
      <x:c r="P178" s="253" t="str">
        <x:f>IF(AND(A178="",B178="",H178=""),"",IF(OR(A178="",B178="",C178="",E178="",F178="",H178="",AND(A178="client",COUNTIF('الزبائن'!$A$6:$A$505,B178)=0),AND(A178="proposed_name",COUNTIF('أسماء مقترحة'!$A$6:$A$505,B178)=0)),"REVIEW","READY"))</x:f>
      </x:c>
      <x:c r="Q178" s="255" t="str">
        <x:f>IF(P178="","",IF(P178="READY","",TRIM(IF(A178="","missing entity_type; ","")&amp;IF(B178="","missing entity_key; ","")&amp;IF(C178="","missing referrer_order; ","")&amp;IF(E178="","missing referrer_type; ","")&amp;IF(F178="","missing referral_origin_channel; ","")&amp;IF(H178="","missing referrer_name_snapshot; ","")&amp;IF(AND(A178="client",COUNTIF('الزبائن'!$A$6:$A$505,B178)=0),"client key not found; ","")&amp;IF(AND(A178="proposed_name",COUNTIF('أسماء مقترحة'!$A$6:$A$505,B178)=0),"proposed_name key not found; ",""))))</x:f>
      </x:c>
    </x:row>
    <x:row r="179">
      <x:c r="A179" s="251"/>
      <x:c r="B179" s="252"/>
      <x:c r="C179" s="253"/>
      <x:c r="D179" s="253"/>
      <x:c r="E179" s="253"/>
      <x:c r="F179" s="253"/>
      <x:c r="G179" s="252"/>
      <x:c r="H179" s="253"/>
      <x:c r="I179" s="272"/>
      <x:c r="J179" s="253"/>
      <x:c r="K179" s="252"/>
      <x:c r="L179" s="253"/>
      <x:c r="M179" s="253"/>
      <x:c r="N179" s="253"/>
      <x:c r="O179" s="253"/>
      <x:c r="P179" s="253" t="str">
        <x:f>IF(AND(A179="",B179="",H179=""),"",IF(OR(A179="",B179="",C179="",E179="",F179="",H179="",AND(A179="client",COUNTIF('الزبائن'!$A$6:$A$505,B179)=0),AND(A179="proposed_name",COUNTIF('أسماء مقترحة'!$A$6:$A$505,B179)=0)),"REVIEW","READY"))</x:f>
      </x:c>
      <x:c r="Q179" s="255" t="str">
        <x:f>IF(P179="","",IF(P179="READY","",TRIM(IF(A179="","missing entity_type; ","")&amp;IF(B179="","missing entity_key; ","")&amp;IF(C179="","missing referrer_order; ","")&amp;IF(E179="","missing referrer_type; ","")&amp;IF(F179="","missing referral_origin_channel; ","")&amp;IF(H179="","missing referrer_name_snapshot; ","")&amp;IF(AND(A179="client",COUNTIF('الزبائن'!$A$6:$A$505,B179)=0),"client key not found; ","")&amp;IF(AND(A179="proposed_name",COUNTIF('أسماء مقترحة'!$A$6:$A$505,B179)=0),"proposed_name key not found; ",""))))</x:f>
      </x:c>
    </x:row>
    <x:row r="180">
      <x:c r="A180" s="251"/>
      <x:c r="B180" s="252"/>
      <x:c r="C180" s="253"/>
      <x:c r="D180" s="253"/>
      <x:c r="E180" s="253"/>
      <x:c r="F180" s="253"/>
      <x:c r="G180" s="252"/>
      <x:c r="H180" s="253"/>
      <x:c r="I180" s="272"/>
      <x:c r="J180" s="253"/>
      <x:c r="K180" s="252"/>
      <x:c r="L180" s="253"/>
      <x:c r="M180" s="253"/>
      <x:c r="N180" s="253"/>
      <x:c r="O180" s="253"/>
      <x:c r="P180" s="253" t="str">
        <x:f>IF(AND(A180="",B180="",H180=""),"",IF(OR(A180="",B180="",C180="",E180="",F180="",H180="",AND(A180="client",COUNTIF('الزبائن'!$A$6:$A$505,B180)=0),AND(A180="proposed_name",COUNTIF('أسماء مقترحة'!$A$6:$A$505,B180)=0)),"REVIEW","READY"))</x:f>
      </x:c>
      <x:c r="Q180" s="255" t="str">
        <x:f>IF(P180="","",IF(P180="READY","",TRIM(IF(A180="","missing entity_type; ","")&amp;IF(B180="","missing entity_key; ","")&amp;IF(C180="","missing referrer_order; ","")&amp;IF(E180="","missing referrer_type; ","")&amp;IF(F180="","missing referral_origin_channel; ","")&amp;IF(H180="","missing referrer_name_snapshot; ","")&amp;IF(AND(A180="client",COUNTIF('الزبائن'!$A$6:$A$505,B180)=0),"client key not found; ","")&amp;IF(AND(A180="proposed_name",COUNTIF('أسماء مقترحة'!$A$6:$A$505,B180)=0),"proposed_name key not found; ",""))))</x:f>
      </x:c>
    </x:row>
    <x:row r="181">
      <x:c r="A181" s="251"/>
      <x:c r="B181" s="252"/>
      <x:c r="C181" s="253"/>
      <x:c r="D181" s="253"/>
      <x:c r="E181" s="253"/>
      <x:c r="F181" s="253"/>
      <x:c r="G181" s="252"/>
      <x:c r="H181" s="253"/>
      <x:c r="I181" s="272"/>
      <x:c r="J181" s="253"/>
      <x:c r="K181" s="252"/>
      <x:c r="L181" s="253"/>
      <x:c r="M181" s="253"/>
      <x:c r="N181" s="253"/>
      <x:c r="O181" s="253"/>
      <x:c r="P181" s="253" t="str">
        <x:f>IF(AND(A181="",B181="",H181=""),"",IF(OR(A181="",B181="",C181="",E181="",F181="",H181="",AND(A181="client",COUNTIF('الزبائن'!$A$6:$A$505,B181)=0),AND(A181="proposed_name",COUNTIF('أسماء مقترحة'!$A$6:$A$505,B181)=0)),"REVIEW","READY"))</x:f>
      </x:c>
      <x:c r="Q181" s="255" t="str">
        <x:f>IF(P181="","",IF(P181="READY","",TRIM(IF(A181="","missing entity_type; ","")&amp;IF(B181="","missing entity_key; ","")&amp;IF(C181="","missing referrer_order; ","")&amp;IF(E181="","missing referrer_type; ","")&amp;IF(F181="","missing referral_origin_channel; ","")&amp;IF(H181="","missing referrer_name_snapshot; ","")&amp;IF(AND(A181="client",COUNTIF('الزبائن'!$A$6:$A$505,B181)=0),"client key not found; ","")&amp;IF(AND(A181="proposed_name",COUNTIF('أسماء مقترحة'!$A$6:$A$505,B181)=0),"proposed_name key not found; ",""))))</x:f>
      </x:c>
    </x:row>
    <x:row r="182">
      <x:c r="A182" s="251"/>
      <x:c r="B182" s="252"/>
      <x:c r="C182" s="253"/>
      <x:c r="D182" s="253"/>
      <x:c r="E182" s="253"/>
      <x:c r="F182" s="253"/>
      <x:c r="G182" s="252"/>
      <x:c r="H182" s="253"/>
      <x:c r="I182" s="272"/>
      <x:c r="J182" s="253"/>
      <x:c r="K182" s="252"/>
      <x:c r="L182" s="253"/>
      <x:c r="M182" s="253"/>
      <x:c r="N182" s="253"/>
      <x:c r="O182" s="253"/>
      <x:c r="P182" s="253" t="str">
        <x:f>IF(AND(A182="",B182="",H182=""),"",IF(OR(A182="",B182="",C182="",E182="",F182="",H182="",AND(A182="client",COUNTIF('الزبائن'!$A$6:$A$505,B182)=0),AND(A182="proposed_name",COUNTIF('أسماء مقترحة'!$A$6:$A$505,B182)=0)),"REVIEW","READY"))</x:f>
      </x:c>
      <x:c r="Q182" s="255" t="str">
        <x:f>IF(P182="","",IF(P182="READY","",TRIM(IF(A182="","missing entity_type; ","")&amp;IF(B182="","missing entity_key; ","")&amp;IF(C182="","missing referrer_order; ","")&amp;IF(E182="","missing referrer_type; ","")&amp;IF(F182="","missing referral_origin_channel; ","")&amp;IF(H182="","missing referrer_name_snapshot; ","")&amp;IF(AND(A182="client",COUNTIF('الزبائن'!$A$6:$A$505,B182)=0),"client key not found; ","")&amp;IF(AND(A182="proposed_name",COUNTIF('أسماء مقترحة'!$A$6:$A$505,B182)=0),"proposed_name key not found; ",""))))</x:f>
      </x:c>
    </x:row>
    <x:row r="183">
      <x:c r="A183" s="251"/>
      <x:c r="B183" s="252"/>
      <x:c r="C183" s="253"/>
      <x:c r="D183" s="253"/>
      <x:c r="E183" s="253"/>
      <x:c r="F183" s="253"/>
      <x:c r="G183" s="252"/>
      <x:c r="H183" s="253"/>
      <x:c r="I183" s="272"/>
      <x:c r="J183" s="253"/>
      <x:c r="K183" s="252"/>
      <x:c r="L183" s="253"/>
      <x:c r="M183" s="253"/>
      <x:c r="N183" s="253"/>
      <x:c r="O183" s="253"/>
      <x:c r="P183" s="253" t="str">
        <x:f>IF(AND(A183="",B183="",H183=""),"",IF(OR(A183="",B183="",C183="",E183="",F183="",H183="",AND(A183="client",COUNTIF('الزبائن'!$A$6:$A$505,B183)=0),AND(A183="proposed_name",COUNTIF('أسماء مقترحة'!$A$6:$A$505,B183)=0)),"REVIEW","READY"))</x:f>
      </x:c>
      <x:c r="Q183" s="255" t="str">
        <x:f>IF(P183="","",IF(P183="READY","",TRIM(IF(A183="","missing entity_type; ","")&amp;IF(B183="","missing entity_key; ","")&amp;IF(C183="","missing referrer_order; ","")&amp;IF(E183="","missing referrer_type; ","")&amp;IF(F183="","missing referral_origin_channel; ","")&amp;IF(H183="","missing referrer_name_snapshot; ","")&amp;IF(AND(A183="client",COUNTIF('الزبائن'!$A$6:$A$505,B183)=0),"client key not found; ","")&amp;IF(AND(A183="proposed_name",COUNTIF('أسماء مقترحة'!$A$6:$A$505,B183)=0),"proposed_name key not found; ",""))))</x:f>
      </x:c>
    </x:row>
    <x:row r="184">
      <x:c r="A184" s="251"/>
      <x:c r="B184" s="252"/>
      <x:c r="C184" s="253"/>
      <x:c r="D184" s="253"/>
      <x:c r="E184" s="253"/>
      <x:c r="F184" s="253"/>
      <x:c r="G184" s="252"/>
      <x:c r="H184" s="253"/>
      <x:c r="I184" s="272"/>
      <x:c r="J184" s="253"/>
      <x:c r="K184" s="252"/>
      <x:c r="L184" s="253"/>
      <x:c r="M184" s="253"/>
      <x:c r="N184" s="253"/>
      <x:c r="O184" s="253"/>
      <x:c r="P184" s="253" t="str">
        <x:f>IF(AND(A184="",B184="",H184=""),"",IF(OR(A184="",B184="",C184="",E184="",F184="",H184="",AND(A184="client",COUNTIF('الزبائن'!$A$6:$A$505,B184)=0),AND(A184="proposed_name",COUNTIF('أسماء مقترحة'!$A$6:$A$505,B184)=0)),"REVIEW","READY"))</x:f>
      </x:c>
      <x:c r="Q184" s="255" t="str">
        <x:f>IF(P184="","",IF(P184="READY","",TRIM(IF(A184="","missing entity_type; ","")&amp;IF(B184="","missing entity_key; ","")&amp;IF(C184="","missing referrer_order; ","")&amp;IF(E184="","missing referrer_type; ","")&amp;IF(F184="","missing referral_origin_channel; ","")&amp;IF(H184="","missing referrer_name_snapshot; ","")&amp;IF(AND(A184="client",COUNTIF('الزبائن'!$A$6:$A$505,B184)=0),"client key not found; ","")&amp;IF(AND(A184="proposed_name",COUNTIF('أسماء مقترحة'!$A$6:$A$505,B184)=0),"proposed_name key not found; ",""))))</x:f>
      </x:c>
    </x:row>
    <x:row r="185">
      <x:c r="A185" s="251"/>
      <x:c r="B185" s="252"/>
      <x:c r="C185" s="253"/>
      <x:c r="D185" s="253"/>
      <x:c r="E185" s="253"/>
      <x:c r="F185" s="253"/>
      <x:c r="G185" s="252"/>
      <x:c r="H185" s="253"/>
      <x:c r="I185" s="272"/>
      <x:c r="J185" s="253"/>
      <x:c r="K185" s="252"/>
      <x:c r="L185" s="253"/>
      <x:c r="M185" s="253"/>
      <x:c r="N185" s="253"/>
      <x:c r="O185" s="253"/>
      <x:c r="P185" s="253" t="str">
        <x:f>IF(AND(A185="",B185="",H185=""),"",IF(OR(A185="",B185="",C185="",E185="",F185="",H185="",AND(A185="client",COUNTIF('الزبائن'!$A$6:$A$505,B185)=0),AND(A185="proposed_name",COUNTIF('أسماء مقترحة'!$A$6:$A$505,B185)=0)),"REVIEW","READY"))</x:f>
      </x:c>
      <x:c r="Q185" s="255" t="str">
        <x:f>IF(P185="","",IF(P185="READY","",TRIM(IF(A185="","missing entity_type; ","")&amp;IF(B185="","missing entity_key; ","")&amp;IF(C185="","missing referrer_order; ","")&amp;IF(E185="","missing referrer_type; ","")&amp;IF(F185="","missing referral_origin_channel; ","")&amp;IF(H185="","missing referrer_name_snapshot; ","")&amp;IF(AND(A185="client",COUNTIF('الزبائن'!$A$6:$A$505,B185)=0),"client key not found; ","")&amp;IF(AND(A185="proposed_name",COUNTIF('أسماء مقترحة'!$A$6:$A$505,B185)=0),"proposed_name key not found; ",""))))</x:f>
      </x:c>
    </x:row>
    <x:row r="186">
      <x:c r="A186" s="251"/>
      <x:c r="B186" s="252"/>
      <x:c r="C186" s="253"/>
      <x:c r="D186" s="253"/>
      <x:c r="E186" s="253"/>
      <x:c r="F186" s="253"/>
      <x:c r="G186" s="252"/>
      <x:c r="H186" s="253"/>
      <x:c r="I186" s="272"/>
      <x:c r="J186" s="253"/>
      <x:c r="K186" s="252"/>
      <x:c r="L186" s="253"/>
      <x:c r="M186" s="253"/>
      <x:c r="N186" s="253"/>
      <x:c r="O186" s="253"/>
      <x:c r="P186" s="253" t="str">
        <x:f>IF(AND(A186="",B186="",H186=""),"",IF(OR(A186="",B186="",C186="",E186="",F186="",H186="",AND(A186="client",COUNTIF('الزبائن'!$A$6:$A$505,B186)=0),AND(A186="proposed_name",COUNTIF('أسماء مقترحة'!$A$6:$A$505,B186)=0)),"REVIEW","READY"))</x:f>
      </x:c>
      <x:c r="Q186" s="255" t="str">
        <x:f>IF(P186="","",IF(P186="READY","",TRIM(IF(A186="","missing entity_type; ","")&amp;IF(B186="","missing entity_key; ","")&amp;IF(C186="","missing referrer_order; ","")&amp;IF(E186="","missing referrer_type; ","")&amp;IF(F186="","missing referral_origin_channel; ","")&amp;IF(H186="","missing referrer_name_snapshot; ","")&amp;IF(AND(A186="client",COUNTIF('الزبائن'!$A$6:$A$505,B186)=0),"client key not found; ","")&amp;IF(AND(A186="proposed_name",COUNTIF('أسماء مقترحة'!$A$6:$A$505,B186)=0),"proposed_name key not found; ",""))))</x:f>
      </x:c>
    </x:row>
    <x:row r="187">
      <x:c r="A187" s="251"/>
      <x:c r="B187" s="252"/>
      <x:c r="C187" s="253"/>
      <x:c r="D187" s="253"/>
      <x:c r="E187" s="253"/>
      <x:c r="F187" s="253"/>
      <x:c r="G187" s="252"/>
      <x:c r="H187" s="253"/>
      <x:c r="I187" s="272"/>
      <x:c r="J187" s="253"/>
      <x:c r="K187" s="252"/>
      <x:c r="L187" s="253"/>
      <x:c r="M187" s="253"/>
      <x:c r="N187" s="253"/>
      <x:c r="O187" s="253"/>
      <x:c r="P187" s="253" t="str">
        <x:f>IF(AND(A187="",B187="",H187=""),"",IF(OR(A187="",B187="",C187="",E187="",F187="",H187="",AND(A187="client",COUNTIF('الزبائن'!$A$6:$A$505,B187)=0),AND(A187="proposed_name",COUNTIF('أسماء مقترحة'!$A$6:$A$505,B187)=0)),"REVIEW","READY"))</x:f>
      </x:c>
      <x:c r="Q187" s="255" t="str">
        <x:f>IF(P187="","",IF(P187="READY","",TRIM(IF(A187="","missing entity_type; ","")&amp;IF(B187="","missing entity_key; ","")&amp;IF(C187="","missing referrer_order; ","")&amp;IF(E187="","missing referrer_type; ","")&amp;IF(F187="","missing referral_origin_channel; ","")&amp;IF(H187="","missing referrer_name_snapshot; ","")&amp;IF(AND(A187="client",COUNTIF('الزبائن'!$A$6:$A$505,B187)=0),"client key not found; ","")&amp;IF(AND(A187="proposed_name",COUNTIF('أسماء مقترحة'!$A$6:$A$505,B187)=0),"proposed_name key not found; ",""))))</x:f>
      </x:c>
    </x:row>
    <x:row r="188">
      <x:c r="A188" s="251"/>
      <x:c r="B188" s="252"/>
      <x:c r="C188" s="253"/>
      <x:c r="D188" s="253"/>
      <x:c r="E188" s="253"/>
      <x:c r="F188" s="253"/>
      <x:c r="G188" s="252"/>
      <x:c r="H188" s="253"/>
      <x:c r="I188" s="272"/>
      <x:c r="J188" s="253"/>
      <x:c r="K188" s="252"/>
      <x:c r="L188" s="253"/>
      <x:c r="M188" s="253"/>
      <x:c r="N188" s="253"/>
      <x:c r="O188" s="253"/>
      <x:c r="P188" s="253" t="str">
        <x:f>IF(AND(A188="",B188="",H188=""),"",IF(OR(A188="",B188="",C188="",E188="",F188="",H188="",AND(A188="client",COUNTIF('الزبائن'!$A$6:$A$505,B188)=0),AND(A188="proposed_name",COUNTIF('أسماء مقترحة'!$A$6:$A$505,B188)=0)),"REVIEW","READY"))</x:f>
      </x:c>
      <x:c r="Q188" s="255" t="str">
        <x:f>IF(P188="","",IF(P188="READY","",TRIM(IF(A188="","missing entity_type; ","")&amp;IF(B188="","missing entity_key; ","")&amp;IF(C188="","missing referrer_order; ","")&amp;IF(E188="","missing referrer_type; ","")&amp;IF(F188="","missing referral_origin_channel; ","")&amp;IF(H188="","missing referrer_name_snapshot; ","")&amp;IF(AND(A188="client",COUNTIF('الزبائن'!$A$6:$A$505,B188)=0),"client key not found; ","")&amp;IF(AND(A188="proposed_name",COUNTIF('أسماء مقترحة'!$A$6:$A$505,B188)=0),"proposed_name key not found; ",""))))</x:f>
      </x:c>
    </x:row>
    <x:row r="189">
      <x:c r="A189" s="251"/>
      <x:c r="B189" s="252"/>
      <x:c r="C189" s="253"/>
      <x:c r="D189" s="253"/>
      <x:c r="E189" s="253"/>
      <x:c r="F189" s="253"/>
      <x:c r="G189" s="252"/>
      <x:c r="H189" s="253"/>
      <x:c r="I189" s="272"/>
      <x:c r="J189" s="253"/>
      <x:c r="K189" s="252"/>
      <x:c r="L189" s="253"/>
      <x:c r="M189" s="253"/>
      <x:c r="N189" s="253"/>
      <x:c r="O189" s="253"/>
      <x:c r="P189" s="253" t="str">
        <x:f>IF(AND(A189="",B189="",H189=""),"",IF(OR(A189="",B189="",C189="",E189="",F189="",H189="",AND(A189="client",COUNTIF('الزبائن'!$A$6:$A$505,B189)=0),AND(A189="proposed_name",COUNTIF('أسماء مقترحة'!$A$6:$A$505,B189)=0)),"REVIEW","READY"))</x:f>
      </x:c>
      <x:c r="Q189" s="255" t="str">
        <x:f>IF(P189="","",IF(P189="READY","",TRIM(IF(A189="","missing entity_type; ","")&amp;IF(B189="","missing entity_key; ","")&amp;IF(C189="","missing referrer_order; ","")&amp;IF(E189="","missing referrer_type; ","")&amp;IF(F189="","missing referral_origin_channel; ","")&amp;IF(H189="","missing referrer_name_snapshot; ","")&amp;IF(AND(A189="client",COUNTIF('الزبائن'!$A$6:$A$505,B189)=0),"client key not found; ","")&amp;IF(AND(A189="proposed_name",COUNTIF('أسماء مقترحة'!$A$6:$A$505,B189)=0),"proposed_name key not found; ",""))))</x:f>
      </x:c>
    </x:row>
    <x:row r="190">
      <x:c r="A190" s="251"/>
      <x:c r="B190" s="252"/>
      <x:c r="C190" s="253"/>
      <x:c r="D190" s="253"/>
      <x:c r="E190" s="253"/>
      <x:c r="F190" s="253"/>
      <x:c r="G190" s="252"/>
      <x:c r="H190" s="253"/>
      <x:c r="I190" s="272"/>
      <x:c r="J190" s="253"/>
      <x:c r="K190" s="252"/>
      <x:c r="L190" s="253"/>
      <x:c r="M190" s="253"/>
      <x:c r="N190" s="253"/>
      <x:c r="O190" s="253"/>
      <x:c r="P190" s="253" t="str">
        <x:f>IF(AND(A190="",B190="",H190=""),"",IF(OR(A190="",B190="",C190="",E190="",F190="",H190="",AND(A190="client",COUNTIF('الزبائن'!$A$6:$A$505,B190)=0),AND(A190="proposed_name",COUNTIF('أسماء مقترحة'!$A$6:$A$505,B190)=0)),"REVIEW","READY"))</x:f>
      </x:c>
      <x:c r="Q190" s="255" t="str">
        <x:f>IF(P190="","",IF(P190="READY","",TRIM(IF(A190="","missing entity_type; ","")&amp;IF(B190="","missing entity_key; ","")&amp;IF(C190="","missing referrer_order; ","")&amp;IF(E190="","missing referrer_type; ","")&amp;IF(F190="","missing referral_origin_channel; ","")&amp;IF(H190="","missing referrer_name_snapshot; ","")&amp;IF(AND(A190="client",COUNTIF('الزبائن'!$A$6:$A$505,B190)=0),"client key not found; ","")&amp;IF(AND(A190="proposed_name",COUNTIF('أسماء مقترحة'!$A$6:$A$505,B190)=0),"proposed_name key not found; ",""))))</x:f>
      </x:c>
    </x:row>
    <x:row r="191">
      <x:c r="A191" s="251"/>
      <x:c r="B191" s="252"/>
      <x:c r="C191" s="253"/>
      <x:c r="D191" s="253"/>
      <x:c r="E191" s="253"/>
      <x:c r="F191" s="253"/>
      <x:c r="G191" s="252"/>
      <x:c r="H191" s="253"/>
      <x:c r="I191" s="272"/>
      <x:c r="J191" s="253"/>
      <x:c r="K191" s="252"/>
      <x:c r="L191" s="253"/>
      <x:c r="M191" s="253"/>
      <x:c r="N191" s="253"/>
      <x:c r="O191" s="253"/>
      <x:c r="P191" s="253" t="str">
        <x:f>IF(AND(A191="",B191="",H191=""),"",IF(OR(A191="",B191="",C191="",E191="",F191="",H191="",AND(A191="client",COUNTIF('الزبائن'!$A$6:$A$505,B191)=0),AND(A191="proposed_name",COUNTIF('أسماء مقترحة'!$A$6:$A$505,B191)=0)),"REVIEW","READY"))</x:f>
      </x:c>
      <x:c r="Q191" s="255" t="str">
        <x:f>IF(P191="","",IF(P191="READY","",TRIM(IF(A191="","missing entity_type; ","")&amp;IF(B191="","missing entity_key; ","")&amp;IF(C191="","missing referrer_order; ","")&amp;IF(E191="","missing referrer_type; ","")&amp;IF(F191="","missing referral_origin_channel; ","")&amp;IF(H191="","missing referrer_name_snapshot; ","")&amp;IF(AND(A191="client",COUNTIF('الزبائن'!$A$6:$A$505,B191)=0),"client key not found; ","")&amp;IF(AND(A191="proposed_name",COUNTIF('أسماء مقترحة'!$A$6:$A$505,B191)=0),"proposed_name key not found; ",""))))</x:f>
      </x:c>
    </x:row>
    <x:row r="192">
      <x:c r="A192" s="251"/>
      <x:c r="B192" s="252"/>
      <x:c r="C192" s="253"/>
      <x:c r="D192" s="253"/>
      <x:c r="E192" s="253"/>
      <x:c r="F192" s="253"/>
      <x:c r="G192" s="252"/>
      <x:c r="H192" s="253"/>
      <x:c r="I192" s="272"/>
      <x:c r="J192" s="253"/>
      <x:c r="K192" s="252"/>
      <x:c r="L192" s="253"/>
      <x:c r="M192" s="253"/>
      <x:c r="N192" s="253"/>
      <x:c r="O192" s="253"/>
      <x:c r="P192" s="253" t="str">
        <x:f>IF(AND(A192="",B192="",H192=""),"",IF(OR(A192="",B192="",C192="",E192="",F192="",H192="",AND(A192="client",COUNTIF('الزبائن'!$A$6:$A$505,B192)=0),AND(A192="proposed_name",COUNTIF('أسماء مقترحة'!$A$6:$A$505,B192)=0)),"REVIEW","READY"))</x:f>
      </x:c>
      <x:c r="Q192" s="255" t="str">
        <x:f>IF(P192="","",IF(P192="READY","",TRIM(IF(A192="","missing entity_type; ","")&amp;IF(B192="","missing entity_key; ","")&amp;IF(C192="","missing referrer_order; ","")&amp;IF(E192="","missing referrer_type; ","")&amp;IF(F192="","missing referral_origin_channel; ","")&amp;IF(H192="","missing referrer_name_snapshot; ","")&amp;IF(AND(A192="client",COUNTIF('الزبائن'!$A$6:$A$505,B192)=0),"client key not found; ","")&amp;IF(AND(A192="proposed_name",COUNTIF('أسماء مقترحة'!$A$6:$A$505,B192)=0),"proposed_name key not found; ",""))))</x:f>
      </x:c>
    </x:row>
    <x:row r="193">
      <x:c r="A193" s="251"/>
      <x:c r="B193" s="252"/>
      <x:c r="C193" s="253"/>
      <x:c r="D193" s="253"/>
      <x:c r="E193" s="253"/>
      <x:c r="F193" s="253"/>
      <x:c r="G193" s="252"/>
      <x:c r="H193" s="253"/>
      <x:c r="I193" s="272"/>
      <x:c r="J193" s="253"/>
      <x:c r="K193" s="252"/>
      <x:c r="L193" s="253"/>
      <x:c r="M193" s="253"/>
      <x:c r="N193" s="253"/>
      <x:c r="O193" s="253"/>
      <x:c r="P193" s="253" t="str">
        <x:f>IF(AND(A193="",B193="",H193=""),"",IF(OR(A193="",B193="",C193="",E193="",F193="",H193="",AND(A193="client",COUNTIF('الزبائن'!$A$6:$A$505,B193)=0),AND(A193="proposed_name",COUNTIF('أسماء مقترحة'!$A$6:$A$505,B193)=0)),"REVIEW","READY"))</x:f>
      </x:c>
      <x:c r="Q193" s="255" t="str">
        <x:f>IF(P193="","",IF(P193="READY","",TRIM(IF(A193="","missing entity_type; ","")&amp;IF(B193="","missing entity_key; ","")&amp;IF(C193="","missing referrer_order; ","")&amp;IF(E193="","missing referrer_type; ","")&amp;IF(F193="","missing referral_origin_channel; ","")&amp;IF(H193="","missing referrer_name_snapshot; ","")&amp;IF(AND(A193="client",COUNTIF('الزبائن'!$A$6:$A$505,B193)=0),"client key not found; ","")&amp;IF(AND(A193="proposed_name",COUNTIF('أسماء مقترحة'!$A$6:$A$505,B193)=0),"proposed_name key not found; ",""))))</x:f>
      </x:c>
    </x:row>
    <x:row r="194">
      <x:c r="A194" s="251"/>
      <x:c r="B194" s="252"/>
      <x:c r="C194" s="253"/>
      <x:c r="D194" s="253"/>
      <x:c r="E194" s="253"/>
      <x:c r="F194" s="253"/>
      <x:c r="G194" s="252"/>
      <x:c r="H194" s="253"/>
      <x:c r="I194" s="272"/>
      <x:c r="J194" s="253"/>
      <x:c r="K194" s="252"/>
      <x:c r="L194" s="253"/>
      <x:c r="M194" s="253"/>
      <x:c r="N194" s="253"/>
      <x:c r="O194" s="253"/>
      <x:c r="P194" s="253" t="str">
        <x:f>IF(AND(A194="",B194="",H194=""),"",IF(OR(A194="",B194="",C194="",E194="",F194="",H194="",AND(A194="client",COUNTIF('الزبائن'!$A$6:$A$505,B194)=0),AND(A194="proposed_name",COUNTIF('أسماء مقترحة'!$A$6:$A$505,B194)=0)),"REVIEW","READY"))</x:f>
      </x:c>
      <x:c r="Q194" s="255" t="str">
        <x:f>IF(P194="","",IF(P194="READY","",TRIM(IF(A194="","missing entity_type; ","")&amp;IF(B194="","missing entity_key; ","")&amp;IF(C194="","missing referrer_order; ","")&amp;IF(E194="","missing referrer_type; ","")&amp;IF(F194="","missing referral_origin_channel; ","")&amp;IF(H194="","missing referrer_name_snapshot; ","")&amp;IF(AND(A194="client",COUNTIF('الزبائن'!$A$6:$A$505,B194)=0),"client key not found; ","")&amp;IF(AND(A194="proposed_name",COUNTIF('أسماء مقترحة'!$A$6:$A$505,B194)=0),"proposed_name key not found; ",""))))</x:f>
      </x:c>
    </x:row>
    <x:row r="195">
      <x:c r="A195" s="251"/>
      <x:c r="B195" s="252"/>
      <x:c r="C195" s="253"/>
      <x:c r="D195" s="253"/>
      <x:c r="E195" s="253"/>
      <x:c r="F195" s="253"/>
      <x:c r="G195" s="252"/>
      <x:c r="H195" s="253"/>
      <x:c r="I195" s="272"/>
      <x:c r="J195" s="253"/>
      <x:c r="K195" s="252"/>
      <x:c r="L195" s="253"/>
      <x:c r="M195" s="253"/>
      <x:c r="N195" s="253"/>
      <x:c r="O195" s="253"/>
      <x:c r="P195" s="253" t="str">
        <x:f>IF(AND(A195="",B195="",H195=""),"",IF(OR(A195="",B195="",C195="",E195="",F195="",H195="",AND(A195="client",COUNTIF('الزبائن'!$A$6:$A$505,B195)=0),AND(A195="proposed_name",COUNTIF('أسماء مقترحة'!$A$6:$A$505,B195)=0)),"REVIEW","READY"))</x:f>
      </x:c>
      <x:c r="Q195" s="255" t="str">
        <x:f>IF(P195="","",IF(P195="READY","",TRIM(IF(A195="","missing entity_type; ","")&amp;IF(B195="","missing entity_key; ","")&amp;IF(C195="","missing referrer_order; ","")&amp;IF(E195="","missing referrer_type; ","")&amp;IF(F195="","missing referral_origin_channel; ","")&amp;IF(H195="","missing referrer_name_snapshot; ","")&amp;IF(AND(A195="client",COUNTIF('الزبائن'!$A$6:$A$505,B195)=0),"client key not found; ","")&amp;IF(AND(A195="proposed_name",COUNTIF('أسماء مقترحة'!$A$6:$A$505,B195)=0),"proposed_name key not found; ",""))))</x:f>
      </x:c>
    </x:row>
    <x:row r="196">
      <x:c r="A196" s="251"/>
      <x:c r="B196" s="252"/>
      <x:c r="C196" s="253"/>
      <x:c r="D196" s="253"/>
      <x:c r="E196" s="253"/>
      <x:c r="F196" s="253"/>
      <x:c r="G196" s="252"/>
      <x:c r="H196" s="253"/>
      <x:c r="I196" s="272"/>
      <x:c r="J196" s="253"/>
      <x:c r="K196" s="252"/>
      <x:c r="L196" s="253"/>
      <x:c r="M196" s="253"/>
      <x:c r="N196" s="253"/>
      <x:c r="O196" s="253"/>
      <x:c r="P196" s="253" t="str">
        <x:f>IF(AND(A196="",B196="",H196=""),"",IF(OR(A196="",B196="",C196="",E196="",F196="",H196="",AND(A196="client",COUNTIF('الزبائن'!$A$6:$A$505,B196)=0),AND(A196="proposed_name",COUNTIF('أسماء مقترحة'!$A$6:$A$505,B196)=0)),"REVIEW","READY"))</x:f>
      </x:c>
      <x:c r="Q196" s="255" t="str">
        <x:f>IF(P196="","",IF(P196="READY","",TRIM(IF(A196="","missing entity_type; ","")&amp;IF(B196="","missing entity_key; ","")&amp;IF(C196="","missing referrer_order; ","")&amp;IF(E196="","missing referrer_type; ","")&amp;IF(F196="","missing referral_origin_channel; ","")&amp;IF(H196="","missing referrer_name_snapshot; ","")&amp;IF(AND(A196="client",COUNTIF('الزبائن'!$A$6:$A$505,B196)=0),"client key not found; ","")&amp;IF(AND(A196="proposed_name",COUNTIF('أسماء مقترحة'!$A$6:$A$505,B196)=0),"proposed_name key not found; ",""))))</x:f>
      </x:c>
    </x:row>
    <x:row r="197">
      <x:c r="A197" s="251"/>
      <x:c r="B197" s="252"/>
      <x:c r="C197" s="253"/>
      <x:c r="D197" s="253"/>
      <x:c r="E197" s="253"/>
      <x:c r="F197" s="253"/>
      <x:c r="G197" s="252"/>
      <x:c r="H197" s="253"/>
      <x:c r="I197" s="272"/>
      <x:c r="J197" s="253"/>
      <x:c r="K197" s="252"/>
      <x:c r="L197" s="253"/>
      <x:c r="M197" s="253"/>
      <x:c r="N197" s="253"/>
      <x:c r="O197" s="253"/>
      <x:c r="P197" s="253" t="str">
        <x:f>IF(AND(A197="",B197="",H197=""),"",IF(OR(A197="",B197="",C197="",E197="",F197="",H197="",AND(A197="client",COUNTIF('الزبائن'!$A$6:$A$505,B197)=0),AND(A197="proposed_name",COUNTIF('أسماء مقترحة'!$A$6:$A$505,B197)=0)),"REVIEW","READY"))</x:f>
      </x:c>
      <x:c r="Q197" s="255" t="str">
        <x:f>IF(P197="","",IF(P197="READY","",TRIM(IF(A197="","missing entity_type; ","")&amp;IF(B197="","missing entity_key; ","")&amp;IF(C197="","missing referrer_order; ","")&amp;IF(E197="","missing referrer_type; ","")&amp;IF(F197="","missing referral_origin_channel; ","")&amp;IF(H197="","missing referrer_name_snapshot; ","")&amp;IF(AND(A197="client",COUNTIF('الزبائن'!$A$6:$A$505,B197)=0),"client key not found; ","")&amp;IF(AND(A197="proposed_name",COUNTIF('أسماء مقترحة'!$A$6:$A$505,B197)=0),"proposed_name key not found; ",""))))</x:f>
      </x:c>
    </x:row>
    <x:row r="198">
      <x:c r="A198" s="251"/>
      <x:c r="B198" s="252"/>
      <x:c r="C198" s="253"/>
      <x:c r="D198" s="253"/>
      <x:c r="E198" s="253"/>
      <x:c r="F198" s="253"/>
      <x:c r="G198" s="252"/>
      <x:c r="H198" s="253"/>
      <x:c r="I198" s="272"/>
      <x:c r="J198" s="253"/>
      <x:c r="K198" s="252"/>
      <x:c r="L198" s="253"/>
      <x:c r="M198" s="253"/>
      <x:c r="N198" s="253"/>
      <x:c r="O198" s="253"/>
      <x:c r="P198" s="253" t="str">
        <x:f>IF(AND(A198="",B198="",H198=""),"",IF(OR(A198="",B198="",C198="",E198="",F198="",H198="",AND(A198="client",COUNTIF('الزبائن'!$A$6:$A$505,B198)=0),AND(A198="proposed_name",COUNTIF('أسماء مقترحة'!$A$6:$A$505,B198)=0)),"REVIEW","READY"))</x:f>
      </x:c>
      <x:c r="Q198" s="255" t="str">
        <x:f>IF(P198="","",IF(P198="READY","",TRIM(IF(A198="","missing entity_type; ","")&amp;IF(B198="","missing entity_key; ","")&amp;IF(C198="","missing referrer_order; ","")&amp;IF(E198="","missing referrer_type; ","")&amp;IF(F198="","missing referral_origin_channel; ","")&amp;IF(H198="","missing referrer_name_snapshot; ","")&amp;IF(AND(A198="client",COUNTIF('الزبائن'!$A$6:$A$505,B198)=0),"client key not found; ","")&amp;IF(AND(A198="proposed_name",COUNTIF('أسماء مقترحة'!$A$6:$A$505,B198)=0),"proposed_name key not found; ",""))))</x:f>
      </x:c>
    </x:row>
    <x:row r="199">
      <x:c r="A199" s="251"/>
      <x:c r="B199" s="252"/>
      <x:c r="C199" s="253"/>
      <x:c r="D199" s="253"/>
      <x:c r="E199" s="253"/>
      <x:c r="F199" s="253"/>
      <x:c r="G199" s="252"/>
      <x:c r="H199" s="253"/>
      <x:c r="I199" s="272"/>
      <x:c r="J199" s="253"/>
      <x:c r="K199" s="252"/>
      <x:c r="L199" s="253"/>
      <x:c r="M199" s="253"/>
      <x:c r="N199" s="253"/>
      <x:c r="O199" s="253"/>
      <x:c r="P199" s="253" t="str">
        <x:f>IF(AND(A199="",B199="",H199=""),"",IF(OR(A199="",B199="",C199="",E199="",F199="",H199="",AND(A199="client",COUNTIF('الزبائن'!$A$6:$A$505,B199)=0),AND(A199="proposed_name",COUNTIF('أسماء مقترحة'!$A$6:$A$505,B199)=0)),"REVIEW","READY"))</x:f>
      </x:c>
      <x:c r="Q199" s="255" t="str">
        <x:f>IF(P199="","",IF(P199="READY","",TRIM(IF(A199="","missing entity_type; ","")&amp;IF(B199="","missing entity_key; ","")&amp;IF(C199="","missing referrer_order; ","")&amp;IF(E199="","missing referrer_type; ","")&amp;IF(F199="","missing referral_origin_channel; ","")&amp;IF(H199="","missing referrer_name_snapshot; ","")&amp;IF(AND(A199="client",COUNTIF('الزبائن'!$A$6:$A$505,B199)=0),"client key not found; ","")&amp;IF(AND(A199="proposed_name",COUNTIF('أسماء مقترحة'!$A$6:$A$505,B199)=0),"proposed_name key not found; ",""))))</x:f>
      </x:c>
    </x:row>
    <x:row r="200">
      <x:c r="A200" s="251"/>
      <x:c r="B200" s="252"/>
      <x:c r="C200" s="253"/>
      <x:c r="D200" s="253"/>
      <x:c r="E200" s="253"/>
      <x:c r="F200" s="253"/>
      <x:c r="G200" s="252"/>
      <x:c r="H200" s="253"/>
      <x:c r="I200" s="272"/>
      <x:c r="J200" s="253"/>
      <x:c r="K200" s="252"/>
      <x:c r="L200" s="253"/>
      <x:c r="M200" s="253"/>
      <x:c r="N200" s="253"/>
      <x:c r="O200" s="253"/>
      <x:c r="P200" s="253" t="str">
        <x:f>IF(AND(A200="",B200="",H200=""),"",IF(OR(A200="",B200="",C200="",E200="",F200="",H200="",AND(A200="client",COUNTIF('الزبائن'!$A$6:$A$505,B200)=0),AND(A200="proposed_name",COUNTIF('أسماء مقترحة'!$A$6:$A$505,B200)=0)),"REVIEW","READY"))</x:f>
      </x:c>
      <x:c r="Q200" s="255" t="str">
        <x:f>IF(P200="","",IF(P200="READY","",TRIM(IF(A200="","missing entity_type; ","")&amp;IF(B200="","missing entity_key; ","")&amp;IF(C200="","missing referrer_order; ","")&amp;IF(E200="","missing referrer_type; ","")&amp;IF(F200="","missing referral_origin_channel; ","")&amp;IF(H200="","missing referrer_name_snapshot; ","")&amp;IF(AND(A200="client",COUNTIF('الزبائن'!$A$6:$A$505,B200)=0),"client key not found; ","")&amp;IF(AND(A200="proposed_name",COUNTIF('أسماء مقترحة'!$A$6:$A$505,B200)=0),"proposed_name key not found; ",""))))</x:f>
      </x:c>
    </x:row>
    <x:row r="201">
      <x:c r="A201" s="251"/>
      <x:c r="B201" s="252"/>
      <x:c r="C201" s="253"/>
      <x:c r="D201" s="253"/>
      <x:c r="E201" s="253"/>
      <x:c r="F201" s="253"/>
      <x:c r="G201" s="252"/>
      <x:c r="H201" s="253"/>
      <x:c r="I201" s="272"/>
      <x:c r="J201" s="253"/>
      <x:c r="K201" s="252"/>
      <x:c r="L201" s="253"/>
      <x:c r="M201" s="253"/>
      <x:c r="N201" s="253"/>
      <x:c r="O201" s="253"/>
      <x:c r="P201" s="253" t="str">
        <x:f>IF(AND(A201="",B201="",H201=""),"",IF(OR(A201="",B201="",C201="",E201="",F201="",H201="",AND(A201="client",COUNTIF('الزبائن'!$A$6:$A$505,B201)=0),AND(A201="proposed_name",COUNTIF('أسماء مقترحة'!$A$6:$A$505,B201)=0)),"REVIEW","READY"))</x:f>
      </x:c>
      <x:c r="Q201" s="255" t="str">
        <x:f>IF(P201="","",IF(P201="READY","",TRIM(IF(A201="","missing entity_type; ","")&amp;IF(B201="","missing entity_key; ","")&amp;IF(C201="","missing referrer_order; ","")&amp;IF(E201="","missing referrer_type; ","")&amp;IF(F201="","missing referral_origin_channel; ","")&amp;IF(H201="","missing referrer_name_snapshot; ","")&amp;IF(AND(A201="client",COUNTIF('الزبائن'!$A$6:$A$505,B201)=0),"client key not found; ","")&amp;IF(AND(A201="proposed_name",COUNTIF('أسماء مقترحة'!$A$6:$A$505,B201)=0),"proposed_name key not found; ",""))))</x:f>
      </x:c>
    </x:row>
    <x:row r="202">
      <x:c r="A202" s="251"/>
      <x:c r="B202" s="252"/>
      <x:c r="C202" s="253"/>
      <x:c r="D202" s="253"/>
      <x:c r="E202" s="253"/>
      <x:c r="F202" s="253"/>
      <x:c r="G202" s="252"/>
      <x:c r="H202" s="253"/>
      <x:c r="I202" s="272"/>
      <x:c r="J202" s="253"/>
      <x:c r="K202" s="252"/>
      <x:c r="L202" s="253"/>
      <x:c r="M202" s="253"/>
      <x:c r="N202" s="253"/>
      <x:c r="O202" s="253"/>
      <x:c r="P202" s="253" t="str">
        <x:f>IF(AND(A202="",B202="",H202=""),"",IF(OR(A202="",B202="",C202="",E202="",F202="",H202="",AND(A202="client",COUNTIF('الزبائن'!$A$6:$A$505,B202)=0),AND(A202="proposed_name",COUNTIF('أسماء مقترحة'!$A$6:$A$505,B202)=0)),"REVIEW","READY"))</x:f>
      </x:c>
      <x:c r="Q202" s="255" t="str">
        <x:f>IF(P202="","",IF(P202="READY","",TRIM(IF(A202="","missing entity_type; ","")&amp;IF(B202="","missing entity_key; ","")&amp;IF(C202="","missing referrer_order; ","")&amp;IF(E202="","missing referrer_type; ","")&amp;IF(F202="","missing referral_origin_channel; ","")&amp;IF(H202="","missing referrer_name_snapshot; ","")&amp;IF(AND(A202="client",COUNTIF('الزبائن'!$A$6:$A$505,B202)=0),"client key not found; ","")&amp;IF(AND(A202="proposed_name",COUNTIF('أسماء مقترحة'!$A$6:$A$505,B202)=0),"proposed_name key not found; ",""))))</x:f>
      </x:c>
    </x:row>
    <x:row r="203">
      <x:c r="A203" s="251"/>
      <x:c r="B203" s="252"/>
      <x:c r="C203" s="253"/>
      <x:c r="D203" s="253"/>
      <x:c r="E203" s="253"/>
      <x:c r="F203" s="253"/>
      <x:c r="G203" s="252"/>
      <x:c r="H203" s="253"/>
      <x:c r="I203" s="272"/>
      <x:c r="J203" s="253"/>
      <x:c r="K203" s="252"/>
      <x:c r="L203" s="253"/>
      <x:c r="M203" s="253"/>
      <x:c r="N203" s="253"/>
      <x:c r="O203" s="253"/>
      <x:c r="P203" s="253" t="str">
        <x:f>IF(AND(A203="",B203="",H203=""),"",IF(OR(A203="",B203="",C203="",E203="",F203="",H203="",AND(A203="client",COUNTIF('الزبائن'!$A$6:$A$505,B203)=0),AND(A203="proposed_name",COUNTIF('أسماء مقترحة'!$A$6:$A$505,B203)=0)),"REVIEW","READY"))</x:f>
      </x:c>
      <x:c r="Q203" s="255" t="str">
        <x:f>IF(P203="","",IF(P203="READY","",TRIM(IF(A203="","missing entity_type; ","")&amp;IF(B203="","missing entity_key; ","")&amp;IF(C203="","missing referrer_order; ","")&amp;IF(E203="","missing referrer_type; ","")&amp;IF(F203="","missing referral_origin_channel; ","")&amp;IF(H203="","missing referrer_name_snapshot; ","")&amp;IF(AND(A203="client",COUNTIF('الزبائن'!$A$6:$A$505,B203)=0),"client key not found; ","")&amp;IF(AND(A203="proposed_name",COUNTIF('أسماء مقترحة'!$A$6:$A$505,B203)=0),"proposed_name key not found; ",""))))</x:f>
      </x:c>
    </x:row>
    <x:row r="204">
      <x:c r="A204" s="251"/>
      <x:c r="B204" s="252"/>
      <x:c r="C204" s="253"/>
      <x:c r="D204" s="253"/>
      <x:c r="E204" s="253"/>
      <x:c r="F204" s="253"/>
      <x:c r="G204" s="252"/>
      <x:c r="H204" s="253"/>
      <x:c r="I204" s="272"/>
      <x:c r="J204" s="253"/>
      <x:c r="K204" s="252"/>
      <x:c r="L204" s="253"/>
      <x:c r="M204" s="253"/>
      <x:c r="N204" s="253"/>
      <x:c r="O204" s="253"/>
      <x:c r="P204" s="253" t="str">
        <x:f>IF(AND(A204="",B204="",H204=""),"",IF(OR(A204="",B204="",C204="",E204="",F204="",H204="",AND(A204="client",COUNTIF('الزبائن'!$A$6:$A$505,B204)=0),AND(A204="proposed_name",COUNTIF('أسماء مقترحة'!$A$6:$A$505,B204)=0)),"REVIEW","READY"))</x:f>
      </x:c>
      <x:c r="Q204" s="255" t="str">
        <x:f>IF(P204="","",IF(P204="READY","",TRIM(IF(A204="","missing entity_type; ","")&amp;IF(B204="","missing entity_key; ","")&amp;IF(C204="","missing referrer_order; ","")&amp;IF(E204="","missing referrer_type; ","")&amp;IF(F204="","missing referral_origin_channel; ","")&amp;IF(H204="","missing referrer_name_snapshot; ","")&amp;IF(AND(A204="client",COUNTIF('الزبائن'!$A$6:$A$505,B204)=0),"client key not found; ","")&amp;IF(AND(A204="proposed_name",COUNTIF('أسماء مقترحة'!$A$6:$A$505,B204)=0),"proposed_name key not found; ",""))))</x:f>
      </x:c>
    </x:row>
    <x:row r="205">
      <x:c r="A205" s="251"/>
      <x:c r="B205" s="252"/>
      <x:c r="C205" s="253"/>
      <x:c r="D205" s="253"/>
      <x:c r="E205" s="253"/>
      <x:c r="F205" s="253"/>
      <x:c r="G205" s="252"/>
      <x:c r="H205" s="253"/>
      <x:c r="I205" s="272"/>
      <x:c r="J205" s="253"/>
      <x:c r="K205" s="252"/>
      <x:c r="L205" s="253"/>
      <x:c r="M205" s="253"/>
      <x:c r="N205" s="253"/>
      <x:c r="O205" s="253"/>
      <x:c r="P205" s="253" t="str">
        <x:f>IF(AND(A205="",B205="",H205=""),"",IF(OR(A205="",B205="",C205="",E205="",F205="",H205="",AND(A205="client",COUNTIF('الزبائن'!$A$6:$A$505,B205)=0),AND(A205="proposed_name",COUNTIF('أسماء مقترحة'!$A$6:$A$505,B205)=0)),"REVIEW","READY"))</x:f>
      </x:c>
      <x:c r="Q205" s="255" t="str">
        <x:f>IF(P205="","",IF(P205="READY","",TRIM(IF(A205="","missing entity_type; ","")&amp;IF(B205="","missing entity_key; ","")&amp;IF(C205="","missing referrer_order; ","")&amp;IF(E205="","missing referrer_type; ","")&amp;IF(F205="","missing referral_origin_channel; ","")&amp;IF(H205="","missing referrer_name_snapshot; ","")&amp;IF(AND(A205="client",COUNTIF('الزبائن'!$A$6:$A$505,B205)=0),"client key not found; ","")&amp;IF(AND(A205="proposed_name",COUNTIF('أسماء مقترحة'!$A$6:$A$505,B205)=0),"proposed_name key not found; ",""))))</x:f>
      </x:c>
    </x:row>
    <x:row r="206">
      <x:c r="A206" s="251"/>
      <x:c r="B206" s="252"/>
      <x:c r="C206" s="253"/>
      <x:c r="D206" s="253"/>
      <x:c r="E206" s="253"/>
      <x:c r="F206" s="253"/>
      <x:c r="G206" s="252"/>
      <x:c r="H206" s="253"/>
      <x:c r="I206" s="272"/>
      <x:c r="J206" s="253"/>
      <x:c r="K206" s="252"/>
      <x:c r="L206" s="253"/>
      <x:c r="M206" s="253"/>
      <x:c r="N206" s="253"/>
      <x:c r="O206" s="253"/>
      <x:c r="P206" s="253" t="str">
        <x:f>IF(AND(A206="",B206="",H206=""),"",IF(OR(A206="",B206="",C206="",E206="",F206="",H206="",AND(A206="client",COUNTIF('الزبائن'!$A$6:$A$505,B206)=0),AND(A206="proposed_name",COUNTIF('أسماء مقترحة'!$A$6:$A$505,B206)=0)),"REVIEW","READY"))</x:f>
      </x:c>
      <x:c r="Q206" s="255" t="str">
        <x:f>IF(P206="","",IF(P206="READY","",TRIM(IF(A206="","missing entity_type; ","")&amp;IF(B206="","missing entity_key; ","")&amp;IF(C206="","missing referrer_order; ","")&amp;IF(E206="","missing referrer_type; ","")&amp;IF(F206="","missing referral_origin_channel; ","")&amp;IF(H206="","missing referrer_name_snapshot; ","")&amp;IF(AND(A206="client",COUNTIF('الزبائن'!$A$6:$A$505,B206)=0),"client key not found; ","")&amp;IF(AND(A206="proposed_name",COUNTIF('أسماء مقترحة'!$A$6:$A$505,B206)=0),"proposed_name key not found; ",""))))</x:f>
      </x:c>
    </x:row>
    <x:row r="207">
      <x:c r="A207" s="251"/>
      <x:c r="B207" s="252"/>
      <x:c r="C207" s="253"/>
      <x:c r="D207" s="253"/>
      <x:c r="E207" s="253"/>
      <x:c r="F207" s="253"/>
      <x:c r="G207" s="252"/>
      <x:c r="H207" s="253"/>
      <x:c r="I207" s="272"/>
      <x:c r="J207" s="253"/>
      <x:c r="K207" s="252"/>
      <x:c r="L207" s="253"/>
      <x:c r="M207" s="253"/>
      <x:c r="N207" s="253"/>
      <x:c r="O207" s="253"/>
      <x:c r="P207" s="253" t="str">
        <x:f>IF(AND(A207="",B207="",H207=""),"",IF(OR(A207="",B207="",C207="",E207="",F207="",H207="",AND(A207="client",COUNTIF('الزبائن'!$A$6:$A$505,B207)=0),AND(A207="proposed_name",COUNTIF('أسماء مقترحة'!$A$6:$A$505,B207)=0)),"REVIEW","READY"))</x:f>
      </x:c>
      <x:c r="Q207" s="255" t="str">
        <x:f>IF(P207="","",IF(P207="READY","",TRIM(IF(A207="","missing entity_type; ","")&amp;IF(B207="","missing entity_key; ","")&amp;IF(C207="","missing referrer_order; ","")&amp;IF(E207="","missing referrer_type; ","")&amp;IF(F207="","missing referral_origin_channel; ","")&amp;IF(H207="","missing referrer_name_snapshot; ","")&amp;IF(AND(A207="client",COUNTIF('الزبائن'!$A$6:$A$505,B207)=0),"client key not found; ","")&amp;IF(AND(A207="proposed_name",COUNTIF('أسماء مقترحة'!$A$6:$A$505,B207)=0),"proposed_name key not found; ",""))))</x:f>
      </x:c>
    </x:row>
    <x:row r="208">
      <x:c r="A208" s="251"/>
      <x:c r="B208" s="252"/>
      <x:c r="C208" s="253"/>
      <x:c r="D208" s="253"/>
      <x:c r="E208" s="253"/>
      <x:c r="F208" s="253"/>
      <x:c r="G208" s="252"/>
      <x:c r="H208" s="253"/>
      <x:c r="I208" s="272"/>
      <x:c r="J208" s="253"/>
      <x:c r="K208" s="252"/>
      <x:c r="L208" s="253"/>
      <x:c r="M208" s="253"/>
      <x:c r="N208" s="253"/>
      <x:c r="O208" s="253"/>
      <x:c r="P208" s="253" t="str">
        <x:f>IF(AND(A208="",B208="",H208=""),"",IF(OR(A208="",B208="",C208="",E208="",F208="",H208="",AND(A208="client",COUNTIF('الزبائن'!$A$6:$A$505,B208)=0),AND(A208="proposed_name",COUNTIF('أسماء مقترحة'!$A$6:$A$505,B208)=0)),"REVIEW","READY"))</x:f>
      </x:c>
      <x:c r="Q208" s="255" t="str">
        <x:f>IF(P208="","",IF(P208="READY","",TRIM(IF(A208="","missing entity_type; ","")&amp;IF(B208="","missing entity_key; ","")&amp;IF(C208="","missing referrer_order; ","")&amp;IF(E208="","missing referrer_type; ","")&amp;IF(F208="","missing referral_origin_channel; ","")&amp;IF(H208="","missing referrer_name_snapshot; ","")&amp;IF(AND(A208="client",COUNTIF('الزبائن'!$A$6:$A$505,B208)=0),"client key not found; ","")&amp;IF(AND(A208="proposed_name",COUNTIF('أسماء مقترحة'!$A$6:$A$505,B208)=0),"proposed_name key not found; ",""))))</x:f>
      </x:c>
    </x:row>
    <x:row r="209">
      <x:c r="A209" s="251"/>
      <x:c r="B209" s="252"/>
      <x:c r="C209" s="253"/>
      <x:c r="D209" s="253"/>
      <x:c r="E209" s="253"/>
      <x:c r="F209" s="253"/>
      <x:c r="G209" s="252"/>
      <x:c r="H209" s="253"/>
      <x:c r="I209" s="272"/>
      <x:c r="J209" s="253"/>
      <x:c r="K209" s="252"/>
      <x:c r="L209" s="253"/>
      <x:c r="M209" s="253"/>
      <x:c r="N209" s="253"/>
      <x:c r="O209" s="253"/>
      <x:c r="P209" s="253" t="str">
        <x:f>IF(AND(A209="",B209="",H209=""),"",IF(OR(A209="",B209="",C209="",E209="",F209="",H209="",AND(A209="client",COUNTIF('الزبائن'!$A$6:$A$505,B209)=0),AND(A209="proposed_name",COUNTIF('أسماء مقترحة'!$A$6:$A$505,B209)=0)),"REVIEW","READY"))</x:f>
      </x:c>
      <x:c r="Q209" s="255" t="str">
        <x:f>IF(P209="","",IF(P209="READY","",TRIM(IF(A209="","missing entity_type; ","")&amp;IF(B209="","missing entity_key; ","")&amp;IF(C209="","missing referrer_order; ","")&amp;IF(E209="","missing referrer_type; ","")&amp;IF(F209="","missing referral_origin_channel; ","")&amp;IF(H209="","missing referrer_name_snapshot; ","")&amp;IF(AND(A209="client",COUNTIF('الزبائن'!$A$6:$A$505,B209)=0),"client key not found; ","")&amp;IF(AND(A209="proposed_name",COUNTIF('أسماء مقترحة'!$A$6:$A$505,B209)=0),"proposed_name key not found; ",""))))</x:f>
      </x:c>
    </x:row>
    <x:row r="210">
      <x:c r="A210" s="251"/>
      <x:c r="B210" s="252"/>
      <x:c r="C210" s="253"/>
      <x:c r="D210" s="253"/>
      <x:c r="E210" s="253"/>
      <x:c r="F210" s="253"/>
      <x:c r="G210" s="252"/>
      <x:c r="H210" s="253"/>
      <x:c r="I210" s="272"/>
      <x:c r="J210" s="253"/>
      <x:c r="K210" s="252"/>
      <x:c r="L210" s="253"/>
      <x:c r="M210" s="253"/>
      <x:c r="N210" s="253"/>
      <x:c r="O210" s="253"/>
      <x:c r="P210" s="253" t="str">
        <x:f>IF(AND(A210="",B210="",H210=""),"",IF(OR(A210="",B210="",C210="",E210="",F210="",H210="",AND(A210="client",COUNTIF('الزبائن'!$A$6:$A$505,B210)=0),AND(A210="proposed_name",COUNTIF('أسماء مقترحة'!$A$6:$A$505,B210)=0)),"REVIEW","READY"))</x:f>
      </x:c>
      <x:c r="Q210" s="255" t="str">
        <x:f>IF(P210="","",IF(P210="READY","",TRIM(IF(A210="","missing entity_type; ","")&amp;IF(B210="","missing entity_key; ","")&amp;IF(C210="","missing referrer_order; ","")&amp;IF(E210="","missing referrer_type; ","")&amp;IF(F210="","missing referral_origin_channel; ","")&amp;IF(H210="","missing referrer_name_snapshot; ","")&amp;IF(AND(A210="client",COUNTIF('الزبائن'!$A$6:$A$505,B210)=0),"client key not found; ","")&amp;IF(AND(A210="proposed_name",COUNTIF('أسماء مقترحة'!$A$6:$A$505,B210)=0),"proposed_name key not found; ",""))))</x:f>
      </x:c>
    </x:row>
    <x:row r="211">
      <x:c r="A211" s="251"/>
      <x:c r="B211" s="252"/>
      <x:c r="C211" s="253"/>
      <x:c r="D211" s="253"/>
      <x:c r="E211" s="253"/>
      <x:c r="F211" s="253"/>
      <x:c r="G211" s="252"/>
      <x:c r="H211" s="253"/>
      <x:c r="I211" s="272"/>
      <x:c r="J211" s="253"/>
      <x:c r="K211" s="252"/>
      <x:c r="L211" s="253"/>
      <x:c r="M211" s="253"/>
      <x:c r="N211" s="253"/>
      <x:c r="O211" s="253"/>
      <x:c r="P211" s="253" t="str">
        <x:f>IF(AND(A211="",B211="",H211=""),"",IF(OR(A211="",B211="",C211="",E211="",F211="",H211="",AND(A211="client",COUNTIF('الزبائن'!$A$6:$A$505,B211)=0),AND(A211="proposed_name",COUNTIF('أسماء مقترحة'!$A$6:$A$505,B211)=0)),"REVIEW","READY"))</x:f>
      </x:c>
      <x:c r="Q211" s="255" t="str">
        <x:f>IF(P211="","",IF(P211="READY","",TRIM(IF(A211="","missing entity_type; ","")&amp;IF(B211="","missing entity_key; ","")&amp;IF(C211="","missing referrer_order; ","")&amp;IF(E211="","missing referrer_type; ","")&amp;IF(F211="","missing referral_origin_channel; ","")&amp;IF(H211="","missing referrer_name_snapshot; ","")&amp;IF(AND(A211="client",COUNTIF('الزبائن'!$A$6:$A$505,B211)=0),"client key not found; ","")&amp;IF(AND(A211="proposed_name",COUNTIF('أسماء مقترحة'!$A$6:$A$505,B211)=0),"proposed_name key not found; ",""))))</x:f>
      </x:c>
    </x:row>
    <x:row r="212">
      <x:c r="A212" s="251"/>
      <x:c r="B212" s="252"/>
      <x:c r="C212" s="253"/>
      <x:c r="D212" s="253"/>
      <x:c r="E212" s="253"/>
      <x:c r="F212" s="253"/>
      <x:c r="G212" s="252"/>
      <x:c r="H212" s="253"/>
      <x:c r="I212" s="272"/>
      <x:c r="J212" s="253"/>
      <x:c r="K212" s="252"/>
      <x:c r="L212" s="253"/>
      <x:c r="M212" s="253"/>
      <x:c r="N212" s="253"/>
      <x:c r="O212" s="253"/>
      <x:c r="P212" s="253" t="str">
        <x:f>IF(AND(A212="",B212="",H212=""),"",IF(OR(A212="",B212="",C212="",E212="",F212="",H212="",AND(A212="client",COUNTIF('الزبائن'!$A$6:$A$505,B212)=0),AND(A212="proposed_name",COUNTIF('أسماء مقترحة'!$A$6:$A$505,B212)=0)),"REVIEW","READY"))</x:f>
      </x:c>
      <x:c r="Q212" s="255" t="str">
        <x:f>IF(P212="","",IF(P212="READY","",TRIM(IF(A212="","missing entity_type; ","")&amp;IF(B212="","missing entity_key; ","")&amp;IF(C212="","missing referrer_order; ","")&amp;IF(E212="","missing referrer_type; ","")&amp;IF(F212="","missing referral_origin_channel; ","")&amp;IF(H212="","missing referrer_name_snapshot; ","")&amp;IF(AND(A212="client",COUNTIF('الزبائن'!$A$6:$A$505,B212)=0),"client key not found; ","")&amp;IF(AND(A212="proposed_name",COUNTIF('أسماء مقترحة'!$A$6:$A$505,B212)=0),"proposed_name key not found; ",""))))</x:f>
      </x:c>
    </x:row>
    <x:row r="213">
      <x:c r="A213" s="251"/>
      <x:c r="B213" s="252"/>
      <x:c r="C213" s="253"/>
      <x:c r="D213" s="253"/>
      <x:c r="E213" s="253"/>
      <x:c r="F213" s="253"/>
      <x:c r="G213" s="252"/>
      <x:c r="H213" s="253"/>
      <x:c r="I213" s="272"/>
      <x:c r="J213" s="253"/>
      <x:c r="K213" s="252"/>
      <x:c r="L213" s="253"/>
      <x:c r="M213" s="253"/>
      <x:c r="N213" s="253"/>
      <x:c r="O213" s="253"/>
      <x:c r="P213" s="253" t="str">
        <x:f>IF(AND(A213="",B213="",H213=""),"",IF(OR(A213="",B213="",C213="",E213="",F213="",H213="",AND(A213="client",COUNTIF('الزبائن'!$A$6:$A$505,B213)=0),AND(A213="proposed_name",COUNTIF('أسماء مقترحة'!$A$6:$A$505,B213)=0)),"REVIEW","READY"))</x:f>
      </x:c>
      <x:c r="Q213" s="255" t="str">
        <x:f>IF(P213="","",IF(P213="READY","",TRIM(IF(A213="","missing entity_type; ","")&amp;IF(B213="","missing entity_key; ","")&amp;IF(C213="","missing referrer_order; ","")&amp;IF(E213="","missing referrer_type; ","")&amp;IF(F213="","missing referral_origin_channel; ","")&amp;IF(H213="","missing referrer_name_snapshot; ","")&amp;IF(AND(A213="client",COUNTIF('الزبائن'!$A$6:$A$505,B213)=0),"client key not found; ","")&amp;IF(AND(A213="proposed_name",COUNTIF('أسماء مقترحة'!$A$6:$A$505,B213)=0),"proposed_name key not found; ",""))))</x:f>
      </x:c>
    </x:row>
    <x:row r="214">
      <x:c r="A214" s="251"/>
      <x:c r="B214" s="252"/>
      <x:c r="C214" s="253"/>
      <x:c r="D214" s="253"/>
      <x:c r="E214" s="253"/>
      <x:c r="F214" s="253"/>
      <x:c r="G214" s="252"/>
      <x:c r="H214" s="253"/>
      <x:c r="I214" s="272"/>
      <x:c r="J214" s="253"/>
      <x:c r="K214" s="252"/>
      <x:c r="L214" s="253"/>
      <x:c r="M214" s="253"/>
      <x:c r="N214" s="253"/>
      <x:c r="O214" s="253"/>
      <x:c r="P214" s="253" t="str">
        <x:f>IF(AND(A214="",B214="",H214=""),"",IF(OR(A214="",B214="",C214="",E214="",F214="",H214="",AND(A214="client",COUNTIF('الزبائن'!$A$6:$A$505,B214)=0),AND(A214="proposed_name",COUNTIF('أسماء مقترحة'!$A$6:$A$505,B214)=0)),"REVIEW","READY"))</x:f>
      </x:c>
      <x:c r="Q214" s="255" t="str">
        <x:f>IF(P214="","",IF(P214="READY","",TRIM(IF(A214="","missing entity_type; ","")&amp;IF(B214="","missing entity_key; ","")&amp;IF(C214="","missing referrer_order; ","")&amp;IF(E214="","missing referrer_type; ","")&amp;IF(F214="","missing referral_origin_channel; ","")&amp;IF(H214="","missing referrer_name_snapshot; ","")&amp;IF(AND(A214="client",COUNTIF('الزبائن'!$A$6:$A$505,B214)=0),"client key not found; ","")&amp;IF(AND(A214="proposed_name",COUNTIF('أسماء مقترحة'!$A$6:$A$505,B214)=0),"proposed_name key not found; ",""))))</x:f>
      </x:c>
    </x:row>
    <x:row r="215">
      <x:c r="A215" s="251"/>
      <x:c r="B215" s="252"/>
      <x:c r="C215" s="253"/>
      <x:c r="D215" s="253"/>
      <x:c r="E215" s="253"/>
      <x:c r="F215" s="253"/>
      <x:c r="G215" s="252"/>
      <x:c r="H215" s="253"/>
      <x:c r="I215" s="272"/>
      <x:c r="J215" s="253"/>
      <x:c r="K215" s="252"/>
      <x:c r="L215" s="253"/>
      <x:c r="M215" s="253"/>
      <x:c r="N215" s="253"/>
      <x:c r="O215" s="253"/>
      <x:c r="P215" s="253" t="str">
        <x:f>IF(AND(A215="",B215="",H215=""),"",IF(OR(A215="",B215="",C215="",E215="",F215="",H215="",AND(A215="client",COUNTIF('الزبائن'!$A$6:$A$505,B215)=0),AND(A215="proposed_name",COUNTIF('أسماء مقترحة'!$A$6:$A$505,B215)=0)),"REVIEW","READY"))</x:f>
      </x:c>
      <x:c r="Q215" s="255" t="str">
        <x:f>IF(P215="","",IF(P215="READY","",TRIM(IF(A215="","missing entity_type; ","")&amp;IF(B215="","missing entity_key; ","")&amp;IF(C215="","missing referrer_order; ","")&amp;IF(E215="","missing referrer_type; ","")&amp;IF(F215="","missing referral_origin_channel; ","")&amp;IF(H215="","missing referrer_name_snapshot; ","")&amp;IF(AND(A215="client",COUNTIF('الزبائن'!$A$6:$A$505,B215)=0),"client key not found; ","")&amp;IF(AND(A215="proposed_name",COUNTIF('أسماء مقترحة'!$A$6:$A$505,B215)=0),"proposed_name key not found; ",""))))</x:f>
      </x:c>
    </x:row>
    <x:row r="216">
      <x:c r="A216" s="251"/>
      <x:c r="B216" s="252"/>
      <x:c r="C216" s="253"/>
      <x:c r="D216" s="253"/>
      <x:c r="E216" s="253"/>
      <x:c r="F216" s="253"/>
      <x:c r="G216" s="252"/>
      <x:c r="H216" s="253"/>
      <x:c r="I216" s="272"/>
      <x:c r="J216" s="253"/>
      <x:c r="K216" s="252"/>
      <x:c r="L216" s="253"/>
      <x:c r="M216" s="253"/>
      <x:c r="N216" s="253"/>
      <x:c r="O216" s="253"/>
      <x:c r="P216" s="253" t="str">
        <x:f>IF(AND(A216="",B216="",H216=""),"",IF(OR(A216="",B216="",C216="",E216="",F216="",H216="",AND(A216="client",COUNTIF('الزبائن'!$A$6:$A$505,B216)=0),AND(A216="proposed_name",COUNTIF('أسماء مقترحة'!$A$6:$A$505,B216)=0)),"REVIEW","READY"))</x:f>
      </x:c>
      <x:c r="Q216" s="255" t="str">
        <x:f>IF(P216="","",IF(P216="READY","",TRIM(IF(A216="","missing entity_type; ","")&amp;IF(B216="","missing entity_key; ","")&amp;IF(C216="","missing referrer_order; ","")&amp;IF(E216="","missing referrer_type; ","")&amp;IF(F216="","missing referral_origin_channel; ","")&amp;IF(H216="","missing referrer_name_snapshot; ","")&amp;IF(AND(A216="client",COUNTIF('الزبائن'!$A$6:$A$505,B216)=0),"client key not found; ","")&amp;IF(AND(A216="proposed_name",COUNTIF('أسماء مقترحة'!$A$6:$A$505,B216)=0),"proposed_name key not found; ",""))))</x:f>
      </x:c>
    </x:row>
    <x:row r="217">
      <x:c r="A217" s="251"/>
      <x:c r="B217" s="252"/>
      <x:c r="C217" s="253"/>
      <x:c r="D217" s="253"/>
      <x:c r="E217" s="253"/>
      <x:c r="F217" s="253"/>
      <x:c r="G217" s="252"/>
      <x:c r="H217" s="253"/>
      <x:c r="I217" s="272"/>
      <x:c r="J217" s="253"/>
      <x:c r="K217" s="252"/>
      <x:c r="L217" s="253"/>
      <x:c r="M217" s="253"/>
      <x:c r="N217" s="253"/>
      <x:c r="O217" s="253"/>
      <x:c r="P217" s="253" t="str">
        <x:f>IF(AND(A217="",B217="",H217=""),"",IF(OR(A217="",B217="",C217="",E217="",F217="",H217="",AND(A217="client",COUNTIF('الزبائن'!$A$6:$A$505,B217)=0),AND(A217="proposed_name",COUNTIF('أسماء مقترحة'!$A$6:$A$505,B217)=0)),"REVIEW","READY"))</x:f>
      </x:c>
      <x:c r="Q217" s="255" t="str">
        <x:f>IF(P217="","",IF(P217="READY","",TRIM(IF(A217="","missing entity_type; ","")&amp;IF(B217="","missing entity_key; ","")&amp;IF(C217="","missing referrer_order; ","")&amp;IF(E217="","missing referrer_type; ","")&amp;IF(F217="","missing referral_origin_channel; ","")&amp;IF(H217="","missing referrer_name_snapshot; ","")&amp;IF(AND(A217="client",COUNTIF('الزبائن'!$A$6:$A$505,B217)=0),"client key not found; ","")&amp;IF(AND(A217="proposed_name",COUNTIF('أسماء مقترحة'!$A$6:$A$505,B217)=0),"proposed_name key not found; ",""))))</x:f>
      </x:c>
    </x:row>
    <x:row r="218">
      <x:c r="A218" s="251"/>
      <x:c r="B218" s="252"/>
      <x:c r="C218" s="253"/>
      <x:c r="D218" s="253"/>
      <x:c r="E218" s="253"/>
      <x:c r="F218" s="253"/>
      <x:c r="G218" s="252"/>
      <x:c r="H218" s="253"/>
      <x:c r="I218" s="272"/>
      <x:c r="J218" s="253"/>
      <x:c r="K218" s="252"/>
      <x:c r="L218" s="253"/>
      <x:c r="M218" s="253"/>
      <x:c r="N218" s="253"/>
      <x:c r="O218" s="253"/>
      <x:c r="P218" s="253" t="str">
        <x:f>IF(AND(A218="",B218="",H218=""),"",IF(OR(A218="",B218="",C218="",E218="",F218="",H218="",AND(A218="client",COUNTIF('الزبائن'!$A$6:$A$505,B218)=0),AND(A218="proposed_name",COUNTIF('أسماء مقترحة'!$A$6:$A$505,B218)=0)),"REVIEW","READY"))</x:f>
      </x:c>
      <x:c r="Q218" s="255" t="str">
        <x:f>IF(P218="","",IF(P218="READY","",TRIM(IF(A218="","missing entity_type; ","")&amp;IF(B218="","missing entity_key; ","")&amp;IF(C218="","missing referrer_order; ","")&amp;IF(E218="","missing referrer_type; ","")&amp;IF(F218="","missing referral_origin_channel; ","")&amp;IF(H218="","missing referrer_name_snapshot; ","")&amp;IF(AND(A218="client",COUNTIF('الزبائن'!$A$6:$A$505,B218)=0),"client key not found; ","")&amp;IF(AND(A218="proposed_name",COUNTIF('أسماء مقترحة'!$A$6:$A$505,B218)=0),"proposed_name key not found; ",""))))</x:f>
      </x:c>
    </x:row>
    <x:row r="219">
      <x:c r="A219" s="251"/>
      <x:c r="B219" s="252"/>
      <x:c r="C219" s="253"/>
      <x:c r="D219" s="253"/>
      <x:c r="E219" s="253"/>
      <x:c r="F219" s="253"/>
      <x:c r="G219" s="252"/>
      <x:c r="H219" s="253"/>
      <x:c r="I219" s="272"/>
      <x:c r="J219" s="253"/>
      <x:c r="K219" s="252"/>
      <x:c r="L219" s="253"/>
      <x:c r="M219" s="253"/>
      <x:c r="N219" s="253"/>
      <x:c r="O219" s="253"/>
      <x:c r="P219" s="253" t="str">
        <x:f>IF(AND(A219="",B219="",H219=""),"",IF(OR(A219="",B219="",C219="",E219="",F219="",H219="",AND(A219="client",COUNTIF('الزبائن'!$A$6:$A$505,B219)=0),AND(A219="proposed_name",COUNTIF('أسماء مقترحة'!$A$6:$A$505,B219)=0)),"REVIEW","READY"))</x:f>
      </x:c>
      <x:c r="Q219" s="255" t="str">
        <x:f>IF(P219="","",IF(P219="READY","",TRIM(IF(A219="","missing entity_type; ","")&amp;IF(B219="","missing entity_key; ","")&amp;IF(C219="","missing referrer_order; ","")&amp;IF(E219="","missing referrer_type; ","")&amp;IF(F219="","missing referral_origin_channel; ","")&amp;IF(H219="","missing referrer_name_snapshot; ","")&amp;IF(AND(A219="client",COUNTIF('الزبائن'!$A$6:$A$505,B219)=0),"client key not found; ","")&amp;IF(AND(A219="proposed_name",COUNTIF('أسماء مقترحة'!$A$6:$A$505,B219)=0),"proposed_name key not found; ",""))))</x:f>
      </x:c>
    </x:row>
    <x:row r="220">
      <x:c r="A220" s="251"/>
      <x:c r="B220" s="252"/>
      <x:c r="C220" s="253"/>
      <x:c r="D220" s="253"/>
      <x:c r="E220" s="253"/>
      <x:c r="F220" s="253"/>
      <x:c r="G220" s="252"/>
      <x:c r="H220" s="253"/>
      <x:c r="I220" s="272"/>
      <x:c r="J220" s="253"/>
      <x:c r="K220" s="252"/>
      <x:c r="L220" s="253"/>
      <x:c r="M220" s="253"/>
      <x:c r="N220" s="253"/>
      <x:c r="O220" s="253"/>
      <x:c r="P220" s="253" t="str">
        <x:f>IF(AND(A220="",B220="",H220=""),"",IF(OR(A220="",B220="",C220="",E220="",F220="",H220="",AND(A220="client",COUNTIF('الزبائن'!$A$6:$A$505,B220)=0),AND(A220="proposed_name",COUNTIF('أسماء مقترحة'!$A$6:$A$505,B220)=0)),"REVIEW","READY"))</x:f>
      </x:c>
      <x:c r="Q220" s="255" t="str">
        <x:f>IF(P220="","",IF(P220="READY","",TRIM(IF(A220="","missing entity_type; ","")&amp;IF(B220="","missing entity_key; ","")&amp;IF(C220="","missing referrer_order; ","")&amp;IF(E220="","missing referrer_type; ","")&amp;IF(F220="","missing referral_origin_channel; ","")&amp;IF(H220="","missing referrer_name_snapshot; ","")&amp;IF(AND(A220="client",COUNTIF('الزبائن'!$A$6:$A$505,B220)=0),"client key not found; ","")&amp;IF(AND(A220="proposed_name",COUNTIF('أسماء مقترحة'!$A$6:$A$505,B220)=0),"proposed_name key not found; ",""))))</x:f>
      </x:c>
    </x:row>
    <x:row r="221">
      <x:c r="A221" s="251"/>
      <x:c r="B221" s="252"/>
      <x:c r="C221" s="253"/>
      <x:c r="D221" s="253"/>
      <x:c r="E221" s="253"/>
      <x:c r="F221" s="253"/>
      <x:c r="G221" s="252"/>
      <x:c r="H221" s="253"/>
      <x:c r="I221" s="272"/>
      <x:c r="J221" s="253"/>
      <x:c r="K221" s="252"/>
      <x:c r="L221" s="253"/>
      <x:c r="M221" s="253"/>
      <x:c r="N221" s="253"/>
      <x:c r="O221" s="253"/>
      <x:c r="P221" s="253" t="str">
        <x:f>IF(AND(A221="",B221="",H221=""),"",IF(OR(A221="",B221="",C221="",E221="",F221="",H221="",AND(A221="client",COUNTIF('الزبائن'!$A$6:$A$505,B221)=0),AND(A221="proposed_name",COUNTIF('أسماء مقترحة'!$A$6:$A$505,B221)=0)),"REVIEW","READY"))</x:f>
      </x:c>
      <x:c r="Q221" s="255" t="str">
        <x:f>IF(P221="","",IF(P221="READY","",TRIM(IF(A221="","missing entity_type; ","")&amp;IF(B221="","missing entity_key; ","")&amp;IF(C221="","missing referrer_order; ","")&amp;IF(E221="","missing referrer_type; ","")&amp;IF(F221="","missing referral_origin_channel; ","")&amp;IF(H221="","missing referrer_name_snapshot; ","")&amp;IF(AND(A221="client",COUNTIF('الزبائن'!$A$6:$A$505,B221)=0),"client key not found; ","")&amp;IF(AND(A221="proposed_name",COUNTIF('أسماء مقترحة'!$A$6:$A$505,B221)=0),"proposed_name key not found; ",""))))</x:f>
      </x:c>
    </x:row>
    <x:row r="222">
      <x:c r="A222" s="251"/>
      <x:c r="B222" s="252"/>
      <x:c r="C222" s="253"/>
      <x:c r="D222" s="253"/>
      <x:c r="E222" s="253"/>
      <x:c r="F222" s="253"/>
      <x:c r="G222" s="252"/>
      <x:c r="H222" s="253"/>
      <x:c r="I222" s="272"/>
      <x:c r="J222" s="253"/>
      <x:c r="K222" s="252"/>
      <x:c r="L222" s="253"/>
      <x:c r="M222" s="253"/>
      <x:c r="N222" s="253"/>
      <x:c r="O222" s="253"/>
      <x:c r="P222" s="253" t="str">
        <x:f>IF(AND(A222="",B222="",H222=""),"",IF(OR(A222="",B222="",C222="",E222="",F222="",H222="",AND(A222="client",COUNTIF('الزبائن'!$A$6:$A$505,B222)=0),AND(A222="proposed_name",COUNTIF('أسماء مقترحة'!$A$6:$A$505,B222)=0)),"REVIEW","READY"))</x:f>
      </x:c>
      <x:c r="Q222" s="255" t="str">
        <x:f>IF(P222="","",IF(P222="READY","",TRIM(IF(A222="","missing entity_type; ","")&amp;IF(B222="","missing entity_key; ","")&amp;IF(C222="","missing referrer_order; ","")&amp;IF(E222="","missing referrer_type; ","")&amp;IF(F222="","missing referral_origin_channel; ","")&amp;IF(H222="","missing referrer_name_snapshot; ","")&amp;IF(AND(A222="client",COUNTIF('الزبائن'!$A$6:$A$505,B222)=0),"client key not found; ","")&amp;IF(AND(A222="proposed_name",COUNTIF('أسماء مقترحة'!$A$6:$A$505,B222)=0),"proposed_name key not found; ",""))))</x:f>
      </x:c>
    </x:row>
    <x:row r="223">
      <x:c r="A223" s="251"/>
      <x:c r="B223" s="252"/>
      <x:c r="C223" s="253"/>
      <x:c r="D223" s="253"/>
      <x:c r="E223" s="253"/>
      <x:c r="F223" s="253"/>
      <x:c r="G223" s="252"/>
      <x:c r="H223" s="253"/>
      <x:c r="I223" s="272"/>
      <x:c r="J223" s="253"/>
      <x:c r="K223" s="252"/>
      <x:c r="L223" s="253"/>
      <x:c r="M223" s="253"/>
      <x:c r="N223" s="253"/>
      <x:c r="O223" s="253"/>
      <x:c r="P223" s="253" t="str">
        <x:f>IF(AND(A223="",B223="",H223=""),"",IF(OR(A223="",B223="",C223="",E223="",F223="",H223="",AND(A223="client",COUNTIF('الزبائن'!$A$6:$A$505,B223)=0),AND(A223="proposed_name",COUNTIF('أسماء مقترحة'!$A$6:$A$505,B223)=0)),"REVIEW","READY"))</x:f>
      </x:c>
      <x:c r="Q223" s="255" t="str">
        <x:f>IF(P223="","",IF(P223="READY","",TRIM(IF(A223="","missing entity_type; ","")&amp;IF(B223="","missing entity_key; ","")&amp;IF(C223="","missing referrer_order; ","")&amp;IF(E223="","missing referrer_type; ","")&amp;IF(F223="","missing referral_origin_channel; ","")&amp;IF(H223="","missing referrer_name_snapshot; ","")&amp;IF(AND(A223="client",COUNTIF('الزبائن'!$A$6:$A$505,B223)=0),"client key not found; ","")&amp;IF(AND(A223="proposed_name",COUNTIF('أسماء مقترحة'!$A$6:$A$505,B223)=0),"proposed_name key not found; ",""))))</x:f>
      </x:c>
    </x:row>
    <x:row r="224">
      <x:c r="A224" s="251"/>
      <x:c r="B224" s="252"/>
      <x:c r="C224" s="253"/>
      <x:c r="D224" s="253"/>
      <x:c r="E224" s="253"/>
      <x:c r="F224" s="253"/>
      <x:c r="G224" s="252"/>
      <x:c r="H224" s="253"/>
      <x:c r="I224" s="272"/>
      <x:c r="J224" s="253"/>
      <x:c r="K224" s="252"/>
      <x:c r="L224" s="253"/>
      <x:c r="M224" s="253"/>
      <x:c r="N224" s="253"/>
      <x:c r="O224" s="253"/>
      <x:c r="P224" s="253" t="str">
        <x:f>IF(AND(A224="",B224="",H224=""),"",IF(OR(A224="",B224="",C224="",E224="",F224="",H224="",AND(A224="client",COUNTIF('الزبائن'!$A$6:$A$505,B224)=0),AND(A224="proposed_name",COUNTIF('أسماء مقترحة'!$A$6:$A$505,B224)=0)),"REVIEW","READY"))</x:f>
      </x:c>
      <x:c r="Q224" s="255" t="str">
        <x:f>IF(P224="","",IF(P224="READY","",TRIM(IF(A224="","missing entity_type; ","")&amp;IF(B224="","missing entity_key; ","")&amp;IF(C224="","missing referrer_order; ","")&amp;IF(E224="","missing referrer_type; ","")&amp;IF(F224="","missing referral_origin_channel; ","")&amp;IF(H224="","missing referrer_name_snapshot; ","")&amp;IF(AND(A224="client",COUNTIF('الزبائن'!$A$6:$A$505,B224)=0),"client key not found; ","")&amp;IF(AND(A224="proposed_name",COUNTIF('أسماء مقترحة'!$A$6:$A$505,B224)=0),"proposed_name key not found; ",""))))</x:f>
      </x:c>
    </x:row>
    <x:row r="225">
      <x:c r="A225" s="251"/>
      <x:c r="B225" s="252"/>
      <x:c r="C225" s="253"/>
      <x:c r="D225" s="253"/>
      <x:c r="E225" s="253"/>
      <x:c r="F225" s="253"/>
      <x:c r="G225" s="252"/>
      <x:c r="H225" s="253"/>
      <x:c r="I225" s="272"/>
      <x:c r="J225" s="253"/>
      <x:c r="K225" s="252"/>
      <x:c r="L225" s="253"/>
      <x:c r="M225" s="253"/>
      <x:c r="N225" s="253"/>
      <x:c r="O225" s="253"/>
      <x:c r="P225" s="253" t="str">
        <x:f>IF(AND(A225="",B225="",H225=""),"",IF(OR(A225="",B225="",C225="",E225="",F225="",H225="",AND(A225="client",COUNTIF('الزبائن'!$A$6:$A$505,B225)=0),AND(A225="proposed_name",COUNTIF('أسماء مقترحة'!$A$6:$A$505,B225)=0)),"REVIEW","READY"))</x:f>
      </x:c>
      <x:c r="Q225" s="255" t="str">
        <x:f>IF(P225="","",IF(P225="READY","",TRIM(IF(A225="","missing entity_type; ","")&amp;IF(B225="","missing entity_key; ","")&amp;IF(C225="","missing referrer_order; ","")&amp;IF(E225="","missing referrer_type; ","")&amp;IF(F225="","missing referral_origin_channel; ","")&amp;IF(H225="","missing referrer_name_snapshot; ","")&amp;IF(AND(A225="client",COUNTIF('الزبائن'!$A$6:$A$505,B225)=0),"client key not found; ","")&amp;IF(AND(A225="proposed_name",COUNTIF('أسماء مقترحة'!$A$6:$A$505,B225)=0),"proposed_name key not found; ",""))))</x:f>
      </x:c>
    </x:row>
    <x:row r="226">
      <x:c r="A226" s="251"/>
      <x:c r="B226" s="252"/>
      <x:c r="C226" s="253"/>
      <x:c r="D226" s="253"/>
      <x:c r="E226" s="253"/>
      <x:c r="F226" s="253"/>
      <x:c r="G226" s="252"/>
      <x:c r="H226" s="253"/>
      <x:c r="I226" s="272"/>
      <x:c r="J226" s="253"/>
      <x:c r="K226" s="252"/>
      <x:c r="L226" s="253"/>
      <x:c r="M226" s="253"/>
      <x:c r="N226" s="253"/>
      <x:c r="O226" s="253"/>
      <x:c r="P226" s="253" t="str">
        <x:f>IF(AND(A226="",B226="",H226=""),"",IF(OR(A226="",B226="",C226="",E226="",F226="",H226="",AND(A226="client",COUNTIF('الزبائن'!$A$6:$A$505,B226)=0),AND(A226="proposed_name",COUNTIF('أسماء مقترحة'!$A$6:$A$505,B226)=0)),"REVIEW","READY"))</x:f>
      </x:c>
      <x:c r="Q226" s="255" t="str">
        <x:f>IF(P226="","",IF(P226="READY","",TRIM(IF(A226="","missing entity_type; ","")&amp;IF(B226="","missing entity_key; ","")&amp;IF(C226="","missing referrer_order; ","")&amp;IF(E226="","missing referrer_type; ","")&amp;IF(F226="","missing referral_origin_channel; ","")&amp;IF(H226="","missing referrer_name_snapshot; ","")&amp;IF(AND(A226="client",COUNTIF('الزبائن'!$A$6:$A$505,B226)=0),"client key not found; ","")&amp;IF(AND(A226="proposed_name",COUNTIF('أسماء مقترحة'!$A$6:$A$505,B226)=0),"proposed_name key not found; ",""))))</x:f>
      </x:c>
    </x:row>
    <x:row r="227">
      <x:c r="A227" s="251"/>
      <x:c r="B227" s="252"/>
      <x:c r="C227" s="253"/>
      <x:c r="D227" s="253"/>
      <x:c r="E227" s="253"/>
      <x:c r="F227" s="253"/>
      <x:c r="G227" s="252"/>
      <x:c r="H227" s="253"/>
      <x:c r="I227" s="272"/>
      <x:c r="J227" s="253"/>
      <x:c r="K227" s="252"/>
      <x:c r="L227" s="253"/>
      <x:c r="M227" s="253"/>
      <x:c r="N227" s="253"/>
      <x:c r="O227" s="253"/>
      <x:c r="P227" s="253" t="str">
        <x:f>IF(AND(A227="",B227="",H227=""),"",IF(OR(A227="",B227="",C227="",E227="",F227="",H227="",AND(A227="client",COUNTIF('الزبائن'!$A$6:$A$505,B227)=0),AND(A227="proposed_name",COUNTIF('أسماء مقترحة'!$A$6:$A$505,B227)=0)),"REVIEW","READY"))</x:f>
      </x:c>
      <x:c r="Q227" s="255" t="str">
        <x:f>IF(P227="","",IF(P227="READY","",TRIM(IF(A227="","missing entity_type; ","")&amp;IF(B227="","missing entity_key; ","")&amp;IF(C227="","missing referrer_order; ","")&amp;IF(E227="","missing referrer_type; ","")&amp;IF(F227="","missing referral_origin_channel; ","")&amp;IF(H227="","missing referrer_name_snapshot; ","")&amp;IF(AND(A227="client",COUNTIF('الزبائن'!$A$6:$A$505,B227)=0),"client key not found; ","")&amp;IF(AND(A227="proposed_name",COUNTIF('أسماء مقترحة'!$A$6:$A$505,B227)=0),"proposed_name key not found; ",""))))</x:f>
      </x:c>
    </x:row>
    <x:row r="228">
      <x:c r="A228" s="251"/>
      <x:c r="B228" s="252"/>
      <x:c r="C228" s="253"/>
      <x:c r="D228" s="253"/>
      <x:c r="E228" s="253"/>
      <x:c r="F228" s="253"/>
      <x:c r="G228" s="252"/>
      <x:c r="H228" s="253"/>
      <x:c r="I228" s="272"/>
      <x:c r="J228" s="253"/>
      <x:c r="K228" s="252"/>
      <x:c r="L228" s="253"/>
      <x:c r="M228" s="253"/>
      <x:c r="N228" s="253"/>
      <x:c r="O228" s="253"/>
      <x:c r="P228" s="253" t="str">
        <x:f>IF(AND(A228="",B228="",H228=""),"",IF(OR(A228="",B228="",C228="",E228="",F228="",H228="",AND(A228="client",COUNTIF('الزبائن'!$A$6:$A$505,B228)=0),AND(A228="proposed_name",COUNTIF('أسماء مقترحة'!$A$6:$A$505,B228)=0)),"REVIEW","READY"))</x:f>
      </x:c>
      <x:c r="Q228" s="255" t="str">
        <x:f>IF(P228="","",IF(P228="READY","",TRIM(IF(A228="","missing entity_type; ","")&amp;IF(B228="","missing entity_key; ","")&amp;IF(C228="","missing referrer_order; ","")&amp;IF(E228="","missing referrer_type; ","")&amp;IF(F228="","missing referral_origin_channel; ","")&amp;IF(H228="","missing referrer_name_snapshot; ","")&amp;IF(AND(A228="client",COUNTIF('الزبائن'!$A$6:$A$505,B228)=0),"client key not found; ","")&amp;IF(AND(A228="proposed_name",COUNTIF('أسماء مقترحة'!$A$6:$A$505,B228)=0),"proposed_name key not found; ",""))))</x:f>
      </x:c>
    </x:row>
    <x:row r="229">
      <x:c r="A229" s="251"/>
      <x:c r="B229" s="252"/>
      <x:c r="C229" s="253"/>
      <x:c r="D229" s="253"/>
      <x:c r="E229" s="253"/>
      <x:c r="F229" s="253"/>
      <x:c r="G229" s="252"/>
      <x:c r="H229" s="253"/>
      <x:c r="I229" s="272"/>
      <x:c r="J229" s="253"/>
      <x:c r="K229" s="252"/>
      <x:c r="L229" s="253"/>
      <x:c r="M229" s="253"/>
      <x:c r="N229" s="253"/>
      <x:c r="O229" s="253"/>
      <x:c r="P229" s="253" t="str">
        <x:f>IF(AND(A229="",B229="",H229=""),"",IF(OR(A229="",B229="",C229="",E229="",F229="",H229="",AND(A229="client",COUNTIF('الزبائن'!$A$6:$A$505,B229)=0),AND(A229="proposed_name",COUNTIF('أسماء مقترحة'!$A$6:$A$505,B229)=0)),"REVIEW","READY"))</x:f>
      </x:c>
      <x:c r="Q229" s="255" t="str">
        <x:f>IF(P229="","",IF(P229="READY","",TRIM(IF(A229="","missing entity_type; ","")&amp;IF(B229="","missing entity_key; ","")&amp;IF(C229="","missing referrer_order; ","")&amp;IF(E229="","missing referrer_type; ","")&amp;IF(F229="","missing referral_origin_channel; ","")&amp;IF(H229="","missing referrer_name_snapshot; ","")&amp;IF(AND(A229="client",COUNTIF('الزبائن'!$A$6:$A$505,B229)=0),"client key not found; ","")&amp;IF(AND(A229="proposed_name",COUNTIF('أسماء مقترحة'!$A$6:$A$505,B229)=0),"proposed_name key not found; ",""))))</x:f>
      </x:c>
    </x:row>
    <x:row r="230">
      <x:c r="A230" s="251"/>
      <x:c r="B230" s="252"/>
      <x:c r="C230" s="253"/>
      <x:c r="D230" s="253"/>
      <x:c r="E230" s="253"/>
      <x:c r="F230" s="253"/>
      <x:c r="G230" s="252"/>
      <x:c r="H230" s="253"/>
      <x:c r="I230" s="272"/>
      <x:c r="J230" s="253"/>
      <x:c r="K230" s="252"/>
      <x:c r="L230" s="253"/>
      <x:c r="M230" s="253"/>
      <x:c r="N230" s="253"/>
      <x:c r="O230" s="253"/>
      <x:c r="P230" s="253" t="str">
        <x:f>IF(AND(A230="",B230="",H230=""),"",IF(OR(A230="",B230="",C230="",E230="",F230="",H230="",AND(A230="client",COUNTIF('الزبائن'!$A$6:$A$505,B230)=0),AND(A230="proposed_name",COUNTIF('أسماء مقترحة'!$A$6:$A$505,B230)=0)),"REVIEW","READY"))</x:f>
      </x:c>
      <x:c r="Q230" s="255" t="str">
        <x:f>IF(P230="","",IF(P230="READY","",TRIM(IF(A230="","missing entity_type; ","")&amp;IF(B230="","missing entity_key; ","")&amp;IF(C230="","missing referrer_order; ","")&amp;IF(E230="","missing referrer_type; ","")&amp;IF(F230="","missing referral_origin_channel; ","")&amp;IF(H230="","missing referrer_name_snapshot; ","")&amp;IF(AND(A230="client",COUNTIF('الزبائن'!$A$6:$A$505,B230)=0),"client key not found; ","")&amp;IF(AND(A230="proposed_name",COUNTIF('أسماء مقترحة'!$A$6:$A$505,B230)=0),"proposed_name key not found; ",""))))</x:f>
      </x:c>
    </x:row>
    <x:row r="231">
      <x:c r="A231" s="251"/>
      <x:c r="B231" s="252"/>
      <x:c r="C231" s="253"/>
      <x:c r="D231" s="253"/>
      <x:c r="E231" s="253"/>
      <x:c r="F231" s="253"/>
      <x:c r="G231" s="252"/>
      <x:c r="H231" s="253"/>
      <x:c r="I231" s="272"/>
      <x:c r="J231" s="253"/>
      <x:c r="K231" s="252"/>
      <x:c r="L231" s="253"/>
      <x:c r="M231" s="253"/>
      <x:c r="N231" s="253"/>
      <x:c r="O231" s="253"/>
      <x:c r="P231" s="253" t="str">
        <x:f>IF(AND(A231="",B231="",H231=""),"",IF(OR(A231="",B231="",C231="",E231="",F231="",H231="",AND(A231="client",COUNTIF('الزبائن'!$A$6:$A$505,B231)=0),AND(A231="proposed_name",COUNTIF('أسماء مقترحة'!$A$6:$A$505,B231)=0)),"REVIEW","READY"))</x:f>
      </x:c>
      <x:c r="Q231" s="255" t="str">
        <x:f>IF(P231="","",IF(P231="READY","",TRIM(IF(A231="","missing entity_type; ","")&amp;IF(B231="","missing entity_key; ","")&amp;IF(C231="","missing referrer_order; ","")&amp;IF(E231="","missing referrer_type; ","")&amp;IF(F231="","missing referral_origin_channel; ","")&amp;IF(H231="","missing referrer_name_snapshot; ","")&amp;IF(AND(A231="client",COUNTIF('الزبائن'!$A$6:$A$505,B231)=0),"client key not found; ","")&amp;IF(AND(A231="proposed_name",COUNTIF('أسماء مقترحة'!$A$6:$A$505,B231)=0),"proposed_name key not found; ",""))))</x:f>
      </x:c>
    </x:row>
    <x:row r="232">
      <x:c r="A232" s="251"/>
      <x:c r="B232" s="252"/>
      <x:c r="C232" s="253"/>
      <x:c r="D232" s="253"/>
      <x:c r="E232" s="253"/>
      <x:c r="F232" s="253"/>
      <x:c r="G232" s="252"/>
      <x:c r="H232" s="253"/>
      <x:c r="I232" s="272"/>
      <x:c r="J232" s="253"/>
      <x:c r="K232" s="252"/>
      <x:c r="L232" s="253"/>
      <x:c r="M232" s="253"/>
      <x:c r="N232" s="253"/>
      <x:c r="O232" s="253"/>
      <x:c r="P232" s="253" t="str">
        <x:f>IF(AND(A232="",B232="",H232=""),"",IF(OR(A232="",B232="",C232="",E232="",F232="",H232="",AND(A232="client",COUNTIF('الزبائن'!$A$6:$A$505,B232)=0),AND(A232="proposed_name",COUNTIF('أسماء مقترحة'!$A$6:$A$505,B232)=0)),"REVIEW","READY"))</x:f>
      </x:c>
      <x:c r="Q232" s="255" t="str">
        <x:f>IF(P232="","",IF(P232="READY","",TRIM(IF(A232="","missing entity_type; ","")&amp;IF(B232="","missing entity_key; ","")&amp;IF(C232="","missing referrer_order; ","")&amp;IF(E232="","missing referrer_type; ","")&amp;IF(F232="","missing referral_origin_channel; ","")&amp;IF(H232="","missing referrer_name_snapshot; ","")&amp;IF(AND(A232="client",COUNTIF('الزبائن'!$A$6:$A$505,B232)=0),"client key not found; ","")&amp;IF(AND(A232="proposed_name",COUNTIF('أسماء مقترحة'!$A$6:$A$505,B232)=0),"proposed_name key not found; ",""))))</x:f>
      </x:c>
    </x:row>
    <x:row r="233">
      <x:c r="A233" s="251"/>
      <x:c r="B233" s="252"/>
      <x:c r="C233" s="253"/>
      <x:c r="D233" s="253"/>
      <x:c r="E233" s="253"/>
      <x:c r="F233" s="253"/>
      <x:c r="G233" s="252"/>
      <x:c r="H233" s="253"/>
      <x:c r="I233" s="272"/>
      <x:c r="J233" s="253"/>
      <x:c r="K233" s="252"/>
      <x:c r="L233" s="253"/>
      <x:c r="M233" s="253"/>
      <x:c r="N233" s="253"/>
      <x:c r="O233" s="253"/>
      <x:c r="P233" s="253" t="str">
        <x:f>IF(AND(A233="",B233="",H233=""),"",IF(OR(A233="",B233="",C233="",E233="",F233="",H233="",AND(A233="client",COUNTIF('الزبائن'!$A$6:$A$505,B233)=0),AND(A233="proposed_name",COUNTIF('أسماء مقترحة'!$A$6:$A$505,B233)=0)),"REVIEW","READY"))</x:f>
      </x:c>
      <x:c r="Q233" s="255" t="str">
        <x:f>IF(P233="","",IF(P233="READY","",TRIM(IF(A233="","missing entity_type; ","")&amp;IF(B233="","missing entity_key; ","")&amp;IF(C233="","missing referrer_order; ","")&amp;IF(E233="","missing referrer_type; ","")&amp;IF(F233="","missing referral_origin_channel; ","")&amp;IF(H233="","missing referrer_name_snapshot; ","")&amp;IF(AND(A233="client",COUNTIF('الزبائن'!$A$6:$A$505,B233)=0),"client key not found; ","")&amp;IF(AND(A233="proposed_name",COUNTIF('أسماء مقترحة'!$A$6:$A$505,B233)=0),"proposed_name key not found; ",""))))</x:f>
      </x:c>
    </x:row>
    <x:row r="234">
      <x:c r="A234" s="251"/>
      <x:c r="B234" s="252"/>
      <x:c r="C234" s="253"/>
      <x:c r="D234" s="253"/>
      <x:c r="E234" s="253"/>
      <x:c r="F234" s="253"/>
      <x:c r="G234" s="252"/>
      <x:c r="H234" s="253"/>
      <x:c r="I234" s="272"/>
      <x:c r="J234" s="253"/>
      <x:c r="K234" s="252"/>
      <x:c r="L234" s="253"/>
      <x:c r="M234" s="253"/>
      <x:c r="N234" s="253"/>
      <x:c r="O234" s="253"/>
      <x:c r="P234" s="253" t="str">
        <x:f>IF(AND(A234="",B234="",H234=""),"",IF(OR(A234="",B234="",C234="",E234="",F234="",H234="",AND(A234="client",COUNTIF('الزبائن'!$A$6:$A$505,B234)=0),AND(A234="proposed_name",COUNTIF('أسماء مقترحة'!$A$6:$A$505,B234)=0)),"REVIEW","READY"))</x:f>
      </x:c>
      <x:c r="Q234" s="255" t="str">
        <x:f>IF(P234="","",IF(P234="READY","",TRIM(IF(A234="","missing entity_type; ","")&amp;IF(B234="","missing entity_key; ","")&amp;IF(C234="","missing referrer_order; ","")&amp;IF(E234="","missing referrer_type; ","")&amp;IF(F234="","missing referral_origin_channel; ","")&amp;IF(H234="","missing referrer_name_snapshot; ","")&amp;IF(AND(A234="client",COUNTIF('الزبائن'!$A$6:$A$505,B234)=0),"client key not found; ","")&amp;IF(AND(A234="proposed_name",COUNTIF('أسماء مقترحة'!$A$6:$A$505,B234)=0),"proposed_name key not found; ",""))))</x:f>
      </x:c>
    </x:row>
    <x:row r="235">
      <x:c r="A235" s="251"/>
      <x:c r="B235" s="252"/>
      <x:c r="C235" s="253"/>
      <x:c r="D235" s="253"/>
      <x:c r="E235" s="253"/>
      <x:c r="F235" s="253"/>
      <x:c r="G235" s="252"/>
      <x:c r="H235" s="253"/>
      <x:c r="I235" s="272"/>
      <x:c r="J235" s="253"/>
      <x:c r="K235" s="252"/>
      <x:c r="L235" s="253"/>
      <x:c r="M235" s="253"/>
      <x:c r="N235" s="253"/>
      <x:c r="O235" s="253"/>
      <x:c r="P235" s="253" t="str">
        <x:f>IF(AND(A235="",B235="",H235=""),"",IF(OR(A235="",B235="",C235="",E235="",F235="",H235="",AND(A235="client",COUNTIF('الزبائن'!$A$6:$A$505,B235)=0),AND(A235="proposed_name",COUNTIF('أسماء مقترحة'!$A$6:$A$505,B235)=0)),"REVIEW","READY"))</x:f>
      </x:c>
      <x:c r="Q235" s="255" t="str">
        <x:f>IF(P235="","",IF(P235="READY","",TRIM(IF(A235="","missing entity_type; ","")&amp;IF(B235="","missing entity_key; ","")&amp;IF(C235="","missing referrer_order; ","")&amp;IF(E235="","missing referrer_type; ","")&amp;IF(F235="","missing referral_origin_channel; ","")&amp;IF(H235="","missing referrer_name_snapshot; ","")&amp;IF(AND(A235="client",COUNTIF('الزبائن'!$A$6:$A$505,B235)=0),"client key not found; ","")&amp;IF(AND(A235="proposed_name",COUNTIF('أسماء مقترحة'!$A$6:$A$505,B235)=0),"proposed_name key not found; ",""))))</x:f>
      </x:c>
    </x:row>
    <x:row r="236">
      <x:c r="A236" s="251"/>
      <x:c r="B236" s="252"/>
      <x:c r="C236" s="253"/>
      <x:c r="D236" s="253"/>
      <x:c r="E236" s="253"/>
      <x:c r="F236" s="253"/>
      <x:c r="G236" s="252"/>
      <x:c r="H236" s="253"/>
      <x:c r="I236" s="272"/>
      <x:c r="J236" s="253"/>
      <x:c r="K236" s="252"/>
      <x:c r="L236" s="253"/>
      <x:c r="M236" s="253"/>
      <x:c r="N236" s="253"/>
      <x:c r="O236" s="253"/>
      <x:c r="P236" s="253" t="str">
        <x:f>IF(AND(A236="",B236="",H236=""),"",IF(OR(A236="",B236="",C236="",E236="",F236="",H236="",AND(A236="client",COUNTIF('الزبائن'!$A$6:$A$505,B236)=0),AND(A236="proposed_name",COUNTIF('أسماء مقترحة'!$A$6:$A$505,B236)=0)),"REVIEW","READY"))</x:f>
      </x:c>
      <x:c r="Q236" s="255" t="str">
        <x:f>IF(P236="","",IF(P236="READY","",TRIM(IF(A236="","missing entity_type; ","")&amp;IF(B236="","missing entity_key; ","")&amp;IF(C236="","missing referrer_order; ","")&amp;IF(E236="","missing referrer_type; ","")&amp;IF(F236="","missing referral_origin_channel; ","")&amp;IF(H236="","missing referrer_name_snapshot; ","")&amp;IF(AND(A236="client",COUNTIF('الزبائن'!$A$6:$A$505,B236)=0),"client key not found; ","")&amp;IF(AND(A236="proposed_name",COUNTIF('أسماء مقترحة'!$A$6:$A$505,B236)=0),"proposed_name key not found; ",""))))</x:f>
      </x:c>
    </x:row>
    <x:row r="237">
      <x:c r="A237" s="251"/>
      <x:c r="B237" s="252"/>
      <x:c r="C237" s="253"/>
      <x:c r="D237" s="253"/>
      <x:c r="E237" s="253"/>
      <x:c r="F237" s="253"/>
      <x:c r="G237" s="252"/>
      <x:c r="H237" s="253"/>
      <x:c r="I237" s="272"/>
      <x:c r="J237" s="253"/>
      <x:c r="K237" s="252"/>
      <x:c r="L237" s="253"/>
      <x:c r="M237" s="253"/>
      <x:c r="N237" s="253"/>
      <x:c r="O237" s="253"/>
      <x:c r="P237" s="253" t="str">
        <x:f>IF(AND(A237="",B237="",H237=""),"",IF(OR(A237="",B237="",C237="",E237="",F237="",H237="",AND(A237="client",COUNTIF('الزبائن'!$A$6:$A$505,B237)=0),AND(A237="proposed_name",COUNTIF('أسماء مقترحة'!$A$6:$A$505,B237)=0)),"REVIEW","READY"))</x:f>
      </x:c>
      <x:c r="Q237" s="255" t="str">
        <x:f>IF(P237="","",IF(P237="READY","",TRIM(IF(A237="","missing entity_type; ","")&amp;IF(B237="","missing entity_key; ","")&amp;IF(C237="","missing referrer_order; ","")&amp;IF(E237="","missing referrer_type; ","")&amp;IF(F237="","missing referral_origin_channel; ","")&amp;IF(H237="","missing referrer_name_snapshot; ","")&amp;IF(AND(A237="client",COUNTIF('الزبائن'!$A$6:$A$505,B237)=0),"client key not found; ","")&amp;IF(AND(A237="proposed_name",COUNTIF('أسماء مقترحة'!$A$6:$A$505,B237)=0),"proposed_name key not found; ",""))))</x:f>
      </x:c>
    </x:row>
    <x:row r="238">
      <x:c r="A238" s="251"/>
      <x:c r="B238" s="252"/>
      <x:c r="C238" s="253"/>
      <x:c r="D238" s="253"/>
      <x:c r="E238" s="253"/>
      <x:c r="F238" s="253"/>
      <x:c r="G238" s="252"/>
      <x:c r="H238" s="253"/>
      <x:c r="I238" s="272"/>
      <x:c r="J238" s="253"/>
      <x:c r="K238" s="252"/>
      <x:c r="L238" s="253"/>
      <x:c r="M238" s="253"/>
      <x:c r="N238" s="253"/>
      <x:c r="O238" s="253"/>
      <x:c r="P238" s="253" t="str">
        <x:f>IF(AND(A238="",B238="",H238=""),"",IF(OR(A238="",B238="",C238="",E238="",F238="",H238="",AND(A238="client",COUNTIF('الزبائن'!$A$6:$A$505,B238)=0),AND(A238="proposed_name",COUNTIF('أسماء مقترحة'!$A$6:$A$505,B238)=0)),"REVIEW","READY"))</x:f>
      </x:c>
      <x:c r="Q238" s="255" t="str">
        <x:f>IF(P238="","",IF(P238="READY","",TRIM(IF(A238="","missing entity_type; ","")&amp;IF(B238="","missing entity_key; ","")&amp;IF(C238="","missing referrer_order; ","")&amp;IF(E238="","missing referrer_type; ","")&amp;IF(F238="","missing referral_origin_channel; ","")&amp;IF(H238="","missing referrer_name_snapshot; ","")&amp;IF(AND(A238="client",COUNTIF('الزبائن'!$A$6:$A$505,B238)=0),"client key not found; ","")&amp;IF(AND(A238="proposed_name",COUNTIF('أسماء مقترحة'!$A$6:$A$505,B238)=0),"proposed_name key not found; ",""))))</x:f>
      </x:c>
    </x:row>
    <x:row r="239">
      <x:c r="A239" s="251"/>
      <x:c r="B239" s="252"/>
      <x:c r="C239" s="253"/>
      <x:c r="D239" s="253"/>
      <x:c r="E239" s="253"/>
      <x:c r="F239" s="253"/>
      <x:c r="G239" s="252"/>
      <x:c r="H239" s="253"/>
      <x:c r="I239" s="272"/>
      <x:c r="J239" s="253"/>
      <x:c r="K239" s="252"/>
      <x:c r="L239" s="253"/>
      <x:c r="M239" s="253"/>
      <x:c r="N239" s="253"/>
      <x:c r="O239" s="253"/>
      <x:c r="P239" s="253" t="str">
        <x:f>IF(AND(A239="",B239="",H239=""),"",IF(OR(A239="",B239="",C239="",E239="",F239="",H239="",AND(A239="client",COUNTIF('الزبائن'!$A$6:$A$505,B239)=0),AND(A239="proposed_name",COUNTIF('أسماء مقترحة'!$A$6:$A$505,B239)=0)),"REVIEW","READY"))</x:f>
      </x:c>
      <x:c r="Q239" s="255" t="str">
        <x:f>IF(P239="","",IF(P239="READY","",TRIM(IF(A239="","missing entity_type; ","")&amp;IF(B239="","missing entity_key; ","")&amp;IF(C239="","missing referrer_order; ","")&amp;IF(E239="","missing referrer_type; ","")&amp;IF(F239="","missing referral_origin_channel; ","")&amp;IF(H239="","missing referrer_name_snapshot; ","")&amp;IF(AND(A239="client",COUNTIF('الزبائن'!$A$6:$A$505,B239)=0),"client key not found; ","")&amp;IF(AND(A239="proposed_name",COUNTIF('أسماء مقترحة'!$A$6:$A$505,B239)=0),"proposed_name key not found; ",""))))</x:f>
      </x:c>
    </x:row>
    <x:row r="240">
      <x:c r="A240" s="251"/>
      <x:c r="B240" s="252"/>
      <x:c r="C240" s="253"/>
      <x:c r="D240" s="253"/>
      <x:c r="E240" s="253"/>
      <x:c r="F240" s="253"/>
      <x:c r="G240" s="252"/>
      <x:c r="H240" s="253"/>
      <x:c r="I240" s="272"/>
      <x:c r="J240" s="253"/>
      <x:c r="K240" s="252"/>
      <x:c r="L240" s="253"/>
      <x:c r="M240" s="253"/>
      <x:c r="N240" s="253"/>
      <x:c r="O240" s="253"/>
      <x:c r="P240" s="253" t="str">
        <x:f>IF(AND(A240="",B240="",H240=""),"",IF(OR(A240="",B240="",C240="",E240="",F240="",H240="",AND(A240="client",COUNTIF('الزبائن'!$A$6:$A$505,B240)=0),AND(A240="proposed_name",COUNTIF('أسماء مقترحة'!$A$6:$A$505,B240)=0)),"REVIEW","READY"))</x:f>
      </x:c>
      <x:c r="Q240" s="255" t="str">
        <x:f>IF(P240="","",IF(P240="READY","",TRIM(IF(A240="","missing entity_type; ","")&amp;IF(B240="","missing entity_key; ","")&amp;IF(C240="","missing referrer_order; ","")&amp;IF(E240="","missing referrer_type; ","")&amp;IF(F240="","missing referral_origin_channel; ","")&amp;IF(H240="","missing referrer_name_snapshot; ","")&amp;IF(AND(A240="client",COUNTIF('الزبائن'!$A$6:$A$505,B240)=0),"client key not found; ","")&amp;IF(AND(A240="proposed_name",COUNTIF('أسماء مقترحة'!$A$6:$A$505,B240)=0),"proposed_name key not found; ",""))))</x:f>
      </x:c>
    </x:row>
    <x:row r="241">
      <x:c r="A241" s="251"/>
      <x:c r="B241" s="252"/>
      <x:c r="C241" s="253"/>
      <x:c r="D241" s="253"/>
      <x:c r="E241" s="253"/>
      <x:c r="F241" s="253"/>
      <x:c r="G241" s="252"/>
      <x:c r="H241" s="253"/>
      <x:c r="I241" s="272"/>
      <x:c r="J241" s="253"/>
      <x:c r="K241" s="252"/>
      <x:c r="L241" s="253"/>
      <x:c r="M241" s="253"/>
      <x:c r="N241" s="253"/>
      <x:c r="O241" s="253"/>
      <x:c r="P241" s="253" t="str">
        <x:f>IF(AND(A241="",B241="",H241=""),"",IF(OR(A241="",B241="",C241="",E241="",F241="",H241="",AND(A241="client",COUNTIF('الزبائن'!$A$6:$A$505,B241)=0),AND(A241="proposed_name",COUNTIF('أسماء مقترحة'!$A$6:$A$505,B241)=0)),"REVIEW","READY"))</x:f>
      </x:c>
      <x:c r="Q241" s="255" t="str">
        <x:f>IF(P241="","",IF(P241="READY","",TRIM(IF(A241="","missing entity_type; ","")&amp;IF(B241="","missing entity_key; ","")&amp;IF(C241="","missing referrer_order; ","")&amp;IF(E241="","missing referrer_type; ","")&amp;IF(F241="","missing referral_origin_channel; ","")&amp;IF(H241="","missing referrer_name_snapshot; ","")&amp;IF(AND(A241="client",COUNTIF('الزبائن'!$A$6:$A$505,B241)=0),"client key not found; ","")&amp;IF(AND(A241="proposed_name",COUNTIF('أسماء مقترحة'!$A$6:$A$505,B241)=0),"proposed_name key not found; ",""))))</x:f>
      </x:c>
    </x:row>
    <x:row r="242">
      <x:c r="A242" s="251"/>
      <x:c r="B242" s="252"/>
      <x:c r="C242" s="253"/>
      <x:c r="D242" s="253"/>
      <x:c r="E242" s="253"/>
      <x:c r="F242" s="253"/>
      <x:c r="G242" s="252"/>
      <x:c r="H242" s="253"/>
      <x:c r="I242" s="272"/>
      <x:c r="J242" s="253"/>
      <x:c r="K242" s="252"/>
      <x:c r="L242" s="253"/>
      <x:c r="M242" s="253"/>
      <x:c r="N242" s="253"/>
      <x:c r="O242" s="253"/>
      <x:c r="P242" s="253" t="str">
        <x:f>IF(AND(A242="",B242="",H242=""),"",IF(OR(A242="",B242="",C242="",E242="",F242="",H242="",AND(A242="client",COUNTIF('الزبائن'!$A$6:$A$505,B242)=0),AND(A242="proposed_name",COUNTIF('أسماء مقترحة'!$A$6:$A$505,B242)=0)),"REVIEW","READY"))</x:f>
      </x:c>
      <x:c r="Q242" s="255" t="str">
        <x:f>IF(P242="","",IF(P242="READY","",TRIM(IF(A242="","missing entity_type; ","")&amp;IF(B242="","missing entity_key; ","")&amp;IF(C242="","missing referrer_order; ","")&amp;IF(E242="","missing referrer_type; ","")&amp;IF(F242="","missing referral_origin_channel; ","")&amp;IF(H242="","missing referrer_name_snapshot; ","")&amp;IF(AND(A242="client",COUNTIF('الزبائن'!$A$6:$A$505,B242)=0),"client key not found; ","")&amp;IF(AND(A242="proposed_name",COUNTIF('أسماء مقترحة'!$A$6:$A$505,B242)=0),"proposed_name key not found; ",""))))</x:f>
      </x:c>
    </x:row>
    <x:row r="243">
      <x:c r="A243" s="251"/>
      <x:c r="B243" s="252"/>
      <x:c r="C243" s="253"/>
      <x:c r="D243" s="253"/>
      <x:c r="E243" s="253"/>
      <x:c r="F243" s="253"/>
      <x:c r="G243" s="252"/>
      <x:c r="H243" s="253"/>
      <x:c r="I243" s="272"/>
      <x:c r="J243" s="253"/>
      <x:c r="K243" s="252"/>
      <x:c r="L243" s="253"/>
      <x:c r="M243" s="253"/>
      <x:c r="N243" s="253"/>
      <x:c r="O243" s="253"/>
      <x:c r="P243" s="253" t="str">
        <x:f>IF(AND(A243="",B243="",H243=""),"",IF(OR(A243="",B243="",C243="",E243="",F243="",H243="",AND(A243="client",COUNTIF('الزبائن'!$A$6:$A$505,B243)=0),AND(A243="proposed_name",COUNTIF('أسماء مقترحة'!$A$6:$A$505,B243)=0)),"REVIEW","READY"))</x:f>
      </x:c>
      <x:c r="Q243" s="255" t="str">
        <x:f>IF(P243="","",IF(P243="READY","",TRIM(IF(A243="","missing entity_type; ","")&amp;IF(B243="","missing entity_key; ","")&amp;IF(C243="","missing referrer_order; ","")&amp;IF(E243="","missing referrer_type; ","")&amp;IF(F243="","missing referral_origin_channel; ","")&amp;IF(H243="","missing referrer_name_snapshot; ","")&amp;IF(AND(A243="client",COUNTIF('الزبائن'!$A$6:$A$505,B243)=0),"client key not found; ","")&amp;IF(AND(A243="proposed_name",COUNTIF('أسماء مقترحة'!$A$6:$A$505,B243)=0),"proposed_name key not found; ",""))))</x:f>
      </x:c>
    </x:row>
    <x:row r="244">
      <x:c r="A244" s="251"/>
      <x:c r="B244" s="252"/>
      <x:c r="C244" s="253"/>
      <x:c r="D244" s="253"/>
      <x:c r="E244" s="253"/>
      <x:c r="F244" s="253"/>
      <x:c r="G244" s="252"/>
      <x:c r="H244" s="253"/>
      <x:c r="I244" s="272"/>
      <x:c r="J244" s="253"/>
      <x:c r="K244" s="252"/>
      <x:c r="L244" s="253"/>
      <x:c r="M244" s="253"/>
      <x:c r="N244" s="253"/>
      <x:c r="O244" s="253"/>
      <x:c r="P244" s="253" t="str">
        <x:f>IF(AND(A244="",B244="",H244=""),"",IF(OR(A244="",B244="",C244="",E244="",F244="",H244="",AND(A244="client",COUNTIF('الزبائن'!$A$6:$A$505,B244)=0),AND(A244="proposed_name",COUNTIF('أسماء مقترحة'!$A$6:$A$505,B244)=0)),"REVIEW","READY"))</x:f>
      </x:c>
      <x:c r="Q244" s="255" t="str">
        <x:f>IF(P244="","",IF(P244="READY","",TRIM(IF(A244="","missing entity_type; ","")&amp;IF(B244="","missing entity_key; ","")&amp;IF(C244="","missing referrer_order; ","")&amp;IF(E244="","missing referrer_type; ","")&amp;IF(F244="","missing referral_origin_channel; ","")&amp;IF(H244="","missing referrer_name_snapshot; ","")&amp;IF(AND(A244="client",COUNTIF('الزبائن'!$A$6:$A$505,B244)=0),"client key not found; ","")&amp;IF(AND(A244="proposed_name",COUNTIF('أسماء مقترحة'!$A$6:$A$505,B244)=0),"proposed_name key not found; ",""))))</x:f>
      </x:c>
    </x:row>
    <x:row r="245">
      <x:c r="A245" s="251"/>
      <x:c r="B245" s="252"/>
      <x:c r="C245" s="253"/>
      <x:c r="D245" s="253"/>
      <x:c r="E245" s="253"/>
      <x:c r="F245" s="253"/>
      <x:c r="G245" s="252"/>
      <x:c r="H245" s="253"/>
      <x:c r="I245" s="272"/>
      <x:c r="J245" s="253"/>
      <x:c r="K245" s="252"/>
      <x:c r="L245" s="253"/>
      <x:c r="M245" s="253"/>
      <x:c r="N245" s="253"/>
      <x:c r="O245" s="253"/>
      <x:c r="P245" s="253" t="str">
        <x:f>IF(AND(A245="",B245="",H245=""),"",IF(OR(A245="",B245="",C245="",E245="",F245="",H245="",AND(A245="client",COUNTIF('الزبائن'!$A$6:$A$505,B245)=0),AND(A245="proposed_name",COUNTIF('أسماء مقترحة'!$A$6:$A$505,B245)=0)),"REVIEW","READY"))</x:f>
      </x:c>
      <x:c r="Q245" s="255" t="str">
        <x:f>IF(P245="","",IF(P245="READY","",TRIM(IF(A245="","missing entity_type; ","")&amp;IF(B245="","missing entity_key; ","")&amp;IF(C245="","missing referrer_order; ","")&amp;IF(E245="","missing referrer_type; ","")&amp;IF(F245="","missing referral_origin_channel; ","")&amp;IF(H245="","missing referrer_name_snapshot; ","")&amp;IF(AND(A245="client",COUNTIF('الزبائن'!$A$6:$A$505,B245)=0),"client key not found; ","")&amp;IF(AND(A245="proposed_name",COUNTIF('أسماء مقترحة'!$A$6:$A$505,B245)=0),"proposed_name key not found; ",""))))</x:f>
      </x:c>
    </x:row>
    <x:row r="246">
      <x:c r="A246" s="251"/>
      <x:c r="B246" s="252"/>
      <x:c r="C246" s="253"/>
      <x:c r="D246" s="253"/>
      <x:c r="E246" s="253"/>
      <x:c r="F246" s="253"/>
      <x:c r="G246" s="252"/>
      <x:c r="H246" s="253"/>
      <x:c r="I246" s="272"/>
      <x:c r="J246" s="253"/>
      <x:c r="K246" s="252"/>
      <x:c r="L246" s="253"/>
      <x:c r="M246" s="253"/>
      <x:c r="N246" s="253"/>
      <x:c r="O246" s="253"/>
      <x:c r="P246" s="253" t="str">
        <x:f>IF(AND(A246="",B246="",H246=""),"",IF(OR(A246="",B246="",C246="",E246="",F246="",H246="",AND(A246="client",COUNTIF('الزبائن'!$A$6:$A$505,B246)=0),AND(A246="proposed_name",COUNTIF('أسماء مقترحة'!$A$6:$A$505,B246)=0)),"REVIEW","READY"))</x:f>
      </x:c>
      <x:c r="Q246" s="255" t="str">
        <x:f>IF(P246="","",IF(P246="READY","",TRIM(IF(A246="","missing entity_type; ","")&amp;IF(B246="","missing entity_key; ","")&amp;IF(C246="","missing referrer_order; ","")&amp;IF(E246="","missing referrer_type; ","")&amp;IF(F246="","missing referral_origin_channel; ","")&amp;IF(H246="","missing referrer_name_snapshot; ","")&amp;IF(AND(A246="client",COUNTIF('الزبائن'!$A$6:$A$505,B246)=0),"client key not found; ","")&amp;IF(AND(A246="proposed_name",COUNTIF('أسماء مقترحة'!$A$6:$A$505,B246)=0),"proposed_name key not found; ",""))))</x:f>
      </x:c>
    </x:row>
    <x:row r="247">
      <x:c r="A247" s="251"/>
      <x:c r="B247" s="252"/>
      <x:c r="C247" s="253"/>
      <x:c r="D247" s="253"/>
      <x:c r="E247" s="253"/>
      <x:c r="F247" s="253"/>
      <x:c r="G247" s="252"/>
      <x:c r="H247" s="253"/>
      <x:c r="I247" s="272"/>
      <x:c r="J247" s="253"/>
      <x:c r="K247" s="252"/>
      <x:c r="L247" s="253"/>
      <x:c r="M247" s="253"/>
      <x:c r="N247" s="253"/>
      <x:c r="O247" s="253"/>
      <x:c r="P247" s="253" t="str">
        <x:f>IF(AND(A247="",B247="",H247=""),"",IF(OR(A247="",B247="",C247="",E247="",F247="",H247="",AND(A247="client",COUNTIF('الزبائن'!$A$6:$A$505,B247)=0),AND(A247="proposed_name",COUNTIF('أسماء مقترحة'!$A$6:$A$505,B247)=0)),"REVIEW","READY"))</x:f>
      </x:c>
      <x:c r="Q247" s="255" t="str">
        <x:f>IF(P247="","",IF(P247="READY","",TRIM(IF(A247="","missing entity_type; ","")&amp;IF(B247="","missing entity_key; ","")&amp;IF(C247="","missing referrer_order; ","")&amp;IF(E247="","missing referrer_type; ","")&amp;IF(F247="","missing referral_origin_channel; ","")&amp;IF(H247="","missing referrer_name_snapshot; ","")&amp;IF(AND(A247="client",COUNTIF('الزبائن'!$A$6:$A$505,B247)=0),"client key not found; ","")&amp;IF(AND(A247="proposed_name",COUNTIF('أسماء مقترحة'!$A$6:$A$505,B247)=0),"proposed_name key not found; ",""))))</x:f>
      </x:c>
    </x:row>
    <x:row r="248">
      <x:c r="A248" s="251"/>
      <x:c r="B248" s="252"/>
      <x:c r="C248" s="253"/>
      <x:c r="D248" s="253"/>
      <x:c r="E248" s="253"/>
      <x:c r="F248" s="253"/>
      <x:c r="G248" s="252"/>
      <x:c r="H248" s="253"/>
      <x:c r="I248" s="272"/>
      <x:c r="J248" s="253"/>
      <x:c r="K248" s="252"/>
      <x:c r="L248" s="253"/>
      <x:c r="M248" s="253"/>
      <x:c r="N248" s="253"/>
      <x:c r="O248" s="253"/>
      <x:c r="P248" s="253" t="str">
        <x:f>IF(AND(A248="",B248="",H248=""),"",IF(OR(A248="",B248="",C248="",E248="",F248="",H248="",AND(A248="client",COUNTIF('الزبائن'!$A$6:$A$505,B248)=0),AND(A248="proposed_name",COUNTIF('أسماء مقترحة'!$A$6:$A$505,B248)=0)),"REVIEW","READY"))</x:f>
      </x:c>
      <x:c r="Q248" s="255" t="str">
        <x:f>IF(P248="","",IF(P248="READY","",TRIM(IF(A248="","missing entity_type; ","")&amp;IF(B248="","missing entity_key; ","")&amp;IF(C248="","missing referrer_order; ","")&amp;IF(E248="","missing referrer_type; ","")&amp;IF(F248="","missing referral_origin_channel; ","")&amp;IF(H248="","missing referrer_name_snapshot; ","")&amp;IF(AND(A248="client",COUNTIF('الزبائن'!$A$6:$A$505,B248)=0),"client key not found; ","")&amp;IF(AND(A248="proposed_name",COUNTIF('أسماء مقترحة'!$A$6:$A$505,B248)=0),"proposed_name key not found; ",""))))</x:f>
      </x:c>
    </x:row>
    <x:row r="249">
      <x:c r="A249" s="251"/>
      <x:c r="B249" s="252"/>
      <x:c r="C249" s="253"/>
      <x:c r="D249" s="253"/>
      <x:c r="E249" s="253"/>
      <x:c r="F249" s="253"/>
      <x:c r="G249" s="252"/>
      <x:c r="H249" s="253"/>
      <x:c r="I249" s="272"/>
      <x:c r="J249" s="253"/>
      <x:c r="K249" s="252"/>
      <x:c r="L249" s="253"/>
      <x:c r="M249" s="253"/>
      <x:c r="N249" s="253"/>
      <x:c r="O249" s="253"/>
      <x:c r="P249" s="253" t="str">
        <x:f>IF(AND(A249="",B249="",H249=""),"",IF(OR(A249="",B249="",C249="",E249="",F249="",H249="",AND(A249="client",COUNTIF('الزبائن'!$A$6:$A$505,B249)=0),AND(A249="proposed_name",COUNTIF('أسماء مقترحة'!$A$6:$A$505,B249)=0)),"REVIEW","READY"))</x:f>
      </x:c>
      <x:c r="Q249" s="255" t="str">
        <x:f>IF(P249="","",IF(P249="READY","",TRIM(IF(A249="","missing entity_type; ","")&amp;IF(B249="","missing entity_key; ","")&amp;IF(C249="","missing referrer_order; ","")&amp;IF(E249="","missing referrer_type; ","")&amp;IF(F249="","missing referral_origin_channel; ","")&amp;IF(H249="","missing referrer_name_snapshot; ","")&amp;IF(AND(A249="client",COUNTIF('الزبائن'!$A$6:$A$505,B249)=0),"client key not found; ","")&amp;IF(AND(A249="proposed_name",COUNTIF('أسماء مقترحة'!$A$6:$A$505,B249)=0),"proposed_name key not found; ",""))))</x:f>
      </x:c>
    </x:row>
    <x:row r="250">
      <x:c r="A250" s="251"/>
      <x:c r="B250" s="252"/>
      <x:c r="C250" s="253"/>
      <x:c r="D250" s="253"/>
      <x:c r="E250" s="253"/>
      <x:c r="F250" s="253"/>
      <x:c r="G250" s="252"/>
      <x:c r="H250" s="253"/>
      <x:c r="I250" s="272"/>
      <x:c r="J250" s="253"/>
      <x:c r="K250" s="252"/>
      <x:c r="L250" s="253"/>
      <x:c r="M250" s="253"/>
      <x:c r="N250" s="253"/>
      <x:c r="O250" s="253"/>
      <x:c r="P250" s="253" t="str">
        <x:f>IF(AND(A250="",B250="",H250=""),"",IF(OR(A250="",B250="",C250="",E250="",F250="",H250="",AND(A250="client",COUNTIF('الزبائن'!$A$6:$A$505,B250)=0),AND(A250="proposed_name",COUNTIF('أسماء مقترحة'!$A$6:$A$505,B250)=0)),"REVIEW","READY"))</x:f>
      </x:c>
      <x:c r="Q250" s="255" t="str">
        <x:f>IF(P250="","",IF(P250="READY","",TRIM(IF(A250="","missing entity_type; ","")&amp;IF(B250="","missing entity_key; ","")&amp;IF(C250="","missing referrer_order; ","")&amp;IF(E250="","missing referrer_type; ","")&amp;IF(F250="","missing referral_origin_channel; ","")&amp;IF(H250="","missing referrer_name_snapshot; ","")&amp;IF(AND(A250="client",COUNTIF('الزبائن'!$A$6:$A$505,B250)=0),"client key not found; ","")&amp;IF(AND(A250="proposed_name",COUNTIF('أسماء مقترحة'!$A$6:$A$505,B250)=0),"proposed_name key not found; ",""))))</x:f>
      </x:c>
    </x:row>
    <x:row r="251">
      <x:c r="A251" s="251"/>
      <x:c r="B251" s="252"/>
      <x:c r="C251" s="253"/>
      <x:c r="D251" s="253"/>
      <x:c r="E251" s="253"/>
      <x:c r="F251" s="253"/>
      <x:c r="G251" s="252"/>
      <x:c r="H251" s="253"/>
      <x:c r="I251" s="272"/>
      <x:c r="J251" s="253"/>
      <x:c r="K251" s="252"/>
      <x:c r="L251" s="253"/>
      <x:c r="M251" s="253"/>
      <x:c r="N251" s="253"/>
      <x:c r="O251" s="253"/>
      <x:c r="P251" s="253" t="str">
        <x:f>IF(AND(A251="",B251="",H251=""),"",IF(OR(A251="",B251="",C251="",E251="",F251="",H251="",AND(A251="client",COUNTIF('الزبائن'!$A$6:$A$505,B251)=0),AND(A251="proposed_name",COUNTIF('أسماء مقترحة'!$A$6:$A$505,B251)=0)),"REVIEW","READY"))</x:f>
      </x:c>
      <x:c r="Q251" s="255" t="str">
        <x:f>IF(P251="","",IF(P251="READY","",TRIM(IF(A251="","missing entity_type; ","")&amp;IF(B251="","missing entity_key; ","")&amp;IF(C251="","missing referrer_order; ","")&amp;IF(E251="","missing referrer_type; ","")&amp;IF(F251="","missing referral_origin_channel; ","")&amp;IF(H251="","missing referrer_name_snapshot; ","")&amp;IF(AND(A251="client",COUNTIF('الزبائن'!$A$6:$A$505,B251)=0),"client key not found; ","")&amp;IF(AND(A251="proposed_name",COUNTIF('أسماء مقترحة'!$A$6:$A$505,B251)=0),"proposed_name key not found; ",""))))</x:f>
      </x:c>
    </x:row>
    <x:row r="252">
      <x:c r="A252" s="251"/>
      <x:c r="B252" s="252"/>
      <x:c r="C252" s="253"/>
      <x:c r="D252" s="253"/>
      <x:c r="E252" s="253"/>
      <x:c r="F252" s="253"/>
      <x:c r="G252" s="252"/>
      <x:c r="H252" s="253"/>
      <x:c r="I252" s="272"/>
      <x:c r="J252" s="253"/>
      <x:c r="K252" s="252"/>
      <x:c r="L252" s="253"/>
      <x:c r="M252" s="253"/>
      <x:c r="N252" s="253"/>
      <x:c r="O252" s="253"/>
      <x:c r="P252" s="253" t="str">
        <x:f>IF(AND(A252="",B252="",H252=""),"",IF(OR(A252="",B252="",C252="",E252="",F252="",H252="",AND(A252="client",COUNTIF('الزبائن'!$A$6:$A$505,B252)=0),AND(A252="proposed_name",COUNTIF('أسماء مقترحة'!$A$6:$A$505,B252)=0)),"REVIEW","READY"))</x:f>
      </x:c>
      <x:c r="Q252" s="255" t="str">
        <x:f>IF(P252="","",IF(P252="READY","",TRIM(IF(A252="","missing entity_type; ","")&amp;IF(B252="","missing entity_key; ","")&amp;IF(C252="","missing referrer_order; ","")&amp;IF(E252="","missing referrer_type; ","")&amp;IF(F252="","missing referral_origin_channel; ","")&amp;IF(H252="","missing referrer_name_snapshot; ","")&amp;IF(AND(A252="client",COUNTIF('الزبائن'!$A$6:$A$505,B252)=0),"client key not found; ","")&amp;IF(AND(A252="proposed_name",COUNTIF('أسماء مقترحة'!$A$6:$A$505,B252)=0),"proposed_name key not found; ",""))))</x:f>
      </x:c>
    </x:row>
    <x:row r="253">
      <x:c r="A253" s="251"/>
      <x:c r="B253" s="252"/>
      <x:c r="C253" s="253"/>
      <x:c r="D253" s="253"/>
      <x:c r="E253" s="253"/>
      <x:c r="F253" s="253"/>
      <x:c r="G253" s="252"/>
      <x:c r="H253" s="253"/>
      <x:c r="I253" s="272"/>
      <x:c r="J253" s="253"/>
      <x:c r="K253" s="252"/>
      <x:c r="L253" s="253"/>
      <x:c r="M253" s="253"/>
      <x:c r="N253" s="253"/>
      <x:c r="O253" s="253"/>
      <x:c r="P253" s="253" t="str">
        <x:f>IF(AND(A253="",B253="",H253=""),"",IF(OR(A253="",B253="",C253="",E253="",F253="",H253="",AND(A253="client",COUNTIF('الزبائن'!$A$6:$A$505,B253)=0),AND(A253="proposed_name",COUNTIF('أسماء مقترحة'!$A$6:$A$505,B253)=0)),"REVIEW","READY"))</x:f>
      </x:c>
      <x:c r="Q253" s="255" t="str">
        <x:f>IF(P253="","",IF(P253="READY","",TRIM(IF(A253="","missing entity_type; ","")&amp;IF(B253="","missing entity_key; ","")&amp;IF(C253="","missing referrer_order; ","")&amp;IF(E253="","missing referrer_type; ","")&amp;IF(F253="","missing referral_origin_channel; ","")&amp;IF(H253="","missing referrer_name_snapshot; ","")&amp;IF(AND(A253="client",COUNTIF('الزبائن'!$A$6:$A$505,B253)=0),"client key not found; ","")&amp;IF(AND(A253="proposed_name",COUNTIF('أسماء مقترحة'!$A$6:$A$505,B253)=0),"proposed_name key not found; ",""))))</x:f>
      </x:c>
    </x:row>
    <x:row r="254">
      <x:c r="A254" s="251"/>
      <x:c r="B254" s="252"/>
      <x:c r="C254" s="253"/>
      <x:c r="D254" s="253"/>
      <x:c r="E254" s="253"/>
      <x:c r="F254" s="253"/>
      <x:c r="G254" s="252"/>
      <x:c r="H254" s="253"/>
      <x:c r="I254" s="272"/>
      <x:c r="J254" s="253"/>
      <x:c r="K254" s="252"/>
      <x:c r="L254" s="253"/>
      <x:c r="M254" s="253"/>
      <x:c r="N254" s="253"/>
      <x:c r="O254" s="253"/>
      <x:c r="P254" s="253" t="str">
        <x:f>IF(AND(A254="",B254="",H254=""),"",IF(OR(A254="",B254="",C254="",E254="",F254="",H254="",AND(A254="client",COUNTIF('الزبائن'!$A$6:$A$505,B254)=0),AND(A254="proposed_name",COUNTIF('أسماء مقترحة'!$A$6:$A$505,B254)=0)),"REVIEW","READY"))</x:f>
      </x:c>
      <x:c r="Q254" s="255" t="str">
        <x:f>IF(P254="","",IF(P254="READY","",TRIM(IF(A254="","missing entity_type; ","")&amp;IF(B254="","missing entity_key; ","")&amp;IF(C254="","missing referrer_order; ","")&amp;IF(E254="","missing referrer_type; ","")&amp;IF(F254="","missing referral_origin_channel; ","")&amp;IF(H254="","missing referrer_name_snapshot; ","")&amp;IF(AND(A254="client",COUNTIF('الزبائن'!$A$6:$A$505,B254)=0),"client key not found; ","")&amp;IF(AND(A254="proposed_name",COUNTIF('أسماء مقترحة'!$A$6:$A$505,B254)=0),"proposed_name key not found; ",""))))</x:f>
      </x:c>
    </x:row>
    <x:row r="255">
      <x:c r="A255" s="251"/>
      <x:c r="B255" s="252"/>
      <x:c r="C255" s="253"/>
      <x:c r="D255" s="253"/>
      <x:c r="E255" s="253"/>
      <x:c r="F255" s="253"/>
      <x:c r="G255" s="252"/>
      <x:c r="H255" s="253"/>
      <x:c r="I255" s="272"/>
      <x:c r="J255" s="253"/>
      <x:c r="K255" s="252"/>
      <x:c r="L255" s="253"/>
      <x:c r="M255" s="253"/>
      <x:c r="N255" s="253"/>
      <x:c r="O255" s="253"/>
      <x:c r="P255" s="253" t="str">
        <x:f>IF(AND(A255="",B255="",H255=""),"",IF(OR(A255="",B255="",C255="",E255="",F255="",H255="",AND(A255="client",COUNTIF('الزبائن'!$A$6:$A$505,B255)=0),AND(A255="proposed_name",COUNTIF('أسماء مقترحة'!$A$6:$A$505,B255)=0)),"REVIEW","READY"))</x:f>
      </x:c>
      <x:c r="Q255" s="255" t="str">
        <x:f>IF(P255="","",IF(P255="READY","",TRIM(IF(A255="","missing entity_type; ","")&amp;IF(B255="","missing entity_key; ","")&amp;IF(C255="","missing referrer_order; ","")&amp;IF(E255="","missing referrer_type; ","")&amp;IF(F255="","missing referral_origin_channel; ","")&amp;IF(H255="","missing referrer_name_snapshot; ","")&amp;IF(AND(A255="client",COUNTIF('الزبائن'!$A$6:$A$505,B255)=0),"client key not found; ","")&amp;IF(AND(A255="proposed_name",COUNTIF('أسماء مقترحة'!$A$6:$A$505,B255)=0),"proposed_name key not found; ",""))))</x:f>
      </x:c>
    </x:row>
    <x:row r="256">
      <x:c r="A256" s="251"/>
      <x:c r="B256" s="252"/>
      <x:c r="C256" s="253"/>
      <x:c r="D256" s="253"/>
      <x:c r="E256" s="253"/>
      <x:c r="F256" s="253"/>
      <x:c r="G256" s="252"/>
      <x:c r="H256" s="253"/>
      <x:c r="I256" s="272"/>
      <x:c r="J256" s="253"/>
      <x:c r="K256" s="252"/>
      <x:c r="L256" s="253"/>
      <x:c r="M256" s="253"/>
      <x:c r="N256" s="253"/>
      <x:c r="O256" s="253"/>
      <x:c r="P256" s="253" t="str">
        <x:f>IF(AND(A256="",B256="",H256=""),"",IF(OR(A256="",B256="",C256="",E256="",F256="",H256="",AND(A256="client",COUNTIF('الزبائن'!$A$6:$A$505,B256)=0),AND(A256="proposed_name",COUNTIF('أسماء مقترحة'!$A$6:$A$505,B256)=0)),"REVIEW","READY"))</x:f>
      </x:c>
      <x:c r="Q256" s="255" t="str">
        <x:f>IF(P256="","",IF(P256="READY","",TRIM(IF(A256="","missing entity_type; ","")&amp;IF(B256="","missing entity_key; ","")&amp;IF(C256="","missing referrer_order; ","")&amp;IF(E256="","missing referrer_type; ","")&amp;IF(F256="","missing referral_origin_channel; ","")&amp;IF(H256="","missing referrer_name_snapshot; ","")&amp;IF(AND(A256="client",COUNTIF('الزبائن'!$A$6:$A$505,B256)=0),"client key not found; ","")&amp;IF(AND(A256="proposed_name",COUNTIF('أسماء مقترحة'!$A$6:$A$505,B256)=0),"proposed_name key not found; ",""))))</x:f>
      </x:c>
    </x:row>
    <x:row r="257">
      <x:c r="A257" s="251"/>
      <x:c r="B257" s="252"/>
      <x:c r="C257" s="253"/>
      <x:c r="D257" s="253"/>
      <x:c r="E257" s="253"/>
      <x:c r="F257" s="253"/>
      <x:c r="G257" s="252"/>
      <x:c r="H257" s="253"/>
      <x:c r="I257" s="272"/>
      <x:c r="J257" s="253"/>
      <x:c r="K257" s="252"/>
      <x:c r="L257" s="253"/>
      <x:c r="M257" s="253"/>
      <x:c r="N257" s="253"/>
      <x:c r="O257" s="253"/>
      <x:c r="P257" s="253" t="str">
        <x:f>IF(AND(A257="",B257="",H257=""),"",IF(OR(A257="",B257="",C257="",E257="",F257="",H257="",AND(A257="client",COUNTIF('الزبائن'!$A$6:$A$505,B257)=0),AND(A257="proposed_name",COUNTIF('أسماء مقترحة'!$A$6:$A$505,B257)=0)),"REVIEW","READY"))</x:f>
      </x:c>
      <x:c r="Q257" s="255" t="str">
        <x:f>IF(P257="","",IF(P257="READY","",TRIM(IF(A257="","missing entity_type; ","")&amp;IF(B257="","missing entity_key; ","")&amp;IF(C257="","missing referrer_order; ","")&amp;IF(E257="","missing referrer_type; ","")&amp;IF(F257="","missing referral_origin_channel; ","")&amp;IF(H257="","missing referrer_name_snapshot; ","")&amp;IF(AND(A257="client",COUNTIF('الزبائن'!$A$6:$A$505,B257)=0),"client key not found; ","")&amp;IF(AND(A257="proposed_name",COUNTIF('أسماء مقترحة'!$A$6:$A$505,B257)=0),"proposed_name key not found; ",""))))</x:f>
      </x:c>
    </x:row>
    <x:row r="258">
      <x:c r="A258" s="251"/>
      <x:c r="B258" s="252"/>
      <x:c r="C258" s="253"/>
      <x:c r="D258" s="253"/>
      <x:c r="E258" s="253"/>
      <x:c r="F258" s="253"/>
      <x:c r="G258" s="252"/>
      <x:c r="H258" s="253"/>
      <x:c r="I258" s="272"/>
      <x:c r="J258" s="253"/>
      <x:c r="K258" s="252"/>
      <x:c r="L258" s="253"/>
      <x:c r="M258" s="253"/>
      <x:c r="N258" s="253"/>
      <x:c r="O258" s="253"/>
      <x:c r="P258" s="253" t="str">
        <x:f>IF(AND(A258="",B258="",H258=""),"",IF(OR(A258="",B258="",C258="",E258="",F258="",H258="",AND(A258="client",COUNTIF('الزبائن'!$A$6:$A$505,B258)=0),AND(A258="proposed_name",COUNTIF('أسماء مقترحة'!$A$6:$A$505,B258)=0)),"REVIEW","READY"))</x:f>
      </x:c>
      <x:c r="Q258" s="255" t="str">
        <x:f>IF(P258="","",IF(P258="READY","",TRIM(IF(A258="","missing entity_type; ","")&amp;IF(B258="","missing entity_key; ","")&amp;IF(C258="","missing referrer_order; ","")&amp;IF(E258="","missing referrer_type; ","")&amp;IF(F258="","missing referral_origin_channel; ","")&amp;IF(H258="","missing referrer_name_snapshot; ","")&amp;IF(AND(A258="client",COUNTIF('الزبائن'!$A$6:$A$505,B258)=0),"client key not found; ","")&amp;IF(AND(A258="proposed_name",COUNTIF('أسماء مقترحة'!$A$6:$A$505,B258)=0),"proposed_name key not found; ",""))))</x:f>
      </x:c>
    </x:row>
    <x:row r="259">
      <x:c r="A259" s="251"/>
      <x:c r="B259" s="252"/>
      <x:c r="C259" s="253"/>
      <x:c r="D259" s="253"/>
      <x:c r="E259" s="253"/>
      <x:c r="F259" s="253"/>
      <x:c r="G259" s="252"/>
      <x:c r="H259" s="253"/>
      <x:c r="I259" s="272"/>
      <x:c r="J259" s="253"/>
      <x:c r="K259" s="252"/>
      <x:c r="L259" s="253"/>
      <x:c r="M259" s="253"/>
      <x:c r="N259" s="253"/>
      <x:c r="O259" s="253"/>
      <x:c r="P259" s="253" t="str">
        <x:f>IF(AND(A259="",B259="",H259=""),"",IF(OR(A259="",B259="",C259="",E259="",F259="",H259="",AND(A259="client",COUNTIF('الزبائن'!$A$6:$A$505,B259)=0),AND(A259="proposed_name",COUNTIF('أسماء مقترحة'!$A$6:$A$505,B259)=0)),"REVIEW","READY"))</x:f>
      </x:c>
      <x:c r="Q259" s="255" t="str">
        <x:f>IF(P259="","",IF(P259="READY","",TRIM(IF(A259="","missing entity_type; ","")&amp;IF(B259="","missing entity_key; ","")&amp;IF(C259="","missing referrer_order; ","")&amp;IF(E259="","missing referrer_type; ","")&amp;IF(F259="","missing referral_origin_channel; ","")&amp;IF(H259="","missing referrer_name_snapshot; ","")&amp;IF(AND(A259="client",COUNTIF('الزبائن'!$A$6:$A$505,B259)=0),"client key not found; ","")&amp;IF(AND(A259="proposed_name",COUNTIF('أسماء مقترحة'!$A$6:$A$505,B259)=0),"proposed_name key not found; ",""))))</x:f>
      </x:c>
    </x:row>
    <x:row r="260">
      <x:c r="A260" s="251"/>
      <x:c r="B260" s="252"/>
      <x:c r="C260" s="253"/>
      <x:c r="D260" s="253"/>
      <x:c r="E260" s="253"/>
      <x:c r="F260" s="253"/>
      <x:c r="G260" s="252"/>
      <x:c r="H260" s="253"/>
      <x:c r="I260" s="272"/>
      <x:c r="J260" s="253"/>
      <x:c r="K260" s="252"/>
      <x:c r="L260" s="253"/>
      <x:c r="M260" s="253"/>
      <x:c r="N260" s="253"/>
      <x:c r="O260" s="253"/>
      <x:c r="P260" s="253" t="str">
        <x:f>IF(AND(A260="",B260="",H260=""),"",IF(OR(A260="",B260="",C260="",E260="",F260="",H260="",AND(A260="client",COUNTIF('الزبائن'!$A$6:$A$505,B260)=0),AND(A260="proposed_name",COUNTIF('أسماء مقترحة'!$A$6:$A$505,B260)=0)),"REVIEW","READY"))</x:f>
      </x:c>
      <x:c r="Q260" s="255" t="str">
        <x:f>IF(P260="","",IF(P260="READY","",TRIM(IF(A260="","missing entity_type; ","")&amp;IF(B260="","missing entity_key; ","")&amp;IF(C260="","missing referrer_order; ","")&amp;IF(E260="","missing referrer_type; ","")&amp;IF(F260="","missing referral_origin_channel; ","")&amp;IF(H260="","missing referrer_name_snapshot; ","")&amp;IF(AND(A260="client",COUNTIF('الزبائن'!$A$6:$A$505,B260)=0),"client key not found; ","")&amp;IF(AND(A260="proposed_name",COUNTIF('أسماء مقترحة'!$A$6:$A$505,B260)=0),"proposed_name key not found; ",""))))</x:f>
      </x:c>
    </x:row>
    <x:row r="261">
      <x:c r="A261" s="251"/>
      <x:c r="B261" s="252"/>
      <x:c r="C261" s="253"/>
      <x:c r="D261" s="253"/>
      <x:c r="E261" s="253"/>
      <x:c r="F261" s="253"/>
      <x:c r="G261" s="252"/>
      <x:c r="H261" s="253"/>
      <x:c r="I261" s="272"/>
      <x:c r="J261" s="253"/>
      <x:c r="K261" s="252"/>
      <x:c r="L261" s="253"/>
      <x:c r="M261" s="253"/>
      <x:c r="N261" s="253"/>
      <x:c r="O261" s="253"/>
      <x:c r="P261" s="253" t="str">
        <x:f>IF(AND(A261="",B261="",H261=""),"",IF(OR(A261="",B261="",C261="",E261="",F261="",H261="",AND(A261="client",COUNTIF('الزبائن'!$A$6:$A$505,B261)=0),AND(A261="proposed_name",COUNTIF('أسماء مقترحة'!$A$6:$A$505,B261)=0)),"REVIEW","READY"))</x:f>
      </x:c>
      <x:c r="Q261" s="255" t="str">
        <x:f>IF(P261="","",IF(P261="READY","",TRIM(IF(A261="","missing entity_type; ","")&amp;IF(B261="","missing entity_key; ","")&amp;IF(C261="","missing referrer_order; ","")&amp;IF(E261="","missing referrer_type; ","")&amp;IF(F261="","missing referral_origin_channel; ","")&amp;IF(H261="","missing referrer_name_snapshot; ","")&amp;IF(AND(A261="client",COUNTIF('الزبائن'!$A$6:$A$505,B261)=0),"client key not found; ","")&amp;IF(AND(A261="proposed_name",COUNTIF('أسماء مقترحة'!$A$6:$A$505,B261)=0),"proposed_name key not found; ",""))))</x:f>
      </x:c>
    </x:row>
    <x:row r="262">
      <x:c r="A262" s="251"/>
      <x:c r="B262" s="252"/>
      <x:c r="C262" s="253"/>
      <x:c r="D262" s="253"/>
      <x:c r="E262" s="253"/>
      <x:c r="F262" s="253"/>
      <x:c r="G262" s="252"/>
      <x:c r="H262" s="253"/>
      <x:c r="I262" s="272"/>
      <x:c r="J262" s="253"/>
      <x:c r="K262" s="252"/>
      <x:c r="L262" s="253"/>
      <x:c r="M262" s="253"/>
      <x:c r="N262" s="253"/>
      <x:c r="O262" s="253"/>
      <x:c r="P262" s="253" t="str">
        <x:f>IF(AND(A262="",B262="",H262=""),"",IF(OR(A262="",B262="",C262="",E262="",F262="",H262="",AND(A262="client",COUNTIF('الزبائن'!$A$6:$A$505,B262)=0),AND(A262="proposed_name",COUNTIF('أسماء مقترحة'!$A$6:$A$505,B262)=0)),"REVIEW","READY"))</x:f>
      </x:c>
      <x:c r="Q262" s="255" t="str">
        <x:f>IF(P262="","",IF(P262="READY","",TRIM(IF(A262="","missing entity_type; ","")&amp;IF(B262="","missing entity_key; ","")&amp;IF(C262="","missing referrer_order; ","")&amp;IF(E262="","missing referrer_type; ","")&amp;IF(F262="","missing referral_origin_channel; ","")&amp;IF(H262="","missing referrer_name_snapshot; ","")&amp;IF(AND(A262="client",COUNTIF('الزبائن'!$A$6:$A$505,B262)=0),"client key not found; ","")&amp;IF(AND(A262="proposed_name",COUNTIF('أسماء مقترحة'!$A$6:$A$505,B262)=0),"proposed_name key not found; ",""))))</x:f>
      </x:c>
    </x:row>
    <x:row r="263">
      <x:c r="A263" s="251"/>
      <x:c r="B263" s="252"/>
      <x:c r="C263" s="253"/>
      <x:c r="D263" s="253"/>
      <x:c r="E263" s="253"/>
      <x:c r="F263" s="253"/>
      <x:c r="G263" s="252"/>
      <x:c r="H263" s="253"/>
      <x:c r="I263" s="272"/>
      <x:c r="J263" s="253"/>
      <x:c r="K263" s="252"/>
      <x:c r="L263" s="253"/>
      <x:c r="M263" s="253"/>
      <x:c r="N263" s="253"/>
      <x:c r="O263" s="253"/>
      <x:c r="P263" s="253" t="str">
        <x:f>IF(AND(A263="",B263="",H263=""),"",IF(OR(A263="",B263="",C263="",E263="",F263="",H263="",AND(A263="client",COUNTIF('الزبائن'!$A$6:$A$505,B263)=0),AND(A263="proposed_name",COUNTIF('أسماء مقترحة'!$A$6:$A$505,B263)=0)),"REVIEW","READY"))</x:f>
      </x:c>
      <x:c r="Q263" s="255" t="str">
        <x:f>IF(P263="","",IF(P263="READY","",TRIM(IF(A263="","missing entity_type; ","")&amp;IF(B263="","missing entity_key; ","")&amp;IF(C263="","missing referrer_order; ","")&amp;IF(E263="","missing referrer_type; ","")&amp;IF(F263="","missing referral_origin_channel; ","")&amp;IF(H263="","missing referrer_name_snapshot; ","")&amp;IF(AND(A263="client",COUNTIF('الزبائن'!$A$6:$A$505,B263)=0),"client key not found; ","")&amp;IF(AND(A263="proposed_name",COUNTIF('أسماء مقترحة'!$A$6:$A$505,B263)=0),"proposed_name key not found; ",""))))</x:f>
      </x:c>
    </x:row>
    <x:row r="264">
      <x:c r="A264" s="251"/>
      <x:c r="B264" s="252"/>
      <x:c r="C264" s="253"/>
      <x:c r="D264" s="253"/>
      <x:c r="E264" s="253"/>
      <x:c r="F264" s="253"/>
      <x:c r="G264" s="252"/>
      <x:c r="H264" s="253"/>
      <x:c r="I264" s="272"/>
      <x:c r="J264" s="253"/>
      <x:c r="K264" s="252"/>
      <x:c r="L264" s="253"/>
      <x:c r="M264" s="253"/>
      <x:c r="N264" s="253"/>
      <x:c r="O264" s="253"/>
      <x:c r="P264" s="253" t="str">
        <x:f>IF(AND(A264="",B264="",H264=""),"",IF(OR(A264="",B264="",C264="",E264="",F264="",H264="",AND(A264="client",COUNTIF('الزبائن'!$A$6:$A$505,B264)=0),AND(A264="proposed_name",COUNTIF('أسماء مقترحة'!$A$6:$A$505,B264)=0)),"REVIEW","READY"))</x:f>
      </x:c>
      <x:c r="Q264" s="255" t="str">
        <x:f>IF(P264="","",IF(P264="READY","",TRIM(IF(A264="","missing entity_type; ","")&amp;IF(B264="","missing entity_key; ","")&amp;IF(C264="","missing referrer_order; ","")&amp;IF(E264="","missing referrer_type; ","")&amp;IF(F264="","missing referral_origin_channel; ","")&amp;IF(H264="","missing referrer_name_snapshot; ","")&amp;IF(AND(A264="client",COUNTIF('الزبائن'!$A$6:$A$505,B264)=0),"client key not found; ","")&amp;IF(AND(A264="proposed_name",COUNTIF('أسماء مقترحة'!$A$6:$A$505,B264)=0),"proposed_name key not found; ",""))))</x:f>
      </x:c>
    </x:row>
    <x:row r="265">
      <x:c r="A265" s="251"/>
      <x:c r="B265" s="252"/>
      <x:c r="C265" s="253"/>
      <x:c r="D265" s="253"/>
      <x:c r="E265" s="253"/>
      <x:c r="F265" s="253"/>
      <x:c r="G265" s="252"/>
      <x:c r="H265" s="253"/>
      <x:c r="I265" s="272"/>
      <x:c r="J265" s="253"/>
      <x:c r="K265" s="252"/>
      <x:c r="L265" s="253"/>
      <x:c r="M265" s="253"/>
      <x:c r="N265" s="253"/>
      <x:c r="O265" s="253"/>
      <x:c r="P265" s="253" t="str">
        <x:f>IF(AND(A265="",B265="",H265=""),"",IF(OR(A265="",B265="",C265="",E265="",F265="",H265="",AND(A265="client",COUNTIF('الزبائن'!$A$6:$A$505,B265)=0),AND(A265="proposed_name",COUNTIF('أسماء مقترحة'!$A$6:$A$505,B265)=0)),"REVIEW","READY"))</x:f>
      </x:c>
      <x:c r="Q265" s="255" t="str">
        <x:f>IF(P265="","",IF(P265="READY","",TRIM(IF(A265="","missing entity_type; ","")&amp;IF(B265="","missing entity_key; ","")&amp;IF(C265="","missing referrer_order; ","")&amp;IF(E265="","missing referrer_type; ","")&amp;IF(F265="","missing referral_origin_channel; ","")&amp;IF(H265="","missing referrer_name_snapshot; ","")&amp;IF(AND(A265="client",COUNTIF('الزبائن'!$A$6:$A$505,B265)=0),"client key not found; ","")&amp;IF(AND(A265="proposed_name",COUNTIF('أسماء مقترحة'!$A$6:$A$505,B265)=0),"proposed_name key not found; ",""))))</x:f>
      </x:c>
    </x:row>
    <x:row r="266">
      <x:c r="A266" s="251"/>
      <x:c r="B266" s="252"/>
      <x:c r="C266" s="253"/>
      <x:c r="D266" s="253"/>
      <x:c r="E266" s="253"/>
      <x:c r="F266" s="253"/>
      <x:c r="G266" s="252"/>
      <x:c r="H266" s="253"/>
      <x:c r="I266" s="272"/>
      <x:c r="J266" s="253"/>
      <x:c r="K266" s="252"/>
      <x:c r="L266" s="253"/>
      <x:c r="M266" s="253"/>
      <x:c r="N266" s="253"/>
      <x:c r="O266" s="253"/>
      <x:c r="P266" s="253" t="str">
        <x:f>IF(AND(A266="",B266="",H266=""),"",IF(OR(A266="",B266="",C266="",E266="",F266="",H266="",AND(A266="client",COUNTIF('الزبائن'!$A$6:$A$505,B266)=0),AND(A266="proposed_name",COUNTIF('أسماء مقترحة'!$A$6:$A$505,B266)=0)),"REVIEW","READY"))</x:f>
      </x:c>
      <x:c r="Q266" s="255" t="str">
        <x:f>IF(P266="","",IF(P266="READY","",TRIM(IF(A266="","missing entity_type; ","")&amp;IF(B266="","missing entity_key; ","")&amp;IF(C266="","missing referrer_order; ","")&amp;IF(E266="","missing referrer_type; ","")&amp;IF(F266="","missing referral_origin_channel; ","")&amp;IF(H266="","missing referrer_name_snapshot; ","")&amp;IF(AND(A266="client",COUNTIF('الزبائن'!$A$6:$A$505,B266)=0),"client key not found; ","")&amp;IF(AND(A266="proposed_name",COUNTIF('أسماء مقترحة'!$A$6:$A$505,B266)=0),"proposed_name key not found; ",""))))</x:f>
      </x:c>
    </x:row>
    <x:row r="267">
      <x:c r="A267" s="251"/>
      <x:c r="B267" s="252"/>
      <x:c r="C267" s="253"/>
      <x:c r="D267" s="253"/>
      <x:c r="E267" s="253"/>
      <x:c r="F267" s="253"/>
      <x:c r="G267" s="252"/>
      <x:c r="H267" s="253"/>
      <x:c r="I267" s="272"/>
      <x:c r="J267" s="253"/>
      <x:c r="K267" s="252"/>
      <x:c r="L267" s="253"/>
      <x:c r="M267" s="253"/>
      <x:c r="N267" s="253"/>
      <x:c r="O267" s="253"/>
      <x:c r="P267" s="253" t="str">
        <x:f>IF(AND(A267="",B267="",H267=""),"",IF(OR(A267="",B267="",C267="",E267="",F267="",H267="",AND(A267="client",COUNTIF('الزبائن'!$A$6:$A$505,B267)=0),AND(A267="proposed_name",COUNTIF('أسماء مقترحة'!$A$6:$A$505,B267)=0)),"REVIEW","READY"))</x:f>
      </x:c>
      <x:c r="Q267" s="255" t="str">
        <x:f>IF(P267="","",IF(P267="READY","",TRIM(IF(A267="","missing entity_type; ","")&amp;IF(B267="","missing entity_key; ","")&amp;IF(C267="","missing referrer_order; ","")&amp;IF(E267="","missing referrer_type; ","")&amp;IF(F267="","missing referral_origin_channel; ","")&amp;IF(H267="","missing referrer_name_snapshot; ","")&amp;IF(AND(A267="client",COUNTIF('الزبائن'!$A$6:$A$505,B267)=0),"client key not found; ","")&amp;IF(AND(A267="proposed_name",COUNTIF('أسماء مقترحة'!$A$6:$A$505,B267)=0),"proposed_name key not found; ",""))))</x:f>
      </x:c>
    </x:row>
    <x:row r="268">
      <x:c r="A268" s="251"/>
      <x:c r="B268" s="252"/>
      <x:c r="C268" s="253"/>
      <x:c r="D268" s="253"/>
      <x:c r="E268" s="253"/>
      <x:c r="F268" s="253"/>
      <x:c r="G268" s="252"/>
      <x:c r="H268" s="253"/>
      <x:c r="I268" s="272"/>
      <x:c r="J268" s="253"/>
      <x:c r="K268" s="252"/>
      <x:c r="L268" s="253"/>
      <x:c r="M268" s="253"/>
      <x:c r="N268" s="253"/>
      <x:c r="O268" s="253"/>
      <x:c r="P268" s="253" t="str">
        <x:f>IF(AND(A268="",B268="",H268=""),"",IF(OR(A268="",B268="",C268="",E268="",F268="",H268="",AND(A268="client",COUNTIF('الزبائن'!$A$6:$A$505,B268)=0),AND(A268="proposed_name",COUNTIF('أسماء مقترحة'!$A$6:$A$505,B268)=0)),"REVIEW","READY"))</x:f>
      </x:c>
      <x:c r="Q268" s="255" t="str">
        <x:f>IF(P268="","",IF(P268="READY","",TRIM(IF(A268="","missing entity_type; ","")&amp;IF(B268="","missing entity_key; ","")&amp;IF(C268="","missing referrer_order; ","")&amp;IF(E268="","missing referrer_type; ","")&amp;IF(F268="","missing referral_origin_channel; ","")&amp;IF(H268="","missing referrer_name_snapshot; ","")&amp;IF(AND(A268="client",COUNTIF('الزبائن'!$A$6:$A$505,B268)=0),"client key not found; ","")&amp;IF(AND(A268="proposed_name",COUNTIF('أسماء مقترحة'!$A$6:$A$505,B268)=0),"proposed_name key not found; ",""))))</x:f>
      </x:c>
    </x:row>
    <x:row r="269">
      <x:c r="A269" s="251"/>
      <x:c r="B269" s="252"/>
      <x:c r="C269" s="253"/>
      <x:c r="D269" s="253"/>
      <x:c r="E269" s="253"/>
      <x:c r="F269" s="253"/>
      <x:c r="G269" s="252"/>
      <x:c r="H269" s="253"/>
      <x:c r="I269" s="272"/>
      <x:c r="J269" s="253"/>
      <x:c r="K269" s="252"/>
      <x:c r="L269" s="253"/>
      <x:c r="M269" s="253"/>
      <x:c r="N269" s="253"/>
      <x:c r="O269" s="253"/>
      <x:c r="P269" s="253" t="str">
        <x:f>IF(AND(A269="",B269="",H269=""),"",IF(OR(A269="",B269="",C269="",E269="",F269="",H269="",AND(A269="client",COUNTIF('الزبائن'!$A$6:$A$505,B269)=0),AND(A269="proposed_name",COUNTIF('أسماء مقترحة'!$A$6:$A$505,B269)=0)),"REVIEW","READY"))</x:f>
      </x:c>
      <x:c r="Q269" s="255" t="str">
        <x:f>IF(P269="","",IF(P269="READY","",TRIM(IF(A269="","missing entity_type; ","")&amp;IF(B269="","missing entity_key; ","")&amp;IF(C269="","missing referrer_order; ","")&amp;IF(E269="","missing referrer_type; ","")&amp;IF(F269="","missing referral_origin_channel; ","")&amp;IF(H269="","missing referrer_name_snapshot; ","")&amp;IF(AND(A269="client",COUNTIF('الزبائن'!$A$6:$A$505,B269)=0),"client key not found; ","")&amp;IF(AND(A269="proposed_name",COUNTIF('أسماء مقترحة'!$A$6:$A$505,B269)=0),"proposed_name key not found; ",""))))</x:f>
      </x:c>
    </x:row>
    <x:row r="270">
      <x:c r="A270" s="251"/>
      <x:c r="B270" s="252"/>
      <x:c r="C270" s="253"/>
      <x:c r="D270" s="253"/>
      <x:c r="E270" s="253"/>
      <x:c r="F270" s="253"/>
      <x:c r="G270" s="252"/>
      <x:c r="H270" s="253"/>
      <x:c r="I270" s="272"/>
      <x:c r="J270" s="253"/>
      <x:c r="K270" s="252"/>
      <x:c r="L270" s="253"/>
      <x:c r="M270" s="253"/>
      <x:c r="N270" s="253"/>
      <x:c r="O270" s="253"/>
      <x:c r="P270" s="253" t="str">
        <x:f>IF(AND(A270="",B270="",H270=""),"",IF(OR(A270="",B270="",C270="",E270="",F270="",H270="",AND(A270="client",COUNTIF('الزبائن'!$A$6:$A$505,B270)=0),AND(A270="proposed_name",COUNTIF('أسماء مقترحة'!$A$6:$A$505,B270)=0)),"REVIEW","READY"))</x:f>
      </x:c>
      <x:c r="Q270" s="255" t="str">
        <x:f>IF(P270="","",IF(P270="READY","",TRIM(IF(A270="","missing entity_type; ","")&amp;IF(B270="","missing entity_key; ","")&amp;IF(C270="","missing referrer_order; ","")&amp;IF(E270="","missing referrer_type; ","")&amp;IF(F270="","missing referral_origin_channel; ","")&amp;IF(H270="","missing referrer_name_snapshot; ","")&amp;IF(AND(A270="client",COUNTIF('الزبائن'!$A$6:$A$505,B270)=0),"client key not found; ","")&amp;IF(AND(A270="proposed_name",COUNTIF('أسماء مقترحة'!$A$6:$A$505,B270)=0),"proposed_name key not found; ",""))))</x:f>
      </x:c>
    </x:row>
    <x:row r="271">
      <x:c r="A271" s="251"/>
      <x:c r="B271" s="252"/>
      <x:c r="C271" s="253"/>
      <x:c r="D271" s="253"/>
      <x:c r="E271" s="253"/>
      <x:c r="F271" s="253"/>
      <x:c r="G271" s="252"/>
      <x:c r="H271" s="253"/>
      <x:c r="I271" s="272"/>
      <x:c r="J271" s="253"/>
      <x:c r="K271" s="252"/>
      <x:c r="L271" s="253"/>
      <x:c r="M271" s="253"/>
      <x:c r="N271" s="253"/>
      <x:c r="O271" s="253"/>
      <x:c r="P271" s="253" t="str">
        <x:f>IF(AND(A271="",B271="",H271=""),"",IF(OR(A271="",B271="",C271="",E271="",F271="",H271="",AND(A271="client",COUNTIF('الزبائن'!$A$6:$A$505,B271)=0),AND(A271="proposed_name",COUNTIF('أسماء مقترحة'!$A$6:$A$505,B271)=0)),"REVIEW","READY"))</x:f>
      </x:c>
      <x:c r="Q271" s="255" t="str">
        <x:f>IF(P271="","",IF(P271="READY","",TRIM(IF(A271="","missing entity_type; ","")&amp;IF(B271="","missing entity_key; ","")&amp;IF(C271="","missing referrer_order; ","")&amp;IF(E271="","missing referrer_type; ","")&amp;IF(F271="","missing referral_origin_channel; ","")&amp;IF(H271="","missing referrer_name_snapshot; ","")&amp;IF(AND(A271="client",COUNTIF('الزبائن'!$A$6:$A$505,B271)=0),"client key not found; ","")&amp;IF(AND(A271="proposed_name",COUNTIF('أسماء مقترحة'!$A$6:$A$505,B271)=0),"proposed_name key not found; ",""))))</x:f>
      </x:c>
    </x:row>
    <x:row r="272">
      <x:c r="A272" s="251"/>
      <x:c r="B272" s="252"/>
      <x:c r="C272" s="253"/>
      <x:c r="D272" s="253"/>
      <x:c r="E272" s="253"/>
      <x:c r="F272" s="253"/>
      <x:c r="G272" s="252"/>
      <x:c r="H272" s="253"/>
      <x:c r="I272" s="272"/>
      <x:c r="J272" s="253"/>
      <x:c r="K272" s="252"/>
      <x:c r="L272" s="253"/>
      <x:c r="M272" s="253"/>
      <x:c r="N272" s="253"/>
      <x:c r="O272" s="253"/>
      <x:c r="P272" s="253" t="str">
        <x:f>IF(AND(A272="",B272="",H272=""),"",IF(OR(A272="",B272="",C272="",E272="",F272="",H272="",AND(A272="client",COUNTIF('الزبائن'!$A$6:$A$505,B272)=0),AND(A272="proposed_name",COUNTIF('أسماء مقترحة'!$A$6:$A$505,B272)=0)),"REVIEW","READY"))</x:f>
      </x:c>
      <x:c r="Q272" s="255" t="str">
        <x:f>IF(P272="","",IF(P272="READY","",TRIM(IF(A272="","missing entity_type; ","")&amp;IF(B272="","missing entity_key; ","")&amp;IF(C272="","missing referrer_order; ","")&amp;IF(E272="","missing referrer_type; ","")&amp;IF(F272="","missing referral_origin_channel; ","")&amp;IF(H272="","missing referrer_name_snapshot; ","")&amp;IF(AND(A272="client",COUNTIF('الزبائن'!$A$6:$A$505,B272)=0),"client key not found; ","")&amp;IF(AND(A272="proposed_name",COUNTIF('أسماء مقترحة'!$A$6:$A$505,B272)=0),"proposed_name key not found; ",""))))</x:f>
      </x:c>
    </x:row>
    <x:row r="273">
      <x:c r="A273" s="251"/>
      <x:c r="B273" s="252"/>
      <x:c r="C273" s="253"/>
      <x:c r="D273" s="253"/>
      <x:c r="E273" s="253"/>
      <x:c r="F273" s="253"/>
      <x:c r="G273" s="252"/>
      <x:c r="H273" s="253"/>
      <x:c r="I273" s="272"/>
      <x:c r="J273" s="253"/>
      <x:c r="K273" s="252"/>
      <x:c r="L273" s="253"/>
      <x:c r="M273" s="253"/>
      <x:c r="N273" s="253"/>
      <x:c r="O273" s="253"/>
      <x:c r="P273" s="253" t="str">
        <x:f>IF(AND(A273="",B273="",H273=""),"",IF(OR(A273="",B273="",C273="",E273="",F273="",H273="",AND(A273="client",COUNTIF('الزبائن'!$A$6:$A$505,B273)=0),AND(A273="proposed_name",COUNTIF('أسماء مقترحة'!$A$6:$A$505,B273)=0)),"REVIEW","READY"))</x:f>
      </x:c>
      <x:c r="Q273" s="255" t="str">
        <x:f>IF(P273="","",IF(P273="READY","",TRIM(IF(A273="","missing entity_type; ","")&amp;IF(B273="","missing entity_key; ","")&amp;IF(C273="","missing referrer_order; ","")&amp;IF(E273="","missing referrer_type; ","")&amp;IF(F273="","missing referral_origin_channel; ","")&amp;IF(H273="","missing referrer_name_snapshot; ","")&amp;IF(AND(A273="client",COUNTIF('الزبائن'!$A$6:$A$505,B273)=0),"client key not found; ","")&amp;IF(AND(A273="proposed_name",COUNTIF('أسماء مقترحة'!$A$6:$A$505,B273)=0),"proposed_name key not found; ",""))))</x:f>
      </x:c>
    </x:row>
    <x:row r="274">
      <x:c r="A274" s="251"/>
      <x:c r="B274" s="252"/>
      <x:c r="C274" s="253"/>
      <x:c r="D274" s="253"/>
      <x:c r="E274" s="253"/>
      <x:c r="F274" s="253"/>
      <x:c r="G274" s="252"/>
      <x:c r="H274" s="253"/>
      <x:c r="I274" s="272"/>
      <x:c r="J274" s="253"/>
      <x:c r="K274" s="252"/>
      <x:c r="L274" s="253"/>
      <x:c r="M274" s="253"/>
      <x:c r="N274" s="253"/>
      <x:c r="O274" s="253"/>
      <x:c r="P274" s="253" t="str">
        <x:f>IF(AND(A274="",B274="",H274=""),"",IF(OR(A274="",B274="",C274="",E274="",F274="",H274="",AND(A274="client",COUNTIF('الزبائن'!$A$6:$A$505,B274)=0),AND(A274="proposed_name",COUNTIF('أسماء مقترحة'!$A$6:$A$505,B274)=0)),"REVIEW","READY"))</x:f>
      </x:c>
      <x:c r="Q274" s="255" t="str">
        <x:f>IF(P274="","",IF(P274="READY","",TRIM(IF(A274="","missing entity_type; ","")&amp;IF(B274="","missing entity_key; ","")&amp;IF(C274="","missing referrer_order; ","")&amp;IF(E274="","missing referrer_type; ","")&amp;IF(F274="","missing referral_origin_channel; ","")&amp;IF(H274="","missing referrer_name_snapshot; ","")&amp;IF(AND(A274="client",COUNTIF('الزبائن'!$A$6:$A$505,B274)=0),"client key not found; ","")&amp;IF(AND(A274="proposed_name",COUNTIF('أسماء مقترحة'!$A$6:$A$505,B274)=0),"proposed_name key not found; ",""))))</x:f>
      </x:c>
    </x:row>
    <x:row r="275">
      <x:c r="A275" s="251"/>
      <x:c r="B275" s="252"/>
      <x:c r="C275" s="253"/>
      <x:c r="D275" s="253"/>
      <x:c r="E275" s="253"/>
      <x:c r="F275" s="253"/>
      <x:c r="G275" s="252"/>
      <x:c r="H275" s="253"/>
      <x:c r="I275" s="272"/>
      <x:c r="J275" s="253"/>
      <x:c r="K275" s="252"/>
      <x:c r="L275" s="253"/>
      <x:c r="M275" s="253"/>
      <x:c r="N275" s="253"/>
      <x:c r="O275" s="253"/>
      <x:c r="P275" s="253" t="str">
        <x:f>IF(AND(A275="",B275="",H275=""),"",IF(OR(A275="",B275="",C275="",E275="",F275="",H275="",AND(A275="client",COUNTIF('الزبائن'!$A$6:$A$505,B275)=0),AND(A275="proposed_name",COUNTIF('أسماء مقترحة'!$A$6:$A$505,B275)=0)),"REVIEW","READY"))</x:f>
      </x:c>
      <x:c r="Q275" s="255" t="str">
        <x:f>IF(P275="","",IF(P275="READY","",TRIM(IF(A275="","missing entity_type; ","")&amp;IF(B275="","missing entity_key; ","")&amp;IF(C275="","missing referrer_order; ","")&amp;IF(E275="","missing referrer_type; ","")&amp;IF(F275="","missing referral_origin_channel; ","")&amp;IF(H275="","missing referrer_name_snapshot; ","")&amp;IF(AND(A275="client",COUNTIF('الزبائن'!$A$6:$A$505,B275)=0),"client key not found; ","")&amp;IF(AND(A275="proposed_name",COUNTIF('أسماء مقترحة'!$A$6:$A$505,B275)=0),"proposed_name key not found; ",""))))</x:f>
      </x:c>
    </x:row>
    <x:row r="276">
      <x:c r="A276" s="251"/>
      <x:c r="B276" s="252"/>
      <x:c r="C276" s="253"/>
      <x:c r="D276" s="253"/>
      <x:c r="E276" s="253"/>
      <x:c r="F276" s="253"/>
      <x:c r="G276" s="252"/>
      <x:c r="H276" s="253"/>
      <x:c r="I276" s="272"/>
      <x:c r="J276" s="253"/>
      <x:c r="K276" s="252"/>
      <x:c r="L276" s="253"/>
      <x:c r="M276" s="253"/>
      <x:c r="N276" s="253"/>
      <x:c r="O276" s="253"/>
      <x:c r="P276" s="253" t="str">
        <x:f>IF(AND(A276="",B276="",H276=""),"",IF(OR(A276="",B276="",C276="",E276="",F276="",H276="",AND(A276="client",COUNTIF('الزبائن'!$A$6:$A$505,B276)=0),AND(A276="proposed_name",COUNTIF('أسماء مقترحة'!$A$6:$A$505,B276)=0)),"REVIEW","READY"))</x:f>
      </x:c>
      <x:c r="Q276" s="255" t="str">
        <x:f>IF(P276="","",IF(P276="READY","",TRIM(IF(A276="","missing entity_type; ","")&amp;IF(B276="","missing entity_key; ","")&amp;IF(C276="","missing referrer_order; ","")&amp;IF(E276="","missing referrer_type; ","")&amp;IF(F276="","missing referral_origin_channel; ","")&amp;IF(H276="","missing referrer_name_snapshot; ","")&amp;IF(AND(A276="client",COUNTIF('الزبائن'!$A$6:$A$505,B276)=0),"client key not found; ","")&amp;IF(AND(A276="proposed_name",COUNTIF('أسماء مقترحة'!$A$6:$A$505,B276)=0),"proposed_name key not found; ",""))))</x:f>
      </x:c>
    </x:row>
    <x:row r="277">
      <x:c r="A277" s="251"/>
      <x:c r="B277" s="252"/>
      <x:c r="C277" s="253"/>
      <x:c r="D277" s="253"/>
      <x:c r="E277" s="253"/>
      <x:c r="F277" s="253"/>
      <x:c r="G277" s="252"/>
      <x:c r="H277" s="253"/>
      <x:c r="I277" s="272"/>
      <x:c r="J277" s="253"/>
      <x:c r="K277" s="252"/>
      <x:c r="L277" s="253"/>
      <x:c r="M277" s="253"/>
      <x:c r="N277" s="253"/>
      <x:c r="O277" s="253"/>
      <x:c r="P277" s="253" t="str">
        <x:f>IF(AND(A277="",B277="",H277=""),"",IF(OR(A277="",B277="",C277="",E277="",F277="",H277="",AND(A277="client",COUNTIF('الزبائن'!$A$6:$A$505,B277)=0),AND(A277="proposed_name",COUNTIF('أسماء مقترحة'!$A$6:$A$505,B277)=0)),"REVIEW","READY"))</x:f>
      </x:c>
      <x:c r="Q277" s="255" t="str">
        <x:f>IF(P277="","",IF(P277="READY","",TRIM(IF(A277="","missing entity_type; ","")&amp;IF(B277="","missing entity_key; ","")&amp;IF(C277="","missing referrer_order; ","")&amp;IF(E277="","missing referrer_type; ","")&amp;IF(F277="","missing referral_origin_channel; ","")&amp;IF(H277="","missing referrer_name_snapshot; ","")&amp;IF(AND(A277="client",COUNTIF('الزبائن'!$A$6:$A$505,B277)=0),"client key not found; ","")&amp;IF(AND(A277="proposed_name",COUNTIF('أسماء مقترحة'!$A$6:$A$505,B277)=0),"proposed_name key not found; ",""))))</x:f>
      </x:c>
    </x:row>
    <x:row r="278">
      <x:c r="A278" s="251"/>
      <x:c r="B278" s="252"/>
      <x:c r="C278" s="253"/>
      <x:c r="D278" s="253"/>
      <x:c r="E278" s="253"/>
      <x:c r="F278" s="253"/>
      <x:c r="G278" s="252"/>
      <x:c r="H278" s="253"/>
      <x:c r="I278" s="272"/>
      <x:c r="J278" s="253"/>
      <x:c r="K278" s="252"/>
      <x:c r="L278" s="253"/>
      <x:c r="M278" s="253"/>
      <x:c r="N278" s="253"/>
      <x:c r="O278" s="253"/>
      <x:c r="P278" s="253" t="str">
        <x:f>IF(AND(A278="",B278="",H278=""),"",IF(OR(A278="",B278="",C278="",E278="",F278="",H278="",AND(A278="client",COUNTIF('الزبائن'!$A$6:$A$505,B278)=0),AND(A278="proposed_name",COUNTIF('أسماء مقترحة'!$A$6:$A$505,B278)=0)),"REVIEW","READY"))</x:f>
      </x:c>
      <x:c r="Q278" s="255" t="str">
        <x:f>IF(P278="","",IF(P278="READY","",TRIM(IF(A278="","missing entity_type; ","")&amp;IF(B278="","missing entity_key; ","")&amp;IF(C278="","missing referrer_order; ","")&amp;IF(E278="","missing referrer_type; ","")&amp;IF(F278="","missing referral_origin_channel; ","")&amp;IF(H278="","missing referrer_name_snapshot; ","")&amp;IF(AND(A278="client",COUNTIF('الزبائن'!$A$6:$A$505,B278)=0),"client key not found; ","")&amp;IF(AND(A278="proposed_name",COUNTIF('أسماء مقترحة'!$A$6:$A$505,B278)=0),"proposed_name key not found; ",""))))</x:f>
      </x:c>
    </x:row>
    <x:row r="279">
      <x:c r="A279" s="251"/>
      <x:c r="B279" s="252"/>
      <x:c r="C279" s="253"/>
      <x:c r="D279" s="253"/>
      <x:c r="E279" s="253"/>
      <x:c r="F279" s="253"/>
      <x:c r="G279" s="252"/>
      <x:c r="H279" s="253"/>
      <x:c r="I279" s="272"/>
      <x:c r="J279" s="253"/>
      <x:c r="K279" s="252"/>
      <x:c r="L279" s="253"/>
      <x:c r="M279" s="253"/>
      <x:c r="N279" s="253"/>
      <x:c r="O279" s="253"/>
      <x:c r="P279" s="253" t="str">
        <x:f>IF(AND(A279="",B279="",H279=""),"",IF(OR(A279="",B279="",C279="",E279="",F279="",H279="",AND(A279="client",COUNTIF('الزبائن'!$A$6:$A$505,B279)=0),AND(A279="proposed_name",COUNTIF('أسماء مقترحة'!$A$6:$A$505,B279)=0)),"REVIEW","READY"))</x:f>
      </x:c>
      <x:c r="Q279" s="255" t="str">
        <x:f>IF(P279="","",IF(P279="READY","",TRIM(IF(A279="","missing entity_type; ","")&amp;IF(B279="","missing entity_key; ","")&amp;IF(C279="","missing referrer_order; ","")&amp;IF(E279="","missing referrer_type; ","")&amp;IF(F279="","missing referral_origin_channel; ","")&amp;IF(H279="","missing referrer_name_snapshot; ","")&amp;IF(AND(A279="client",COUNTIF('الزبائن'!$A$6:$A$505,B279)=0),"client key not found; ","")&amp;IF(AND(A279="proposed_name",COUNTIF('أسماء مقترحة'!$A$6:$A$505,B279)=0),"proposed_name key not found; ",""))))</x:f>
      </x:c>
    </x:row>
    <x:row r="280">
      <x:c r="A280" s="251"/>
      <x:c r="B280" s="252"/>
      <x:c r="C280" s="253"/>
      <x:c r="D280" s="253"/>
      <x:c r="E280" s="253"/>
      <x:c r="F280" s="253"/>
      <x:c r="G280" s="252"/>
      <x:c r="H280" s="253"/>
      <x:c r="I280" s="272"/>
      <x:c r="J280" s="253"/>
      <x:c r="K280" s="252"/>
      <x:c r="L280" s="253"/>
      <x:c r="M280" s="253"/>
      <x:c r="N280" s="253"/>
      <x:c r="O280" s="253"/>
      <x:c r="P280" s="253" t="str">
        <x:f>IF(AND(A280="",B280="",H280=""),"",IF(OR(A280="",B280="",C280="",E280="",F280="",H280="",AND(A280="client",COUNTIF('الزبائن'!$A$6:$A$505,B280)=0),AND(A280="proposed_name",COUNTIF('أسماء مقترحة'!$A$6:$A$505,B280)=0)),"REVIEW","READY"))</x:f>
      </x:c>
      <x:c r="Q280" s="255" t="str">
        <x:f>IF(P280="","",IF(P280="READY","",TRIM(IF(A280="","missing entity_type; ","")&amp;IF(B280="","missing entity_key; ","")&amp;IF(C280="","missing referrer_order; ","")&amp;IF(E280="","missing referrer_type; ","")&amp;IF(F280="","missing referral_origin_channel; ","")&amp;IF(H280="","missing referrer_name_snapshot; ","")&amp;IF(AND(A280="client",COUNTIF('الزبائن'!$A$6:$A$505,B280)=0),"client key not found; ","")&amp;IF(AND(A280="proposed_name",COUNTIF('أسماء مقترحة'!$A$6:$A$505,B280)=0),"proposed_name key not found; ",""))))</x:f>
      </x:c>
    </x:row>
    <x:row r="281">
      <x:c r="A281" s="251"/>
      <x:c r="B281" s="252"/>
      <x:c r="C281" s="253"/>
      <x:c r="D281" s="253"/>
      <x:c r="E281" s="253"/>
      <x:c r="F281" s="253"/>
      <x:c r="G281" s="252"/>
      <x:c r="H281" s="253"/>
      <x:c r="I281" s="272"/>
      <x:c r="J281" s="253"/>
      <x:c r="K281" s="252"/>
      <x:c r="L281" s="253"/>
      <x:c r="M281" s="253"/>
      <x:c r="N281" s="253"/>
      <x:c r="O281" s="253"/>
      <x:c r="P281" s="253" t="str">
        <x:f>IF(AND(A281="",B281="",H281=""),"",IF(OR(A281="",B281="",C281="",E281="",F281="",H281="",AND(A281="client",COUNTIF('الزبائن'!$A$6:$A$505,B281)=0),AND(A281="proposed_name",COUNTIF('أسماء مقترحة'!$A$6:$A$505,B281)=0)),"REVIEW","READY"))</x:f>
      </x:c>
      <x:c r="Q281" s="255" t="str">
        <x:f>IF(P281="","",IF(P281="READY","",TRIM(IF(A281="","missing entity_type; ","")&amp;IF(B281="","missing entity_key; ","")&amp;IF(C281="","missing referrer_order; ","")&amp;IF(E281="","missing referrer_type; ","")&amp;IF(F281="","missing referral_origin_channel; ","")&amp;IF(H281="","missing referrer_name_snapshot; ","")&amp;IF(AND(A281="client",COUNTIF('الزبائن'!$A$6:$A$505,B281)=0),"client key not found; ","")&amp;IF(AND(A281="proposed_name",COUNTIF('أسماء مقترحة'!$A$6:$A$505,B281)=0),"proposed_name key not found; ",""))))</x:f>
      </x:c>
    </x:row>
    <x:row r="282">
      <x:c r="A282" s="251"/>
      <x:c r="B282" s="252"/>
      <x:c r="C282" s="253"/>
      <x:c r="D282" s="253"/>
      <x:c r="E282" s="253"/>
      <x:c r="F282" s="253"/>
      <x:c r="G282" s="252"/>
      <x:c r="H282" s="253"/>
      <x:c r="I282" s="272"/>
      <x:c r="J282" s="253"/>
      <x:c r="K282" s="252"/>
      <x:c r="L282" s="253"/>
      <x:c r="M282" s="253"/>
      <x:c r="N282" s="253"/>
      <x:c r="O282" s="253"/>
      <x:c r="P282" s="253" t="str">
        <x:f>IF(AND(A282="",B282="",H282=""),"",IF(OR(A282="",B282="",C282="",E282="",F282="",H282="",AND(A282="client",COUNTIF('الزبائن'!$A$6:$A$505,B282)=0),AND(A282="proposed_name",COUNTIF('أسماء مقترحة'!$A$6:$A$505,B282)=0)),"REVIEW","READY"))</x:f>
      </x:c>
      <x:c r="Q282" s="255" t="str">
        <x:f>IF(P282="","",IF(P282="READY","",TRIM(IF(A282="","missing entity_type; ","")&amp;IF(B282="","missing entity_key; ","")&amp;IF(C282="","missing referrer_order; ","")&amp;IF(E282="","missing referrer_type; ","")&amp;IF(F282="","missing referral_origin_channel; ","")&amp;IF(H282="","missing referrer_name_snapshot; ","")&amp;IF(AND(A282="client",COUNTIF('الزبائن'!$A$6:$A$505,B282)=0),"client key not found; ","")&amp;IF(AND(A282="proposed_name",COUNTIF('أسماء مقترحة'!$A$6:$A$505,B282)=0),"proposed_name key not found; ",""))))</x:f>
      </x:c>
    </x:row>
    <x:row r="283">
      <x:c r="A283" s="251"/>
      <x:c r="B283" s="252"/>
      <x:c r="C283" s="253"/>
      <x:c r="D283" s="253"/>
      <x:c r="E283" s="253"/>
      <x:c r="F283" s="253"/>
      <x:c r="G283" s="252"/>
      <x:c r="H283" s="253"/>
      <x:c r="I283" s="272"/>
      <x:c r="J283" s="253"/>
      <x:c r="K283" s="252"/>
      <x:c r="L283" s="253"/>
      <x:c r="M283" s="253"/>
      <x:c r="N283" s="253"/>
      <x:c r="O283" s="253"/>
      <x:c r="P283" s="253" t="str">
        <x:f>IF(AND(A283="",B283="",H283=""),"",IF(OR(A283="",B283="",C283="",E283="",F283="",H283="",AND(A283="client",COUNTIF('الزبائن'!$A$6:$A$505,B283)=0),AND(A283="proposed_name",COUNTIF('أسماء مقترحة'!$A$6:$A$505,B283)=0)),"REVIEW","READY"))</x:f>
      </x:c>
      <x:c r="Q283" s="255" t="str">
        <x:f>IF(P283="","",IF(P283="READY","",TRIM(IF(A283="","missing entity_type; ","")&amp;IF(B283="","missing entity_key; ","")&amp;IF(C283="","missing referrer_order; ","")&amp;IF(E283="","missing referrer_type; ","")&amp;IF(F283="","missing referral_origin_channel; ","")&amp;IF(H283="","missing referrer_name_snapshot; ","")&amp;IF(AND(A283="client",COUNTIF('الزبائن'!$A$6:$A$505,B283)=0),"client key not found; ","")&amp;IF(AND(A283="proposed_name",COUNTIF('أسماء مقترحة'!$A$6:$A$505,B283)=0),"proposed_name key not found; ",""))))</x:f>
      </x:c>
    </x:row>
    <x:row r="284">
      <x:c r="A284" s="251"/>
      <x:c r="B284" s="252"/>
      <x:c r="C284" s="253"/>
      <x:c r="D284" s="253"/>
      <x:c r="E284" s="253"/>
      <x:c r="F284" s="253"/>
      <x:c r="G284" s="252"/>
      <x:c r="H284" s="253"/>
      <x:c r="I284" s="272"/>
      <x:c r="J284" s="253"/>
      <x:c r="K284" s="252"/>
      <x:c r="L284" s="253"/>
      <x:c r="M284" s="253"/>
      <x:c r="N284" s="253"/>
      <x:c r="O284" s="253"/>
      <x:c r="P284" s="253" t="str">
        <x:f>IF(AND(A284="",B284="",H284=""),"",IF(OR(A284="",B284="",C284="",E284="",F284="",H284="",AND(A284="client",COUNTIF('الزبائن'!$A$6:$A$505,B284)=0),AND(A284="proposed_name",COUNTIF('أسماء مقترحة'!$A$6:$A$505,B284)=0)),"REVIEW","READY"))</x:f>
      </x:c>
      <x:c r="Q284" s="255" t="str">
        <x:f>IF(P284="","",IF(P284="READY","",TRIM(IF(A284="","missing entity_type; ","")&amp;IF(B284="","missing entity_key; ","")&amp;IF(C284="","missing referrer_order; ","")&amp;IF(E284="","missing referrer_type; ","")&amp;IF(F284="","missing referral_origin_channel; ","")&amp;IF(H284="","missing referrer_name_snapshot; ","")&amp;IF(AND(A284="client",COUNTIF('الزبائن'!$A$6:$A$505,B284)=0),"client key not found; ","")&amp;IF(AND(A284="proposed_name",COUNTIF('أسماء مقترحة'!$A$6:$A$505,B284)=0),"proposed_name key not found; ",""))))</x:f>
      </x:c>
    </x:row>
    <x:row r="285">
      <x:c r="A285" s="251"/>
      <x:c r="B285" s="252"/>
      <x:c r="C285" s="253"/>
      <x:c r="D285" s="253"/>
      <x:c r="E285" s="253"/>
      <x:c r="F285" s="253"/>
      <x:c r="G285" s="252"/>
      <x:c r="H285" s="253"/>
      <x:c r="I285" s="272"/>
      <x:c r="J285" s="253"/>
      <x:c r="K285" s="252"/>
      <x:c r="L285" s="253"/>
      <x:c r="M285" s="253"/>
      <x:c r="N285" s="253"/>
      <x:c r="O285" s="253"/>
      <x:c r="P285" s="253" t="str">
        <x:f>IF(AND(A285="",B285="",H285=""),"",IF(OR(A285="",B285="",C285="",E285="",F285="",H285="",AND(A285="client",COUNTIF('الزبائن'!$A$6:$A$505,B285)=0),AND(A285="proposed_name",COUNTIF('أسماء مقترحة'!$A$6:$A$505,B285)=0)),"REVIEW","READY"))</x:f>
      </x:c>
      <x:c r="Q285" s="255" t="str">
        <x:f>IF(P285="","",IF(P285="READY","",TRIM(IF(A285="","missing entity_type; ","")&amp;IF(B285="","missing entity_key; ","")&amp;IF(C285="","missing referrer_order; ","")&amp;IF(E285="","missing referrer_type; ","")&amp;IF(F285="","missing referral_origin_channel; ","")&amp;IF(H285="","missing referrer_name_snapshot; ","")&amp;IF(AND(A285="client",COUNTIF('الزبائن'!$A$6:$A$505,B285)=0),"client key not found; ","")&amp;IF(AND(A285="proposed_name",COUNTIF('أسماء مقترحة'!$A$6:$A$505,B285)=0),"proposed_name key not found; ",""))))</x:f>
      </x:c>
    </x:row>
    <x:row r="286">
      <x:c r="A286" s="251"/>
      <x:c r="B286" s="252"/>
      <x:c r="C286" s="253"/>
      <x:c r="D286" s="253"/>
      <x:c r="E286" s="253"/>
      <x:c r="F286" s="253"/>
      <x:c r="G286" s="252"/>
      <x:c r="H286" s="253"/>
      <x:c r="I286" s="272"/>
      <x:c r="J286" s="253"/>
      <x:c r="K286" s="252"/>
      <x:c r="L286" s="253"/>
      <x:c r="M286" s="253"/>
      <x:c r="N286" s="253"/>
      <x:c r="O286" s="253"/>
      <x:c r="P286" s="253" t="str">
        <x:f>IF(AND(A286="",B286="",H286=""),"",IF(OR(A286="",B286="",C286="",E286="",F286="",H286="",AND(A286="client",COUNTIF('الزبائن'!$A$6:$A$505,B286)=0),AND(A286="proposed_name",COUNTIF('أسماء مقترحة'!$A$6:$A$505,B286)=0)),"REVIEW","READY"))</x:f>
      </x:c>
      <x:c r="Q286" s="255" t="str">
        <x:f>IF(P286="","",IF(P286="READY","",TRIM(IF(A286="","missing entity_type; ","")&amp;IF(B286="","missing entity_key; ","")&amp;IF(C286="","missing referrer_order; ","")&amp;IF(E286="","missing referrer_type; ","")&amp;IF(F286="","missing referral_origin_channel; ","")&amp;IF(H286="","missing referrer_name_snapshot; ","")&amp;IF(AND(A286="client",COUNTIF('الزبائن'!$A$6:$A$505,B286)=0),"client key not found; ","")&amp;IF(AND(A286="proposed_name",COUNTIF('أسماء مقترحة'!$A$6:$A$505,B286)=0),"proposed_name key not found; ",""))))</x:f>
      </x:c>
    </x:row>
    <x:row r="287">
      <x:c r="A287" s="251"/>
      <x:c r="B287" s="252"/>
      <x:c r="C287" s="253"/>
      <x:c r="D287" s="253"/>
      <x:c r="E287" s="253"/>
      <x:c r="F287" s="253"/>
      <x:c r="G287" s="252"/>
      <x:c r="H287" s="253"/>
      <x:c r="I287" s="272"/>
      <x:c r="J287" s="253"/>
      <x:c r="K287" s="252"/>
      <x:c r="L287" s="253"/>
      <x:c r="M287" s="253"/>
      <x:c r="N287" s="253"/>
      <x:c r="O287" s="253"/>
      <x:c r="P287" s="253" t="str">
        <x:f>IF(AND(A287="",B287="",H287=""),"",IF(OR(A287="",B287="",C287="",E287="",F287="",H287="",AND(A287="client",COUNTIF('الزبائن'!$A$6:$A$505,B287)=0),AND(A287="proposed_name",COUNTIF('أسماء مقترحة'!$A$6:$A$505,B287)=0)),"REVIEW","READY"))</x:f>
      </x:c>
      <x:c r="Q287" s="255" t="str">
        <x:f>IF(P287="","",IF(P287="READY","",TRIM(IF(A287="","missing entity_type; ","")&amp;IF(B287="","missing entity_key; ","")&amp;IF(C287="","missing referrer_order; ","")&amp;IF(E287="","missing referrer_type; ","")&amp;IF(F287="","missing referral_origin_channel; ","")&amp;IF(H287="","missing referrer_name_snapshot; ","")&amp;IF(AND(A287="client",COUNTIF('الزبائن'!$A$6:$A$505,B287)=0),"client key not found; ","")&amp;IF(AND(A287="proposed_name",COUNTIF('أسماء مقترحة'!$A$6:$A$505,B287)=0),"proposed_name key not found; ",""))))</x:f>
      </x:c>
    </x:row>
    <x:row r="288">
      <x:c r="A288" s="251"/>
      <x:c r="B288" s="252"/>
      <x:c r="C288" s="253"/>
      <x:c r="D288" s="253"/>
      <x:c r="E288" s="253"/>
      <x:c r="F288" s="253"/>
      <x:c r="G288" s="252"/>
      <x:c r="H288" s="253"/>
      <x:c r="I288" s="272"/>
      <x:c r="J288" s="253"/>
      <x:c r="K288" s="252"/>
      <x:c r="L288" s="253"/>
      <x:c r="M288" s="253"/>
      <x:c r="N288" s="253"/>
      <x:c r="O288" s="253"/>
      <x:c r="P288" s="253" t="str">
        <x:f>IF(AND(A288="",B288="",H288=""),"",IF(OR(A288="",B288="",C288="",E288="",F288="",H288="",AND(A288="client",COUNTIF('الزبائن'!$A$6:$A$505,B288)=0),AND(A288="proposed_name",COUNTIF('أسماء مقترحة'!$A$6:$A$505,B288)=0)),"REVIEW","READY"))</x:f>
      </x:c>
      <x:c r="Q288" s="255" t="str">
        <x:f>IF(P288="","",IF(P288="READY","",TRIM(IF(A288="","missing entity_type; ","")&amp;IF(B288="","missing entity_key; ","")&amp;IF(C288="","missing referrer_order; ","")&amp;IF(E288="","missing referrer_type; ","")&amp;IF(F288="","missing referral_origin_channel; ","")&amp;IF(H288="","missing referrer_name_snapshot; ","")&amp;IF(AND(A288="client",COUNTIF('الزبائن'!$A$6:$A$505,B288)=0),"client key not found; ","")&amp;IF(AND(A288="proposed_name",COUNTIF('أسماء مقترحة'!$A$6:$A$505,B288)=0),"proposed_name key not found; ",""))))</x:f>
      </x:c>
    </x:row>
    <x:row r="289">
      <x:c r="A289" s="251"/>
      <x:c r="B289" s="252"/>
      <x:c r="C289" s="253"/>
      <x:c r="D289" s="253"/>
      <x:c r="E289" s="253"/>
      <x:c r="F289" s="253"/>
      <x:c r="G289" s="252"/>
      <x:c r="H289" s="253"/>
      <x:c r="I289" s="272"/>
      <x:c r="J289" s="253"/>
      <x:c r="K289" s="252"/>
      <x:c r="L289" s="253"/>
      <x:c r="M289" s="253"/>
      <x:c r="N289" s="253"/>
      <x:c r="O289" s="253"/>
      <x:c r="P289" s="253" t="str">
        <x:f>IF(AND(A289="",B289="",H289=""),"",IF(OR(A289="",B289="",C289="",E289="",F289="",H289="",AND(A289="client",COUNTIF('الزبائن'!$A$6:$A$505,B289)=0),AND(A289="proposed_name",COUNTIF('أسماء مقترحة'!$A$6:$A$505,B289)=0)),"REVIEW","READY"))</x:f>
      </x:c>
      <x:c r="Q289" s="255" t="str">
        <x:f>IF(P289="","",IF(P289="READY","",TRIM(IF(A289="","missing entity_type; ","")&amp;IF(B289="","missing entity_key; ","")&amp;IF(C289="","missing referrer_order; ","")&amp;IF(E289="","missing referrer_type; ","")&amp;IF(F289="","missing referral_origin_channel; ","")&amp;IF(H289="","missing referrer_name_snapshot; ","")&amp;IF(AND(A289="client",COUNTIF('الزبائن'!$A$6:$A$505,B289)=0),"client key not found; ","")&amp;IF(AND(A289="proposed_name",COUNTIF('أسماء مقترحة'!$A$6:$A$505,B289)=0),"proposed_name key not found; ",""))))</x:f>
      </x:c>
    </x:row>
    <x:row r="290">
      <x:c r="A290" s="251"/>
      <x:c r="B290" s="252"/>
      <x:c r="C290" s="253"/>
      <x:c r="D290" s="253"/>
      <x:c r="E290" s="253"/>
      <x:c r="F290" s="253"/>
      <x:c r="G290" s="252"/>
      <x:c r="H290" s="253"/>
      <x:c r="I290" s="272"/>
      <x:c r="J290" s="253"/>
      <x:c r="K290" s="252"/>
      <x:c r="L290" s="253"/>
      <x:c r="M290" s="253"/>
      <x:c r="N290" s="253"/>
      <x:c r="O290" s="253"/>
      <x:c r="P290" s="253" t="str">
        <x:f>IF(AND(A290="",B290="",H290=""),"",IF(OR(A290="",B290="",C290="",E290="",F290="",H290="",AND(A290="client",COUNTIF('الزبائن'!$A$6:$A$505,B290)=0),AND(A290="proposed_name",COUNTIF('أسماء مقترحة'!$A$6:$A$505,B290)=0)),"REVIEW","READY"))</x:f>
      </x:c>
      <x:c r="Q290" s="255" t="str">
        <x:f>IF(P290="","",IF(P290="READY","",TRIM(IF(A290="","missing entity_type; ","")&amp;IF(B290="","missing entity_key; ","")&amp;IF(C290="","missing referrer_order; ","")&amp;IF(E290="","missing referrer_type; ","")&amp;IF(F290="","missing referral_origin_channel; ","")&amp;IF(H290="","missing referrer_name_snapshot; ","")&amp;IF(AND(A290="client",COUNTIF('الزبائن'!$A$6:$A$505,B290)=0),"client key not found; ","")&amp;IF(AND(A290="proposed_name",COUNTIF('أسماء مقترحة'!$A$6:$A$505,B290)=0),"proposed_name key not found; ",""))))</x:f>
      </x:c>
    </x:row>
    <x:row r="291">
      <x:c r="A291" s="251"/>
      <x:c r="B291" s="252"/>
      <x:c r="C291" s="253"/>
      <x:c r="D291" s="253"/>
      <x:c r="E291" s="253"/>
      <x:c r="F291" s="253"/>
      <x:c r="G291" s="252"/>
      <x:c r="H291" s="253"/>
      <x:c r="I291" s="272"/>
      <x:c r="J291" s="253"/>
      <x:c r="K291" s="252"/>
      <x:c r="L291" s="253"/>
      <x:c r="M291" s="253"/>
      <x:c r="N291" s="253"/>
      <x:c r="O291" s="253"/>
      <x:c r="P291" s="253" t="str">
        <x:f>IF(AND(A291="",B291="",H291=""),"",IF(OR(A291="",B291="",C291="",E291="",F291="",H291="",AND(A291="client",COUNTIF('الزبائن'!$A$6:$A$505,B291)=0),AND(A291="proposed_name",COUNTIF('أسماء مقترحة'!$A$6:$A$505,B291)=0)),"REVIEW","READY"))</x:f>
      </x:c>
      <x:c r="Q291" s="255" t="str">
        <x:f>IF(P291="","",IF(P291="READY","",TRIM(IF(A291="","missing entity_type; ","")&amp;IF(B291="","missing entity_key; ","")&amp;IF(C291="","missing referrer_order; ","")&amp;IF(E291="","missing referrer_type; ","")&amp;IF(F291="","missing referral_origin_channel; ","")&amp;IF(H291="","missing referrer_name_snapshot; ","")&amp;IF(AND(A291="client",COUNTIF('الزبائن'!$A$6:$A$505,B291)=0),"client key not found; ","")&amp;IF(AND(A291="proposed_name",COUNTIF('أسماء مقترحة'!$A$6:$A$505,B291)=0),"proposed_name key not found; ",""))))</x:f>
      </x:c>
    </x:row>
    <x:row r="292">
      <x:c r="A292" s="251"/>
      <x:c r="B292" s="252"/>
      <x:c r="C292" s="253"/>
      <x:c r="D292" s="253"/>
      <x:c r="E292" s="253"/>
      <x:c r="F292" s="253"/>
      <x:c r="G292" s="252"/>
      <x:c r="H292" s="253"/>
      <x:c r="I292" s="272"/>
      <x:c r="J292" s="253"/>
      <x:c r="K292" s="252"/>
      <x:c r="L292" s="253"/>
      <x:c r="M292" s="253"/>
      <x:c r="N292" s="253"/>
      <x:c r="O292" s="253"/>
      <x:c r="P292" s="253" t="str">
        <x:f>IF(AND(A292="",B292="",H292=""),"",IF(OR(A292="",B292="",C292="",E292="",F292="",H292="",AND(A292="client",COUNTIF('الزبائن'!$A$6:$A$505,B292)=0),AND(A292="proposed_name",COUNTIF('أسماء مقترحة'!$A$6:$A$505,B292)=0)),"REVIEW","READY"))</x:f>
      </x:c>
      <x:c r="Q292" s="255" t="str">
        <x:f>IF(P292="","",IF(P292="READY","",TRIM(IF(A292="","missing entity_type; ","")&amp;IF(B292="","missing entity_key; ","")&amp;IF(C292="","missing referrer_order; ","")&amp;IF(E292="","missing referrer_type; ","")&amp;IF(F292="","missing referral_origin_channel; ","")&amp;IF(H292="","missing referrer_name_snapshot; ","")&amp;IF(AND(A292="client",COUNTIF('الزبائن'!$A$6:$A$505,B292)=0),"client key not found; ","")&amp;IF(AND(A292="proposed_name",COUNTIF('أسماء مقترحة'!$A$6:$A$505,B292)=0),"proposed_name key not found; ",""))))</x:f>
      </x:c>
    </x:row>
    <x:row r="293">
      <x:c r="A293" s="251"/>
      <x:c r="B293" s="252"/>
      <x:c r="C293" s="253"/>
      <x:c r="D293" s="253"/>
      <x:c r="E293" s="253"/>
      <x:c r="F293" s="253"/>
      <x:c r="G293" s="252"/>
      <x:c r="H293" s="253"/>
      <x:c r="I293" s="272"/>
      <x:c r="J293" s="253"/>
      <x:c r="K293" s="252"/>
      <x:c r="L293" s="253"/>
      <x:c r="M293" s="253"/>
      <x:c r="N293" s="253"/>
      <x:c r="O293" s="253"/>
      <x:c r="P293" s="253" t="str">
        <x:f>IF(AND(A293="",B293="",H293=""),"",IF(OR(A293="",B293="",C293="",E293="",F293="",H293="",AND(A293="client",COUNTIF('الزبائن'!$A$6:$A$505,B293)=0),AND(A293="proposed_name",COUNTIF('أسماء مقترحة'!$A$6:$A$505,B293)=0)),"REVIEW","READY"))</x:f>
      </x:c>
      <x:c r="Q293" s="255" t="str">
        <x:f>IF(P293="","",IF(P293="READY","",TRIM(IF(A293="","missing entity_type; ","")&amp;IF(B293="","missing entity_key; ","")&amp;IF(C293="","missing referrer_order; ","")&amp;IF(E293="","missing referrer_type; ","")&amp;IF(F293="","missing referral_origin_channel; ","")&amp;IF(H293="","missing referrer_name_snapshot; ","")&amp;IF(AND(A293="client",COUNTIF('الزبائن'!$A$6:$A$505,B293)=0),"client key not found; ","")&amp;IF(AND(A293="proposed_name",COUNTIF('أسماء مقترحة'!$A$6:$A$505,B293)=0),"proposed_name key not found; ",""))))</x:f>
      </x:c>
    </x:row>
    <x:row r="294">
      <x:c r="A294" s="251"/>
      <x:c r="B294" s="252"/>
      <x:c r="C294" s="253"/>
      <x:c r="D294" s="253"/>
      <x:c r="E294" s="253"/>
      <x:c r="F294" s="253"/>
      <x:c r="G294" s="252"/>
      <x:c r="H294" s="253"/>
      <x:c r="I294" s="272"/>
      <x:c r="J294" s="253"/>
      <x:c r="K294" s="252"/>
      <x:c r="L294" s="253"/>
      <x:c r="M294" s="253"/>
      <x:c r="N294" s="253"/>
      <x:c r="O294" s="253"/>
      <x:c r="P294" s="253" t="str">
        <x:f>IF(AND(A294="",B294="",H294=""),"",IF(OR(A294="",B294="",C294="",E294="",F294="",H294="",AND(A294="client",COUNTIF('الزبائن'!$A$6:$A$505,B294)=0),AND(A294="proposed_name",COUNTIF('أسماء مقترحة'!$A$6:$A$505,B294)=0)),"REVIEW","READY"))</x:f>
      </x:c>
      <x:c r="Q294" s="255" t="str">
        <x:f>IF(P294="","",IF(P294="READY","",TRIM(IF(A294="","missing entity_type; ","")&amp;IF(B294="","missing entity_key; ","")&amp;IF(C294="","missing referrer_order; ","")&amp;IF(E294="","missing referrer_type; ","")&amp;IF(F294="","missing referral_origin_channel; ","")&amp;IF(H294="","missing referrer_name_snapshot; ","")&amp;IF(AND(A294="client",COUNTIF('الزبائن'!$A$6:$A$505,B294)=0),"client key not found; ","")&amp;IF(AND(A294="proposed_name",COUNTIF('أسماء مقترحة'!$A$6:$A$505,B294)=0),"proposed_name key not found; ",""))))</x:f>
      </x:c>
    </x:row>
    <x:row r="295">
      <x:c r="A295" s="251"/>
      <x:c r="B295" s="252"/>
      <x:c r="C295" s="253"/>
      <x:c r="D295" s="253"/>
      <x:c r="E295" s="253"/>
      <x:c r="F295" s="253"/>
      <x:c r="G295" s="252"/>
      <x:c r="H295" s="253"/>
      <x:c r="I295" s="272"/>
      <x:c r="J295" s="253"/>
      <x:c r="K295" s="252"/>
      <x:c r="L295" s="253"/>
      <x:c r="M295" s="253"/>
      <x:c r="N295" s="253"/>
      <x:c r="O295" s="253"/>
      <x:c r="P295" s="253" t="str">
        <x:f>IF(AND(A295="",B295="",H295=""),"",IF(OR(A295="",B295="",C295="",E295="",F295="",H295="",AND(A295="client",COUNTIF('الزبائن'!$A$6:$A$505,B295)=0),AND(A295="proposed_name",COUNTIF('أسماء مقترحة'!$A$6:$A$505,B295)=0)),"REVIEW","READY"))</x:f>
      </x:c>
      <x:c r="Q295" s="255" t="str">
        <x:f>IF(P295="","",IF(P295="READY","",TRIM(IF(A295="","missing entity_type; ","")&amp;IF(B295="","missing entity_key; ","")&amp;IF(C295="","missing referrer_order; ","")&amp;IF(E295="","missing referrer_type; ","")&amp;IF(F295="","missing referral_origin_channel; ","")&amp;IF(H295="","missing referrer_name_snapshot; ","")&amp;IF(AND(A295="client",COUNTIF('الزبائن'!$A$6:$A$505,B295)=0),"client key not found; ","")&amp;IF(AND(A295="proposed_name",COUNTIF('أسماء مقترحة'!$A$6:$A$505,B295)=0),"proposed_name key not found; ",""))))</x:f>
      </x:c>
    </x:row>
    <x:row r="296">
      <x:c r="A296" s="251"/>
      <x:c r="B296" s="252"/>
      <x:c r="C296" s="253"/>
      <x:c r="D296" s="253"/>
      <x:c r="E296" s="253"/>
      <x:c r="F296" s="253"/>
      <x:c r="G296" s="252"/>
      <x:c r="H296" s="253"/>
      <x:c r="I296" s="272"/>
      <x:c r="J296" s="253"/>
      <x:c r="K296" s="252"/>
      <x:c r="L296" s="253"/>
      <x:c r="M296" s="253"/>
      <x:c r="N296" s="253"/>
      <x:c r="O296" s="253"/>
      <x:c r="P296" s="253" t="str">
        <x:f>IF(AND(A296="",B296="",H296=""),"",IF(OR(A296="",B296="",C296="",E296="",F296="",H296="",AND(A296="client",COUNTIF('الزبائن'!$A$6:$A$505,B296)=0),AND(A296="proposed_name",COUNTIF('أسماء مقترحة'!$A$6:$A$505,B296)=0)),"REVIEW","READY"))</x:f>
      </x:c>
      <x:c r="Q296" s="255" t="str">
        <x:f>IF(P296="","",IF(P296="READY","",TRIM(IF(A296="","missing entity_type; ","")&amp;IF(B296="","missing entity_key; ","")&amp;IF(C296="","missing referrer_order; ","")&amp;IF(E296="","missing referrer_type; ","")&amp;IF(F296="","missing referral_origin_channel; ","")&amp;IF(H296="","missing referrer_name_snapshot; ","")&amp;IF(AND(A296="client",COUNTIF('الزبائن'!$A$6:$A$505,B296)=0),"client key not found; ","")&amp;IF(AND(A296="proposed_name",COUNTIF('أسماء مقترحة'!$A$6:$A$505,B296)=0),"proposed_name key not found; ",""))))</x:f>
      </x:c>
    </x:row>
    <x:row r="297">
      <x:c r="A297" s="251"/>
      <x:c r="B297" s="252"/>
      <x:c r="C297" s="253"/>
      <x:c r="D297" s="253"/>
      <x:c r="E297" s="253"/>
      <x:c r="F297" s="253"/>
      <x:c r="G297" s="252"/>
      <x:c r="H297" s="253"/>
      <x:c r="I297" s="272"/>
      <x:c r="J297" s="253"/>
      <x:c r="K297" s="252"/>
      <x:c r="L297" s="253"/>
      <x:c r="M297" s="253"/>
      <x:c r="N297" s="253"/>
      <x:c r="O297" s="253"/>
      <x:c r="P297" s="253" t="str">
        <x:f>IF(AND(A297="",B297="",H297=""),"",IF(OR(A297="",B297="",C297="",E297="",F297="",H297="",AND(A297="client",COUNTIF('الزبائن'!$A$6:$A$505,B297)=0),AND(A297="proposed_name",COUNTIF('أسماء مقترحة'!$A$6:$A$505,B297)=0)),"REVIEW","READY"))</x:f>
      </x:c>
      <x:c r="Q297" s="255" t="str">
        <x:f>IF(P297="","",IF(P297="READY","",TRIM(IF(A297="","missing entity_type; ","")&amp;IF(B297="","missing entity_key; ","")&amp;IF(C297="","missing referrer_order; ","")&amp;IF(E297="","missing referrer_type; ","")&amp;IF(F297="","missing referral_origin_channel; ","")&amp;IF(H297="","missing referrer_name_snapshot; ","")&amp;IF(AND(A297="client",COUNTIF('الزبائن'!$A$6:$A$505,B297)=0),"client key not found; ","")&amp;IF(AND(A297="proposed_name",COUNTIF('أسماء مقترحة'!$A$6:$A$505,B297)=0),"proposed_name key not found; ",""))))</x:f>
      </x:c>
    </x:row>
    <x:row r="298">
      <x:c r="A298" s="251"/>
      <x:c r="B298" s="252"/>
      <x:c r="C298" s="253"/>
      <x:c r="D298" s="253"/>
      <x:c r="E298" s="253"/>
      <x:c r="F298" s="253"/>
      <x:c r="G298" s="252"/>
      <x:c r="H298" s="253"/>
      <x:c r="I298" s="272"/>
      <x:c r="J298" s="253"/>
      <x:c r="K298" s="252"/>
      <x:c r="L298" s="253"/>
      <x:c r="M298" s="253"/>
      <x:c r="N298" s="253"/>
      <x:c r="O298" s="253"/>
      <x:c r="P298" s="253" t="str">
        <x:f>IF(AND(A298="",B298="",H298=""),"",IF(OR(A298="",B298="",C298="",E298="",F298="",H298="",AND(A298="client",COUNTIF('الزبائن'!$A$6:$A$505,B298)=0),AND(A298="proposed_name",COUNTIF('أسماء مقترحة'!$A$6:$A$505,B298)=0)),"REVIEW","READY"))</x:f>
      </x:c>
      <x:c r="Q298" s="255" t="str">
        <x:f>IF(P298="","",IF(P298="READY","",TRIM(IF(A298="","missing entity_type; ","")&amp;IF(B298="","missing entity_key; ","")&amp;IF(C298="","missing referrer_order; ","")&amp;IF(E298="","missing referrer_type; ","")&amp;IF(F298="","missing referral_origin_channel; ","")&amp;IF(H298="","missing referrer_name_snapshot; ","")&amp;IF(AND(A298="client",COUNTIF('الزبائن'!$A$6:$A$505,B298)=0),"client key not found; ","")&amp;IF(AND(A298="proposed_name",COUNTIF('أسماء مقترحة'!$A$6:$A$505,B298)=0),"proposed_name key not found; ",""))))</x:f>
      </x:c>
    </x:row>
    <x:row r="299">
      <x:c r="A299" s="251"/>
      <x:c r="B299" s="252"/>
      <x:c r="C299" s="253"/>
      <x:c r="D299" s="253"/>
      <x:c r="E299" s="253"/>
      <x:c r="F299" s="253"/>
      <x:c r="G299" s="252"/>
      <x:c r="H299" s="253"/>
      <x:c r="I299" s="272"/>
      <x:c r="J299" s="253"/>
      <x:c r="K299" s="252"/>
      <x:c r="L299" s="253"/>
      <x:c r="M299" s="253"/>
      <x:c r="N299" s="253"/>
      <x:c r="O299" s="253"/>
      <x:c r="P299" s="253" t="str">
        <x:f>IF(AND(A299="",B299="",H299=""),"",IF(OR(A299="",B299="",C299="",E299="",F299="",H299="",AND(A299="client",COUNTIF('الزبائن'!$A$6:$A$505,B299)=0),AND(A299="proposed_name",COUNTIF('أسماء مقترحة'!$A$6:$A$505,B299)=0)),"REVIEW","READY"))</x:f>
      </x:c>
      <x:c r="Q299" s="255" t="str">
        <x:f>IF(P299="","",IF(P299="READY","",TRIM(IF(A299="","missing entity_type; ","")&amp;IF(B299="","missing entity_key; ","")&amp;IF(C299="","missing referrer_order; ","")&amp;IF(E299="","missing referrer_type; ","")&amp;IF(F299="","missing referral_origin_channel; ","")&amp;IF(H299="","missing referrer_name_snapshot; ","")&amp;IF(AND(A299="client",COUNTIF('الزبائن'!$A$6:$A$505,B299)=0),"client key not found; ","")&amp;IF(AND(A299="proposed_name",COUNTIF('أسماء مقترحة'!$A$6:$A$505,B299)=0),"proposed_name key not found; ",""))))</x:f>
      </x:c>
    </x:row>
    <x:row r="300">
      <x:c r="A300" s="251"/>
      <x:c r="B300" s="252"/>
      <x:c r="C300" s="253"/>
      <x:c r="D300" s="253"/>
      <x:c r="E300" s="253"/>
      <x:c r="F300" s="253"/>
      <x:c r="G300" s="252"/>
      <x:c r="H300" s="253"/>
      <x:c r="I300" s="272"/>
      <x:c r="J300" s="253"/>
      <x:c r="K300" s="252"/>
      <x:c r="L300" s="253"/>
      <x:c r="M300" s="253"/>
      <x:c r="N300" s="253"/>
      <x:c r="O300" s="253"/>
      <x:c r="P300" s="253" t="str">
        <x:f>IF(AND(A300="",B300="",H300=""),"",IF(OR(A300="",B300="",C300="",E300="",F300="",H300="",AND(A300="client",COUNTIF('الزبائن'!$A$6:$A$505,B300)=0),AND(A300="proposed_name",COUNTIF('أسماء مقترحة'!$A$6:$A$505,B300)=0)),"REVIEW","READY"))</x:f>
      </x:c>
      <x:c r="Q300" s="255" t="str">
        <x:f>IF(P300="","",IF(P300="READY","",TRIM(IF(A300="","missing entity_type; ","")&amp;IF(B300="","missing entity_key; ","")&amp;IF(C300="","missing referrer_order; ","")&amp;IF(E300="","missing referrer_type; ","")&amp;IF(F300="","missing referral_origin_channel; ","")&amp;IF(H300="","missing referrer_name_snapshot; ","")&amp;IF(AND(A300="client",COUNTIF('الزبائن'!$A$6:$A$505,B300)=0),"client key not found; ","")&amp;IF(AND(A300="proposed_name",COUNTIF('أسماء مقترحة'!$A$6:$A$505,B300)=0),"proposed_name key not found; ",""))))</x:f>
      </x:c>
    </x:row>
    <x:row r="301">
      <x:c r="A301" s="251"/>
      <x:c r="B301" s="252"/>
      <x:c r="C301" s="253"/>
      <x:c r="D301" s="253"/>
      <x:c r="E301" s="253"/>
      <x:c r="F301" s="253"/>
      <x:c r="G301" s="252"/>
      <x:c r="H301" s="253"/>
      <x:c r="I301" s="272"/>
      <x:c r="J301" s="253"/>
      <x:c r="K301" s="252"/>
      <x:c r="L301" s="253"/>
      <x:c r="M301" s="253"/>
      <x:c r="N301" s="253"/>
      <x:c r="O301" s="253"/>
      <x:c r="P301" s="253" t="str">
        <x:f>IF(AND(A301="",B301="",H301=""),"",IF(OR(A301="",B301="",C301="",E301="",F301="",H301="",AND(A301="client",COUNTIF('الزبائن'!$A$6:$A$505,B301)=0),AND(A301="proposed_name",COUNTIF('أسماء مقترحة'!$A$6:$A$505,B301)=0)),"REVIEW","READY"))</x:f>
      </x:c>
      <x:c r="Q301" s="255" t="str">
        <x:f>IF(P301="","",IF(P301="READY","",TRIM(IF(A301="","missing entity_type; ","")&amp;IF(B301="","missing entity_key; ","")&amp;IF(C301="","missing referrer_order; ","")&amp;IF(E301="","missing referrer_type; ","")&amp;IF(F301="","missing referral_origin_channel; ","")&amp;IF(H301="","missing referrer_name_snapshot; ","")&amp;IF(AND(A301="client",COUNTIF('الزبائن'!$A$6:$A$505,B301)=0),"client key not found; ","")&amp;IF(AND(A301="proposed_name",COUNTIF('أسماء مقترحة'!$A$6:$A$505,B301)=0),"proposed_name key not found; ",""))))</x:f>
      </x:c>
    </x:row>
    <x:row r="302">
      <x:c r="A302" s="251"/>
      <x:c r="B302" s="252"/>
      <x:c r="C302" s="253"/>
      <x:c r="D302" s="253"/>
      <x:c r="E302" s="253"/>
      <x:c r="F302" s="253"/>
      <x:c r="G302" s="252"/>
      <x:c r="H302" s="253"/>
      <x:c r="I302" s="272"/>
      <x:c r="J302" s="253"/>
      <x:c r="K302" s="252"/>
      <x:c r="L302" s="253"/>
      <x:c r="M302" s="253"/>
      <x:c r="N302" s="253"/>
      <x:c r="O302" s="253"/>
      <x:c r="P302" s="253" t="str">
        <x:f>IF(AND(A302="",B302="",H302=""),"",IF(OR(A302="",B302="",C302="",E302="",F302="",H302="",AND(A302="client",COUNTIF('الزبائن'!$A$6:$A$505,B302)=0),AND(A302="proposed_name",COUNTIF('أسماء مقترحة'!$A$6:$A$505,B302)=0)),"REVIEW","READY"))</x:f>
      </x:c>
      <x:c r="Q302" s="255" t="str">
        <x:f>IF(P302="","",IF(P302="READY","",TRIM(IF(A302="","missing entity_type; ","")&amp;IF(B302="","missing entity_key; ","")&amp;IF(C302="","missing referrer_order; ","")&amp;IF(E302="","missing referrer_type; ","")&amp;IF(F302="","missing referral_origin_channel; ","")&amp;IF(H302="","missing referrer_name_snapshot; ","")&amp;IF(AND(A302="client",COUNTIF('الزبائن'!$A$6:$A$505,B302)=0),"client key not found; ","")&amp;IF(AND(A302="proposed_name",COUNTIF('أسماء مقترحة'!$A$6:$A$505,B302)=0),"proposed_name key not found; ",""))))</x:f>
      </x:c>
    </x:row>
    <x:row r="303">
      <x:c r="A303" s="251"/>
      <x:c r="B303" s="252"/>
      <x:c r="C303" s="253"/>
      <x:c r="D303" s="253"/>
      <x:c r="E303" s="253"/>
      <x:c r="F303" s="253"/>
      <x:c r="G303" s="252"/>
      <x:c r="H303" s="253"/>
      <x:c r="I303" s="272"/>
      <x:c r="J303" s="253"/>
      <x:c r="K303" s="252"/>
      <x:c r="L303" s="253"/>
      <x:c r="M303" s="253"/>
      <x:c r="N303" s="253"/>
      <x:c r="O303" s="253"/>
      <x:c r="P303" s="253" t="str">
        <x:f>IF(AND(A303="",B303="",H303=""),"",IF(OR(A303="",B303="",C303="",E303="",F303="",H303="",AND(A303="client",COUNTIF('الزبائن'!$A$6:$A$505,B303)=0),AND(A303="proposed_name",COUNTIF('أسماء مقترحة'!$A$6:$A$505,B303)=0)),"REVIEW","READY"))</x:f>
      </x:c>
      <x:c r="Q303" s="255" t="str">
        <x:f>IF(P303="","",IF(P303="READY","",TRIM(IF(A303="","missing entity_type; ","")&amp;IF(B303="","missing entity_key; ","")&amp;IF(C303="","missing referrer_order; ","")&amp;IF(E303="","missing referrer_type; ","")&amp;IF(F303="","missing referral_origin_channel; ","")&amp;IF(H303="","missing referrer_name_snapshot; ","")&amp;IF(AND(A303="client",COUNTIF('الزبائن'!$A$6:$A$505,B303)=0),"client key not found; ","")&amp;IF(AND(A303="proposed_name",COUNTIF('أسماء مقترحة'!$A$6:$A$505,B303)=0),"proposed_name key not found; ",""))))</x:f>
      </x:c>
    </x:row>
    <x:row r="304">
      <x:c r="A304" s="251"/>
      <x:c r="B304" s="252"/>
      <x:c r="C304" s="253"/>
      <x:c r="D304" s="253"/>
      <x:c r="E304" s="253"/>
      <x:c r="F304" s="253"/>
      <x:c r="G304" s="252"/>
      <x:c r="H304" s="253"/>
      <x:c r="I304" s="272"/>
      <x:c r="J304" s="253"/>
      <x:c r="K304" s="252"/>
      <x:c r="L304" s="253"/>
      <x:c r="M304" s="253"/>
      <x:c r="N304" s="253"/>
      <x:c r="O304" s="253"/>
      <x:c r="P304" s="253" t="str">
        <x:f>IF(AND(A304="",B304="",H304=""),"",IF(OR(A304="",B304="",C304="",E304="",F304="",H304="",AND(A304="client",COUNTIF('الزبائن'!$A$6:$A$505,B304)=0),AND(A304="proposed_name",COUNTIF('أسماء مقترحة'!$A$6:$A$505,B304)=0)),"REVIEW","READY"))</x:f>
      </x:c>
      <x:c r="Q304" s="255" t="str">
        <x:f>IF(P304="","",IF(P304="READY","",TRIM(IF(A304="","missing entity_type; ","")&amp;IF(B304="","missing entity_key; ","")&amp;IF(C304="","missing referrer_order; ","")&amp;IF(E304="","missing referrer_type; ","")&amp;IF(F304="","missing referral_origin_channel; ","")&amp;IF(H304="","missing referrer_name_snapshot; ","")&amp;IF(AND(A304="client",COUNTIF('الزبائن'!$A$6:$A$505,B304)=0),"client key not found; ","")&amp;IF(AND(A304="proposed_name",COUNTIF('أسماء مقترحة'!$A$6:$A$505,B304)=0),"proposed_name key not found; ",""))))</x:f>
      </x:c>
    </x:row>
    <x:row r="305">
      <x:c r="A305" s="251"/>
      <x:c r="B305" s="252"/>
      <x:c r="C305" s="253"/>
      <x:c r="D305" s="253"/>
      <x:c r="E305" s="253"/>
      <x:c r="F305" s="253"/>
      <x:c r="G305" s="252"/>
      <x:c r="H305" s="253"/>
      <x:c r="I305" s="272"/>
      <x:c r="J305" s="253"/>
      <x:c r="K305" s="252"/>
      <x:c r="L305" s="253"/>
      <x:c r="M305" s="253"/>
      <x:c r="N305" s="253"/>
      <x:c r="O305" s="253"/>
      <x:c r="P305" s="253" t="str">
        <x:f>IF(AND(A305="",B305="",H305=""),"",IF(OR(A305="",B305="",C305="",E305="",F305="",H305="",AND(A305="client",COUNTIF('الزبائن'!$A$6:$A$505,B305)=0),AND(A305="proposed_name",COUNTIF('أسماء مقترحة'!$A$6:$A$505,B305)=0)),"REVIEW","READY"))</x:f>
      </x:c>
      <x:c r="Q305" s="255" t="str">
        <x:f>IF(P305="","",IF(P305="READY","",TRIM(IF(A305="","missing entity_type; ","")&amp;IF(B305="","missing entity_key; ","")&amp;IF(C305="","missing referrer_order; ","")&amp;IF(E305="","missing referrer_type; ","")&amp;IF(F305="","missing referral_origin_channel; ","")&amp;IF(H305="","missing referrer_name_snapshot; ","")&amp;IF(AND(A305="client",COUNTIF('الزبائن'!$A$6:$A$505,B305)=0),"client key not found; ","")&amp;IF(AND(A305="proposed_name",COUNTIF('أسماء مقترحة'!$A$6:$A$505,B305)=0),"proposed_name key not found; ",""))))</x:f>
      </x:c>
    </x:row>
    <x:row r="306">
      <x:c r="A306" s="251"/>
      <x:c r="B306" s="252"/>
      <x:c r="C306" s="253"/>
      <x:c r="D306" s="253"/>
      <x:c r="E306" s="253"/>
      <x:c r="F306" s="253"/>
      <x:c r="G306" s="252"/>
      <x:c r="H306" s="253"/>
      <x:c r="I306" s="272"/>
      <x:c r="J306" s="253"/>
      <x:c r="K306" s="252"/>
      <x:c r="L306" s="253"/>
      <x:c r="M306" s="253"/>
      <x:c r="N306" s="253"/>
      <x:c r="O306" s="253"/>
      <x:c r="P306" s="253" t="str">
        <x:f>IF(AND(A306="",B306="",H306=""),"",IF(OR(A306="",B306="",C306="",E306="",F306="",H306="",AND(A306="client",COUNTIF('الزبائن'!$A$6:$A$505,B306)=0),AND(A306="proposed_name",COUNTIF('أسماء مقترحة'!$A$6:$A$505,B306)=0)),"REVIEW","READY"))</x:f>
      </x:c>
      <x:c r="Q306" s="255" t="str">
        <x:f>IF(P306="","",IF(P306="READY","",TRIM(IF(A306="","missing entity_type; ","")&amp;IF(B306="","missing entity_key; ","")&amp;IF(C306="","missing referrer_order; ","")&amp;IF(E306="","missing referrer_type; ","")&amp;IF(F306="","missing referral_origin_channel; ","")&amp;IF(H306="","missing referrer_name_snapshot; ","")&amp;IF(AND(A306="client",COUNTIF('الزبائن'!$A$6:$A$505,B306)=0),"client key not found; ","")&amp;IF(AND(A306="proposed_name",COUNTIF('أسماء مقترحة'!$A$6:$A$505,B306)=0),"proposed_name key not found; ",""))))</x:f>
      </x:c>
    </x:row>
    <x:row r="307">
      <x:c r="A307" s="251"/>
      <x:c r="B307" s="252"/>
      <x:c r="C307" s="253"/>
      <x:c r="D307" s="253"/>
      <x:c r="E307" s="253"/>
      <x:c r="F307" s="253"/>
      <x:c r="G307" s="252"/>
      <x:c r="H307" s="253"/>
      <x:c r="I307" s="272"/>
      <x:c r="J307" s="253"/>
      <x:c r="K307" s="252"/>
      <x:c r="L307" s="253"/>
      <x:c r="M307" s="253"/>
      <x:c r="N307" s="253"/>
      <x:c r="O307" s="253"/>
      <x:c r="P307" s="253" t="str">
        <x:f>IF(AND(A307="",B307="",H307=""),"",IF(OR(A307="",B307="",C307="",E307="",F307="",H307="",AND(A307="client",COUNTIF('الزبائن'!$A$6:$A$505,B307)=0),AND(A307="proposed_name",COUNTIF('أسماء مقترحة'!$A$6:$A$505,B307)=0)),"REVIEW","READY"))</x:f>
      </x:c>
      <x:c r="Q307" s="255" t="str">
        <x:f>IF(P307="","",IF(P307="READY","",TRIM(IF(A307="","missing entity_type; ","")&amp;IF(B307="","missing entity_key; ","")&amp;IF(C307="","missing referrer_order; ","")&amp;IF(E307="","missing referrer_type; ","")&amp;IF(F307="","missing referral_origin_channel; ","")&amp;IF(H307="","missing referrer_name_snapshot; ","")&amp;IF(AND(A307="client",COUNTIF('الزبائن'!$A$6:$A$505,B307)=0),"client key not found; ","")&amp;IF(AND(A307="proposed_name",COUNTIF('أسماء مقترحة'!$A$6:$A$505,B307)=0),"proposed_name key not found; ",""))))</x:f>
      </x:c>
    </x:row>
    <x:row r="308">
      <x:c r="A308" s="251"/>
      <x:c r="B308" s="252"/>
      <x:c r="C308" s="253"/>
      <x:c r="D308" s="253"/>
      <x:c r="E308" s="253"/>
      <x:c r="F308" s="253"/>
      <x:c r="G308" s="252"/>
      <x:c r="H308" s="253"/>
      <x:c r="I308" s="272"/>
      <x:c r="J308" s="253"/>
      <x:c r="K308" s="252"/>
      <x:c r="L308" s="253"/>
      <x:c r="M308" s="253"/>
      <x:c r="N308" s="253"/>
      <x:c r="O308" s="253"/>
      <x:c r="P308" s="253" t="str">
        <x:f>IF(AND(A308="",B308="",H308=""),"",IF(OR(A308="",B308="",C308="",E308="",F308="",H308="",AND(A308="client",COUNTIF('الزبائن'!$A$6:$A$505,B308)=0),AND(A308="proposed_name",COUNTIF('أسماء مقترحة'!$A$6:$A$505,B308)=0)),"REVIEW","READY"))</x:f>
      </x:c>
      <x:c r="Q308" s="255" t="str">
        <x:f>IF(P308="","",IF(P308="READY","",TRIM(IF(A308="","missing entity_type; ","")&amp;IF(B308="","missing entity_key; ","")&amp;IF(C308="","missing referrer_order; ","")&amp;IF(E308="","missing referrer_type; ","")&amp;IF(F308="","missing referral_origin_channel; ","")&amp;IF(H308="","missing referrer_name_snapshot; ","")&amp;IF(AND(A308="client",COUNTIF('الزبائن'!$A$6:$A$505,B308)=0),"client key not found; ","")&amp;IF(AND(A308="proposed_name",COUNTIF('أسماء مقترحة'!$A$6:$A$505,B308)=0),"proposed_name key not found; ",""))))</x:f>
      </x:c>
    </x:row>
    <x:row r="309">
      <x:c r="A309" s="251"/>
      <x:c r="B309" s="252"/>
      <x:c r="C309" s="253"/>
      <x:c r="D309" s="253"/>
      <x:c r="E309" s="253"/>
      <x:c r="F309" s="253"/>
      <x:c r="G309" s="252"/>
      <x:c r="H309" s="253"/>
      <x:c r="I309" s="272"/>
      <x:c r="J309" s="253"/>
      <x:c r="K309" s="252"/>
      <x:c r="L309" s="253"/>
      <x:c r="M309" s="253"/>
      <x:c r="N309" s="253"/>
      <x:c r="O309" s="253"/>
      <x:c r="P309" s="253" t="str">
        <x:f>IF(AND(A309="",B309="",H309=""),"",IF(OR(A309="",B309="",C309="",E309="",F309="",H309="",AND(A309="client",COUNTIF('الزبائن'!$A$6:$A$505,B309)=0),AND(A309="proposed_name",COUNTIF('أسماء مقترحة'!$A$6:$A$505,B309)=0)),"REVIEW","READY"))</x:f>
      </x:c>
      <x:c r="Q309" s="255" t="str">
        <x:f>IF(P309="","",IF(P309="READY","",TRIM(IF(A309="","missing entity_type; ","")&amp;IF(B309="","missing entity_key; ","")&amp;IF(C309="","missing referrer_order; ","")&amp;IF(E309="","missing referrer_type; ","")&amp;IF(F309="","missing referral_origin_channel; ","")&amp;IF(H309="","missing referrer_name_snapshot; ","")&amp;IF(AND(A309="client",COUNTIF('الزبائن'!$A$6:$A$505,B309)=0),"client key not found; ","")&amp;IF(AND(A309="proposed_name",COUNTIF('أسماء مقترحة'!$A$6:$A$505,B309)=0),"proposed_name key not found; ",""))))</x:f>
      </x:c>
    </x:row>
    <x:row r="310">
      <x:c r="A310" s="251"/>
      <x:c r="B310" s="252"/>
      <x:c r="C310" s="253"/>
      <x:c r="D310" s="253"/>
      <x:c r="E310" s="253"/>
      <x:c r="F310" s="253"/>
      <x:c r="G310" s="252"/>
      <x:c r="H310" s="253"/>
      <x:c r="I310" s="272"/>
      <x:c r="J310" s="253"/>
      <x:c r="K310" s="252"/>
      <x:c r="L310" s="253"/>
      <x:c r="M310" s="253"/>
      <x:c r="N310" s="253"/>
      <x:c r="O310" s="253"/>
      <x:c r="P310" s="253" t="str">
        <x:f>IF(AND(A310="",B310="",H310=""),"",IF(OR(A310="",B310="",C310="",E310="",F310="",H310="",AND(A310="client",COUNTIF('الزبائن'!$A$6:$A$505,B310)=0),AND(A310="proposed_name",COUNTIF('أسماء مقترحة'!$A$6:$A$505,B310)=0)),"REVIEW","READY"))</x:f>
      </x:c>
      <x:c r="Q310" s="255" t="str">
        <x:f>IF(P310="","",IF(P310="READY","",TRIM(IF(A310="","missing entity_type; ","")&amp;IF(B310="","missing entity_key; ","")&amp;IF(C310="","missing referrer_order; ","")&amp;IF(E310="","missing referrer_type; ","")&amp;IF(F310="","missing referral_origin_channel; ","")&amp;IF(H310="","missing referrer_name_snapshot; ","")&amp;IF(AND(A310="client",COUNTIF('الزبائن'!$A$6:$A$505,B310)=0),"client key not found; ","")&amp;IF(AND(A310="proposed_name",COUNTIF('أسماء مقترحة'!$A$6:$A$505,B310)=0),"proposed_name key not found; ",""))))</x:f>
      </x:c>
    </x:row>
    <x:row r="311">
      <x:c r="A311" s="251"/>
      <x:c r="B311" s="252"/>
      <x:c r="C311" s="253"/>
      <x:c r="D311" s="253"/>
      <x:c r="E311" s="253"/>
      <x:c r="F311" s="253"/>
      <x:c r="G311" s="252"/>
      <x:c r="H311" s="253"/>
      <x:c r="I311" s="272"/>
      <x:c r="J311" s="253"/>
      <x:c r="K311" s="252"/>
      <x:c r="L311" s="253"/>
      <x:c r="M311" s="253"/>
      <x:c r="N311" s="253"/>
      <x:c r="O311" s="253"/>
      <x:c r="P311" s="253" t="str">
        <x:f>IF(AND(A311="",B311="",H311=""),"",IF(OR(A311="",B311="",C311="",E311="",F311="",H311="",AND(A311="client",COUNTIF('الزبائن'!$A$6:$A$505,B311)=0),AND(A311="proposed_name",COUNTIF('أسماء مقترحة'!$A$6:$A$505,B311)=0)),"REVIEW","READY"))</x:f>
      </x:c>
      <x:c r="Q311" s="255" t="str">
        <x:f>IF(P311="","",IF(P311="READY","",TRIM(IF(A311="","missing entity_type; ","")&amp;IF(B311="","missing entity_key; ","")&amp;IF(C311="","missing referrer_order; ","")&amp;IF(E311="","missing referrer_type; ","")&amp;IF(F311="","missing referral_origin_channel; ","")&amp;IF(H311="","missing referrer_name_snapshot; ","")&amp;IF(AND(A311="client",COUNTIF('الزبائن'!$A$6:$A$505,B311)=0),"client key not found; ","")&amp;IF(AND(A311="proposed_name",COUNTIF('أسماء مقترحة'!$A$6:$A$505,B311)=0),"proposed_name key not found; ",""))))</x:f>
      </x:c>
    </x:row>
    <x:row r="312">
      <x:c r="A312" s="251"/>
      <x:c r="B312" s="252"/>
      <x:c r="C312" s="253"/>
      <x:c r="D312" s="253"/>
      <x:c r="E312" s="253"/>
      <x:c r="F312" s="253"/>
      <x:c r="G312" s="252"/>
      <x:c r="H312" s="253"/>
      <x:c r="I312" s="272"/>
      <x:c r="J312" s="253"/>
      <x:c r="K312" s="252"/>
      <x:c r="L312" s="253"/>
      <x:c r="M312" s="253"/>
      <x:c r="N312" s="253"/>
      <x:c r="O312" s="253"/>
      <x:c r="P312" s="253" t="str">
        <x:f>IF(AND(A312="",B312="",H312=""),"",IF(OR(A312="",B312="",C312="",E312="",F312="",H312="",AND(A312="client",COUNTIF('الزبائن'!$A$6:$A$505,B312)=0),AND(A312="proposed_name",COUNTIF('أسماء مقترحة'!$A$6:$A$505,B312)=0)),"REVIEW","READY"))</x:f>
      </x:c>
      <x:c r="Q312" s="255" t="str">
        <x:f>IF(P312="","",IF(P312="READY","",TRIM(IF(A312="","missing entity_type; ","")&amp;IF(B312="","missing entity_key; ","")&amp;IF(C312="","missing referrer_order; ","")&amp;IF(E312="","missing referrer_type; ","")&amp;IF(F312="","missing referral_origin_channel; ","")&amp;IF(H312="","missing referrer_name_snapshot; ","")&amp;IF(AND(A312="client",COUNTIF('الزبائن'!$A$6:$A$505,B312)=0),"client key not found; ","")&amp;IF(AND(A312="proposed_name",COUNTIF('أسماء مقترحة'!$A$6:$A$505,B312)=0),"proposed_name key not found; ",""))))</x:f>
      </x:c>
    </x:row>
    <x:row r="313">
      <x:c r="A313" s="251"/>
      <x:c r="B313" s="252"/>
      <x:c r="C313" s="253"/>
      <x:c r="D313" s="253"/>
      <x:c r="E313" s="253"/>
      <x:c r="F313" s="253"/>
      <x:c r="G313" s="252"/>
      <x:c r="H313" s="253"/>
      <x:c r="I313" s="272"/>
      <x:c r="J313" s="253"/>
      <x:c r="K313" s="252"/>
      <x:c r="L313" s="253"/>
      <x:c r="M313" s="253"/>
      <x:c r="N313" s="253"/>
      <x:c r="O313" s="253"/>
      <x:c r="P313" s="253" t="str">
        <x:f>IF(AND(A313="",B313="",H313=""),"",IF(OR(A313="",B313="",C313="",E313="",F313="",H313="",AND(A313="client",COUNTIF('الزبائن'!$A$6:$A$505,B313)=0),AND(A313="proposed_name",COUNTIF('أسماء مقترحة'!$A$6:$A$505,B313)=0)),"REVIEW","READY"))</x:f>
      </x:c>
      <x:c r="Q313" s="255" t="str">
        <x:f>IF(P313="","",IF(P313="READY","",TRIM(IF(A313="","missing entity_type; ","")&amp;IF(B313="","missing entity_key; ","")&amp;IF(C313="","missing referrer_order; ","")&amp;IF(E313="","missing referrer_type; ","")&amp;IF(F313="","missing referral_origin_channel; ","")&amp;IF(H313="","missing referrer_name_snapshot; ","")&amp;IF(AND(A313="client",COUNTIF('الزبائن'!$A$6:$A$505,B313)=0),"client key not found; ","")&amp;IF(AND(A313="proposed_name",COUNTIF('أسماء مقترحة'!$A$6:$A$505,B313)=0),"proposed_name key not found; ",""))))</x:f>
      </x:c>
    </x:row>
    <x:row r="314">
      <x:c r="A314" s="251"/>
      <x:c r="B314" s="252"/>
      <x:c r="C314" s="253"/>
      <x:c r="D314" s="253"/>
      <x:c r="E314" s="253"/>
      <x:c r="F314" s="253"/>
      <x:c r="G314" s="252"/>
      <x:c r="H314" s="253"/>
      <x:c r="I314" s="272"/>
      <x:c r="J314" s="253"/>
      <x:c r="K314" s="252"/>
      <x:c r="L314" s="253"/>
      <x:c r="M314" s="253"/>
      <x:c r="N314" s="253"/>
      <x:c r="O314" s="253"/>
      <x:c r="P314" s="253" t="str">
        <x:f>IF(AND(A314="",B314="",H314=""),"",IF(OR(A314="",B314="",C314="",E314="",F314="",H314="",AND(A314="client",COUNTIF('الزبائن'!$A$6:$A$505,B314)=0),AND(A314="proposed_name",COUNTIF('أسماء مقترحة'!$A$6:$A$505,B314)=0)),"REVIEW","READY"))</x:f>
      </x:c>
      <x:c r="Q314" s="255" t="str">
        <x:f>IF(P314="","",IF(P314="READY","",TRIM(IF(A314="","missing entity_type; ","")&amp;IF(B314="","missing entity_key; ","")&amp;IF(C314="","missing referrer_order; ","")&amp;IF(E314="","missing referrer_type; ","")&amp;IF(F314="","missing referral_origin_channel; ","")&amp;IF(H314="","missing referrer_name_snapshot; ","")&amp;IF(AND(A314="client",COUNTIF('الزبائن'!$A$6:$A$505,B314)=0),"client key not found; ","")&amp;IF(AND(A314="proposed_name",COUNTIF('أسماء مقترحة'!$A$6:$A$505,B314)=0),"proposed_name key not found; ",""))))</x:f>
      </x:c>
    </x:row>
    <x:row r="315">
      <x:c r="A315" s="251"/>
      <x:c r="B315" s="252"/>
      <x:c r="C315" s="253"/>
      <x:c r="D315" s="253"/>
      <x:c r="E315" s="253"/>
      <x:c r="F315" s="253"/>
      <x:c r="G315" s="252"/>
      <x:c r="H315" s="253"/>
      <x:c r="I315" s="272"/>
      <x:c r="J315" s="253"/>
      <x:c r="K315" s="252"/>
      <x:c r="L315" s="253"/>
      <x:c r="M315" s="253"/>
      <x:c r="N315" s="253"/>
      <x:c r="O315" s="253"/>
      <x:c r="P315" s="253" t="str">
        <x:f>IF(AND(A315="",B315="",H315=""),"",IF(OR(A315="",B315="",C315="",E315="",F315="",H315="",AND(A315="client",COUNTIF('الزبائن'!$A$6:$A$505,B315)=0),AND(A315="proposed_name",COUNTIF('أسماء مقترحة'!$A$6:$A$505,B315)=0)),"REVIEW","READY"))</x:f>
      </x:c>
      <x:c r="Q315" s="255" t="str">
        <x:f>IF(P315="","",IF(P315="READY","",TRIM(IF(A315="","missing entity_type; ","")&amp;IF(B315="","missing entity_key; ","")&amp;IF(C315="","missing referrer_order; ","")&amp;IF(E315="","missing referrer_type; ","")&amp;IF(F315="","missing referral_origin_channel; ","")&amp;IF(H315="","missing referrer_name_snapshot; ","")&amp;IF(AND(A315="client",COUNTIF('الزبائن'!$A$6:$A$505,B315)=0),"client key not found; ","")&amp;IF(AND(A315="proposed_name",COUNTIF('أسماء مقترحة'!$A$6:$A$505,B315)=0),"proposed_name key not found; ",""))))</x:f>
      </x:c>
    </x:row>
    <x:row r="316">
      <x:c r="A316" s="251"/>
      <x:c r="B316" s="252"/>
      <x:c r="C316" s="253"/>
      <x:c r="D316" s="253"/>
      <x:c r="E316" s="253"/>
      <x:c r="F316" s="253"/>
      <x:c r="G316" s="252"/>
      <x:c r="H316" s="253"/>
      <x:c r="I316" s="272"/>
      <x:c r="J316" s="253"/>
      <x:c r="K316" s="252"/>
      <x:c r="L316" s="253"/>
      <x:c r="M316" s="253"/>
      <x:c r="N316" s="253"/>
      <x:c r="O316" s="253"/>
      <x:c r="P316" s="253" t="str">
        <x:f>IF(AND(A316="",B316="",H316=""),"",IF(OR(A316="",B316="",C316="",E316="",F316="",H316="",AND(A316="client",COUNTIF('الزبائن'!$A$6:$A$505,B316)=0),AND(A316="proposed_name",COUNTIF('أسماء مقترحة'!$A$6:$A$505,B316)=0)),"REVIEW","READY"))</x:f>
      </x:c>
      <x:c r="Q316" s="255" t="str">
        <x:f>IF(P316="","",IF(P316="READY","",TRIM(IF(A316="","missing entity_type; ","")&amp;IF(B316="","missing entity_key; ","")&amp;IF(C316="","missing referrer_order; ","")&amp;IF(E316="","missing referrer_type; ","")&amp;IF(F316="","missing referral_origin_channel; ","")&amp;IF(H316="","missing referrer_name_snapshot; ","")&amp;IF(AND(A316="client",COUNTIF('الزبائن'!$A$6:$A$505,B316)=0),"client key not found; ","")&amp;IF(AND(A316="proposed_name",COUNTIF('أسماء مقترحة'!$A$6:$A$505,B316)=0),"proposed_name key not found; ",""))))</x:f>
      </x:c>
    </x:row>
    <x:row r="317">
      <x:c r="A317" s="251"/>
      <x:c r="B317" s="252"/>
      <x:c r="C317" s="253"/>
      <x:c r="D317" s="253"/>
      <x:c r="E317" s="253"/>
      <x:c r="F317" s="253"/>
      <x:c r="G317" s="252"/>
      <x:c r="H317" s="253"/>
      <x:c r="I317" s="272"/>
      <x:c r="J317" s="253"/>
      <x:c r="K317" s="252"/>
      <x:c r="L317" s="253"/>
      <x:c r="M317" s="253"/>
      <x:c r="N317" s="253"/>
      <x:c r="O317" s="253"/>
      <x:c r="P317" s="253" t="str">
        <x:f>IF(AND(A317="",B317="",H317=""),"",IF(OR(A317="",B317="",C317="",E317="",F317="",H317="",AND(A317="client",COUNTIF('الزبائن'!$A$6:$A$505,B317)=0),AND(A317="proposed_name",COUNTIF('أسماء مقترحة'!$A$6:$A$505,B317)=0)),"REVIEW","READY"))</x:f>
      </x:c>
      <x:c r="Q317" s="255" t="str">
        <x:f>IF(P317="","",IF(P317="READY","",TRIM(IF(A317="","missing entity_type; ","")&amp;IF(B317="","missing entity_key; ","")&amp;IF(C317="","missing referrer_order; ","")&amp;IF(E317="","missing referrer_type; ","")&amp;IF(F317="","missing referral_origin_channel; ","")&amp;IF(H317="","missing referrer_name_snapshot; ","")&amp;IF(AND(A317="client",COUNTIF('الزبائن'!$A$6:$A$505,B317)=0),"client key not found; ","")&amp;IF(AND(A317="proposed_name",COUNTIF('أسماء مقترحة'!$A$6:$A$505,B317)=0),"proposed_name key not found; ",""))))</x:f>
      </x:c>
    </x:row>
    <x:row r="318">
      <x:c r="A318" s="251"/>
      <x:c r="B318" s="252"/>
      <x:c r="C318" s="253"/>
      <x:c r="D318" s="253"/>
      <x:c r="E318" s="253"/>
      <x:c r="F318" s="253"/>
      <x:c r="G318" s="252"/>
      <x:c r="H318" s="253"/>
      <x:c r="I318" s="272"/>
      <x:c r="J318" s="253"/>
      <x:c r="K318" s="252"/>
      <x:c r="L318" s="253"/>
      <x:c r="M318" s="253"/>
      <x:c r="N318" s="253"/>
      <x:c r="O318" s="253"/>
      <x:c r="P318" s="253" t="str">
        <x:f>IF(AND(A318="",B318="",H318=""),"",IF(OR(A318="",B318="",C318="",E318="",F318="",H318="",AND(A318="client",COUNTIF('الزبائن'!$A$6:$A$505,B318)=0),AND(A318="proposed_name",COUNTIF('أسماء مقترحة'!$A$6:$A$505,B318)=0)),"REVIEW","READY"))</x:f>
      </x:c>
      <x:c r="Q318" s="255" t="str">
        <x:f>IF(P318="","",IF(P318="READY","",TRIM(IF(A318="","missing entity_type; ","")&amp;IF(B318="","missing entity_key; ","")&amp;IF(C318="","missing referrer_order; ","")&amp;IF(E318="","missing referrer_type; ","")&amp;IF(F318="","missing referral_origin_channel; ","")&amp;IF(H318="","missing referrer_name_snapshot; ","")&amp;IF(AND(A318="client",COUNTIF('الزبائن'!$A$6:$A$505,B318)=0),"client key not found; ","")&amp;IF(AND(A318="proposed_name",COUNTIF('أسماء مقترحة'!$A$6:$A$505,B318)=0),"proposed_name key not found; ",""))))</x:f>
      </x:c>
    </x:row>
    <x:row r="319">
      <x:c r="A319" s="251"/>
      <x:c r="B319" s="252"/>
      <x:c r="C319" s="253"/>
      <x:c r="D319" s="253"/>
      <x:c r="E319" s="253"/>
      <x:c r="F319" s="253"/>
      <x:c r="G319" s="252"/>
      <x:c r="H319" s="253"/>
      <x:c r="I319" s="272"/>
      <x:c r="J319" s="253"/>
      <x:c r="K319" s="252"/>
      <x:c r="L319" s="253"/>
      <x:c r="M319" s="253"/>
      <x:c r="N319" s="253"/>
      <x:c r="O319" s="253"/>
      <x:c r="P319" s="253" t="str">
        <x:f>IF(AND(A319="",B319="",H319=""),"",IF(OR(A319="",B319="",C319="",E319="",F319="",H319="",AND(A319="client",COUNTIF('الزبائن'!$A$6:$A$505,B319)=0),AND(A319="proposed_name",COUNTIF('أسماء مقترحة'!$A$6:$A$505,B319)=0)),"REVIEW","READY"))</x:f>
      </x:c>
      <x:c r="Q319" s="255" t="str">
        <x:f>IF(P319="","",IF(P319="READY","",TRIM(IF(A319="","missing entity_type; ","")&amp;IF(B319="","missing entity_key; ","")&amp;IF(C319="","missing referrer_order; ","")&amp;IF(E319="","missing referrer_type; ","")&amp;IF(F319="","missing referral_origin_channel; ","")&amp;IF(H319="","missing referrer_name_snapshot; ","")&amp;IF(AND(A319="client",COUNTIF('الزبائن'!$A$6:$A$505,B319)=0),"client key not found; ","")&amp;IF(AND(A319="proposed_name",COUNTIF('أسماء مقترحة'!$A$6:$A$505,B319)=0),"proposed_name key not found; ",""))))</x:f>
      </x:c>
    </x:row>
    <x:row r="320">
      <x:c r="A320" s="251"/>
      <x:c r="B320" s="252"/>
      <x:c r="C320" s="253"/>
      <x:c r="D320" s="253"/>
      <x:c r="E320" s="253"/>
      <x:c r="F320" s="253"/>
      <x:c r="G320" s="252"/>
      <x:c r="H320" s="253"/>
      <x:c r="I320" s="272"/>
      <x:c r="J320" s="253"/>
      <x:c r="K320" s="252"/>
      <x:c r="L320" s="253"/>
      <x:c r="M320" s="253"/>
      <x:c r="N320" s="253"/>
      <x:c r="O320" s="253"/>
      <x:c r="P320" s="253" t="str">
        <x:f>IF(AND(A320="",B320="",H320=""),"",IF(OR(A320="",B320="",C320="",E320="",F320="",H320="",AND(A320="client",COUNTIF('الزبائن'!$A$6:$A$505,B320)=0),AND(A320="proposed_name",COUNTIF('أسماء مقترحة'!$A$6:$A$505,B320)=0)),"REVIEW","READY"))</x:f>
      </x:c>
      <x:c r="Q320" s="255" t="str">
        <x:f>IF(P320="","",IF(P320="READY","",TRIM(IF(A320="","missing entity_type; ","")&amp;IF(B320="","missing entity_key; ","")&amp;IF(C320="","missing referrer_order; ","")&amp;IF(E320="","missing referrer_type; ","")&amp;IF(F320="","missing referral_origin_channel; ","")&amp;IF(H320="","missing referrer_name_snapshot; ","")&amp;IF(AND(A320="client",COUNTIF('الزبائن'!$A$6:$A$505,B320)=0),"client key not found; ","")&amp;IF(AND(A320="proposed_name",COUNTIF('أسماء مقترحة'!$A$6:$A$505,B320)=0),"proposed_name key not found; ",""))))</x:f>
      </x:c>
    </x:row>
    <x:row r="321">
      <x:c r="A321" s="251"/>
      <x:c r="B321" s="252"/>
      <x:c r="C321" s="253"/>
      <x:c r="D321" s="253"/>
      <x:c r="E321" s="253"/>
      <x:c r="F321" s="253"/>
      <x:c r="G321" s="252"/>
      <x:c r="H321" s="253"/>
      <x:c r="I321" s="272"/>
      <x:c r="J321" s="253"/>
      <x:c r="K321" s="252"/>
      <x:c r="L321" s="253"/>
      <x:c r="M321" s="253"/>
      <x:c r="N321" s="253"/>
      <x:c r="O321" s="253"/>
      <x:c r="P321" s="253" t="str">
        <x:f>IF(AND(A321="",B321="",H321=""),"",IF(OR(A321="",B321="",C321="",E321="",F321="",H321="",AND(A321="client",COUNTIF('الزبائن'!$A$6:$A$505,B321)=0),AND(A321="proposed_name",COUNTIF('أسماء مقترحة'!$A$6:$A$505,B321)=0)),"REVIEW","READY"))</x:f>
      </x:c>
      <x:c r="Q321" s="255" t="str">
        <x:f>IF(P321="","",IF(P321="READY","",TRIM(IF(A321="","missing entity_type; ","")&amp;IF(B321="","missing entity_key; ","")&amp;IF(C321="","missing referrer_order; ","")&amp;IF(E321="","missing referrer_type; ","")&amp;IF(F321="","missing referral_origin_channel; ","")&amp;IF(H321="","missing referrer_name_snapshot; ","")&amp;IF(AND(A321="client",COUNTIF('الزبائن'!$A$6:$A$505,B321)=0),"client key not found; ","")&amp;IF(AND(A321="proposed_name",COUNTIF('أسماء مقترحة'!$A$6:$A$505,B321)=0),"proposed_name key not found; ",""))))</x:f>
      </x:c>
    </x:row>
    <x:row r="322">
      <x:c r="A322" s="251"/>
      <x:c r="B322" s="252"/>
      <x:c r="C322" s="253"/>
      <x:c r="D322" s="253"/>
      <x:c r="E322" s="253"/>
      <x:c r="F322" s="253"/>
      <x:c r="G322" s="252"/>
      <x:c r="H322" s="253"/>
      <x:c r="I322" s="272"/>
      <x:c r="J322" s="253"/>
      <x:c r="K322" s="252"/>
      <x:c r="L322" s="253"/>
      <x:c r="M322" s="253"/>
      <x:c r="N322" s="253"/>
      <x:c r="O322" s="253"/>
      <x:c r="P322" s="253" t="str">
        <x:f>IF(AND(A322="",B322="",H322=""),"",IF(OR(A322="",B322="",C322="",E322="",F322="",H322="",AND(A322="client",COUNTIF('الزبائن'!$A$6:$A$505,B322)=0),AND(A322="proposed_name",COUNTIF('أسماء مقترحة'!$A$6:$A$505,B322)=0)),"REVIEW","READY"))</x:f>
      </x:c>
      <x:c r="Q322" s="255" t="str">
        <x:f>IF(P322="","",IF(P322="READY","",TRIM(IF(A322="","missing entity_type; ","")&amp;IF(B322="","missing entity_key; ","")&amp;IF(C322="","missing referrer_order; ","")&amp;IF(E322="","missing referrer_type; ","")&amp;IF(F322="","missing referral_origin_channel; ","")&amp;IF(H322="","missing referrer_name_snapshot; ","")&amp;IF(AND(A322="client",COUNTIF('الزبائن'!$A$6:$A$505,B322)=0),"client key not found; ","")&amp;IF(AND(A322="proposed_name",COUNTIF('أسماء مقترحة'!$A$6:$A$505,B322)=0),"proposed_name key not found; ",""))))</x:f>
      </x:c>
    </x:row>
    <x:row r="323">
      <x:c r="A323" s="251"/>
      <x:c r="B323" s="252"/>
      <x:c r="C323" s="253"/>
      <x:c r="D323" s="253"/>
      <x:c r="E323" s="253"/>
      <x:c r="F323" s="253"/>
      <x:c r="G323" s="252"/>
      <x:c r="H323" s="253"/>
      <x:c r="I323" s="272"/>
      <x:c r="J323" s="253"/>
      <x:c r="K323" s="252"/>
      <x:c r="L323" s="253"/>
      <x:c r="M323" s="253"/>
      <x:c r="N323" s="253"/>
      <x:c r="O323" s="253"/>
      <x:c r="P323" s="253" t="str">
        <x:f>IF(AND(A323="",B323="",H323=""),"",IF(OR(A323="",B323="",C323="",E323="",F323="",H323="",AND(A323="client",COUNTIF('الزبائن'!$A$6:$A$505,B323)=0),AND(A323="proposed_name",COUNTIF('أسماء مقترحة'!$A$6:$A$505,B323)=0)),"REVIEW","READY"))</x:f>
      </x:c>
      <x:c r="Q323" s="255" t="str">
        <x:f>IF(P323="","",IF(P323="READY","",TRIM(IF(A323="","missing entity_type; ","")&amp;IF(B323="","missing entity_key; ","")&amp;IF(C323="","missing referrer_order; ","")&amp;IF(E323="","missing referrer_type; ","")&amp;IF(F323="","missing referral_origin_channel; ","")&amp;IF(H323="","missing referrer_name_snapshot; ","")&amp;IF(AND(A323="client",COUNTIF('الزبائن'!$A$6:$A$505,B323)=0),"client key not found; ","")&amp;IF(AND(A323="proposed_name",COUNTIF('أسماء مقترحة'!$A$6:$A$505,B323)=0),"proposed_name key not found; ",""))))</x:f>
      </x:c>
    </x:row>
    <x:row r="324">
      <x:c r="A324" s="251"/>
      <x:c r="B324" s="252"/>
      <x:c r="C324" s="253"/>
      <x:c r="D324" s="253"/>
      <x:c r="E324" s="253"/>
      <x:c r="F324" s="253"/>
      <x:c r="G324" s="252"/>
      <x:c r="H324" s="253"/>
      <x:c r="I324" s="272"/>
      <x:c r="J324" s="253"/>
      <x:c r="K324" s="252"/>
      <x:c r="L324" s="253"/>
      <x:c r="M324" s="253"/>
      <x:c r="N324" s="253"/>
      <x:c r="O324" s="253"/>
      <x:c r="P324" s="253" t="str">
        <x:f>IF(AND(A324="",B324="",H324=""),"",IF(OR(A324="",B324="",C324="",E324="",F324="",H324="",AND(A324="client",COUNTIF('الزبائن'!$A$6:$A$505,B324)=0),AND(A324="proposed_name",COUNTIF('أسماء مقترحة'!$A$6:$A$505,B324)=0)),"REVIEW","READY"))</x:f>
      </x:c>
      <x:c r="Q324" s="255" t="str">
        <x:f>IF(P324="","",IF(P324="READY","",TRIM(IF(A324="","missing entity_type; ","")&amp;IF(B324="","missing entity_key; ","")&amp;IF(C324="","missing referrer_order; ","")&amp;IF(E324="","missing referrer_type; ","")&amp;IF(F324="","missing referral_origin_channel; ","")&amp;IF(H324="","missing referrer_name_snapshot; ","")&amp;IF(AND(A324="client",COUNTIF('الزبائن'!$A$6:$A$505,B324)=0),"client key not found; ","")&amp;IF(AND(A324="proposed_name",COUNTIF('أسماء مقترحة'!$A$6:$A$505,B324)=0),"proposed_name key not found; ",""))))</x:f>
      </x:c>
    </x:row>
    <x:row r="325">
      <x:c r="A325" s="251"/>
      <x:c r="B325" s="252"/>
      <x:c r="C325" s="253"/>
      <x:c r="D325" s="253"/>
      <x:c r="E325" s="253"/>
      <x:c r="F325" s="253"/>
      <x:c r="G325" s="252"/>
      <x:c r="H325" s="253"/>
      <x:c r="I325" s="272"/>
      <x:c r="J325" s="253"/>
      <x:c r="K325" s="252"/>
      <x:c r="L325" s="253"/>
      <x:c r="M325" s="253"/>
      <x:c r="N325" s="253"/>
      <x:c r="O325" s="253"/>
      <x:c r="P325" s="253" t="str">
        <x:f>IF(AND(A325="",B325="",H325=""),"",IF(OR(A325="",B325="",C325="",E325="",F325="",H325="",AND(A325="client",COUNTIF('الزبائن'!$A$6:$A$505,B325)=0),AND(A325="proposed_name",COUNTIF('أسماء مقترحة'!$A$6:$A$505,B325)=0)),"REVIEW","READY"))</x:f>
      </x:c>
      <x:c r="Q325" s="255" t="str">
        <x:f>IF(P325="","",IF(P325="READY","",TRIM(IF(A325="","missing entity_type; ","")&amp;IF(B325="","missing entity_key; ","")&amp;IF(C325="","missing referrer_order; ","")&amp;IF(E325="","missing referrer_type; ","")&amp;IF(F325="","missing referral_origin_channel; ","")&amp;IF(H325="","missing referrer_name_snapshot; ","")&amp;IF(AND(A325="client",COUNTIF('الزبائن'!$A$6:$A$505,B325)=0),"client key not found; ","")&amp;IF(AND(A325="proposed_name",COUNTIF('أسماء مقترحة'!$A$6:$A$505,B325)=0),"proposed_name key not found; ",""))))</x:f>
      </x:c>
    </x:row>
    <x:row r="326">
      <x:c r="A326" s="251"/>
      <x:c r="B326" s="252"/>
      <x:c r="C326" s="253"/>
      <x:c r="D326" s="253"/>
      <x:c r="E326" s="253"/>
      <x:c r="F326" s="253"/>
      <x:c r="G326" s="252"/>
      <x:c r="H326" s="253"/>
      <x:c r="I326" s="272"/>
      <x:c r="J326" s="253"/>
      <x:c r="K326" s="252"/>
      <x:c r="L326" s="253"/>
      <x:c r="M326" s="253"/>
      <x:c r="N326" s="253"/>
      <x:c r="O326" s="253"/>
      <x:c r="P326" s="253" t="str">
        <x:f>IF(AND(A326="",B326="",H326=""),"",IF(OR(A326="",B326="",C326="",E326="",F326="",H326="",AND(A326="client",COUNTIF('الزبائن'!$A$6:$A$505,B326)=0),AND(A326="proposed_name",COUNTIF('أسماء مقترحة'!$A$6:$A$505,B326)=0)),"REVIEW","READY"))</x:f>
      </x:c>
      <x:c r="Q326" s="255" t="str">
        <x:f>IF(P326="","",IF(P326="READY","",TRIM(IF(A326="","missing entity_type; ","")&amp;IF(B326="","missing entity_key; ","")&amp;IF(C326="","missing referrer_order; ","")&amp;IF(E326="","missing referrer_type; ","")&amp;IF(F326="","missing referral_origin_channel; ","")&amp;IF(H326="","missing referrer_name_snapshot; ","")&amp;IF(AND(A326="client",COUNTIF('الزبائن'!$A$6:$A$505,B326)=0),"client key not found; ","")&amp;IF(AND(A326="proposed_name",COUNTIF('أسماء مقترحة'!$A$6:$A$505,B326)=0),"proposed_name key not found; ",""))))</x:f>
      </x:c>
    </x:row>
    <x:row r="327">
      <x:c r="A327" s="251"/>
      <x:c r="B327" s="252"/>
      <x:c r="C327" s="253"/>
      <x:c r="D327" s="253"/>
      <x:c r="E327" s="253"/>
      <x:c r="F327" s="253"/>
      <x:c r="G327" s="252"/>
      <x:c r="H327" s="253"/>
      <x:c r="I327" s="272"/>
      <x:c r="J327" s="253"/>
      <x:c r="K327" s="252"/>
      <x:c r="L327" s="253"/>
      <x:c r="M327" s="253"/>
      <x:c r="N327" s="253"/>
      <x:c r="O327" s="253"/>
      <x:c r="P327" s="253" t="str">
        <x:f>IF(AND(A327="",B327="",H327=""),"",IF(OR(A327="",B327="",C327="",E327="",F327="",H327="",AND(A327="client",COUNTIF('الزبائن'!$A$6:$A$505,B327)=0),AND(A327="proposed_name",COUNTIF('أسماء مقترحة'!$A$6:$A$505,B327)=0)),"REVIEW","READY"))</x:f>
      </x:c>
      <x:c r="Q327" s="255" t="str">
        <x:f>IF(P327="","",IF(P327="READY","",TRIM(IF(A327="","missing entity_type; ","")&amp;IF(B327="","missing entity_key; ","")&amp;IF(C327="","missing referrer_order; ","")&amp;IF(E327="","missing referrer_type; ","")&amp;IF(F327="","missing referral_origin_channel; ","")&amp;IF(H327="","missing referrer_name_snapshot; ","")&amp;IF(AND(A327="client",COUNTIF('الزبائن'!$A$6:$A$505,B327)=0),"client key not found; ","")&amp;IF(AND(A327="proposed_name",COUNTIF('أسماء مقترحة'!$A$6:$A$505,B327)=0),"proposed_name key not found; ",""))))</x:f>
      </x:c>
    </x:row>
    <x:row r="328">
      <x:c r="A328" s="251"/>
      <x:c r="B328" s="252"/>
      <x:c r="C328" s="253"/>
      <x:c r="D328" s="253"/>
      <x:c r="E328" s="253"/>
      <x:c r="F328" s="253"/>
      <x:c r="G328" s="252"/>
      <x:c r="H328" s="253"/>
      <x:c r="I328" s="272"/>
      <x:c r="J328" s="253"/>
      <x:c r="K328" s="252"/>
      <x:c r="L328" s="253"/>
      <x:c r="M328" s="253"/>
      <x:c r="N328" s="253"/>
      <x:c r="O328" s="253"/>
      <x:c r="P328" s="253" t="str">
        <x:f>IF(AND(A328="",B328="",H328=""),"",IF(OR(A328="",B328="",C328="",E328="",F328="",H328="",AND(A328="client",COUNTIF('الزبائن'!$A$6:$A$505,B328)=0),AND(A328="proposed_name",COUNTIF('أسماء مقترحة'!$A$6:$A$505,B328)=0)),"REVIEW","READY"))</x:f>
      </x:c>
      <x:c r="Q328" s="255" t="str">
        <x:f>IF(P328="","",IF(P328="READY","",TRIM(IF(A328="","missing entity_type; ","")&amp;IF(B328="","missing entity_key; ","")&amp;IF(C328="","missing referrer_order; ","")&amp;IF(E328="","missing referrer_type; ","")&amp;IF(F328="","missing referral_origin_channel; ","")&amp;IF(H328="","missing referrer_name_snapshot; ","")&amp;IF(AND(A328="client",COUNTIF('الزبائن'!$A$6:$A$505,B328)=0),"client key not found; ","")&amp;IF(AND(A328="proposed_name",COUNTIF('أسماء مقترحة'!$A$6:$A$505,B328)=0),"proposed_name key not found; ",""))))</x:f>
      </x:c>
    </x:row>
    <x:row r="329">
      <x:c r="A329" s="251"/>
      <x:c r="B329" s="252"/>
      <x:c r="C329" s="253"/>
      <x:c r="D329" s="253"/>
      <x:c r="E329" s="253"/>
      <x:c r="F329" s="253"/>
      <x:c r="G329" s="252"/>
      <x:c r="H329" s="253"/>
      <x:c r="I329" s="272"/>
      <x:c r="J329" s="253"/>
      <x:c r="K329" s="252"/>
      <x:c r="L329" s="253"/>
      <x:c r="M329" s="253"/>
      <x:c r="N329" s="253"/>
      <x:c r="O329" s="253"/>
      <x:c r="P329" s="253" t="str">
        <x:f>IF(AND(A329="",B329="",H329=""),"",IF(OR(A329="",B329="",C329="",E329="",F329="",H329="",AND(A329="client",COUNTIF('الزبائن'!$A$6:$A$505,B329)=0),AND(A329="proposed_name",COUNTIF('أسماء مقترحة'!$A$6:$A$505,B329)=0)),"REVIEW","READY"))</x:f>
      </x:c>
      <x:c r="Q329" s="255" t="str">
        <x:f>IF(P329="","",IF(P329="READY","",TRIM(IF(A329="","missing entity_type; ","")&amp;IF(B329="","missing entity_key; ","")&amp;IF(C329="","missing referrer_order; ","")&amp;IF(E329="","missing referrer_type; ","")&amp;IF(F329="","missing referral_origin_channel; ","")&amp;IF(H329="","missing referrer_name_snapshot; ","")&amp;IF(AND(A329="client",COUNTIF('الزبائن'!$A$6:$A$505,B329)=0),"client key not found; ","")&amp;IF(AND(A329="proposed_name",COUNTIF('أسماء مقترحة'!$A$6:$A$505,B329)=0),"proposed_name key not found; ",""))))</x:f>
      </x:c>
    </x:row>
    <x:row r="330">
      <x:c r="A330" s="251"/>
      <x:c r="B330" s="252"/>
      <x:c r="C330" s="253"/>
      <x:c r="D330" s="253"/>
      <x:c r="E330" s="253"/>
      <x:c r="F330" s="253"/>
      <x:c r="G330" s="252"/>
      <x:c r="H330" s="253"/>
      <x:c r="I330" s="272"/>
      <x:c r="J330" s="253"/>
      <x:c r="K330" s="252"/>
      <x:c r="L330" s="253"/>
      <x:c r="M330" s="253"/>
      <x:c r="N330" s="253"/>
      <x:c r="O330" s="253"/>
      <x:c r="P330" s="253" t="str">
        <x:f>IF(AND(A330="",B330="",H330=""),"",IF(OR(A330="",B330="",C330="",E330="",F330="",H330="",AND(A330="client",COUNTIF('الزبائن'!$A$6:$A$505,B330)=0),AND(A330="proposed_name",COUNTIF('أسماء مقترحة'!$A$6:$A$505,B330)=0)),"REVIEW","READY"))</x:f>
      </x:c>
      <x:c r="Q330" s="255" t="str">
        <x:f>IF(P330="","",IF(P330="READY","",TRIM(IF(A330="","missing entity_type; ","")&amp;IF(B330="","missing entity_key; ","")&amp;IF(C330="","missing referrer_order; ","")&amp;IF(E330="","missing referrer_type; ","")&amp;IF(F330="","missing referral_origin_channel; ","")&amp;IF(H330="","missing referrer_name_snapshot; ","")&amp;IF(AND(A330="client",COUNTIF('الزبائن'!$A$6:$A$505,B330)=0),"client key not found; ","")&amp;IF(AND(A330="proposed_name",COUNTIF('أسماء مقترحة'!$A$6:$A$505,B330)=0),"proposed_name key not found; ",""))))</x:f>
      </x:c>
    </x:row>
    <x:row r="331">
      <x:c r="A331" s="251"/>
      <x:c r="B331" s="252"/>
      <x:c r="C331" s="253"/>
      <x:c r="D331" s="253"/>
      <x:c r="E331" s="253"/>
      <x:c r="F331" s="253"/>
      <x:c r="G331" s="252"/>
      <x:c r="H331" s="253"/>
      <x:c r="I331" s="272"/>
      <x:c r="J331" s="253"/>
      <x:c r="K331" s="252"/>
      <x:c r="L331" s="253"/>
      <x:c r="M331" s="253"/>
      <x:c r="N331" s="253"/>
      <x:c r="O331" s="253"/>
      <x:c r="P331" s="253" t="str">
        <x:f>IF(AND(A331="",B331="",H331=""),"",IF(OR(A331="",B331="",C331="",E331="",F331="",H331="",AND(A331="client",COUNTIF('الزبائن'!$A$6:$A$505,B331)=0),AND(A331="proposed_name",COUNTIF('أسماء مقترحة'!$A$6:$A$505,B331)=0)),"REVIEW","READY"))</x:f>
      </x:c>
      <x:c r="Q331" s="255" t="str">
        <x:f>IF(P331="","",IF(P331="READY","",TRIM(IF(A331="","missing entity_type; ","")&amp;IF(B331="","missing entity_key; ","")&amp;IF(C331="","missing referrer_order; ","")&amp;IF(E331="","missing referrer_type; ","")&amp;IF(F331="","missing referral_origin_channel; ","")&amp;IF(H331="","missing referrer_name_snapshot; ","")&amp;IF(AND(A331="client",COUNTIF('الزبائن'!$A$6:$A$505,B331)=0),"client key not found; ","")&amp;IF(AND(A331="proposed_name",COUNTIF('أسماء مقترحة'!$A$6:$A$505,B331)=0),"proposed_name key not found; ",""))))</x:f>
      </x:c>
    </x:row>
    <x:row r="332">
      <x:c r="A332" s="251"/>
      <x:c r="B332" s="252"/>
      <x:c r="C332" s="253"/>
      <x:c r="D332" s="253"/>
      <x:c r="E332" s="253"/>
      <x:c r="F332" s="253"/>
      <x:c r="G332" s="252"/>
      <x:c r="H332" s="253"/>
      <x:c r="I332" s="272"/>
      <x:c r="J332" s="253"/>
      <x:c r="K332" s="252"/>
      <x:c r="L332" s="253"/>
      <x:c r="M332" s="253"/>
      <x:c r="N332" s="253"/>
      <x:c r="O332" s="253"/>
      <x:c r="P332" s="253" t="str">
        <x:f>IF(AND(A332="",B332="",H332=""),"",IF(OR(A332="",B332="",C332="",E332="",F332="",H332="",AND(A332="client",COUNTIF('الزبائن'!$A$6:$A$505,B332)=0),AND(A332="proposed_name",COUNTIF('أسماء مقترحة'!$A$6:$A$505,B332)=0)),"REVIEW","READY"))</x:f>
      </x:c>
      <x:c r="Q332" s="255" t="str">
        <x:f>IF(P332="","",IF(P332="READY","",TRIM(IF(A332="","missing entity_type; ","")&amp;IF(B332="","missing entity_key; ","")&amp;IF(C332="","missing referrer_order; ","")&amp;IF(E332="","missing referrer_type; ","")&amp;IF(F332="","missing referral_origin_channel; ","")&amp;IF(H332="","missing referrer_name_snapshot; ","")&amp;IF(AND(A332="client",COUNTIF('الزبائن'!$A$6:$A$505,B332)=0),"client key not found; ","")&amp;IF(AND(A332="proposed_name",COUNTIF('أسماء مقترحة'!$A$6:$A$505,B332)=0),"proposed_name key not found; ",""))))</x:f>
      </x:c>
    </x:row>
    <x:row r="333">
      <x:c r="A333" s="251"/>
      <x:c r="B333" s="252"/>
      <x:c r="C333" s="253"/>
      <x:c r="D333" s="253"/>
      <x:c r="E333" s="253"/>
      <x:c r="F333" s="253"/>
      <x:c r="G333" s="252"/>
      <x:c r="H333" s="253"/>
      <x:c r="I333" s="272"/>
      <x:c r="J333" s="253"/>
      <x:c r="K333" s="252"/>
      <x:c r="L333" s="253"/>
      <x:c r="M333" s="253"/>
      <x:c r="N333" s="253"/>
      <x:c r="O333" s="253"/>
      <x:c r="P333" s="253" t="str">
        <x:f>IF(AND(A333="",B333="",H333=""),"",IF(OR(A333="",B333="",C333="",E333="",F333="",H333="",AND(A333="client",COUNTIF('الزبائن'!$A$6:$A$505,B333)=0),AND(A333="proposed_name",COUNTIF('أسماء مقترحة'!$A$6:$A$505,B333)=0)),"REVIEW","READY"))</x:f>
      </x:c>
      <x:c r="Q333" s="255" t="str">
        <x:f>IF(P333="","",IF(P333="READY","",TRIM(IF(A333="","missing entity_type; ","")&amp;IF(B333="","missing entity_key; ","")&amp;IF(C333="","missing referrer_order; ","")&amp;IF(E333="","missing referrer_type; ","")&amp;IF(F333="","missing referral_origin_channel; ","")&amp;IF(H333="","missing referrer_name_snapshot; ","")&amp;IF(AND(A333="client",COUNTIF('الزبائن'!$A$6:$A$505,B333)=0),"client key not found; ","")&amp;IF(AND(A333="proposed_name",COUNTIF('أسماء مقترحة'!$A$6:$A$505,B333)=0),"proposed_name key not found; ",""))))</x:f>
      </x:c>
    </x:row>
    <x:row r="334">
      <x:c r="A334" s="251"/>
      <x:c r="B334" s="252"/>
      <x:c r="C334" s="253"/>
      <x:c r="D334" s="253"/>
      <x:c r="E334" s="253"/>
      <x:c r="F334" s="253"/>
      <x:c r="G334" s="252"/>
      <x:c r="H334" s="253"/>
      <x:c r="I334" s="272"/>
      <x:c r="J334" s="253"/>
      <x:c r="K334" s="252"/>
      <x:c r="L334" s="253"/>
      <x:c r="M334" s="253"/>
      <x:c r="N334" s="253"/>
      <x:c r="O334" s="253"/>
      <x:c r="P334" s="253" t="str">
        <x:f>IF(AND(A334="",B334="",H334=""),"",IF(OR(A334="",B334="",C334="",E334="",F334="",H334="",AND(A334="client",COUNTIF('الزبائن'!$A$6:$A$505,B334)=0),AND(A334="proposed_name",COUNTIF('أسماء مقترحة'!$A$6:$A$505,B334)=0)),"REVIEW","READY"))</x:f>
      </x:c>
      <x:c r="Q334" s="255" t="str">
        <x:f>IF(P334="","",IF(P334="READY","",TRIM(IF(A334="","missing entity_type; ","")&amp;IF(B334="","missing entity_key; ","")&amp;IF(C334="","missing referrer_order; ","")&amp;IF(E334="","missing referrer_type; ","")&amp;IF(F334="","missing referral_origin_channel; ","")&amp;IF(H334="","missing referrer_name_snapshot; ","")&amp;IF(AND(A334="client",COUNTIF('الزبائن'!$A$6:$A$505,B334)=0),"client key not found; ","")&amp;IF(AND(A334="proposed_name",COUNTIF('أسماء مقترحة'!$A$6:$A$505,B334)=0),"proposed_name key not found; ",""))))</x:f>
      </x:c>
    </x:row>
    <x:row r="335">
      <x:c r="A335" s="251"/>
      <x:c r="B335" s="252"/>
      <x:c r="C335" s="253"/>
      <x:c r="D335" s="253"/>
      <x:c r="E335" s="253"/>
      <x:c r="F335" s="253"/>
      <x:c r="G335" s="252"/>
      <x:c r="H335" s="253"/>
      <x:c r="I335" s="272"/>
      <x:c r="J335" s="253"/>
      <x:c r="K335" s="252"/>
      <x:c r="L335" s="253"/>
      <x:c r="M335" s="253"/>
      <x:c r="N335" s="253"/>
      <x:c r="O335" s="253"/>
      <x:c r="P335" s="253" t="str">
        <x:f>IF(AND(A335="",B335="",H335=""),"",IF(OR(A335="",B335="",C335="",E335="",F335="",H335="",AND(A335="client",COUNTIF('الزبائن'!$A$6:$A$505,B335)=0),AND(A335="proposed_name",COUNTIF('أسماء مقترحة'!$A$6:$A$505,B335)=0)),"REVIEW","READY"))</x:f>
      </x:c>
      <x:c r="Q335" s="255" t="str">
        <x:f>IF(P335="","",IF(P335="READY","",TRIM(IF(A335="","missing entity_type; ","")&amp;IF(B335="","missing entity_key; ","")&amp;IF(C335="","missing referrer_order; ","")&amp;IF(E335="","missing referrer_type; ","")&amp;IF(F335="","missing referral_origin_channel; ","")&amp;IF(H335="","missing referrer_name_snapshot; ","")&amp;IF(AND(A335="client",COUNTIF('الزبائن'!$A$6:$A$505,B335)=0),"client key not found; ","")&amp;IF(AND(A335="proposed_name",COUNTIF('أسماء مقترحة'!$A$6:$A$505,B335)=0),"proposed_name key not found; ",""))))</x:f>
      </x:c>
    </x:row>
    <x:row r="336">
      <x:c r="A336" s="251"/>
      <x:c r="B336" s="252"/>
      <x:c r="C336" s="253"/>
      <x:c r="D336" s="253"/>
      <x:c r="E336" s="253"/>
      <x:c r="F336" s="253"/>
      <x:c r="G336" s="252"/>
      <x:c r="H336" s="253"/>
      <x:c r="I336" s="272"/>
      <x:c r="J336" s="253"/>
      <x:c r="K336" s="252"/>
      <x:c r="L336" s="253"/>
      <x:c r="M336" s="253"/>
      <x:c r="N336" s="253"/>
      <x:c r="O336" s="253"/>
      <x:c r="P336" s="253" t="str">
        <x:f>IF(AND(A336="",B336="",H336=""),"",IF(OR(A336="",B336="",C336="",E336="",F336="",H336="",AND(A336="client",COUNTIF('الزبائن'!$A$6:$A$505,B336)=0),AND(A336="proposed_name",COUNTIF('أسماء مقترحة'!$A$6:$A$505,B336)=0)),"REVIEW","READY"))</x:f>
      </x:c>
      <x:c r="Q336" s="255" t="str">
        <x:f>IF(P336="","",IF(P336="READY","",TRIM(IF(A336="","missing entity_type; ","")&amp;IF(B336="","missing entity_key; ","")&amp;IF(C336="","missing referrer_order; ","")&amp;IF(E336="","missing referrer_type; ","")&amp;IF(F336="","missing referral_origin_channel; ","")&amp;IF(H336="","missing referrer_name_snapshot; ","")&amp;IF(AND(A336="client",COUNTIF('الزبائن'!$A$6:$A$505,B336)=0),"client key not found; ","")&amp;IF(AND(A336="proposed_name",COUNTIF('أسماء مقترحة'!$A$6:$A$505,B336)=0),"proposed_name key not found; ",""))))</x:f>
      </x:c>
    </x:row>
    <x:row r="337">
      <x:c r="A337" s="251"/>
      <x:c r="B337" s="252"/>
      <x:c r="C337" s="253"/>
      <x:c r="D337" s="253"/>
      <x:c r="E337" s="253"/>
      <x:c r="F337" s="253"/>
      <x:c r="G337" s="252"/>
      <x:c r="H337" s="253"/>
      <x:c r="I337" s="272"/>
      <x:c r="J337" s="253"/>
      <x:c r="K337" s="252"/>
      <x:c r="L337" s="253"/>
      <x:c r="M337" s="253"/>
      <x:c r="N337" s="253"/>
      <x:c r="O337" s="253"/>
      <x:c r="P337" s="253" t="str">
        <x:f>IF(AND(A337="",B337="",H337=""),"",IF(OR(A337="",B337="",C337="",E337="",F337="",H337="",AND(A337="client",COUNTIF('الزبائن'!$A$6:$A$505,B337)=0),AND(A337="proposed_name",COUNTIF('أسماء مقترحة'!$A$6:$A$505,B337)=0)),"REVIEW","READY"))</x:f>
      </x:c>
      <x:c r="Q337" s="255" t="str">
        <x:f>IF(P337="","",IF(P337="READY","",TRIM(IF(A337="","missing entity_type; ","")&amp;IF(B337="","missing entity_key; ","")&amp;IF(C337="","missing referrer_order; ","")&amp;IF(E337="","missing referrer_type; ","")&amp;IF(F337="","missing referral_origin_channel; ","")&amp;IF(H337="","missing referrer_name_snapshot; ","")&amp;IF(AND(A337="client",COUNTIF('الزبائن'!$A$6:$A$505,B337)=0),"client key not found; ","")&amp;IF(AND(A337="proposed_name",COUNTIF('أسماء مقترحة'!$A$6:$A$505,B337)=0),"proposed_name key not found; ",""))))</x:f>
      </x:c>
    </x:row>
    <x:row r="338">
      <x:c r="A338" s="251"/>
      <x:c r="B338" s="252"/>
      <x:c r="C338" s="253"/>
      <x:c r="D338" s="253"/>
      <x:c r="E338" s="253"/>
      <x:c r="F338" s="253"/>
      <x:c r="G338" s="252"/>
      <x:c r="H338" s="253"/>
      <x:c r="I338" s="272"/>
      <x:c r="J338" s="253"/>
      <x:c r="K338" s="252"/>
      <x:c r="L338" s="253"/>
      <x:c r="M338" s="253"/>
      <x:c r="N338" s="253"/>
      <x:c r="O338" s="253"/>
      <x:c r="P338" s="253" t="str">
        <x:f>IF(AND(A338="",B338="",H338=""),"",IF(OR(A338="",B338="",C338="",E338="",F338="",H338="",AND(A338="client",COUNTIF('الزبائن'!$A$6:$A$505,B338)=0),AND(A338="proposed_name",COUNTIF('أسماء مقترحة'!$A$6:$A$505,B338)=0)),"REVIEW","READY"))</x:f>
      </x:c>
      <x:c r="Q338" s="255" t="str">
        <x:f>IF(P338="","",IF(P338="READY","",TRIM(IF(A338="","missing entity_type; ","")&amp;IF(B338="","missing entity_key; ","")&amp;IF(C338="","missing referrer_order; ","")&amp;IF(E338="","missing referrer_type; ","")&amp;IF(F338="","missing referral_origin_channel; ","")&amp;IF(H338="","missing referrer_name_snapshot; ","")&amp;IF(AND(A338="client",COUNTIF('الزبائن'!$A$6:$A$505,B338)=0),"client key not found; ","")&amp;IF(AND(A338="proposed_name",COUNTIF('أسماء مقترحة'!$A$6:$A$505,B338)=0),"proposed_name key not found; ",""))))</x:f>
      </x:c>
    </x:row>
    <x:row r="339">
      <x:c r="A339" s="251"/>
      <x:c r="B339" s="252"/>
      <x:c r="C339" s="253"/>
      <x:c r="D339" s="253"/>
      <x:c r="E339" s="253"/>
      <x:c r="F339" s="253"/>
      <x:c r="G339" s="252"/>
      <x:c r="H339" s="253"/>
      <x:c r="I339" s="272"/>
      <x:c r="J339" s="253"/>
      <x:c r="K339" s="252"/>
      <x:c r="L339" s="253"/>
      <x:c r="M339" s="253"/>
      <x:c r="N339" s="253"/>
      <x:c r="O339" s="253"/>
      <x:c r="P339" s="253" t="str">
        <x:f>IF(AND(A339="",B339="",H339=""),"",IF(OR(A339="",B339="",C339="",E339="",F339="",H339="",AND(A339="client",COUNTIF('الزبائن'!$A$6:$A$505,B339)=0),AND(A339="proposed_name",COUNTIF('أسماء مقترحة'!$A$6:$A$505,B339)=0)),"REVIEW","READY"))</x:f>
      </x:c>
      <x:c r="Q339" s="255" t="str">
        <x:f>IF(P339="","",IF(P339="READY","",TRIM(IF(A339="","missing entity_type; ","")&amp;IF(B339="","missing entity_key; ","")&amp;IF(C339="","missing referrer_order; ","")&amp;IF(E339="","missing referrer_type; ","")&amp;IF(F339="","missing referral_origin_channel; ","")&amp;IF(H339="","missing referrer_name_snapshot; ","")&amp;IF(AND(A339="client",COUNTIF('الزبائن'!$A$6:$A$505,B339)=0),"client key not found; ","")&amp;IF(AND(A339="proposed_name",COUNTIF('أسماء مقترحة'!$A$6:$A$505,B339)=0),"proposed_name key not found; ",""))))</x:f>
      </x:c>
    </x:row>
    <x:row r="340">
      <x:c r="A340" s="251"/>
      <x:c r="B340" s="252"/>
      <x:c r="C340" s="253"/>
      <x:c r="D340" s="253"/>
      <x:c r="E340" s="253"/>
      <x:c r="F340" s="253"/>
      <x:c r="G340" s="252"/>
      <x:c r="H340" s="253"/>
      <x:c r="I340" s="272"/>
      <x:c r="J340" s="253"/>
      <x:c r="K340" s="252"/>
      <x:c r="L340" s="253"/>
      <x:c r="M340" s="253"/>
      <x:c r="N340" s="253"/>
      <x:c r="O340" s="253"/>
      <x:c r="P340" s="253" t="str">
        <x:f>IF(AND(A340="",B340="",H340=""),"",IF(OR(A340="",B340="",C340="",E340="",F340="",H340="",AND(A340="client",COUNTIF('الزبائن'!$A$6:$A$505,B340)=0),AND(A340="proposed_name",COUNTIF('أسماء مقترحة'!$A$6:$A$505,B340)=0)),"REVIEW","READY"))</x:f>
      </x:c>
      <x:c r="Q340" s="255" t="str">
        <x:f>IF(P340="","",IF(P340="READY","",TRIM(IF(A340="","missing entity_type; ","")&amp;IF(B340="","missing entity_key; ","")&amp;IF(C340="","missing referrer_order; ","")&amp;IF(E340="","missing referrer_type; ","")&amp;IF(F340="","missing referral_origin_channel; ","")&amp;IF(H340="","missing referrer_name_snapshot; ","")&amp;IF(AND(A340="client",COUNTIF('الزبائن'!$A$6:$A$505,B340)=0),"client key not found; ","")&amp;IF(AND(A340="proposed_name",COUNTIF('أسماء مقترحة'!$A$6:$A$505,B340)=0),"proposed_name key not found; ",""))))</x:f>
      </x:c>
    </x:row>
    <x:row r="341">
      <x:c r="A341" s="251"/>
      <x:c r="B341" s="252"/>
      <x:c r="C341" s="253"/>
      <x:c r="D341" s="253"/>
      <x:c r="E341" s="253"/>
      <x:c r="F341" s="253"/>
      <x:c r="G341" s="252"/>
      <x:c r="H341" s="253"/>
      <x:c r="I341" s="272"/>
      <x:c r="J341" s="253"/>
      <x:c r="K341" s="252"/>
      <x:c r="L341" s="253"/>
      <x:c r="M341" s="253"/>
      <x:c r="N341" s="253"/>
      <x:c r="O341" s="253"/>
      <x:c r="P341" s="253" t="str">
        <x:f>IF(AND(A341="",B341="",H341=""),"",IF(OR(A341="",B341="",C341="",E341="",F341="",H341="",AND(A341="client",COUNTIF('الزبائن'!$A$6:$A$505,B341)=0),AND(A341="proposed_name",COUNTIF('أسماء مقترحة'!$A$6:$A$505,B341)=0)),"REVIEW","READY"))</x:f>
      </x:c>
      <x:c r="Q341" s="255" t="str">
        <x:f>IF(P341="","",IF(P341="READY","",TRIM(IF(A341="","missing entity_type; ","")&amp;IF(B341="","missing entity_key; ","")&amp;IF(C341="","missing referrer_order; ","")&amp;IF(E341="","missing referrer_type; ","")&amp;IF(F341="","missing referral_origin_channel; ","")&amp;IF(H341="","missing referrer_name_snapshot; ","")&amp;IF(AND(A341="client",COUNTIF('الزبائن'!$A$6:$A$505,B341)=0),"client key not found; ","")&amp;IF(AND(A341="proposed_name",COUNTIF('أسماء مقترحة'!$A$6:$A$505,B341)=0),"proposed_name key not found; ",""))))</x:f>
      </x:c>
    </x:row>
    <x:row r="342">
      <x:c r="A342" s="251"/>
      <x:c r="B342" s="252"/>
      <x:c r="C342" s="253"/>
      <x:c r="D342" s="253"/>
      <x:c r="E342" s="253"/>
      <x:c r="F342" s="253"/>
      <x:c r="G342" s="252"/>
      <x:c r="H342" s="253"/>
      <x:c r="I342" s="272"/>
      <x:c r="J342" s="253"/>
      <x:c r="K342" s="252"/>
      <x:c r="L342" s="253"/>
      <x:c r="M342" s="253"/>
      <x:c r="N342" s="253"/>
      <x:c r="O342" s="253"/>
      <x:c r="P342" s="253" t="str">
        <x:f>IF(AND(A342="",B342="",H342=""),"",IF(OR(A342="",B342="",C342="",E342="",F342="",H342="",AND(A342="client",COUNTIF('الزبائن'!$A$6:$A$505,B342)=0),AND(A342="proposed_name",COUNTIF('أسماء مقترحة'!$A$6:$A$505,B342)=0)),"REVIEW","READY"))</x:f>
      </x:c>
      <x:c r="Q342" s="255" t="str">
        <x:f>IF(P342="","",IF(P342="READY","",TRIM(IF(A342="","missing entity_type; ","")&amp;IF(B342="","missing entity_key; ","")&amp;IF(C342="","missing referrer_order; ","")&amp;IF(E342="","missing referrer_type; ","")&amp;IF(F342="","missing referral_origin_channel; ","")&amp;IF(H342="","missing referrer_name_snapshot; ","")&amp;IF(AND(A342="client",COUNTIF('الزبائن'!$A$6:$A$505,B342)=0),"client key not found; ","")&amp;IF(AND(A342="proposed_name",COUNTIF('أسماء مقترحة'!$A$6:$A$505,B342)=0),"proposed_name key not found; ",""))))</x:f>
      </x:c>
    </x:row>
    <x:row r="343">
      <x:c r="A343" s="251"/>
      <x:c r="B343" s="252"/>
      <x:c r="C343" s="253"/>
      <x:c r="D343" s="253"/>
      <x:c r="E343" s="253"/>
      <x:c r="F343" s="253"/>
      <x:c r="G343" s="252"/>
      <x:c r="H343" s="253"/>
      <x:c r="I343" s="272"/>
      <x:c r="J343" s="253"/>
      <x:c r="K343" s="252"/>
      <x:c r="L343" s="253"/>
      <x:c r="M343" s="253"/>
      <x:c r="N343" s="253"/>
      <x:c r="O343" s="253"/>
      <x:c r="P343" s="253" t="str">
        <x:f>IF(AND(A343="",B343="",H343=""),"",IF(OR(A343="",B343="",C343="",E343="",F343="",H343="",AND(A343="client",COUNTIF('الزبائن'!$A$6:$A$505,B343)=0),AND(A343="proposed_name",COUNTIF('أسماء مقترحة'!$A$6:$A$505,B343)=0)),"REVIEW","READY"))</x:f>
      </x:c>
      <x:c r="Q343" s="255" t="str">
        <x:f>IF(P343="","",IF(P343="READY","",TRIM(IF(A343="","missing entity_type; ","")&amp;IF(B343="","missing entity_key; ","")&amp;IF(C343="","missing referrer_order; ","")&amp;IF(E343="","missing referrer_type; ","")&amp;IF(F343="","missing referral_origin_channel; ","")&amp;IF(H343="","missing referrer_name_snapshot; ","")&amp;IF(AND(A343="client",COUNTIF('الزبائن'!$A$6:$A$505,B343)=0),"client key not found; ","")&amp;IF(AND(A343="proposed_name",COUNTIF('أسماء مقترحة'!$A$6:$A$505,B343)=0),"proposed_name key not found; ",""))))</x:f>
      </x:c>
    </x:row>
    <x:row r="344">
      <x:c r="A344" s="251"/>
      <x:c r="B344" s="252"/>
      <x:c r="C344" s="253"/>
      <x:c r="D344" s="253"/>
      <x:c r="E344" s="253"/>
      <x:c r="F344" s="253"/>
      <x:c r="G344" s="252"/>
      <x:c r="H344" s="253"/>
      <x:c r="I344" s="272"/>
      <x:c r="J344" s="253"/>
      <x:c r="K344" s="252"/>
      <x:c r="L344" s="253"/>
      <x:c r="M344" s="253"/>
      <x:c r="N344" s="253"/>
      <x:c r="O344" s="253"/>
      <x:c r="P344" s="253" t="str">
        <x:f>IF(AND(A344="",B344="",H344=""),"",IF(OR(A344="",B344="",C344="",E344="",F344="",H344="",AND(A344="client",COUNTIF('الزبائن'!$A$6:$A$505,B344)=0),AND(A344="proposed_name",COUNTIF('أسماء مقترحة'!$A$6:$A$505,B344)=0)),"REVIEW","READY"))</x:f>
      </x:c>
      <x:c r="Q344" s="255" t="str">
        <x:f>IF(P344="","",IF(P344="READY","",TRIM(IF(A344="","missing entity_type; ","")&amp;IF(B344="","missing entity_key; ","")&amp;IF(C344="","missing referrer_order; ","")&amp;IF(E344="","missing referrer_type; ","")&amp;IF(F344="","missing referral_origin_channel; ","")&amp;IF(H344="","missing referrer_name_snapshot; ","")&amp;IF(AND(A344="client",COUNTIF('الزبائن'!$A$6:$A$505,B344)=0),"client key not found; ","")&amp;IF(AND(A344="proposed_name",COUNTIF('أسماء مقترحة'!$A$6:$A$505,B344)=0),"proposed_name key not found; ",""))))</x:f>
      </x:c>
    </x:row>
    <x:row r="345">
      <x:c r="A345" s="251"/>
      <x:c r="B345" s="252"/>
      <x:c r="C345" s="253"/>
      <x:c r="D345" s="253"/>
      <x:c r="E345" s="253"/>
      <x:c r="F345" s="253"/>
      <x:c r="G345" s="252"/>
      <x:c r="H345" s="253"/>
      <x:c r="I345" s="272"/>
      <x:c r="J345" s="253"/>
      <x:c r="K345" s="252"/>
      <x:c r="L345" s="253"/>
      <x:c r="M345" s="253"/>
      <x:c r="N345" s="253"/>
      <x:c r="O345" s="253"/>
      <x:c r="P345" s="253" t="str">
        <x:f>IF(AND(A345="",B345="",H345=""),"",IF(OR(A345="",B345="",C345="",E345="",F345="",H345="",AND(A345="client",COUNTIF('الزبائن'!$A$6:$A$505,B345)=0),AND(A345="proposed_name",COUNTIF('أسماء مقترحة'!$A$6:$A$505,B345)=0)),"REVIEW","READY"))</x:f>
      </x:c>
      <x:c r="Q345" s="255" t="str">
        <x:f>IF(P345="","",IF(P345="READY","",TRIM(IF(A345="","missing entity_type; ","")&amp;IF(B345="","missing entity_key; ","")&amp;IF(C345="","missing referrer_order; ","")&amp;IF(E345="","missing referrer_type; ","")&amp;IF(F345="","missing referral_origin_channel; ","")&amp;IF(H345="","missing referrer_name_snapshot; ","")&amp;IF(AND(A345="client",COUNTIF('الزبائن'!$A$6:$A$505,B345)=0),"client key not found; ","")&amp;IF(AND(A345="proposed_name",COUNTIF('أسماء مقترحة'!$A$6:$A$505,B345)=0),"proposed_name key not found; ",""))))</x:f>
      </x:c>
    </x:row>
    <x:row r="346">
      <x:c r="A346" s="251"/>
      <x:c r="B346" s="252"/>
      <x:c r="C346" s="253"/>
      <x:c r="D346" s="253"/>
      <x:c r="E346" s="253"/>
      <x:c r="F346" s="253"/>
      <x:c r="G346" s="252"/>
      <x:c r="H346" s="253"/>
      <x:c r="I346" s="272"/>
      <x:c r="J346" s="253"/>
      <x:c r="K346" s="252"/>
      <x:c r="L346" s="253"/>
      <x:c r="M346" s="253"/>
      <x:c r="N346" s="253"/>
      <x:c r="O346" s="253"/>
      <x:c r="P346" s="253" t="str">
        <x:f>IF(AND(A346="",B346="",H346=""),"",IF(OR(A346="",B346="",C346="",E346="",F346="",H346="",AND(A346="client",COUNTIF('الزبائن'!$A$6:$A$505,B346)=0),AND(A346="proposed_name",COUNTIF('أسماء مقترحة'!$A$6:$A$505,B346)=0)),"REVIEW","READY"))</x:f>
      </x:c>
      <x:c r="Q346" s="255" t="str">
        <x:f>IF(P346="","",IF(P346="READY","",TRIM(IF(A346="","missing entity_type; ","")&amp;IF(B346="","missing entity_key; ","")&amp;IF(C346="","missing referrer_order; ","")&amp;IF(E346="","missing referrer_type; ","")&amp;IF(F346="","missing referral_origin_channel; ","")&amp;IF(H346="","missing referrer_name_snapshot; ","")&amp;IF(AND(A346="client",COUNTIF('الزبائن'!$A$6:$A$505,B346)=0),"client key not found; ","")&amp;IF(AND(A346="proposed_name",COUNTIF('أسماء مقترحة'!$A$6:$A$505,B346)=0),"proposed_name key not found; ",""))))</x:f>
      </x:c>
    </x:row>
    <x:row r="347">
      <x:c r="A347" s="251"/>
      <x:c r="B347" s="252"/>
      <x:c r="C347" s="253"/>
      <x:c r="D347" s="253"/>
      <x:c r="E347" s="253"/>
      <x:c r="F347" s="253"/>
      <x:c r="G347" s="252"/>
      <x:c r="H347" s="253"/>
      <x:c r="I347" s="272"/>
      <x:c r="J347" s="253"/>
      <x:c r="K347" s="252"/>
      <x:c r="L347" s="253"/>
      <x:c r="M347" s="253"/>
      <x:c r="N347" s="253"/>
      <x:c r="O347" s="253"/>
      <x:c r="P347" s="253" t="str">
        <x:f>IF(AND(A347="",B347="",H347=""),"",IF(OR(A347="",B347="",C347="",E347="",F347="",H347="",AND(A347="client",COUNTIF('الزبائن'!$A$6:$A$505,B347)=0),AND(A347="proposed_name",COUNTIF('أسماء مقترحة'!$A$6:$A$505,B347)=0)),"REVIEW","READY"))</x:f>
      </x:c>
      <x:c r="Q347" s="255" t="str">
        <x:f>IF(P347="","",IF(P347="READY","",TRIM(IF(A347="","missing entity_type; ","")&amp;IF(B347="","missing entity_key; ","")&amp;IF(C347="","missing referrer_order; ","")&amp;IF(E347="","missing referrer_type; ","")&amp;IF(F347="","missing referral_origin_channel; ","")&amp;IF(H347="","missing referrer_name_snapshot; ","")&amp;IF(AND(A347="client",COUNTIF('الزبائن'!$A$6:$A$505,B347)=0),"client key not found; ","")&amp;IF(AND(A347="proposed_name",COUNTIF('أسماء مقترحة'!$A$6:$A$505,B347)=0),"proposed_name key not found; ",""))))</x:f>
      </x:c>
    </x:row>
    <x:row r="348">
      <x:c r="A348" s="251"/>
      <x:c r="B348" s="252"/>
      <x:c r="C348" s="253"/>
      <x:c r="D348" s="253"/>
      <x:c r="E348" s="253"/>
      <x:c r="F348" s="253"/>
      <x:c r="G348" s="252"/>
      <x:c r="H348" s="253"/>
      <x:c r="I348" s="272"/>
      <x:c r="J348" s="253"/>
      <x:c r="K348" s="252"/>
      <x:c r="L348" s="253"/>
      <x:c r="M348" s="253"/>
      <x:c r="N348" s="253"/>
      <x:c r="O348" s="253"/>
      <x:c r="P348" s="253" t="str">
        <x:f>IF(AND(A348="",B348="",H348=""),"",IF(OR(A348="",B348="",C348="",E348="",F348="",H348="",AND(A348="client",COUNTIF('الزبائن'!$A$6:$A$505,B348)=0),AND(A348="proposed_name",COUNTIF('أسماء مقترحة'!$A$6:$A$505,B348)=0)),"REVIEW","READY"))</x:f>
      </x:c>
      <x:c r="Q348" s="255" t="str">
        <x:f>IF(P348="","",IF(P348="READY","",TRIM(IF(A348="","missing entity_type; ","")&amp;IF(B348="","missing entity_key; ","")&amp;IF(C348="","missing referrer_order; ","")&amp;IF(E348="","missing referrer_type; ","")&amp;IF(F348="","missing referral_origin_channel; ","")&amp;IF(H348="","missing referrer_name_snapshot; ","")&amp;IF(AND(A348="client",COUNTIF('الزبائن'!$A$6:$A$505,B348)=0),"client key not found; ","")&amp;IF(AND(A348="proposed_name",COUNTIF('أسماء مقترحة'!$A$6:$A$505,B348)=0),"proposed_name key not found; ",""))))</x:f>
      </x:c>
    </x:row>
    <x:row r="349">
      <x:c r="A349" s="251"/>
      <x:c r="B349" s="252"/>
      <x:c r="C349" s="253"/>
      <x:c r="D349" s="253"/>
      <x:c r="E349" s="253"/>
      <x:c r="F349" s="253"/>
      <x:c r="G349" s="252"/>
      <x:c r="H349" s="253"/>
      <x:c r="I349" s="272"/>
      <x:c r="J349" s="253"/>
      <x:c r="K349" s="252"/>
      <x:c r="L349" s="253"/>
      <x:c r="M349" s="253"/>
      <x:c r="N349" s="253"/>
      <x:c r="O349" s="253"/>
      <x:c r="P349" s="253" t="str">
        <x:f>IF(AND(A349="",B349="",H349=""),"",IF(OR(A349="",B349="",C349="",E349="",F349="",H349="",AND(A349="client",COUNTIF('الزبائن'!$A$6:$A$505,B349)=0),AND(A349="proposed_name",COUNTIF('أسماء مقترحة'!$A$6:$A$505,B349)=0)),"REVIEW","READY"))</x:f>
      </x:c>
      <x:c r="Q349" s="255" t="str">
        <x:f>IF(P349="","",IF(P349="READY","",TRIM(IF(A349="","missing entity_type; ","")&amp;IF(B349="","missing entity_key; ","")&amp;IF(C349="","missing referrer_order; ","")&amp;IF(E349="","missing referrer_type; ","")&amp;IF(F349="","missing referral_origin_channel; ","")&amp;IF(H349="","missing referrer_name_snapshot; ","")&amp;IF(AND(A349="client",COUNTIF('الزبائن'!$A$6:$A$505,B349)=0),"client key not found; ","")&amp;IF(AND(A349="proposed_name",COUNTIF('أسماء مقترحة'!$A$6:$A$505,B349)=0),"proposed_name key not found; ",""))))</x:f>
      </x:c>
    </x:row>
    <x:row r="350">
      <x:c r="A350" s="251"/>
      <x:c r="B350" s="252"/>
      <x:c r="C350" s="253"/>
      <x:c r="D350" s="253"/>
      <x:c r="E350" s="253"/>
      <x:c r="F350" s="253"/>
      <x:c r="G350" s="252"/>
      <x:c r="H350" s="253"/>
      <x:c r="I350" s="272"/>
      <x:c r="J350" s="253"/>
      <x:c r="K350" s="252"/>
      <x:c r="L350" s="253"/>
      <x:c r="M350" s="253"/>
      <x:c r="N350" s="253"/>
      <x:c r="O350" s="253"/>
      <x:c r="P350" s="253" t="str">
        <x:f>IF(AND(A350="",B350="",H350=""),"",IF(OR(A350="",B350="",C350="",E350="",F350="",H350="",AND(A350="client",COUNTIF('الزبائن'!$A$6:$A$505,B350)=0),AND(A350="proposed_name",COUNTIF('أسماء مقترحة'!$A$6:$A$505,B350)=0)),"REVIEW","READY"))</x:f>
      </x:c>
      <x:c r="Q350" s="255" t="str">
        <x:f>IF(P350="","",IF(P350="READY","",TRIM(IF(A350="","missing entity_type; ","")&amp;IF(B350="","missing entity_key; ","")&amp;IF(C350="","missing referrer_order; ","")&amp;IF(E350="","missing referrer_type; ","")&amp;IF(F350="","missing referral_origin_channel; ","")&amp;IF(H350="","missing referrer_name_snapshot; ","")&amp;IF(AND(A350="client",COUNTIF('الزبائن'!$A$6:$A$505,B350)=0),"client key not found; ","")&amp;IF(AND(A350="proposed_name",COUNTIF('أسماء مقترحة'!$A$6:$A$505,B350)=0),"proposed_name key not found; ",""))))</x:f>
      </x:c>
    </x:row>
    <x:row r="351">
      <x:c r="A351" s="251"/>
      <x:c r="B351" s="252"/>
      <x:c r="C351" s="253"/>
      <x:c r="D351" s="253"/>
      <x:c r="E351" s="253"/>
      <x:c r="F351" s="253"/>
      <x:c r="G351" s="252"/>
      <x:c r="H351" s="253"/>
      <x:c r="I351" s="272"/>
      <x:c r="J351" s="253"/>
      <x:c r="K351" s="252"/>
      <x:c r="L351" s="253"/>
      <x:c r="M351" s="253"/>
      <x:c r="N351" s="253"/>
      <x:c r="O351" s="253"/>
      <x:c r="P351" s="253" t="str">
        <x:f>IF(AND(A351="",B351="",H351=""),"",IF(OR(A351="",B351="",C351="",E351="",F351="",H351="",AND(A351="client",COUNTIF('الزبائن'!$A$6:$A$505,B351)=0),AND(A351="proposed_name",COUNTIF('أسماء مقترحة'!$A$6:$A$505,B351)=0)),"REVIEW","READY"))</x:f>
      </x:c>
      <x:c r="Q351" s="255" t="str">
        <x:f>IF(P351="","",IF(P351="READY","",TRIM(IF(A351="","missing entity_type; ","")&amp;IF(B351="","missing entity_key; ","")&amp;IF(C351="","missing referrer_order; ","")&amp;IF(E351="","missing referrer_type; ","")&amp;IF(F351="","missing referral_origin_channel; ","")&amp;IF(H351="","missing referrer_name_snapshot; ","")&amp;IF(AND(A351="client",COUNTIF('الزبائن'!$A$6:$A$505,B351)=0),"client key not found; ","")&amp;IF(AND(A351="proposed_name",COUNTIF('أسماء مقترحة'!$A$6:$A$505,B351)=0),"proposed_name key not found; ",""))))</x:f>
      </x:c>
    </x:row>
    <x:row r="352">
      <x:c r="A352" s="251"/>
      <x:c r="B352" s="252"/>
      <x:c r="C352" s="253"/>
      <x:c r="D352" s="253"/>
      <x:c r="E352" s="253"/>
      <x:c r="F352" s="253"/>
      <x:c r="G352" s="252"/>
      <x:c r="H352" s="253"/>
      <x:c r="I352" s="272"/>
      <x:c r="J352" s="253"/>
      <x:c r="K352" s="252"/>
      <x:c r="L352" s="253"/>
      <x:c r="M352" s="253"/>
      <x:c r="N352" s="253"/>
      <x:c r="O352" s="253"/>
      <x:c r="P352" s="253" t="str">
        <x:f>IF(AND(A352="",B352="",H352=""),"",IF(OR(A352="",B352="",C352="",E352="",F352="",H352="",AND(A352="client",COUNTIF('الزبائن'!$A$6:$A$505,B352)=0),AND(A352="proposed_name",COUNTIF('أسماء مقترحة'!$A$6:$A$505,B352)=0)),"REVIEW","READY"))</x:f>
      </x:c>
      <x:c r="Q352" s="255" t="str">
        <x:f>IF(P352="","",IF(P352="READY","",TRIM(IF(A352="","missing entity_type; ","")&amp;IF(B352="","missing entity_key; ","")&amp;IF(C352="","missing referrer_order; ","")&amp;IF(E352="","missing referrer_type; ","")&amp;IF(F352="","missing referral_origin_channel; ","")&amp;IF(H352="","missing referrer_name_snapshot; ","")&amp;IF(AND(A352="client",COUNTIF('الزبائن'!$A$6:$A$505,B352)=0),"client key not found; ","")&amp;IF(AND(A352="proposed_name",COUNTIF('أسماء مقترحة'!$A$6:$A$505,B352)=0),"proposed_name key not found; ",""))))</x:f>
      </x:c>
    </x:row>
    <x:row r="353">
      <x:c r="A353" s="251"/>
      <x:c r="B353" s="252"/>
      <x:c r="C353" s="253"/>
      <x:c r="D353" s="253"/>
      <x:c r="E353" s="253"/>
      <x:c r="F353" s="253"/>
      <x:c r="G353" s="252"/>
      <x:c r="H353" s="253"/>
      <x:c r="I353" s="272"/>
      <x:c r="J353" s="253"/>
      <x:c r="K353" s="252"/>
      <x:c r="L353" s="253"/>
      <x:c r="M353" s="253"/>
      <x:c r="N353" s="253"/>
      <x:c r="O353" s="253"/>
      <x:c r="P353" s="253" t="str">
        <x:f>IF(AND(A353="",B353="",H353=""),"",IF(OR(A353="",B353="",C353="",E353="",F353="",H353="",AND(A353="client",COUNTIF('الزبائن'!$A$6:$A$505,B353)=0),AND(A353="proposed_name",COUNTIF('أسماء مقترحة'!$A$6:$A$505,B353)=0)),"REVIEW","READY"))</x:f>
      </x:c>
      <x:c r="Q353" s="255" t="str">
        <x:f>IF(P353="","",IF(P353="READY","",TRIM(IF(A353="","missing entity_type; ","")&amp;IF(B353="","missing entity_key; ","")&amp;IF(C353="","missing referrer_order; ","")&amp;IF(E353="","missing referrer_type; ","")&amp;IF(F353="","missing referral_origin_channel; ","")&amp;IF(H353="","missing referrer_name_snapshot; ","")&amp;IF(AND(A353="client",COUNTIF('الزبائن'!$A$6:$A$505,B353)=0),"client key not found; ","")&amp;IF(AND(A353="proposed_name",COUNTIF('أسماء مقترحة'!$A$6:$A$505,B353)=0),"proposed_name key not found; ",""))))</x:f>
      </x:c>
    </x:row>
    <x:row r="354">
      <x:c r="A354" s="251"/>
      <x:c r="B354" s="252"/>
      <x:c r="C354" s="253"/>
      <x:c r="D354" s="253"/>
      <x:c r="E354" s="253"/>
      <x:c r="F354" s="253"/>
      <x:c r="G354" s="252"/>
      <x:c r="H354" s="253"/>
      <x:c r="I354" s="272"/>
      <x:c r="J354" s="253"/>
      <x:c r="K354" s="252"/>
      <x:c r="L354" s="253"/>
      <x:c r="M354" s="253"/>
      <x:c r="N354" s="253"/>
      <x:c r="O354" s="253"/>
      <x:c r="P354" s="253" t="str">
        <x:f>IF(AND(A354="",B354="",H354=""),"",IF(OR(A354="",B354="",C354="",E354="",F354="",H354="",AND(A354="client",COUNTIF('الزبائن'!$A$6:$A$505,B354)=0),AND(A354="proposed_name",COUNTIF('أسماء مقترحة'!$A$6:$A$505,B354)=0)),"REVIEW","READY"))</x:f>
      </x:c>
      <x:c r="Q354" s="255" t="str">
        <x:f>IF(P354="","",IF(P354="READY","",TRIM(IF(A354="","missing entity_type; ","")&amp;IF(B354="","missing entity_key; ","")&amp;IF(C354="","missing referrer_order; ","")&amp;IF(E354="","missing referrer_type; ","")&amp;IF(F354="","missing referral_origin_channel; ","")&amp;IF(H354="","missing referrer_name_snapshot; ","")&amp;IF(AND(A354="client",COUNTIF('الزبائن'!$A$6:$A$505,B354)=0),"client key not found; ","")&amp;IF(AND(A354="proposed_name",COUNTIF('أسماء مقترحة'!$A$6:$A$505,B354)=0),"proposed_name key not found; ",""))))</x:f>
      </x:c>
    </x:row>
    <x:row r="355">
      <x:c r="A355" s="251"/>
      <x:c r="B355" s="252"/>
      <x:c r="C355" s="253"/>
      <x:c r="D355" s="253"/>
      <x:c r="E355" s="253"/>
      <x:c r="F355" s="253"/>
      <x:c r="G355" s="252"/>
      <x:c r="H355" s="253"/>
      <x:c r="I355" s="272"/>
      <x:c r="J355" s="253"/>
      <x:c r="K355" s="252"/>
      <x:c r="L355" s="253"/>
      <x:c r="M355" s="253"/>
      <x:c r="N355" s="253"/>
      <x:c r="O355" s="253"/>
      <x:c r="P355" s="253" t="str">
        <x:f>IF(AND(A355="",B355="",H355=""),"",IF(OR(A355="",B355="",C355="",E355="",F355="",H355="",AND(A355="client",COUNTIF('الزبائن'!$A$6:$A$505,B355)=0),AND(A355="proposed_name",COUNTIF('أسماء مقترحة'!$A$6:$A$505,B355)=0)),"REVIEW","READY"))</x:f>
      </x:c>
      <x:c r="Q355" s="255" t="str">
        <x:f>IF(P355="","",IF(P355="READY","",TRIM(IF(A355="","missing entity_type; ","")&amp;IF(B355="","missing entity_key; ","")&amp;IF(C355="","missing referrer_order; ","")&amp;IF(E355="","missing referrer_type; ","")&amp;IF(F355="","missing referral_origin_channel; ","")&amp;IF(H355="","missing referrer_name_snapshot; ","")&amp;IF(AND(A355="client",COUNTIF('الزبائن'!$A$6:$A$505,B355)=0),"client key not found; ","")&amp;IF(AND(A355="proposed_name",COUNTIF('أسماء مقترحة'!$A$6:$A$505,B355)=0),"proposed_name key not found; ",""))))</x:f>
      </x:c>
    </x:row>
    <x:row r="356">
      <x:c r="A356" s="251"/>
      <x:c r="B356" s="252"/>
      <x:c r="C356" s="253"/>
      <x:c r="D356" s="253"/>
      <x:c r="E356" s="253"/>
      <x:c r="F356" s="253"/>
      <x:c r="G356" s="252"/>
      <x:c r="H356" s="253"/>
      <x:c r="I356" s="272"/>
      <x:c r="J356" s="253"/>
      <x:c r="K356" s="252"/>
      <x:c r="L356" s="253"/>
      <x:c r="M356" s="253"/>
      <x:c r="N356" s="253"/>
      <x:c r="O356" s="253"/>
      <x:c r="P356" s="253" t="str">
        <x:f>IF(AND(A356="",B356="",H356=""),"",IF(OR(A356="",B356="",C356="",E356="",F356="",H356="",AND(A356="client",COUNTIF('الزبائن'!$A$6:$A$505,B356)=0),AND(A356="proposed_name",COUNTIF('أسماء مقترحة'!$A$6:$A$505,B356)=0)),"REVIEW","READY"))</x:f>
      </x:c>
      <x:c r="Q356" s="255" t="str">
        <x:f>IF(P356="","",IF(P356="READY","",TRIM(IF(A356="","missing entity_type; ","")&amp;IF(B356="","missing entity_key; ","")&amp;IF(C356="","missing referrer_order; ","")&amp;IF(E356="","missing referrer_type; ","")&amp;IF(F356="","missing referral_origin_channel; ","")&amp;IF(H356="","missing referrer_name_snapshot; ","")&amp;IF(AND(A356="client",COUNTIF('الزبائن'!$A$6:$A$505,B356)=0),"client key not found; ","")&amp;IF(AND(A356="proposed_name",COUNTIF('أسماء مقترحة'!$A$6:$A$505,B356)=0),"proposed_name key not found; ",""))))</x:f>
      </x:c>
    </x:row>
    <x:row r="357">
      <x:c r="A357" s="251"/>
      <x:c r="B357" s="252"/>
      <x:c r="C357" s="253"/>
      <x:c r="D357" s="253"/>
      <x:c r="E357" s="253"/>
      <x:c r="F357" s="253"/>
      <x:c r="G357" s="252"/>
      <x:c r="H357" s="253"/>
      <x:c r="I357" s="272"/>
      <x:c r="J357" s="253"/>
      <x:c r="K357" s="252"/>
      <x:c r="L357" s="253"/>
      <x:c r="M357" s="253"/>
      <x:c r="N357" s="253"/>
      <x:c r="O357" s="253"/>
      <x:c r="P357" s="253" t="str">
        <x:f>IF(AND(A357="",B357="",H357=""),"",IF(OR(A357="",B357="",C357="",E357="",F357="",H357="",AND(A357="client",COUNTIF('الزبائن'!$A$6:$A$505,B357)=0),AND(A357="proposed_name",COUNTIF('أسماء مقترحة'!$A$6:$A$505,B357)=0)),"REVIEW","READY"))</x:f>
      </x:c>
      <x:c r="Q357" s="255" t="str">
        <x:f>IF(P357="","",IF(P357="READY","",TRIM(IF(A357="","missing entity_type; ","")&amp;IF(B357="","missing entity_key; ","")&amp;IF(C357="","missing referrer_order; ","")&amp;IF(E357="","missing referrer_type; ","")&amp;IF(F357="","missing referral_origin_channel; ","")&amp;IF(H357="","missing referrer_name_snapshot; ","")&amp;IF(AND(A357="client",COUNTIF('الزبائن'!$A$6:$A$505,B357)=0),"client key not found; ","")&amp;IF(AND(A357="proposed_name",COUNTIF('أسماء مقترحة'!$A$6:$A$505,B357)=0),"proposed_name key not found; ",""))))</x:f>
      </x:c>
    </x:row>
    <x:row r="358">
      <x:c r="A358" s="251"/>
      <x:c r="B358" s="252"/>
      <x:c r="C358" s="253"/>
      <x:c r="D358" s="253"/>
      <x:c r="E358" s="253"/>
      <x:c r="F358" s="253"/>
      <x:c r="G358" s="252"/>
      <x:c r="H358" s="253"/>
      <x:c r="I358" s="272"/>
      <x:c r="J358" s="253"/>
      <x:c r="K358" s="252"/>
      <x:c r="L358" s="253"/>
      <x:c r="M358" s="253"/>
      <x:c r="N358" s="253"/>
      <x:c r="O358" s="253"/>
      <x:c r="P358" s="253" t="str">
        <x:f>IF(AND(A358="",B358="",H358=""),"",IF(OR(A358="",B358="",C358="",E358="",F358="",H358="",AND(A358="client",COUNTIF('الزبائن'!$A$6:$A$505,B358)=0),AND(A358="proposed_name",COUNTIF('أسماء مقترحة'!$A$6:$A$505,B358)=0)),"REVIEW","READY"))</x:f>
      </x:c>
      <x:c r="Q358" s="255" t="str">
        <x:f>IF(P358="","",IF(P358="READY","",TRIM(IF(A358="","missing entity_type; ","")&amp;IF(B358="","missing entity_key; ","")&amp;IF(C358="","missing referrer_order; ","")&amp;IF(E358="","missing referrer_type; ","")&amp;IF(F358="","missing referral_origin_channel; ","")&amp;IF(H358="","missing referrer_name_snapshot; ","")&amp;IF(AND(A358="client",COUNTIF('الزبائن'!$A$6:$A$505,B358)=0),"client key not found; ","")&amp;IF(AND(A358="proposed_name",COUNTIF('أسماء مقترحة'!$A$6:$A$505,B358)=0),"proposed_name key not found; ",""))))</x:f>
      </x:c>
    </x:row>
    <x:row r="359">
      <x:c r="A359" s="251"/>
      <x:c r="B359" s="252"/>
      <x:c r="C359" s="253"/>
      <x:c r="D359" s="253"/>
      <x:c r="E359" s="253"/>
      <x:c r="F359" s="253"/>
      <x:c r="G359" s="252"/>
      <x:c r="H359" s="253"/>
      <x:c r="I359" s="272"/>
      <x:c r="J359" s="253"/>
      <x:c r="K359" s="252"/>
      <x:c r="L359" s="253"/>
      <x:c r="M359" s="253"/>
      <x:c r="N359" s="253"/>
      <x:c r="O359" s="253"/>
      <x:c r="P359" s="253" t="str">
        <x:f>IF(AND(A359="",B359="",H359=""),"",IF(OR(A359="",B359="",C359="",E359="",F359="",H359="",AND(A359="client",COUNTIF('الزبائن'!$A$6:$A$505,B359)=0),AND(A359="proposed_name",COUNTIF('أسماء مقترحة'!$A$6:$A$505,B359)=0)),"REVIEW","READY"))</x:f>
      </x:c>
      <x:c r="Q359" s="255" t="str">
        <x:f>IF(P359="","",IF(P359="READY","",TRIM(IF(A359="","missing entity_type; ","")&amp;IF(B359="","missing entity_key; ","")&amp;IF(C359="","missing referrer_order; ","")&amp;IF(E359="","missing referrer_type; ","")&amp;IF(F359="","missing referral_origin_channel; ","")&amp;IF(H359="","missing referrer_name_snapshot; ","")&amp;IF(AND(A359="client",COUNTIF('الزبائن'!$A$6:$A$505,B359)=0),"client key not found; ","")&amp;IF(AND(A359="proposed_name",COUNTIF('أسماء مقترحة'!$A$6:$A$505,B359)=0),"proposed_name key not found; ",""))))</x:f>
      </x:c>
    </x:row>
    <x:row r="360">
      <x:c r="A360" s="251"/>
      <x:c r="B360" s="252"/>
      <x:c r="C360" s="253"/>
      <x:c r="D360" s="253"/>
      <x:c r="E360" s="253"/>
      <x:c r="F360" s="253"/>
      <x:c r="G360" s="252"/>
      <x:c r="H360" s="253"/>
      <x:c r="I360" s="272"/>
      <x:c r="J360" s="253"/>
      <x:c r="K360" s="252"/>
      <x:c r="L360" s="253"/>
      <x:c r="M360" s="253"/>
      <x:c r="N360" s="253"/>
      <x:c r="O360" s="253"/>
      <x:c r="P360" s="253" t="str">
        <x:f>IF(AND(A360="",B360="",H360=""),"",IF(OR(A360="",B360="",C360="",E360="",F360="",H360="",AND(A360="client",COUNTIF('الزبائن'!$A$6:$A$505,B360)=0),AND(A360="proposed_name",COUNTIF('أسماء مقترحة'!$A$6:$A$505,B360)=0)),"REVIEW","READY"))</x:f>
      </x:c>
      <x:c r="Q360" s="255" t="str">
        <x:f>IF(P360="","",IF(P360="READY","",TRIM(IF(A360="","missing entity_type; ","")&amp;IF(B360="","missing entity_key; ","")&amp;IF(C360="","missing referrer_order; ","")&amp;IF(E360="","missing referrer_type; ","")&amp;IF(F360="","missing referral_origin_channel; ","")&amp;IF(H360="","missing referrer_name_snapshot; ","")&amp;IF(AND(A360="client",COUNTIF('الزبائن'!$A$6:$A$505,B360)=0),"client key not found; ","")&amp;IF(AND(A360="proposed_name",COUNTIF('أسماء مقترحة'!$A$6:$A$505,B360)=0),"proposed_name key not found; ",""))))</x:f>
      </x:c>
    </x:row>
    <x:row r="361">
      <x:c r="A361" s="251"/>
      <x:c r="B361" s="252"/>
      <x:c r="C361" s="253"/>
      <x:c r="D361" s="253"/>
      <x:c r="E361" s="253"/>
      <x:c r="F361" s="253"/>
      <x:c r="G361" s="252"/>
      <x:c r="H361" s="253"/>
      <x:c r="I361" s="272"/>
      <x:c r="J361" s="253"/>
      <x:c r="K361" s="252"/>
      <x:c r="L361" s="253"/>
      <x:c r="M361" s="253"/>
      <x:c r="N361" s="253"/>
      <x:c r="O361" s="253"/>
      <x:c r="P361" s="253" t="str">
        <x:f>IF(AND(A361="",B361="",H361=""),"",IF(OR(A361="",B361="",C361="",E361="",F361="",H361="",AND(A361="client",COUNTIF('الزبائن'!$A$6:$A$505,B361)=0),AND(A361="proposed_name",COUNTIF('أسماء مقترحة'!$A$6:$A$505,B361)=0)),"REVIEW","READY"))</x:f>
      </x:c>
      <x:c r="Q361" s="255" t="str">
        <x:f>IF(P361="","",IF(P361="READY","",TRIM(IF(A361="","missing entity_type; ","")&amp;IF(B361="","missing entity_key; ","")&amp;IF(C361="","missing referrer_order; ","")&amp;IF(E361="","missing referrer_type; ","")&amp;IF(F361="","missing referral_origin_channel; ","")&amp;IF(H361="","missing referrer_name_snapshot; ","")&amp;IF(AND(A361="client",COUNTIF('الزبائن'!$A$6:$A$505,B361)=0),"client key not found; ","")&amp;IF(AND(A361="proposed_name",COUNTIF('أسماء مقترحة'!$A$6:$A$505,B361)=0),"proposed_name key not found; ",""))))</x:f>
      </x:c>
    </x:row>
    <x:row r="362">
      <x:c r="A362" s="251"/>
      <x:c r="B362" s="252"/>
      <x:c r="C362" s="253"/>
      <x:c r="D362" s="253"/>
      <x:c r="E362" s="253"/>
      <x:c r="F362" s="253"/>
      <x:c r="G362" s="252"/>
      <x:c r="H362" s="253"/>
      <x:c r="I362" s="272"/>
      <x:c r="J362" s="253"/>
      <x:c r="K362" s="252"/>
      <x:c r="L362" s="253"/>
      <x:c r="M362" s="253"/>
      <x:c r="N362" s="253"/>
      <x:c r="O362" s="253"/>
      <x:c r="P362" s="253" t="str">
        <x:f>IF(AND(A362="",B362="",H362=""),"",IF(OR(A362="",B362="",C362="",E362="",F362="",H362="",AND(A362="client",COUNTIF('الزبائن'!$A$6:$A$505,B362)=0),AND(A362="proposed_name",COUNTIF('أسماء مقترحة'!$A$6:$A$505,B362)=0)),"REVIEW","READY"))</x:f>
      </x:c>
      <x:c r="Q362" s="255" t="str">
        <x:f>IF(P362="","",IF(P362="READY","",TRIM(IF(A362="","missing entity_type; ","")&amp;IF(B362="","missing entity_key; ","")&amp;IF(C362="","missing referrer_order; ","")&amp;IF(E362="","missing referrer_type; ","")&amp;IF(F362="","missing referral_origin_channel; ","")&amp;IF(H362="","missing referrer_name_snapshot; ","")&amp;IF(AND(A362="client",COUNTIF('الزبائن'!$A$6:$A$505,B362)=0),"client key not found; ","")&amp;IF(AND(A362="proposed_name",COUNTIF('أسماء مقترحة'!$A$6:$A$505,B362)=0),"proposed_name key not found; ",""))))</x:f>
      </x:c>
    </x:row>
    <x:row r="363">
      <x:c r="A363" s="251"/>
      <x:c r="B363" s="252"/>
      <x:c r="C363" s="253"/>
      <x:c r="D363" s="253"/>
      <x:c r="E363" s="253"/>
      <x:c r="F363" s="253"/>
      <x:c r="G363" s="252"/>
      <x:c r="H363" s="253"/>
      <x:c r="I363" s="272"/>
      <x:c r="J363" s="253"/>
      <x:c r="K363" s="252"/>
      <x:c r="L363" s="253"/>
      <x:c r="M363" s="253"/>
      <x:c r="N363" s="253"/>
      <x:c r="O363" s="253"/>
      <x:c r="P363" s="253" t="str">
        <x:f>IF(AND(A363="",B363="",H363=""),"",IF(OR(A363="",B363="",C363="",E363="",F363="",H363="",AND(A363="client",COUNTIF('الزبائن'!$A$6:$A$505,B363)=0),AND(A363="proposed_name",COUNTIF('أسماء مقترحة'!$A$6:$A$505,B363)=0)),"REVIEW","READY"))</x:f>
      </x:c>
      <x:c r="Q363" s="255" t="str">
        <x:f>IF(P363="","",IF(P363="READY","",TRIM(IF(A363="","missing entity_type; ","")&amp;IF(B363="","missing entity_key; ","")&amp;IF(C363="","missing referrer_order; ","")&amp;IF(E363="","missing referrer_type; ","")&amp;IF(F363="","missing referral_origin_channel; ","")&amp;IF(H363="","missing referrer_name_snapshot; ","")&amp;IF(AND(A363="client",COUNTIF('الزبائن'!$A$6:$A$505,B363)=0),"client key not found; ","")&amp;IF(AND(A363="proposed_name",COUNTIF('أسماء مقترحة'!$A$6:$A$505,B363)=0),"proposed_name key not found; ",""))))</x:f>
      </x:c>
    </x:row>
    <x:row r="364">
      <x:c r="A364" s="251"/>
      <x:c r="B364" s="252"/>
      <x:c r="C364" s="253"/>
      <x:c r="D364" s="253"/>
      <x:c r="E364" s="253"/>
      <x:c r="F364" s="253"/>
      <x:c r="G364" s="252"/>
      <x:c r="H364" s="253"/>
      <x:c r="I364" s="272"/>
      <x:c r="J364" s="253"/>
      <x:c r="K364" s="252"/>
      <x:c r="L364" s="253"/>
      <x:c r="M364" s="253"/>
      <x:c r="N364" s="253"/>
      <x:c r="O364" s="253"/>
      <x:c r="P364" s="253" t="str">
        <x:f>IF(AND(A364="",B364="",H364=""),"",IF(OR(A364="",B364="",C364="",E364="",F364="",H364="",AND(A364="client",COUNTIF('الزبائن'!$A$6:$A$505,B364)=0),AND(A364="proposed_name",COUNTIF('أسماء مقترحة'!$A$6:$A$505,B364)=0)),"REVIEW","READY"))</x:f>
      </x:c>
      <x:c r="Q364" s="255" t="str">
        <x:f>IF(P364="","",IF(P364="READY","",TRIM(IF(A364="","missing entity_type; ","")&amp;IF(B364="","missing entity_key; ","")&amp;IF(C364="","missing referrer_order; ","")&amp;IF(E364="","missing referrer_type; ","")&amp;IF(F364="","missing referral_origin_channel; ","")&amp;IF(H364="","missing referrer_name_snapshot; ","")&amp;IF(AND(A364="client",COUNTIF('الزبائن'!$A$6:$A$505,B364)=0),"client key not found; ","")&amp;IF(AND(A364="proposed_name",COUNTIF('أسماء مقترحة'!$A$6:$A$505,B364)=0),"proposed_name key not found; ",""))))</x:f>
      </x:c>
    </x:row>
    <x:row r="365">
      <x:c r="A365" s="251"/>
      <x:c r="B365" s="252"/>
      <x:c r="C365" s="253"/>
      <x:c r="D365" s="253"/>
      <x:c r="E365" s="253"/>
      <x:c r="F365" s="253"/>
      <x:c r="G365" s="252"/>
      <x:c r="H365" s="253"/>
      <x:c r="I365" s="272"/>
      <x:c r="J365" s="253"/>
      <x:c r="K365" s="252"/>
      <x:c r="L365" s="253"/>
      <x:c r="M365" s="253"/>
      <x:c r="N365" s="253"/>
      <x:c r="O365" s="253"/>
      <x:c r="P365" s="253" t="str">
        <x:f>IF(AND(A365="",B365="",H365=""),"",IF(OR(A365="",B365="",C365="",E365="",F365="",H365="",AND(A365="client",COUNTIF('الزبائن'!$A$6:$A$505,B365)=0),AND(A365="proposed_name",COUNTIF('أسماء مقترحة'!$A$6:$A$505,B365)=0)),"REVIEW","READY"))</x:f>
      </x:c>
      <x:c r="Q365" s="255" t="str">
        <x:f>IF(P365="","",IF(P365="READY","",TRIM(IF(A365="","missing entity_type; ","")&amp;IF(B365="","missing entity_key; ","")&amp;IF(C365="","missing referrer_order; ","")&amp;IF(E365="","missing referrer_type; ","")&amp;IF(F365="","missing referral_origin_channel; ","")&amp;IF(H365="","missing referrer_name_snapshot; ","")&amp;IF(AND(A365="client",COUNTIF('الزبائن'!$A$6:$A$505,B365)=0),"client key not found; ","")&amp;IF(AND(A365="proposed_name",COUNTIF('أسماء مقترحة'!$A$6:$A$505,B365)=0),"proposed_name key not found; ",""))))</x:f>
      </x:c>
    </x:row>
    <x:row r="366">
      <x:c r="A366" s="251"/>
      <x:c r="B366" s="252"/>
      <x:c r="C366" s="253"/>
      <x:c r="D366" s="253"/>
      <x:c r="E366" s="253"/>
      <x:c r="F366" s="253"/>
      <x:c r="G366" s="252"/>
      <x:c r="H366" s="253"/>
      <x:c r="I366" s="272"/>
      <x:c r="J366" s="253"/>
      <x:c r="K366" s="252"/>
      <x:c r="L366" s="253"/>
      <x:c r="M366" s="253"/>
      <x:c r="N366" s="253"/>
      <x:c r="O366" s="253"/>
      <x:c r="P366" s="253" t="str">
        <x:f>IF(AND(A366="",B366="",H366=""),"",IF(OR(A366="",B366="",C366="",E366="",F366="",H366="",AND(A366="client",COUNTIF('الزبائن'!$A$6:$A$505,B366)=0),AND(A366="proposed_name",COUNTIF('أسماء مقترحة'!$A$6:$A$505,B366)=0)),"REVIEW","READY"))</x:f>
      </x:c>
      <x:c r="Q366" s="255" t="str">
        <x:f>IF(P366="","",IF(P366="READY","",TRIM(IF(A366="","missing entity_type; ","")&amp;IF(B366="","missing entity_key; ","")&amp;IF(C366="","missing referrer_order; ","")&amp;IF(E366="","missing referrer_type; ","")&amp;IF(F366="","missing referral_origin_channel; ","")&amp;IF(H366="","missing referrer_name_snapshot; ","")&amp;IF(AND(A366="client",COUNTIF('الزبائن'!$A$6:$A$505,B366)=0),"client key not found; ","")&amp;IF(AND(A366="proposed_name",COUNTIF('أسماء مقترحة'!$A$6:$A$505,B366)=0),"proposed_name key not found; ",""))))</x:f>
      </x:c>
    </x:row>
    <x:row r="367">
      <x:c r="A367" s="251"/>
      <x:c r="B367" s="252"/>
      <x:c r="C367" s="253"/>
      <x:c r="D367" s="253"/>
      <x:c r="E367" s="253"/>
      <x:c r="F367" s="253"/>
      <x:c r="G367" s="252"/>
      <x:c r="H367" s="253"/>
      <x:c r="I367" s="272"/>
      <x:c r="J367" s="253"/>
      <x:c r="K367" s="252"/>
      <x:c r="L367" s="253"/>
      <x:c r="M367" s="253"/>
      <x:c r="N367" s="253"/>
      <x:c r="O367" s="253"/>
      <x:c r="P367" s="253" t="str">
        <x:f>IF(AND(A367="",B367="",H367=""),"",IF(OR(A367="",B367="",C367="",E367="",F367="",H367="",AND(A367="client",COUNTIF('الزبائن'!$A$6:$A$505,B367)=0),AND(A367="proposed_name",COUNTIF('أسماء مقترحة'!$A$6:$A$505,B367)=0)),"REVIEW","READY"))</x:f>
      </x:c>
      <x:c r="Q367" s="255" t="str">
        <x:f>IF(P367="","",IF(P367="READY","",TRIM(IF(A367="","missing entity_type; ","")&amp;IF(B367="","missing entity_key; ","")&amp;IF(C367="","missing referrer_order; ","")&amp;IF(E367="","missing referrer_type; ","")&amp;IF(F367="","missing referral_origin_channel; ","")&amp;IF(H367="","missing referrer_name_snapshot; ","")&amp;IF(AND(A367="client",COUNTIF('الزبائن'!$A$6:$A$505,B367)=0),"client key not found; ","")&amp;IF(AND(A367="proposed_name",COUNTIF('أسماء مقترحة'!$A$6:$A$505,B367)=0),"proposed_name key not found; ",""))))</x:f>
      </x:c>
    </x:row>
    <x:row r="368">
      <x:c r="A368" s="251"/>
      <x:c r="B368" s="252"/>
      <x:c r="C368" s="253"/>
      <x:c r="D368" s="253"/>
      <x:c r="E368" s="253"/>
      <x:c r="F368" s="253"/>
      <x:c r="G368" s="252"/>
      <x:c r="H368" s="253"/>
      <x:c r="I368" s="272"/>
      <x:c r="J368" s="253"/>
      <x:c r="K368" s="252"/>
      <x:c r="L368" s="253"/>
      <x:c r="M368" s="253"/>
      <x:c r="N368" s="253"/>
      <x:c r="O368" s="253"/>
      <x:c r="P368" s="253" t="str">
        <x:f>IF(AND(A368="",B368="",H368=""),"",IF(OR(A368="",B368="",C368="",E368="",F368="",H368="",AND(A368="client",COUNTIF('الزبائن'!$A$6:$A$505,B368)=0),AND(A368="proposed_name",COUNTIF('أسماء مقترحة'!$A$6:$A$505,B368)=0)),"REVIEW","READY"))</x:f>
      </x:c>
      <x:c r="Q368" s="255" t="str">
        <x:f>IF(P368="","",IF(P368="READY","",TRIM(IF(A368="","missing entity_type; ","")&amp;IF(B368="","missing entity_key; ","")&amp;IF(C368="","missing referrer_order; ","")&amp;IF(E368="","missing referrer_type; ","")&amp;IF(F368="","missing referral_origin_channel; ","")&amp;IF(H368="","missing referrer_name_snapshot; ","")&amp;IF(AND(A368="client",COUNTIF('الزبائن'!$A$6:$A$505,B368)=0),"client key not found; ","")&amp;IF(AND(A368="proposed_name",COUNTIF('أسماء مقترحة'!$A$6:$A$505,B368)=0),"proposed_name key not found; ",""))))</x:f>
      </x:c>
    </x:row>
    <x:row r="369">
      <x:c r="A369" s="251"/>
      <x:c r="B369" s="252"/>
      <x:c r="C369" s="253"/>
      <x:c r="D369" s="253"/>
      <x:c r="E369" s="253"/>
      <x:c r="F369" s="253"/>
      <x:c r="G369" s="252"/>
      <x:c r="H369" s="253"/>
      <x:c r="I369" s="272"/>
      <x:c r="J369" s="253"/>
      <x:c r="K369" s="252"/>
      <x:c r="L369" s="253"/>
      <x:c r="M369" s="253"/>
      <x:c r="N369" s="253"/>
      <x:c r="O369" s="253"/>
      <x:c r="P369" s="253" t="str">
        <x:f>IF(AND(A369="",B369="",H369=""),"",IF(OR(A369="",B369="",C369="",E369="",F369="",H369="",AND(A369="client",COUNTIF('الزبائن'!$A$6:$A$505,B369)=0),AND(A369="proposed_name",COUNTIF('أسماء مقترحة'!$A$6:$A$505,B369)=0)),"REVIEW","READY"))</x:f>
      </x:c>
      <x:c r="Q369" s="255" t="str">
        <x:f>IF(P369="","",IF(P369="READY","",TRIM(IF(A369="","missing entity_type; ","")&amp;IF(B369="","missing entity_key; ","")&amp;IF(C369="","missing referrer_order; ","")&amp;IF(E369="","missing referrer_type; ","")&amp;IF(F369="","missing referral_origin_channel; ","")&amp;IF(H369="","missing referrer_name_snapshot; ","")&amp;IF(AND(A369="client",COUNTIF('الزبائن'!$A$6:$A$505,B369)=0),"client key not found; ","")&amp;IF(AND(A369="proposed_name",COUNTIF('أسماء مقترحة'!$A$6:$A$505,B369)=0),"proposed_name key not found; ",""))))</x:f>
      </x:c>
    </x:row>
    <x:row r="370">
      <x:c r="A370" s="251"/>
      <x:c r="B370" s="252"/>
      <x:c r="C370" s="253"/>
      <x:c r="D370" s="253"/>
      <x:c r="E370" s="253"/>
      <x:c r="F370" s="253"/>
      <x:c r="G370" s="252"/>
      <x:c r="H370" s="253"/>
      <x:c r="I370" s="272"/>
      <x:c r="J370" s="253"/>
      <x:c r="K370" s="252"/>
      <x:c r="L370" s="253"/>
      <x:c r="M370" s="253"/>
      <x:c r="N370" s="253"/>
      <x:c r="O370" s="253"/>
      <x:c r="P370" s="253" t="str">
        <x:f>IF(AND(A370="",B370="",H370=""),"",IF(OR(A370="",B370="",C370="",E370="",F370="",H370="",AND(A370="client",COUNTIF('الزبائن'!$A$6:$A$505,B370)=0),AND(A370="proposed_name",COUNTIF('أسماء مقترحة'!$A$6:$A$505,B370)=0)),"REVIEW","READY"))</x:f>
      </x:c>
      <x:c r="Q370" s="255" t="str">
        <x:f>IF(P370="","",IF(P370="READY","",TRIM(IF(A370="","missing entity_type; ","")&amp;IF(B370="","missing entity_key; ","")&amp;IF(C370="","missing referrer_order; ","")&amp;IF(E370="","missing referrer_type; ","")&amp;IF(F370="","missing referral_origin_channel; ","")&amp;IF(H370="","missing referrer_name_snapshot; ","")&amp;IF(AND(A370="client",COUNTIF('الزبائن'!$A$6:$A$505,B370)=0),"client key not found; ","")&amp;IF(AND(A370="proposed_name",COUNTIF('أسماء مقترحة'!$A$6:$A$505,B370)=0),"proposed_name key not found; ",""))))</x:f>
      </x:c>
    </x:row>
    <x:row r="371">
      <x:c r="A371" s="251"/>
      <x:c r="B371" s="252"/>
      <x:c r="C371" s="253"/>
      <x:c r="D371" s="253"/>
      <x:c r="E371" s="253"/>
      <x:c r="F371" s="253"/>
      <x:c r="G371" s="252"/>
      <x:c r="H371" s="253"/>
      <x:c r="I371" s="272"/>
      <x:c r="J371" s="253"/>
      <x:c r="K371" s="252"/>
      <x:c r="L371" s="253"/>
      <x:c r="M371" s="253"/>
      <x:c r="N371" s="253"/>
      <x:c r="O371" s="253"/>
      <x:c r="P371" s="253" t="str">
        <x:f>IF(AND(A371="",B371="",H371=""),"",IF(OR(A371="",B371="",C371="",E371="",F371="",H371="",AND(A371="client",COUNTIF('الزبائن'!$A$6:$A$505,B371)=0),AND(A371="proposed_name",COUNTIF('أسماء مقترحة'!$A$6:$A$505,B371)=0)),"REVIEW","READY"))</x:f>
      </x:c>
      <x:c r="Q371" s="255" t="str">
        <x:f>IF(P371="","",IF(P371="READY","",TRIM(IF(A371="","missing entity_type; ","")&amp;IF(B371="","missing entity_key; ","")&amp;IF(C371="","missing referrer_order; ","")&amp;IF(E371="","missing referrer_type; ","")&amp;IF(F371="","missing referral_origin_channel; ","")&amp;IF(H371="","missing referrer_name_snapshot; ","")&amp;IF(AND(A371="client",COUNTIF('الزبائن'!$A$6:$A$505,B371)=0),"client key not found; ","")&amp;IF(AND(A371="proposed_name",COUNTIF('أسماء مقترحة'!$A$6:$A$505,B371)=0),"proposed_name key not found; ",""))))</x:f>
      </x:c>
    </x:row>
    <x:row r="372">
      <x:c r="A372" s="251"/>
      <x:c r="B372" s="252"/>
      <x:c r="C372" s="253"/>
      <x:c r="D372" s="253"/>
      <x:c r="E372" s="253"/>
      <x:c r="F372" s="253"/>
      <x:c r="G372" s="252"/>
      <x:c r="H372" s="253"/>
      <x:c r="I372" s="272"/>
      <x:c r="J372" s="253"/>
      <x:c r="K372" s="252"/>
      <x:c r="L372" s="253"/>
      <x:c r="M372" s="253"/>
      <x:c r="N372" s="253"/>
      <x:c r="O372" s="253"/>
      <x:c r="P372" s="253" t="str">
        <x:f>IF(AND(A372="",B372="",H372=""),"",IF(OR(A372="",B372="",C372="",E372="",F372="",H372="",AND(A372="client",COUNTIF('الزبائن'!$A$6:$A$505,B372)=0),AND(A372="proposed_name",COUNTIF('أسماء مقترحة'!$A$6:$A$505,B372)=0)),"REVIEW","READY"))</x:f>
      </x:c>
      <x:c r="Q372" s="255" t="str">
        <x:f>IF(P372="","",IF(P372="READY","",TRIM(IF(A372="","missing entity_type; ","")&amp;IF(B372="","missing entity_key; ","")&amp;IF(C372="","missing referrer_order; ","")&amp;IF(E372="","missing referrer_type; ","")&amp;IF(F372="","missing referral_origin_channel; ","")&amp;IF(H372="","missing referrer_name_snapshot; ","")&amp;IF(AND(A372="client",COUNTIF('الزبائن'!$A$6:$A$505,B372)=0),"client key not found; ","")&amp;IF(AND(A372="proposed_name",COUNTIF('أسماء مقترحة'!$A$6:$A$505,B372)=0),"proposed_name key not found; ",""))))</x:f>
      </x:c>
    </x:row>
    <x:row r="373">
      <x:c r="A373" s="251"/>
      <x:c r="B373" s="252"/>
      <x:c r="C373" s="253"/>
      <x:c r="D373" s="253"/>
      <x:c r="E373" s="253"/>
      <x:c r="F373" s="253"/>
      <x:c r="G373" s="252"/>
      <x:c r="H373" s="253"/>
      <x:c r="I373" s="272"/>
      <x:c r="J373" s="253"/>
      <x:c r="K373" s="252"/>
      <x:c r="L373" s="253"/>
      <x:c r="M373" s="253"/>
      <x:c r="N373" s="253"/>
      <x:c r="O373" s="253"/>
      <x:c r="P373" s="253" t="str">
        <x:f>IF(AND(A373="",B373="",H373=""),"",IF(OR(A373="",B373="",C373="",E373="",F373="",H373="",AND(A373="client",COUNTIF('الزبائن'!$A$6:$A$505,B373)=0),AND(A373="proposed_name",COUNTIF('أسماء مقترحة'!$A$6:$A$505,B373)=0)),"REVIEW","READY"))</x:f>
      </x:c>
      <x:c r="Q373" s="255" t="str">
        <x:f>IF(P373="","",IF(P373="READY","",TRIM(IF(A373="","missing entity_type; ","")&amp;IF(B373="","missing entity_key; ","")&amp;IF(C373="","missing referrer_order; ","")&amp;IF(E373="","missing referrer_type; ","")&amp;IF(F373="","missing referral_origin_channel; ","")&amp;IF(H373="","missing referrer_name_snapshot; ","")&amp;IF(AND(A373="client",COUNTIF('الزبائن'!$A$6:$A$505,B373)=0),"client key not found; ","")&amp;IF(AND(A373="proposed_name",COUNTIF('أسماء مقترحة'!$A$6:$A$505,B373)=0),"proposed_name key not found; ",""))))</x:f>
      </x:c>
    </x:row>
    <x:row r="374">
      <x:c r="A374" s="251"/>
      <x:c r="B374" s="252"/>
      <x:c r="C374" s="253"/>
      <x:c r="D374" s="253"/>
      <x:c r="E374" s="253"/>
      <x:c r="F374" s="253"/>
      <x:c r="G374" s="252"/>
      <x:c r="H374" s="253"/>
      <x:c r="I374" s="272"/>
      <x:c r="J374" s="253"/>
      <x:c r="K374" s="252"/>
      <x:c r="L374" s="253"/>
      <x:c r="M374" s="253"/>
      <x:c r="N374" s="253"/>
      <x:c r="O374" s="253"/>
      <x:c r="P374" s="253" t="str">
        <x:f>IF(AND(A374="",B374="",H374=""),"",IF(OR(A374="",B374="",C374="",E374="",F374="",H374="",AND(A374="client",COUNTIF('الزبائن'!$A$6:$A$505,B374)=0),AND(A374="proposed_name",COUNTIF('أسماء مقترحة'!$A$6:$A$505,B374)=0)),"REVIEW","READY"))</x:f>
      </x:c>
      <x:c r="Q374" s="255" t="str">
        <x:f>IF(P374="","",IF(P374="READY","",TRIM(IF(A374="","missing entity_type; ","")&amp;IF(B374="","missing entity_key; ","")&amp;IF(C374="","missing referrer_order; ","")&amp;IF(E374="","missing referrer_type; ","")&amp;IF(F374="","missing referral_origin_channel; ","")&amp;IF(H374="","missing referrer_name_snapshot; ","")&amp;IF(AND(A374="client",COUNTIF('الزبائن'!$A$6:$A$505,B374)=0),"client key not found; ","")&amp;IF(AND(A374="proposed_name",COUNTIF('أسماء مقترحة'!$A$6:$A$505,B374)=0),"proposed_name key not found; ",""))))</x:f>
      </x:c>
    </x:row>
    <x:row r="375">
      <x:c r="A375" s="251"/>
      <x:c r="B375" s="252"/>
      <x:c r="C375" s="253"/>
      <x:c r="D375" s="253"/>
      <x:c r="E375" s="253"/>
      <x:c r="F375" s="253"/>
      <x:c r="G375" s="252"/>
      <x:c r="H375" s="253"/>
      <x:c r="I375" s="272"/>
      <x:c r="J375" s="253"/>
      <x:c r="K375" s="252"/>
      <x:c r="L375" s="253"/>
      <x:c r="M375" s="253"/>
      <x:c r="N375" s="253"/>
      <x:c r="O375" s="253"/>
      <x:c r="P375" s="253" t="str">
        <x:f>IF(AND(A375="",B375="",H375=""),"",IF(OR(A375="",B375="",C375="",E375="",F375="",H375="",AND(A375="client",COUNTIF('الزبائن'!$A$6:$A$505,B375)=0),AND(A375="proposed_name",COUNTIF('أسماء مقترحة'!$A$6:$A$505,B375)=0)),"REVIEW","READY"))</x:f>
      </x:c>
      <x:c r="Q375" s="255" t="str">
        <x:f>IF(P375="","",IF(P375="READY","",TRIM(IF(A375="","missing entity_type; ","")&amp;IF(B375="","missing entity_key; ","")&amp;IF(C375="","missing referrer_order; ","")&amp;IF(E375="","missing referrer_type; ","")&amp;IF(F375="","missing referral_origin_channel; ","")&amp;IF(H375="","missing referrer_name_snapshot; ","")&amp;IF(AND(A375="client",COUNTIF('الزبائن'!$A$6:$A$505,B375)=0),"client key not found; ","")&amp;IF(AND(A375="proposed_name",COUNTIF('أسماء مقترحة'!$A$6:$A$505,B375)=0),"proposed_name key not found; ",""))))</x:f>
      </x:c>
    </x:row>
    <x:row r="376">
      <x:c r="A376" s="251"/>
      <x:c r="B376" s="252"/>
      <x:c r="C376" s="253"/>
      <x:c r="D376" s="253"/>
      <x:c r="E376" s="253"/>
      <x:c r="F376" s="253"/>
      <x:c r="G376" s="252"/>
      <x:c r="H376" s="253"/>
      <x:c r="I376" s="272"/>
      <x:c r="J376" s="253"/>
      <x:c r="K376" s="252"/>
      <x:c r="L376" s="253"/>
      <x:c r="M376" s="253"/>
      <x:c r="N376" s="253"/>
      <x:c r="O376" s="253"/>
      <x:c r="P376" s="253" t="str">
        <x:f>IF(AND(A376="",B376="",H376=""),"",IF(OR(A376="",B376="",C376="",E376="",F376="",H376="",AND(A376="client",COUNTIF('الزبائن'!$A$6:$A$505,B376)=0),AND(A376="proposed_name",COUNTIF('أسماء مقترحة'!$A$6:$A$505,B376)=0)),"REVIEW","READY"))</x:f>
      </x:c>
      <x:c r="Q376" s="255" t="str">
        <x:f>IF(P376="","",IF(P376="READY","",TRIM(IF(A376="","missing entity_type; ","")&amp;IF(B376="","missing entity_key; ","")&amp;IF(C376="","missing referrer_order; ","")&amp;IF(E376="","missing referrer_type; ","")&amp;IF(F376="","missing referral_origin_channel; ","")&amp;IF(H376="","missing referrer_name_snapshot; ","")&amp;IF(AND(A376="client",COUNTIF('الزبائن'!$A$6:$A$505,B376)=0),"client key not found; ","")&amp;IF(AND(A376="proposed_name",COUNTIF('أسماء مقترحة'!$A$6:$A$505,B376)=0),"proposed_name key not found; ",""))))</x:f>
      </x:c>
    </x:row>
    <x:row r="377">
      <x:c r="A377" s="251"/>
      <x:c r="B377" s="252"/>
      <x:c r="C377" s="253"/>
      <x:c r="D377" s="253"/>
      <x:c r="E377" s="253"/>
      <x:c r="F377" s="253"/>
      <x:c r="G377" s="252"/>
      <x:c r="H377" s="253"/>
      <x:c r="I377" s="272"/>
      <x:c r="J377" s="253"/>
      <x:c r="K377" s="252"/>
      <x:c r="L377" s="253"/>
      <x:c r="M377" s="253"/>
      <x:c r="N377" s="253"/>
      <x:c r="O377" s="253"/>
      <x:c r="P377" s="253" t="str">
        <x:f>IF(AND(A377="",B377="",H377=""),"",IF(OR(A377="",B377="",C377="",E377="",F377="",H377="",AND(A377="client",COUNTIF('الزبائن'!$A$6:$A$505,B377)=0),AND(A377="proposed_name",COUNTIF('أسماء مقترحة'!$A$6:$A$505,B377)=0)),"REVIEW","READY"))</x:f>
      </x:c>
      <x:c r="Q377" s="255" t="str">
        <x:f>IF(P377="","",IF(P377="READY","",TRIM(IF(A377="","missing entity_type; ","")&amp;IF(B377="","missing entity_key; ","")&amp;IF(C377="","missing referrer_order; ","")&amp;IF(E377="","missing referrer_type; ","")&amp;IF(F377="","missing referral_origin_channel; ","")&amp;IF(H377="","missing referrer_name_snapshot; ","")&amp;IF(AND(A377="client",COUNTIF('الزبائن'!$A$6:$A$505,B377)=0),"client key not found; ","")&amp;IF(AND(A377="proposed_name",COUNTIF('أسماء مقترحة'!$A$6:$A$505,B377)=0),"proposed_name key not found; ",""))))</x:f>
      </x:c>
    </x:row>
    <x:row r="378">
      <x:c r="A378" s="251"/>
      <x:c r="B378" s="252"/>
      <x:c r="C378" s="253"/>
      <x:c r="D378" s="253"/>
      <x:c r="E378" s="253"/>
      <x:c r="F378" s="253"/>
      <x:c r="G378" s="252"/>
      <x:c r="H378" s="253"/>
      <x:c r="I378" s="272"/>
      <x:c r="J378" s="253"/>
      <x:c r="K378" s="252"/>
      <x:c r="L378" s="253"/>
      <x:c r="M378" s="253"/>
      <x:c r="N378" s="253"/>
      <x:c r="O378" s="253"/>
      <x:c r="P378" s="253" t="str">
        <x:f>IF(AND(A378="",B378="",H378=""),"",IF(OR(A378="",B378="",C378="",E378="",F378="",H378="",AND(A378="client",COUNTIF('الزبائن'!$A$6:$A$505,B378)=0),AND(A378="proposed_name",COUNTIF('أسماء مقترحة'!$A$6:$A$505,B378)=0)),"REVIEW","READY"))</x:f>
      </x:c>
      <x:c r="Q378" s="255" t="str">
        <x:f>IF(P378="","",IF(P378="READY","",TRIM(IF(A378="","missing entity_type; ","")&amp;IF(B378="","missing entity_key; ","")&amp;IF(C378="","missing referrer_order; ","")&amp;IF(E378="","missing referrer_type; ","")&amp;IF(F378="","missing referral_origin_channel; ","")&amp;IF(H378="","missing referrer_name_snapshot; ","")&amp;IF(AND(A378="client",COUNTIF('الزبائن'!$A$6:$A$505,B378)=0),"client key not found; ","")&amp;IF(AND(A378="proposed_name",COUNTIF('أسماء مقترحة'!$A$6:$A$505,B378)=0),"proposed_name key not found; ",""))))</x:f>
      </x:c>
    </x:row>
    <x:row r="379">
      <x:c r="A379" s="251"/>
      <x:c r="B379" s="252"/>
      <x:c r="C379" s="253"/>
      <x:c r="D379" s="253"/>
      <x:c r="E379" s="253"/>
      <x:c r="F379" s="253"/>
      <x:c r="G379" s="252"/>
      <x:c r="H379" s="253"/>
      <x:c r="I379" s="272"/>
      <x:c r="J379" s="253"/>
      <x:c r="K379" s="252"/>
      <x:c r="L379" s="253"/>
      <x:c r="M379" s="253"/>
      <x:c r="N379" s="253"/>
      <x:c r="O379" s="253"/>
      <x:c r="P379" s="253" t="str">
        <x:f>IF(AND(A379="",B379="",H379=""),"",IF(OR(A379="",B379="",C379="",E379="",F379="",H379="",AND(A379="client",COUNTIF('الزبائن'!$A$6:$A$505,B379)=0),AND(A379="proposed_name",COUNTIF('أسماء مقترحة'!$A$6:$A$505,B379)=0)),"REVIEW","READY"))</x:f>
      </x:c>
      <x:c r="Q379" s="255" t="str">
        <x:f>IF(P379="","",IF(P379="READY","",TRIM(IF(A379="","missing entity_type; ","")&amp;IF(B379="","missing entity_key; ","")&amp;IF(C379="","missing referrer_order; ","")&amp;IF(E379="","missing referrer_type; ","")&amp;IF(F379="","missing referral_origin_channel; ","")&amp;IF(H379="","missing referrer_name_snapshot; ","")&amp;IF(AND(A379="client",COUNTIF('الزبائن'!$A$6:$A$505,B379)=0),"client key not found; ","")&amp;IF(AND(A379="proposed_name",COUNTIF('أسماء مقترحة'!$A$6:$A$505,B379)=0),"proposed_name key not found; ",""))))</x:f>
      </x:c>
    </x:row>
    <x:row r="380">
      <x:c r="A380" s="251"/>
      <x:c r="B380" s="252"/>
      <x:c r="C380" s="253"/>
      <x:c r="D380" s="253"/>
      <x:c r="E380" s="253"/>
      <x:c r="F380" s="253"/>
      <x:c r="G380" s="252"/>
      <x:c r="H380" s="253"/>
      <x:c r="I380" s="272"/>
      <x:c r="J380" s="253"/>
      <x:c r="K380" s="252"/>
      <x:c r="L380" s="253"/>
      <x:c r="M380" s="253"/>
      <x:c r="N380" s="253"/>
      <x:c r="O380" s="253"/>
      <x:c r="P380" s="253" t="str">
        <x:f>IF(AND(A380="",B380="",H380=""),"",IF(OR(A380="",B380="",C380="",E380="",F380="",H380="",AND(A380="client",COUNTIF('الزبائن'!$A$6:$A$505,B380)=0),AND(A380="proposed_name",COUNTIF('أسماء مقترحة'!$A$6:$A$505,B380)=0)),"REVIEW","READY"))</x:f>
      </x:c>
      <x:c r="Q380" s="255" t="str">
        <x:f>IF(P380="","",IF(P380="READY","",TRIM(IF(A380="","missing entity_type; ","")&amp;IF(B380="","missing entity_key; ","")&amp;IF(C380="","missing referrer_order; ","")&amp;IF(E380="","missing referrer_type; ","")&amp;IF(F380="","missing referral_origin_channel; ","")&amp;IF(H380="","missing referrer_name_snapshot; ","")&amp;IF(AND(A380="client",COUNTIF('الزبائن'!$A$6:$A$505,B380)=0),"client key not found; ","")&amp;IF(AND(A380="proposed_name",COUNTIF('أسماء مقترحة'!$A$6:$A$505,B380)=0),"proposed_name key not found; ",""))))</x:f>
      </x:c>
    </x:row>
    <x:row r="381">
      <x:c r="A381" s="251"/>
      <x:c r="B381" s="252"/>
      <x:c r="C381" s="253"/>
      <x:c r="D381" s="253"/>
      <x:c r="E381" s="253"/>
      <x:c r="F381" s="253"/>
      <x:c r="G381" s="252"/>
      <x:c r="H381" s="253"/>
      <x:c r="I381" s="272"/>
      <x:c r="J381" s="253"/>
      <x:c r="K381" s="252"/>
      <x:c r="L381" s="253"/>
      <x:c r="M381" s="253"/>
      <x:c r="N381" s="253"/>
      <x:c r="O381" s="253"/>
      <x:c r="P381" s="253" t="str">
        <x:f>IF(AND(A381="",B381="",H381=""),"",IF(OR(A381="",B381="",C381="",E381="",F381="",H381="",AND(A381="client",COUNTIF('الزبائن'!$A$6:$A$505,B381)=0),AND(A381="proposed_name",COUNTIF('أسماء مقترحة'!$A$6:$A$505,B381)=0)),"REVIEW","READY"))</x:f>
      </x:c>
      <x:c r="Q381" s="255" t="str">
        <x:f>IF(P381="","",IF(P381="READY","",TRIM(IF(A381="","missing entity_type; ","")&amp;IF(B381="","missing entity_key; ","")&amp;IF(C381="","missing referrer_order; ","")&amp;IF(E381="","missing referrer_type; ","")&amp;IF(F381="","missing referral_origin_channel; ","")&amp;IF(H381="","missing referrer_name_snapshot; ","")&amp;IF(AND(A381="client",COUNTIF('الزبائن'!$A$6:$A$505,B381)=0),"client key not found; ","")&amp;IF(AND(A381="proposed_name",COUNTIF('أسماء مقترحة'!$A$6:$A$505,B381)=0),"proposed_name key not found; ",""))))</x:f>
      </x:c>
    </x:row>
    <x:row r="382">
      <x:c r="A382" s="251"/>
      <x:c r="B382" s="252"/>
      <x:c r="C382" s="253"/>
      <x:c r="D382" s="253"/>
      <x:c r="E382" s="253"/>
      <x:c r="F382" s="253"/>
      <x:c r="G382" s="252"/>
      <x:c r="H382" s="253"/>
      <x:c r="I382" s="272"/>
      <x:c r="J382" s="253"/>
      <x:c r="K382" s="252"/>
      <x:c r="L382" s="253"/>
      <x:c r="M382" s="253"/>
      <x:c r="N382" s="253"/>
      <x:c r="O382" s="253"/>
      <x:c r="P382" s="253" t="str">
        <x:f>IF(AND(A382="",B382="",H382=""),"",IF(OR(A382="",B382="",C382="",E382="",F382="",H382="",AND(A382="client",COUNTIF('الزبائن'!$A$6:$A$505,B382)=0),AND(A382="proposed_name",COUNTIF('أسماء مقترحة'!$A$6:$A$505,B382)=0)),"REVIEW","READY"))</x:f>
      </x:c>
      <x:c r="Q382" s="255" t="str">
        <x:f>IF(P382="","",IF(P382="READY","",TRIM(IF(A382="","missing entity_type; ","")&amp;IF(B382="","missing entity_key; ","")&amp;IF(C382="","missing referrer_order; ","")&amp;IF(E382="","missing referrer_type; ","")&amp;IF(F382="","missing referral_origin_channel; ","")&amp;IF(H382="","missing referrer_name_snapshot; ","")&amp;IF(AND(A382="client",COUNTIF('الزبائن'!$A$6:$A$505,B382)=0),"client key not found; ","")&amp;IF(AND(A382="proposed_name",COUNTIF('أسماء مقترحة'!$A$6:$A$505,B382)=0),"proposed_name key not found; ",""))))</x:f>
      </x:c>
    </x:row>
    <x:row r="383">
      <x:c r="A383" s="251"/>
      <x:c r="B383" s="252"/>
      <x:c r="C383" s="253"/>
      <x:c r="D383" s="253"/>
      <x:c r="E383" s="253"/>
      <x:c r="F383" s="253"/>
      <x:c r="G383" s="252"/>
      <x:c r="H383" s="253"/>
      <x:c r="I383" s="272"/>
      <x:c r="J383" s="253"/>
      <x:c r="K383" s="252"/>
      <x:c r="L383" s="253"/>
      <x:c r="M383" s="253"/>
      <x:c r="N383" s="253"/>
      <x:c r="O383" s="253"/>
      <x:c r="P383" s="253" t="str">
        <x:f>IF(AND(A383="",B383="",H383=""),"",IF(OR(A383="",B383="",C383="",E383="",F383="",H383="",AND(A383="client",COUNTIF('الزبائن'!$A$6:$A$505,B383)=0),AND(A383="proposed_name",COUNTIF('أسماء مقترحة'!$A$6:$A$505,B383)=0)),"REVIEW","READY"))</x:f>
      </x:c>
      <x:c r="Q383" s="255" t="str">
        <x:f>IF(P383="","",IF(P383="READY","",TRIM(IF(A383="","missing entity_type; ","")&amp;IF(B383="","missing entity_key; ","")&amp;IF(C383="","missing referrer_order; ","")&amp;IF(E383="","missing referrer_type; ","")&amp;IF(F383="","missing referral_origin_channel; ","")&amp;IF(H383="","missing referrer_name_snapshot; ","")&amp;IF(AND(A383="client",COUNTIF('الزبائن'!$A$6:$A$505,B383)=0),"client key not found; ","")&amp;IF(AND(A383="proposed_name",COUNTIF('أسماء مقترحة'!$A$6:$A$505,B383)=0),"proposed_name key not found; ",""))))</x:f>
      </x:c>
    </x:row>
    <x:row r="384">
      <x:c r="A384" s="251"/>
      <x:c r="B384" s="252"/>
      <x:c r="C384" s="253"/>
      <x:c r="D384" s="253"/>
      <x:c r="E384" s="253"/>
      <x:c r="F384" s="253"/>
      <x:c r="G384" s="252"/>
      <x:c r="H384" s="253"/>
      <x:c r="I384" s="272"/>
      <x:c r="J384" s="253"/>
      <x:c r="K384" s="252"/>
      <x:c r="L384" s="253"/>
      <x:c r="M384" s="253"/>
      <x:c r="N384" s="253"/>
      <x:c r="O384" s="253"/>
      <x:c r="P384" s="253" t="str">
        <x:f>IF(AND(A384="",B384="",H384=""),"",IF(OR(A384="",B384="",C384="",E384="",F384="",H384="",AND(A384="client",COUNTIF('الزبائن'!$A$6:$A$505,B384)=0),AND(A384="proposed_name",COUNTIF('أسماء مقترحة'!$A$6:$A$505,B384)=0)),"REVIEW","READY"))</x:f>
      </x:c>
      <x:c r="Q384" s="255" t="str">
        <x:f>IF(P384="","",IF(P384="READY","",TRIM(IF(A384="","missing entity_type; ","")&amp;IF(B384="","missing entity_key; ","")&amp;IF(C384="","missing referrer_order; ","")&amp;IF(E384="","missing referrer_type; ","")&amp;IF(F384="","missing referral_origin_channel; ","")&amp;IF(H384="","missing referrer_name_snapshot; ","")&amp;IF(AND(A384="client",COUNTIF('الزبائن'!$A$6:$A$505,B384)=0),"client key not found; ","")&amp;IF(AND(A384="proposed_name",COUNTIF('أسماء مقترحة'!$A$6:$A$505,B384)=0),"proposed_name key not found; ",""))))</x:f>
      </x:c>
    </x:row>
    <x:row r="385">
      <x:c r="A385" s="251"/>
      <x:c r="B385" s="252"/>
      <x:c r="C385" s="253"/>
      <x:c r="D385" s="253"/>
      <x:c r="E385" s="253"/>
      <x:c r="F385" s="253"/>
      <x:c r="G385" s="252"/>
      <x:c r="H385" s="253"/>
      <x:c r="I385" s="272"/>
      <x:c r="J385" s="253"/>
      <x:c r="K385" s="252"/>
      <x:c r="L385" s="253"/>
      <x:c r="M385" s="253"/>
      <x:c r="N385" s="253"/>
      <x:c r="O385" s="253"/>
      <x:c r="P385" s="253" t="str">
        <x:f>IF(AND(A385="",B385="",H385=""),"",IF(OR(A385="",B385="",C385="",E385="",F385="",H385="",AND(A385="client",COUNTIF('الزبائن'!$A$6:$A$505,B385)=0),AND(A385="proposed_name",COUNTIF('أسماء مقترحة'!$A$6:$A$505,B385)=0)),"REVIEW","READY"))</x:f>
      </x:c>
      <x:c r="Q385" s="255" t="str">
        <x:f>IF(P385="","",IF(P385="READY","",TRIM(IF(A385="","missing entity_type; ","")&amp;IF(B385="","missing entity_key; ","")&amp;IF(C385="","missing referrer_order; ","")&amp;IF(E385="","missing referrer_type; ","")&amp;IF(F385="","missing referral_origin_channel; ","")&amp;IF(H385="","missing referrer_name_snapshot; ","")&amp;IF(AND(A385="client",COUNTIF('الزبائن'!$A$6:$A$505,B385)=0),"client key not found; ","")&amp;IF(AND(A385="proposed_name",COUNTIF('أسماء مقترحة'!$A$6:$A$505,B385)=0),"proposed_name key not found; ",""))))</x:f>
      </x:c>
    </x:row>
    <x:row r="386">
      <x:c r="A386" s="251"/>
      <x:c r="B386" s="252"/>
      <x:c r="C386" s="253"/>
      <x:c r="D386" s="253"/>
      <x:c r="E386" s="253"/>
      <x:c r="F386" s="253"/>
      <x:c r="G386" s="252"/>
      <x:c r="H386" s="253"/>
      <x:c r="I386" s="272"/>
      <x:c r="J386" s="253"/>
      <x:c r="K386" s="252"/>
      <x:c r="L386" s="253"/>
      <x:c r="M386" s="253"/>
      <x:c r="N386" s="253"/>
      <x:c r="O386" s="253"/>
      <x:c r="P386" s="253" t="str">
        <x:f>IF(AND(A386="",B386="",H386=""),"",IF(OR(A386="",B386="",C386="",E386="",F386="",H386="",AND(A386="client",COUNTIF('الزبائن'!$A$6:$A$505,B386)=0),AND(A386="proposed_name",COUNTIF('أسماء مقترحة'!$A$6:$A$505,B386)=0)),"REVIEW","READY"))</x:f>
      </x:c>
      <x:c r="Q386" s="255" t="str">
        <x:f>IF(P386="","",IF(P386="READY","",TRIM(IF(A386="","missing entity_type; ","")&amp;IF(B386="","missing entity_key; ","")&amp;IF(C386="","missing referrer_order; ","")&amp;IF(E386="","missing referrer_type; ","")&amp;IF(F386="","missing referral_origin_channel; ","")&amp;IF(H386="","missing referrer_name_snapshot; ","")&amp;IF(AND(A386="client",COUNTIF('الزبائن'!$A$6:$A$505,B386)=0),"client key not found; ","")&amp;IF(AND(A386="proposed_name",COUNTIF('أسماء مقترحة'!$A$6:$A$505,B386)=0),"proposed_name key not found; ",""))))</x:f>
      </x:c>
    </x:row>
    <x:row r="387">
      <x:c r="A387" s="251"/>
      <x:c r="B387" s="252"/>
      <x:c r="C387" s="253"/>
      <x:c r="D387" s="253"/>
      <x:c r="E387" s="253"/>
      <x:c r="F387" s="253"/>
      <x:c r="G387" s="252"/>
      <x:c r="H387" s="253"/>
      <x:c r="I387" s="272"/>
      <x:c r="J387" s="253"/>
      <x:c r="K387" s="252"/>
      <x:c r="L387" s="253"/>
      <x:c r="M387" s="253"/>
      <x:c r="N387" s="253"/>
      <x:c r="O387" s="253"/>
      <x:c r="P387" s="253" t="str">
        <x:f>IF(AND(A387="",B387="",H387=""),"",IF(OR(A387="",B387="",C387="",E387="",F387="",H387="",AND(A387="client",COUNTIF('الزبائن'!$A$6:$A$505,B387)=0),AND(A387="proposed_name",COUNTIF('أسماء مقترحة'!$A$6:$A$505,B387)=0)),"REVIEW","READY"))</x:f>
      </x:c>
      <x:c r="Q387" s="255" t="str">
        <x:f>IF(P387="","",IF(P387="READY","",TRIM(IF(A387="","missing entity_type; ","")&amp;IF(B387="","missing entity_key; ","")&amp;IF(C387="","missing referrer_order; ","")&amp;IF(E387="","missing referrer_type; ","")&amp;IF(F387="","missing referral_origin_channel; ","")&amp;IF(H387="","missing referrer_name_snapshot; ","")&amp;IF(AND(A387="client",COUNTIF('الزبائن'!$A$6:$A$505,B387)=0),"client key not found; ","")&amp;IF(AND(A387="proposed_name",COUNTIF('أسماء مقترحة'!$A$6:$A$505,B387)=0),"proposed_name key not found; ",""))))</x:f>
      </x:c>
    </x:row>
    <x:row r="388">
      <x:c r="A388" s="251"/>
      <x:c r="B388" s="252"/>
      <x:c r="C388" s="253"/>
      <x:c r="D388" s="253"/>
      <x:c r="E388" s="253"/>
      <x:c r="F388" s="253"/>
      <x:c r="G388" s="252"/>
      <x:c r="H388" s="253"/>
      <x:c r="I388" s="272"/>
      <x:c r="J388" s="253"/>
      <x:c r="K388" s="252"/>
      <x:c r="L388" s="253"/>
      <x:c r="M388" s="253"/>
      <x:c r="N388" s="253"/>
      <x:c r="O388" s="253"/>
      <x:c r="P388" s="253" t="str">
        <x:f>IF(AND(A388="",B388="",H388=""),"",IF(OR(A388="",B388="",C388="",E388="",F388="",H388="",AND(A388="client",COUNTIF('الزبائن'!$A$6:$A$505,B388)=0),AND(A388="proposed_name",COUNTIF('أسماء مقترحة'!$A$6:$A$505,B388)=0)),"REVIEW","READY"))</x:f>
      </x:c>
      <x:c r="Q388" s="255" t="str">
        <x:f>IF(P388="","",IF(P388="READY","",TRIM(IF(A388="","missing entity_type; ","")&amp;IF(B388="","missing entity_key; ","")&amp;IF(C388="","missing referrer_order; ","")&amp;IF(E388="","missing referrer_type; ","")&amp;IF(F388="","missing referral_origin_channel; ","")&amp;IF(H388="","missing referrer_name_snapshot; ","")&amp;IF(AND(A388="client",COUNTIF('الزبائن'!$A$6:$A$505,B388)=0),"client key not found; ","")&amp;IF(AND(A388="proposed_name",COUNTIF('أسماء مقترحة'!$A$6:$A$505,B388)=0),"proposed_name key not found; ",""))))</x:f>
      </x:c>
    </x:row>
    <x:row r="389">
      <x:c r="A389" s="251"/>
      <x:c r="B389" s="252"/>
      <x:c r="C389" s="253"/>
      <x:c r="D389" s="253"/>
      <x:c r="E389" s="253"/>
      <x:c r="F389" s="253"/>
      <x:c r="G389" s="252"/>
      <x:c r="H389" s="253"/>
      <x:c r="I389" s="272"/>
      <x:c r="J389" s="253"/>
      <x:c r="K389" s="252"/>
      <x:c r="L389" s="253"/>
      <x:c r="M389" s="253"/>
      <x:c r="N389" s="253"/>
      <x:c r="O389" s="253"/>
      <x:c r="P389" s="253" t="str">
        <x:f>IF(AND(A389="",B389="",H389=""),"",IF(OR(A389="",B389="",C389="",E389="",F389="",H389="",AND(A389="client",COUNTIF('الزبائن'!$A$6:$A$505,B389)=0),AND(A389="proposed_name",COUNTIF('أسماء مقترحة'!$A$6:$A$505,B389)=0)),"REVIEW","READY"))</x:f>
      </x:c>
      <x:c r="Q389" s="255" t="str">
        <x:f>IF(P389="","",IF(P389="READY","",TRIM(IF(A389="","missing entity_type; ","")&amp;IF(B389="","missing entity_key; ","")&amp;IF(C389="","missing referrer_order; ","")&amp;IF(E389="","missing referrer_type; ","")&amp;IF(F389="","missing referral_origin_channel; ","")&amp;IF(H389="","missing referrer_name_snapshot; ","")&amp;IF(AND(A389="client",COUNTIF('الزبائن'!$A$6:$A$505,B389)=0),"client key not found; ","")&amp;IF(AND(A389="proposed_name",COUNTIF('أسماء مقترحة'!$A$6:$A$505,B389)=0),"proposed_name key not found; ",""))))</x:f>
      </x:c>
    </x:row>
    <x:row r="390">
      <x:c r="A390" s="251"/>
      <x:c r="B390" s="252"/>
      <x:c r="C390" s="253"/>
      <x:c r="D390" s="253"/>
      <x:c r="E390" s="253"/>
      <x:c r="F390" s="253"/>
      <x:c r="G390" s="252"/>
      <x:c r="H390" s="253"/>
      <x:c r="I390" s="272"/>
      <x:c r="J390" s="253"/>
      <x:c r="K390" s="252"/>
      <x:c r="L390" s="253"/>
      <x:c r="M390" s="253"/>
      <x:c r="N390" s="253"/>
      <x:c r="O390" s="253"/>
      <x:c r="P390" s="253" t="str">
        <x:f>IF(AND(A390="",B390="",H390=""),"",IF(OR(A390="",B390="",C390="",E390="",F390="",H390="",AND(A390="client",COUNTIF('الزبائن'!$A$6:$A$505,B390)=0),AND(A390="proposed_name",COUNTIF('أسماء مقترحة'!$A$6:$A$505,B390)=0)),"REVIEW","READY"))</x:f>
      </x:c>
      <x:c r="Q390" s="255" t="str">
        <x:f>IF(P390="","",IF(P390="READY","",TRIM(IF(A390="","missing entity_type; ","")&amp;IF(B390="","missing entity_key; ","")&amp;IF(C390="","missing referrer_order; ","")&amp;IF(E390="","missing referrer_type; ","")&amp;IF(F390="","missing referral_origin_channel; ","")&amp;IF(H390="","missing referrer_name_snapshot; ","")&amp;IF(AND(A390="client",COUNTIF('الزبائن'!$A$6:$A$505,B390)=0),"client key not found; ","")&amp;IF(AND(A390="proposed_name",COUNTIF('أسماء مقترحة'!$A$6:$A$505,B390)=0),"proposed_name key not found; ",""))))</x:f>
      </x:c>
    </x:row>
    <x:row r="391">
      <x:c r="A391" s="251"/>
      <x:c r="B391" s="252"/>
      <x:c r="C391" s="253"/>
      <x:c r="D391" s="253"/>
      <x:c r="E391" s="253"/>
      <x:c r="F391" s="253"/>
      <x:c r="G391" s="252"/>
      <x:c r="H391" s="253"/>
      <x:c r="I391" s="272"/>
      <x:c r="J391" s="253"/>
      <x:c r="K391" s="252"/>
      <x:c r="L391" s="253"/>
      <x:c r="M391" s="253"/>
      <x:c r="N391" s="253"/>
      <x:c r="O391" s="253"/>
      <x:c r="P391" s="253" t="str">
        <x:f>IF(AND(A391="",B391="",H391=""),"",IF(OR(A391="",B391="",C391="",E391="",F391="",H391="",AND(A391="client",COUNTIF('الزبائن'!$A$6:$A$505,B391)=0),AND(A391="proposed_name",COUNTIF('أسماء مقترحة'!$A$6:$A$505,B391)=0)),"REVIEW","READY"))</x:f>
      </x:c>
      <x:c r="Q391" s="255" t="str">
        <x:f>IF(P391="","",IF(P391="READY","",TRIM(IF(A391="","missing entity_type; ","")&amp;IF(B391="","missing entity_key; ","")&amp;IF(C391="","missing referrer_order; ","")&amp;IF(E391="","missing referrer_type; ","")&amp;IF(F391="","missing referral_origin_channel; ","")&amp;IF(H391="","missing referrer_name_snapshot; ","")&amp;IF(AND(A391="client",COUNTIF('الزبائن'!$A$6:$A$505,B391)=0),"client key not found; ","")&amp;IF(AND(A391="proposed_name",COUNTIF('أسماء مقترحة'!$A$6:$A$505,B391)=0),"proposed_name key not found; ",""))))</x:f>
      </x:c>
    </x:row>
    <x:row r="392">
      <x:c r="A392" s="251"/>
      <x:c r="B392" s="252"/>
      <x:c r="C392" s="253"/>
      <x:c r="D392" s="253"/>
      <x:c r="E392" s="253"/>
      <x:c r="F392" s="253"/>
      <x:c r="G392" s="252"/>
      <x:c r="H392" s="253"/>
      <x:c r="I392" s="272"/>
      <x:c r="J392" s="253"/>
      <x:c r="K392" s="252"/>
      <x:c r="L392" s="253"/>
      <x:c r="M392" s="253"/>
      <x:c r="N392" s="253"/>
      <x:c r="O392" s="253"/>
      <x:c r="P392" s="253" t="str">
        <x:f>IF(AND(A392="",B392="",H392=""),"",IF(OR(A392="",B392="",C392="",E392="",F392="",H392="",AND(A392="client",COUNTIF('الزبائن'!$A$6:$A$505,B392)=0),AND(A392="proposed_name",COUNTIF('أسماء مقترحة'!$A$6:$A$505,B392)=0)),"REVIEW","READY"))</x:f>
      </x:c>
      <x:c r="Q392" s="255" t="str">
        <x:f>IF(P392="","",IF(P392="READY","",TRIM(IF(A392="","missing entity_type; ","")&amp;IF(B392="","missing entity_key; ","")&amp;IF(C392="","missing referrer_order; ","")&amp;IF(E392="","missing referrer_type; ","")&amp;IF(F392="","missing referral_origin_channel; ","")&amp;IF(H392="","missing referrer_name_snapshot; ","")&amp;IF(AND(A392="client",COUNTIF('الزبائن'!$A$6:$A$505,B392)=0),"client key not found; ","")&amp;IF(AND(A392="proposed_name",COUNTIF('أسماء مقترحة'!$A$6:$A$505,B392)=0),"proposed_name key not found; ",""))))</x:f>
      </x:c>
    </x:row>
    <x:row r="393">
      <x:c r="A393" s="251"/>
      <x:c r="B393" s="252"/>
      <x:c r="C393" s="253"/>
      <x:c r="D393" s="253"/>
      <x:c r="E393" s="253"/>
      <x:c r="F393" s="253"/>
      <x:c r="G393" s="252"/>
      <x:c r="H393" s="253"/>
      <x:c r="I393" s="272"/>
      <x:c r="J393" s="253"/>
      <x:c r="K393" s="252"/>
      <x:c r="L393" s="253"/>
      <x:c r="M393" s="253"/>
      <x:c r="N393" s="253"/>
      <x:c r="O393" s="253"/>
      <x:c r="P393" s="253" t="str">
        <x:f>IF(AND(A393="",B393="",H393=""),"",IF(OR(A393="",B393="",C393="",E393="",F393="",H393="",AND(A393="client",COUNTIF('الزبائن'!$A$6:$A$505,B393)=0),AND(A393="proposed_name",COUNTIF('أسماء مقترحة'!$A$6:$A$505,B393)=0)),"REVIEW","READY"))</x:f>
      </x:c>
      <x:c r="Q393" s="255" t="str">
        <x:f>IF(P393="","",IF(P393="READY","",TRIM(IF(A393="","missing entity_type; ","")&amp;IF(B393="","missing entity_key; ","")&amp;IF(C393="","missing referrer_order; ","")&amp;IF(E393="","missing referrer_type; ","")&amp;IF(F393="","missing referral_origin_channel; ","")&amp;IF(H393="","missing referrer_name_snapshot; ","")&amp;IF(AND(A393="client",COUNTIF('الزبائن'!$A$6:$A$505,B393)=0),"client key not found; ","")&amp;IF(AND(A393="proposed_name",COUNTIF('أسماء مقترحة'!$A$6:$A$505,B393)=0),"proposed_name key not found; ",""))))</x:f>
      </x:c>
    </x:row>
    <x:row r="394">
      <x:c r="A394" s="251"/>
      <x:c r="B394" s="252"/>
      <x:c r="C394" s="253"/>
      <x:c r="D394" s="253"/>
      <x:c r="E394" s="253"/>
      <x:c r="F394" s="253"/>
      <x:c r="G394" s="252"/>
      <x:c r="H394" s="253"/>
      <x:c r="I394" s="272"/>
      <x:c r="J394" s="253"/>
      <x:c r="K394" s="252"/>
      <x:c r="L394" s="253"/>
      <x:c r="M394" s="253"/>
      <x:c r="N394" s="253"/>
      <x:c r="O394" s="253"/>
      <x:c r="P394" s="253" t="str">
        <x:f>IF(AND(A394="",B394="",H394=""),"",IF(OR(A394="",B394="",C394="",E394="",F394="",H394="",AND(A394="client",COUNTIF('الزبائن'!$A$6:$A$505,B394)=0),AND(A394="proposed_name",COUNTIF('أسماء مقترحة'!$A$6:$A$505,B394)=0)),"REVIEW","READY"))</x:f>
      </x:c>
      <x:c r="Q394" s="255" t="str">
        <x:f>IF(P394="","",IF(P394="READY","",TRIM(IF(A394="","missing entity_type; ","")&amp;IF(B394="","missing entity_key; ","")&amp;IF(C394="","missing referrer_order; ","")&amp;IF(E394="","missing referrer_type; ","")&amp;IF(F394="","missing referral_origin_channel; ","")&amp;IF(H394="","missing referrer_name_snapshot; ","")&amp;IF(AND(A394="client",COUNTIF('الزبائن'!$A$6:$A$505,B394)=0),"client key not found; ","")&amp;IF(AND(A394="proposed_name",COUNTIF('أسماء مقترحة'!$A$6:$A$505,B394)=0),"proposed_name key not found; ",""))))</x:f>
      </x:c>
    </x:row>
    <x:row r="395">
      <x:c r="A395" s="251"/>
      <x:c r="B395" s="252"/>
      <x:c r="C395" s="253"/>
      <x:c r="D395" s="253"/>
      <x:c r="E395" s="253"/>
      <x:c r="F395" s="253"/>
      <x:c r="G395" s="252"/>
      <x:c r="H395" s="253"/>
      <x:c r="I395" s="272"/>
      <x:c r="J395" s="253"/>
      <x:c r="K395" s="252"/>
      <x:c r="L395" s="253"/>
      <x:c r="M395" s="253"/>
      <x:c r="N395" s="253"/>
      <x:c r="O395" s="253"/>
      <x:c r="P395" s="253" t="str">
        <x:f>IF(AND(A395="",B395="",H395=""),"",IF(OR(A395="",B395="",C395="",E395="",F395="",H395="",AND(A395="client",COUNTIF('الزبائن'!$A$6:$A$505,B395)=0),AND(A395="proposed_name",COUNTIF('أسماء مقترحة'!$A$6:$A$505,B395)=0)),"REVIEW","READY"))</x:f>
      </x:c>
      <x:c r="Q395" s="255" t="str">
        <x:f>IF(P395="","",IF(P395="READY","",TRIM(IF(A395="","missing entity_type; ","")&amp;IF(B395="","missing entity_key; ","")&amp;IF(C395="","missing referrer_order; ","")&amp;IF(E395="","missing referrer_type; ","")&amp;IF(F395="","missing referral_origin_channel; ","")&amp;IF(H395="","missing referrer_name_snapshot; ","")&amp;IF(AND(A395="client",COUNTIF('الزبائن'!$A$6:$A$505,B395)=0),"client key not found; ","")&amp;IF(AND(A395="proposed_name",COUNTIF('أسماء مقترحة'!$A$6:$A$505,B395)=0),"proposed_name key not found; ",""))))</x:f>
      </x:c>
    </x:row>
    <x:row r="396">
      <x:c r="A396" s="251"/>
      <x:c r="B396" s="252"/>
      <x:c r="C396" s="253"/>
      <x:c r="D396" s="253"/>
      <x:c r="E396" s="253"/>
      <x:c r="F396" s="253"/>
      <x:c r="G396" s="252"/>
      <x:c r="H396" s="253"/>
      <x:c r="I396" s="272"/>
      <x:c r="J396" s="253"/>
      <x:c r="K396" s="252"/>
      <x:c r="L396" s="253"/>
      <x:c r="M396" s="253"/>
      <x:c r="N396" s="253"/>
      <x:c r="O396" s="253"/>
      <x:c r="P396" s="253" t="str">
        <x:f>IF(AND(A396="",B396="",H396=""),"",IF(OR(A396="",B396="",C396="",E396="",F396="",H396="",AND(A396="client",COUNTIF('الزبائن'!$A$6:$A$505,B396)=0),AND(A396="proposed_name",COUNTIF('أسماء مقترحة'!$A$6:$A$505,B396)=0)),"REVIEW","READY"))</x:f>
      </x:c>
      <x:c r="Q396" s="255" t="str">
        <x:f>IF(P396="","",IF(P396="READY","",TRIM(IF(A396="","missing entity_type; ","")&amp;IF(B396="","missing entity_key; ","")&amp;IF(C396="","missing referrer_order; ","")&amp;IF(E396="","missing referrer_type; ","")&amp;IF(F396="","missing referral_origin_channel; ","")&amp;IF(H396="","missing referrer_name_snapshot; ","")&amp;IF(AND(A396="client",COUNTIF('الزبائن'!$A$6:$A$505,B396)=0),"client key not found; ","")&amp;IF(AND(A396="proposed_name",COUNTIF('أسماء مقترحة'!$A$6:$A$505,B396)=0),"proposed_name key not found; ",""))))</x:f>
      </x:c>
    </x:row>
    <x:row r="397">
      <x:c r="A397" s="251"/>
      <x:c r="B397" s="252"/>
      <x:c r="C397" s="253"/>
      <x:c r="D397" s="253"/>
      <x:c r="E397" s="253"/>
      <x:c r="F397" s="253"/>
      <x:c r="G397" s="252"/>
      <x:c r="H397" s="253"/>
      <x:c r="I397" s="272"/>
      <x:c r="J397" s="253"/>
      <x:c r="K397" s="252"/>
      <x:c r="L397" s="253"/>
      <x:c r="M397" s="253"/>
      <x:c r="N397" s="253"/>
      <x:c r="O397" s="253"/>
      <x:c r="P397" s="253" t="str">
        <x:f>IF(AND(A397="",B397="",H397=""),"",IF(OR(A397="",B397="",C397="",E397="",F397="",H397="",AND(A397="client",COUNTIF('الزبائن'!$A$6:$A$505,B397)=0),AND(A397="proposed_name",COUNTIF('أسماء مقترحة'!$A$6:$A$505,B397)=0)),"REVIEW","READY"))</x:f>
      </x:c>
      <x:c r="Q397" s="255" t="str">
        <x:f>IF(P397="","",IF(P397="READY","",TRIM(IF(A397="","missing entity_type; ","")&amp;IF(B397="","missing entity_key; ","")&amp;IF(C397="","missing referrer_order; ","")&amp;IF(E397="","missing referrer_type; ","")&amp;IF(F397="","missing referral_origin_channel; ","")&amp;IF(H397="","missing referrer_name_snapshot; ","")&amp;IF(AND(A397="client",COUNTIF('الزبائن'!$A$6:$A$505,B397)=0),"client key not found; ","")&amp;IF(AND(A397="proposed_name",COUNTIF('أسماء مقترحة'!$A$6:$A$505,B397)=0),"proposed_name key not found; ",""))))</x:f>
      </x:c>
    </x:row>
    <x:row r="398">
      <x:c r="A398" s="251"/>
      <x:c r="B398" s="252"/>
      <x:c r="C398" s="253"/>
      <x:c r="D398" s="253"/>
      <x:c r="E398" s="253"/>
      <x:c r="F398" s="253"/>
      <x:c r="G398" s="252"/>
      <x:c r="H398" s="253"/>
      <x:c r="I398" s="272"/>
      <x:c r="J398" s="253"/>
      <x:c r="K398" s="252"/>
      <x:c r="L398" s="253"/>
      <x:c r="M398" s="253"/>
      <x:c r="N398" s="253"/>
      <x:c r="O398" s="253"/>
      <x:c r="P398" s="253" t="str">
        <x:f>IF(AND(A398="",B398="",H398=""),"",IF(OR(A398="",B398="",C398="",E398="",F398="",H398="",AND(A398="client",COUNTIF('الزبائن'!$A$6:$A$505,B398)=0),AND(A398="proposed_name",COUNTIF('أسماء مقترحة'!$A$6:$A$505,B398)=0)),"REVIEW","READY"))</x:f>
      </x:c>
      <x:c r="Q398" s="255" t="str">
        <x:f>IF(P398="","",IF(P398="READY","",TRIM(IF(A398="","missing entity_type; ","")&amp;IF(B398="","missing entity_key; ","")&amp;IF(C398="","missing referrer_order; ","")&amp;IF(E398="","missing referrer_type; ","")&amp;IF(F398="","missing referral_origin_channel; ","")&amp;IF(H398="","missing referrer_name_snapshot; ","")&amp;IF(AND(A398="client",COUNTIF('الزبائن'!$A$6:$A$505,B398)=0),"client key not found; ","")&amp;IF(AND(A398="proposed_name",COUNTIF('أسماء مقترحة'!$A$6:$A$505,B398)=0),"proposed_name key not found; ",""))))</x:f>
      </x:c>
    </x:row>
    <x:row r="399">
      <x:c r="A399" s="251"/>
      <x:c r="B399" s="252"/>
      <x:c r="C399" s="253"/>
      <x:c r="D399" s="253"/>
      <x:c r="E399" s="253"/>
      <x:c r="F399" s="253"/>
      <x:c r="G399" s="252"/>
      <x:c r="H399" s="253"/>
      <x:c r="I399" s="272"/>
      <x:c r="J399" s="253"/>
      <x:c r="K399" s="252"/>
      <x:c r="L399" s="253"/>
      <x:c r="M399" s="253"/>
      <x:c r="N399" s="253"/>
      <x:c r="O399" s="253"/>
      <x:c r="P399" s="253" t="str">
        <x:f>IF(AND(A399="",B399="",H399=""),"",IF(OR(A399="",B399="",C399="",E399="",F399="",H399="",AND(A399="client",COUNTIF('الزبائن'!$A$6:$A$505,B399)=0),AND(A399="proposed_name",COUNTIF('أسماء مقترحة'!$A$6:$A$505,B399)=0)),"REVIEW","READY"))</x:f>
      </x:c>
      <x:c r="Q399" s="255" t="str">
        <x:f>IF(P399="","",IF(P399="READY","",TRIM(IF(A399="","missing entity_type; ","")&amp;IF(B399="","missing entity_key; ","")&amp;IF(C399="","missing referrer_order; ","")&amp;IF(E399="","missing referrer_type; ","")&amp;IF(F399="","missing referral_origin_channel; ","")&amp;IF(H399="","missing referrer_name_snapshot; ","")&amp;IF(AND(A399="client",COUNTIF('الزبائن'!$A$6:$A$505,B399)=0),"client key not found; ","")&amp;IF(AND(A399="proposed_name",COUNTIF('أسماء مقترحة'!$A$6:$A$505,B399)=0),"proposed_name key not found; ",""))))</x:f>
      </x:c>
    </x:row>
    <x:row r="400">
      <x:c r="A400" s="251"/>
      <x:c r="B400" s="252"/>
      <x:c r="C400" s="253"/>
      <x:c r="D400" s="253"/>
      <x:c r="E400" s="253"/>
      <x:c r="F400" s="253"/>
      <x:c r="G400" s="252"/>
      <x:c r="H400" s="253"/>
      <x:c r="I400" s="272"/>
      <x:c r="J400" s="253"/>
      <x:c r="K400" s="252"/>
      <x:c r="L400" s="253"/>
      <x:c r="M400" s="253"/>
      <x:c r="N400" s="253"/>
      <x:c r="O400" s="253"/>
      <x:c r="P400" s="253" t="str">
        <x:f>IF(AND(A400="",B400="",H400=""),"",IF(OR(A400="",B400="",C400="",E400="",F400="",H400="",AND(A400="client",COUNTIF('الزبائن'!$A$6:$A$505,B400)=0),AND(A400="proposed_name",COUNTIF('أسماء مقترحة'!$A$6:$A$505,B400)=0)),"REVIEW","READY"))</x:f>
      </x:c>
      <x:c r="Q400" s="255" t="str">
        <x:f>IF(P400="","",IF(P400="READY","",TRIM(IF(A400="","missing entity_type; ","")&amp;IF(B400="","missing entity_key; ","")&amp;IF(C400="","missing referrer_order; ","")&amp;IF(E400="","missing referrer_type; ","")&amp;IF(F400="","missing referral_origin_channel; ","")&amp;IF(H400="","missing referrer_name_snapshot; ","")&amp;IF(AND(A400="client",COUNTIF('الزبائن'!$A$6:$A$505,B400)=0),"client key not found; ","")&amp;IF(AND(A400="proposed_name",COUNTIF('أسماء مقترحة'!$A$6:$A$505,B400)=0),"proposed_name key not found; ",""))))</x:f>
      </x:c>
    </x:row>
    <x:row r="401">
      <x:c r="A401" s="251"/>
      <x:c r="B401" s="252"/>
      <x:c r="C401" s="253"/>
      <x:c r="D401" s="253"/>
      <x:c r="E401" s="253"/>
      <x:c r="F401" s="253"/>
      <x:c r="G401" s="252"/>
      <x:c r="H401" s="253"/>
      <x:c r="I401" s="272"/>
      <x:c r="J401" s="253"/>
      <x:c r="K401" s="252"/>
      <x:c r="L401" s="253"/>
      <x:c r="M401" s="253"/>
      <x:c r="N401" s="253"/>
      <x:c r="O401" s="253"/>
      <x:c r="P401" s="253" t="str">
        <x:f>IF(AND(A401="",B401="",H401=""),"",IF(OR(A401="",B401="",C401="",E401="",F401="",H401="",AND(A401="client",COUNTIF('الزبائن'!$A$6:$A$505,B401)=0),AND(A401="proposed_name",COUNTIF('أسماء مقترحة'!$A$6:$A$505,B401)=0)),"REVIEW","READY"))</x:f>
      </x:c>
      <x:c r="Q401" s="255" t="str">
        <x:f>IF(P401="","",IF(P401="READY","",TRIM(IF(A401="","missing entity_type; ","")&amp;IF(B401="","missing entity_key; ","")&amp;IF(C401="","missing referrer_order; ","")&amp;IF(E401="","missing referrer_type; ","")&amp;IF(F401="","missing referral_origin_channel; ","")&amp;IF(H401="","missing referrer_name_snapshot; ","")&amp;IF(AND(A401="client",COUNTIF('الزبائن'!$A$6:$A$505,B401)=0),"client key not found; ","")&amp;IF(AND(A401="proposed_name",COUNTIF('أسماء مقترحة'!$A$6:$A$505,B401)=0),"proposed_name key not found; ",""))))</x:f>
      </x:c>
    </x:row>
    <x:row r="402">
      <x:c r="A402" s="251"/>
      <x:c r="B402" s="252"/>
      <x:c r="C402" s="253"/>
      <x:c r="D402" s="253"/>
      <x:c r="E402" s="253"/>
      <x:c r="F402" s="253"/>
      <x:c r="G402" s="252"/>
      <x:c r="H402" s="253"/>
      <x:c r="I402" s="272"/>
      <x:c r="J402" s="253"/>
      <x:c r="K402" s="252"/>
      <x:c r="L402" s="253"/>
      <x:c r="M402" s="253"/>
      <x:c r="N402" s="253"/>
      <x:c r="O402" s="253"/>
      <x:c r="P402" s="253" t="str">
        <x:f>IF(AND(A402="",B402="",H402=""),"",IF(OR(A402="",B402="",C402="",E402="",F402="",H402="",AND(A402="client",COUNTIF('الزبائن'!$A$6:$A$505,B402)=0),AND(A402="proposed_name",COUNTIF('أسماء مقترحة'!$A$6:$A$505,B402)=0)),"REVIEW","READY"))</x:f>
      </x:c>
      <x:c r="Q402" s="255" t="str">
        <x:f>IF(P402="","",IF(P402="READY","",TRIM(IF(A402="","missing entity_type; ","")&amp;IF(B402="","missing entity_key; ","")&amp;IF(C402="","missing referrer_order; ","")&amp;IF(E402="","missing referrer_type; ","")&amp;IF(F402="","missing referral_origin_channel; ","")&amp;IF(H402="","missing referrer_name_snapshot; ","")&amp;IF(AND(A402="client",COUNTIF('الزبائن'!$A$6:$A$505,B402)=0),"client key not found; ","")&amp;IF(AND(A402="proposed_name",COUNTIF('أسماء مقترحة'!$A$6:$A$505,B402)=0),"proposed_name key not found; ",""))))</x:f>
      </x:c>
    </x:row>
    <x:row r="403">
      <x:c r="A403" s="251"/>
      <x:c r="B403" s="252"/>
      <x:c r="C403" s="253"/>
      <x:c r="D403" s="253"/>
      <x:c r="E403" s="253"/>
      <x:c r="F403" s="253"/>
      <x:c r="G403" s="252"/>
      <x:c r="H403" s="253"/>
      <x:c r="I403" s="272"/>
      <x:c r="J403" s="253"/>
      <x:c r="K403" s="252"/>
      <x:c r="L403" s="253"/>
      <x:c r="M403" s="253"/>
      <x:c r="N403" s="253"/>
      <x:c r="O403" s="253"/>
      <x:c r="P403" s="253" t="str">
        <x:f>IF(AND(A403="",B403="",H403=""),"",IF(OR(A403="",B403="",C403="",E403="",F403="",H403="",AND(A403="client",COUNTIF('الزبائن'!$A$6:$A$505,B403)=0),AND(A403="proposed_name",COUNTIF('أسماء مقترحة'!$A$6:$A$505,B403)=0)),"REVIEW","READY"))</x:f>
      </x:c>
      <x:c r="Q403" s="255" t="str">
        <x:f>IF(P403="","",IF(P403="READY","",TRIM(IF(A403="","missing entity_type; ","")&amp;IF(B403="","missing entity_key; ","")&amp;IF(C403="","missing referrer_order; ","")&amp;IF(E403="","missing referrer_type; ","")&amp;IF(F403="","missing referral_origin_channel; ","")&amp;IF(H403="","missing referrer_name_snapshot; ","")&amp;IF(AND(A403="client",COUNTIF('الزبائن'!$A$6:$A$505,B403)=0),"client key not found; ","")&amp;IF(AND(A403="proposed_name",COUNTIF('أسماء مقترحة'!$A$6:$A$505,B403)=0),"proposed_name key not found; ",""))))</x:f>
      </x:c>
    </x:row>
    <x:row r="404">
      <x:c r="A404" s="251"/>
      <x:c r="B404" s="252"/>
      <x:c r="C404" s="253"/>
      <x:c r="D404" s="253"/>
      <x:c r="E404" s="253"/>
      <x:c r="F404" s="253"/>
      <x:c r="G404" s="252"/>
      <x:c r="H404" s="253"/>
      <x:c r="I404" s="272"/>
      <x:c r="J404" s="253"/>
      <x:c r="K404" s="252"/>
      <x:c r="L404" s="253"/>
      <x:c r="M404" s="253"/>
      <x:c r="N404" s="253"/>
      <x:c r="O404" s="253"/>
      <x:c r="P404" s="253" t="str">
        <x:f>IF(AND(A404="",B404="",H404=""),"",IF(OR(A404="",B404="",C404="",E404="",F404="",H404="",AND(A404="client",COUNTIF('الزبائن'!$A$6:$A$505,B404)=0),AND(A404="proposed_name",COUNTIF('أسماء مقترحة'!$A$6:$A$505,B404)=0)),"REVIEW","READY"))</x:f>
      </x:c>
      <x:c r="Q404" s="255" t="str">
        <x:f>IF(P404="","",IF(P404="READY","",TRIM(IF(A404="","missing entity_type; ","")&amp;IF(B404="","missing entity_key; ","")&amp;IF(C404="","missing referrer_order; ","")&amp;IF(E404="","missing referrer_type; ","")&amp;IF(F404="","missing referral_origin_channel; ","")&amp;IF(H404="","missing referrer_name_snapshot; ","")&amp;IF(AND(A404="client",COUNTIF('الزبائن'!$A$6:$A$505,B404)=0),"client key not found; ","")&amp;IF(AND(A404="proposed_name",COUNTIF('أسماء مقترحة'!$A$6:$A$505,B404)=0),"proposed_name key not found; ",""))))</x:f>
      </x:c>
    </x:row>
    <x:row r="405">
      <x:c r="A405" s="251"/>
      <x:c r="B405" s="252"/>
      <x:c r="C405" s="253"/>
      <x:c r="D405" s="253"/>
      <x:c r="E405" s="253"/>
      <x:c r="F405" s="253"/>
      <x:c r="G405" s="252"/>
      <x:c r="H405" s="253"/>
      <x:c r="I405" s="272"/>
      <x:c r="J405" s="253"/>
      <x:c r="K405" s="252"/>
      <x:c r="L405" s="253"/>
      <x:c r="M405" s="253"/>
      <x:c r="N405" s="253"/>
      <x:c r="O405" s="253"/>
      <x:c r="P405" s="253" t="str">
        <x:f>IF(AND(A405="",B405="",H405=""),"",IF(OR(A405="",B405="",C405="",E405="",F405="",H405="",AND(A405="client",COUNTIF('الزبائن'!$A$6:$A$505,B405)=0),AND(A405="proposed_name",COUNTIF('أسماء مقترحة'!$A$6:$A$505,B405)=0)),"REVIEW","READY"))</x:f>
      </x:c>
      <x:c r="Q405" s="255" t="str">
        <x:f>IF(P405="","",IF(P405="READY","",TRIM(IF(A405="","missing entity_type; ","")&amp;IF(B405="","missing entity_key; ","")&amp;IF(C405="","missing referrer_order; ","")&amp;IF(E405="","missing referrer_type; ","")&amp;IF(F405="","missing referral_origin_channel; ","")&amp;IF(H405="","missing referrer_name_snapshot; ","")&amp;IF(AND(A405="client",COUNTIF('الزبائن'!$A$6:$A$505,B405)=0),"client key not found; ","")&amp;IF(AND(A405="proposed_name",COUNTIF('أسماء مقترحة'!$A$6:$A$505,B405)=0),"proposed_name key not found; ",""))))</x:f>
      </x:c>
    </x:row>
    <x:row r="406">
      <x:c r="A406" s="251"/>
      <x:c r="B406" s="252"/>
      <x:c r="C406" s="253"/>
      <x:c r="D406" s="253"/>
      <x:c r="E406" s="253"/>
      <x:c r="F406" s="253"/>
      <x:c r="G406" s="252"/>
      <x:c r="H406" s="253"/>
      <x:c r="I406" s="272"/>
      <x:c r="J406" s="253"/>
      <x:c r="K406" s="252"/>
      <x:c r="L406" s="253"/>
      <x:c r="M406" s="253"/>
      <x:c r="N406" s="253"/>
      <x:c r="O406" s="253"/>
      <x:c r="P406" s="253" t="str">
        <x:f>IF(AND(A406="",B406="",H406=""),"",IF(OR(A406="",B406="",C406="",E406="",F406="",H406="",AND(A406="client",COUNTIF('الزبائن'!$A$6:$A$505,B406)=0),AND(A406="proposed_name",COUNTIF('أسماء مقترحة'!$A$6:$A$505,B406)=0)),"REVIEW","READY"))</x:f>
      </x:c>
      <x:c r="Q406" s="255" t="str">
        <x:f>IF(P406="","",IF(P406="READY","",TRIM(IF(A406="","missing entity_type; ","")&amp;IF(B406="","missing entity_key; ","")&amp;IF(C406="","missing referrer_order; ","")&amp;IF(E406="","missing referrer_type; ","")&amp;IF(F406="","missing referral_origin_channel; ","")&amp;IF(H406="","missing referrer_name_snapshot; ","")&amp;IF(AND(A406="client",COUNTIF('الزبائن'!$A$6:$A$505,B406)=0),"client key not found; ","")&amp;IF(AND(A406="proposed_name",COUNTIF('أسماء مقترحة'!$A$6:$A$505,B406)=0),"proposed_name key not found; ",""))))</x:f>
      </x:c>
    </x:row>
    <x:row r="407">
      <x:c r="A407" s="251"/>
      <x:c r="B407" s="252"/>
      <x:c r="C407" s="253"/>
      <x:c r="D407" s="253"/>
      <x:c r="E407" s="253"/>
      <x:c r="F407" s="253"/>
      <x:c r="G407" s="252"/>
      <x:c r="H407" s="253"/>
      <x:c r="I407" s="272"/>
      <x:c r="J407" s="253"/>
      <x:c r="K407" s="252"/>
      <x:c r="L407" s="253"/>
      <x:c r="M407" s="253"/>
      <x:c r="N407" s="253"/>
      <x:c r="O407" s="253"/>
      <x:c r="P407" s="253" t="str">
        <x:f>IF(AND(A407="",B407="",H407=""),"",IF(OR(A407="",B407="",C407="",E407="",F407="",H407="",AND(A407="client",COUNTIF('الزبائن'!$A$6:$A$505,B407)=0),AND(A407="proposed_name",COUNTIF('أسماء مقترحة'!$A$6:$A$505,B407)=0)),"REVIEW","READY"))</x:f>
      </x:c>
      <x:c r="Q407" s="255" t="str">
        <x:f>IF(P407="","",IF(P407="READY","",TRIM(IF(A407="","missing entity_type; ","")&amp;IF(B407="","missing entity_key; ","")&amp;IF(C407="","missing referrer_order; ","")&amp;IF(E407="","missing referrer_type; ","")&amp;IF(F407="","missing referral_origin_channel; ","")&amp;IF(H407="","missing referrer_name_snapshot; ","")&amp;IF(AND(A407="client",COUNTIF('الزبائن'!$A$6:$A$505,B407)=0),"client key not found; ","")&amp;IF(AND(A407="proposed_name",COUNTIF('أسماء مقترحة'!$A$6:$A$505,B407)=0),"proposed_name key not found; ",""))))</x:f>
      </x:c>
    </x:row>
    <x:row r="408">
      <x:c r="A408" s="251"/>
      <x:c r="B408" s="252"/>
      <x:c r="C408" s="253"/>
      <x:c r="D408" s="253"/>
      <x:c r="E408" s="253"/>
      <x:c r="F408" s="253"/>
      <x:c r="G408" s="252"/>
      <x:c r="H408" s="253"/>
      <x:c r="I408" s="272"/>
      <x:c r="J408" s="253"/>
      <x:c r="K408" s="252"/>
      <x:c r="L408" s="253"/>
      <x:c r="M408" s="253"/>
      <x:c r="N408" s="253"/>
      <x:c r="O408" s="253"/>
      <x:c r="P408" s="253" t="str">
        <x:f>IF(AND(A408="",B408="",H408=""),"",IF(OR(A408="",B408="",C408="",E408="",F408="",H408="",AND(A408="client",COUNTIF('الزبائن'!$A$6:$A$505,B408)=0),AND(A408="proposed_name",COUNTIF('أسماء مقترحة'!$A$6:$A$505,B408)=0)),"REVIEW","READY"))</x:f>
      </x:c>
      <x:c r="Q408" s="255" t="str">
        <x:f>IF(P408="","",IF(P408="READY","",TRIM(IF(A408="","missing entity_type; ","")&amp;IF(B408="","missing entity_key; ","")&amp;IF(C408="","missing referrer_order; ","")&amp;IF(E408="","missing referrer_type; ","")&amp;IF(F408="","missing referral_origin_channel; ","")&amp;IF(H408="","missing referrer_name_snapshot; ","")&amp;IF(AND(A408="client",COUNTIF('الزبائن'!$A$6:$A$505,B408)=0),"client key not found; ","")&amp;IF(AND(A408="proposed_name",COUNTIF('أسماء مقترحة'!$A$6:$A$505,B408)=0),"proposed_name key not found; ",""))))</x:f>
      </x:c>
    </x:row>
    <x:row r="409">
      <x:c r="A409" s="251"/>
      <x:c r="B409" s="252"/>
      <x:c r="C409" s="253"/>
      <x:c r="D409" s="253"/>
      <x:c r="E409" s="253"/>
      <x:c r="F409" s="253"/>
      <x:c r="G409" s="252"/>
      <x:c r="H409" s="253"/>
      <x:c r="I409" s="272"/>
      <x:c r="J409" s="253"/>
      <x:c r="K409" s="252"/>
      <x:c r="L409" s="253"/>
      <x:c r="M409" s="253"/>
      <x:c r="N409" s="253"/>
      <x:c r="O409" s="253"/>
      <x:c r="P409" s="253" t="str">
        <x:f>IF(AND(A409="",B409="",H409=""),"",IF(OR(A409="",B409="",C409="",E409="",F409="",H409="",AND(A409="client",COUNTIF('الزبائن'!$A$6:$A$505,B409)=0),AND(A409="proposed_name",COUNTIF('أسماء مقترحة'!$A$6:$A$505,B409)=0)),"REVIEW","READY"))</x:f>
      </x:c>
      <x:c r="Q409" s="255" t="str">
        <x:f>IF(P409="","",IF(P409="READY","",TRIM(IF(A409="","missing entity_type; ","")&amp;IF(B409="","missing entity_key; ","")&amp;IF(C409="","missing referrer_order; ","")&amp;IF(E409="","missing referrer_type; ","")&amp;IF(F409="","missing referral_origin_channel; ","")&amp;IF(H409="","missing referrer_name_snapshot; ","")&amp;IF(AND(A409="client",COUNTIF('الزبائن'!$A$6:$A$505,B409)=0),"client key not found; ","")&amp;IF(AND(A409="proposed_name",COUNTIF('أسماء مقترحة'!$A$6:$A$505,B409)=0),"proposed_name key not found; ",""))))</x:f>
      </x:c>
    </x:row>
    <x:row r="410">
      <x:c r="A410" s="251"/>
      <x:c r="B410" s="252"/>
      <x:c r="C410" s="253"/>
      <x:c r="D410" s="253"/>
      <x:c r="E410" s="253"/>
      <x:c r="F410" s="253"/>
      <x:c r="G410" s="252"/>
      <x:c r="H410" s="253"/>
      <x:c r="I410" s="272"/>
      <x:c r="J410" s="253"/>
      <x:c r="K410" s="252"/>
      <x:c r="L410" s="253"/>
      <x:c r="M410" s="253"/>
      <x:c r="N410" s="253"/>
      <x:c r="O410" s="253"/>
      <x:c r="P410" s="253" t="str">
        <x:f>IF(AND(A410="",B410="",H410=""),"",IF(OR(A410="",B410="",C410="",E410="",F410="",H410="",AND(A410="client",COUNTIF('الزبائن'!$A$6:$A$505,B410)=0),AND(A410="proposed_name",COUNTIF('أسماء مقترحة'!$A$6:$A$505,B410)=0)),"REVIEW","READY"))</x:f>
      </x:c>
      <x:c r="Q410" s="255" t="str">
        <x:f>IF(P410="","",IF(P410="READY","",TRIM(IF(A410="","missing entity_type; ","")&amp;IF(B410="","missing entity_key; ","")&amp;IF(C410="","missing referrer_order; ","")&amp;IF(E410="","missing referrer_type; ","")&amp;IF(F410="","missing referral_origin_channel; ","")&amp;IF(H410="","missing referrer_name_snapshot; ","")&amp;IF(AND(A410="client",COUNTIF('الزبائن'!$A$6:$A$505,B410)=0),"client key not found; ","")&amp;IF(AND(A410="proposed_name",COUNTIF('أسماء مقترحة'!$A$6:$A$505,B410)=0),"proposed_name key not found; ",""))))</x:f>
      </x:c>
    </x:row>
    <x:row r="411">
      <x:c r="A411" s="251"/>
      <x:c r="B411" s="252"/>
      <x:c r="C411" s="253"/>
      <x:c r="D411" s="253"/>
      <x:c r="E411" s="253"/>
      <x:c r="F411" s="253"/>
      <x:c r="G411" s="252"/>
      <x:c r="H411" s="253"/>
      <x:c r="I411" s="272"/>
      <x:c r="J411" s="253"/>
      <x:c r="K411" s="252"/>
      <x:c r="L411" s="253"/>
      <x:c r="M411" s="253"/>
      <x:c r="N411" s="253"/>
      <x:c r="O411" s="253"/>
      <x:c r="P411" s="253" t="str">
        <x:f>IF(AND(A411="",B411="",H411=""),"",IF(OR(A411="",B411="",C411="",E411="",F411="",H411="",AND(A411="client",COUNTIF('الزبائن'!$A$6:$A$505,B411)=0),AND(A411="proposed_name",COUNTIF('أسماء مقترحة'!$A$6:$A$505,B411)=0)),"REVIEW","READY"))</x:f>
      </x:c>
      <x:c r="Q411" s="255" t="str">
        <x:f>IF(P411="","",IF(P411="READY","",TRIM(IF(A411="","missing entity_type; ","")&amp;IF(B411="","missing entity_key; ","")&amp;IF(C411="","missing referrer_order; ","")&amp;IF(E411="","missing referrer_type; ","")&amp;IF(F411="","missing referral_origin_channel; ","")&amp;IF(H411="","missing referrer_name_snapshot; ","")&amp;IF(AND(A411="client",COUNTIF('الزبائن'!$A$6:$A$505,B411)=0),"client key not found; ","")&amp;IF(AND(A411="proposed_name",COUNTIF('أسماء مقترحة'!$A$6:$A$505,B411)=0),"proposed_name key not found; ",""))))</x:f>
      </x:c>
    </x:row>
    <x:row r="412">
      <x:c r="A412" s="251"/>
      <x:c r="B412" s="252"/>
      <x:c r="C412" s="253"/>
      <x:c r="D412" s="253"/>
      <x:c r="E412" s="253"/>
      <x:c r="F412" s="253"/>
      <x:c r="G412" s="252"/>
      <x:c r="H412" s="253"/>
      <x:c r="I412" s="272"/>
      <x:c r="J412" s="253"/>
      <x:c r="K412" s="252"/>
      <x:c r="L412" s="253"/>
      <x:c r="M412" s="253"/>
      <x:c r="N412" s="253"/>
      <x:c r="O412" s="253"/>
      <x:c r="P412" s="253" t="str">
        <x:f>IF(AND(A412="",B412="",H412=""),"",IF(OR(A412="",B412="",C412="",E412="",F412="",H412="",AND(A412="client",COUNTIF('الزبائن'!$A$6:$A$505,B412)=0),AND(A412="proposed_name",COUNTIF('أسماء مقترحة'!$A$6:$A$505,B412)=0)),"REVIEW","READY"))</x:f>
      </x:c>
      <x:c r="Q412" s="255" t="str">
        <x:f>IF(P412="","",IF(P412="READY","",TRIM(IF(A412="","missing entity_type; ","")&amp;IF(B412="","missing entity_key; ","")&amp;IF(C412="","missing referrer_order; ","")&amp;IF(E412="","missing referrer_type; ","")&amp;IF(F412="","missing referral_origin_channel; ","")&amp;IF(H412="","missing referrer_name_snapshot; ","")&amp;IF(AND(A412="client",COUNTIF('الزبائن'!$A$6:$A$505,B412)=0),"client key not found; ","")&amp;IF(AND(A412="proposed_name",COUNTIF('أسماء مقترحة'!$A$6:$A$505,B412)=0),"proposed_name key not found; ",""))))</x:f>
      </x:c>
    </x:row>
    <x:row r="413">
      <x:c r="A413" s="251"/>
      <x:c r="B413" s="252"/>
      <x:c r="C413" s="253"/>
      <x:c r="D413" s="253"/>
      <x:c r="E413" s="253"/>
      <x:c r="F413" s="253"/>
      <x:c r="G413" s="252"/>
      <x:c r="H413" s="253"/>
      <x:c r="I413" s="272"/>
      <x:c r="J413" s="253"/>
      <x:c r="K413" s="252"/>
      <x:c r="L413" s="253"/>
      <x:c r="M413" s="253"/>
      <x:c r="N413" s="253"/>
      <x:c r="O413" s="253"/>
      <x:c r="P413" s="253" t="str">
        <x:f>IF(AND(A413="",B413="",H413=""),"",IF(OR(A413="",B413="",C413="",E413="",F413="",H413="",AND(A413="client",COUNTIF('الزبائن'!$A$6:$A$505,B413)=0),AND(A413="proposed_name",COUNTIF('أسماء مقترحة'!$A$6:$A$505,B413)=0)),"REVIEW","READY"))</x:f>
      </x:c>
      <x:c r="Q413" s="255" t="str">
        <x:f>IF(P413="","",IF(P413="READY","",TRIM(IF(A413="","missing entity_type; ","")&amp;IF(B413="","missing entity_key; ","")&amp;IF(C413="","missing referrer_order; ","")&amp;IF(E413="","missing referrer_type; ","")&amp;IF(F413="","missing referral_origin_channel; ","")&amp;IF(H413="","missing referrer_name_snapshot; ","")&amp;IF(AND(A413="client",COUNTIF('الزبائن'!$A$6:$A$505,B413)=0),"client key not found; ","")&amp;IF(AND(A413="proposed_name",COUNTIF('أسماء مقترحة'!$A$6:$A$505,B413)=0),"proposed_name key not found; ",""))))</x:f>
      </x:c>
    </x:row>
    <x:row r="414">
      <x:c r="A414" s="251"/>
      <x:c r="B414" s="252"/>
      <x:c r="C414" s="253"/>
      <x:c r="D414" s="253"/>
      <x:c r="E414" s="253"/>
      <x:c r="F414" s="253"/>
      <x:c r="G414" s="252"/>
      <x:c r="H414" s="253"/>
      <x:c r="I414" s="272"/>
      <x:c r="J414" s="253"/>
      <x:c r="K414" s="252"/>
      <x:c r="L414" s="253"/>
      <x:c r="M414" s="253"/>
      <x:c r="N414" s="253"/>
      <x:c r="O414" s="253"/>
      <x:c r="P414" s="253" t="str">
        <x:f>IF(AND(A414="",B414="",H414=""),"",IF(OR(A414="",B414="",C414="",E414="",F414="",H414="",AND(A414="client",COUNTIF('الزبائن'!$A$6:$A$505,B414)=0),AND(A414="proposed_name",COUNTIF('أسماء مقترحة'!$A$6:$A$505,B414)=0)),"REVIEW","READY"))</x:f>
      </x:c>
      <x:c r="Q414" s="255" t="str">
        <x:f>IF(P414="","",IF(P414="READY","",TRIM(IF(A414="","missing entity_type; ","")&amp;IF(B414="","missing entity_key; ","")&amp;IF(C414="","missing referrer_order; ","")&amp;IF(E414="","missing referrer_type; ","")&amp;IF(F414="","missing referral_origin_channel; ","")&amp;IF(H414="","missing referrer_name_snapshot; ","")&amp;IF(AND(A414="client",COUNTIF('الزبائن'!$A$6:$A$505,B414)=0),"client key not found; ","")&amp;IF(AND(A414="proposed_name",COUNTIF('أسماء مقترحة'!$A$6:$A$505,B414)=0),"proposed_name key not found; ",""))))</x:f>
      </x:c>
    </x:row>
    <x:row r="415">
      <x:c r="A415" s="251"/>
      <x:c r="B415" s="252"/>
      <x:c r="C415" s="253"/>
      <x:c r="D415" s="253"/>
      <x:c r="E415" s="253"/>
      <x:c r="F415" s="253"/>
      <x:c r="G415" s="252"/>
      <x:c r="H415" s="253"/>
      <x:c r="I415" s="272"/>
      <x:c r="J415" s="253"/>
      <x:c r="K415" s="252"/>
      <x:c r="L415" s="253"/>
      <x:c r="M415" s="253"/>
      <x:c r="N415" s="253"/>
      <x:c r="O415" s="253"/>
      <x:c r="P415" s="253" t="str">
        <x:f>IF(AND(A415="",B415="",H415=""),"",IF(OR(A415="",B415="",C415="",E415="",F415="",H415="",AND(A415="client",COUNTIF('الزبائن'!$A$6:$A$505,B415)=0),AND(A415="proposed_name",COUNTIF('أسماء مقترحة'!$A$6:$A$505,B415)=0)),"REVIEW","READY"))</x:f>
      </x:c>
      <x:c r="Q415" s="255" t="str">
        <x:f>IF(P415="","",IF(P415="READY","",TRIM(IF(A415="","missing entity_type; ","")&amp;IF(B415="","missing entity_key; ","")&amp;IF(C415="","missing referrer_order; ","")&amp;IF(E415="","missing referrer_type; ","")&amp;IF(F415="","missing referral_origin_channel; ","")&amp;IF(H415="","missing referrer_name_snapshot; ","")&amp;IF(AND(A415="client",COUNTIF('الزبائن'!$A$6:$A$505,B415)=0),"client key not found; ","")&amp;IF(AND(A415="proposed_name",COUNTIF('أسماء مقترحة'!$A$6:$A$505,B415)=0),"proposed_name key not found; ",""))))</x:f>
      </x:c>
    </x:row>
    <x:row r="416">
      <x:c r="A416" s="251"/>
      <x:c r="B416" s="252"/>
      <x:c r="C416" s="253"/>
      <x:c r="D416" s="253"/>
      <x:c r="E416" s="253"/>
      <x:c r="F416" s="253"/>
      <x:c r="G416" s="252"/>
      <x:c r="H416" s="253"/>
      <x:c r="I416" s="272"/>
      <x:c r="J416" s="253"/>
      <x:c r="K416" s="252"/>
      <x:c r="L416" s="253"/>
      <x:c r="M416" s="253"/>
      <x:c r="N416" s="253"/>
      <x:c r="O416" s="253"/>
      <x:c r="P416" s="253" t="str">
        <x:f>IF(AND(A416="",B416="",H416=""),"",IF(OR(A416="",B416="",C416="",E416="",F416="",H416="",AND(A416="client",COUNTIF('الزبائن'!$A$6:$A$505,B416)=0),AND(A416="proposed_name",COUNTIF('أسماء مقترحة'!$A$6:$A$505,B416)=0)),"REVIEW","READY"))</x:f>
      </x:c>
      <x:c r="Q416" s="255" t="str">
        <x:f>IF(P416="","",IF(P416="READY","",TRIM(IF(A416="","missing entity_type; ","")&amp;IF(B416="","missing entity_key; ","")&amp;IF(C416="","missing referrer_order; ","")&amp;IF(E416="","missing referrer_type; ","")&amp;IF(F416="","missing referral_origin_channel; ","")&amp;IF(H416="","missing referrer_name_snapshot; ","")&amp;IF(AND(A416="client",COUNTIF('الزبائن'!$A$6:$A$505,B416)=0),"client key not found; ","")&amp;IF(AND(A416="proposed_name",COUNTIF('أسماء مقترحة'!$A$6:$A$505,B416)=0),"proposed_name key not found; ",""))))</x:f>
      </x:c>
    </x:row>
    <x:row r="417">
      <x:c r="A417" s="251"/>
      <x:c r="B417" s="252"/>
      <x:c r="C417" s="253"/>
      <x:c r="D417" s="253"/>
      <x:c r="E417" s="253"/>
      <x:c r="F417" s="253"/>
      <x:c r="G417" s="252"/>
      <x:c r="H417" s="253"/>
      <x:c r="I417" s="272"/>
      <x:c r="J417" s="253"/>
      <x:c r="K417" s="252"/>
      <x:c r="L417" s="253"/>
      <x:c r="M417" s="253"/>
      <x:c r="N417" s="253"/>
      <x:c r="O417" s="253"/>
      <x:c r="P417" s="253" t="str">
        <x:f>IF(AND(A417="",B417="",H417=""),"",IF(OR(A417="",B417="",C417="",E417="",F417="",H417="",AND(A417="client",COUNTIF('الزبائن'!$A$6:$A$505,B417)=0),AND(A417="proposed_name",COUNTIF('أسماء مقترحة'!$A$6:$A$505,B417)=0)),"REVIEW","READY"))</x:f>
      </x:c>
      <x:c r="Q417" s="255" t="str">
        <x:f>IF(P417="","",IF(P417="READY","",TRIM(IF(A417="","missing entity_type; ","")&amp;IF(B417="","missing entity_key; ","")&amp;IF(C417="","missing referrer_order; ","")&amp;IF(E417="","missing referrer_type; ","")&amp;IF(F417="","missing referral_origin_channel; ","")&amp;IF(H417="","missing referrer_name_snapshot; ","")&amp;IF(AND(A417="client",COUNTIF('الزبائن'!$A$6:$A$505,B417)=0),"client key not found; ","")&amp;IF(AND(A417="proposed_name",COUNTIF('أسماء مقترحة'!$A$6:$A$505,B417)=0),"proposed_name key not found; ",""))))</x:f>
      </x:c>
    </x:row>
    <x:row r="418">
      <x:c r="A418" s="251"/>
      <x:c r="B418" s="252"/>
      <x:c r="C418" s="253"/>
      <x:c r="D418" s="253"/>
      <x:c r="E418" s="253"/>
      <x:c r="F418" s="253"/>
      <x:c r="G418" s="252"/>
      <x:c r="H418" s="253"/>
      <x:c r="I418" s="272"/>
      <x:c r="J418" s="253"/>
      <x:c r="K418" s="252"/>
      <x:c r="L418" s="253"/>
      <x:c r="M418" s="253"/>
      <x:c r="N418" s="253"/>
      <x:c r="O418" s="253"/>
      <x:c r="P418" s="253" t="str">
        <x:f>IF(AND(A418="",B418="",H418=""),"",IF(OR(A418="",B418="",C418="",E418="",F418="",H418="",AND(A418="client",COUNTIF('الزبائن'!$A$6:$A$505,B418)=0),AND(A418="proposed_name",COUNTIF('أسماء مقترحة'!$A$6:$A$505,B418)=0)),"REVIEW","READY"))</x:f>
      </x:c>
      <x:c r="Q418" s="255" t="str">
        <x:f>IF(P418="","",IF(P418="READY","",TRIM(IF(A418="","missing entity_type; ","")&amp;IF(B418="","missing entity_key; ","")&amp;IF(C418="","missing referrer_order; ","")&amp;IF(E418="","missing referrer_type; ","")&amp;IF(F418="","missing referral_origin_channel; ","")&amp;IF(H418="","missing referrer_name_snapshot; ","")&amp;IF(AND(A418="client",COUNTIF('الزبائن'!$A$6:$A$505,B418)=0),"client key not found; ","")&amp;IF(AND(A418="proposed_name",COUNTIF('أسماء مقترحة'!$A$6:$A$505,B418)=0),"proposed_name key not found; ",""))))</x:f>
      </x:c>
    </x:row>
    <x:row r="419">
      <x:c r="A419" s="251"/>
      <x:c r="B419" s="252"/>
      <x:c r="C419" s="253"/>
      <x:c r="D419" s="253"/>
      <x:c r="E419" s="253"/>
      <x:c r="F419" s="253"/>
      <x:c r="G419" s="252"/>
      <x:c r="H419" s="253"/>
      <x:c r="I419" s="272"/>
      <x:c r="J419" s="253"/>
      <x:c r="K419" s="252"/>
      <x:c r="L419" s="253"/>
      <x:c r="M419" s="253"/>
      <x:c r="N419" s="253"/>
      <x:c r="O419" s="253"/>
      <x:c r="P419" s="253" t="str">
        <x:f>IF(AND(A419="",B419="",H419=""),"",IF(OR(A419="",B419="",C419="",E419="",F419="",H419="",AND(A419="client",COUNTIF('الزبائن'!$A$6:$A$505,B419)=0),AND(A419="proposed_name",COUNTIF('أسماء مقترحة'!$A$6:$A$505,B419)=0)),"REVIEW","READY"))</x:f>
      </x:c>
      <x:c r="Q419" s="255" t="str">
        <x:f>IF(P419="","",IF(P419="READY","",TRIM(IF(A419="","missing entity_type; ","")&amp;IF(B419="","missing entity_key; ","")&amp;IF(C419="","missing referrer_order; ","")&amp;IF(E419="","missing referrer_type; ","")&amp;IF(F419="","missing referral_origin_channel; ","")&amp;IF(H419="","missing referrer_name_snapshot; ","")&amp;IF(AND(A419="client",COUNTIF('الزبائن'!$A$6:$A$505,B419)=0),"client key not found; ","")&amp;IF(AND(A419="proposed_name",COUNTIF('أسماء مقترحة'!$A$6:$A$505,B419)=0),"proposed_name key not found; ",""))))</x:f>
      </x:c>
    </x:row>
    <x:row r="420">
      <x:c r="A420" s="251"/>
      <x:c r="B420" s="252"/>
      <x:c r="C420" s="253"/>
      <x:c r="D420" s="253"/>
      <x:c r="E420" s="253"/>
      <x:c r="F420" s="253"/>
      <x:c r="G420" s="252"/>
      <x:c r="H420" s="253"/>
      <x:c r="I420" s="272"/>
      <x:c r="J420" s="253"/>
      <x:c r="K420" s="252"/>
      <x:c r="L420" s="253"/>
      <x:c r="M420" s="253"/>
      <x:c r="N420" s="253"/>
      <x:c r="O420" s="253"/>
      <x:c r="P420" s="253" t="str">
        <x:f>IF(AND(A420="",B420="",H420=""),"",IF(OR(A420="",B420="",C420="",E420="",F420="",H420="",AND(A420="client",COUNTIF('الزبائن'!$A$6:$A$505,B420)=0),AND(A420="proposed_name",COUNTIF('أسماء مقترحة'!$A$6:$A$505,B420)=0)),"REVIEW","READY"))</x:f>
      </x:c>
      <x:c r="Q420" s="255" t="str">
        <x:f>IF(P420="","",IF(P420="READY","",TRIM(IF(A420="","missing entity_type; ","")&amp;IF(B420="","missing entity_key; ","")&amp;IF(C420="","missing referrer_order; ","")&amp;IF(E420="","missing referrer_type; ","")&amp;IF(F420="","missing referral_origin_channel; ","")&amp;IF(H420="","missing referrer_name_snapshot; ","")&amp;IF(AND(A420="client",COUNTIF('الزبائن'!$A$6:$A$505,B420)=0),"client key not found; ","")&amp;IF(AND(A420="proposed_name",COUNTIF('أسماء مقترحة'!$A$6:$A$505,B420)=0),"proposed_name key not found; ",""))))</x:f>
      </x:c>
    </x:row>
    <x:row r="421">
      <x:c r="A421" s="251"/>
      <x:c r="B421" s="252"/>
      <x:c r="C421" s="253"/>
      <x:c r="D421" s="253"/>
      <x:c r="E421" s="253"/>
      <x:c r="F421" s="253"/>
      <x:c r="G421" s="252"/>
      <x:c r="H421" s="253"/>
      <x:c r="I421" s="272"/>
      <x:c r="J421" s="253"/>
      <x:c r="K421" s="252"/>
      <x:c r="L421" s="253"/>
      <x:c r="M421" s="253"/>
      <x:c r="N421" s="253"/>
      <x:c r="O421" s="253"/>
      <x:c r="P421" s="253" t="str">
        <x:f>IF(AND(A421="",B421="",H421=""),"",IF(OR(A421="",B421="",C421="",E421="",F421="",H421="",AND(A421="client",COUNTIF('الزبائن'!$A$6:$A$505,B421)=0),AND(A421="proposed_name",COUNTIF('أسماء مقترحة'!$A$6:$A$505,B421)=0)),"REVIEW","READY"))</x:f>
      </x:c>
      <x:c r="Q421" s="255" t="str">
        <x:f>IF(P421="","",IF(P421="READY","",TRIM(IF(A421="","missing entity_type; ","")&amp;IF(B421="","missing entity_key; ","")&amp;IF(C421="","missing referrer_order; ","")&amp;IF(E421="","missing referrer_type; ","")&amp;IF(F421="","missing referral_origin_channel; ","")&amp;IF(H421="","missing referrer_name_snapshot; ","")&amp;IF(AND(A421="client",COUNTIF('الزبائن'!$A$6:$A$505,B421)=0),"client key not found; ","")&amp;IF(AND(A421="proposed_name",COUNTIF('أسماء مقترحة'!$A$6:$A$505,B421)=0),"proposed_name key not found; ",""))))</x:f>
      </x:c>
    </x:row>
    <x:row r="422">
      <x:c r="A422" s="251"/>
      <x:c r="B422" s="252"/>
      <x:c r="C422" s="253"/>
      <x:c r="D422" s="253"/>
      <x:c r="E422" s="253"/>
      <x:c r="F422" s="253"/>
      <x:c r="G422" s="252"/>
      <x:c r="H422" s="253"/>
      <x:c r="I422" s="272"/>
      <x:c r="J422" s="253"/>
      <x:c r="K422" s="252"/>
      <x:c r="L422" s="253"/>
      <x:c r="M422" s="253"/>
      <x:c r="N422" s="253"/>
      <x:c r="O422" s="253"/>
      <x:c r="P422" s="253" t="str">
        <x:f>IF(AND(A422="",B422="",H422=""),"",IF(OR(A422="",B422="",C422="",E422="",F422="",H422="",AND(A422="client",COUNTIF('الزبائن'!$A$6:$A$505,B422)=0),AND(A422="proposed_name",COUNTIF('أسماء مقترحة'!$A$6:$A$505,B422)=0)),"REVIEW","READY"))</x:f>
      </x:c>
      <x:c r="Q422" s="255" t="str">
        <x:f>IF(P422="","",IF(P422="READY","",TRIM(IF(A422="","missing entity_type; ","")&amp;IF(B422="","missing entity_key; ","")&amp;IF(C422="","missing referrer_order; ","")&amp;IF(E422="","missing referrer_type; ","")&amp;IF(F422="","missing referral_origin_channel; ","")&amp;IF(H422="","missing referrer_name_snapshot; ","")&amp;IF(AND(A422="client",COUNTIF('الزبائن'!$A$6:$A$505,B422)=0),"client key not found; ","")&amp;IF(AND(A422="proposed_name",COUNTIF('أسماء مقترحة'!$A$6:$A$505,B422)=0),"proposed_name key not found; ",""))))</x:f>
      </x:c>
    </x:row>
    <x:row r="423">
      <x:c r="A423" s="251"/>
      <x:c r="B423" s="252"/>
      <x:c r="C423" s="253"/>
      <x:c r="D423" s="253"/>
      <x:c r="E423" s="253"/>
      <x:c r="F423" s="253"/>
      <x:c r="G423" s="252"/>
      <x:c r="H423" s="253"/>
      <x:c r="I423" s="272"/>
      <x:c r="J423" s="253"/>
      <x:c r="K423" s="252"/>
      <x:c r="L423" s="253"/>
      <x:c r="M423" s="253"/>
      <x:c r="N423" s="253"/>
      <x:c r="O423" s="253"/>
      <x:c r="P423" s="253" t="str">
        <x:f>IF(AND(A423="",B423="",H423=""),"",IF(OR(A423="",B423="",C423="",E423="",F423="",H423="",AND(A423="client",COUNTIF('الزبائن'!$A$6:$A$505,B423)=0),AND(A423="proposed_name",COUNTIF('أسماء مقترحة'!$A$6:$A$505,B423)=0)),"REVIEW","READY"))</x:f>
      </x:c>
      <x:c r="Q423" s="255" t="str">
        <x:f>IF(P423="","",IF(P423="READY","",TRIM(IF(A423="","missing entity_type; ","")&amp;IF(B423="","missing entity_key; ","")&amp;IF(C423="","missing referrer_order; ","")&amp;IF(E423="","missing referrer_type; ","")&amp;IF(F423="","missing referral_origin_channel; ","")&amp;IF(H423="","missing referrer_name_snapshot; ","")&amp;IF(AND(A423="client",COUNTIF('الزبائن'!$A$6:$A$505,B423)=0),"client key not found; ","")&amp;IF(AND(A423="proposed_name",COUNTIF('أسماء مقترحة'!$A$6:$A$505,B423)=0),"proposed_name key not found; ",""))))</x:f>
      </x:c>
    </x:row>
    <x:row r="424">
      <x:c r="A424" s="251"/>
      <x:c r="B424" s="252"/>
      <x:c r="C424" s="253"/>
      <x:c r="D424" s="253"/>
      <x:c r="E424" s="253"/>
      <x:c r="F424" s="253"/>
      <x:c r="G424" s="252"/>
      <x:c r="H424" s="253"/>
      <x:c r="I424" s="272"/>
      <x:c r="J424" s="253"/>
      <x:c r="K424" s="252"/>
      <x:c r="L424" s="253"/>
      <x:c r="M424" s="253"/>
      <x:c r="N424" s="253"/>
      <x:c r="O424" s="253"/>
      <x:c r="P424" s="253" t="str">
        <x:f>IF(AND(A424="",B424="",H424=""),"",IF(OR(A424="",B424="",C424="",E424="",F424="",H424="",AND(A424="client",COUNTIF('الزبائن'!$A$6:$A$505,B424)=0),AND(A424="proposed_name",COUNTIF('أسماء مقترحة'!$A$6:$A$505,B424)=0)),"REVIEW","READY"))</x:f>
      </x:c>
      <x:c r="Q424" s="255" t="str">
        <x:f>IF(P424="","",IF(P424="READY","",TRIM(IF(A424="","missing entity_type; ","")&amp;IF(B424="","missing entity_key; ","")&amp;IF(C424="","missing referrer_order; ","")&amp;IF(E424="","missing referrer_type; ","")&amp;IF(F424="","missing referral_origin_channel; ","")&amp;IF(H424="","missing referrer_name_snapshot; ","")&amp;IF(AND(A424="client",COUNTIF('الزبائن'!$A$6:$A$505,B424)=0),"client key not found; ","")&amp;IF(AND(A424="proposed_name",COUNTIF('أسماء مقترحة'!$A$6:$A$505,B424)=0),"proposed_name key not found; ",""))))</x:f>
      </x:c>
    </x:row>
    <x:row r="425">
      <x:c r="A425" s="251"/>
      <x:c r="B425" s="252"/>
      <x:c r="C425" s="253"/>
      <x:c r="D425" s="253"/>
      <x:c r="E425" s="253"/>
      <x:c r="F425" s="253"/>
      <x:c r="G425" s="252"/>
      <x:c r="H425" s="253"/>
      <x:c r="I425" s="272"/>
      <x:c r="J425" s="253"/>
      <x:c r="K425" s="252"/>
      <x:c r="L425" s="253"/>
      <x:c r="M425" s="253"/>
      <x:c r="N425" s="253"/>
      <x:c r="O425" s="253"/>
      <x:c r="P425" s="253" t="str">
        <x:f>IF(AND(A425="",B425="",H425=""),"",IF(OR(A425="",B425="",C425="",E425="",F425="",H425="",AND(A425="client",COUNTIF('الزبائن'!$A$6:$A$505,B425)=0),AND(A425="proposed_name",COUNTIF('أسماء مقترحة'!$A$6:$A$505,B425)=0)),"REVIEW","READY"))</x:f>
      </x:c>
      <x:c r="Q425" s="255" t="str">
        <x:f>IF(P425="","",IF(P425="READY","",TRIM(IF(A425="","missing entity_type; ","")&amp;IF(B425="","missing entity_key; ","")&amp;IF(C425="","missing referrer_order; ","")&amp;IF(E425="","missing referrer_type; ","")&amp;IF(F425="","missing referral_origin_channel; ","")&amp;IF(H425="","missing referrer_name_snapshot; ","")&amp;IF(AND(A425="client",COUNTIF('الزبائن'!$A$6:$A$505,B425)=0),"client key not found; ","")&amp;IF(AND(A425="proposed_name",COUNTIF('أسماء مقترحة'!$A$6:$A$505,B425)=0),"proposed_name key not found; ",""))))</x:f>
      </x:c>
    </x:row>
    <x:row r="426">
      <x:c r="A426" s="251"/>
      <x:c r="B426" s="252"/>
      <x:c r="C426" s="253"/>
      <x:c r="D426" s="253"/>
      <x:c r="E426" s="253"/>
      <x:c r="F426" s="253"/>
      <x:c r="G426" s="252"/>
      <x:c r="H426" s="253"/>
      <x:c r="I426" s="272"/>
      <x:c r="J426" s="253"/>
      <x:c r="K426" s="252"/>
      <x:c r="L426" s="253"/>
      <x:c r="M426" s="253"/>
      <x:c r="N426" s="253"/>
      <x:c r="O426" s="253"/>
      <x:c r="P426" s="253" t="str">
        <x:f>IF(AND(A426="",B426="",H426=""),"",IF(OR(A426="",B426="",C426="",E426="",F426="",H426="",AND(A426="client",COUNTIF('الزبائن'!$A$6:$A$505,B426)=0),AND(A426="proposed_name",COUNTIF('أسماء مقترحة'!$A$6:$A$505,B426)=0)),"REVIEW","READY"))</x:f>
      </x:c>
      <x:c r="Q426" s="255" t="str">
        <x:f>IF(P426="","",IF(P426="READY","",TRIM(IF(A426="","missing entity_type; ","")&amp;IF(B426="","missing entity_key; ","")&amp;IF(C426="","missing referrer_order; ","")&amp;IF(E426="","missing referrer_type; ","")&amp;IF(F426="","missing referral_origin_channel; ","")&amp;IF(H426="","missing referrer_name_snapshot; ","")&amp;IF(AND(A426="client",COUNTIF('الزبائن'!$A$6:$A$505,B426)=0),"client key not found; ","")&amp;IF(AND(A426="proposed_name",COUNTIF('أسماء مقترحة'!$A$6:$A$505,B426)=0),"proposed_name key not found; ",""))))</x:f>
      </x:c>
    </x:row>
    <x:row r="427">
      <x:c r="A427" s="251"/>
      <x:c r="B427" s="252"/>
      <x:c r="C427" s="253"/>
      <x:c r="D427" s="253"/>
      <x:c r="E427" s="253"/>
      <x:c r="F427" s="253"/>
      <x:c r="G427" s="252"/>
      <x:c r="H427" s="253"/>
      <x:c r="I427" s="272"/>
      <x:c r="J427" s="253"/>
      <x:c r="K427" s="252"/>
      <x:c r="L427" s="253"/>
      <x:c r="M427" s="253"/>
      <x:c r="N427" s="253"/>
      <x:c r="O427" s="253"/>
      <x:c r="P427" s="253" t="str">
        <x:f>IF(AND(A427="",B427="",H427=""),"",IF(OR(A427="",B427="",C427="",E427="",F427="",H427="",AND(A427="client",COUNTIF('الزبائن'!$A$6:$A$505,B427)=0),AND(A427="proposed_name",COUNTIF('أسماء مقترحة'!$A$6:$A$505,B427)=0)),"REVIEW","READY"))</x:f>
      </x:c>
      <x:c r="Q427" s="255" t="str">
        <x:f>IF(P427="","",IF(P427="READY","",TRIM(IF(A427="","missing entity_type; ","")&amp;IF(B427="","missing entity_key; ","")&amp;IF(C427="","missing referrer_order; ","")&amp;IF(E427="","missing referrer_type; ","")&amp;IF(F427="","missing referral_origin_channel; ","")&amp;IF(H427="","missing referrer_name_snapshot; ","")&amp;IF(AND(A427="client",COUNTIF('الزبائن'!$A$6:$A$505,B427)=0),"client key not found; ","")&amp;IF(AND(A427="proposed_name",COUNTIF('أسماء مقترحة'!$A$6:$A$505,B427)=0),"proposed_name key not found; ",""))))</x:f>
      </x:c>
    </x:row>
    <x:row r="428">
      <x:c r="A428" s="251"/>
      <x:c r="B428" s="252"/>
      <x:c r="C428" s="253"/>
      <x:c r="D428" s="253"/>
      <x:c r="E428" s="253"/>
      <x:c r="F428" s="253"/>
      <x:c r="G428" s="252"/>
      <x:c r="H428" s="253"/>
      <x:c r="I428" s="272"/>
      <x:c r="J428" s="253"/>
      <x:c r="K428" s="252"/>
      <x:c r="L428" s="253"/>
      <x:c r="M428" s="253"/>
      <x:c r="N428" s="253"/>
      <x:c r="O428" s="253"/>
      <x:c r="P428" s="253" t="str">
        <x:f>IF(AND(A428="",B428="",H428=""),"",IF(OR(A428="",B428="",C428="",E428="",F428="",H428="",AND(A428="client",COUNTIF('الزبائن'!$A$6:$A$505,B428)=0),AND(A428="proposed_name",COUNTIF('أسماء مقترحة'!$A$6:$A$505,B428)=0)),"REVIEW","READY"))</x:f>
      </x:c>
      <x:c r="Q428" s="255" t="str">
        <x:f>IF(P428="","",IF(P428="READY","",TRIM(IF(A428="","missing entity_type; ","")&amp;IF(B428="","missing entity_key; ","")&amp;IF(C428="","missing referrer_order; ","")&amp;IF(E428="","missing referrer_type; ","")&amp;IF(F428="","missing referral_origin_channel; ","")&amp;IF(H428="","missing referrer_name_snapshot; ","")&amp;IF(AND(A428="client",COUNTIF('الزبائن'!$A$6:$A$505,B428)=0),"client key not found; ","")&amp;IF(AND(A428="proposed_name",COUNTIF('أسماء مقترحة'!$A$6:$A$505,B428)=0),"proposed_name key not found; ",""))))</x:f>
      </x:c>
    </x:row>
    <x:row r="429">
      <x:c r="A429" s="251"/>
      <x:c r="B429" s="252"/>
      <x:c r="C429" s="253"/>
      <x:c r="D429" s="253"/>
      <x:c r="E429" s="253"/>
      <x:c r="F429" s="253"/>
      <x:c r="G429" s="252"/>
      <x:c r="H429" s="253"/>
      <x:c r="I429" s="272"/>
      <x:c r="J429" s="253"/>
      <x:c r="K429" s="252"/>
      <x:c r="L429" s="253"/>
      <x:c r="M429" s="253"/>
      <x:c r="N429" s="253"/>
      <x:c r="O429" s="253"/>
      <x:c r="P429" s="253" t="str">
        <x:f>IF(AND(A429="",B429="",H429=""),"",IF(OR(A429="",B429="",C429="",E429="",F429="",H429="",AND(A429="client",COUNTIF('الزبائن'!$A$6:$A$505,B429)=0),AND(A429="proposed_name",COUNTIF('أسماء مقترحة'!$A$6:$A$505,B429)=0)),"REVIEW","READY"))</x:f>
      </x:c>
      <x:c r="Q429" s="255" t="str">
        <x:f>IF(P429="","",IF(P429="READY","",TRIM(IF(A429="","missing entity_type; ","")&amp;IF(B429="","missing entity_key; ","")&amp;IF(C429="","missing referrer_order; ","")&amp;IF(E429="","missing referrer_type; ","")&amp;IF(F429="","missing referral_origin_channel; ","")&amp;IF(H429="","missing referrer_name_snapshot; ","")&amp;IF(AND(A429="client",COUNTIF('الزبائن'!$A$6:$A$505,B429)=0),"client key not found; ","")&amp;IF(AND(A429="proposed_name",COUNTIF('أسماء مقترحة'!$A$6:$A$505,B429)=0),"proposed_name key not found; ",""))))</x:f>
      </x:c>
    </x:row>
    <x:row r="430">
      <x:c r="A430" s="251"/>
      <x:c r="B430" s="252"/>
      <x:c r="C430" s="253"/>
      <x:c r="D430" s="253"/>
      <x:c r="E430" s="253"/>
      <x:c r="F430" s="253"/>
      <x:c r="G430" s="252"/>
      <x:c r="H430" s="253"/>
      <x:c r="I430" s="272"/>
      <x:c r="J430" s="253"/>
      <x:c r="K430" s="252"/>
      <x:c r="L430" s="253"/>
      <x:c r="M430" s="253"/>
      <x:c r="N430" s="253"/>
      <x:c r="O430" s="253"/>
      <x:c r="P430" s="253" t="str">
        <x:f>IF(AND(A430="",B430="",H430=""),"",IF(OR(A430="",B430="",C430="",E430="",F430="",H430="",AND(A430="client",COUNTIF('الزبائن'!$A$6:$A$505,B430)=0),AND(A430="proposed_name",COUNTIF('أسماء مقترحة'!$A$6:$A$505,B430)=0)),"REVIEW","READY"))</x:f>
      </x:c>
      <x:c r="Q430" s="255" t="str">
        <x:f>IF(P430="","",IF(P430="READY","",TRIM(IF(A430="","missing entity_type; ","")&amp;IF(B430="","missing entity_key; ","")&amp;IF(C430="","missing referrer_order; ","")&amp;IF(E430="","missing referrer_type; ","")&amp;IF(F430="","missing referral_origin_channel; ","")&amp;IF(H430="","missing referrer_name_snapshot; ","")&amp;IF(AND(A430="client",COUNTIF('الزبائن'!$A$6:$A$505,B430)=0),"client key not found; ","")&amp;IF(AND(A430="proposed_name",COUNTIF('أسماء مقترحة'!$A$6:$A$505,B430)=0),"proposed_name key not found; ",""))))</x:f>
      </x:c>
    </x:row>
    <x:row r="431">
      <x:c r="A431" s="251"/>
      <x:c r="B431" s="252"/>
      <x:c r="C431" s="253"/>
      <x:c r="D431" s="253"/>
      <x:c r="E431" s="253"/>
      <x:c r="F431" s="253"/>
      <x:c r="G431" s="252"/>
      <x:c r="H431" s="253"/>
      <x:c r="I431" s="272"/>
      <x:c r="J431" s="253"/>
      <x:c r="K431" s="252"/>
      <x:c r="L431" s="253"/>
      <x:c r="M431" s="253"/>
      <x:c r="N431" s="253"/>
      <x:c r="O431" s="253"/>
      <x:c r="P431" s="253" t="str">
        <x:f>IF(AND(A431="",B431="",H431=""),"",IF(OR(A431="",B431="",C431="",E431="",F431="",H431="",AND(A431="client",COUNTIF('الزبائن'!$A$6:$A$505,B431)=0),AND(A431="proposed_name",COUNTIF('أسماء مقترحة'!$A$6:$A$505,B431)=0)),"REVIEW","READY"))</x:f>
      </x:c>
      <x:c r="Q431" s="255" t="str">
        <x:f>IF(P431="","",IF(P431="READY","",TRIM(IF(A431="","missing entity_type; ","")&amp;IF(B431="","missing entity_key; ","")&amp;IF(C431="","missing referrer_order; ","")&amp;IF(E431="","missing referrer_type; ","")&amp;IF(F431="","missing referral_origin_channel; ","")&amp;IF(H431="","missing referrer_name_snapshot; ","")&amp;IF(AND(A431="client",COUNTIF('الزبائن'!$A$6:$A$505,B431)=0),"client key not found; ","")&amp;IF(AND(A431="proposed_name",COUNTIF('أسماء مقترحة'!$A$6:$A$505,B431)=0),"proposed_name key not found; ",""))))</x:f>
      </x:c>
    </x:row>
    <x:row r="432">
      <x:c r="A432" s="251"/>
      <x:c r="B432" s="252"/>
      <x:c r="C432" s="253"/>
      <x:c r="D432" s="253"/>
      <x:c r="E432" s="253"/>
      <x:c r="F432" s="253"/>
      <x:c r="G432" s="252"/>
      <x:c r="H432" s="253"/>
      <x:c r="I432" s="272"/>
      <x:c r="J432" s="253"/>
      <x:c r="K432" s="252"/>
      <x:c r="L432" s="253"/>
      <x:c r="M432" s="253"/>
      <x:c r="N432" s="253"/>
      <x:c r="O432" s="253"/>
      <x:c r="P432" s="253" t="str">
        <x:f>IF(AND(A432="",B432="",H432=""),"",IF(OR(A432="",B432="",C432="",E432="",F432="",H432="",AND(A432="client",COUNTIF('الزبائن'!$A$6:$A$505,B432)=0),AND(A432="proposed_name",COUNTIF('أسماء مقترحة'!$A$6:$A$505,B432)=0)),"REVIEW","READY"))</x:f>
      </x:c>
      <x:c r="Q432" s="255" t="str">
        <x:f>IF(P432="","",IF(P432="READY","",TRIM(IF(A432="","missing entity_type; ","")&amp;IF(B432="","missing entity_key; ","")&amp;IF(C432="","missing referrer_order; ","")&amp;IF(E432="","missing referrer_type; ","")&amp;IF(F432="","missing referral_origin_channel; ","")&amp;IF(H432="","missing referrer_name_snapshot; ","")&amp;IF(AND(A432="client",COUNTIF('الزبائن'!$A$6:$A$505,B432)=0),"client key not found; ","")&amp;IF(AND(A432="proposed_name",COUNTIF('أسماء مقترحة'!$A$6:$A$505,B432)=0),"proposed_name key not found; ",""))))</x:f>
      </x:c>
    </x:row>
    <x:row r="433">
      <x:c r="A433" s="251"/>
      <x:c r="B433" s="252"/>
      <x:c r="C433" s="253"/>
      <x:c r="D433" s="253"/>
      <x:c r="E433" s="253"/>
      <x:c r="F433" s="253"/>
      <x:c r="G433" s="252"/>
      <x:c r="H433" s="253"/>
      <x:c r="I433" s="272"/>
      <x:c r="J433" s="253"/>
      <x:c r="K433" s="252"/>
      <x:c r="L433" s="253"/>
      <x:c r="M433" s="253"/>
      <x:c r="N433" s="253"/>
      <x:c r="O433" s="253"/>
      <x:c r="P433" s="253" t="str">
        <x:f>IF(AND(A433="",B433="",H433=""),"",IF(OR(A433="",B433="",C433="",E433="",F433="",H433="",AND(A433="client",COUNTIF('الزبائن'!$A$6:$A$505,B433)=0),AND(A433="proposed_name",COUNTIF('أسماء مقترحة'!$A$6:$A$505,B433)=0)),"REVIEW","READY"))</x:f>
      </x:c>
      <x:c r="Q433" s="255" t="str">
        <x:f>IF(P433="","",IF(P433="READY","",TRIM(IF(A433="","missing entity_type; ","")&amp;IF(B433="","missing entity_key; ","")&amp;IF(C433="","missing referrer_order; ","")&amp;IF(E433="","missing referrer_type; ","")&amp;IF(F433="","missing referral_origin_channel; ","")&amp;IF(H433="","missing referrer_name_snapshot; ","")&amp;IF(AND(A433="client",COUNTIF('الزبائن'!$A$6:$A$505,B433)=0),"client key not found; ","")&amp;IF(AND(A433="proposed_name",COUNTIF('أسماء مقترحة'!$A$6:$A$505,B433)=0),"proposed_name key not found; ",""))))</x:f>
      </x:c>
    </x:row>
    <x:row r="434">
      <x:c r="A434" s="251"/>
      <x:c r="B434" s="252"/>
      <x:c r="C434" s="253"/>
      <x:c r="D434" s="253"/>
      <x:c r="E434" s="253"/>
      <x:c r="F434" s="253"/>
      <x:c r="G434" s="252"/>
      <x:c r="H434" s="253"/>
      <x:c r="I434" s="272"/>
      <x:c r="J434" s="253"/>
      <x:c r="K434" s="252"/>
      <x:c r="L434" s="253"/>
      <x:c r="M434" s="253"/>
      <x:c r="N434" s="253"/>
      <x:c r="O434" s="253"/>
      <x:c r="P434" s="253" t="str">
        <x:f>IF(AND(A434="",B434="",H434=""),"",IF(OR(A434="",B434="",C434="",E434="",F434="",H434="",AND(A434="client",COUNTIF('الزبائن'!$A$6:$A$505,B434)=0),AND(A434="proposed_name",COUNTIF('أسماء مقترحة'!$A$6:$A$505,B434)=0)),"REVIEW","READY"))</x:f>
      </x:c>
      <x:c r="Q434" s="255" t="str">
        <x:f>IF(P434="","",IF(P434="READY","",TRIM(IF(A434="","missing entity_type; ","")&amp;IF(B434="","missing entity_key; ","")&amp;IF(C434="","missing referrer_order; ","")&amp;IF(E434="","missing referrer_type; ","")&amp;IF(F434="","missing referral_origin_channel; ","")&amp;IF(H434="","missing referrer_name_snapshot; ","")&amp;IF(AND(A434="client",COUNTIF('الزبائن'!$A$6:$A$505,B434)=0),"client key not found; ","")&amp;IF(AND(A434="proposed_name",COUNTIF('أسماء مقترحة'!$A$6:$A$505,B434)=0),"proposed_name key not found; ",""))))</x:f>
      </x:c>
    </x:row>
    <x:row r="435">
      <x:c r="A435" s="251"/>
      <x:c r="B435" s="252"/>
      <x:c r="C435" s="253"/>
      <x:c r="D435" s="253"/>
      <x:c r="E435" s="253"/>
      <x:c r="F435" s="253"/>
      <x:c r="G435" s="252"/>
      <x:c r="H435" s="253"/>
      <x:c r="I435" s="272"/>
      <x:c r="J435" s="253"/>
      <x:c r="K435" s="252"/>
      <x:c r="L435" s="253"/>
      <x:c r="M435" s="253"/>
      <x:c r="N435" s="253"/>
      <x:c r="O435" s="253"/>
      <x:c r="P435" s="253" t="str">
        <x:f>IF(AND(A435="",B435="",H435=""),"",IF(OR(A435="",B435="",C435="",E435="",F435="",H435="",AND(A435="client",COUNTIF('الزبائن'!$A$6:$A$505,B435)=0),AND(A435="proposed_name",COUNTIF('أسماء مقترحة'!$A$6:$A$505,B435)=0)),"REVIEW","READY"))</x:f>
      </x:c>
      <x:c r="Q435" s="255" t="str">
        <x:f>IF(P435="","",IF(P435="READY","",TRIM(IF(A435="","missing entity_type; ","")&amp;IF(B435="","missing entity_key; ","")&amp;IF(C435="","missing referrer_order; ","")&amp;IF(E435="","missing referrer_type; ","")&amp;IF(F435="","missing referral_origin_channel; ","")&amp;IF(H435="","missing referrer_name_snapshot; ","")&amp;IF(AND(A435="client",COUNTIF('الزبائن'!$A$6:$A$505,B435)=0),"client key not found; ","")&amp;IF(AND(A435="proposed_name",COUNTIF('أسماء مقترحة'!$A$6:$A$505,B435)=0),"proposed_name key not found; ",""))))</x:f>
      </x:c>
    </x:row>
    <x:row r="436">
      <x:c r="A436" s="251"/>
      <x:c r="B436" s="252"/>
      <x:c r="C436" s="253"/>
      <x:c r="D436" s="253"/>
      <x:c r="E436" s="253"/>
      <x:c r="F436" s="253"/>
      <x:c r="G436" s="252"/>
      <x:c r="H436" s="253"/>
      <x:c r="I436" s="272"/>
      <x:c r="J436" s="253"/>
      <x:c r="K436" s="252"/>
      <x:c r="L436" s="253"/>
      <x:c r="M436" s="253"/>
      <x:c r="N436" s="253"/>
      <x:c r="O436" s="253"/>
      <x:c r="P436" s="253" t="str">
        <x:f>IF(AND(A436="",B436="",H436=""),"",IF(OR(A436="",B436="",C436="",E436="",F436="",H436="",AND(A436="client",COUNTIF('الزبائن'!$A$6:$A$505,B436)=0),AND(A436="proposed_name",COUNTIF('أسماء مقترحة'!$A$6:$A$505,B436)=0)),"REVIEW","READY"))</x:f>
      </x:c>
      <x:c r="Q436" s="255" t="str">
        <x:f>IF(P436="","",IF(P436="READY","",TRIM(IF(A436="","missing entity_type; ","")&amp;IF(B436="","missing entity_key; ","")&amp;IF(C436="","missing referrer_order; ","")&amp;IF(E436="","missing referrer_type; ","")&amp;IF(F436="","missing referral_origin_channel; ","")&amp;IF(H436="","missing referrer_name_snapshot; ","")&amp;IF(AND(A436="client",COUNTIF('الزبائن'!$A$6:$A$505,B436)=0),"client key not found; ","")&amp;IF(AND(A436="proposed_name",COUNTIF('أسماء مقترحة'!$A$6:$A$505,B436)=0),"proposed_name key not found; ",""))))</x:f>
      </x:c>
    </x:row>
    <x:row r="437">
      <x:c r="A437" s="251"/>
      <x:c r="B437" s="252"/>
      <x:c r="C437" s="253"/>
      <x:c r="D437" s="253"/>
      <x:c r="E437" s="253"/>
      <x:c r="F437" s="253"/>
      <x:c r="G437" s="252"/>
      <x:c r="H437" s="253"/>
      <x:c r="I437" s="272"/>
      <x:c r="J437" s="253"/>
      <x:c r="K437" s="252"/>
      <x:c r="L437" s="253"/>
      <x:c r="M437" s="253"/>
      <x:c r="N437" s="253"/>
      <x:c r="O437" s="253"/>
      <x:c r="P437" s="253" t="str">
        <x:f>IF(AND(A437="",B437="",H437=""),"",IF(OR(A437="",B437="",C437="",E437="",F437="",H437="",AND(A437="client",COUNTIF('الزبائن'!$A$6:$A$505,B437)=0),AND(A437="proposed_name",COUNTIF('أسماء مقترحة'!$A$6:$A$505,B437)=0)),"REVIEW","READY"))</x:f>
      </x:c>
      <x:c r="Q437" s="255" t="str">
        <x:f>IF(P437="","",IF(P437="READY","",TRIM(IF(A437="","missing entity_type; ","")&amp;IF(B437="","missing entity_key; ","")&amp;IF(C437="","missing referrer_order; ","")&amp;IF(E437="","missing referrer_type; ","")&amp;IF(F437="","missing referral_origin_channel; ","")&amp;IF(H437="","missing referrer_name_snapshot; ","")&amp;IF(AND(A437="client",COUNTIF('الزبائن'!$A$6:$A$505,B437)=0),"client key not found; ","")&amp;IF(AND(A437="proposed_name",COUNTIF('أسماء مقترحة'!$A$6:$A$505,B437)=0),"proposed_name key not found; ",""))))</x:f>
      </x:c>
    </x:row>
    <x:row r="438">
      <x:c r="A438" s="251"/>
      <x:c r="B438" s="252"/>
      <x:c r="C438" s="253"/>
      <x:c r="D438" s="253"/>
      <x:c r="E438" s="253"/>
      <x:c r="F438" s="253"/>
      <x:c r="G438" s="252"/>
      <x:c r="H438" s="253"/>
      <x:c r="I438" s="272"/>
      <x:c r="J438" s="253"/>
      <x:c r="K438" s="252"/>
      <x:c r="L438" s="253"/>
      <x:c r="M438" s="253"/>
      <x:c r="N438" s="253"/>
      <x:c r="O438" s="253"/>
      <x:c r="P438" s="253" t="str">
        <x:f>IF(AND(A438="",B438="",H438=""),"",IF(OR(A438="",B438="",C438="",E438="",F438="",H438="",AND(A438="client",COUNTIF('الزبائن'!$A$6:$A$505,B438)=0),AND(A438="proposed_name",COUNTIF('أسماء مقترحة'!$A$6:$A$505,B438)=0)),"REVIEW","READY"))</x:f>
      </x:c>
      <x:c r="Q438" s="255" t="str">
        <x:f>IF(P438="","",IF(P438="READY","",TRIM(IF(A438="","missing entity_type; ","")&amp;IF(B438="","missing entity_key; ","")&amp;IF(C438="","missing referrer_order; ","")&amp;IF(E438="","missing referrer_type; ","")&amp;IF(F438="","missing referral_origin_channel; ","")&amp;IF(H438="","missing referrer_name_snapshot; ","")&amp;IF(AND(A438="client",COUNTIF('الزبائن'!$A$6:$A$505,B438)=0),"client key not found; ","")&amp;IF(AND(A438="proposed_name",COUNTIF('أسماء مقترحة'!$A$6:$A$505,B438)=0),"proposed_name key not found; ",""))))</x:f>
      </x:c>
    </x:row>
    <x:row r="439">
      <x:c r="A439" s="251"/>
      <x:c r="B439" s="252"/>
      <x:c r="C439" s="253"/>
      <x:c r="D439" s="253"/>
      <x:c r="E439" s="253"/>
      <x:c r="F439" s="253"/>
      <x:c r="G439" s="252"/>
      <x:c r="H439" s="253"/>
      <x:c r="I439" s="272"/>
      <x:c r="J439" s="253"/>
      <x:c r="K439" s="252"/>
      <x:c r="L439" s="253"/>
      <x:c r="M439" s="253"/>
      <x:c r="N439" s="253"/>
      <x:c r="O439" s="253"/>
      <x:c r="P439" s="253" t="str">
        <x:f>IF(AND(A439="",B439="",H439=""),"",IF(OR(A439="",B439="",C439="",E439="",F439="",H439="",AND(A439="client",COUNTIF('الزبائن'!$A$6:$A$505,B439)=0),AND(A439="proposed_name",COUNTIF('أسماء مقترحة'!$A$6:$A$505,B439)=0)),"REVIEW","READY"))</x:f>
      </x:c>
      <x:c r="Q439" s="255" t="str">
        <x:f>IF(P439="","",IF(P439="READY","",TRIM(IF(A439="","missing entity_type; ","")&amp;IF(B439="","missing entity_key; ","")&amp;IF(C439="","missing referrer_order; ","")&amp;IF(E439="","missing referrer_type; ","")&amp;IF(F439="","missing referral_origin_channel; ","")&amp;IF(H439="","missing referrer_name_snapshot; ","")&amp;IF(AND(A439="client",COUNTIF('الزبائن'!$A$6:$A$505,B439)=0),"client key not found; ","")&amp;IF(AND(A439="proposed_name",COUNTIF('أسماء مقترحة'!$A$6:$A$505,B439)=0),"proposed_name key not found; ",""))))</x:f>
      </x:c>
    </x:row>
    <x:row r="440">
      <x:c r="A440" s="251"/>
      <x:c r="B440" s="252"/>
      <x:c r="C440" s="253"/>
      <x:c r="D440" s="253"/>
      <x:c r="E440" s="253"/>
      <x:c r="F440" s="253"/>
      <x:c r="G440" s="252"/>
      <x:c r="H440" s="253"/>
      <x:c r="I440" s="272"/>
      <x:c r="J440" s="253"/>
      <x:c r="K440" s="252"/>
      <x:c r="L440" s="253"/>
      <x:c r="M440" s="253"/>
      <x:c r="N440" s="253"/>
      <x:c r="O440" s="253"/>
      <x:c r="P440" s="253" t="str">
        <x:f>IF(AND(A440="",B440="",H440=""),"",IF(OR(A440="",B440="",C440="",E440="",F440="",H440="",AND(A440="client",COUNTIF('الزبائن'!$A$6:$A$505,B440)=0),AND(A440="proposed_name",COUNTIF('أسماء مقترحة'!$A$6:$A$505,B440)=0)),"REVIEW","READY"))</x:f>
      </x:c>
      <x:c r="Q440" s="255" t="str">
        <x:f>IF(P440="","",IF(P440="READY","",TRIM(IF(A440="","missing entity_type; ","")&amp;IF(B440="","missing entity_key; ","")&amp;IF(C440="","missing referrer_order; ","")&amp;IF(E440="","missing referrer_type; ","")&amp;IF(F440="","missing referral_origin_channel; ","")&amp;IF(H440="","missing referrer_name_snapshot; ","")&amp;IF(AND(A440="client",COUNTIF('الزبائن'!$A$6:$A$505,B440)=0),"client key not found; ","")&amp;IF(AND(A440="proposed_name",COUNTIF('أسماء مقترحة'!$A$6:$A$505,B440)=0),"proposed_name key not found; ",""))))</x:f>
      </x:c>
    </x:row>
    <x:row r="441">
      <x:c r="A441" s="251"/>
      <x:c r="B441" s="252"/>
      <x:c r="C441" s="253"/>
      <x:c r="D441" s="253"/>
      <x:c r="E441" s="253"/>
      <x:c r="F441" s="253"/>
      <x:c r="G441" s="252"/>
      <x:c r="H441" s="253"/>
      <x:c r="I441" s="272"/>
      <x:c r="J441" s="253"/>
      <x:c r="K441" s="252"/>
      <x:c r="L441" s="253"/>
      <x:c r="M441" s="253"/>
      <x:c r="N441" s="253"/>
      <x:c r="O441" s="253"/>
      <x:c r="P441" s="253" t="str">
        <x:f>IF(AND(A441="",B441="",H441=""),"",IF(OR(A441="",B441="",C441="",E441="",F441="",H441="",AND(A441="client",COUNTIF('الزبائن'!$A$6:$A$505,B441)=0),AND(A441="proposed_name",COUNTIF('أسماء مقترحة'!$A$6:$A$505,B441)=0)),"REVIEW","READY"))</x:f>
      </x:c>
      <x:c r="Q441" s="255" t="str">
        <x:f>IF(P441="","",IF(P441="READY","",TRIM(IF(A441="","missing entity_type; ","")&amp;IF(B441="","missing entity_key; ","")&amp;IF(C441="","missing referrer_order; ","")&amp;IF(E441="","missing referrer_type; ","")&amp;IF(F441="","missing referral_origin_channel; ","")&amp;IF(H441="","missing referrer_name_snapshot; ","")&amp;IF(AND(A441="client",COUNTIF('الزبائن'!$A$6:$A$505,B441)=0),"client key not found; ","")&amp;IF(AND(A441="proposed_name",COUNTIF('أسماء مقترحة'!$A$6:$A$505,B441)=0),"proposed_name key not found; ",""))))</x:f>
      </x:c>
    </x:row>
    <x:row r="442">
      <x:c r="A442" s="251"/>
      <x:c r="B442" s="252"/>
      <x:c r="C442" s="253"/>
      <x:c r="D442" s="253"/>
      <x:c r="E442" s="253"/>
      <x:c r="F442" s="253"/>
      <x:c r="G442" s="252"/>
      <x:c r="H442" s="253"/>
      <x:c r="I442" s="272"/>
      <x:c r="J442" s="253"/>
      <x:c r="K442" s="252"/>
      <x:c r="L442" s="253"/>
      <x:c r="M442" s="253"/>
      <x:c r="N442" s="253"/>
      <x:c r="O442" s="253"/>
      <x:c r="P442" s="253" t="str">
        <x:f>IF(AND(A442="",B442="",H442=""),"",IF(OR(A442="",B442="",C442="",E442="",F442="",H442="",AND(A442="client",COUNTIF('الزبائن'!$A$6:$A$505,B442)=0),AND(A442="proposed_name",COUNTIF('أسماء مقترحة'!$A$6:$A$505,B442)=0)),"REVIEW","READY"))</x:f>
      </x:c>
      <x:c r="Q442" s="255" t="str">
        <x:f>IF(P442="","",IF(P442="READY","",TRIM(IF(A442="","missing entity_type; ","")&amp;IF(B442="","missing entity_key; ","")&amp;IF(C442="","missing referrer_order; ","")&amp;IF(E442="","missing referrer_type; ","")&amp;IF(F442="","missing referral_origin_channel; ","")&amp;IF(H442="","missing referrer_name_snapshot; ","")&amp;IF(AND(A442="client",COUNTIF('الزبائن'!$A$6:$A$505,B442)=0),"client key not found; ","")&amp;IF(AND(A442="proposed_name",COUNTIF('أسماء مقترحة'!$A$6:$A$505,B442)=0),"proposed_name key not found; ",""))))</x:f>
      </x:c>
    </x:row>
    <x:row r="443">
      <x:c r="A443" s="251"/>
      <x:c r="B443" s="252"/>
      <x:c r="C443" s="253"/>
      <x:c r="D443" s="253"/>
      <x:c r="E443" s="253"/>
      <x:c r="F443" s="253"/>
      <x:c r="G443" s="252"/>
      <x:c r="H443" s="253"/>
      <x:c r="I443" s="272"/>
      <x:c r="J443" s="253"/>
      <x:c r="K443" s="252"/>
      <x:c r="L443" s="253"/>
      <x:c r="M443" s="253"/>
      <x:c r="N443" s="253"/>
      <x:c r="O443" s="253"/>
      <x:c r="P443" s="253" t="str">
        <x:f>IF(AND(A443="",B443="",H443=""),"",IF(OR(A443="",B443="",C443="",E443="",F443="",H443="",AND(A443="client",COUNTIF('الزبائن'!$A$6:$A$505,B443)=0),AND(A443="proposed_name",COUNTIF('أسماء مقترحة'!$A$6:$A$505,B443)=0)),"REVIEW","READY"))</x:f>
      </x:c>
      <x:c r="Q443" s="255" t="str">
        <x:f>IF(P443="","",IF(P443="READY","",TRIM(IF(A443="","missing entity_type; ","")&amp;IF(B443="","missing entity_key; ","")&amp;IF(C443="","missing referrer_order; ","")&amp;IF(E443="","missing referrer_type; ","")&amp;IF(F443="","missing referral_origin_channel; ","")&amp;IF(H443="","missing referrer_name_snapshot; ","")&amp;IF(AND(A443="client",COUNTIF('الزبائن'!$A$6:$A$505,B443)=0),"client key not found; ","")&amp;IF(AND(A443="proposed_name",COUNTIF('أسماء مقترحة'!$A$6:$A$505,B443)=0),"proposed_name key not found; ",""))))</x:f>
      </x:c>
    </x:row>
    <x:row r="444">
      <x:c r="A444" s="251"/>
      <x:c r="B444" s="252"/>
      <x:c r="C444" s="253"/>
      <x:c r="D444" s="253"/>
      <x:c r="E444" s="253"/>
      <x:c r="F444" s="253"/>
      <x:c r="G444" s="252"/>
      <x:c r="H444" s="253"/>
      <x:c r="I444" s="272"/>
      <x:c r="J444" s="253"/>
      <x:c r="K444" s="252"/>
      <x:c r="L444" s="253"/>
      <x:c r="M444" s="253"/>
      <x:c r="N444" s="253"/>
      <x:c r="O444" s="253"/>
      <x:c r="P444" s="253" t="str">
        <x:f>IF(AND(A444="",B444="",H444=""),"",IF(OR(A444="",B444="",C444="",E444="",F444="",H444="",AND(A444="client",COUNTIF('الزبائن'!$A$6:$A$505,B444)=0),AND(A444="proposed_name",COUNTIF('أسماء مقترحة'!$A$6:$A$505,B444)=0)),"REVIEW","READY"))</x:f>
      </x:c>
      <x:c r="Q444" s="255" t="str">
        <x:f>IF(P444="","",IF(P444="READY","",TRIM(IF(A444="","missing entity_type; ","")&amp;IF(B444="","missing entity_key; ","")&amp;IF(C444="","missing referrer_order; ","")&amp;IF(E444="","missing referrer_type; ","")&amp;IF(F444="","missing referral_origin_channel; ","")&amp;IF(H444="","missing referrer_name_snapshot; ","")&amp;IF(AND(A444="client",COUNTIF('الزبائن'!$A$6:$A$505,B444)=0),"client key not found; ","")&amp;IF(AND(A444="proposed_name",COUNTIF('أسماء مقترحة'!$A$6:$A$505,B444)=0),"proposed_name key not found; ",""))))</x:f>
      </x:c>
    </x:row>
    <x:row r="445">
      <x:c r="A445" s="251"/>
      <x:c r="B445" s="252"/>
      <x:c r="C445" s="253"/>
      <x:c r="D445" s="253"/>
      <x:c r="E445" s="253"/>
      <x:c r="F445" s="253"/>
      <x:c r="G445" s="252"/>
      <x:c r="H445" s="253"/>
      <x:c r="I445" s="272"/>
      <x:c r="J445" s="253"/>
      <x:c r="K445" s="252"/>
      <x:c r="L445" s="253"/>
      <x:c r="M445" s="253"/>
      <x:c r="N445" s="253"/>
      <x:c r="O445" s="253"/>
      <x:c r="P445" s="253" t="str">
        <x:f>IF(AND(A445="",B445="",H445=""),"",IF(OR(A445="",B445="",C445="",E445="",F445="",H445="",AND(A445="client",COUNTIF('الزبائن'!$A$6:$A$505,B445)=0),AND(A445="proposed_name",COUNTIF('أسماء مقترحة'!$A$6:$A$505,B445)=0)),"REVIEW","READY"))</x:f>
      </x:c>
      <x:c r="Q445" s="255" t="str">
        <x:f>IF(P445="","",IF(P445="READY","",TRIM(IF(A445="","missing entity_type; ","")&amp;IF(B445="","missing entity_key; ","")&amp;IF(C445="","missing referrer_order; ","")&amp;IF(E445="","missing referrer_type; ","")&amp;IF(F445="","missing referral_origin_channel; ","")&amp;IF(H445="","missing referrer_name_snapshot; ","")&amp;IF(AND(A445="client",COUNTIF('الزبائن'!$A$6:$A$505,B445)=0),"client key not found; ","")&amp;IF(AND(A445="proposed_name",COUNTIF('أسماء مقترحة'!$A$6:$A$505,B445)=0),"proposed_name key not found; ",""))))</x:f>
      </x:c>
    </x:row>
    <x:row r="446">
      <x:c r="A446" s="251"/>
      <x:c r="B446" s="252"/>
      <x:c r="C446" s="253"/>
      <x:c r="D446" s="253"/>
      <x:c r="E446" s="253"/>
      <x:c r="F446" s="253"/>
      <x:c r="G446" s="252"/>
      <x:c r="H446" s="253"/>
      <x:c r="I446" s="272"/>
      <x:c r="J446" s="253"/>
      <x:c r="K446" s="252"/>
      <x:c r="L446" s="253"/>
      <x:c r="M446" s="253"/>
      <x:c r="N446" s="253"/>
      <x:c r="O446" s="253"/>
      <x:c r="P446" s="253" t="str">
        <x:f>IF(AND(A446="",B446="",H446=""),"",IF(OR(A446="",B446="",C446="",E446="",F446="",H446="",AND(A446="client",COUNTIF('الزبائن'!$A$6:$A$505,B446)=0),AND(A446="proposed_name",COUNTIF('أسماء مقترحة'!$A$6:$A$505,B446)=0)),"REVIEW","READY"))</x:f>
      </x:c>
      <x:c r="Q446" s="255" t="str">
        <x:f>IF(P446="","",IF(P446="READY","",TRIM(IF(A446="","missing entity_type; ","")&amp;IF(B446="","missing entity_key; ","")&amp;IF(C446="","missing referrer_order; ","")&amp;IF(E446="","missing referrer_type; ","")&amp;IF(F446="","missing referral_origin_channel; ","")&amp;IF(H446="","missing referrer_name_snapshot; ","")&amp;IF(AND(A446="client",COUNTIF('الزبائن'!$A$6:$A$505,B446)=0),"client key not found; ","")&amp;IF(AND(A446="proposed_name",COUNTIF('أسماء مقترحة'!$A$6:$A$505,B446)=0),"proposed_name key not found; ",""))))</x:f>
      </x:c>
    </x:row>
    <x:row r="447">
      <x:c r="A447" s="251"/>
      <x:c r="B447" s="252"/>
      <x:c r="C447" s="253"/>
      <x:c r="D447" s="253"/>
      <x:c r="E447" s="253"/>
      <x:c r="F447" s="253"/>
      <x:c r="G447" s="252"/>
      <x:c r="H447" s="253"/>
      <x:c r="I447" s="272"/>
      <x:c r="J447" s="253"/>
      <x:c r="K447" s="252"/>
      <x:c r="L447" s="253"/>
      <x:c r="M447" s="253"/>
      <x:c r="N447" s="253"/>
      <x:c r="O447" s="253"/>
      <x:c r="P447" s="253" t="str">
        <x:f>IF(AND(A447="",B447="",H447=""),"",IF(OR(A447="",B447="",C447="",E447="",F447="",H447="",AND(A447="client",COUNTIF('الزبائن'!$A$6:$A$505,B447)=0),AND(A447="proposed_name",COUNTIF('أسماء مقترحة'!$A$6:$A$505,B447)=0)),"REVIEW","READY"))</x:f>
      </x:c>
      <x:c r="Q447" s="255" t="str">
        <x:f>IF(P447="","",IF(P447="READY","",TRIM(IF(A447="","missing entity_type; ","")&amp;IF(B447="","missing entity_key; ","")&amp;IF(C447="","missing referrer_order; ","")&amp;IF(E447="","missing referrer_type; ","")&amp;IF(F447="","missing referral_origin_channel; ","")&amp;IF(H447="","missing referrer_name_snapshot; ","")&amp;IF(AND(A447="client",COUNTIF('الزبائن'!$A$6:$A$505,B447)=0),"client key not found; ","")&amp;IF(AND(A447="proposed_name",COUNTIF('أسماء مقترحة'!$A$6:$A$505,B447)=0),"proposed_name key not found; ",""))))</x:f>
      </x:c>
    </x:row>
    <x:row r="448">
      <x:c r="A448" s="251"/>
      <x:c r="B448" s="252"/>
      <x:c r="C448" s="253"/>
      <x:c r="D448" s="253"/>
      <x:c r="E448" s="253"/>
      <x:c r="F448" s="253"/>
      <x:c r="G448" s="252"/>
      <x:c r="H448" s="253"/>
      <x:c r="I448" s="272"/>
      <x:c r="J448" s="253"/>
      <x:c r="K448" s="252"/>
      <x:c r="L448" s="253"/>
      <x:c r="M448" s="253"/>
      <x:c r="N448" s="253"/>
      <x:c r="O448" s="253"/>
      <x:c r="P448" s="253" t="str">
        <x:f>IF(AND(A448="",B448="",H448=""),"",IF(OR(A448="",B448="",C448="",E448="",F448="",H448="",AND(A448="client",COUNTIF('الزبائن'!$A$6:$A$505,B448)=0),AND(A448="proposed_name",COUNTIF('أسماء مقترحة'!$A$6:$A$505,B448)=0)),"REVIEW","READY"))</x:f>
      </x:c>
      <x:c r="Q448" s="255" t="str">
        <x:f>IF(P448="","",IF(P448="READY","",TRIM(IF(A448="","missing entity_type; ","")&amp;IF(B448="","missing entity_key; ","")&amp;IF(C448="","missing referrer_order; ","")&amp;IF(E448="","missing referrer_type; ","")&amp;IF(F448="","missing referral_origin_channel; ","")&amp;IF(H448="","missing referrer_name_snapshot; ","")&amp;IF(AND(A448="client",COUNTIF('الزبائن'!$A$6:$A$505,B448)=0),"client key not found; ","")&amp;IF(AND(A448="proposed_name",COUNTIF('أسماء مقترحة'!$A$6:$A$505,B448)=0),"proposed_name key not found; ",""))))</x:f>
      </x:c>
    </x:row>
    <x:row r="449">
      <x:c r="A449" s="251"/>
      <x:c r="B449" s="252"/>
      <x:c r="C449" s="253"/>
      <x:c r="D449" s="253"/>
      <x:c r="E449" s="253"/>
      <x:c r="F449" s="253"/>
      <x:c r="G449" s="252"/>
      <x:c r="H449" s="253"/>
      <x:c r="I449" s="272"/>
      <x:c r="J449" s="253"/>
      <x:c r="K449" s="252"/>
      <x:c r="L449" s="253"/>
      <x:c r="M449" s="253"/>
      <x:c r="N449" s="253"/>
      <x:c r="O449" s="253"/>
      <x:c r="P449" s="253" t="str">
        <x:f>IF(AND(A449="",B449="",H449=""),"",IF(OR(A449="",B449="",C449="",E449="",F449="",H449="",AND(A449="client",COUNTIF('الزبائن'!$A$6:$A$505,B449)=0),AND(A449="proposed_name",COUNTIF('أسماء مقترحة'!$A$6:$A$505,B449)=0)),"REVIEW","READY"))</x:f>
      </x:c>
      <x:c r="Q449" s="255" t="str">
        <x:f>IF(P449="","",IF(P449="READY","",TRIM(IF(A449="","missing entity_type; ","")&amp;IF(B449="","missing entity_key; ","")&amp;IF(C449="","missing referrer_order; ","")&amp;IF(E449="","missing referrer_type; ","")&amp;IF(F449="","missing referral_origin_channel; ","")&amp;IF(H449="","missing referrer_name_snapshot; ","")&amp;IF(AND(A449="client",COUNTIF('الزبائن'!$A$6:$A$505,B449)=0),"client key not found; ","")&amp;IF(AND(A449="proposed_name",COUNTIF('أسماء مقترحة'!$A$6:$A$505,B449)=0),"proposed_name key not found; ",""))))</x:f>
      </x:c>
    </x:row>
    <x:row r="450">
      <x:c r="A450" s="251"/>
      <x:c r="B450" s="252"/>
      <x:c r="C450" s="253"/>
      <x:c r="D450" s="253"/>
      <x:c r="E450" s="253"/>
      <x:c r="F450" s="253"/>
      <x:c r="G450" s="252"/>
      <x:c r="H450" s="253"/>
      <x:c r="I450" s="272"/>
      <x:c r="J450" s="253"/>
      <x:c r="K450" s="252"/>
      <x:c r="L450" s="253"/>
      <x:c r="M450" s="253"/>
      <x:c r="N450" s="253"/>
      <x:c r="O450" s="253"/>
      <x:c r="P450" s="253" t="str">
        <x:f>IF(AND(A450="",B450="",H450=""),"",IF(OR(A450="",B450="",C450="",E450="",F450="",H450="",AND(A450="client",COUNTIF('الزبائن'!$A$6:$A$505,B450)=0),AND(A450="proposed_name",COUNTIF('أسماء مقترحة'!$A$6:$A$505,B450)=0)),"REVIEW","READY"))</x:f>
      </x:c>
      <x:c r="Q450" s="255" t="str">
        <x:f>IF(P450="","",IF(P450="READY","",TRIM(IF(A450="","missing entity_type; ","")&amp;IF(B450="","missing entity_key; ","")&amp;IF(C450="","missing referrer_order; ","")&amp;IF(E450="","missing referrer_type; ","")&amp;IF(F450="","missing referral_origin_channel; ","")&amp;IF(H450="","missing referrer_name_snapshot; ","")&amp;IF(AND(A450="client",COUNTIF('الزبائن'!$A$6:$A$505,B450)=0),"client key not found; ","")&amp;IF(AND(A450="proposed_name",COUNTIF('أسماء مقترحة'!$A$6:$A$505,B450)=0),"proposed_name key not found; ",""))))</x:f>
      </x:c>
    </x:row>
    <x:row r="451">
      <x:c r="A451" s="251"/>
      <x:c r="B451" s="252"/>
      <x:c r="C451" s="253"/>
      <x:c r="D451" s="253"/>
      <x:c r="E451" s="253"/>
      <x:c r="F451" s="253"/>
      <x:c r="G451" s="252"/>
      <x:c r="H451" s="253"/>
      <x:c r="I451" s="272"/>
      <x:c r="J451" s="253"/>
      <x:c r="K451" s="252"/>
      <x:c r="L451" s="253"/>
      <x:c r="M451" s="253"/>
      <x:c r="N451" s="253"/>
      <x:c r="O451" s="253"/>
      <x:c r="P451" s="253" t="str">
        <x:f>IF(AND(A451="",B451="",H451=""),"",IF(OR(A451="",B451="",C451="",E451="",F451="",H451="",AND(A451="client",COUNTIF('الزبائن'!$A$6:$A$505,B451)=0),AND(A451="proposed_name",COUNTIF('أسماء مقترحة'!$A$6:$A$505,B451)=0)),"REVIEW","READY"))</x:f>
      </x:c>
      <x:c r="Q451" s="255" t="str">
        <x:f>IF(P451="","",IF(P451="READY","",TRIM(IF(A451="","missing entity_type; ","")&amp;IF(B451="","missing entity_key; ","")&amp;IF(C451="","missing referrer_order; ","")&amp;IF(E451="","missing referrer_type; ","")&amp;IF(F451="","missing referral_origin_channel; ","")&amp;IF(H451="","missing referrer_name_snapshot; ","")&amp;IF(AND(A451="client",COUNTIF('الزبائن'!$A$6:$A$505,B451)=0),"client key not found; ","")&amp;IF(AND(A451="proposed_name",COUNTIF('أسماء مقترحة'!$A$6:$A$505,B451)=0),"proposed_name key not found; ",""))))</x:f>
      </x:c>
    </x:row>
    <x:row r="452">
      <x:c r="A452" s="251"/>
      <x:c r="B452" s="252"/>
      <x:c r="C452" s="253"/>
      <x:c r="D452" s="253"/>
      <x:c r="E452" s="253"/>
      <x:c r="F452" s="253"/>
      <x:c r="G452" s="252"/>
      <x:c r="H452" s="253"/>
      <x:c r="I452" s="272"/>
      <x:c r="J452" s="253"/>
      <x:c r="K452" s="252"/>
      <x:c r="L452" s="253"/>
      <x:c r="M452" s="253"/>
      <x:c r="N452" s="253"/>
      <x:c r="O452" s="253"/>
      <x:c r="P452" s="253" t="str">
        <x:f>IF(AND(A452="",B452="",H452=""),"",IF(OR(A452="",B452="",C452="",E452="",F452="",H452="",AND(A452="client",COUNTIF('الزبائن'!$A$6:$A$505,B452)=0),AND(A452="proposed_name",COUNTIF('أسماء مقترحة'!$A$6:$A$505,B452)=0)),"REVIEW","READY"))</x:f>
      </x:c>
      <x:c r="Q452" s="255" t="str">
        <x:f>IF(P452="","",IF(P452="READY","",TRIM(IF(A452="","missing entity_type; ","")&amp;IF(B452="","missing entity_key; ","")&amp;IF(C452="","missing referrer_order; ","")&amp;IF(E452="","missing referrer_type; ","")&amp;IF(F452="","missing referral_origin_channel; ","")&amp;IF(H452="","missing referrer_name_snapshot; ","")&amp;IF(AND(A452="client",COUNTIF('الزبائن'!$A$6:$A$505,B452)=0),"client key not found; ","")&amp;IF(AND(A452="proposed_name",COUNTIF('أسماء مقترحة'!$A$6:$A$505,B452)=0),"proposed_name key not found; ",""))))</x:f>
      </x:c>
    </x:row>
    <x:row r="453">
      <x:c r="A453" s="251"/>
      <x:c r="B453" s="252"/>
      <x:c r="C453" s="253"/>
      <x:c r="D453" s="253"/>
      <x:c r="E453" s="253"/>
      <x:c r="F453" s="253"/>
      <x:c r="G453" s="252"/>
      <x:c r="H453" s="253"/>
      <x:c r="I453" s="272"/>
      <x:c r="J453" s="253"/>
      <x:c r="K453" s="252"/>
      <x:c r="L453" s="253"/>
      <x:c r="M453" s="253"/>
      <x:c r="N453" s="253"/>
      <x:c r="O453" s="253"/>
      <x:c r="P453" s="253" t="str">
        <x:f>IF(AND(A453="",B453="",H453=""),"",IF(OR(A453="",B453="",C453="",E453="",F453="",H453="",AND(A453="client",COUNTIF('الزبائن'!$A$6:$A$505,B453)=0),AND(A453="proposed_name",COUNTIF('أسماء مقترحة'!$A$6:$A$505,B453)=0)),"REVIEW","READY"))</x:f>
      </x:c>
      <x:c r="Q453" s="255" t="str">
        <x:f>IF(P453="","",IF(P453="READY","",TRIM(IF(A453="","missing entity_type; ","")&amp;IF(B453="","missing entity_key; ","")&amp;IF(C453="","missing referrer_order; ","")&amp;IF(E453="","missing referrer_type; ","")&amp;IF(F453="","missing referral_origin_channel; ","")&amp;IF(H453="","missing referrer_name_snapshot; ","")&amp;IF(AND(A453="client",COUNTIF('الزبائن'!$A$6:$A$505,B453)=0),"client key not found; ","")&amp;IF(AND(A453="proposed_name",COUNTIF('أسماء مقترحة'!$A$6:$A$505,B453)=0),"proposed_name key not found; ",""))))</x:f>
      </x:c>
    </x:row>
    <x:row r="454">
      <x:c r="A454" s="251"/>
      <x:c r="B454" s="252"/>
      <x:c r="C454" s="253"/>
      <x:c r="D454" s="253"/>
      <x:c r="E454" s="253"/>
      <x:c r="F454" s="253"/>
      <x:c r="G454" s="252"/>
      <x:c r="H454" s="253"/>
      <x:c r="I454" s="272"/>
      <x:c r="J454" s="253"/>
      <x:c r="K454" s="252"/>
      <x:c r="L454" s="253"/>
      <x:c r="M454" s="253"/>
      <x:c r="N454" s="253"/>
      <x:c r="O454" s="253"/>
      <x:c r="P454" s="253" t="str">
        <x:f>IF(AND(A454="",B454="",H454=""),"",IF(OR(A454="",B454="",C454="",E454="",F454="",H454="",AND(A454="client",COUNTIF('الزبائن'!$A$6:$A$505,B454)=0),AND(A454="proposed_name",COUNTIF('أسماء مقترحة'!$A$6:$A$505,B454)=0)),"REVIEW","READY"))</x:f>
      </x:c>
      <x:c r="Q454" s="255" t="str">
        <x:f>IF(P454="","",IF(P454="READY","",TRIM(IF(A454="","missing entity_type; ","")&amp;IF(B454="","missing entity_key; ","")&amp;IF(C454="","missing referrer_order; ","")&amp;IF(E454="","missing referrer_type; ","")&amp;IF(F454="","missing referral_origin_channel; ","")&amp;IF(H454="","missing referrer_name_snapshot; ","")&amp;IF(AND(A454="client",COUNTIF('الزبائن'!$A$6:$A$505,B454)=0),"client key not found; ","")&amp;IF(AND(A454="proposed_name",COUNTIF('أسماء مقترحة'!$A$6:$A$505,B454)=0),"proposed_name key not found; ",""))))</x:f>
      </x:c>
    </x:row>
    <x:row r="455">
      <x:c r="A455" s="251"/>
      <x:c r="B455" s="252"/>
      <x:c r="C455" s="253"/>
      <x:c r="D455" s="253"/>
      <x:c r="E455" s="253"/>
      <x:c r="F455" s="253"/>
      <x:c r="G455" s="252"/>
      <x:c r="H455" s="253"/>
      <x:c r="I455" s="272"/>
      <x:c r="J455" s="253"/>
      <x:c r="K455" s="252"/>
      <x:c r="L455" s="253"/>
      <x:c r="M455" s="253"/>
      <x:c r="N455" s="253"/>
      <x:c r="O455" s="253"/>
      <x:c r="P455" s="253" t="str">
        <x:f>IF(AND(A455="",B455="",H455=""),"",IF(OR(A455="",B455="",C455="",E455="",F455="",H455="",AND(A455="client",COUNTIF('الزبائن'!$A$6:$A$505,B455)=0),AND(A455="proposed_name",COUNTIF('أسماء مقترحة'!$A$6:$A$505,B455)=0)),"REVIEW","READY"))</x:f>
      </x:c>
      <x:c r="Q455" s="255" t="str">
        <x:f>IF(P455="","",IF(P455="READY","",TRIM(IF(A455="","missing entity_type; ","")&amp;IF(B455="","missing entity_key; ","")&amp;IF(C455="","missing referrer_order; ","")&amp;IF(E455="","missing referrer_type; ","")&amp;IF(F455="","missing referral_origin_channel; ","")&amp;IF(H455="","missing referrer_name_snapshot; ","")&amp;IF(AND(A455="client",COUNTIF('الزبائن'!$A$6:$A$505,B455)=0),"client key not found; ","")&amp;IF(AND(A455="proposed_name",COUNTIF('أسماء مقترحة'!$A$6:$A$505,B455)=0),"proposed_name key not found; ",""))))</x:f>
      </x:c>
    </x:row>
    <x:row r="456">
      <x:c r="A456" s="251"/>
      <x:c r="B456" s="252"/>
      <x:c r="C456" s="253"/>
      <x:c r="D456" s="253"/>
      <x:c r="E456" s="253"/>
      <x:c r="F456" s="253"/>
      <x:c r="G456" s="252"/>
      <x:c r="H456" s="253"/>
      <x:c r="I456" s="272"/>
      <x:c r="J456" s="253"/>
      <x:c r="K456" s="252"/>
      <x:c r="L456" s="253"/>
      <x:c r="M456" s="253"/>
      <x:c r="N456" s="253"/>
      <x:c r="O456" s="253"/>
      <x:c r="P456" s="253" t="str">
        <x:f>IF(AND(A456="",B456="",H456=""),"",IF(OR(A456="",B456="",C456="",E456="",F456="",H456="",AND(A456="client",COUNTIF('الزبائن'!$A$6:$A$505,B456)=0),AND(A456="proposed_name",COUNTIF('أسماء مقترحة'!$A$6:$A$505,B456)=0)),"REVIEW","READY"))</x:f>
      </x:c>
      <x:c r="Q456" s="255" t="str">
        <x:f>IF(P456="","",IF(P456="READY","",TRIM(IF(A456="","missing entity_type; ","")&amp;IF(B456="","missing entity_key; ","")&amp;IF(C456="","missing referrer_order; ","")&amp;IF(E456="","missing referrer_type; ","")&amp;IF(F456="","missing referral_origin_channel; ","")&amp;IF(H456="","missing referrer_name_snapshot; ","")&amp;IF(AND(A456="client",COUNTIF('الزبائن'!$A$6:$A$505,B456)=0),"client key not found; ","")&amp;IF(AND(A456="proposed_name",COUNTIF('أسماء مقترحة'!$A$6:$A$505,B456)=0),"proposed_name key not found; ",""))))</x:f>
      </x:c>
    </x:row>
    <x:row r="457">
      <x:c r="A457" s="251"/>
      <x:c r="B457" s="252"/>
      <x:c r="C457" s="253"/>
      <x:c r="D457" s="253"/>
      <x:c r="E457" s="253"/>
      <x:c r="F457" s="253"/>
      <x:c r="G457" s="252"/>
      <x:c r="H457" s="253"/>
      <x:c r="I457" s="272"/>
      <x:c r="J457" s="253"/>
      <x:c r="K457" s="252"/>
      <x:c r="L457" s="253"/>
      <x:c r="M457" s="253"/>
      <x:c r="N457" s="253"/>
      <x:c r="O457" s="253"/>
      <x:c r="P457" s="253" t="str">
        <x:f>IF(AND(A457="",B457="",H457=""),"",IF(OR(A457="",B457="",C457="",E457="",F457="",H457="",AND(A457="client",COUNTIF('الزبائن'!$A$6:$A$505,B457)=0),AND(A457="proposed_name",COUNTIF('أسماء مقترحة'!$A$6:$A$505,B457)=0)),"REVIEW","READY"))</x:f>
      </x:c>
      <x:c r="Q457" s="255" t="str">
        <x:f>IF(P457="","",IF(P457="READY","",TRIM(IF(A457="","missing entity_type; ","")&amp;IF(B457="","missing entity_key; ","")&amp;IF(C457="","missing referrer_order; ","")&amp;IF(E457="","missing referrer_type; ","")&amp;IF(F457="","missing referral_origin_channel; ","")&amp;IF(H457="","missing referrer_name_snapshot; ","")&amp;IF(AND(A457="client",COUNTIF('الزبائن'!$A$6:$A$505,B457)=0),"client key not found; ","")&amp;IF(AND(A457="proposed_name",COUNTIF('أسماء مقترحة'!$A$6:$A$505,B457)=0),"proposed_name key not found; ",""))))</x:f>
      </x:c>
    </x:row>
    <x:row r="458">
      <x:c r="A458" s="251"/>
      <x:c r="B458" s="252"/>
      <x:c r="C458" s="253"/>
      <x:c r="D458" s="253"/>
      <x:c r="E458" s="253"/>
      <x:c r="F458" s="253"/>
      <x:c r="G458" s="252"/>
      <x:c r="H458" s="253"/>
      <x:c r="I458" s="272"/>
      <x:c r="J458" s="253"/>
      <x:c r="K458" s="252"/>
      <x:c r="L458" s="253"/>
      <x:c r="M458" s="253"/>
      <x:c r="N458" s="253"/>
      <x:c r="O458" s="253"/>
      <x:c r="P458" s="253" t="str">
        <x:f>IF(AND(A458="",B458="",H458=""),"",IF(OR(A458="",B458="",C458="",E458="",F458="",H458="",AND(A458="client",COUNTIF('الزبائن'!$A$6:$A$505,B458)=0),AND(A458="proposed_name",COUNTIF('أسماء مقترحة'!$A$6:$A$505,B458)=0)),"REVIEW","READY"))</x:f>
      </x:c>
      <x:c r="Q458" s="255" t="str">
        <x:f>IF(P458="","",IF(P458="READY","",TRIM(IF(A458="","missing entity_type; ","")&amp;IF(B458="","missing entity_key; ","")&amp;IF(C458="","missing referrer_order; ","")&amp;IF(E458="","missing referrer_type; ","")&amp;IF(F458="","missing referral_origin_channel; ","")&amp;IF(H458="","missing referrer_name_snapshot; ","")&amp;IF(AND(A458="client",COUNTIF('الزبائن'!$A$6:$A$505,B458)=0),"client key not found; ","")&amp;IF(AND(A458="proposed_name",COUNTIF('أسماء مقترحة'!$A$6:$A$505,B458)=0),"proposed_name key not found; ",""))))</x:f>
      </x:c>
    </x:row>
    <x:row r="459">
      <x:c r="A459" s="251"/>
      <x:c r="B459" s="252"/>
      <x:c r="C459" s="253"/>
      <x:c r="D459" s="253"/>
      <x:c r="E459" s="253"/>
      <x:c r="F459" s="253"/>
      <x:c r="G459" s="252"/>
      <x:c r="H459" s="253"/>
      <x:c r="I459" s="272"/>
      <x:c r="J459" s="253"/>
      <x:c r="K459" s="252"/>
      <x:c r="L459" s="253"/>
      <x:c r="M459" s="253"/>
      <x:c r="N459" s="253"/>
      <x:c r="O459" s="253"/>
      <x:c r="P459" s="253" t="str">
        <x:f>IF(AND(A459="",B459="",H459=""),"",IF(OR(A459="",B459="",C459="",E459="",F459="",H459="",AND(A459="client",COUNTIF('الزبائن'!$A$6:$A$505,B459)=0),AND(A459="proposed_name",COUNTIF('أسماء مقترحة'!$A$6:$A$505,B459)=0)),"REVIEW","READY"))</x:f>
      </x:c>
      <x:c r="Q459" s="255" t="str">
        <x:f>IF(P459="","",IF(P459="READY","",TRIM(IF(A459="","missing entity_type; ","")&amp;IF(B459="","missing entity_key; ","")&amp;IF(C459="","missing referrer_order; ","")&amp;IF(E459="","missing referrer_type; ","")&amp;IF(F459="","missing referral_origin_channel; ","")&amp;IF(H459="","missing referrer_name_snapshot; ","")&amp;IF(AND(A459="client",COUNTIF('الزبائن'!$A$6:$A$505,B459)=0),"client key not found; ","")&amp;IF(AND(A459="proposed_name",COUNTIF('أسماء مقترحة'!$A$6:$A$505,B459)=0),"proposed_name key not found; ",""))))</x:f>
      </x:c>
    </x:row>
    <x:row r="460">
      <x:c r="A460" s="251"/>
      <x:c r="B460" s="252"/>
      <x:c r="C460" s="253"/>
      <x:c r="D460" s="253"/>
      <x:c r="E460" s="253"/>
      <x:c r="F460" s="253"/>
      <x:c r="G460" s="252"/>
      <x:c r="H460" s="253"/>
      <x:c r="I460" s="272"/>
      <x:c r="J460" s="253"/>
      <x:c r="K460" s="252"/>
      <x:c r="L460" s="253"/>
      <x:c r="M460" s="253"/>
      <x:c r="N460" s="253"/>
      <x:c r="O460" s="253"/>
      <x:c r="P460" s="253" t="str">
        <x:f>IF(AND(A460="",B460="",H460=""),"",IF(OR(A460="",B460="",C460="",E460="",F460="",H460="",AND(A460="client",COUNTIF('الزبائن'!$A$6:$A$505,B460)=0),AND(A460="proposed_name",COUNTIF('أسماء مقترحة'!$A$6:$A$505,B460)=0)),"REVIEW","READY"))</x:f>
      </x:c>
      <x:c r="Q460" s="255" t="str">
        <x:f>IF(P460="","",IF(P460="READY","",TRIM(IF(A460="","missing entity_type; ","")&amp;IF(B460="","missing entity_key; ","")&amp;IF(C460="","missing referrer_order; ","")&amp;IF(E460="","missing referrer_type; ","")&amp;IF(F460="","missing referral_origin_channel; ","")&amp;IF(H460="","missing referrer_name_snapshot; ","")&amp;IF(AND(A460="client",COUNTIF('الزبائن'!$A$6:$A$505,B460)=0),"client key not found; ","")&amp;IF(AND(A460="proposed_name",COUNTIF('أسماء مقترحة'!$A$6:$A$505,B460)=0),"proposed_name key not found; ",""))))</x:f>
      </x:c>
    </x:row>
    <x:row r="461">
      <x:c r="A461" s="251"/>
      <x:c r="B461" s="252"/>
      <x:c r="C461" s="253"/>
      <x:c r="D461" s="253"/>
      <x:c r="E461" s="253"/>
      <x:c r="F461" s="253"/>
      <x:c r="G461" s="252"/>
      <x:c r="H461" s="253"/>
      <x:c r="I461" s="272"/>
      <x:c r="J461" s="253"/>
      <x:c r="K461" s="252"/>
      <x:c r="L461" s="253"/>
      <x:c r="M461" s="253"/>
      <x:c r="N461" s="253"/>
      <x:c r="O461" s="253"/>
      <x:c r="P461" s="253" t="str">
        <x:f>IF(AND(A461="",B461="",H461=""),"",IF(OR(A461="",B461="",C461="",E461="",F461="",H461="",AND(A461="client",COUNTIF('الزبائن'!$A$6:$A$505,B461)=0),AND(A461="proposed_name",COUNTIF('أسماء مقترحة'!$A$6:$A$505,B461)=0)),"REVIEW","READY"))</x:f>
      </x:c>
      <x:c r="Q461" s="255" t="str">
        <x:f>IF(P461="","",IF(P461="READY","",TRIM(IF(A461="","missing entity_type; ","")&amp;IF(B461="","missing entity_key; ","")&amp;IF(C461="","missing referrer_order; ","")&amp;IF(E461="","missing referrer_type; ","")&amp;IF(F461="","missing referral_origin_channel; ","")&amp;IF(H461="","missing referrer_name_snapshot; ","")&amp;IF(AND(A461="client",COUNTIF('الزبائن'!$A$6:$A$505,B461)=0),"client key not found; ","")&amp;IF(AND(A461="proposed_name",COUNTIF('أسماء مقترحة'!$A$6:$A$505,B461)=0),"proposed_name key not found; ",""))))</x:f>
      </x:c>
    </x:row>
    <x:row r="462">
      <x:c r="A462" s="251"/>
      <x:c r="B462" s="252"/>
      <x:c r="C462" s="253"/>
      <x:c r="D462" s="253"/>
      <x:c r="E462" s="253"/>
      <x:c r="F462" s="253"/>
      <x:c r="G462" s="252"/>
      <x:c r="H462" s="253"/>
      <x:c r="I462" s="272"/>
      <x:c r="J462" s="253"/>
      <x:c r="K462" s="252"/>
      <x:c r="L462" s="253"/>
      <x:c r="M462" s="253"/>
      <x:c r="N462" s="253"/>
      <x:c r="O462" s="253"/>
      <x:c r="P462" s="253" t="str">
        <x:f>IF(AND(A462="",B462="",H462=""),"",IF(OR(A462="",B462="",C462="",E462="",F462="",H462="",AND(A462="client",COUNTIF('الزبائن'!$A$6:$A$505,B462)=0),AND(A462="proposed_name",COUNTIF('أسماء مقترحة'!$A$6:$A$505,B462)=0)),"REVIEW","READY"))</x:f>
      </x:c>
      <x:c r="Q462" s="255" t="str">
        <x:f>IF(P462="","",IF(P462="READY","",TRIM(IF(A462="","missing entity_type; ","")&amp;IF(B462="","missing entity_key; ","")&amp;IF(C462="","missing referrer_order; ","")&amp;IF(E462="","missing referrer_type; ","")&amp;IF(F462="","missing referral_origin_channel; ","")&amp;IF(H462="","missing referrer_name_snapshot; ","")&amp;IF(AND(A462="client",COUNTIF('الزبائن'!$A$6:$A$505,B462)=0),"client key not found; ","")&amp;IF(AND(A462="proposed_name",COUNTIF('أسماء مقترحة'!$A$6:$A$505,B462)=0),"proposed_name key not found; ",""))))</x:f>
      </x:c>
    </x:row>
    <x:row r="463">
      <x:c r="A463" s="251"/>
      <x:c r="B463" s="252"/>
      <x:c r="C463" s="253"/>
      <x:c r="D463" s="253"/>
      <x:c r="E463" s="253"/>
      <x:c r="F463" s="253"/>
      <x:c r="G463" s="252"/>
      <x:c r="H463" s="253"/>
      <x:c r="I463" s="272"/>
      <x:c r="J463" s="253"/>
      <x:c r="K463" s="252"/>
      <x:c r="L463" s="253"/>
      <x:c r="M463" s="253"/>
      <x:c r="N463" s="253"/>
      <x:c r="O463" s="253"/>
      <x:c r="P463" s="253" t="str">
        <x:f>IF(AND(A463="",B463="",H463=""),"",IF(OR(A463="",B463="",C463="",E463="",F463="",H463="",AND(A463="client",COUNTIF('الزبائن'!$A$6:$A$505,B463)=0),AND(A463="proposed_name",COUNTIF('أسماء مقترحة'!$A$6:$A$505,B463)=0)),"REVIEW","READY"))</x:f>
      </x:c>
      <x:c r="Q463" s="255" t="str">
        <x:f>IF(P463="","",IF(P463="READY","",TRIM(IF(A463="","missing entity_type; ","")&amp;IF(B463="","missing entity_key; ","")&amp;IF(C463="","missing referrer_order; ","")&amp;IF(E463="","missing referrer_type; ","")&amp;IF(F463="","missing referral_origin_channel; ","")&amp;IF(H463="","missing referrer_name_snapshot; ","")&amp;IF(AND(A463="client",COUNTIF('الزبائن'!$A$6:$A$505,B463)=0),"client key not found; ","")&amp;IF(AND(A463="proposed_name",COUNTIF('أسماء مقترحة'!$A$6:$A$505,B463)=0),"proposed_name key not found; ",""))))</x:f>
      </x:c>
    </x:row>
    <x:row r="464">
      <x:c r="A464" s="251"/>
      <x:c r="B464" s="252"/>
      <x:c r="C464" s="253"/>
      <x:c r="D464" s="253"/>
      <x:c r="E464" s="253"/>
      <x:c r="F464" s="253"/>
      <x:c r="G464" s="252"/>
      <x:c r="H464" s="253"/>
      <x:c r="I464" s="272"/>
      <x:c r="J464" s="253"/>
      <x:c r="K464" s="252"/>
      <x:c r="L464" s="253"/>
      <x:c r="M464" s="253"/>
      <x:c r="N464" s="253"/>
      <x:c r="O464" s="253"/>
      <x:c r="P464" s="253" t="str">
        <x:f>IF(AND(A464="",B464="",H464=""),"",IF(OR(A464="",B464="",C464="",E464="",F464="",H464="",AND(A464="client",COUNTIF('الزبائن'!$A$6:$A$505,B464)=0),AND(A464="proposed_name",COUNTIF('أسماء مقترحة'!$A$6:$A$505,B464)=0)),"REVIEW","READY"))</x:f>
      </x:c>
      <x:c r="Q464" s="255" t="str">
        <x:f>IF(P464="","",IF(P464="READY","",TRIM(IF(A464="","missing entity_type; ","")&amp;IF(B464="","missing entity_key; ","")&amp;IF(C464="","missing referrer_order; ","")&amp;IF(E464="","missing referrer_type; ","")&amp;IF(F464="","missing referral_origin_channel; ","")&amp;IF(H464="","missing referrer_name_snapshot; ","")&amp;IF(AND(A464="client",COUNTIF('الزبائن'!$A$6:$A$505,B464)=0),"client key not found; ","")&amp;IF(AND(A464="proposed_name",COUNTIF('أسماء مقترحة'!$A$6:$A$505,B464)=0),"proposed_name key not found; ",""))))</x:f>
      </x:c>
    </x:row>
    <x:row r="465">
      <x:c r="A465" s="251"/>
      <x:c r="B465" s="252"/>
      <x:c r="C465" s="253"/>
      <x:c r="D465" s="253"/>
      <x:c r="E465" s="253"/>
      <x:c r="F465" s="253"/>
      <x:c r="G465" s="252"/>
      <x:c r="H465" s="253"/>
      <x:c r="I465" s="272"/>
      <x:c r="J465" s="253"/>
      <x:c r="K465" s="252"/>
      <x:c r="L465" s="253"/>
      <x:c r="M465" s="253"/>
      <x:c r="N465" s="253"/>
      <x:c r="O465" s="253"/>
      <x:c r="P465" s="253" t="str">
        <x:f>IF(AND(A465="",B465="",H465=""),"",IF(OR(A465="",B465="",C465="",E465="",F465="",H465="",AND(A465="client",COUNTIF('الزبائن'!$A$6:$A$505,B465)=0),AND(A465="proposed_name",COUNTIF('أسماء مقترحة'!$A$6:$A$505,B465)=0)),"REVIEW","READY"))</x:f>
      </x:c>
      <x:c r="Q465" s="255" t="str">
        <x:f>IF(P465="","",IF(P465="READY","",TRIM(IF(A465="","missing entity_type; ","")&amp;IF(B465="","missing entity_key; ","")&amp;IF(C465="","missing referrer_order; ","")&amp;IF(E465="","missing referrer_type; ","")&amp;IF(F465="","missing referral_origin_channel; ","")&amp;IF(H465="","missing referrer_name_snapshot; ","")&amp;IF(AND(A465="client",COUNTIF('الزبائن'!$A$6:$A$505,B465)=0),"client key not found; ","")&amp;IF(AND(A465="proposed_name",COUNTIF('أسماء مقترحة'!$A$6:$A$505,B465)=0),"proposed_name key not found; ",""))))</x:f>
      </x:c>
    </x:row>
    <x:row r="466">
      <x:c r="A466" s="251"/>
      <x:c r="B466" s="252"/>
      <x:c r="C466" s="253"/>
      <x:c r="D466" s="253"/>
      <x:c r="E466" s="253"/>
      <x:c r="F466" s="253"/>
      <x:c r="G466" s="252"/>
      <x:c r="H466" s="253"/>
      <x:c r="I466" s="272"/>
      <x:c r="J466" s="253"/>
      <x:c r="K466" s="252"/>
      <x:c r="L466" s="253"/>
      <x:c r="M466" s="253"/>
      <x:c r="N466" s="253"/>
      <x:c r="O466" s="253"/>
      <x:c r="P466" s="253" t="str">
        <x:f>IF(AND(A466="",B466="",H466=""),"",IF(OR(A466="",B466="",C466="",E466="",F466="",H466="",AND(A466="client",COUNTIF('الزبائن'!$A$6:$A$505,B466)=0),AND(A466="proposed_name",COUNTIF('أسماء مقترحة'!$A$6:$A$505,B466)=0)),"REVIEW","READY"))</x:f>
      </x:c>
      <x:c r="Q466" s="255" t="str">
        <x:f>IF(P466="","",IF(P466="READY","",TRIM(IF(A466="","missing entity_type; ","")&amp;IF(B466="","missing entity_key; ","")&amp;IF(C466="","missing referrer_order; ","")&amp;IF(E466="","missing referrer_type; ","")&amp;IF(F466="","missing referral_origin_channel; ","")&amp;IF(H466="","missing referrer_name_snapshot; ","")&amp;IF(AND(A466="client",COUNTIF('الزبائن'!$A$6:$A$505,B466)=0),"client key not found; ","")&amp;IF(AND(A466="proposed_name",COUNTIF('أسماء مقترحة'!$A$6:$A$505,B466)=0),"proposed_name key not found; ",""))))</x:f>
      </x:c>
    </x:row>
    <x:row r="467">
      <x:c r="A467" s="251"/>
      <x:c r="B467" s="252"/>
      <x:c r="C467" s="253"/>
      <x:c r="D467" s="253"/>
      <x:c r="E467" s="253"/>
      <x:c r="F467" s="253"/>
      <x:c r="G467" s="252"/>
      <x:c r="H467" s="253"/>
      <x:c r="I467" s="272"/>
      <x:c r="J467" s="253"/>
      <x:c r="K467" s="252"/>
      <x:c r="L467" s="253"/>
      <x:c r="M467" s="253"/>
      <x:c r="N467" s="253"/>
      <x:c r="O467" s="253"/>
      <x:c r="P467" s="253" t="str">
        <x:f>IF(AND(A467="",B467="",H467=""),"",IF(OR(A467="",B467="",C467="",E467="",F467="",H467="",AND(A467="client",COUNTIF('الزبائن'!$A$6:$A$505,B467)=0),AND(A467="proposed_name",COUNTIF('أسماء مقترحة'!$A$6:$A$505,B467)=0)),"REVIEW","READY"))</x:f>
      </x:c>
      <x:c r="Q467" s="255" t="str">
        <x:f>IF(P467="","",IF(P467="READY","",TRIM(IF(A467="","missing entity_type; ","")&amp;IF(B467="","missing entity_key; ","")&amp;IF(C467="","missing referrer_order; ","")&amp;IF(E467="","missing referrer_type; ","")&amp;IF(F467="","missing referral_origin_channel; ","")&amp;IF(H467="","missing referrer_name_snapshot; ","")&amp;IF(AND(A467="client",COUNTIF('الزبائن'!$A$6:$A$505,B467)=0),"client key not found; ","")&amp;IF(AND(A467="proposed_name",COUNTIF('أسماء مقترحة'!$A$6:$A$505,B467)=0),"proposed_name key not found; ",""))))</x:f>
      </x:c>
    </x:row>
    <x:row r="468">
      <x:c r="A468" s="251"/>
      <x:c r="B468" s="252"/>
      <x:c r="C468" s="253"/>
      <x:c r="D468" s="253"/>
      <x:c r="E468" s="253"/>
      <x:c r="F468" s="253"/>
      <x:c r="G468" s="252"/>
      <x:c r="H468" s="253"/>
      <x:c r="I468" s="272"/>
      <x:c r="J468" s="253"/>
      <x:c r="K468" s="252"/>
      <x:c r="L468" s="253"/>
      <x:c r="M468" s="253"/>
      <x:c r="N468" s="253"/>
      <x:c r="O468" s="253"/>
      <x:c r="P468" s="253" t="str">
        <x:f>IF(AND(A468="",B468="",H468=""),"",IF(OR(A468="",B468="",C468="",E468="",F468="",H468="",AND(A468="client",COUNTIF('الزبائن'!$A$6:$A$505,B468)=0),AND(A468="proposed_name",COUNTIF('أسماء مقترحة'!$A$6:$A$505,B468)=0)),"REVIEW","READY"))</x:f>
      </x:c>
      <x:c r="Q468" s="255" t="str">
        <x:f>IF(P468="","",IF(P468="READY","",TRIM(IF(A468="","missing entity_type; ","")&amp;IF(B468="","missing entity_key; ","")&amp;IF(C468="","missing referrer_order; ","")&amp;IF(E468="","missing referrer_type; ","")&amp;IF(F468="","missing referral_origin_channel; ","")&amp;IF(H468="","missing referrer_name_snapshot; ","")&amp;IF(AND(A468="client",COUNTIF('الزبائن'!$A$6:$A$505,B468)=0),"client key not found; ","")&amp;IF(AND(A468="proposed_name",COUNTIF('أسماء مقترحة'!$A$6:$A$505,B468)=0),"proposed_name key not found; ",""))))</x:f>
      </x:c>
    </x:row>
    <x:row r="469">
      <x:c r="A469" s="251"/>
      <x:c r="B469" s="252"/>
      <x:c r="C469" s="253"/>
      <x:c r="D469" s="253"/>
      <x:c r="E469" s="253"/>
      <x:c r="F469" s="253"/>
      <x:c r="G469" s="252"/>
      <x:c r="H469" s="253"/>
      <x:c r="I469" s="272"/>
      <x:c r="J469" s="253"/>
      <x:c r="K469" s="252"/>
      <x:c r="L469" s="253"/>
      <x:c r="M469" s="253"/>
      <x:c r="N469" s="253"/>
      <x:c r="O469" s="253"/>
      <x:c r="P469" s="253" t="str">
        <x:f>IF(AND(A469="",B469="",H469=""),"",IF(OR(A469="",B469="",C469="",E469="",F469="",H469="",AND(A469="client",COUNTIF('الزبائن'!$A$6:$A$505,B469)=0),AND(A469="proposed_name",COUNTIF('أسماء مقترحة'!$A$6:$A$505,B469)=0)),"REVIEW","READY"))</x:f>
      </x:c>
      <x:c r="Q469" s="255" t="str">
        <x:f>IF(P469="","",IF(P469="READY","",TRIM(IF(A469="","missing entity_type; ","")&amp;IF(B469="","missing entity_key; ","")&amp;IF(C469="","missing referrer_order; ","")&amp;IF(E469="","missing referrer_type; ","")&amp;IF(F469="","missing referral_origin_channel; ","")&amp;IF(H469="","missing referrer_name_snapshot; ","")&amp;IF(AND(A469="client",COUNTIF('الزبائن'!$A$6:$A$505,B469)=0),"client key not found; ","")&amp;IF(AND(A469="proposed_name",COUNTIF('أسماء مقترحة'!$A$6:$A$505,B469)=0),"proposed_name key not found; ",""))))</x:f>
      </x:c>
    </x:row>
    <x:row r="470">
      <x:c r="A470" s="251"/>
      <x:c r="B470" s="252"/>
      <x:c r="C470" s="253"/>
      <x:c r="D470" s="253"/>
      <x:c r="E470" s="253"/>
      <x:c r="F470" s="253"/>
      <x:c r="G470" s="252"/>
      <x:c r="H470" s="253"/>
      <x:c r="I470" s="272"/>
      <x:c r="J470" s="253"/>
      <x:c r="K470" s="252"/>
      <x:c r="L470" s="253"/>
      <x:c r="M470" s="253"/>
      <x:c r="N470" s="253"/>
      <x:c r="O470" s="253"/>
      <x:c r="P470" s="253" t="str">
        <x:f>IF(AND(A470="",B470="",H470=""),"",IF(OR(A470="",B470="",C470="",E470="",F470="",H470="",AND(A470="client",COUNTIF('الزبائن'!$A$6:$A$505,B470)=0),AND(A470="proposed_name",COUNTIF('أسماء مقترحة'!$A$6:$A$505,B470)=0)),"REVIEW","READY"))</x:f>
      </x:c>
      <x:c r="Q470" s="255" t="str">
        <x:f>IF(P470="","",IF(P470="READY","",TRIM(IF(A470="","missing entity_type; ","")&amp;IF(B470="","missing entity_key; ","")&amp;IF(C470="","missing referrer_order; ","")&amp;IF(E470="","missing referrer_type; ","")&amp;IF(F470="","missing referral_origin_channel; ","")&amp;IF(H470="","missing referrer_name_snapshot; ","")&amp;IF(AND(A470="client",COUNTIF('الزبائن'!$A$6:$A$505,B470)=0),"client key not found; ","")&amp;IF(AND(A470="proposed_name",COUNTIF('أسماء مقترحة'!$A$6:$A$505,B470)=0),"proposed_name key not found; ",""))))</x:f>
      </x:c>
    </x:row>
    <x:row r="471">
      <x:c r="A471" s="251"/>
      <x:c r="B471" s="252"/>
      <x:c r="C471" s="253"/>
      <x:c r="D471" s="253"/>
      <x:c r="E471" s="253"/>
      <x:c r="F471" s="253"/>
      <x:c r="G471" s="252"/>
      <x:c r="H471" s="253"/>
      <x:c r="I471" s="272"/>
      <x:c r="J471" s="253"/>
      <x:c r="K471" s="252"/>
      <x:c r="L471" s="253"/>
      <x:c r="M471" s="253"/>
      <x:c r="N471" s="253"/>
      <x:c r="O471" s="253"/>
      <x:c r="P471" s="253" t="str">
        <x:f>IF(AND(A471="",B471="",H471=""),"",IF(OR(A471="",B471="",C471="",E471="",F471="",H471="",AND(A471="client",COUNTIF('الزبائن'!$A$6:$A$505,B471)=0),AND(A471="proposed_name",COUNTIF('أسماء مقترحة'!$A$6:$A$505,B471)=0)),"REVIEW","READY"))</x:f>
      </x:c>
      <x:c r="Q471" s="255" t="str">
        <x:f>IF(P471="","",IF(P471="READY","",TRIM(IF(A471="","missing entity_type; ","")&amp;IF(B471="","missing entity_key; ","")&amp;IF(C471="","missing referrer_order; ","")&amp;IF(E471="","missing referrer_type; ","")&amp;IF(F471="","missing referral_origin_channel; ","")&amp;IF(H471="","missing referrer_name_snapshot; ","")&amp;IF(AND(A471="client",COUNTIF('الزبائن'!$A$6:$A$505,B471)=0),"client key not found; ","")&amp;IF(AND(A471="proposed_name",COUNTIF('أسماء مقترحة'!$A$6:$A$505,B471)=0),"proposed_name key not found; ",""))))</x:f>
      </x:c>
    </x:row>
    <x:row r="472">
      <x:c r="A472" s="251"/>
      <x:c r="B472" s="252"/>
      <x:c r="C472" s="253"/>
      <x:c r="D472" s="253"/>
      <x:c r="E472" s="253"/>
      <x:c r="F472" s="253"/>
      <x:c r="G472" s="252"/>
      <x:c r="H472" s="253"/>
      <x:c r="I472" s="272"/>
      <x:c r="J472" s="253"/>
      <x:c r="K472" s="252"/>
      <x:c r="L472" s="253"/>
      <x:c r="M472" s="253"/>
      <x:c r="N472" s="253"/>
      <x:c r="O472" s="253"/>
      <x:c r="P472" s="253" t="str">
        <x:f>IF(AND(A472="",B472="",H472=""),"",IF(OR(A472="",B472="",C472="",E472="",F472="",H472="",AND(A472="client",COUNTIF('الزبائن'!$A$6:$A$505,B472)=0),AND(A472="proposed_name",COUNTIF('أسماء مقترحة'!$A$6:$A$505,B472)=0)),"REVIEW","READY"))</x:f>
      </x:c>
      <x:c r="Q472" s="255" t="str">
        <x:f>IF(P472="","",IF(P472="READY","",TRIM(IF(A472="","missing entity_type; ","")&amp;IF(B472="","missing entity_key; ","")&amp;IF(C472="","missing referrer_order; ","")&amp;IF(E472="","missing referrer_type; ","")&amp;IF(F472="","missing referral_origin_channel; ","")&amp;IF(H472="","missing referrer_name_snapshot; ","")&amp;IF(AND(A472="client",COUNTIF('الزبائن'!$A$6:$A$505,B472)=0),"client key not found; ","")&amp;IF(AND(A472="proposed_name",COUNTIF('أسماء مقترحة'!$A$6:$A$505,B472)=0),"proposed_name key not found; ",""))))</x:f>
      </x:c>
    </x:row>
    <x:row r="473">
      <x:c r="A473" s="251"/>
      <x:c r="B473" s="252"/>
      <x:c r="C473" s="253"/>
      <x:c r="D473" s="253"/>
      <x:c r="E473" s="253"/>
      <x:c r="F473" s="253"/>
      <x:c r="G473" s="252"/>
      <x:c r="H473" s="253"/>
      <x:c r="I473" s="272"/>
      <x:c r="J473" s="253"/>
      <x:c r="K473" s="252"/>
      <x:c r="L473" s="253"/>
      <x:c r="M473" s="253"/>
      <x:c r="N473" s="253"/>
      <x:c r="O473" s="253"/>
      <x:c r="P473" s="253" t="str">
        <x:f>IF(AND(A473="",B473="",H473=""),"",IF(OR(A473="",B473="",C473="",E473="",F473="",H473="",AND(A473="client",COUNTIF('الزبائن'!$A$6:$A$505,B473)=0),AND(A473="proposed_name",COUNTIF('أسماء مقترحة'!$A$6:$A$505,B473)=0)),"REVIEW","READY"))</x:f>
      </x:c>
      <x:c r="Q473" s="255" t="str">
        <x:f>IF(P473="","",IF(P473="READY","",TRIM(IF(A473="","missing entity_type; ","")&amp;IF(B473="","missing entity_key; ","")&amp;IF(C473="","missing referrer_order; ","")&amp;IF(E473="","missing referrer_type; ","")&amp;IF(F473="","missing referral_origin_channel; ","")&amp;IF(H473="","missing referrer_name_snapshot; ","")&amp;IF(AND(A473="client",COUNTIF('الزبائن'!$A$6:$A$505,B473)=0),"client key not found; ","")&amp;IF(AND(A473="proposed_name",COUNTIF('أسماء مقترحة'!$A$6:$A$505,B473)=0),"proposed_name key not found; ",""))))</x:f>
      </x:c>
    </x:row>
    <x:row r="474">
      <x:c r="A474" s="251"/>
      <x:c r="B474" s="252"/>
      <x:c r="C474" s="253"/>
      <x:c r="D474" s="253"/>
      <x:c r="E474" s="253"/>
      <x:c r="F474" s="253"/>
      <x:c r="G474" s="252"/>
      <x:c r="H474" s="253"/>
      <x:c r="I474" s="272"/>
      <x:c r="J474" s="253"/>
      <x:c r="K474" s="252"/>
      <x:c r="L474" s="253"/>
      <x:c r="M474" s="253"/>
      <x:c r="N474" s="253"/>
      <x:c r="O474" s="253"/>
      <x:c r="P474" s="253" t="str">
        <x:f>IF(AND(A474="",B474="",H474=""),"",IF(OR(A474="",B474="",C474="",E474="",F474="",H474="",AND(A474="client",COUNTIF('الزبائن'!$A$6:$A$505,B474)=0),AND(A474="proposed_name",COUNTIF('أسماء مقترحة'!$A$6:$A$505,B474)=0)),"REVIEW","READY"))</x:f>
      </x:c>
      <x:c r="Q474" s="255" t="str">
        <x:f>IF(P474="","",IF(P474="READY","",TRIM(IF(A474="","missing entity_type; ","")&amp;IF(B474="","missing entity_key; ","")&amp;IF(C474="","missing referrer_order; ","")&amp;IF(E474="","missing referrer_type; ","")&amp;IF(F474="","missing referral_origin_channel; ","")&amp;IF(H474="","missing referrer_name_snapshot; ","")&amp;IF(AND(A474="client",COUNTIF('الزبائن'!$A$6:$A$505,B474)=0),"client key not found; ","")&amp;IF(AND(A474="proposed_name",COUNTIF('أسماء مقترحة'!$A$6:$A$505,B474)=0),"proposed_name key not found; ",""))))</x:f>
      </x:c>
    </x:row>
    <x:row r="475">
      <x:c r="A475" s="251"/>
      <x:c r="B475" s="252"/>
      <x:c r="C475" s="253"/>
      <x:c r="D475" s="253"/>
      <x:c r="E475" s="253"/>
      <x:c r="F475" s="253"/>
      <x:c r="G475" s="252"/>
      <x:c r="H475" s="253"/>
      <x:c r="I475" s="272"/>
      <x:c r="J475" s="253"/>
      <x:c r="K475" s="252"/>
      <x:c r="L475" s="253"/>
      <x:c r="M475" s="253"/>
      <x:c r="N475" s="253"/>
      <x:c r="O475" s="253"/>
      <x:c r="P475" s="253" t="str">
        <x:f>IF(AND(A475="",B475="",H475=""),"",IF(OR(A475="",B475="",C475="",E475="",F475="",H475="",AND(A475="client",COUNTIF('الزبائن'!$A$6:$A$505,B475)=0),AND(A475="proposed_name",COUNTIF('أسماء مقترحة'!$A$6:$A$505,B475)=0)),"REVIEW","READY"))</x:f>
      </x:c>
      <x:c r="Q475" s="255" t="str">
        <x:f>IF(P475="","",IF(P475="READY","",TRIM(IF(A475="","missing entity_type; ","")&amp;IF(B475="","missing entity_key; ","")&amp;IF(C475="","missing referrer_order; ","")&amp;IF(E475="","missing referrer_type; ","")&amp;IF(F475="","missing referral_origin_channel; ","")&amp;IF(H475="","missing referrer_name_snapshot; ","")&amp;IF(AND(A475="client",COUNTIF('الزبائن'!$A$6:$A$505,B475)=0),"client key not found; ","")&amp;IF(AND(A475="proposed_name",COUNTIF('أسماء مقترحة'!$A$6:$A$505,B475)=0),"proposed_name key not found; ",""))))</x:f>
      </x:c>
    </x:row>
    <x:row r="476">
      <x:c r="A476" s="251"/>
      <x:c r="B476" s="252"/>
      <x:c r="C476" s="253"/>
      <x:c r="D476" s="253"/>
      <x:c r="E476" s="253"/>
      <x:c r="F476" s="253"/>
      <x:c r="G476" s="252"/>
      <x:c r="H476" s="253"/>
      <x:c r="I476" s="272"/>
      <x:c r="J476" s="253"/>
      <x:c r="K476" s="252"/>
      <x:c r="L476" s="253"/>
      <x:c r="M476" s="253"/>
      <x:c r="N476" s="253"/>
      <x:c r="O476" s="253"/>
      <x:c r="P476" s="253" t="str">
        <x:f>IF(AND(A476="",B476="",H476=""),"",IF(OR(A476="",B476="",C476="",E476="",F476="",H476="",AND(A476="client",COUNTIF('الزبائن'!$A$6:$A$505,B476)=0),AND(A476="proposed_name",COUNTIF('أسماء مقترحة'!$A$6:$A$505,B476)=0)),"REVIEW","READY"))</x:f>
      </x:c>
      <x:c r="Q476" s="255" t="str">
        <x:f>IF(P476="","",IF(P476="READY","",TRIM(IF(A476="","missing entity_type; ","")&amp;IF(B476="","missing entity_key; ","")&amp;IF(C476="","missing referrer_order; ","")&amp;IF(E476="","missing referrer_type; ","")&amp;IF(F476="","missing referral_origin_channel; ","")&amp;IF(H476="","missing referrer_name_snapshot; ","")&amp;IF(AND(A476="client",COUNTIF('الزبائن'!$A$6:$A$505,B476)=0),"client key not found; ","")&amp;IF(AND(A476="proposed_name",COUNTIF('أسماء مقترحة'!$A$6:$A$505,B476)=0),"proposed_name key not found; ",""))))</x:f>
      </x:c>
    </x:row>
    <x:row r="477">
      <x:c r="A477" s="251"/>
      <x:c r="B477" s="252"/>
      <x:c r="C477" s="253"/>
      <x:c r="D477" s="253"/>
      <x:c r="E477" s="253"/>
      <x:c r="F477" s="253"/>
      <x:c r="G477" s="252"/>
      <x:c r="H477" s="253"/>
      <x:c r="I477" s="272"/>
      <x:c r="J477" s="253"/>
      <x:c r="K477" s="252"/>
      <x:c r="L477" s="253"/>
      <x:c r="M477" s="253"/>
      <x:c r="N477" s="253"/>
      <x:c r="O477" s="253"/>
      <x:c r="P477" s="253" t="str">
        <x:f>IF(AND(A477="",B477="",H477=""),"",IF(OR(A477="",B477="",C477="",E477="",F477="",H477="",AND(A477="client",COUNTIF('الزبائن'!$A$6:$A$505,B477)=0),AND(A477="proposed_name",COUNTIF('أسماء مقترحة'!$A$6:$A$505,B477)=0)),"REVIEW","READY"))</x:f>
      </x:c>
      <x:c r="Q477" s="255" t="str">
        <x:f>IF(P477="","",IF(P477="READY","",TRIM(IF(A477="","missing entity_type; ","")&amp;IF(B477="","missing entity_key; ","")&amp;IF(C477="","missing referrer_order; ","")&amp;IF(E477="","missing referrer_type; ","")&amp;IF(F477="","missing referral_origin_channel; ","")&amp;IF(H477="","missing referrer_name_snapshot; ","")&amp;IF(AND(A477="client",COUNTIF('الزبائن'!$A$6:$A$505,B477)=0),"client key not found; ","")&amp;IF(AND(A477="proposed_name",COUNTIF('أسماء مقترحة'!$A$6:$A$505,B477)=0),"proposed_name key not found; ",""))))</x:f>
      </x:c>
    </x:row>
    <x:row r="478">
      <x:c r="A478" s="251"/>
      <x:c r="B478" s="252"/>
      <x:c r="C478" s="253"/>
      <x:c r="D478" s="253"/>
      <x:c r="E478" s="253"/>
      <x:c r="F478" s="253"/>
      <x:c r="G478" s="252"/>
      <x:c r="H478" s="253"/>
      <x:c r="I478" s="272"/>
      <x:c r="J478" s="253"/>
      <x:c r="K478" s="252"/>
      <x:c r="L478" s="253"/>
      <x:c r="M478" s="253"/>
      <x:c r="N478" s="253"/>
      <x:c r="O478" s="253"/>
      <x:c r="P478" s="253" t="str">
        <x:f>IF(AND(A478="",B478="",H478=""),"",IF(OR(A478="",B478="",C478="",E478="",F478="",H478="",AND(A478="client",COUNTIF('الزبائن'!$A$6:$A$505,B478)=0),AND(A478="proposed_name",COUNTIF('أسماء مقترحة'!$A$6:$A$505,B478)=0)),"REVIEW","READY"))</x:f>
      </x:c>
      <x:c r="Q478" s="255" t="str">
        <x:f>IF(P478="","",IF(P478="READY","",TRIM(IF(A478="","missing entity_type; ","")&amp;IF(B478="","missing entity_key; ","")&amp;IF(C478="","missing referrer_order; ","")&amp;IF(E478="","missing referrer_type; ","")&amp;IF(F478="","missing referral_origin_channel; ","")&amp;IF(H478="","missing referrer_name_snapshot; ","")&amp;IF(AND(A478="client",COUNTIF('الزبائن'!$A$6:$A$505,B478)=0),"client key not found; ","")&amp;IF(AND(A478="proposed_name",COUNTIF('أسماء مقترحة'!$A$6:$A$505,B478)=0),"proposed_name key not found; ",""))))</x:f>
      </x:c>
    </x:row>
    <x:row r="479">
      <x:c r="A479" s="251"/>
      <x:c r="B479" s="252"/>
      <x:c r="C479" s="253"/>
      <x:c r="D479" s="253"/>
      <x:c r="E479" s="253"/>
      <x:c r="F479" s="253"/>
      <x:c r="G479" s="252"/>
      <x:c r="H479" s="253"/>
      <x:c r="I479" s="272"/>
      <x:c r="J479" s="253"/>
      <x:c r="K479" s="252"/>
      <x:c r="L479" s="253"/>
      <x:c r="M479" s="253"/>
      <x:c r="N479" s="253"/>
      <x:c r="O479" s="253"/>
      <x:c r="P479" s="253" t="str">
        <x:f>IF(AND(A479="",B479="",H479=""),"",IF(OR(A479="",B479="",C479="",E479="",F479="",H479="",AND(A479="client",COUNTIF('الزبائن'!$A$6:$A$505,B479)=0),AND(A479="proposed_name",COUNTIF('أسماء مقترحة'!$A$6:$A$505,B479)=0)),"REVIEW","READY"))</x:f>
      </x:c>
      <x:c r="Q479" s="255" t="str">
        <x:f>IF(P479="","",IF(P479="READY","",TRIM(IF(A479="","missing entity_type; ","")&amp;IF(B479="","missing entity_key; ","")&amp;IF(C479="","missing referrer_order; ","")&amp;IF(E479="","missing referrer_type; ","")&amp;IF(F479="","missing referral_origin_channel; ","")&amp;IF(H479="","missing referrer_name_snapshot; ","")&amp;IF(AND(A479="client",COUNTIF('الزبائن'!$A$6:$A$505,B479)=0),"client key not found; ","")&amp;IF(AND(A479="proposed_name",COUNTIF('أسماء مقترحة'!$A$6:$A$505,B479)=0),"proposed_name key not found; ",""))))</x:f>
      </x:c>
    </x:row>
    <x:row r="480">
      <x:c r="A480" s="251"/>
      <x:c r="B480" s="252"/>
      <x:c r="C480" s="253"/>
      <x:c r="D480" s="253"/>
      <x:c r="E480" s="253"/>
      <x:c r="F480" s="253"/>
      <x:c r="G480" s="252"/>
      <x:c r="H480" s="253"/>
      <x:c r="I480" s="272"/>
      <x:c r="J480" s="253"/>
      <x:c r="K480" s="252"/>
      <x:c r="L480" s="253"/>
      <x:c r="M480" s="253"/>
      <x:c r="N480" s="253"/>
      <x:c r="O480" s="253"/>
      <x:c r="P480" s="253" t="str">
        <x:f>IF(AND(A480="",B480="",H480=""),"",IF(OR(A480="",B480="",C480="",E480="",F480="",H480="",AND(A480="client",COUNTIF('الزبائن'!$A$6:$A$505,B480)=0),AND(A480="proposed_name",COUNTIF('أسماء مقترحة'!$A$6:$A$505,B480)=0)),"REVIEW","READY"))</x:f>
      </x:c>
      <x:c r="Q480" s="255" t="str">
        <x:f>IF(P480="","",IF(P480="READY","",TRIM(IF(A480="","missing entity_type; ","")&amp;IF(B480="","missing entity_key; ","")&amp;IF(C480="","missing referrer_order; ","")&amp;IF(E480="","missing referrer_type; ","")&amp;IF(F480="","missing referral_origin_channel; ","")&amp;IF(H480="","missing referrer_name_snapshot; ","")&amp;IF(AND(A480="client",COUNTIF('الزبائن'!$A$6:$A$505,B480)=0),"client key not found; ","")&amp;IF(AND(A480="proposed_name",COUNTIF('أسماء مقترحة'!$A$6:$A$505,B480)=0),"proposed_name key not found; ",""))))</x:f>
      </x:c>
    </x:row>
    <x:row r="481">
      <x:c r="A481" s="251"/>
      <x:c r="B481" s="252"/>
      <x:c r="C481" s="253"/>
      <x:c r="D481" s="253"/>
      <x:c r="E481" s="253"/>
      <x:c r="F481" s="253"/>
      <x:c r="G481" s="252"/>
      <x:c r="H481" s="253"/>
      <x:c r="I481" s="272"/>
      <x:c r="J481" s="253"/>
      <x:c r="K481" s="252"/>
      <x:c r="L481" s="253"/>
      <x:c r="M481" s="253"/>
      <x:c r="N481" s="253"/>
      <x:c r="O481" s="253"/>
      <x:c r="P481" s="253" t="str">
        <x:f>IF(AND(A481="",B481="",H481=""),"",IF(OR(A481="",B481="",C481="",E481="",F481="",H481="",AND(A481="client",COUNTIF('الزبائن'!$A$6:$A$505,B481)=0),AND(A481="proposed_name",COUNTIF('أسماء مقترحة'!$A$6:$A$505,B481)=0)),"REVIEW","READY"))</x:f>
      </x:c>
      <x:c r="Q481" s="255" t="str">
        <x:f>IF(P481="","",IF(P481="READY","",TRIM(IF(A481="","missing entity_type; ","")&amp;IF(B481="","missing entity_key; ","")&amp;IF(C481="","missing referrer_order; ","")&amp;IF(E481="","missing referrer_type; ","")&amp;IF(F481="","missing referral_origin_channel; ","")&amp;IF(H481="","missing referrer_name_snapshot; ","")&amp;IF(AND(A481="client",COUNTIF('الزبائن'!$A$6:$A$505,B481)=0),"client key not found; ","")&amp;IF(AND(A481="proposed_name",COUNTIF('أسماء مقترحة'!$A$6:$A$505,B481)=0),"proposed_name key not found; ",""))))</x:f>
      </x:c>
    </x:row>
    <x:row r="482">
      <x:c r="A482" s="251"/>
      <x:c r="B482" s="252"/>
      <x:c r="C482" s="253"/>
      <x:c r="D482" s="253"/>
      <x:c r="E482" s="253"/>
      <x:c r="F482" s="253"/>
      <x:c r="G482" s="252"/>
      <x:c r="H482" s="253"/>
      <x:c r="I482" s="272"/>
      <x:c r="J482" s="253"/>
      <x:c r="K482" s="252"/>
      <x:c r="L482" s="253"/>
      <x:c r="M482" s="253"/>
      <x:c r="N482" s="253"/>
      <x:c r="O482" s="253"/>
      <x:c r="P482" s="253" t="str">
        <x:f>IF(AND(A482="",B482="",H482=""),"",IF(OR(A482="",B482="",C482="",E482="",F482="",H482="",AND(A482="client",COUNTIF('الزبائن'!$A$6:$A$505,B482)=0),AND(A482="proposed_name",COUNTIF('أسماء مقترحة'!$A$6:$A$505,B482)=0)),"REVIEW","READY"))</x:f>
      </x:c>
      <x:c r="Q482" s="255" t="str">
        <x:f>IF(P482="","",IF(P482="READY","",TRIM(IF(A482="","missing entity_type; ","")&amp;IF(B482="","missing entity_key; ","")&amp;IF(C482="","missing referrer_order; ","")&amp;IF(E482="","missing referrer_type; ","")&amp;IF(F482="","missing referral_origin_channel; ","")&amp;IF(H482="","missing referrer_name_snapshot; ","")&amp;IF(AND(A482="client",COUNTIF('الزبائن'!$A$6:$A$505,B482)=0),"client key not found; ","")&amp;IF(AND(A482="proposed_name",COUNTIF('أسماء مقترحة'!$A$6:$A$505,B482)=0),"proposed_name key not found; ",""))))</x:f>
      </x:c>
    </x:row>
    <x:row r="483">
      <x:c r="A483" s="251"/>
      <x:c r="B483" s="252"/>
      <x:c r="C483" s="253"/>
      <x:c r="D483" s="253"/>
      <x:c r="E483" s="253"/>
      <x:c r="F483" s="253"/>
      <x:c r="G483" s="252"/>
      <x:c r="H483" s="253"/>
      <x:c r="I483" s="272"/>
      <x:c r="J483" s="253"/>
      <x:c r="K483" s="252"/>
      <x:c r="L483" s="253"/>
      <x:c r="M483" s="253"/>
      <x:c r="N483" s="253"/>
      <x:c r="O483" s="253"/>
      <x:c r="P483" s="253" t="str">
        <x:f>IF(AND(A483="",B483="",H483=""),"",IF(OR(A483="",B483="",C483="",E483="",F483="",H483="",AND(A483="client",COUNTIF('الزبائن'!$A$6:$A$505,B483)=0),AND(A483="proposed_name",COUNTIF('أسماء مقترحة'!$A$6:$A$505,B483)=0)),"REVIEW","READY"))</x:f>
      </x:c>
      <x:c r="Q483" s="255" t="str">
        <x:f>IF(P483="","",IF(P483="READY","",TRIM(IF(A483="","missing entity_type; ","")&amp;IF(B483="","missing entity_key; ","")&amp;IF(C483="","missing referrer_order; ","")&amp;IF(E483="","missing referrer_type; ","")&amp;IF(F483="","missing referral_origin_channel; ","")&amp;IF(H483="","missing referrer_name_snapshot; ","")&amp;IF(AND(A483="client",COUNTIF('الزبائن'!$A$6:$A$505,B483)=0),"client key not found; ","")&amp;IF(AND(A483="proposed_name",COUNTIF('أسماء مقترحة'!$A$6:$A$505,B483)=0),"proposed_name key not found; ",""))))</x:f>
      </x:c>
    </x:row>
    <x:row r="484">
      <x:c r="A484" s="251"/>
      <x:c r="B484" s="252"/>
      <x:c r="C484" s="253"/>
      <x:c r="D484" s="253"/>
      <x:c r="E484" s="253"/>
      <x:c r="F484" s="253"/>
      <x:c r="G484" s="252"/>
      <x:c r="H484" s="253"/>
      <x:c r="I484" s="272"/>
      <x:c r="J484" s="253"/>
      <x:c r="K484" s="252"/>
      <x:c r="L484" s="253"/>
      <x:c r="M484" s="253"/>
      <x:c r="N484" s="253"/>
      <x:c r="O484" s="253"/>
      <x:c r="P484" s="253" t="str">
        <x:f>IF(AND(A484="",B484="",H484=""),"",IF(OR(A484="",B484="",C484="",E484="",F484="",H484="",AND(A484="client",COUNTIF('الزبائن'!$A$6:$A$505,B484)=0),AND(A484="proposed_name",COUNTIF('أسماء مقترحة'!$A$6:$A$505,B484)=0)),"REVIEW","READY"))</x:f>
      </x:c>
      <x:c r="Q484" s="255" t="str">
        <x:f>IF(P484="","",IF(P484="READY","",TRIM(IF(A484="","missing entity_type; ","")&amp;IF(B484="","missing entity_key; ","")&amp;IF(C484="","missing referrer_order; ","")&amp;IF(E484="","missing referrer_type; ","")&amp;IF(F484="","missing referral_origin_channel; ","")&amp;IF(H484="","missing referrer_name_snapshot; ","")&amp;IF(AND(A484="client",COUNTIF('الزبائن'!$A$6:$A$505,B484)=0),"client key not found; ","")&amp;IF(AND(A484="proposed_name",COUNTIF('أسماء مقترحة'!$A$6:$A$505,B484)=0),"proposed_name key not found; ",""))))</x:f>
      </x:c>
    </x:row>
    <x:row r="485">
      <x:c r="A485" s="251"/>
      <x:c r="B485" s="252"/>
      <x:c r="C485" s="253"/>
      <x:c r="D485" s="253"/>
      <x:c r="E485" s="253"/>
      <x:c r="F485" s="253"/>
      <x:c r="G485" s="252"/>
      <x:c r="H485" s="253"/>
      <x:c r="I485" s="272"/>
      <x:c r="J485" s="253"/>
      <x:c r="K485" s="252"/>
      <x:c r="L485" s="253"/>
      <x:c r="M485" s="253"/>
      <x:c r="N485" s="253"/>
      <x:c r="O485" s="253"/>
      <x:c r="P485" s="253" t="str">
        <x:f>IF(AND(A485="",B485="",H485=""),"",IF(OR(A485="",B485="",C485="",E485="",F485="",H485="",AND(A485="client",COUNTIF('الزبائن'!$A$6:$A$505,B485)=0),AND(A485="proposed_name",COUNTIF('أسماء مقترحة'!$A$6:$A$505,B485)=0)),"REVIEW","READY"))</x:f>
      </x:c>
      <x:c r="Q485" s="255" t="str">
        <x:f>IF(P485="","",IF(P485="READY","",TRIM(IF(A485="","missing entity_type; ","")&amp;IF(B485="","missing entity_key; ","")&amp;IF(C485="","missing referrer_order; ","")&amp;IF(E485="","missing referrer_type; ","")&amp;IF(F485="","missing referral_origin_channel; ","")&amp;IF(H485="","missing referrer_name_snapshot; ","")&amp;IF(AND(A485="client",COUNTIF('الزبائن'!$A$6:$A$505,B485)=0),"client key not found; ","")&amp;IF(AND(A485="proposed_name",COUNTIF('أسماء مقترحة'!$A$6:$A$505,B485)=0),"proposed_name key not found; ",""))))</x:f>
      </x:c>
    </x:row>
    <x:row r="486">
      <x:c r="A486" s="251"/>
      <x:c r="B486" s="252"/>
      <x:c r="C486" s="253"/>
      <x:c r="D486" s="253"/>
      <x:c r="E486" s="253"/>
      <x:c r="F486" s="253"/>
      <x:c r="G486" s="252"/>
      <x:c r="H486" s="253"/>
      <x:c r="I486" s="272"/>
      <x:c r="J486" s="253"/>
      <x:c r="K486" s="252"/>
      <x:c r="L486" s="253"/>
      <x:c r="M486" s="253"/>
      <x:c r="N486" s="253"/>
      <x:c r="O486" s="253"/>
      <x:c r="P486" s="253" t="str">
        <x:f>IF(AND(A486="",B486="",H486=""),"",IF(OR(A486="",B486="",C486="",E486="",F486="",H486="",AND(A486="client",COUNTIF('الزبائن'!$A$6:$A$505,B486)=0),AND(A486="proposed_name",COUNTIF('أسماء مقترحة'!$A$6:$A$505,B486)=0)),"REVIEW","READY"))</x:f>
      </x:c>
      <x:c r="Q486" s="255" t="str">
        <x:f>IF(P486="","",IF(P486="READY","",TRIM(IF(A486="","missing entity_type; ","")&amp;IF(B486="","missing entity_key; ","")&amp;IF(C486="","missing referrer_order; ","")&amp;IF(E486="","missing referrer_type; ","")&amp;IF(F486="","missing referral_origin_channel; ","")&amp;IF(H486="","missing referrer_name_snapshot; ","")&amp;IF(AND(A486="client",COUNTIF('الزبائن'!$A$6:$A$505,B486)=0),"client key not found; ","")&amp;IF(AND(A486="proposed_name",COUNTIF('أسماء مقترحة'!$A$6:$A$505,B486)=0),"proposed_name key not found; ",""))))</x:f>
      </x:c>
    </x:row>
    <x:row r="487">
      <x:c r="A487" s="251"/>
      <x:c r="B487" s="252"/>
      <x:c r="C487" s="253"/>
      <x:c r="D487" s="253"/>
      <x:c r="E487" s="253"/>
      <x:c r="F487" s="253"/>
      <x:c r="G487" s="252"/>
      <x:c r="H487" s="253"/>
      <x:c r="I487" s="272"/>
      <x:c r="J487" s="253"/>
      <x:c r="K487" s="252"/>
      <x:c r="L487" s="253"/>
      <x:c r="M487" s="253"/>
      <x:c r="N487" s="253"/>
      <x:c r="O487" s="253"/>
      <x:c r="P487" s="253" t="str">
        <x:f>IF(AND(A487="",B487="",H487=""),"",IF(OR(A487="",B487="",C487="",E487="",F487="",H487="",AND(A487="client",COUNTIF('الزبائن'!$A$6:$A$505,B487)=0),AND(A487="proposed_name",COUNTIF('أسماء مقترحة'!$A$6:$A$505,B487)=0)),"REVIEW","READY"))</x:f>
      </x:c>
      <x:c r="Q487" s="255" t="str">
        <x:f>IF(P487="","",IF(P487="READY","",TRIM(IF(A487="","missing entity_type; ","")&amp;IF(B487="","missing entity_key; ","")&amp;IF(C487="","missing referrer_order; ","")&amp;IF(E487="","missing referrer_type; ","")&amp;IF(F487="","missing referral_origin_channel; ","")&amp;IF(H487="","missing referrer_name_snapshot; ","")&amp;IF(AND(A487="client",COUNTIF('الزبائن'!$A$6:$A$505,B487)=0),"client key not found; ","")&amp;IF(AND(A487="proposed_name",COUNTIF('أسماء مقترحة'!$A$6:$A$505,B487)=0),"proposed_name key not found; ",""))))</x:f>
      </x:c>
    </x:row>
    <x:row r="488">
      <x:c r="A488" s="251"/>
      <x:c r="B488" s="252"/>
      <x:c r="C488" s="253"/>
      <x:c r="D488" s="253"/>
      <x:c r="E488" s="253"/>
      <x:c r="F488" s="253"/>
      <x:c r="G488" s="252"/>
      <x:c r="H488" s="253"/>
      <x:c r="I488" s="272"/>
      <x:c r="J488" s="253"/>
      <x:c r="K488" s="252"/>
      <x:c r="L488" s="253"/>
      <x:c r="M488" s="253"/>
      <x:c r="N488" s="253"/>
      <x:c r="O488" s="253"/>
      <x:c r="P488" s="253" t="str">
        <x:f>IF(AND(A488="",B488="",H488=""),"",IF(OR(A488="",B488="",C488="",E488="",F488="",H488="",AND(A488="client",COUNTIF('الزبائن'!$A$6:$A$505,B488)=0),AND(A488="proposed_name",COUNTIF('أسماء مقترحة'!$A$6:$A$505,B488)=0)),"REVIEW","READY"))</x:f>
      </x:c>
      <x:c r="Q488" s="255" t="str">
        <x:f>IF(P488="","",IF(P488="READY","",TRIM(IF(A488="","missing entity_type; ","")&amp;IF(B488="","missing entity_key; ","")&amp;IF(C488="","missing referrer_order; ","")&amp;IF(E488="","missing referrer_type; ","")&amp;IF(F488="","missing referral_origin_channel; ","")&amp;IF(H488="","missing referrer_name_snapshot; ","")&amp;IF(AND(A488="client",COUNTIF('الزبائن'!$A$6:$A$505,B488)=0),"client key not found; ","")&amp;IF(AND(A488="proposed_name",COUNTIF('أسماء مقترحة'!$A$6:$A$505,B488)=0),"proposed_name key not found; ",""))))</x:f>
      </x:c>
    </x:row>
    <x:row r="489">
      <x:c r="A489" s="251"/>
      <x:c r="B489" s="252"/>
      <x:c r="C489" s="253"/>
      <x:c r="D489" s="253"/>
      <x:c r="E489" s="253"/>
      <x:c r="F489" s="253"/>
      <x:c r="G489" s="252"/>
      <x:c r="H489" s="253"/>
      <x:c r="I489" s="272"/>
      <x:c r="J489" s="253"/>
      <x:c r="K489" s="252"/>
      <x:c r="L489" s="253"/>
      <x:c r="M489" s="253"/>
      <x:c r="N489" s="253"/>
      <x:c r="O489" s="253"/>
      <x:c r="P489" s="253" t="str">
        <x:f>IF(AND(A489="",B489="",H489=""),"",IF(OR(A489="",B489="",C489="",E489="",F489="",H489="",AND(A489="client",COUNTIF('الزبائن'!$A$6:$A$505,B489)=0),AND(A489="proposed_name",COUNTIF('أسماء مقترحة'!$A$6:$A$505,B489)=0)),"REVIEW","READY"))</x:f>
      </x:c>
      <x:c r="Q489" s="255" t="str">
        <x:f>IF(P489="","",IF(P489="READY","",TRIM(IF(A489="","missing entity_type; ","")&amp;IF(B489="","missing entity_key; ","")&amp;IF(C489="","missing referrer_order; ","")&amp;IF(E489="","missing referrer_type; ","")&amp;IF(F489="","missing referral_origin_channel; ","")&amp;IF(H489="","missing referrer_name_snapshot; ","")&amp;IF(AND(A489="client",COUNTIF('الزبائن'!$A$6:$A$505,B489)=0),"client key not found; ","")&amp;IF(AND(A489="proposed_name",COUNTIF('أسماء مقترحة'!$A$6:$A$505,B489)=0),"proposed_name key not found; ",""))))</x:f>
      </x:c>
    </x:row>
    <x:row r="490">
      <x:c r="A490" s="251"/>
      <x:c r="B490" s="252"/>
      <x:c r="C490" s="253"/>
      <x:c r="D490" s="253"/>
      <x:c r="E490" s="253"/>
      <x:c r="F490" s="253"/>
      <x:c r="G490" s="252"/>
      <x:c r="H490" s="253"/>
      <x:c r="I490" s="272"/>
      <x:c r="J490" s="253"/>
      <x:c r="K490" s="252"/>
      <x:c r="L490" s="253"/>
      <x:c r="M490" s="253"/>
      <x:c r="N490" s="253"/>
      <x:c r="O490" s="253"/>
      <x:c r="P490" s="253" t="str">
        <x:f>IF(AND(A490="",B490="",H490=""),"",IF(OR(A490="",B490="",C490="",E490="",F490="",H490="",AND(A490="client",COUNTIF('الزبائن'!$A$6:$A$505,B490)=0),AND(A490="proposed_name",COUNTIF('أسماء مقترحة'!$A$6:$A$505,B490)=0)),"REVIEW","READY"))</x:f>
      </x:c>
      <x:c r="Q490" s="255" t="str">
        <x:f>IF(P490="","",IF(P490="READY","",TRIM(IF(A490="","missing entity_type; ","")&amp;IF(B490="","missing entity_key; ","")&amp;IF(C490="","missing referrer_order; ","")&amp;IF(E490="","missing referrer_type; ","")&amp;IF(F490="","missing referral_origin_channel; ","")&amp;IF(H490="","missing referrer_name_snapshot; ","")&amp;IF(AND(A490="client",COUNTIF('الزبائن'!$A$6:$A$505,B490)=0),"client key not found; ","")&amp;IF(AND(A490="proposed_name",COUNTIF('أسماء مقترحة'!$A$6:$A$505,B490)=0),"proposed_name key not found; ",""))))</x:f>
      </x:c>
    </x:row>
    <x:row r="491">
      <x:c r="A491" s="251"/>
      <x:c r="B491" s="252"/>
      <x:c r="C491" s="253"/>
      <x:c r="D491" s="253"/>
      <x:c r="E491" s="253"/>
      <x:c r="F491" s="253"/>
      <x:c r="G491" s="252"/>
      <x:c r="H491" s="253"/>
      <x:c r="I491" s="272"/>
      <x:c r="J491" s="253"/>
      <x:c r="K491" s="252"/>
      <x:c r="L491" s="253"/>
      <x:c r="M491" s="253"/>
      <x:c r="N491" s="253"/>
      <x:c r="O491" s="253"/>
      <x:c r="P491" s="253" t="str">
        <x:f>IF(AND(A491="",B491="",H491=""),"",IF(OR(A491="",B491="",C491="",E491="",F491="",H491="",AND(A491="client",COUNTIF('الزبائن'!$A$6:$A$505,B491)=0),AND(A491="proposed_name",COUNTIF('أسماء مقترحة'!$A$6:$A$505,B491)=0)),"REVIEW","READY"))</x:f>
      </x:c>
      <x:c r="Q491" s="255" t="str">
        <x:f>IF(P491="","",IF(P491="READY","",TRIM(IF(A491="","missing entity_type; ","")&amp;IF(B491="","missing entity_key; ","")&amp;IF(C491="","missing referrer_order; ","")&amp;IF(E491="","missing referrer_type; ","")&amp;IF(F491="","missing referral_origin_channel; ","")&amp;IF(H491="","missing referrer_name_snapshot; ","")&amp;IF(AND(A491="client",COUNTIF('الزبائن'!$A$6:$A$505,B491)=0),"client key not found; ","")&amp;IF(AND(A491="proposed_name",COUNTIF('أسماء مقترحة'!$A$6:$A$505,B491)=0),"proposed_name key not found; ",""))))</x:f>
      </x:c>
    </x:row>
    <x:row r="492">
      <x:c r="A492" s="251"/>
      <x:c r="B492" s="252"/>
      <x:c r="C492" s="253"/>
      <x:c r="D492" s="253"/>
      <x:c r="E492" s="253"/>
      <x:c r="F492" s="253"/>
      <x:c r="G492" s="252"/>
      <x:c r="H492" s="253"/>
      <x:c r="I492" s="272"/>
      <x:c r="J492" s="253"/>
      <x:c r="K492" s="252"/>
      <x:c r="L492" s="253"/>
      <x:c r="M492" s="253"/>
      <x:c r="N492" s="253"/>
      <x:c r="O492" s="253"/>
      <x:c r="P492" s="253" t="str">
        <x:f>IF(AND(A492="",B492="",H492=""),"",IF(OR(A492="",B492="",C492="",E492="",F492="",H492="",AND(A492="client",COUNTIF('الزبائن'!$A$6:$A$505,B492)=0),AND(A492="proposed_name",COUNTIF('أسماء مقترحة'!$A$6:$A$505,B492)=0)),"REVIEW","READY"))</x:f>
      </x:c>
      <x:c r="Q492" s="255" t="str">
        <x:f>IF(P492="","",IF(P492="READY","",TRIM(IF(A492="","missing entity_type; ","")&amp;IF(B492="","missing entity_key; ","")&amp;IF(C492="","missing referrer_order; ","")&amp;IF(E492="","missing referrer_type; ","")&amp;IF(F492="","missing referral_origin_channel; ","")&amp;IF(H492="","missing referrer_name_snapshot; ","")&amp;IF(AND(A492="client",COUNTIF('الزبائن'!$A$6:$A$505,B492)=0),"client key not found; ","")&amp;IF(AND(A492="proposed_name",COUNTIF('أسماء مقترحة'!$A$6:$A$505,B492)=0),"proposed_name key not found; ",""))))</x:f>
      </x:c>
    </x:row>
    <x:row r="493">
      <x:c r="A493" s="251"/>
      <x:c r="B493" s="252"/>
      <x:c r="C493" s="253"/>
      <x:c r="D493" s="253"/>
      <x:c r="E493" s="253"/>
      <x:c r="F493" s="253"/>
      <x:c r="G493" s="252"/>
      <x:c r="H493" s="253"/>
      <x:c r="I493" s="272"/>
      <x:c r="J493" s="253"/>
      <x:c r="K493" s="252"/>
      <x:c r="L493" s="253"/>
      <x:c r="M493" s="253"/>
      <x:c r="N493" s="253"/>
      <x:c r="O493" s="253"/>
      <x:c r="P493" s="253" t="str">
        <x:f>IF(AND(A493="",B493="",H493=""),"",IF(OR(A493="",B493="",C493="",E493="",F493="",H493="",AND(A493="client",COUNTIF('الزبائن'!$A$6:$A$505,B493)=0),AND(A493="proposed_name",COUNTIF('أسماء مقترحة'!$A$6:$A$505,B493)=0)),"REVIEW","READY"))</x:f>
      </x:c>
      <x:c r="Q493" s="255" t="str">
        <x:f>IF(P493="","",IF(P493="READY","",TRIM(IF(A493="","missing entity_type; ","")&amp;IF(B493="","missing entity_key; ","")&amp;IF(C493="","missing referrer_order; ","")&amp;IF(E493="","missing referrer_type; ","")&amp;IF(F493="","missing referral_origin_channel; ","")&amp;IF(H493="","missing referrer_name_snapshot; ","")&amp;IF(AND(A493="client",COUNTIF('الزبائن'!$A$6:$A$505,B493)=0),"client key not found; ","")&amp;IF(AND(A493="proposed_name",COUNTIF('أسماء مقترحة'!$A$6:$A$505,B493)=0),"proposed_name key not found; ",""))))</x:f>
      </x:c>
    </x:row>
    <x:row r="494">
      <x:c r="A494" s="251"/>
      <x:c r="B494" s="252"/>
      <x:c r="C494" s="253"/>
      <x:c r="D494" s="253"/>
      <x:c r="E494" s="253"/>
      <x:c r="F494" s="253"/>
      <x:c r="G494" s="252"/>
      <x:c r="H494" s="253"/>
      <x:c r="I494" s="272"/>
      <x:c r="J494" s="253"/>
      <x:c r="K494" s="252"/>
      <x:c r="L494" s="253"/>
      <x:c r="M494" s="253"/>
      <x:c r="N494" s="253"/>
      <x:c r="O494" s="253"/>
      <x:c r="P494" s="253" t="str">
        <x:f>IF(AND(A494="",B494="",H494=""),"",IF(OR(A494="",B494="",C494="",E494="",F494="",H494="",AND(A494="client",COUNTIF('الزبائن'!$A$6:$A$505,B494)=0),AND(A494="proposed_name",COUNTIF('أسماء مقترحة'!$A$6:$A$505,B494)=0)),"REVIEW","READY"))</x:f>
      </x:c>
      <x:c r="Q494" s="255" t="str">
        <x:f>IF(P494="","",IF(P494="READY","",TRIM(IF(A494="","missing entity_type; ","")&amp;IF(B494="","missing entity_key; ","")&amp;IF(C494="","missing referrer_order; ","")&amp;IF(E494="","missing referrer_type; ","")&amp;IF(F494="","missing referral_origin_channel; ","")&amp;IF(H494="","missing referrer_name_snapshot; ","")&amp;IF(AND(A494="client",COUNTIF('الزبائن'!$A$6:$A$505,B494)=0),"client key not found; ","")&amp;IF(AND(A494="proposed_name",COUNTIF('أسماء مقترحة'!$A$6:$A$505,B494)=0),"proposed_name key not found; ",""))))</x:f>
      </x:c>
    </x:row>
    <x:row r="495">
      <x:c r="A495" s="251"/>
      <x:c r="B495" s="252"/>
      <x:c r="C495" s="253"/>
      <x:c r="D495" s="253"/>
      <x:c r="E495" s="253"/>
      <x:c r="F495" s="253"/>
      <x:c r="G495" s="252"/>
      <x:c r="H495" s="253"/>
      <x:c r="I495" s="272"/>
      <x:c r="J495" s="253"/>
      <x:c r="K495" s="252"/>
      <x:c r="L495" s="253"/>
      <x:c r="M495" s="253"/>
      <x:c r="N495" s="253"/>
      <x:c r="O495" s="253"/>
      <x:c r="P495" s="253" t="str">
        <x:f>IF(AND(A495="",B495="",H495=""),"",IF(OR(A495="",B495="",C495="",E495="",F495="",H495="",AND(A495="client",COUNTIF('الزبائن'!$A$6:$A$505,B495)=0),AND(A495="proposed_name",COUNTIF('أسماء مقترحة'!$A$6:$A$505,B495)=0)),"REVIEW","READY"))</x:f>
      </x:c>
      <x:c r="Q495" s="255" t="str">
        <x:f>IF(P495="","",IF(P495="READY","",TRIM(IF(A495="","missing entity_type; ","")&amp;IF(B495="","missing entity_key; ","")&amp;IF(C495="","missing referrer_order; ","")&amp;IF(E495="","missing referrer_type; ","")&amp;IF(F495="","missing referral_origin_channel; ","")&amp;IF(H495="","missing referrer_name_snapshot; ","")&amp;IF(AND(A495="client",COUNTIF('الزبائن'!$A$6:$A$505,B495)=0),"client key not found; ","")&amp;IF(AND(A495="proposed_name",COUNTIF('أسماء مقترحة'!$A$6:$A$505,B495)=0),"proposed_name key not found; ",""))))</x:f>
      </x:c>
    </x:row>
    <x:row r="496">
      <x:c r="A496" s="251"/>
      <x:c r="B496" s="252"/>
      <x:c r="C496" s="253"/>
      <x:c r="D496" s="253"/>
      <x:c r="E496" s="253"/>
      <x:c r="F496" s="253"/>
      <x:c r="G496" s="252"/>
      <x:c r="H496" s="253"/>
      <x:c r="I496" s="272"/>
      <x:c r="J496" s="253"/>
      <x:c r="K496" s="252"/>
      <x:c r="L496" s="253"/>
      <x:c r="M496" s="253"/>
      <x:c r="N496" s="253"/>
      <x:c r="O496" s="253"/>
      <x:c r="P496" s="253" t="str">
        <x:f>IF(AND(A496="",B496="",H496=""),"",IF(OR(A496="",B496="",C496="",E496="",F496="",H496="",AND(A496="client",COUNTIF('الزبائن'!$A$6:$A$505,B496)=0),AND(A496="proposed_name",COUNTIF('أسماء مقترحة'!$A$6:$A$505,B496)=0)),"REVIEW","READY"))</x:f>
      </x:c>
      <x:c r="Q496" s="255" t="str">
        <x:f>IF(P496="","",IF(P496="READY","",TRIM(IF(A496="","missing entity_type; ","")&amp;IF(B496="","missing entity_key; ","")&amp;IF(C496="","missing referrer_order; ","")&amp;IF(E496="","missing referrer_type; ","")&amp;IF(F496="","missing referral_origin_channel; ","")&amp;IF(H496="","missing referrer_name_snapshot; ","")&amp;IF(AND(A496="client",COUNTIF('الزبائن'!$A$6:$A$505,B496)=0),"client key not found; ","")&amp;IF(AND(A496="proposed_name",COUNTIF('أسماء مقترحة'!$A$6:$A$505,B496)=0),"proposed_name key not found; ",""))))</x:f>
      </x:c>
    </x:row>
    <x:row r="497">
      <x:c r="A497" s="251"/>
      <x:c r="B497" s="252"/>
      <x:c r="C497" s="253"/>
      <x:c r="D497" s="253"/>
      <x:c r="E497" s="253"/>
      <x:c r="F497" s="253"/>
      <x:c r="G497" s="252"/>
      <x:c r="H497" s="253"/>
      <x:c r="I497" s="272"/>
      <x:c r="J497" s="253"/>
      <x:c r="K497" s="252"/>
      <x:c r="L497" s="253"/>
      <x:c r="M497" s="253"/>
      <x:c r="N497" s="253"/>
      <x:c r="O497" s="253"/>
      <x:c r="P497" s="253" t="str">
        <x:f>IF(AND(A497="",B497="",H497=""),"",IF(OR(A497="",B497="",C497="",E497="",F497="",H497="",AND(A497="client",COUNTIF('الزبائن'!$A$6:$A$505,B497)=0),AND(A497="proposed_name",COUNTIF('أسماء مقترحة'!$A$6:$A$505,B497)=0)),"REVIEW","READY"))</x:f>
      </x:c>
      <x:c r="Q497" s="255" t="str">
        <x:f>IF(P497="","",IF(P497="READY","",TRIM(IF(A497="","missing entity_type; ","")&amp;IF(B497="","missing entity_key; ","")&amp;IF(C497="","missing referrer_order; ","")&amp;IF(E497="","missing referrer_type; ","")&amp;IF(F497="","missing referral_origin_channel; ","")&amp;IF(H497="","missing referrer_name_snapshot; ","")&amp;IF(AND(A497="client",COUNTIF('الزبائن'!$A$6:$A$505,B497)=0),"client key not found; ","")&amp;IF(AND(A497="proposed_name",COUNTIF('أسماء مقترحة'!$A$6:$A$505,B497)=0),"proposed_name key not found; ",""))))</x:f>
      </x:c>
    </x:row>
    <x:row r="498">
      <x:c r="A498" s="251"/>
      <x:c r="B498" s="252"/>
      <x:c r="C498" s="253"/>
      <x:c r="D498" s="253"/>
      <x:c r="E498" s="253"/>
      <x:c r="F498" s="253"/>
      <x:c r="G498" s="252"/>
      <x:c r="H498" s="253"/>
      <x:c r="I498" s="272"/>
      <x:c r="J498" s="253"/>
      <x:c r="K498" s="252"/>
      <x:c r="L498" s="253"/>
      <x:c r="M498" s="253"/>
      <x:c r="N498" s="253"/>
      <x:c r="O498" s="253"/>
      <x:c r="P498" s="253" t="str">
        <x:f>IF(AND(A498="",B498="",H498=""),"",IF(OR(A498="",B498="",C498="",E498="",F498="",H498="",AND(A498="client",COUNTIF('الزبائن'!$A$6:$A$505,B498)=0),AND(A498="proposed_name",COUNTIF('أسماء مقترحة'!$A$6:$A$505,B498)=0)),"REVIEW","READY"))</x:f>
      </x:c>
      <x:c r="Q498" s="255" t="str">
        <x:f>IF(P498="","",IF(P498="READY","",TRIM(IF(A498="","missing entity_type; ","")&amp;IF(B498="","missing entity_key; ","")&amp;IF(C498="","missing referrer_order; ","")&amp;IF(E498="","missing referrer_type; ","")&amp;IF(F498="","missing referral_origin_channel; ","")&amp;IF(H498="","missing referrer_name_snapshot; ","")&amp;IF(AND(A498="client",COUNTIF('الزبائن'!$A$6:$A$505,B498)=0),"client key not found; ","")&amp;IF(AND(A498="proposed_name",COUNTIF('أسماء مقترحة'!$A$6:$A$505,B498)=0),"proposed_name key not found; ",""))))</x:f>
      </x:c>
    </x:row>
    <x:row r="499">
      <x:c r="A499" s="251"/>
      <x:c r="B499" s="252"/>
      <x:c r="C499" s="253"/>
      <x:c r="D499" s="253"/>
      <x:c r="E499" s="253"/>
      <x:c r="F499" s="253"/>
      <x:c r="G499" s="252"/>
      <x:c r="H499" s="253"/>
      <x:c r="I499" s="272"/>
      <x:c r="J499" s="253"/>
      <x:c r="K499" s="252"/>
      <x:c r="L499" s="253"/>
      <x:c r="M499" s="253"/>
      <x:c r="N499" s="253"/>
      <x:c r="O499" s="253"/>
      <x:c r="P499" s="253" t="str">
        <x:f>IF(AND(A499="",B499="",H499=""),"",IF(OR(A499="",B499="",C499="",E499="",F499="",H499="",AND(A499="client",COUNTIF('الزبائن'!$A$6:$A$505,B499)=0),AND(A499="proposed_name",COUNTIF('أسماء مقترحة'!$A$6:$A$505,B499)=0)),"REVIEW","READY"))</x:f>
      </x:c>
      <x:c r="Q499" s="255" t="str">
        <x:f>IF(P499="","",IF(P499="READY","",TRIM(IF(A499="","missing entity_type; ","")&amp;IF(B499="","missing entity_key; ","")&amp;IF(C499="","missing referrer_order; ","")&amp;IF(E499="","missing referrer_type; ","")&amp;IF(F499="","missing referral_origin_channel; ","")&amp;IF(H499="","missing referrer_name_snapshot; ","")&amp;IF(AND(A499="client",COUNTIF('الزبائن'!$A$6:$A$505,B499)=0),"client key not found; ","")&amp;IF(AND(A499="proposed_name",COUNTIF('أسماء مقترحة'!$A$6:$A$505,B499)=0),"proposed_name key not found; ",""))))</x:f>
      </x:c>
    </x:row>
    <x:row r="500">
      <x:c r="A500" s="251"/>
      <x:c r="B500" s="252"/>
      <x:c r="C500" s="253"/>
      <x:c r="D500" s="253"/>
      <x:c r="E500" s="253"/>
      <x:c r="F500" s="253"/>
      <x:c r="G500" s="252"/>
      <x:c r="H500" s="253"/>
      <x:c r="I500" s="272"/>
      <x:c r="J500" s="253"/>
      <x:c r="K500" s="252"/>
      <x:c r="L500" s="253"/>
      <x:c r="M500" s="253"/>
      <x:c r="N500" s="253"/>
      <x:c r="O500" s="253"/>
      <x:c r="P500" s="253" t="str">
        <x:f>IF(AND(A500="",B500="",H500=""),"",IF(OR(A500="",B500="",C500="",E500="",F500="",H500="",AND(A500="client",COUNTIF('الزبائن'!$A$6:$A$505,B500)=0),AND(A500="proposed_name",COUNTIF('أسماء مقترحة'!$A$6:$A$505,B500)=0)),"REVIEW","READY"))</x:f>
      </x:c>
      <x:c r="Q500" s="255" t="str">
        <x:f>IF(P500="","",IF(P500="READY","",TRIM(IF(A500="","missing entity_type; ","")&amp;IF(B500="","missing entity_key; ","")&amp;IF(C500="","missing referrer_order; ","")&amp;IF(E500="","missing referrer_type; ","")&amp;IF(F500="","missing referral_origin_channel; ","")&amp;IF(H500="","missing referrer_name_snapshot; ","")&amp;IF(AND(A500="client",COUNTIF('الزبائن'!$A$6:$A$505,B500)=0),"client key not found; ","")&amp;IF(AND(A500="proposed_name",COUNTIF('أسماء مقترحة'!$A$6:$A$505,B500)=0),"proposed_name key not found; ",""))))</x:f>
      </x:c>
    </x:row>
    <x:row r="501">
      <x:c r="A501" s="251"/>
      <x:c r="B501" s="252"/>
      <x:c r="C501" s="253"/>
      <x:c r="D501" s="253"/>
      <x:c r="E501" s="253"/>
      <x:c r="F501" s="253"/>
      <x:c r="G501" s="252"/>
      <x:c r="H501" s="253"/>
      <x:c r="I501" s="272"/>
      <x:c r="J501" s="253"/>
      <x:c r="K501" s="252"/>
      <x:c r="L501" s="253"/>
      <x:c r="M501" s="253"/>
      <x:c r="N501" s="253"/>
      <x:c r="O501" s="253"/>
      <x:c r="P501" s="253" t="str">
        <x:f>IF(AND(A501="",B501="",H501=""),"",IF(OR(A501="",B501="",C501="",E501="",F501="",H501="",AND(A501="client",COUNTIF('الزبائن'!$A$6:$A$505,B501)=0),AND(A501="proposed_name",COUNTIF('أسماء مقترحة'!$A$6:$A$505,B501)=0)),"REVIEW","READY"))</x:f>
      </x:c>
      <x:c r="Q501" s="255" t="str">
        <x:f>IF(P501="","",IF(P501="READY","",TRIM(IF(A501="","missing entity_type; ","")&amp;IF(B501="","missing entity_key; ","")&amp;IF(C501="","missing referrer_order; ","")&amp;IF(E501="","missing referrer_type; ","")&amp;IF(F501="","missing referral_origin_channel; ","")&amp;IF(H501="","missing referrer_name_snapshot; ","")&amp;IF(AND(A501="client",COUNTIF('الزبائن'!$A$6:$A$505,B501)=0),"client key not found; ","")&amp;IF(AND(A501="proposed_name",COUNTIF('أسماء مقترحة'!$A$6:$A$505,B501)=0),"proposed_name key not found; ",""))))</x:f>
      </x:c>
    </x:row>
    <x:row r="502">
      <x:c r="A502" s="251"/>
      <x:c r="B502" s="252"/>
      <x:c r="C502" s="253"/>
      <x:c r="D502" s="253"/>
      <x:c r="E502" s="253"/>
      <x:c r="F502" s="253"/>
      <x:c r="G502" s="252"/>
      <x:c r="H502" s="253"/>
      <x:c r="I502" s="272"/>
      <x:c r="J502" s="253"/>
      <x:c r="K502" s="252"/>
      <x:c r="L502" s="253"/>
      <x:c r="M502" s="253"/>
      <x:c r="N502" s="253"/>
      <x:c r="O502" s="253"/>
      <x:c r="P502" s="253" t="str">
        <x:f>IF(AND(A502="",B502="",H502=""),"",IF(OR(A502="",B502="",C502="",E502="",F502="",H502="",AND(A502="client",COUNTIF('الزبائن'!$A$6:$A$505,B502)=0),AND(A502="proposed_name",COUNTIF('أسماء مقترحة'!$A$6:$A$505,B502)=0)),"REVIEW","READY"))</x:f>
      </x:c>
      <x:c r="Q502" s="255" t="str">
        <x:f>IF(P502="","",IF(P502="READY","",TRIM(IF(A502="","missing entity_type; ","")&amp;IF(B502="","missing entity_key; ","")&amp;IF(C502="","missing referrer_order; ","")&amp;IF(E502="","missing referrer_type; ","")&amp;IF(F502="","missing referral_origin_channel; ","")&amp;IF(H502="","missing referrer_name_snapshot; ","")&amp;IF(AND(A502="client",COUNTIF('الزبائن'!$A$6:$A$505,B502)=0),"client key not found; ","")&amp;IF(AND(A502="proposed_name",COUNTIF('أسماء مقترحة'!$A$6:$A$505,B502)=0),"proposed_name key not found; ",""))))</x:f>
      </x:c>
    </x:row>
    <x:row r="503">
      <x:c r="A503" s="251"/>
      <x:c r="B503" s="252"/>
      <x:c r="C503" s="253"/>
      <x:c r="D503" s="253"/>
      <x:c r="E503" s="253"/>
      <x:c r="F503" s="253"/>
      <x:c r="G503" s="252"/>
      <x:c r="H503" s="253"/>
      <x:c r="I503" s="272"/>
      <x:c r="J503" s="253"/>
      <x:c r="K503" s="252"/>
      <x:c r="L503" s="253"/>
      <x:c r="M503" s="253"/>
      <x:c r="N503" s="253"/>
      <x:c r="O503" s="253"/>
      <x:c r="P503" s="253" t="str">
        <x:f>IF(AND(A503="",B503="",H503=""),"",IF(OR(A503="",B503="",C503="",E503="",F503="",H503="",AND(A503="client",COUNTIF('الزبائن'!$A$6:$A$505,B503)=0),AND(A503="proposed_name",COUNTIF('أسماء مقترحة'!$A$6:$A$505,B503)=0)),"REVIEW","READY"))</x:f>
      </x:c>
      <x:c r="Q503" s="255" t="str">
        <x:f>IF(P503="","",IF(P503="READY","",TRIM(IF(A503="","missing entity_type; ","")&amp;IF(B503="","missing entity_key; ","")&amp;IF(C503="","missing referrer_order; ","")&amp;IF(E503="","missing referrer_type; ","")&amp;IF(F503="","missing referral_origin_channel; ","")&amp;IF(H503="","missing referrer_name_snapshot; ","")&amp;IF(AND(A503="client",COUNTIF('الزبائن'!$A$6:$A$505,B503)=0),"client key not found; ","")&amp;IF(AND(A503="proposed_name",COUNTIF('أسماء مقترحة'!$A$6:$A$505,B503)=0),"proposed_name key not found; ",""))))</x:f>
      </x:c>
    </x:row>
    <x:row r="504">
      <x:c r="A504" s="251"/>
      <x:c r="B504" s="252"/>
      <x:c r="C504" s="253"/>
      <x:c r="D504" s="253"/>
      <x:c r="E504" s="253"/>
      <x:c r="F504" s="253"/>
      <x:c r="G504" s="252"/>
      <x:c r="H504" s="253"/>
      <x:c r="I504" s="272"/>
      <x:c r="J504" s="253"/>
      <x:c r="K504" s="252"/>
      <x:c r="L504" s="253"/>
      <x:c r="M504" s="253"/>
      <x:c r="N504" s="253"/>
      <x:c r="O504" s="253"/>
      <x:c r="P504" s="253" t="str">
        <x:f>IF(AND(A504="",B504="",H504=""),"",IF(OR(A504="",B504="",C504="",E504="",F504="",H504="",AND(A504="client",COUNTIF('الزبائن'!$A$6:$A$505,B504)=0),AND(A504="proposed_name",COUNTIF('أسماء مقترحة'!$A$6:$A$505,B504)=0)),"REVIEW","READY"))</x:f>
      </x:c>
      <x:c r="Q504" s="255" t="str">
        <x:f>IF(P504="","",IF(P504="READY","",TRIM(IF(A504="","missing entity_type; ","")&amp;IF(B504="","missing entity_key; ","")&amp;IF(C504="","missing referrer_order; ","")&amp;IF(E504="","missing referrer_type; ","")&amp;IF(F504="","missing referral_origin_channel; ","")&amp;IF(H504="","missing referrer_name_snapshot; ","")&amp;IF(AND(A504="client",COUNTIF('الزبائن'!$A$6:$A$505,B504)=0),"client key not found; ","")&amp;IF(AND(A504="proposed_name",COUNTIF('أسماء مقترحة'!$A$6:$A$505,B504)=0),"proposed_name key not found; ",""))))</x:f>
      </x:c>
    </x:row>
    <x:row r="505">
      <x:c r="A505" s="256"/>
      <x:c r="B505" s="257"/>
      <x:c r="C505" s="258"/>
      <x:c r="D505" s="258"/>
      <x:c r="E505" s="258"/>
      <x:c r="F505" s="258"/>
      <x:c r="G505" s="257"/>
      <x:c r="H505" s="258"/>
      <x:c r="I505" s="273"/>
      <x:c r="J505" s="258"/>
      <x:c r="K505" s="257"/>
      <x:c r="L505" s="258"/>
      <x:c r="M505" s="258"/>
      <x:c r="N505" s="258"/>
      <x:c r="O505" s="258"/>
      <x:c r="P505" s="258" t="str">
        <x:f>IF(AND(A505="",B505="",H505=""),"",IF(OR(A505="",B505="",C505="",E505="",F505="",H505="",AND(A505="client",COUNTIF('الزبائن'!$A$6:$A$505,B505)=0),AND(A505="proposed_name",COUNTIF('أسماء مقترحة'!$A$6:$A$505,B505)=0)),"REVIEW","READY"))</x:f>
      </x:c>
      <x:c r="Q505" s="259" t="str">
        <x:f>IF(P505="","",IF(P505="READY","",TRIM(IF(A505="","missing entity_type; ","")&amp;IF(B505="","missing entity_key; ","")&amp;IF(C505="","missing referrer_order; ","")&amp;IF(E505="","missing referrer_type; ","")&amp;IF(F505="","missing referral_origin_channel; ","")&amp;IF(H505="","missing referrer_name_snapshot; ","")&amp;IF(AND(A505="client",COUNTIF('الزبائن'!$A$6:$A$505,B505)=0),"client key not found; ","")&amp;IF(AND(A505="proposed_name",COUNTIF('أسماء مقترحة'!$A$6:$A$505,B505)=0),"proposed_name key not found; ",""))))</x:f>
      </x:c>
    </x:row>
  </x:sheetData>
  <x:mergeCells>
    <x:mergeCell ref="A1:Q1"/>
    <x:mergeCell ref="A2:Q2"/>
    <x:mergeCell ref="A4:B4"/>
    <x:mergeCell ref="C4:M4"/>
    <x:mergeCell ref="N4:Q4"/>
  </x:mergeCells>
  <x:conditionalFormatting sqref="P6:P505">
    <x:cfRule type="containsText" dxfId="8" priority="1" operator="containsText" text="READY"/>
    <x:cfRule type="containsText" dxfId="9" priority="2" operator="containsText" text="TO_PROPOSED"/>
    <x:cfRule type="containsText" dxfId="10" priority="3" operator="containsText" text="REVIEW"/>
    <x:cfRule type="containsText" dxfId="11" priority="4" operator="containsText" text="SKIP"/>
  </x:conditionalFormatting>
  <x:dataValidations count="6">
    <x:dataValidation type="list" sqref="A6:A505">
      <x:formula1>"client,proposed_name"</x:formula1>
    </x:dataValidation>
    <x:dataValidation type="list" sqref="D6:D505">
      <x:formula1>"TRUE,FALSE"</x:formula1>
    </x:dataValidation>
    <x:dataValidation type="list" sqref="E6:E505">
      <x:formula1>"Personal,Employee,Client,Unknown"</x:formula1>
    </x:dataValidation>
    <x:dataValidation type="list" sqref="F6:F505">
      <x:formula1>"PhoneCall,SocialMedia,Campaign,Acquaintance"</x:formula1>
    </x:dataValidation>
    <x:dataValidation type="list" sqref="M6:M505">
      <x:formula1>"Pending,Confirmed,Rejected"</x:formula1>
    </x:dataValidation>
    <x:dataValidation type="list" sqref="O6:O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2b85e5fad147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24" hidden="0" customWidth="1"/>
    <x:col min="5" max="5" width="14" hidden="0" customWidth="1"/>
    <x:col min="6" max="6" width="18" hidden="0" customWidth="1"/>
    <x:col min="7" max="7" width="18" hidden="0" customWidth="1"/>
    <x:col min="8" max="8" width="10" hidden="0" customWidth="1"/>
    <x:col min="9" max="9" width="18" hidden="0" customWidth="1"/>
    <x:col min="10" max="10" width="12" hidden="0" customWidth="1"/>
    <x:col min="11" max="11" width="16" hidden="0" customWidth="1"/>
    <x:col min="12" max="12" width="16" hidden="0" customWidth="1"/>
    <x:col min="13" max="13" width="14" hidden="0" customWidth="1"/>
    <x:col min="14" max="14" width="26" hidden="0" customWidth="1"/>
    <x:col min="15" max="15" width="38" hidden="0" customWidth="1"/>
    <x:col min="16" max="16" width="12" hidden="0" customWidth="1"/>
    <x:col min="17" max="17" width="18" hidden="0" customWidth="1"/>
    <x:col min="18" max="18" width="14" hidden="0" customWidth="1"/>
    <x:col min="19" max="19" width="16" hidden="0" customWidth="1"/>
    <x:col min="20" max="20" width="18" hidden="0" customWidth="1"/>
    <x:col min="21" max="21" width="12" hidden="0" customWidth="1"/>
    <x:col min="22" max="22" width="16" hidden="0" customWidth="1"/>
    <x:col min="23" max="23" width="18" hidden="0" customWidth="1"/>
    <x:col min="24" max="24" width="22" hidden="0" customWidth="1"/>
    <x:col min="25" max="25" width="46" hidden="0" customWidth="1"/>
    <x:col min="26" max="26" width="18" hidden="0" customWidth="1"/>
    <x:col min="27" max="27" width="44" hidden="0" customWidth="1"/>
    <x:col min="28" max="28" width="18" hidden="0" customWidth="1"/>
    <x:col min="29" max="29" width="54" hidden="0" customWidth="1"/>
  </x:cols>
  <x:sheetData>
    <x:row r="1" ht="34" customHeight="1">
      <x:c r="A1" s="24" t="str">
        <x:v>أسماء مقترحة</x:v>
      </x:c>
      <x:c r="B1" s="24" t="str">
        <x:v>أسماء مقترحة</x:v>
      </x:c>
      <x:c r="C1" s="24" t="str">
        <x:v>أسماء مقترحة</x:v>
      </x:c>
      <x:c r="D1" s="24" t="str">
        <x:v>أسماء مقترحة</x:v>
      </x:c>
      <x:c r="E1" s="24" t="str">
        <x:v>أسماء مقترحة</x:v>
      </x:c>
      <x:c r="F1" s="24" t="str">
        <x:v>أسماء مقترحة</x:v>
      </x:c>
      <x:c r="G1" s="24" t="str">
        <x:v>أسماء مقترحة</x:v>
      </x:c>
      <x:c r="H1" s="24" t="str">
        <x:v>أسماء مقترحة</x:v>
      </x:c>
      <x:c r="I1" s="24" t="str">
        <x:v>أسماء مقترحة</x:v>
      </x:c>
      <x:c r="J1" s="24" t="str">
        <x:v>أسماء مقترحة</x:v>
      </x:c>
      <x:c r="K1" s="24" t="str">
        <x:v>أسماء مقترحة</x:v>
      </x:c>
      <x:c r="L1" s="24" t="str">
        <x:v>أسماء مقترحة</x:v>
      </x:c>
      <x:c r="M1" s="24" t="str">
        <x:v>أسماء مقترحة</x:v>
      </x:c>
      <x:c r="N1" s="24" t="str">
        <x:v>أسماء مقترحة</x:v>
      </x:c>
      <x:c r="O1" s="24" t="str">
        <x:v>أسماء مقترحة</x:v>
      </x:c>
      <x:c r="P1" s="24" t="str">
        <x:v>أسماء مقترحة</x:v>
      </x:c>
      <x:c r="Q1" s="24" t="str">
        <x:v>أسماء مقترحة</x:v>
      </x:c>
      <x:c r="R1" s="24" t="str">
        <x:v>أسماء مقترحة</x:v>
      </x:c>
      <x:c r="S1" s="24" t="str">
        <x:v>أسماء مقترحة</x:v>
      </x:c>
      <x:c r="T1" s="24" t="str">
        <x:v>أسماء مقترحة</x:v>
      </x:c>
      <x:c r="U1" s="24" t="str">
        <x:v>أسماء مقترحة</x:v>
      </x:c>
      <x:c r="V1" s="24" t="str">
        <x:v>أسماء مقترحة</x:v>
      </x:c>
      <x:c r="W1" s="24" t="str">
        <x:v>أسماء مقترحة</x:v>
      </x:c>
      <x:c r="X1" s="24" t="str">
        <x:v>أسماء مقترحة</x:v>
      </x:c>
      <x:c r="Y1" s="24" t="str">
        <x:v>أسماء مقترحة</x:v>
      </x:c>
      <x:c r="Z1" s="24" t="str">
        <x:v>أسماء مقترحة</x:v>
      </x:c>
      <x:c r="AA1" s="24" t="str">
        <x:v>أسماء مقترحة</x:v>
      </x:c>
      <x:c r="AB1" s="24" t="str">
        <x:v>أسماء مقترحة</x:v>
      </x:c>
      <x:c r="AC1" s="24" t="str">
        <x:v>أسماء مقترحة</x:v>
      </x:c>
      <x:c r="AD1" s="24" t="str">
        <x:v>أسماء مقترحة</x:v>
      </x:c>
      <x:c r="AE1" s="24" t="str">
        <x:v>أسماء مقترحة</x:v>
      </x:c>
    </x:row>
    <x:row r="2" ht="28" customHeight="1">
      <x:c r="A2" s="25" t="str">
        <x:v>للزبائن غير المؤكدين أو المكررين أو الناقصين أو أصحاب العناوين غير الواضحة. أرقامهم ووسطاؤهم في الشيتات المستقلة.</x:v>
      </x:c>
      <x:c r="B2" s="25" t="str">
        <x:v>للزبائن غير المؤكدين أو المكررين أو الناقصين أو أصحاب العناوين غير الواضحة. أرقامهم ووسطاؤهم في الشيتات المستقلة.</x:v>
      </x:c>
      <x:c r="C2" s="25" t="str">
        <x:v>للزبائن غير المؤكدين أو المكررين أو الناقصين أو أصحاب العناوين غير الواضحة. أرقامهم ووسطاؤهم في الشيتات المستقلة.</x:v>
      </x:c>
      <x:c r="D2" s="25" t="str">
        <x:v>للزبائن غير المؤكدين أو المكررين أو الناقصين أو أصحاب العناوين غير الواضحة. أرقامهم ووسطاؤهم في الشيتات المستقلة.</x:v>
      </x:c>
      <x:c r="E2" s="25" t="str">
        <x:v>للزبائن غير المؤكدين أو المكررين أو الناقصين أو أصحاب العناوين غير الواضحة. أرقامهم ووسطاؤهم في الشيتات المستقلة.</x:v>
      </x:c>
      <x:c r="F2" s="25" t="str">
        <x:v>للزبائن غير المؤكدين أو المكررين أو الناقصين أو أصحاب العناوين غير الواضحة. أرقامهم ووسطاؤهم في الشيتات المستقلة.</x:v>
      </x:c>
      <x:c r="G2" s="25" t="str">
        <x:v>للزبائن غير المؤكدين أو المكررين أو الناقصين أو أصحاب العناوين غير الواضحة. أرقامهم ووسطاؤهم في الشيتات المستقلة.</x:v>
      </x:c>
      <x:c r="H2" s="25" t="str">
        <x:v>للزبائن غير المؤكدين أو المكررين أو الناقصين أو أصحاب العناوين غير الواضحة. أرقامهم ووسطاؤهم في الشيتات المستقلة.</x:v>
      </x:c>
      <x:c r="I2" s="25" t="str">
        <x:v>للزبائن غير المؤكدين أو المكررين أو الناقصين أو أصحاب العناوين غير الواضحة. أرقامهم ووسطاؤهم في الشيتات المستقلة.</x:v>
      </x:c>
      <x:c r="J2" s="25" t="str">
        <x:v>للزبائن غير المؤكدين أو المكررين أو الناقصين أو أصحاب العناوين غير الواضحة. أرقامهم ووسطاؤهم في الشيتات المستقلة.</x:v>
      </x:c>
      <x:c r="K2" s="25" t="str">
        <x:v>للزبائن غير المؤكدين أو المكررين أو الناقصين أو أصحاب العناوين غير الواضحة. أرقامهم ووسطاؤهم في الشيتات المستقلة.</x:v>
      </x:c>
      <x:c r="L2" s="25" t="str">
        <x:v>للزبائن غير المؤكدين أو المكررين أو الناقصين أو أصحاب العناوين غير الواضحة. أرقامهم ووسطاؤهم في الشيتات المستقلة.</x:v>
      </x:c>
      <x:c r="M2" s="25" t="str">
        <x:v>للزبائن غير المؤكدين أو المكررين أو الناقصين أو أصحاب العناوين غير الواضحة. أرقامهم ووسطاؤهم في الشيتات المستقلة.</x:v>
      </x:c>
      <x:c r="N2" s="25" t="str">
        <x:v>للزبائن غير المؤكدين أو المكررين أو الناقصين أو أصحاب العناوين غير الواضحة. أرقامهم ووسطاؤهم في الشيتات المستقلة.</x:v>
      </x:c>
      <x:c r="O2" s="25" t="str">
        <x:v>للزبائن غير المؤكدين أو المكررين أو الناقصين أو أصحاب العناوين غير الواضحة. أرقامهم ووسطاؤهم في الشيتات المستقلة.</x:v>
      </x:c>
      <x:c r="P2" s="25" t="str">
        <x:v>للزبائن غير المؤكدين أو المكررين أو الناقصين أو أصحاب العناوين غير الواضحة. أرقامهم ووسطاؤهم في الشيتات المستقلة.</x:v>
      </x:c>
      <x:c r="Q2" s="25" t="str">
        <x:v>للزبائن غير المؤكدين أو المكررين أو الناقصين أو أصحاب العناوين غير الواضحة. أرقامهم ووسطاؤهم في الشيتات المستقلة.</x:v>
      </x:c>
      <x:c r="R2" s="25" t="str">
        <x:v>للزبائن غير المؤكدين أو المكررين أو الناقصين أو أصحاب العناوين غير الواضحة. أرقامهم ووسطاؤهم في الشيتات المستقلة.</x:v>
      </x:c>
      <x:c r="S2" s="25" t="str">
        <x:v>للزبائن غير المؤكدين أو المكررين أو الناقصين أو أصحاب العناوين غير الواضحة. أرقامهم ووسطاؤهم في الشيتات المستقلة.</x:v>
      </x:c>
      <x:c r="T2" s="25" t="str">
        <x:v>للزبائن غير المؤكدين أو المكررين أو الناقصين أو أصحاب العناوين غير الواضحة. أرقامهم ووسطاؤهم في الشيتات المستقلة.</x:v>
      </x:c>
      <x:c r="U2" s="25" t="str">
        <x:v>للزبائن غير المؤكدين أو المكررين أو الناقصين أو أصحاب العناوين غير الواضحة. أرقامهم ووسطاؤهم في الشيتات المستقلة.</x:v>
      </x:c>
      <x:c r="V2" s="25" t="str">
        <x:v>للزبائن غير المؤكدين أو المكررين أو الناقصين أو أصحاب العناوين غير الواضحة. أرقامهم ووسطاؤهم في الشيتات المستقلة.</x:v>
      </x:c>
      <x:c r="W2" s="25" t="str">
        <x:v>للزبائن غير المؤكدين أو المكررين أو الناقصين أو أصحاب العناوين غير الواضحة. أرقامهم ووسطاؤهم في الشيتات المستقلة.</x:v>
      </x:c>
      <x:c r="X2" s="25" t="str">
        <x:v>للزبائن غير المؤكدين أو المكررين أو الناقصين أو أصحاب العناوين غير الواضحة. أرقامهم ووسطاؤهم في الشيتات المستقلة.</x:v>
      </x:c>
      <x:c r="Y2" s="25" t="str">
        <x:v>للزبائن غير المؤكدين أو المكررين أو الناقصين أو أصحاب العناوين غير الواضحة. أرقامهم ووسطاؤهم في الشيتات المستقلة.</x:v>
      </x:c>
      <x:c r="Z2" s="25" t="str">
        <x:v>للزبائن غير المؤكدين أو المكررين أو الناقصين أو أصحاب العناوين غير الواضحة. أرقامهم ووسطاؤهم في الشيتات المستقلة.</x:v>
      </x:c>
      <x:c r="AA2" s="25" t="str">
        <x:v>للزبائن غير المؤكدين أو المكررين أو الناقصين أو أصحاب العناوين غير الواضحة. أرقامهم ووسطاؤهم في الشيتات المستقلة.</x:v>
      </x:c>
      <x:c r="AB2" s="25" t="str">
        <x:v>للزبائن غير المؤكدين أو المكررين أو الناقصين أو أصحاب العناوين غير الواضحة. أرقامهم ووسطاؤهم في الشيتات المستقلة.</x:v>
      </x:c>
      <x:c r="AC2" s="25" t="str">
        <x:v>للزبائن غير المؤكدين أو المكررين أو الناقصين أو أصحاب العناوين غير الواضحة. أرقامهم ووسطاؤهم في الشيتات المستقلة.</x:v>
      </x:c>
      <x:c r="AD2" s="25" t="str">
        <x:v>للزبائن غير المؤكدين أو المكررين أو الناقصين أو أصحاب العناوين غير الواضحة. أرقامهم ووسطاؤهم في الشيتات المستقلة.</x:v>
      </x:c>
      <x:c r="AE2" s="25" t="str">
        <x:v>للزبائن غير المؤكدين أو المكررين أو الناقصين أو أصحاب العناوين غير الواضحة. أرقامهم ووسطاؤهم في الشيتات المستقلة.</x:v>
      </x:c>
    </x:row>
    <x:row r="3">
      <x:c r="A3" s="186" t="str">
        <x:v>proposed_name_key</x:v>
      </x:c>
      <x:c r="B3" s="186" t="str">
        <x:v>source_migration_customer_key</x:v>
      </x:c>
      <x:c r="C3" s="186" t="str">
        <x:v>candidate_import_action</x:v>
      </x:c>
      <x:c r="D3" s="186" t="str">
        <x:v>move_reason</x:v>
      </x:c>
      <x:c r="E3" s="186" t="str">
        <x:v>confidence_level</x:v>
      </x:c>
      <x:c r="F3" s="186" t="str">
        <x:v>old_system_customer_id</x:v>
      </x:c>
      <x:c r="G3" s="186" t="str">
        <x:v>old_source_note</x:v>
      </x:c>
      <x:c r="H3" s="186" t="str">
        <x:v>original_created_at</x:v>
      </x:c>
      <x:c r="I3" s="186" t="str">
        <x:v>branch_id</x:v>
      </x:c>
      <x:c r="J3" s="186" t="str">
        <x:v>branch_name</x:v>
      </x:c>
      <x:c r="K3" s="186" t="str">
        <x:v>owner_user_id</x:v>
      </x:c>
      <x:c r="L3" s="186" t="str">
        <x:v>first_name</x:v>
      </x:c>
      <x:c r="M3" s="186" t="str">
        <x:v>last_name</x:v>
      </x:c>
      <x:c r="N3" s="186" t="str">
        <x:v>nickname</x:v>
      </x:c>
      <x:c r="O3" s="186" t="str">
        <x:v>full_name_review</x:v>
      </x:c>
      <x:c r="P3" s="186" t="str">
        <x:v>address_text</x:v>
      </x:c>
      <x:c r="Q3" s="186" t="str">
        <x:v>legacy_location_info</x:v>
      </x:c>
      <x:c r="R3" s="186" t="str">
        <x:v>geo_unit_id</x:v>
      </x:c>
      <x:c r="S3" s="186" t="str">
        <x:v>geo_unit_name</x:v>
      </x:c>
      <x:c r="T3" s="186" t="str">
        <x:v>address_clarity</x:v>
      </x:c>
      <x:c r="U3" s="186" t="str">
        <x:v>status</x:v>
      </x:c>
      <x:c r="V3" s="186" t="str">
        <x:v>occupation</x:v>
      </x:c>
      <x:c r="W3" s="186" t="str">
        <x:v>duplicate_flag</x:v>
      </x:c>
      <x:c r="X3" s="186" t="str">
        <x:v>duplicate_type</x:v>
      </x:c>
      <x:c r="Y3" s="186" t="str">
        <x:v>duplicate_reference_id</x:v>
      </x:c>
      <x:c r="Z3" s="186" t="str">
        <x:v>duplicate_reference_key</x:v>
      </x:c>
      <x:c r="AA3" s="186" t="str">
        <x:v>candidate_notes</x:v>
      </x:c>
      <x:c r="AB3" s="186" t="str">
        <x:v>source_row_status</x:v>
      </x:c>
      <x:c r="AC3" s="186" t="str">
        <x:v>source_row_issues</x:v>
      </x:c>
      <x:c r="AD3" s="186" t="str">
        <x:v>candidate_row_status</x:v>
      </x:c>
      <x:c r="AE3" s="186" t="str">
        <x:v>candidate_row_issues</x:v>
      </x:c>
    </x:row>
    <x:row r="4">
      <x:c r="A4" s="187" t="str">
        <x:v>ربط الهجرة</x:v>
      </x:c>
      <x:c r="B4" s="188" t="str">
        <x:v>ربط الهجرة</x:v>
      </x:c>
      <x:c r="C4" s="189" t="str">
        <x:v>ربط الهجرة</x:v>
      </x:c>
      <x:c r="D4" s="212" t="str">
        <x:v>سبب النقل</x:v>
      </x:c>
      <x:c r="E4" s="214" t="str">
        <x:v>سبب النقل</x:v>
      </x:c>
      <x:c r="F4" s="187" t="str">
        <x:v>ربط الهجرة</x:v>
      </x:c>
      <x:c r="G4" s="188" t="str">
        <x:v>ربط الهجرة</x:v>
      </x:c>
      <x:c r="H4" s="189" t="str">
        <x:v>ربط الهجرة</x:v>
      </x:c>
      <x:c r="I4" s="190" t="str">
        <x:v>الفرع والملكية</x:v>
      </x:c>
      <x:c r="J4" s="296" t="str">
        <x:v>الفرع والملكية</x:v>
      </x:c>
      <x:c r="K4" s="191" t="str">
        <x:v>الفرع والملكية</x:v>
      </x:c>
      <x:c r="L4" s="192" t="str">
        <x:v>هوية الاسم</x:v>
      </x:c>
      <x:c r="M4" s="193" t="str">
        <x:v>هوية الاسم</x:v>
      </x:c>
      <x:c r="N4" s="193" t="str">
        <x:v>هوية الاسم</x:v>
      </x:c>
      <x:c r="O4" s="194" t="str">
        <x:v>هوية الاسم</x:v>
      </x:c>
      <x:c r="P4" s="195" t="str">
        <x:v>العنوان</x:v>
      </x:c>
      <x:c r="Q4" s="196" t="str">
        <x:v>العنوان</x:v>
      </x:c>
      <x:c r="R4" s="196" t="str">
        <x:v>العنوان</x:v>
      </x:c>
      <x:c r="S4" s="196" t="str">
        <x:v>العنوان</x:v>
      </x:c>
      <x:c r="T4" s="197" t="str">
        <x:v>العنوان</x:v>
      </x:c>
      <x:c r="U4" s="297" t="str">
        <x:v>حالة المرشح</x:v>
      </x:c>
      <x:c r="V4" s="298" t="str">
        <x:v>بيانات إضافية</x:v>
      </x:c>
      <x:c r="W4" s="299" t="str">
        <x:v>التكرار</x:v>
      </x:c>
      <x:c r="X4" s="300" t="str">
        <x:v>التكرار</x:v>
      </x:c>
      <x:c r="Y4" s="300" t="str">
        <x:v>التكرار</x:v>
      </x:c>
      <x:c r="Z4" s="301" t="str">
        <x:v>التكرار</x:v>
      </x:c>
      <x:c r="AA4" s="209" t="str">
        <x:v>مراجعة</x:v>
      </x:c>
      <x:c r="AB4" s="210" t="str">
        <x:v>مراجعة</x:v>
      </x:c>
      <x:c r="AC4" s="210" t="str">
        <x:v>مراجعة</x:v>
      </x:c>
      <x:c r="AD4" s="210" t="str">
        <x:v>مراجعة</x:v>
      </x:c>
      <x:c r="AE4" s="211" t="str">
        <x:v>مراجعة</x:v>
      </x:c>
    </x:row>
    <x:row r="5" ht="42" customHeight="1">
      <x:c r="A5" s="215" t="str">
        <x:v>مفتاح الاسم المقترح</x:v>
      </x:c>
      <x:c r="B5" s="217" t="str">
        <x:v>مفتاح الزبون المصدر</x:v>
      </x:c>
      <x:c r="C5" s="216" t="str">
        <x:v>إجراء الاسم المقترح</x:v>
      </x:c>
      <x:c r="D5" s="216" t="str">
        <x:v>سبب النقل</x:v>
      </x:c>
      <x:c r="E5" s="217" t="str">
        <x:v>مستوى الثقة</x:v>
      </x:c>
      <x:c r="F5" s="217" t="str">
        <x:v>ID النظام القديم</x:v>
      </x:c>
      <x:c r="G5" s="217" t="str">
        <x:v>مصدر/جدول قديم</x:v>
      </x:c>
      <x:c r="H5" s="217" t="str">
        <x:v>تاريخ الإنشاء الأصلي</x:v>
      </x:c>
      <x:c r="I5" s="216" t="str">
        <x:v>ID الفرع</x:v>
      </x:c>
      <x:c r="J5" s="217" t="str">
        <x:v>اسم الفرع للمراجعة</x:v>
      </x:c>
      <x:c r="K5" s="217" t="str">
        <x:v>ID المالك/المتابع</x:v>
      </x:c>
      <x:c r="L5" s="216" t="str">
        <x:v>الاسم الأول</x:v>
      </x:c>
      <x:c r="M5" s="216" t="str">
        <x:v>الكنية/العائلة</x:v>
      </x:c>
      <x:c r="N5" s="217" t="str">
        <x:v>اللقب</x:v>
      </x:c>
      <x:c r="O5" s="217" t="str">
        <x:v>الاسم الكامل - تلقائي</x:v>
      </x:c>
      <x:c r="P5" s="217" t="str">
        <x:v>العنوان النصي</x:v>
      </x:c>
      <x:c r="Q5" s="217" t="str">
        <x:v>معلومات الموقع / قديم</x:v>
      </x:c>
      <x:c r="R5" s="217" t="str">
        <x:v>ID الموقع إن حسم</x:v>
      </x:c>
      <x:c r="S5" s="217" t="str">
        <x:v>اسم الموقع للمراجعة</x:v>
      </x:c>
      <x:c r="T5" s="217" t="str">
        <x:v>وضوح العنوان</x:v>
      </x:c>
      <x:c r="U5" s="216" t="str">
        <x:v>حالة الاسم المقترح</x:v>
      </x:c>
      <x:c r="V5" s="217" t="str">
        <x:v>المهنة</x:v>
      </x:c>
      <x:c r="W5" s="217" t="str">
        <x:v>اشتباه تكرار</x:v>
      </x:c>
      <x:c r="X5" s="217" t="str">
        <x:v>نوع التكرار</x:v>
      </x:c>
      <x:c r="Y5" s="217" t="str">
        <x:v>ID مرجع التكرار</x:v>
      </x:c>
      <x:c r="Z5" s="217" t="str">
        <x:v>مفتاح مرجع التكرار</x:v>
      </x:c>
      <x:c r="AA5" s="217" t="str">
        <x:v>ملاحظات الاسم المقترح</x:v>
      </x:c>
      <x:c r="AB5" s="217" t="str">
        <x:v>حالة صف المصدر - تلقائي</x:v>
      </x:c>
      <x:c r="AC5" s="217" t="str">
        <x:v>مشاكل صف المصدر - تلقائي</x:v>
      </x:c>
      <x:c r="AD5" s="217" t="str">
        <x:v>حالة الاسم - تلقائي</x:v>
      </x:c>
      <x:c r="AE5" s="218" t="str">
        <x:v>مشاكل الاسم - تلقائي</x:v>
      </x:c>
    </x:row>
    <x:row r="6">
      <x:c r="A6" s="302" t="str">
        <x:v>PN-CUST-0002</x:v>
      </x:c>
      <x:c r="B6" s="252" t="str">
        <x:v>CUST-0002</x:v>
      </x:c>
      <x:c r="C6" s="253" t="str">
        <x:v>create_candidate</x:v>
      </x:c>
      <x:c r="D6" s="253" t="str">
        <x:v>unclear_address</x:v>
      </x:c>
      <x:c r="E6" s="253" t="str">
        <x:v>medium</x:v>
      </x:c>
      <x:c r="F6" s="252" t="str">
        <x:v>old-1401</x:v>
      </x:c>
      <x:c r="G6" s="253" t="str">
        <x:v>legacy_excel</x:v>
      </x:c>
      <x:c r="H6" s="272" t="n">
        <x:v>44808</x:v>
      </x:c>
      <x:c r="I6" s="253" t="n">
        <x:v>2</x:v>
      </x:c>
      <x:c r="J6" s="253" t="str">
        <x:v>حلب</x:v>
      </x:c>
      <x:c r="K6" s="253"/>
      <x:c r="L6" s="253" t="str">
        <x:v>سارة</x:v>
      </x:c>
      <x:c r="M6" s="253" t="str">
        <x:v>حسن</x:v>
      </x:c>
      <x:c r="N6" s="253"/>
      <x:c r="O6" s="253" t="str">
        <x:f>IF(TRIM(L6&amp;" "&amp;M6&amp;IF(N6&lt;&gt;""," ("&amp;N6&amp;")",""))="","",TRIM(L6&amp;" "&amp;M6&amp;IF(N6&lt;&gt;""," ("&amp;N6&amp;")","")))</x:f>
        <x:v>سارة حسن</x:v>
      </x:c>
      <x:c r="P6" s="253" t="str">
        <x:v>قرب الدوار - بحاجة تحديد</x:v>
      </x:c>
      <x:c r="Q6" s="252" t="str">
        <x:v>مكتوب بالنظام القديم: قرب الدوار</x:v>
      </x:c>
      <x:c r="R6" s="253"/>
      <x:c r="S6" s="253"/>
      <x:c r="T6" s="253" t="str">
        <x:v>unclear</x:v>
      </x:c>
      <x:c r="U6" s="253" t="str">
        <x:v>Suggested</x:v>
      </x:c>
      <x:c r="V6" s="253"/>
      <x:c r="W6" s="253" t="str">
        <x:v>FALSE</x:v>
      </x:c>
      <x:c r="X6" s="253"/>
      <x:c r="Y6" s="252"/>
      <x:c r="Z6" s="252"/>
      <x:c r="AA6" s="253" t="str">
        <x:v>منقول من زبون عنوانه غير واضح</x:v>
      </x:c>
      <x:c r="AB6" s="253" t="str">
        <x:f>IF(B6="","",IFERROR(INDEX('الزبائن'!$BA$6:$BA$505,MATCH(B6,'الزبائن'!$A$6:$A$505,0)),"source key not found"))</x:f>
        <x:v>TO_PROPOSED</x:v>
      </x:c>
      <x:c r="AC6" s="253" t="str">
        <x:f>IF(B6="","",IFERROR(INDEX('الزبائن'!$BB$6:$BB$505,MATCH(B6,'الزبائن'!$A$6:$A$505,0)),"source key not found"))</x:f>
      </x:c>
      <x:c r="AD6" s="253" t="str">
        <x:f>IF(AND(A6="",C6="",D6="",I6="",L6="",M6=""),"",IF(C6="skip","SKIP",IF(OR(A6="",C6="",D6="",I6="",L6="",M6="",U6="",COUNTIF($A$6:$A$505,A6)&gt;1,AND(B6&lt;&gt;"",COUNTIF('الزبائن'!$A$6:$A$505,B6)=0),(COUNTIFS('أرقام التواصل'!$A$6:$A$505,"proposed_name",'أرقام التواصل'!$B$6:$B$505,A6,'أرقام التواصل'!$I$6:$I$505,"TRUE")+COUNTIFS('أرقام التواصل'!$A$6:$A$505,"proposed_name",'أرقام التواصل'!$B$6:$B$505,A6,'أرقام التواصل'!$C$6:$C$505,1))=0,AND(W6="TRUE",X6="")),"REVIEW","READY")))</x:f>
        <x:v>READY</x:v>
      </x:c>
      <x:c r="AE6" s="255" t="str">
        <x:f>IF(AD6="","",IF(AD6="READY","",IF(AD6="SKIP","Skipped by candidate_import_action",TRIM(IF(A6="","missing proposed_name_key; ","")&amp;IF(AND(A6&lt;&gt;"",COUNTIF($A$6:$A$505,A6)&gt;1),"duplicate proposed_name_key; ","")&amp;IF(C6="","missing candidate_import_action; ","")&amp;IF(D6="","missing move_reason; ","")&amp;IF(I6="","missing branch_id; ","")&amp;IF(L6="","missing first_name; ","")&amp;IF(M6="","missing last_name; ","")&amp;IF(U6="","missing status; ","")&amp;IF(AND(B6&lt;&gt;"",COUNTIF('الزبائن'!$A$6:$A$505,B6)=0),"source key not found; ","")&amp;IF((COUNTIFS('أرقام التواصل'!$A$6:$A$505,"proposed_name",'أرقام التواصل'!$B$6:$B$505,A6,'أرقام التواصل'!$I$6:$I$505,"TRUE")+COUNTIFS('أرقام التواصل'!$A$6:$A$505,"proposed_name",'أرقام التواصل'!$B$6:$B$505,A6,'أرقام التواصل'!$C$6:$C$505,1))=0,"missing primary contact in أرقام التواصل; ","")&amp;IF(AND(W6="TRUE",X6=""),"duplicate_type required when duplicate_flag TRUE; ","")))))</x:f>
      </x:c>
    </x:row>
    <x:row r="7">
      <x:c r="A7" s="302"/>
      <x:c r="B7" s="252"/>
      <x:c r="C7" s="253"/>
      <x:c r="D7" s="253"/>
      <x:c r="E7" s="253"/>
      <x:c r="F7" s="252"/>
      <x:c r="G7" s="253"/>
      <x:c r="H7" s="272"/>
      <x:c r="I7" s="253"/>
      <x:c r="J7" s="253"/>
      <x:c r="K7" s="253"/>
      <x:c r="L7" s="253"/>
      <x:c r="M7" s="253"/>
      <x:c r="N7" s="253"/>
      <x:c r="O7" s="253" t="str">
        <x:f>IF(TRIM(L7&amp;" "&amp;M7&amp;IF(N7&lt;&gt;""," ("&amp;N7&amp;")",""))="","",TRIM(L7&amp;" "&amp;M7&amp;IF(N7&lt;&gt;""," ("&amp;N7&amp;")","")))</x:f>
      </x:c>
      <x:c r="P7" s="253"/>
      <x:c r="Q7" s="252"/>
      <x:c r="R7" s="253"/>
      <x:c r="S7" s="253"/>
      <x:c r="T7" s="253"/>
      <x:c r="U7" s="253"/>
      <x:c r="V7" s="253"/>
      <x:c r="W7" s="253"/>
      <x:c r="X7" s="253"/>
      <x:c r="Y7" s="252"/>
      <x:c r="Z7" s="252"/>
      <x:c r="AA7" s="253"/>
      <x:c r="AB7" s="253" t="str">
        <x:f>IF(B7="","",IFERROR(INDEX('الزبائن'!$BA$6:$BA$505,MATCH(B7,'الزبائن'!$A$6:$A$505,0)),"source key not found"))</x:f>
      </x:c>
      <x:c r="AC7" s="253" t="str">
        <x:f>IF(B7="","",IFERROR(INDEX('الزبائن'!$BB$6:$BB$505,MATCH(B7,'الزبائن'!$A$6:$A$505,0)),"source key not found"))</x:f>
      </x:c>
      <x:c r="AD7" s="253" t="str">
        <x:f>IF(AND(A7="",C7="",D7="",I7="",L7="",M7=""),"",IF(C7="skip","SKIP",IF(OR(A7="",C7="",D7="",I7="",L7="",M7="",U7="",COUNTIF($A$6:$A$505,A7)&gt;1,AND(B7&lt;&gt;"",COUNTIF('الزبائن'!$A$6:$A$505,B7)=0),(COUNTIFS('أرقام التواصل'!$A$6:$A$505,"proposed_name",'أرقام التواصل'!$B$6:$B$505,A7,'أرقام التواصل'!$I$6:$I$505,"TRUE")+COUNTIFS('أرقام التواصل'!$A$6:$A$505,"proposed_name",'أرقام التواصل'!$B$6:$B$505,A7,'أرقام التواصل'!$C$6:$C$505,1))=0,AND(W7="TRUE",X7="")),"REVIEW","READY")))</x:f>
      </x:c>
      <x:c r="AE7" s="255" t="str">
        <x:f>IF(AD7="","",IF(AD7="READY","",IF(AD7="SKIP","Skipped by candidate_import_action",TRIM(IF(A7="","missing proposed_name_key; ","")&amp;IF(AND(A7&lt;&gt;"",COUNTIF($A$6:$A$505,A7)&gt;1),"duplicate proposed_name_key; ","")&amp;IF(C7="","missing candidate_import_action; ","")&amp;IF(D7="","missing move_reason; ","")&amp;IF(I7="","missing branch_id; ","")&amp;IF(L7="","missing first_name; ","")&amp;IF(M7="","missing last_name; ","")&amp;IF(U7="","missing status; ","")&amp;IF(AND(B7&lt;&gt;"",COUNTIF('الزبائن'!$A$6:$A$505,B7)=0),"source key not found; ","")&amp;IF((COUNTIFS('أرقام التواصل'!$A$6:$A$505,"proposed_name",'أرقام التواصل'!$B$6:$B$505,A7,'أرقام التواصل'!$I$6:$I$505,"TRUE")+COUNTIFS('أرقام التواصل'!$A$6:$A$505,"proposed_name",'أرقام التواصل'!$B$6:$B$505,A7,'أرقام التواصل'!$C$6:$C$505,1))=0,"missing primary contact in أرقام التواصل; ","")&amp;IF(AND(W7="TRUE",X7=""),"duplicate_type required when duplicate_flag TRUE; ","")))))</x:f>
      </x:c>
    </x:row>
    <x:row r="8">
      <x:c r="A8" s="302"/>
      <x:c r="B8" s="252"/>
      <x:c r="C8" s="253"/>
      <x:c r="D8" s="253"/>
      <x:c r="E8" s="253"/>
      <x:c r="F8" s="252"/>
      <x:c r="G8" s="253"/>
      <x:c r="H8" s="272"/>
      <x:c r="I8" s="253"/>
      <x:c r="J8" s="253"/>
      <x:c r="K8" s="253"/>
      <x:c r="L8" s="253"/>
      <x:c r="M8" s="253"/>
      <x:c r="N8" s="253"/>
      <x:c r="O8" s="253" t="str">
        <x:f>IF(TRIM(L8&amp;" "&amp;M8&amp;IF(N8&lt;&gt;""," ("&amp;N8&amp;")",""))="","",TRIM(L8&amp;" "&amp;M8&amp;IF(N8&lt;&gt;""," ("&amp;N8&amp;")","")))</x:f>
      </x:c>
      <x:c r="P8" s="253"/>
      <x:c r="Q8" s="252"/>
      <x:c r="R8" s="253"/>
      <x:c r="S8" s="253"/>
      <x:c r="T8" s="253"/>
      <x:c r="U8" s="253"/>
      <x:c r="V8" s="253"/>
      <x:c r="W8" s="253"/>
      <x:c r="X8" s="253"/>
      <x:c r="Y8" s="252"/>
      <x:c r="Z8" s="252"/>
      <x:c r="AA8" s="253"/>
      <x:c r="AB8" s="253" t="str">
        <x:f>IF(B8="","",IFERROR(INDEX('الزبائن'!$BA$6:$BA$505,MATCH(B8,'الزبائن'!$A$6:$A$505,0)),"source key not found"))</x:f>
      </x:c>
      <x:c r="AC8" s="253" t="str">
        <x:f>IF(B8="","",IFERROR(INDEX('الزبائن'!$BB$6:$BB$505,MATCH(B8,'الزبائن'!$A$6:$A$505,0)),"source key not found"))</x:f>
      </x:c>
      <x:c r="AD8" s="253" t="str">
        <x:f>IF(AND(A8="",C8="",D8="",I8="",L8="",M8=""),"",IF(C8="skip","SKIP",IF(OR(A8="",C8="",D8="",I8="",L8="",M8="",U8="",COUNTIF($A$6:$A$505,A8)&gt;1,AND(B8&lt;&gt;"",COUNTIF('الزبائن'!$A$6:$A$505,B8)=0),(COUNTIFS('أرقام التواصل'!$A$6:$A$505,"proposed_name",'أرقام التواصل'!$B$6:$B$505,A8,'أرقام التواصل'!$I$6:$I$505,"TRUE")+COUNTIFS('أرقام التواصل'!$A$6:$A$505,"proposed_name",'أرقام التواصل'!$B$6:$B$505,A8,'أرقام التواصل'!$C$6:$C$505,1))=0,AND(W8="TRUE",X8="")),"REVIEW","READY")))</x:f>
      </x:c>
      <x:c r="AE8" s="255" t="str">
        <x:f>IF(AD8="","",IF(AD8="READY","",IF(AD8="SKIP","Skipped by candidate_import_action",TRIM(IF(A8="","missing proposed_name_key; ","")&amp;IF(AND(A8&lt;&gt;"",COUNTIF($A$6:$A$505,A8)&gt;1),"duplicate proposed_name_key; ","")&amp;IF(C8="","missing candidate_import_action; ","")&amp;IF(D8="","missing move_reason; ","")&amp;IF(I8="","missing branch_id; ","")&amp;IF(L8="","missing first_name; ","")&amp;IF(M8="","missing last_name; ","")&amp;IF(U8="","missing status; ","")&amp;IF(AND(B8&lt;&gt;"",COUNTIF('الزبائن'!$A$6:$A$505,B8)=0),"source key not found; ","")&amp;IF((COUNTIFS('أرقام التواصل'!$A$6:$A$505,"proposed_name",'أرقام التواصل'!$B$6:$B$505,A8,'أرقام التواصل'!$I$6:$I$505,"TRUE")+COUNTIFS('أرقام التواصل'!$A$6:$A$505,"proposed_name",'أرقام التواصل'!$B$6:$B$505,A8,'أرقام التواصل'!$C$6:$C$505,1))=0,"missing primary contact in أرقام التواصل; ","")&amp;IF(AND(W8="TRUE",X8=""),"duplicate_type required when duplicate_flag TRUE; ","")))))</x:f>
      </x:c>
    </x:row>
    <x:row r="9">
      <x:c r="A9" s="302"/>
      <x:c r="B9" s="252"/>
      <x:c r="C9" s="253"/>
      <x:c r="D9" s="253"/>
      <x:c r="E9" s="253"/>
      <x:c r="F9" s="252"/>
      <x:c r="G9" s="253"/>
      <x:c r="H9" s="272"/>
      <x:c r="I9" s="253"/>
      <x:c r="J9" s="253"/>
      <x:c r="K9" s="253"/>
      <x:c r="L9" s="253"/>
      <x:c r="M9" s="253"/>
      <x:c r="N9" s="253"/>
      <x:c r="O9" s="253" t="str">
        <x:f>IF(TRIM(L9&amp;" "&amp;M9&amp;IF(N9&lt;&gt;""," ("&amp;N9&amp;")",""))="","",TRIM(L9&amp;" "&amp;M9&amp;IF(N9&lt;&gt;""," ("&amp;N9&amp;")","")))</x:f>
      </x:c>
      <x:c r="P9" s="253"/>
      <x:c r="Q9" s="252"/>
      <x:c r="R9" s="253"/>
      <x:c r="S9" s="253"/>
      <x:c r="T9" s="253"/>
      <x:c r="U9" s="253"/>
      <x:c r="V9" s="253"/>
      <x:c r="W9" s="253"/>
      <x:c r="X9" s="253"/>
      <x:c r="Y9" s="252"/>
      <x:c r="Z9" s="252"/>
      <x:c r="AA9" s="253"/>
      <x:c r="AB9" s="253" t="str">
        <x:f>IF(B9="","",IFERROR(INDEX('الزبائن'!$BA$6:$BA$505,MATCH(B9,'الزبائن'!$A$6:$A$505,0)),"source key not found"))</x:f>
      </x:c>
      <x:c r="AC9" s="253" t="str">
        <x:f>IF(B9="","",IFERROR(INDEX('الزبائن'!$BB$6:$BB$505,MATCH(B9,'الزبائن'!$A$6:$A$505,0)),"source key not found"))</x:f>
      </x:c>
      <x:c r="AD9" s="253" t="str">
        <x:f>IF(AND(A9="",C9="",D9="",I9="",L9="",M9=""),"",IF(C9="skip","SKIP",IF(OR(A9="",C9="",D9="",I9="",L9="",M9="",U9="",COUNTIF($A$6:$A$505,A9)&gt;1,AND(B9&lt;&gt;"",COUNTIF('الزبائن'!$A$6:$A$505,B9)=0),(COUNTIFS('أرقام التواصل'!$A$6:$A$505,"proposed_name",'أرقام التواصل'!$B$6:$B$505,A9,'أرقام التواصل'!$I$6:$I$505,"TRUE")+COUNTIFS('أرقام التواصل'!$A$6:$A$505,"proposed_name",'أرقام التواصل'!$B$6:$B$505,A9,'أرقام التواصل'!$C$6:$C$505,1))=0,AND(W9="TRUE",X9="")),"REVIEW","READY")))</x:f>
      </x:c>
      <x:c r="AE9" s="255" t="str">
        <x:f>IF(AD9="","",IF(AD9="READY","",IF(AD9="SKIP","Skipped by candidate_import_action",TRIM(IF(A9="","missing proposed_name_key; ","")&amp;IF(AND(A9&lt;&gt;"",COUNTIF($A$6:$A$505,A9)&gt;1),"duplicate proposed_name_key; ","")&amp;IF(C9="","missing candidate_import_action; ","")&amp;IF(D9="","missing move_reason; ","")&amp;IF(I9="","missing branch_id; ","")&amp;IF(L9="","missing first_name; ","")&amp;IF(M9="","missing last_name; ","")&amp;IF(U9="","missing status; ","")&amp;IF(AND(B9&lt;&gt;"",COUNTIF('الزبائن'!$A$6:$A$505,B9)=0),"source key not found; ","")&amp;IF((COUNTIFS('أرقام التواصل'!$A$6:$A$505,"proposed_name",'أرقام التواصل'!$B$6:$B$505,A9,'أرقام التواصل'!$I$6:$I$505,"TRUE")+COUNTIFS('أرقام التواصل'!$A$6:$A$505,"proposed_name",'أرقام التواصل'!$B$6:$B$505,A9,'أرقام التواصل'!$C$6:$C$505,1))=0,"missing primary contact in أرقام التواصل; ","")&amp;IF(AND(W9="TRUE",X9=""),"duplicate_type required when duplicate_flag TRUE; ","")))))</x:f>
      </x:c>
    </x:row>
    <x:row r="10">
      <x:c r="A10" s="302"/>
      <x:c r="B10" s="252"/>
      <x:c r="C10" s="253"/>
      <x:c r="D10" s="253"/>
      <x:c r="E10" s="253"/>
      <x:c r="F10" s="252"/>
      <x:c r="G10" s="253"/>
      <x:c r="H10" s="272"/>
      <x:c r="I10" s="253"/>
      <x:c r="J10" s="253"/>
      <x:c r="K10" s="253"/>
      <x:c r="L10" s="253"/>
      <x:c r="M10" s="253"/>
      <x:c r="N10" s="253"/>
      <x:c r="O10" s="253" t="str">
        <x:f>IF(TRIM(L10&amp;" "&amp;M10&amp;IF(N10&lt;&gt;""," ("&amp;N10&amp;")",""))="","",TRIM(L10&amp;" "&amp;M10&amp;IF(N10&lt;&gt;""," ("&amp;N10&amp;")","")))</x:f>
      </x:c>
      <x:c r="P10" s="253"/>
      <x:c r="Q10" s="252"/>
      <x:c r="R10" s="253"/>
      <x:c r="S10" s="253"/>
      <x:c r="T10" s="253"/>
      <x:c r="U10" s="253"/>
      <x:c r="V10" s="253"/>
      <x:c r="W10" s="253"/>
      <x:c r="X10" s="253"/>
      <x:c r="Y10" s="252"/>
      <x:c r="Z10" s="252"/>
      <x:c r="AA10" s="253"/>
      <x:c r="AB10" s="253" t="str">
        <x:f>IF(B10="","",IFERROR(INDEX('الزبائن'!$BA$6:$BA$505,MATCH(B10,'الزبائن'!$A$6:$A$505,0)),"source key not found"))</x:f>
      </x:c>
      <x:c r="AC10" s="253" t="str">
        <x:f>IF(B10="","",IFERROR(INDEX('الزبائن'!$BB$6:$BB$505,MATCH(B10,'الزبائن'!$A$6:$A$505,0)),"source key not found"))</x:f>
      </x:c>
      <x:c r="AD10" s="253" t="str">
        <x:f>IF(AND(A10="",C10="",D10="",I10="",L10="",M10=""),"",IF(C10="skip","SKIP",IF(OR(A10="",C10="",D10="",I10="",L10="",M10="",U10="",COUNTIF($A$6:$A$505,A10)&gt;1,AND(B10&lt;&gt;"",COUNTIF('الزبائن'!$A$6:$A$505,B10)=0),(COUNTIFS('أرقام التواصل'!$A$6:$A$505,"proposed_name",'أرقام التواصل'!$B$6:$B$505,A10,'أرقام التواصل'!$I$6:$I$505,"TRUE")+COUNTIFS('أرقام التواصل'!$A$6:$A$505,"proposed_name",'أرقام التواصل'!$B$6:$B$505,A10,'أرقام التواصل'!$C$6:$C$505,1))=0,AND(W10="TRUE",X10="")),"REVIEW","READY")))</x:f>
      </x:c>
      <x:c r="AE10" s="255" t="str">
        <x:f>IF(AD10="","",IF(AD10="READY","",IF(AD10="SKIP","Skipped by candidate_import_action",TRIM(IF(A10="","missing proposed_name_key; ","")&amp;IF(AND(A10&lt;&gt;"",COUNTIF($A$6:$A$505,A10)&gt;1),"duplicate proposed_name_key; ","")&amp;IF(C10="","missing candidate_import_action; ","")&amp;IF(D10="","missing move_reason; ","")&amp;IF(I10="","missing branch_id; ","")&amp;IF(L10="","missing first_name; ","")&amp;IF(M10="","missing last_name; ","")&amp;IF(U10="","missing status; ","")&amp;IF(AND(B10&lt;&gt;"",COUNTIF('الزبائن'!$A$6:$A$505,B10)=0),"source key not found; ","")&amp;IF((COUNTIFS('أرقام التواصل'!$A$6:$A$505,"proposed_name",'أرقام التواصل'!$B$6:$B$505,A10,'أرقام التواصل'!$I$6:$I$505,"TRUE")+COUNTIFS('أرقام التواصل'!$A$6:$A$505,"proposed_name",'أرقام التواصل'!$B$6:$B$505,A10,'أرقام التواصل'!$C$6:$C$505,1))=0,"missing primary contact in أرقام التواصل; ","")&amp;IF(AND(W10="TRUE",X10=""),"duplicate_type required when duplicate_flag TRUE; ","")))))</x:f>
      </x:c>
    </x:row>
    <x:row r="11">
      <x:c r="A11" s="302"/>
      <x:c r="B11" s="252"/>
      <x:c r="C11" s="253"/>
      <x:c r="D11" s="253"/>
      <x:c r="E11" s="253"/>
      <x:c r="F11" s="252"/>
      <x:c r="G11" s="253"/>
      <x:c r="H11" s="272"/>
      <x:c r="I11" s="253"/>
      <x:c r="J11" s="253"/>
      <x:c r="K11" s="253"/>
      <x:c r="L11" s="253"/>
      <x:c r="M11" s="253"/>
      <x:c r="N11" s="253"/>
      <x:c r="O11" s="253" t="str">
        <x:f>IF(TRIM(L11&amp;" "&amp;M11&amp;IF(N11&lt;&gt;""," ("&amp;N11&amp;")",""))="","",TRIM(L11&amp;" "&amp;M11&amp;IF(N11&lt;&gt;""," ("&amp;N11&amp;")","")))</x:f>
      </x:c>
      <x:c r="P11" s="253"/>
      <x:c r="Q11" s="252"/>
      <x:c r="R11" s="253"/>
      <x:c r="S11" s="253"/>
      <x:c r="T11" s="253"/>
      <x:c r="U11" s="253"/>
      <x:c r="V11" s="253"/>
      <x:c r="W11" s="253"/>
      <x:c r="X11" s="253"/>
      <x:c r="Y11" s="252"/>
      <x:c r="Z11" s="252"/>
      <x:c r="AA11" s="253"/>
      <x:c r="AB11" s="253" t="str">
        <x:f>IF(B11="","",IFERROR(INDEX('الزبائن'!$BA$6:$BA$505,MATCH(B11,'الزبائن'!$A$6:$A$505,0)),"source key not found"))</x:f>
      </x:c>
      <x:c r="AC11" s="253" t="str">
        <x:f>IF(B11="","",IFERROR(INDEX('الزبائن'!$BB$6:$BB$505,MATCH(B11,'الزبائن'!$A$6:$A$505,0)),"source key not found"))</x:f>
      </x:c>
      <x:c r="AD11" s="253" t="str">
        <x:f>IF(AND(A11="",C11="",D11="",I11="",L11="",M11=""),"",IF(C11="skip","SKIP",IF(OR(A11="",C11="",D11="",I11="",L11="",M11="",U11="",COUNTIF($A$6:$A$505,A11)&gt;1,AND(B11&lt;&gt;"",COUNTIF('الزبائن'!$A$6:$A$505,B11)=0),(COUNTIFS('أرقام التواصل'!$A$6:$A$505,"proposed_name",'أرقام التواصل'!$B$6:$B$505,A11,'أرقام التواصل'!$I$6:$I$505,"TRUE")+COUNTIFS('أرقام التواصل'!$A$6:$A$505,"proposed_name",'أرقام التواصل'!$B$6:$B$505,A11,'أرقام التواصل'!$C$6:$C$505,1))=0,AND(W11="TRUE",X11="")),"REVIEW","READY")))</x:f>
      </x:c>
      <x:c r="AE11" s="255" t="str">
        <x:f>IF(AD11="","",IF(AD11="READY","",IF(AD11="SKIP","Skipped by candidate_import_action",TRIM(IF(A11="","missing proposed_name_key; ","")&amp;IF(AND(A11&lt;&gt;"",COUNTIF($A$6:$A$505,A11)&gt;1),"duplicate proposed_name_key; ","")&amp;IF(C11="","missing candidate_import_action; ","")&amp;IF(D11="","missing move_reason; ","")&amp;IF(I11="","missing branch_id; ","")&amp;IF(L11="","missing first_name; ","")&amp;IF(M11="","missing last_name; ","")&amp;IF(U11="","missing status; ","")&amp;IF(AND(B11&lt;&gt;"",COUNTIF('الزبائن'!$A$6:$A$505,B11)=0),"source key not found; ","")&amp;IF((COUNTIFS('أرقام التواصل'!$A$6:$A$505,"proposed_name",'أرقام التواصل'!$B$6:$B$505,A11,'أرقام التواصل'!$I$6:$I$505,"TRUE")+COUNTIFS('أرقام التواصل'!$A$6:$A$505,"proposed_name",'أرقام التواصل'!$B$6:$B$505,A11,'أرقام التواصل'!$C$6:$C$505,1))=0,"missing primary contact in أرقام التواصل; ","")&amp;IF(AND(W11="TRUE",X11=""),"duplicate_type required when duplicate_flag TRUE; ","")))))</x:f>
      </x:c>
    </x:row>
    <x:row r="12">
      <x:c r="A12" s="302"/>
      <x:c r="B12" s="252"/>
      <x:c r="C12" s="253"/>
      <x:c r="D12" s="253"/>
      <x:c r="E12" s="253"/>
      <x:c r="F12" s="252"/>
      <x:c r="G12" s="253"/>
      <x:c r="H12" s="272"/>
      <x:c r="I12" s="253"/>
      <x:c r="J12" s="253"/>
      <x:c r="K12" s="253"/>
      <x:c r="L12" s="253"/>
      <x:c r="M12" s="253"/>
      <x:c r="N12" s="253"/>
      <x:c r="O12" s="253" t="str">
        <x:f>IF(TRIM(L12&amp;" "&amp;M12&amp;IF(N12&lt;&gt;""," ("&amp;N12&amp;")",""))="","",TRIM(L12&amp;" "&amp;M12&amp;IF(N12&lt;&gt;""," ("&amp;N12&amp;")","")))</x:f>
      </x:c>
      <x:c r="P12" s="253"/>
      <x:c r="Q12" s="252"/>
      <x:c r="R12" s="253"/>
      <x:c r="S12" s="253"/>
      <x:c r="T12" s="253"/>
      <x:c r="U12" s="253"/>
      <x:c r="V12" s="253"/>
      <x:c r="W12" s="253"/>
      <x:c r="X12" s="253"/>
      <x:c r="Y12" s="252"/>
      <x:c r="Z12" s="252"/>
      <x:c r="AA12" s="253"/>
      <x:c r="AB12" s="253" t="str">
        <x:f>IF(B12="","",IFERROR(INDEX('الزبائن'!$BA$6:$BA$505,MATCH(B12,'الزبائن'!$A$6:$A$505,0)),"source key not found"))</x:f>
      </x:c>
      <x:c r="AC12" s="253" t="str">
        <x:f>IF(B12="","",IFERROR(INDEX('الزبائن'!$BB$6:$BB$505,MATCH(B12,'الزبائن'!$A$6:$A$505,0)),"source key not found"))</x:f>
      </x:c>
      <x:c r="AD12" s="253" t="str">
        <x:f>IF(AND(A12="",C12="",D12="",I12="",L12="",M12=""),"",IF(C12="skip","SKIP",IF(OR(A12="",C12="",D12="",I12="",L12="",M12="",U12="",COUNTIF($A$6:$A$505,A12)&gt;1,AND(B12&lt;&gt;"",COUNTIF('الزبائن'!$A$6:$A$505,B12)=0),(COUNTIFS('أرقام التواصل'!$A$6:$A$505,"proposed_name",'أرقام التواصل'!$B$6:$B$505,A12,'أرقام التواصل'!$I$6:$I$505,"TRUE")+COUNTIFS('أرقام التواصل'!$A$6:$A$505,"proposed_name",'أرقام التواصل'!$B$6:$B$505,A12,'أرقام التواصل'!$C$6:$C$505,1))=0,AND(W12="TRUE",X12="")),"REVIEW","READY")))</x:f>
      </x:c>
      <x:c r="AE12" s="255" t="str">
        <x:f>IF(AD12="","",IF(AD12="READY","",IF(AD12="SKIP","Skipped by candidate_import_action",TRIM(IF(A12="","missing proposed_name_key; ","")&amp;IF(AND(A12&lt;&gt;"",COUNTIF($A$6:$A$505,A12)&gt;1),"duplicate proposed_name_key; ","")&amp;IF(C12="","missing candidate_import_action; ","")&amp;IF(D12="","missing move_reason; ","")&amp;IF(I12="","missing branch_id; ","")&amp;IF(L12="","missing first_name; ","")&amp;IF(M12="","missing last_name; ","")&amp;IF(U12="","missing status; ","")&amp;IF(AND(B12&lt;&gt;"",COUNTIF('الزبائن'!$A$6:$A$505,B12)=0),"source key not found; ","")&amp;IF((COUNTIFS('أرقام التواصل'!$A$6:$A$505,"proposed_name",'أرقام التواصل'!$B$6:$B$505,A12,'أرقام التواصل'!$I$6:$I$505,"TRUE")+COUNTIFS('أرقام التواصل'!$A$6:$A$505,"proposed_name",'أرقام التواصل'!$B$6:$B$505,A12,'أرقام التواصل'!$C$6:$C$505,1))=0,"missing primary contact in أرقام التواصل; ","")&amp;IF(AND(W12="TRUE",X12=""),"duplicate_type required when duplicate_flag TRUE; ","")))))</x:f>
      </x:c>
    </x:row>
    <x:row r="13">
      <x:c r="A13" s="302"/>
      <x:c r="B13" s="252"/>
      <x:c r="C13" s="253"/>
      <x:c r="D13" s="253"/>
      <x:c r="E13" s="253"/>
      <x:c r="F13" s="252"/>
      <x:c r="G13" s="253"/>
      <x:c r="H13" s="272"/>
      <x:c r="I13" s="253"/>
      <x:c r="J13" s="253"/>
      <x:c r="K13" s="253"/>
      <x:c r="L13" s="253"/>
      <x:c r="M13" s="253"/>
      <x:c r="N13" s="253"/>
      <x:c r="O13" s="253" t="str">
        <x:f>IF(TRIM(L13&amp;" "&amp;M13&amp;IF(N13&lt;&gt;""," ("&amp;N13&amp;")",""))="","",TRIM(L13&amp;" "&amp;M13&amp;IF(N13&lt;&gt;""," ("&amp;N13&amp;")","")))</x:f>
      </x:c>
      <x:c r="P13" s="253"/>
      <x:c r="Q13" s="252"/>
      <x:c r="R13" s="253"/>
      <x:c r="S13" s="253"/>
      <x:c r="T13" s="253"/>
      <x:c r="U13" s="253"/>
      <x:c r="V13" s="253"/>
      <x:c r="W13" s="253"/>
      <x:c r="X13" s="253"/>
      <x:c r="Y13" s="252"/>
      <x:c r="Z13" s="252"/>
      <x:c r="AA13" s="253"/>
      <x:c r="AB13" s="253" t="str">
        <x:f>IF(B13="","",IFERROR(INDEX('الزبائن'!$BA$6:$BA$505,MATCH(B13,'الزبائن'!$A$6:$A$505,0)),"source key not found"))</x:f>
      </x:c>
      <x:c r="AC13" s="253" t="str">
        <x:f>IF(B13="","",IFERROR(INDEX('الزبائن'!$BB$6:$BB$505,MATCH(B13,'الزبائن'!$A$6:$A$505,0)),"source key not found"))</x:f>
      </x:c>
      <x:c r="AD13" s="253" t="str">
        <x:f>IF(AND(A13="",C13="",D13="",I13="",L13="",M13=""),"",IF(C13="skip","SKIP",IF(OR(A13="",C13="",D13="",I13="",L13="",M13="",U13="",COUNTIF($A$6:$A$505,A13)&gt;1,AND(B13&lt;&gt;"",COUNTIF('الزبائن'!$A$6:$A$505,B13)=0),(COUNTIFS('أرقام التواصل'!$A$6:$A$505,"proposed_name",'أرقام التواصل'!$B$6:$B$505,A13,'أرقام التواصل'!$I$6:$I$505,"TRUE")+COUNTIFS('أرقام التواصل'!$A$6:$A$505,"proposed_name",'أرقام التواصل'!$B$6:$B$505,A13,'أرقام التواصل'!$C$6:$C$505,1))=0,AND(W13="TRUE",X13="")),"REVIEW","READY")))</x:f>
      </x:c>
      <x:c r="AE13" s="255" t="str">
        <x:f>IF(AD13="","",IF(AD13="READY","",IF(AD13="SKIP","Skipped by candidate_import_action",TRIM(IF(A13="","missing proposed_name_key; ","")&amp;IF(AND(A13&lt;&gt;"",COUNTIF($A$6:$A$505,A13)&gt;1),"duplicate proposed_name_key; ","")&amp;IF(C13="","missing candidate_import_action; ","")&amp;IF(D13="","missing move_reason; ","")&amp;IF(I13="","missing branch_id; ","")&amp;IF(L13="","missing first_name; ","")&amp;IF(M13="","missing last_name; ","")&amp;IF(U13="","missing status; ","")&amp;IF(AND(B13&lt;&gt;"",COUNTIF('الزبائن'!$A$6:$A$505,B13)=0),"source key not found; ","")&amp;IF((COUNTIFS('أرقام التواصل'!$A$6:$A$505,"proposed_name",'أرقام التواصل'!$B$6:$B$505,A13,'أرقام التواصل'!$I$6:$I$505,"TRUE")+COUNTIFS('أرقام التواصل'!$A$6:$A$505,"proposed_name",'أرقام التواصل'!$B$6:$B$505,A13,'أرقام التواصل'!$C$6:$C$505,1))=0,"missing primary contact in أرقام التواصل; ","")&amp;IF(AND(W13="TRUE",X13=""),"duplicate_type required when duplicate_flag TRUE; ","")))))</x:f>
      </x:c>
    </x:row>
    <x:row r="14">
      <x:c r="A14" s="302"/>
      <x:c r="B14" s="252"/>
      <x:c r="C14" s="253"/>
      <x:c r="D14" s="253"/>
      <x:c r="E14" s="253"/>
      <x:c r="F14" s="252"/>
      <x:c r="G14" s="253"/>
      <x:c r="H14" s="272"/>
      <x:c r="I14" s="253"/>
      <x:c r="J14" s="253"/>
      <x:c r="K14" s="253"/>
      <x:c r="L14" s="253"/>
      <x:c r="M14" s="253"/>
      <x:c r="N14" s="253"/>
      <x:c r="O14" s="253" t="str">
        <x:f>IF(TRIM(L14&amp;" "&amp;M14&amp;IF(N14&lt;&gt;""," ("&amp;N14&amp;")",""))="","",TRIM(L14&amp;" "&amp;M14&amp;IF(N14&lt;&gt;""," ("&amp;N14&amp;")","")))</x:f>
      </x:c>
      <x:c r="P14" s="253"/>
      <x:c r="Q14" s="252"/>
      <x:c r="R14" s="253"/>
      <x:c r="S14" s="253"/>
      <x:c r="T14" s="253"/>
      <x:c r="U14" s="253"/>
      <x:c r="V14" s="253"/>
      <x:c r="W14" s="253"/>
      <x:c r="X14" s="253"/>
      <x:c r="Y14" s="252"/>
      <x:c r="Z14" s="252"/>
      <x:c r="AA14" s="253"/>
      <x:c r="AB14" s="253" t="str">
        <x:f>IF(B14="","",IFERROR(INDEX('الزبائن'!$BA$6:$BA$505,MATCH(B14,'الزبائن'!$A$6:$A$505,0)),"source key not found"))</x:f>
      </x:c>
      <x:c r="AC14" s="253" t="str">
        <x:f>IF(B14="","",IFERROR(INDEX('الزبائن'!$BB$6:$BB$505,MATCH(B14,'الزبائن'!$A$6:$A$505,0)),"source key not found"))</x:f>
      </x:c>
      <x:c r="AD14" s="253" t="str">
        <x:f>IF(AND(A14="",C14="",D14="",I14="",L14="",M14=""),"",IF(C14="skip","SKIP",IF(OR(A14="",C14="",D14="",I14="",L14="",M14="",U14="",COUNTIF($A$6:$A$505,A14)&gt;1,AND(B14&lt;&gt;"",COUNTIF('الزبائن'!$A$6:$A$505,B14)=0),(COUNTIFS('أرقام التواصل'!$A$6:$A$505,"proposed_name",'أرقام التواصل'!$B$6:$B$505,A14,'أرقام التواصل'!$I$6:$I$505,"TRUE")+COUNTIFS('أرقام التواصل'!$A$6:$A$505,"proposed_name",'أرقام التواصل'!$B$6:$B$505,A14,'أرقام التواصل'!$C$6:$C$505,1))=0,AND(W14="TRUE",X14="")),"REVIEW","READY")))</x:f>
      </x:c>
      <x:c r="AE14" s="255" t="str">
        <x:f>IF(AD14="","",IF(AD14="READY","",IF(AD14="SKIP","Skipped by candidate_import_action",TRIM(IF(A14="","missing proposed_name_key; ","")&amp;IF(AND(A14&lt;&gt;"",COUNTIF($A$6:$A$505,A14)&gt;1),"duplicate proposed_name_key; ","")&amp;IF(C14="","missing candidate_import_action; ","")&amp;IF(D14="","missing move_reason; ","")&amp;IF(I14="","missing branch_id; ","")&amp;IF(L14="","missing first_name; ","")&amp;IF(M14="","missing last_name; ","")&amp;IF(U14="","missing status; ","")&amp;IF(AND(B14&lt;&gt;"",COUNTIF('الزبائن'!$A$6:$A$505,B14)=0),"source key not found; ","")&amp;IF((COUNTIFS('أرقام التواصل'!$A$6:$A$505,"proposed_name",'أرقام التواصل'!$B$6:$B$505,A14,'أرقام التواصل'!$I$6:$I$505,"TRUE")+COUNTIFS('أرقام التواصل'!$A$6:$A$505,"proposed_name",'أرقام التواصل'!$B$6:$B$505,A14,'أرقام التواصل'!$C$6:$C$505,1))=0,"missing primary contact in أرقام التواصل; ","")&amp;IF(AND(W14="TRUE",X14=""),"duplicate_type required when duplicate_flag TRUE; ","")))))</x:f>
      </x:c>
    </x:row>
    <x:row r="15">
      <x:c r="A15" s="302"/>
      <x:c r="B15" s="252"/>
      <x:c r="C15" s="253"/>
      <x:c r="D15" s="253"/>
      <x:c r="E15" s="253"/>
      <x:c r="F15" s="252"/>
      <x:c r="G15" s="253"/>
      <x:c r="H15" s="272"/>
      <x:c r="I15" s="253"/>
      <x:c r="J15" s="253"/>
      <x:c r="K15" s="253"/>
      <x:c r="L15" s="253"/>
      <x:c r="M15" s="253"/>
      <x:c r="N15" s="253"/>
      <x:c r="O15" s="253" t="str">
        <x:f>IF(TRIM(L15&amp;" "&amp;M15&amp;IF(N15&lt;&gt;""," ("&amp;N15&amp;")",""))="","",TRIM(L15&amp;" "&amp;M15&amp;IF(N15&lt;&gt;""," ("&amp;N15&amp;")","")))</x:f>
      </x:c>
      <x:c r="P15" s="253"/>
      <x:c r="Q15" s="252"/>
      <x:c r="R15" s="253"/>
      <x:c r="S15" s="253"/>
      <x:c r="T15" s="253"/>
      <x:c r="U15" s="253"/>
      <x:c r="V15" s="253"/>
      <x:c r="W15" s="253"/>
      <x:c r="X15" s="253"/>
      <x:c r="Y15" s="252"/>
      <x:c r="Z15" s="252"/>
      <x:c r="AA15" s="253"/>
      <x:c r="AB15" s="253" t="str">
        <x:f>IF(B15="","",IFERROR(INDEX('الزبائن'!$BA$6:$BA$505,MATCH(B15,'الزبائن'!$A$6:$A$505,0)),"source key not found"))</x:f>
      </x:c>
      <x:c r="AC15" s="253" t="str">
        <x:f>IF(B15="","",IFERROR(INDEX('الزبائن'!$BB$6:$BB$505,MATCH(B15,'الزبائن'!$A$6:$A$505,0)),"source key not found"))</x:f>
      </x:c>
      <x:c r="AD15" s="253" t="str">
        <x:f>IF(AND(A15="",C15="",D15="",I15="",L15="",M15=""),"",IF(C15="skip","SKIP",IF(OR(A15="",C15="",D15="",I15="",L15="",M15="",U15="",COUNTIF($A$6:$A$505,A15)&gt;1,AND(B15&lt;&gt;"",COUNTIF('الزبائن'!$A$6:$A$505,B15)=0),(COUNTIFS('أرقام التواصل'!$A$6:$A$505,"proposed_name",'أرقام التواصل'!$B$6:$B$505,A15,'أرقام التواصل'!$I$6:$I$505,"TRUE")+COUNTIFS('أرقام التواصل'!$A$6:$A$505,"proposed_name",'أرقام التواصل'!$B$6:$B$505,A15,'أرقام التواصل'!$C$6:$C$505,1))=0,AND(W15="TRUE",X15="")),"REVIEW","READY")))</x:f>
      </x:c>
      <x:c r="AE15" s="255" t="str">
        <x:f>IF(AD15="","",IF(AD15="READY","",IF(AD15="SKIP","Skipped by candidate_import_action",TRIM(IF(A15="","missing proposed_name_key; ","")&amp;IF(AND(A15&lt;&gt;"",COUNTIF($A$6:$A$505,A15)&gt;1),"duplicate proposed_name_key; ","")&amp;IF(C15="","missing candidate_import_action; ","")&amp;IF(D15="","missing move_reason; ","")&amp;IF(I15="","missing branch_id; ","")&amp;IF(L15="","missing first_name; ","")&amp;IF(M15="","missing last_name; ","")&amp;IF(U15="","missing status; ","")&amp;IF(AND(B15&lt;&gt;"",COUNTIF('الزبائن'!$A$6:$A$505,B15)=0),"source key not found; ","")&amp;IF((COUNTIFS('أرقام التواصل'!$A$6:$A$505,"proposed_name",'أرقام التواصل'!$B$6:$B$505,A15,'أرقام التواصل'!$I$6:$I$505,"TRUE")+COUNTIFS('أرقام التواصل'!$A$6:$A$505,"proposed_name",'أرقام التواصل'!$B$6:$B$505,A15,'أرقام التواصل'!$C$6:$C$505,1))=0,"missing primary contact in أرقام التواصل; ","")&amp;IF(AND(W15="TRUE",X15=""),"duplicate_type required when duplicate_flag TRUE; ","")))))</x:f>
      </x:c>
    </x:row>
    <x:row r="16">
      <x:c r="A16" s="302"/>
      <x:c r="B16" s="252"/>
      <x:c r="C16" s="253"/>
      <x:c r="D16" s="253"/>
      <x:c r="E16" s="253"/>
      <x:c r="F16" s="252"/>
      <x:c r="G16" s="253"/>
      <x:c r="H16" s="272"/>
      <x:c r="I16" s="253"/>
      <x:c r="J16" s="253"/>
      <x:c r="K16" s="253"/>
      <x:c r="L16" s="253"/>
      <x:c r="M16" s="253"/>
      <x:c r="N16" s="253"/>
      <x:c r="O16" s="253" t="str">
        <x:f>IF(TRIM(L16&amp;" "&amp;M16&amp;IF(N16&lt;&gt;""," ("&amp;N16&amp;")",""))="","",TRIM(L16&amp;" "&amp;M16&amp;IF(N16&lt;&gt;""," ("&amp;N16&amp;")","")))</x:f>
      </x:c>
      <x:c r="P16" s="253"/>
      <x:c r="Q16" s="252"/>
      <x:c r="R16" s="253"/>
      <x:c r="S16" s="253"/>
      <x:c r="T16" s="253"/>
      <x:c r="U16" s="253"/>
      <x:c r="V16" s="253"/>
      <x:c r="W16" s="253"/>
      <x:c r="X16" s="253"/>
      <x:c r="Y16" s="252"/>
      <x:c r="Z16" s="252"/>
      <x:c r="AA16" s="253"/>
      <x:c r="AB16" s="253" t="str">
        <x:f>IF(B16="","",IFERROR(INDEX('الزبائن'!$BA$6:$BA$505,MATCH(B16,'الزبائن'!$A$6:$A$505,0)),"source key not found"))</x:f>
      </x:c>
      <x:c r="AC16" s="253" t="str">
        <x:f>IF(B16="","",IFERROR(INDEX('الزبائن'!$BB$6:$BB$505,MATCH(B16,'الزبائن'!$A$6:$A$505,0)),"source key not found"))</x:f>
      </x:c>
      <x:c r="AD16" s="253" t="str">
        <x:f>IF(AND(A16="",C16="",D16="",I16="",L16="",M16=""),"",IF(C16="skip","SKIP",IF(OR(A16="",C16="",D16="",I16="",L16="",M16="",U16="",COUNTIF($A$6:$A$505,A16)&gt;1,AND(B16&lt;&gt;"",COUNTIF('الزبائن'!$A$6:$A$505,B16)=0),(COUNTIFS('أرقام التواصل'!$A$6:$A$505,"proposed_name",'أرقام التواصل'!$B$6:$B$505,A16,'أرقام التواصل'!$I$6:$I$505,"TRUE")+COUNTIFS('أرقام التواصل'!$A$6:$A$505,"proposed_name",'أرقام التواصل'!$B$6:$B$505,A16,'أرقام التواصل'!$C$6:$C$505,1))=0,AND(W16="TRUE",X16="")),"REVIEW","READY")))</x:f>
      </x:c>
      <x:c r="AE16" s="255" t="str">
        <x:f>IF(AD16="","",IF(AD16="READY","",IF(AD16="SKIP","Skipped by candidate_import_action",TRIM(IF(A16="","missing proposed_name_key; ","")&amp;IF(AND(A16&lt;&gt;"",COUNTIF($A$6:$A$505,A16)&gt;1),"duplicate proposed_name_key; ","")&amp;IF(C16="","missing candidate_import_action; ","")&amp;IF(D16="","missing move_reason; ","")&amp;IF(I16="","missing branch_id; ","")&amp;IF(L16="","missing first_name; ","")&amp;IF(M16="","missing last_name; ","")&amp;IF(U16="","missing status; ","")&amp;IF(AND(B16&lt;&gt;"",COUNTIF('الزبائن'!$A$6:$A$505,B16)=0),"source key not found; ","")&amp;IF((COUNTIFS('أرقام التواصل'!$A$6:$A$505,"proposed_name",'أرقام التواصل'!$B$6:$B$505,A16,'أرقام التواصل'!$I$6:$I$505,"TRUE")+COUNTIFS('أرقام التواصل'!$A$6:$A$505,"proposed_name",'أرقام التواصل'!$B$6:$B$505,A16,'أرقام التواصل'!$C$6:$C$505,1))=0,"missing primary contact in أرقام التواصل; ","")&amp;IF(AND(W16="TRUE",X16=""),"duplicate_type required when duplicate_flag TRUE; ","")))))</x:f>
      </x:c>
    </x:row>
    <x:row r="17">
      <x:c r="A17" s="302"/>
      <x:c r="B17" s="252"/>
      <x:c r="C17" s="253"/>
      <x:c r="D17" s="253"/>
      <x:c r="E17" s="253"/>
      <x:c r="F17" s="252"/>
      <x:c r="G17" s="253"/>
      <x:c r="H17" s="272"/>
      <x:c r="I17" s="253"/>
      <x:c r="J17" s="253"/>
      <x:c r="K17" s="253"/>
      <x:c r="L17" s="253"/>
      <x:c r="M17" s="253"/>
      <x:c r="N17" s="253"/>
      <x:c r="O17" s="253" t="str">
        <x:f>IF(TRIM(L17&amp;" "&amp;M17&amp;IF(N17&lt;&gt;""," ("&amp;N17&amp;")",""))="","",TRIM(L17&amp;" "&amp;M17&amp;IF(N17&lt;&gt;""," ("&amp;N17&amp;")","")))</x:f>
      </x:c>
      <x:c r="P17" s="253"/>
      <x:c r="Q17" s="252"/>
      <x:c r="R17" s="253"/>
      <x:c r="S17" s="253"/>
      <x:c r="T17" s="253"/>
      <x:c r="U17" s="253"/>
      <x:c r="V17" s="253"/>
      <x:c r="W17" s="253"/>
      <x:c r="X17" s="253"/>
      <x:c r="Y17" s="252"/>
      <x:c r="Z17" s="252"/>
      <x:c r="AA17" s="253"/>
      <x:c r="AB17" s="253" t="str">
        <x:f>IF(B17="","",IFERROR(INDEX('الزبائن'!$BA$6:$BA$505,MATCH(B17,'الزبائن'!$A$6:$A$505,0)),"source key not found"))</x:f>
      </x:c>
      <x:c r="AC17" s="253" t="str">
        <x:f>IF(B17="","",IFERROR(INDEX('الزبائن'!$BB$6:$BB$505,MATCH(B17,'الزبائن'!$A$6:$A$505,0)),"source key not found"))</x:f>
      </x:c>
      <x:c r="AD17" s="253" t="str">
        <x:f>IF(AND(A17="",C17="",D17="",I17="",L17="",M17=""),"",IF(C17="skip","SKIP",IF(OR(A17="",C17="",D17="",I17="",L17="",M17="",U17="",COUNTIF($A$6:$A$505,A17)&gt;1,AND(B17&lt;&gt;"",COUNTIF('الزبائن'!$A$6:$A$505,B17)=0),(COUNTIFS('أرقام التواصل'!$A$6:$A$505,"proposed_name",'أرقام التواصل'!$B$6:$B$505,A17,'أرقام التواصل'!$I$6:$I$505,"TRUE")+COUNTIFS('أرقام التواصل'!$A$6:$A$505,"proposed_name",'أرقام التواصل'!$B$6:$B$505,A17,'أرقام التواصل'!$C$6:$C$505,1))=0,AND(W17="TRUE",X17="")),"REVIEW","READY")))</x:f>
      </x:c>
      <x:c r="AE17" s="255" t="str">
        <x:f>IF(AD17="","",IF(AD17="READY","",IF(AD17="SKIP","Skipped by candidate_import_action",TRIM(IF(A17="","missing proposed_name_key; ","")&amp;IF(AND(A17&lt;&gt;"",COUNTIF($A$6:$A$505,A17)&gt;1),"duplicate proposed_name_key; ","")&amp;IF(C17="","missing candidate_import_action; ","")&amp;IF(D17="","missing move_reason; ","")&amp;IF(I17="","missing branch_id; ","")&amp;IF(L17="","missing first_name; ","")&amp;IF(M17="","missing last_name; ","")&amp;IF(U17="","missing status; ","")&amp;IF(AND(B17&lt;&gt;"",COUNTIF('الزبائن'!$A$6:$A$505,B17)=0),"source key not found; ","")&amp;IF((COUNTIFS('أرقام التواصل'!$A$6:$A$505,"proposed_name",'أرقام التواصل'!$B$6:$B$505,A17,'أرقام التواصل'!$I$6:$I$505,"TRUE")+COUNTIFS('أرقام التواصل'!$A$6:$A$505,"proposed_name",'أرقام التواصل'!$B$6:$B$505,A17,'أرقام التواصل'!$C$6:$C$505,1))=0,"missing primary contact in أرقام التواصل; ","")&amp;IF(AND(W17="TRUE",X17=""),"duplicate_type required when duplicate_flag TRUE; ","")))))</x:f>
      </x:c>
    </x:row>
    <x:row r="18">
      <x:c r="A18" s="302"/>
      <x:c r="B18" s="252"/>
      <x:c r="C18" s="253"/>
      <x:c r="D18" s="253"/>
      <x:c r="E18" s="253"/>
      <x:c r="F18" s="252"/>
      <x:c r="G18" s="253"/>
      <x:c r="H18" s="272"/>
      <x:c r="I18" s="253"/>
      <x:c r="J18" s="253"/>
      <x:c r="K18" s="253"/>
      <x:c r="L18" s="253"/>
      <x:c r="M18" s="253"/>
      <x:c r="N18" s="253"/>
      <x:c r="O18" s="253" t="str">
        <x:f>IF(TRIM(L18&amp;" "&amp;M18&amp;IF(N18&lt;&gt;""," ("&amp;N18&amp;")",""))="","",TRIM(L18&amp;" "&amp;M18&amp;IF(N18&lt;&gt;""," ("&amp;N18&amp;")","")))</x:f>
      </x:c>
      <x:c r="P18" s="253"/>
      <x:c r="Q18" s="252"/>
      <x:c r="R18" s="253"/>
      <x:c r="S18" s="253"/>
      <x:c r="T18" s="253"/>
      <x:c r="U18" s="253"/>
      <x:c r="V18" s="253"/>
      <x:c r="W18" s="253"/>
      <x:c r="X18" s="253"/>
      <x:c r="Y18" s="252"/>
      <x:c r="Z18" s="252"/>
      <x:c r="AA18" s="253"/>
      <x:c r="AB18" s="253" t="str">
        <x:f>IF(B18="","",IFERROR(INDEX('الزبائن'!$BA$6:$BA$505,MATCH(B18,'الزبائن'!$A$6:$A$505,0)),"source key not found"))</x:f>
      </x:c>
      <x:c r="AC18" s="253" t="str">
        <x:f>IF(B18="","",IFERROR(INDEX('الزبائن'!$BB$6:$BB$505,MATCH(B18,'الزبائن'!$A$6:$A$505,0)),"source key not found"))</x:f>
      </x:c>
      <x:c r="AD18" s="253" t="str">
        <x:f>IF(AND(A18="",C18="",D18="",I18="",L18="",M18=""),"",IF(C18="skip","SKIP",IF(OR(A18="",C18="",D18="",I18="",L18="",M18="",U18="",COUNTIF($A$6:$A$505,A18)&gt;1,AND(B18&lt;&gt;"",COUNTIF('الزبائن'!$A$6:$A$505,B18)=0),(COUNTIFS('أرقام التواصل'!$A$6:$A$505,"proposed_name",'أرقام التواصل'!$B$6:$B$505,A18,'أرقام التواصل'!$I$6:$I$505,"TRUE")+COUNTIFS('أرقام التواصل'!$A$6:$A$505,"proposed_name",'أرقام التواصل'!$B$6:$B$505,A18,'أرقام التواصل'!$C$6:$C$505,1))=0,AND(W18="TRUE",X18="")),"REVIEW","READY")))</x:f>
      </x:c>
      <x:c r="AE18" s="255" t="str">
        <x:f>IF(AD18="","",IF(AD18="READY","",IF(AD18="SKIP","Skipped by candidate_import_action",TRIM(IF(A18="","missing proposed_name_key; ","")&amp;IF(AND(A18&lt;&gt;"",COUNTIF($A$6:$A$505,A18)&gt;1),"duplicate proposed_name_key; ","")&amp;IF(C18="","missing candidate_import_action; ","")&amp;IF(D18="","missing move_reason; ","")&amp;IF(I18="","missing branch_id; ","")&amp;IF(L18="","missing first_name; ","")&amp;IF(M18="","missing last_name; ","")&amp;IF(U18="","missing status; ","")&amp;IF(AND(B18&lt;&gt;"",COUNTIF('الزبائن'!$A$6:$A$505,B18)=0),"source key not found; ","")&amp;IF((COUNTIFS('أرقام التواصل'!$A$6:$A$505,"proposed_name",'أرقام التواصل'!$B$6:$B$505,A18,'أرقام التواصل'!$I$6:$I$505,"TRUE")+COUNTIFS('أرقام التواصل'!$A$6:$A$505,"proposed_name",'أرقام التواصل'!$B$6:$B$505,A18,'أرقام التواصل'!$C$6:$C$505,1))=0,"missing primary contact in أرقام التواصل; ","")&amp;IF(AND(W18="TRUE",X18=""),"duplicate_type required when duplicate_flag TRUE; ","")))))</x:f>
      </x:c>
    </x:row>
    <x:row r="19">
      <x:c r="A19" s="302"/>
      <x:c r="B19" s="252"/>
      <x:c r="C19" s="253"/>
      <x:c r="D19" s="253"/>
      <x:c r="E19" s="253"/>
      <x:c r="F19" s="252"/>
      <x:c r="G19" s="253"/>
      <x:c r="H19" s="272"/>
      <x:c r="I19" s="253"/>
      <x:c r="J19" s="253"/>
      <x:c r="K19" s="253"/>
      <x:c r="L19" s="253"/>
      <x:c r="M19" s="253"/>
      <x:c r="N19" s="253"/>
      <x:c r="O19" s="253" t="str">
        <x:f>IF(TRIM(L19&amp;" "&amp;M19&amp;IF(N19&lt;&gt;""," ("&amp;N19&amp;")",""))="","",TRIM(L19&amp;" "&amp;M19&amp;IF(N19&lt;&gt;""," ("&amp;N19&amp;")","")))</x:f>
      </x:c>
      <x:c r="P19" s="253"/>
      <x:c r="Q19" s="252"/>
      <x:c r="R19" s="253"/>
      <x:c r="S19" s="253"/>
      <x:c r="T19" s="253"/>
      <x:c r="U19" s="253"/>
      <x:c r="V19" s="253"/>
      <x:c r="W19" s="253"/>
      <x:c r="X19" s="253"/>
      <x:c r="Y19" s="252"/>
      <x:c r="Z19" s="252"/>
      <x:c r="AA19" s="253"/>
      <x:c r="AB19" s="253" t="str">
        <x:f>IF(B19="","",IFERROR(INDEX('الزبائن'!$BA$6:$BA$505,MATCH(B19,'الزبائن'!$A$6:$A$505,0)),"source key not found"))</x:f>
      </x:c>
      <x:c r="AC19" s="253" t="str">
        <x:f>IF(B19="","",IFERROR(INDEX('الزبائن'!$BB$6:$BB$505,MATCH(B19,'الزبائن'!$A$6:$A$505,0)),"source key not found"))</x:f>
      </x:c>
      <x:c r="AD19" s="253" t="str">
        <x:f>IF(AND(A19="",C19="",D19="",I19="",L19="",M19=""),"",IF(C19="skip","SKIP",IF(OR(A19="",C19="",D19="",I19="",L19="",M19="",U19="",COUNTIF($A$6:$A$505,A19)&gt;1,AND(B19&lt;&gt;"",COUNTIF('الزبائن'!$A$6:$A$505,B19)=0),(COUNTIFS('أرقام التواصل'!$A$6:$A$505,"proposed_name",'أرقام التواصل'!$B$6:$B$505,A19,'أرقام التواصل'!$I$6:$I$505,"TRUE")+COUNTIFS('أرقام التواصل'!$A$6:$A$505,"proposed_name",'أرقام التواصل'!$B$6:$B$505,A19,'أرقام التواصل'!$C$6:$C$505,1))=0,AND(W19="TRUE",X19="")),"REVIEW","READY")))</x:f>
      </x:c>
      <x:c r="AE19" s="255" t="str">
        <x:f>IF(AD19="","",IF(AD19="READY","",IF(AD19="SKIP","Skipped by candidate_import_action",TRIM(IF(A19="","missing proposed_name_key; ","")&amp;IF(AND(A19&lt;&gt;"",COUNTIF($A$6:$A$505,A19)&gt;1),"duplicate proposed_name_key; ","")&amp;IF(C19="","missing candidate_import_action; ","")&amp;IF(D19="","missing move_reason; ","")&amp;IF(I19="","missing branch_id; ","")&amp;IF(L19="","missing first_name; ","")&amp;IF(M19="","missing last_name; ","")&amp;IF(U19="","missing status; ","")&amp;IF(AND(B19&lt;&gt;"",COUNTIF('الزبائن'!$A$6:$A$505,B19)=0),"source key not found; ","")&amp;IF((COUNTIFS('أرقام التواصل'!$A$6:$A$505,"proposed_name",'أرقام التواصل'!$B$6:$B$505,A19,'أرقام التواصل'!$I$6:$I$505,"TRUE")+COUNTIFS('أرقام التواصل'!$A$6:$A$505,"proposed_name",'أرقام التواصل'!$B$6:$B$505,A19,'أرقام التواصل'!$C$6:$C$505,1))=0,"missing primary contact in أرقام التواصل; ","")&amp;IF(AND(W19="TRUE",X19=""),"duplicate_type required when duplicate_flag TRUE; ","")))))</x:f>
      </x:c>
    </x:row>
    <x:row r="20">
      <x:c r="A20" s="302"/>
      <x:c r="B20" s="252"/>
      <x:c r="C20" s="253"/>
      <x:c r="D20" s="253"/>
      <x:c r="E20" s="253"/>
      <x:c r="F20" s="252"/>
      <x:c r="G20" s="253"/>
      <x:c r="H20" s="272"/>
      <x:c r="I20" s="253"/>
      <x:c r="J20" s="253"/>
      <x:c r="K20" s="253"/>
      <x:c r="L20" s="253"/>
      <x:c r="M20" s="253"/>
      <x:c r="N20" s="253"/>
      <x:c r="O20" s="253" t="str">
        <x:f>IF(TRIM(L20&amp;" "&amp;M20&amp;IF(N20&lt;&gt;""," ("&amp;N20&amp;")",""))="","",TRIM(L20&amp;" "&amp;M20&amp;IF(N20&lt;&gt;""," ("&amp;N20&amp;")","")))</x:f>
      </x:c>
      <x:c r="P20" s="253"/>
      <x:c r="Q20" s="252"/>
      <x:c r="R20" s="253"/>
      <x:c r="S20" s="253"/>
      <x:c r="T20" s="253"/>
      <x:c r="U20" s="253"/>
      <x:c r="V20" s="253"/>
      <x:c r="W20" s="253"/>
      <x:c r="X20" s="253"/>
      <x:c r="Y20" s="252"/>
      <x:c r="Z20" s="252"/>
      <x:c r="AA20" s="253"/>
      <x:c r="AB20" s="253" t="str">
        <x:f>IF(B20="","",IFERROR(INDEX('الزبائن'!$BA$6:$BA$505,MATCH(B20,'الزبائن'!$A$6:$A$505,0)),"source key not found"))</x:f>
      </x:c>
      <x:c r="AC20" s="253" t="str">
        <x:f>IF(B20="","",IFERROR(INDEX('الزبائن'!$BB$6:$BB$505,MATCH(B20,'الزبائن'!$A$6:$A$505,0)),"source key not found"))</x:f>
      </x:c>
      <x:c r="AD20" s="253" t="str">
        <x:f>IF(AND(A20="",C20="",D20="",I20="",L20="",M20=""),"",IF(C20="skip","SKIP",IF(OR(A20="",C20="",D20="",I20="",L20="",M20="",U20="",COUNTIF($A$6:$A$505,A20)&gt;1,AND(B20&lt;&gt;"",COUNTIF('الزبائن'!$A$6:$A$505,B20)=0),(COUNTIFS('أرقام التواصل'!$A$6:$A$505,"proposed_name",'أرقام التواصل'!$B$6:$B$505,A20,'أرقام التواصل'!$I$6:$I$505,"TRUE")+COUNTIFS('أرقام التواصل'!$A$6:$A$505,"proposed_name",'أرقام التواصل'!$B$6:$B$505,A20,'أرقام التواصل'!$C$6:$C$505,1))=0,AND(W20="TRUE",X20="")),"REVIEW","READY")))</x:f>
      </x:c>
      <x:c r="AE20" s="255" t="str">
        <x:f>IF(AD20="","",IF(AD20="READY","",IF(AD20="SKIP","Skipped by candidate_import_action",TRIM(IF(A20="","missing proposed_name_key; ","")&amp;IF(AND(A20&lt;&gt;"",COUNTIF($A$6:$A$505,A20)&gt;1),"duplicate proposed_name_key; ","")&amp;IF(C20="","missing candidate_import_action; ","")&amp;IF(D20="","missing move_reason; ","")&amp;IF(I20="","missing branch_id; ","")&amp;IF(L20="","missing first_name; ","")&amp;IF(M20="","missing last_name; ","")&amp;IF(U20="","missing status; ","")&amp;IF(AND(B20&lt;&gt;"",COUNTIF('الزبائن'!$A$6:$A$505,B20)=0),"source key not found; ","")&amp;IF((COUNTIFS('أرقام التواصل'!$A$6:$A$505,"proposed_name",'أرقام التواصل'!$B$6:$B$505,A20,'أرقام التواصل'!$I$6:$I$505,"TRUE")+COUNTIFS('أرقام التواصل'!$A$6:$A$505,"proposed_name",'أرقام التواصل'!$B$6:$B$505,A20,'أرقام التواصل'!$C$6:$C$505,1))=0,"missing primary contact in أرقام التواصل; ","")&amp;IF(AND(W20="TRUE",X20=""),"duplicate_type required when duplicate_flag TRUE; ","")))))</x:f>
      </x:c>
    </x:row>
    <x:row r="21">
      <x:c r="A21" s="302"/>
      <x:c r="B21" s="252"/>
      <x:c r="C21" s="253"/>
      <x:c r="D21" s="253"/>
      <x:c r="E21" s="253"/>
      <x:c r="F21" s="252"/>
      <x:c r="G21" s="253"/>
      <x:c r="H21" s="272"/>
      <x:c r="I21" s="253"/>
      <x:c r="J21" s="253"/>
      <x:c r="K21" s="253"/>
      <x:c r="L21" s="253"/>
      <x:c r="M21" s="253"/>
      <x:c r="N21" s="253"/>
      <x:c r="O21" s="253" t="str">
        <x:f>IF(TRIM(L21&amp;" "&amp;M21&amp;IF(N21&lt;&gt;""," ("&amp;N21&amp;")",""))="","",TRIM(L21&amp;" "&amp;M21&amp;IF(N21&lt;&gt;""," ("&amp;N21&amp;")","")))</x:f>
      </x:c>
      <x:c r="P21" s="253"/>
      <x:c r="Q21" s="252"/>
      <x:c r="R21" s="253"/>
      <x:c r="S21" s="253"/>
      <x:c r="T21" s="253"/>
      <x:c r="U21" s="253"/>
      <x:c r="V21" s="253"/>
      <x:c r="W21" s="253"/>
      <x:c r="X21" s="253"/>
      <x:c r="Y21" s="252"/>
      <x:c r="Z21" s="252"/>
      <x:c r="AA21" s="253"/>
      <x:c r="AB21" s="253" t="str">
        <x:f>IF(B21="","",IFERROR(INDEX('الزبائن'!$BA$6:$BA$505,MATCH(B21,'الزبائن'!$A$6:$A$505,0)),"source key not found"))</x:f>
      </x:c>
      <x:c r="AC21" s="253" t="str">
        <x:f>IF(B21="","",IFERROR(INDEX('الزبائن'!$BB$6:$BB$505,MATCH(B21,'الزبائن'!$A$6:$A$505,0)),"source key not found"))</x:f>
      </x:c>
      <x:c r="AD21" s="253" t="str">
        <x:f>IF(AND(A21="",C21="",D21="",I21="",L21="",M21=""),"",IF(C21="skip","SKIP",IF(OR(A21="",C21="",D21="",I21="",L21="",M21="",U21="",COUNTIF($A$6:$A$505,A21)&gt;1,AND(B21&lt;&gt;"",COUNTIF('الزبائن'!$A$6:$A$505,B21)=0),(COUNTIFS('أرقام التواصل'!$A$6:$A$505,"proposed_name",'أرقام التواصل'!$B$6:$B$505,A21,'أرقام التواصل'!$I$6:$I$505,"TRUE")+COUNTIFS('أرقام التواصل'!$A$6:$A$505,"proposed_name",'أرقام التواصل'!$B$6:$B$505,A21,'أرقام التواصل'!$C$6:$C$505,1))=0,AND(W21="TRUE",X21="")),"REVIEW","READY")))</x:f>
      </x:c>
      <x:c r="AE21" s="255" t="str">
        <x:f>IF(AD21="","",IF(AD21="READY","",IF(AD21="SKIP","Skipped by candidate_import_action",TRIM(IF(A21="","missing proposed_name_key; ","")&amp;IF(AND(A21&lt;&gt;"",COUNTIF($A$6:$A$505,A21)&gt;1),"duplicate proposed_name_key; ","")&amp;IF(C21="","missing candidate_import_action; ","")&amp;IF(D21="","missing move_reason; ","")&amp;IF(I21="","missing branch_id; ","")&amp;IF(L21="","missing first_name; ","")&amp;IF(M21="","missing last_name; ","")&amp;IF(U21="","missing status; ","")&amp;IF(AND(B21&lt;&gt;"",COUNTIF('الزبائن'!$A$6:$A$505,B21)=0),"source key not found; ","")&amp;IF((COUNTIFS('أرقام التواصل'!$A$6:$A$505,"proposed_name",'أرقام التواصل'!$B$6:$B$505,A21,'أرقام التواصل'!$I$6:$I$505,"TRUE")+COUNTIFS('أرقام التواصل'!$A$6:$A$505,"proposed_name",'أرقام التواصل'!$B$6:$B$505,A21,'أرقام التواصل'!$C$6:$C$505,1))=0,"missing primary contact in أرقام التواصل; ","")&amp;IF(AND(W21="TRUE",X21=""),"duplicate_type required when duplicate_flag TRUE; ","")))))</x:f>
      </x:c>
    </x:row>
    <x:row r="22">
      <x:c r="A22" s="302"/>
      <x:c r="B22" s="252"/>
      <x:c r="C22" s="253"/>
      <x:c r="D22" s="253"/>
      <x:c r="E22" s="253"/>
      <x:c r="F22" s="252"/>
      <x:c r="G22" s="253"/>
      <x:c r="H22" s="272"/>
      <x:c r="I22" s="253"/>
      <x:c r="J22" s="253"/>
      <x:c r="K22" s="253"/>
      <x:c r="L22" s="253"/>
      <x:c r="M22" s="253"/>
      <x:c r="N22" s="253"/>
      <x:c r="O22" s="253" t="str">
        <x:f>IF(TRIM(L22&amp;" "&amp;M22&amp;IF(N22&lt;&gt;""," ("&amp;N22&amp;")",""))="","",TRIM(L22&amp;" "&amp;M22&amp;IF(N22&lt;&gt;""," ("&amp;N22&amp;")","")))</x:f>
      </x:c>
      <x:c r="P22" s="253"/>
      <x:c r="Q22" s="252"/>
      <x:c r="R22" s="253"/>
      <x:c r="S22" s="253"/>
      <x:c r="T22" s="253"/>
      <x:c r="U22" s="253"/>
      <x:c r="V22" s="253"/>
      <x:c r="W22" s="253"/>
      <x:c r="X22" s="253"/>
      <x:c r="Y22" s="252"/>
      <x:c r="Z22" s="252"/>
      <x:c r="AA22" s="253"/>
      <x:c r="AB22" s="253" t="str">
        <x:f>IF(B22="","",IFERROR(INDEX('الزبائن'!$BA$6:$BA$505,MATCH(B22,'الزبائن'!$A$6:$A$505,0)),"source key not found"))</x:f>
      </x:c>
      <x:c r="AC22" s="253" t="str">
        <x:f>IF(B22="","",IFERROR(INDEX('الزبائن'!$BB$6:$BB$505,MATCH(B22,'الزبائن'!$A$6:$A$505,0)),"source key not found"))</x:f>
      </x:c>
      <x:c r="AD22" s="253" t="str">
        <x:f>IF(AND(A22="",C22="",D22="",I22="",L22="",M22=""),"",IF(C22="skip","SKIP",IF(OR(A22="",C22="",D22="",I22="",L22="",M22="",U22="",COUNTIF($A$6:$A$505,A22)&gt;1,AND(B22&lt;&gt;"",COUNTIF('الزبائن'!$A$6:$A$505,B22)=0),(COUNTIFS('أرقام التواصل'!$A$6:$A$505,"proposed_name",'أرقام التواصل'!$B$6:$B$505,A22,'أرقام التواصل'!$I$6:$I$505,"TRUE")+COUNTIFS('أرقام التواصل'!$A$6:$A$505,"proposed_name",'أرقام التواصل'!$B$6:$B$505,A22,'أرقام التواصل'!$C$6:$C$505,1))=0,AND(W22="TRUE",X22="")),"REVIEW","READY")))</x:f>
      </x:c>
      <x:c r="AE22" s="255" t="str">
        <x:f>IF(AD22="","",IF(AD22="READY","",IF(AD22="SKIP","Skipped by candidate_import_action",TRIM(IF(A22="","missing proposed_name_key; ","")&amp;IF(AND(A22&lt;&gt;"",COUNTIF($A$6:$A$505,A22)&gt;1),"duplicate proposed_name_key; ","")&amp;IF(C22="","missing candidate_import_action; ","")&amp;IF(D22="","missing move_reason; ","")&amp;IF(I22="","missing branch_id; ","")&amp;IF(L22="","missing first_name; ","")&amp;IF(M22="","missing last_name; ","")&amp;IF(U22="","missing status; ","")&amp;IF(AND(B22&lt;&gt;"",COUNTIF('الزبائن'!$A$6:$A$505,B22)=0),"source key not found; ","")&amp;IF((COUNTIFS('أرقام التواصل'!$A$6:$A$505,"proposed_name",'أرقام التواصل'!$B$6:$B$505,A22,'أرقام التواصل'!$I$6:$I$505,"TRUE")+COUNTIFS('أرقام التواصل'!$A$6:$A$505,"proposed_name",'أرقام التواصل'!$B$6:$B$505,A22,'أرقام التواصل'!$C$6:$C$505,1))=0,"missing primary contact in أرقام التواصل; ","")&amp;IF(AND(W22="TRUE",X22=""),"duplicate_type required when duplicate_flag TRUE; ","")))))</x:f>
      </x:c>
    </x:row>
    <x:row r="23">
      <x:c r="A23" s="302"/>
      <x:c r="B23" s="252"/>
      <x:c r="C23" s="253"/>
      <x:c r="D23" s="253"/>
      <x:c r="E23" s="253"/>
      <x:c r="F23" s="252"/>
      <x:c r="G23" s="253"/>
      <x:c r="H23" s="272"/>
      <x:c r="I23" s="253"/>
      <x:c r="J23" s="253"/>
      <x:c r="K23" s="253"/>
      <x:c r="L23" s="253"/>
      <x:c r="M23" s="253"/>
      <x:c r="N23" s="253"/>
      <x:c r="O23" s="253" t="str">
        <x:f>IF(TRIM(L23&amp;" "&amp;M23&amp;IF(N23&lt;&gt;""," ("&amp;N23&amp;")",""))="","",TRIM(L23&amp;" "&amp;M23&amp;IF(N23&lt;&gt;""," ("&amp;N23&amp;")","")))</x:f>
      </x:c>
      <x:c r="P23" s="253"/>
      <x:c r="Q23" s="252"/>
      <x:c r="R23" s="253"/>
      <x:c r="S23" s="253"/>
      <x:c r="T23" s="253"/>
      <x:c r="U23" s="253"/>
      <x:c r="V23" s="253"/>
      <x:c r="W23" s="253"/>
      <x:c r="X23" s="253"/>
      <x:c r="Y23" s="252"/>
      <x:c r="Z23" s="252"/>
      <x:c r="AA23" s="253"/>
      <x:c r="AB23" s="253" t="str">
        <x:f>IF(B23="","",IFERROR(INDEX('الزبائن'!$BA$6:$BA$505,MATCH(B23,'الزبائن'!$A$6:$A$505,0)),"source key not found"))</x:f>
      </x:c>
      <x:c r="AC23" s="253" t="str">
        <x:f>IF(B23="","",IFERROR(INDEX('الزبائن'!$BB$6:$BB$505,MATCH(B23,'الزبائن'!$A$6:$A$505,0)),"source key not found"))</x:f>
      </x:c>
      <x:c r="AD23" s="253" t="str">
        <x:f>IF(AND(A23="",C23="",D23="",I23="",L23="",M23=""),"",IF(C23="skip","SKIP",IF(OR(A23="",C23="",D23="",I23="",L23="",M23="",U23="",COUNTIF($A$6:$A$505,A23)&gt;1,AND(B23&lt;&gt;"",COUNTIF('الزبائن'!$A$6:$A$505,B23)=0),(COUNTIFS('أرقام التواصل'!$A$6:$A$505,"proposed_name",'أرقام التواصل'!$B$6:$B$505,A23,'أرقام التواصل'!$I$6:$I$505,"TRUE")+COUNTIFS('أرقام التواصل'!$A$6:$A$505,"proposed_name",'أرقام التواصل'!$B$6:$B$505,A23,'أرقام التواصل'!$C$6:$C$505,1))=0,AND(W23="TRUE",X23="")),"REVIEW","READY")))</x:f>
      </x:c>
      <x:c r="AE23" s="255" t="str">
        <x:f>IF(AD23="","",IF(AD23="READY","",IF(AD23="SKIP","Skipped by candidate_import_action",TRIM(IF(A23="","missing proposed_name_key; ","")&amp;IF(AND(A23&lt;&gt;"",COUNTIF($A$6:$A$505,A23)&gt;1),"duplicate proposed_name_key; ","")&amp;IF(C23="","missing candidate_import_action; ","")&amp;IF(D23="","missing move_reason; ","")&amp;IF(I23="","missing branch_id; ","")&amp;IF(L23="","missing first_name; ","")&amp;IF(M23="","missing last_name; ","")&amp;IF(U23="","missing status; ","")&amp;IF(AND(B23&lt;&gt;"",COUNTIF('الزبائن'!$A$6:$A$505,B23)=0),"source key not found; ","")&amp;IF((COUNTIFS('أرقام التواصل'!$A$6:$A$505,"proposed_name",'أرقام التواصل'!$B$6:$B$505,A23,'أرقام التواصل'!$I$6:$I$505,"TRUE")+COUNTIFS('أرقام التواصل'!$A$6:$A$505,"proposed_name",'أرقام التواصل'!$B$6:$B$505,A23,'أرقام التواصل'!$C$6:$C$505,1))=0,"missing primary contact in أرقام التواصل; ","")&amp;IF(AND(W23="TRUE",X23=""),"duplicate_type required when duplicate_flag TRUE; ","")))))</x:f>
      </x:c>
    </x:row>
    <x:row r="24">
      <x:c r="A24" s="302"/>
      <x:c r="B24" s="252"/>
      <x:c r="C24" s="253"/>
      <x:c r="D24" s="253"/>
      <x:c r="E24" s="253"/>
      <x:c r="F24" s="252"/>
      <x:c r="G24" s="253"/>
      <x:c r="H24" s="272"/>
      <x:c r="I24" s="253"/>
      <x:c r="J24" s="253"/>
      <x:c r="K24" s="253"/>
      <x:c r="L24" s="253"/>
      <x:c r="M24" s="253"/>
      <x:c r="N24" s="253"/>
      <x:c r="O24" s="253" t="str">
        <x:f>IF(TRIM(L24&amp;" "&amp;M24&amp;IF(N24&lt;&gt;""," ("&amp;N24&amp;")",""))="","",TRIM(L24&amp;" "&amp;M24&amp;IF(N24&lt;&gt;""," ("&amp;N24&amp;")","")))</x:f>
      </x:c>
      <x:c r="P24" s="253"/>
      <x:c r="Q24" s="252"/>
      <x:c r="R24" s="253"/>
      <x:c r="S24" s="253"/>
      <x:c r="T24" s="253"/>
      <x:c r="U24" s="253"/>
      <x:c r="V24" s="253"/>
      <x:c r="W24" s="253"/>
      <x:c r="X24" s="253"/>
      <x:c r="Y24" s="252"/>
      <x:c r="Z24" s="252"/>
      <x:c r="AA24" s="253"/>
      <x:c r="AB24" s="253" t="str">
        <x:f>IF(B24="","",IFERROR(INDEX('الزبائن'!$BA$6:$BA$505,MATCH(B24,'الزبائن'!$A$6:$A$505,0)),"source key not found"))</x:f>
      </x:c>
      <x:c r="AC24" s="253" t="str">
        <x:f>IF(B24="","",IFERROR(INDEX('الزبائن'!$BB$6:$BB$505,MATCH(B24,'الزبائن'!$A$6:$A$505,0)),"source key not found"))</x:f>
      </x:c>
      <x:c r="AD24" s="253" t="str">
        <x:f>IF(AND(A24="",C24="",D24="",I24="",L24="",M24=""),"",IF(C24="skip","SKIP",IF(OR(A24="",C24="",D24="",I24="",L24="",M24="",U24="",COUNTIF($A$6:$A$505,A24)&gt;1,AND(B24&lt;&gt;"",COUNTIF('الزبائن'!$A$6:$A$505,B24)=0),(COUNTIFS('أرقام التواصل'!$A$6:$A$505,"proposed_name",'أرقام التواصل'!$B$6:$B$505,A24,'أرقام التواصل'!$I$6:$I$505,"TRUE")+COUNTIFS('أرقام التواصل'!$A$6:$A$505,"proposed_name",'أرقام التواصل'!$B$6:$B$505,A24,'أرقام التواصل'!$C$6:$C$505,1))=0,AND(W24="TRUE",X24="")),"REVIEW","READY")))</x:f>
      </x:c>
      <x:c r="AE24" s="255" t="str">
        <x:f>IF(AD24="","",IF(AD24="READY","",IF(AD24="SKIP","Skipped by candidate_import_action",TRIM(IF(A24="","missing proposed_name_key; ","")&amp;IF(AND(A24&lt;&gt;"",COUNTIF($A$6:$A$505,A24)&gt;1),"duplicate proposed_name_key; ","")&amp;IF(C24="","missing candidate_import_action; ","")&amp;IF(D24="","missing move_reason; ","")&amp;IF(I24="","missing branch_id; ","")&amp;IF(L24="","missing first_name; ","")&amp;IF(M24="","missing last_name; ","")&amp;IF(U24="","missing status; ","")&amp;IF(AND(B24&lt;&gt;"",COUNTIF('الزبائن'!$A$6:$A$505,B24)=0),"source key not found; ","")&amp;IF((COUNTIFS('أرقام التواصل'!$A$6:$A$505,"proposed_name",'أرقام التواصل'!$B$6:$B$505,A24,'أرقام التواصل'!$I$6:$I$505,"TRUE")+COUNTIFS('أرقام التواصل'!$A$6:$A$505,"proposed_name",'أرقام التواصل'!$B$6:$B$505,A24,'أرقام التواصل'!$C$6:$C$505,1))=0,"missing primary contact in أرقام التواصل; ","")&amp;IF(AND(W24="TRUE",X24=""),"duplicate_type required when duplicate_flag TRUE; ","")))))</x:f>
      </x:c>
    </x:row>
    <x:row r="25">
      <x:c r="A25" s="302"/>
      <x:c r="B25" s="252"/>
      <x:c r="C25" s="253"/>
      <x:c r="D25" s="253"/>
      <x:c r="E25" s="253"/>
      <x:c r="F25" s="252"/>
      <x:c r="G25" s="253"/>
      <x:c r="H25" s="272"/>
      <x:c r="I25" s="253"/>
      <x:c r="J25" s="253"/>
      <x:c r="K25" s="253"/>
      <x:c r="L25" s="253"/>
      <x:c r="M25" s="253"/>
      <x:c r="N25" s="253"/>
      <x:c r="O25" s="253" t="str">
        <x:f>IF(TRIM(L25&amp;" "&amp;M25&amp;IF(N25&lt;&gt;""," ("&amp;N25&amp;")",""))="","",TRIM(L25&amp;" "&amp;M25&amp;IF(N25&lt;&gt;""," ("&amp;N25&amp;")","")))</x:f>
      </x:c>
      <x:c r="P25" s="253"/>
      <x:c r="Q25" s="252"/>
      <x:c r="R25" s="253"/>
      <x:c r="S25" s="253"/>
      <x:c r="T25" s="253"/>
      <x:c r="U25" s="253"/>
      <x:c r="V25" s="253"/>
      <x:c r="W25" s="253"/>
      <x:c r="X25" s="253"/>
      <x:c r="Y25" s="252"/>
      <x:c r="Z25" s="252"/>
      <x:c r="AA25" s="253"/>
      <x:c r="AB25" s="253" t="str">
        <x:f>IF(B25="","",IFERROR(INDEX('الزبائن'!$BA$6:$BA$505,MATCH(B25,'الزبائن'!$A$6:$A$505,0)),"source key not found"))</x:f>
      </x:c>
      <x:c r="AC25" s="253" t="str">
        <x:f>IF(B25="","",IFERROR(INDEX('الزبائن'!$BB$6:$BB$505,MATCH(B25,'الزبائن'!$A$6:$A$505,0)),"source key not found"))</x:f>
      </x:c>
      <x:c r="AD25" s="253" t="str">
        <x:f>IF(AND(A25="",C25="",D25="",I25="",L25="",M25=""),"",IF(C25="skip","SKIP",IF(OR(A25="",C25="",D25="",I25="",L25="",M25="",U25="",COUNTIF($A$6:$A$505,A25)&gt;1,AND(B25&lt;&gt;"",COUNTIF('الزبائن'!$A$6:$A$505,B25)=0),(COUNTIFS('أرقام التواصل'!$A$6:$A$505,"proposed_name",'أرقام التواصل'!$B$6:$B$505,A25,'أرقام التواصل'!$I$6:$I$505,"TRUE")+COUNTIFS('أرقام التواصل'!$A$6:$A$505,"proposed_name",'أرقام التواصل'!$B$6:$B$505,A25,'أرقام التواصل'!$C$6:$C$505,1))=0,AND(W25="TRUE",X25="")),"REVIEW","READY")))</x:f>
      </x:c>
      <x:c r="AE25" s="255" t="str">
        <x:f>IF(AD25="","",IF(AD25="READY","",IF(AD25="SKIP","Skipped by candidate_import_action",TRIM(IF(A25="","missing proposed_name_key; ","")&amp;IF(AND(A25&lt;&gt;"",COUNTIF($A$6:$A$505,A25)&gt;1),"duplicate proposed_name_key; ","")&amp;IF(C25="","missing candidate_import_action; ","")&amp;IF(D25="","missing move_reason; ","")&amp;IF(I25="","missing branch_id; ","")&amp;IF(L25="","missing first_name; ","")&amp;IF(M25="","missing last_name; ","")&amp;IF(U25="","missing status; ","")&amp;IF(AND(B25&lt;&gt;"",COUNTIF('الزبائن'!$A$6:$A$505,B25)=0),"source key not found; ","")&amp;IF((COUNTIFS('أرقام التواصل'!$A$6:$A$505,"proposed_name",'أرقام التواصل'!$B$6:$B$505,A25,'أرقام التواصل'!$I$6:$I$505,"TRUE")+COUNTIFS('أرقام التواصل'!$A$6:$A$505,"proposed_name",'أرقام التواصل'!$B$6:$B$505,A25,'أرقام التواصل'!$C$6:$C$505,1))=0,"missing primary contact in أرقام التواصل; ","")&amp;IF(AND(W25="TRUE",X25=""),"duplicate_type required when duplicate_flag TRUE; ","")))))</x:f>
      </x:c>
    </x:row>
    <x:row r="26">
      <x:c r="A26" s="302"/>
      <x:c r="B26" s="252"/>
      <x:c r="C26" s="253"/>
      <x:c r="D26" s="253"/>
      <x:c r="E26" s="253"/>
      <x:c r="F26" s="252"/>
      <x:c r="G26" s="253"/>
      <x:c r="H26" s="272"/>
      <x:c r="I26" s="253"/>
      <x:c r="J26" s="253"/>
      <x:c r="K26" s="253"/>
      <x:c r="L26" s="253"/>
      <x:c r="M26" s="253"/>
      <x:c r="N26" s="253"/>
      <x:c r="O26" s="253" t="str">
        <x:f>IF(TRIM(L26&amp;" "&amp;M26&amp;IF(N26&lt;&gt;""," ("&amp;N26&amp;")",""))="","",TRIM(L26&amp;" "&amp;M26&amp;IF(N26&lt;&gt;""," ("&amp;N26&amp;")","")))</x:f>
      </x:c>
      <x:c r="P26" s="253"/>
      <x:c r="Q26" s="252"/>
      <x:c r="R26" s="253"/>
      <x:c r="S26" s="253"/>
      <x:c r="T26" s="253"/>
      <x:c r="U26" s="253"/>
      <x:c r="V26" s="253"/>
      <x:c r="W26" s="253"/>
      <x:c r="X26" s="253"/>
      <x:c r="Y26" s="252"/>
      <x:c r="Z26" s="252"/>
      <x:c r="AA26" s="253"/>
      <x:c r="AB26" s="253" t="str">
        <x:f>IF(B26="","",IFERROR(INDEX('الزبائن'!$BA$6:$BA$505,MATCH(B26,'الزبائن'!$A$6:$A$505,0)),"source key not found"))</x:f>
      </x:c>
      <x:c r="AC26" s="253" t="str">
        <x:f>IF(B26="","",IFERROR(INDEX('الزبائن'!$BB$6:$BB$505,MATCH(B26,'الزبائن'!$A$6:$A$505,0)),"source key not found"))</x:f>
      </x:c>
      <x:c r="AD26" s="253" t="str">
        <x:f>IF(AND(A26="",C26="",D26="",I26="",L26="",M26=""),"",IF(C26="skip","SKIP",IF(OR(A26="",C26="",D26="",I26="",L26="",M26="",U26="",COUNTIF($A$6:$A$505,A26)&gt;1,AND(B26&lt;&gt;"",COUNTIF('الزبائن'!$A$6:$A$505,B26)=0),(COUNTIFS('أرقام التواصل'!$A$6:$A$505,"proposed_name",'أرقام التواصل'!$B$6:$B$505,A26,'أرقام التواصل'!$I$6:$I$505,"TRUE")+COUNTIFS('أرقام التواصل'!$A$6:$A$505,"proposed_name",'أرقام التواصل'!$B$6:$B$505,A26,'أرقام التواصل'!$C$6:$C$505,1))=0,AND(W26="TRUE",X26="")),"REVIEW","READY")))</x:f>
      </x:c>
      <x:c r="AE26" s="255" t="str">
        <x:f>IF(AD26="","",IF(AD26="READY","",IF(AD26="SKIP","Skipped by candidate_import_action",TRIM(IF(A26="","missing proposed_name_key; ","")&amp;IF(AND(A26&lt;&gt;"",COUNTIF($A$6:$A$505,A26)&gt;1),"duplicate proposed_name_key; ","")&amp;IF(C26="","missing candidate_import_action; ","")&amp;IF(D26="","missing move_reason; ","")&amp;IF(I26="","missing branch_id; ","")&amp;IF(L26="","missing first_name; ","")&amp;IF(M26="","missing last_name; ","")&amp;IF(U26="","missing status; ","")&amp;IF(AND(B26&lt;&gt;"",COUNTIF('الزبائن'!$A$6:$A$505,B26)=0),"source key not found; ","")&amp;IF((COUNTIFS('أرقام التواصل'!$A$6:$A$505,"proposed_name",'أرقام التواصل'!$B$6:$B$505,A26,'أرقام التواصل'!$I$6:$I$505,"TRUE")+COUNTIFS('أرقام التواصل'!$A$6:$A$505,"proposed_name",'أرقام التواصل'!$B$6:$B$505,A26,'أرقام التواصل'!$C$6:$C$505,1))=0,"missing primary contact in أرقام التواصل; ","")&amp;IF(AND(W26="TRUE",X26=""),"duplicate_type required when duplicate_flag TRUE; ","")))))</x:f>
      </x:c>
    </x:row>
    <x:row r="27">
      <x:c r="A27" s="302"/>
      <x:c r="B27" s="252"/>
      <x:c r="C27" s="253"/>
      <x:c r="D27" s="253"/>
      <x:c r="E27" s="253"/>
      <x:c r="F27" s="252"/>
      <x:c r="G27" s="253"/>
      <x:c r="H27" s="272"/>
      <x:c r="I27" s="253"/>
      <x:c r="J27" s="253"/>
      <x:c r="K27" s="253"/>
      <x:c r="L27" s="253"/>
      <x:c r="M27" s="253"/>
      <x:c r="N27" s="253"/>
      <x:c r="O27" s="253" t="str">
        <x:f>IF(TRIM(L27&amp;" "&amp;M27&amp;IF(N27&lt;&gt;""," ("&amp;N27&amp;")",""))="","",TRIM(L27&amp;" "&amp;M27&amp;IF(N27&lt;&gt;""," ("&amp;N27&amp;")","")))</x:f>
      </x:c>
      <x:c r="P27" s="253"/>
      <x:c r="Q27" s="252"/>
      <x:c r="R27" s="253"/>
      <x:c r="S27" s="253"/>
      <x:c r="T27" s="253"/>
      <x:c r="U27" s="253"/>
      <x:c r="V27" s="253"/>
      <x:c r="W27" s="253"/>
      <x:c r="X27" s="253"/>
      <x:c r="Y27" s="252"/>
      <x:c r="Z27" s="252"/>
      <x:c r="AA27" s="253"/>
      <x:c r="AB27" s="253" t="str">
        <x:f>IF(B27="","",IFERROR(INDEX('الزبائن'!$BA$6:$BA$505,MATCH(B27,'الزبائن'!$A$6:$A$505,0)),"source key not found"))</x:f>
      </x:c>
      <x:c r="AC27" s="253" t="str">
        <x:f>IF(B27="","",IFERROR(INDEX('الزبائن'!$BB$6:$BB$505,MATCH(B27,'الزبائن'!$A$6:$A$505,0)),"source key not found"))</x:f>
      </x:c>
      <x:c r="AD27" s="253" t="str">
        <x:f>IF(AND(A27="",C27="",D27="",I27="",L27="",M27=""),"",IF(C27="skip","SKIP",IF(OR(A27="",C27="",D27="",I27="",L27="",M27="",U27="",COUNTIF($A$6:$A$505,A27)&gt;1,AND(B27&lt;&gt;"",COUNTIF('الزبائن'!$A$6:$A$505,B27)=0),(COUNTIFS('أرقام التواصل'!$A$6:$A$505,"proposed_name",'أرقام التواصل'!$B$6:$B$505,A27,'أرقام التواصل'!$I$6:$I$505,"TRUE")+COUNTIFS('أرقام التواصل'!$A$6:$A$505,"proposed_name",'أرقام التواصل'!$B$6:$B$505,A27,'أرقام التواصل'!$C$6:$C$505,1))=0,AND(W27="TRUE",X27="")),"REVIEW","READY")))</x:f>
      </x:c>
      <x:c r="AE27" s="255" t="str">
        <x:f>IF(AD27="","",IF(AD27="READY","",IF(AD27="SKIP","Skipped by candidate_import_action",TRIM(IF(A27="","missing proposed_name_key; ","")&amp;IF(AND(A27&lt;&gt;"",COUNTIF($A$6:$A$505,A27)&gt;1),"duplicate proposed_name_key; ","")&amp;IF(C27="","missing candidate_import_action; ","")&amp;IF(D27="","missing move_reason; ","")&amp;IF(I27="","missing branch_id; ","")&amp;IF(L27="","missing first_name; ","")&amp;IF(M27="","missing last_name; ","")&amp;IF(U27="","missing status; ","")&amp;IF(AND(B27&lt;&gt;"",COUNTIF('الزبائن'!$A$6:$A$505,B27)=0),"source key not found; ","")&amp;IF((COUNTIFS('أرقام التواصل'!$A$6:$A$505,"proposed_name",'أرقام التواصل'!$B$6:$B$505,A27,'أرقام التواصل'!$I$6:$I$505,"TRUE")+COUNTIFS('أرقام التواصل'!$A$6:$A$505,"proposed_name",'أرقام التواصل'!$B$6:$B$505,A27,'أرقام التواصل'!$C$6:$C$505,1))=0,"missing primary contact in أرقام التواصل; ","")&amp;IF(AND(W27="TRUE",X27=""),"duplicate_type required when duplicate_flag TRUE; ","")))))</x:f>
      </x:c>
    </x:row>
    <x:row r="28">
      <x:c r="A28" s="302"/>
      <x:c r="B28" s="252"/>
      <x:c r="C28" s="253"/>
      <x:c r="D28" s="253"/>
      <x:c r="E28" s="253"/>
      <x:c r="F28" s="252"/>
      <x:c r="G28" s="253"/>
      <x:c r="H28" s="272"/>
      <x:c r="I28" s="253"/>
      <x:c r="J28" s="253"/>
      <x:c r="K28" s="253"/>
      <x:c r="L28" s="253"/>
      <x:c r="M28" s="253"/>
      <x:c r="N28" s="253"/>
      <x:c r="O28" s="253" t="str">
        <x:f>IF(TRIM(L28&amp;" "&amp;M28&amp;IF(N28&lt;&gt;""," ("&amp;N28&amp;")",""))="","",TRIM(L28&amp;" "&amp;M28&amp;IF(N28&lt;&gt;""," ("&amp;N28&amp;")","")))</x:f>
      </x:c>
      <x:c r="P28" s="253"/>
      <x:c r="Q28" s="252"/>
      <x:c r="R28" s="253"/>
      <x:c r="S28" s="253"/>
      <x:c r="T28" s="253"/>
      <x:c r="U28" s="253"/>
      <x:c r="V28" s="253"/>
      <x:c r="W28" s="253"/>
      <x:c r="X28" s="253"/>
      <x:c r="Y28" s="252"/>
      <x:c r="Z28" s="252"/>
      <x:c r="AA28" s="253"/>
      <x:c r="AB28" s="253" t="str">
        <x:f>IF(B28="","",IFERROR(INDEX('الزبائن'!$BA$6:$BA$505,MATCH(B28,'الزبائن'!$A$6:$A$505,0)),"source key not found"))</x:f>
      </x:c>
      <x:c r="AC28" s="253" t="str">
        <x:f>IF(B28="","",IFERROR(INDEX('الزبائن'!$BB$6:$BB$505,MATCH(B28,'الزبائن'!$A$6:$A$505,0)),"source key not found"))</x:f>
      </x:c>
      <x:c r="AD28" s="253" t="str">
        <x:f>IF(AND(A28="",C28="",D28="",I28="",L28="",M28=""),"",IF(C28="skip","SKIP",IF(OR(A28="",C28="",D28="",I28="",L28="",M28="",U28="",COUNTIF($A$6:$A$505,A28)&gt;1,AND(B28&lt;&gt;"",COUNTIF('الزبائن'!$A$6:$A$505,B28)=0),(COUNTIFS('أرقام التواصل'!$A$6:$A$505,"proposed_name",'أرقام التواصل'!$B$6:$B$505,A28,'أرقام التواصل'!$I$6:$I$505,"TRUE")+COUNTIFS('أرقام التواصل'!$A$6:$A$505,"proposed_name",'أرقام التواصل'!$B$6:$B$505,A28,'أرقام التواصل'!$C$6:$C$505,1))=0,AND(W28="TRUE",X28="")),"REVIEW","READY")))</x:f>
      </x:c>
      <x:c r="AE28" s="255" t="str">
        <x:f>IF(AD28="","",IF(AD28="READY","",IF(AD28="SKIP","Skipped by candidate_import_action",TRIM(IF(A28="","missing proposed_name_key; ","")&amp;IF(AND(A28&lt;&gt;"",COUNTIF($A$6:$A$505,A28)&gt;1),"duplicate proposed_name_key; ","")&amp;IF(C28="","missing candidate_import_action; ","")&amp;IF(D28="","missing move_reason; ","")&amp;IF(I28="","missing branch_id; ","")&amp;IF(L28="","missing first_name; ","")&amp;IF(M28="","missing last_name; ","")&amp;IF(U28="","missing status; ","")&amp;IF(AND(B28&lt;&gt;"",COUNTIF('الزبائن'!$A$6:$A$505,B28)=0),"source key not found; ","")&amp;IF((COUNTIFS('أرقام التواصل'!$A$6:$A$505,"proposed_name",'أرقام التواصل'!$B$6:$B$505,A28,'أرقام التواصل'!$I$6:$I$505,"TRUE")+COUNTIFS('أرقام التواصل'!$A$6:$A$505,"proposed_name",'أرقام التواصل'!$B$6:$B$505,A28,'أرقام التواصل'!$C$6:$C$505,1))=0,"missing primary contact in أرقام التواصل; ","")&amp;IF(AND(W28="TRUE",X28=""),"duplicate_type required when duplicate_flag TRUE; ","")))))</x:f>
      </x:c>
    </x:row>
    <x:row r="29">
      <x:c r="A29" s="302"/>
      <x:c r="B29" s="252"/>
      <x:c r="C29" s="253"/>
      <x:c r="D29" s="253"/>
      <x:c r="E29" s="253"/>
      <x:c r="F29" s="252"/>
      <x:c r="G29" s="253"/>
      <x:c r="H29" s="272"/>
      <x:c r="I29" s="253"/>
      <x:c r="J29" s="253"/>
      <x:c r="K29" s="253"/>
      <x:c r="L29" s="253"/>
      <x:c r="M29" s="253"/>
      <x:c r="N29" s="253"/>
      <x:c r="O29" s="253" t="str">
        <x:f>IF(TRIM(L29&amp;" "&amp;M29&amp;IF(N29&lt;&gt;""," ("&amp;N29&amp;")",""))="","",TRIM(L29&amp;" "&amp;M29&amp;IF(N29&lt;&gt;""," ("&amp;N29&amp;")","")))</x:f>
      </x:c>
      <x:c r="P29" s="253"/>
      <x:c r="Q29" s="252"/>
      <x:c r="R29" s="253"/>
      <x:c r="S29" s="253"/>
      <x:c r="T29" s="253"/>
      <x:c r="U29" s="253"/>
      <x:c r="V29" s="253"/>
      <x:c r="W29" s="253"/>
      <x:c r="X29" s="253"/>
      <x:c r="Y29" s="252"/>
      <x:c r="Z29" s="252"/>
      <x:c r="AA29" s="253"/>
      <x:c r="AB29" s="253" t="str">
        <x:f>IF(B29="","",IFERROR(INDEX('الزبائن'!$BA$6:$BA$505,MATCH(B29,'الزبائن'!$A$6:$A$505,0)),"source key not found"))</x:f>
      </x:c>
      <x:c r="AC29" s="253" t="str">
        <x:f>IF(B29="","",IFERROR(INDEX('الزبائن'!$BB$6:$BB$505,MATCH(B29,'الزبائن'!$A$6:$A$505,0)),"source key not found"))</x:f>
      </x:c>
      <x:c r="AD29" s="253" t="str">
        <x:f>IF(AND(A29="",C29="",D29="",I29="",L29="",M29=""),"",IF(C29="skip","SKIP",IF(OR(A29="",C29="",D29="",I29="",L29="",M29="",U29="",COUNTIF($A$6:$A$505,A29)&gt;1,AND(B29&lt;&gt;"",COUNTIF('الزبائن'!$A$6:$A$505,B29)=0),(COUNTIFS('أرقام التواصل'!$A$6:$A$505,"proposed_name",'أرقام التواصل'!$B$6:$B$505,A29,'أرقام التواصل'!$I$6:$I$505,"TRUE")+COUNTIFS('أرقام التواصل'!$A$6:$A$505,"proposed_name",'أرقام التواصل'!$B$6:$B$505,A29,'أرقام التواصل'!$C$6:$C$505,1))=0,AND(W29="TRUE",X29="")),"REVIEW","READY")))</x:f>
      </x:c>
      <x:c r="AE29" s="255" t="str">
        <x:f>IF(AD29="","",IF(AD29="READY","",IF(AD29="SKIP","Skipped by candidate_import_action",TRIM(IF(A29="","missing proposed_name_key; ","")&amp;IF(AND(A29&lt;&gt;"",COUNTIF($A$6:$A$505,A29)&gt;1),"duplicate proposed_name_key; ","")&amp;IF(C29="","missing candidate_import_action; ","")&amp;IF(D29="","missing move_reason; ","")&amp;IF(I29="","missing branch_id; ","")&amp;IF(L29="","missing first_name; ","")&amp;IF(M29="","missing last_name; ","")&amp;IF(U29="","missing status; ","")&amp;IF(AND(B29&lt;&gt;"",COUNTIF('الزبائن'!$A$6:$A$505,B29)=0),"source key not found; ","")&amp;IF((COUNTIFS('أرقام التواصل'!$A$6:$A$505,"proposed_name",'أرقام التواصل'!$B$6:$B$505,A29,'أرقام التواصل'!$I$6:$I$505,"TRUE")+COUNTIFS('أرقام التواصل'!$A$6:$A$505,"proposed_name",'أرقام التواصل'!$B$6:$B$505,A29,'أرقام التواصل'!$C$6:$C$505,1))=0,"missing primary contact in أرقام التواصل; ","")&amp;IF(AND(W29="TRUE",X29=""),"duplicate_type required when duplicate_flag TRUE; ","")))))</x:f>
      </x:c>
    </x:row>
    <x:row r="30">
      <x:c r="A30" s="302"/>
      <x:c r="B30" s="252"/>
      <x:c r="C30" s="253"/>
      <x:c r="D30" s="253"/>
      <x:c r="E30" s="253"/>
      <x:c r="F30" s="252"/>
      <x:c r="G30" s="253"/>
      <x:c r="H30" s="272"/>
      <x:c r="I30" s="253"/>
      <x:c r="J30" s="253"/>
      <x:c r="K30" s="253"/>
      <x:c r="L30" s="253"/>
      <x:c r="M30" s="253"/>
      <x:c r="N30" s="253"/>
      <x:c r="O30" s="253" t="str">
        <x:f>IF(TRIM(L30&amp;" "&amp;M30&amp;IF(N30&lt;&gt;""," ("&amp;N30&amp;")",""))="","",TRIM(L30&amp;" "&amp;M30&amp;IF(N30&lt;&gt;""," ("&amp;N30&amp;")","")))</x:f>
      </x:c>
      <x:c r="P30" s="253"/>
      <x:c r="Q30" s="252"/>
      <x:c r="R30" s="253"/>
      <x:c r="S30" s="253"/>
      <x:c r="T30" s="253"/>
      <x:c r="U30" s="253"/>
      <x:c r="V30" s="253"/>
      <x:c r="W30" s="253"/>
      <x:c r="X30" s="253"/>
      <x:c r="Y30" s="252"/>
      <x:c r="Z30" s="252"/>
      <x:c r="AA30" s="253"/>
      <x:c r="AB30" s="253" t="str">
        <x:f>IF(B30="","",IFERROR(INDEX('الزبائن'!$BA$6:$BA$505,MATCH(B30,'الزبائن'!$A$6:$A$505,0)),"source key not found"))</x:f>
      </x:c>
      <x:c r="AC30" s="253" t="str">
        <x:f>IF(B30="","",IFERROR(INDEX('الزبائن'!$BB$6:$BB$505,MATCH(B30,'الزبائن'!$A$6:$A$505,0)),"source key not found"))</x:f>
      </x:c>
      <x:c r="AD30" s="253" t="str">
        <x:f>IF(AND(A30="",C30="",D30="",I30="",L30="",M30=""),"",IF(C30="skip","SKIP",IF(OR(A30="",C30="",D30="",I30="",L30="",M30="",U30="",COUNTIF($A$6:$A$505,A30)&gt;1,AND(B30&lt;&gt;"",COUNTIF('الزبائن'!$A$6:$A$505,B30)=0),(COUNTIFS('أرقام التواصل'!$A$6:$A$505,"proposed_name",'أرقام التواصل'!$B$6:$B$505,A30,'أرقام التواصل'!$I$6:$I$505,"TRUE")+COUNTIFS('أرقام التواصل'!$A$6:$A$505,"proposed_name",'أرقام التواصل'!$B$6:$B$505,A30,'أرقام التواصل'!$C$6:$C$505,1))=0,AND(W30="TRUE",X30="")),"REVIEW","READY")))</x:f>
      </x:c>
      <x:c r="AE30" s="255" t="str">
        <x:f>IF(AD30="","",IF(AD30="READY","",IF(AD30="SKIP","Skipped by candidate_import_action",TRIM(IF(A30="","missing proposed_name_key; ","")&amp;IF(AND(A30&lt;&gt;"",COUNTIF($A$6:$A$505,A30)&gt;1),"duplicate proposed_name_key; ","")&amp;IF(C30="","missing candidate_import_action; ","")&amp;IF(D30="","missing move_reason; ","")&amp;IF(I30="","missing branch_id; ","")&amp;IF(L30="","missing first_name; ","")&amp;IF(M30="","missing last_name; ","")&amp;IF(U30="","missing status; ","")&amp;IF(AND(B30&lt;&gt;"",COUNTIF('الزبائن'!$A$6:$A$505,B30)=0),"source key not found; ","")&amp;IF((COUNTIFS('أرقام التواصل'!$A$6:$A$505,"proposed_name",'أرقام التواصل'!$B$6:$B$505,A30,'أرقام التواصل'!$I$6:$I$505,"TRUE")+COUNTIFS('أرقام التواصل'!$A$6:$A$505,"proposed_name",'أرقام التواصل'!$B$6:$B$505,A30,'أرقام التواصل'!$C$6:$C$505,1))=0,"missing primary contact in أرقام التواصل; ","")&amp;IF(AND(W30="TRUE",X30=""),"duplicate_type required when duplicate_flag TRUE; ","")))))</x:f>
      </x:c>
    </x:row>
    <x:row r="31">
      <x:c r="A31" s="302"/>
      <x:c r="B31" s="252"/>
      <x:c r="C31" s="253"/>
      <x:c r="D31" s="253"/>
      <x:c r="E31" s="253"/>
      <x:c r="F31" s="252"/>
      <x:c r="G31" s="253"/>
      <x:c r="H31" s="272"/>
      <x:c r="I31" s="253"/>
      <x:c r="J31" s="253"/>
      <x:c r="K31" s="253"/>
      <x:c r="L31" s="253"/>
      <x:c r="M31" s="253"/>
      <x:c r="N31" s="253"/>
      <x:c r="O31" s="253" t="str">
        <x:f>IF(TRIM(L31&amp;" "&amp;M31&amp;IF(N31&lt;&gt;""," ("&amp;N31&amp;")",""))="","",TRIM(L31&amp;" "&amp;M31&amp;IF(N31&lt;&gt;""," ("&amp;N31&amp;")","")))</x:f>
      </x:c>
      <x:c r="P31" s="253"/>
      <x:c r="Q31" s="252"/>
      <x:c r="R31" s="253"/>
      <x:c r="S31" s="253"/>
      <x:c r="T31" s="253"/>
      <x:c r="U31" s="253"/>
      <x:c r="V31" s="253"/>
      <x:c r="W31" s="253"/>
      <x:c r="X31" s="253"/>
      <x:c r="Y31" s="252"/>
      <x:c r="Z31" s="252"/>
      <x:c r="AA31" s="253"/>
      <x:c r="AB31" s="253" t="str">
        <x:f>IF(B31="","",IFERROR(INDEX('الزبائن'!$BA$6:$BA$505,MATCH(B31,'الزبائن'!$A$6:$A$505,0)),"source key not found"))</x:f>
      </x:c>
      <x:c r="AC31" s="253" t="str">
        <x:f>IF(B31="","",IFERROR(INDEX('الزبائن'!$BB$6:$BB$505,MATCH(B31,'الزبائن'!$A$6:$A$505,0)),"source key not found"))</x:f>
      </x:c>
      <x:c r="AD31" s="253" t="str">
        <x:f>IF(AND(A31="",C31="",D31="",I31="",L31="",M31=""),"",IF(C31="skip","SKIP",IF(OR(A31="",C31="",D31="",I31="",L31="",M31="",U31="",COUNTIF($A$6:$A$505,A31)&gt;1,AND(B31&lt;&gt;"",COUNTIF('الزبائن'!$A$6:$A$505,B31)=0),(COUNTIFS('أرقام التواصل'!$A$6:$A$505,"proposed_name",'أرقام التواصل'!$B$6:$B$505,A31,'أرقام التواصل'!$I$6:$I$505,"TRUE")+COUNTIFS('أرقام التواصل'!$A$6:$A$505,"proposed_name",'أرقام التواصل'!$B$6:$B$505,A31,'أرقام التواصل'!$C$6:$C$505,1))=0,AND(W31="TRUE",X31="")),"REVIEW","READY")))</x:f>
      </x:c>
      <x:c r="AE31" s="255" t="str">
        <x:f>IF(AD31="","",IF(AD31="READY","",IF(AD31="SKIP","Skipped by candidate_import_action",TRIM(IF(A31="","missing proposed_name_key; ","")&amp;IF(AND(A31&lt;&gt;"",COUNTIF($A$6:$A$505,A31)&gt;1),"duplicate proposed_name_key; ","")&amp;IF(C31="","missing candidate_import_action; ","")&amp;IF(D31="","missing move_reason; ","")&amp;IF(I31="","missing branch_id; ","")&amp;IF(L31="","missing first_name; ","")&amp;IF(M31="","missing last_name; ","")&amp;IF(U31="","missing status; ","")&amp;IF(AND(B31&lt;&gt;"",COUNTIF('الزبائن'!$A$6:$A$505,B31)=0),"source key not found; ","")&amp;IF((COUNTIFS('أرقام التواصل'!$A$6:$A$505,"proposed_name",'أرقام التواصل'!$B$6:$B$505,A31,'أرقام التواصل'!$I$6:$I$505,"TRUE")+COUNTIFS('أرقام التواصل'!$A$6:$A$505,"proposed_name",'أرقام التواصل'!$B$6:$B$505,A31,'أرقام التواصل'!$C$6:$C$505,1))=0,"missing primary contact in أرقام التواصل; ","")&amp;IF(AND(W31="TRUE",X31=""),"duplicate_type required when duplicate_flag TRUE; ","")))))</x:f>
      </x:c>
    </x:row>
    <x:row r="32">
      <x:c r="A32" s="302"/>
      <x:c r="B32" s="252"/>
      <x:c r="C32" s="253"/>
      <x:c r="D32" s="253"/>
      <x:c r="E32" s="253"/>
      <x:c r="F32" s="252"/>
      <x:c r="G32" s="253"/>
      <x:c r="H32" s="272"/>
      <x:c r="I32" s="253"/>
      <x:c r="J32" s="253"/>
      <x:c r="K32" s="253"/>
      <x:c r="L32" s="253"/>
      <x:c r="M32" s="253"/>
      <x:c r="N32" s="253"/>
      <x:c r="O32" s="253" t="str">
        <x:f>IF(TRIM(L32&amp;" "&amp;M32&amp;IF(N32&lt;&gt;""," ("&amp;N32&amp;")",""))="","",TRIM(L32&amp;" "&amp;M32&amp;IF(N32&lt;&gt;""," ("&amp;N32&amp;")","")))</x:f>
      </x:c>
      <x:c r="P32" s="253"/>
      <x:c r="Q32" s="252"/>
      <x:c r="R32" s="253"/>
      <x:c r="S32" s="253"/>
      <x:c r="T32" s="253"/>
      <x:c r="U32" s="253"/>
      <x:c r="V32" s="253"/>
      <x:c r="W32" s="253"/>
      <x:c r="X32" s="253"/>
      <x:c r="Y32" s="252"/>
      <x:c r="Z32" s="252"/>
      <x:c r="AA32" s="253"/>
      <x:c r="AB32" s="253" t="str">
        <x:f>IF(B32="","",IFERROR(INDEX('الزبائن'!$BA$6:$BA$505,MATCH(B32,'الزبائن'!$A$6:$A$505,0)),"source key not found"))</x:f>
      </x:c>
      <x:c r="AC32" s="253" t="str">
        <x:f>IF(B32="","",IFERROR(INDEX('الزبائن'!$BB$6:$BB$505,MATCH(B32,'الزبائن'!$A$6:$A$505,0)),"source key not found"))</x:f>
      </x:c>
      <x:c r="AD32" s="253" t="str">
        <x:f>IF(AND(A32="",C32="",D32="",I32="",L32="",M32=""),"",IF(C32="skip","SKIP",IF(OR(A32="",C32="",D32="",I32="",L32="",M32="",U32="",COUNTIF($A$6:$A$505,A32)&gt;1,AND(B32&lt;&gt;"",COUNTIF('الزبائن'!$A$6:$A$505,B32)=0),(COUNTIFS('أرقام التواصل'!$A$6:$A$505,"proposed_name",'أرقام التواصل'!$B$6:$B$505,A32,'أرقام التواصل'!$I$6:$I$505,"TRUE")+COUNTIFS('أرقام التواصل'!$A$6:$A$505,"proposed_name",'أرقام التواصل'!$B$6:$B$505,A32,'أرقام التواصل'!$C$6:$C$505,1))=0,AND(W32="TRUE",X32="")),"REVIEW","READY")))</x:f>
      </x:c>
      <x:c r="AE32" s="255" t="str">
        <x:f>IF(AD32="","",IF(AD32="READY","",IF(AD32="SKIP","Skipped by candidate_import_action",TRIM(IF(A32="","missing proposed_name_key; ","")&amp;IF(AND(A32&lt;&gt;"",COUNTIF($A$6:$A$505,A32)&gt;1),"duplicate proposed_name_key; ","")&amp;IF(C32="","missing candidate_import_action; ","")&amp;IF(D32="","missing move_reason; ","")&amp;IF(I32="","missing branch_id; ","")&amp;IF(L32="","missing first_name; ","")&amp;IF(M32="","missing last_name; ","")&amp;IF(U32="","missing status; ","")&amp;IF(AND(B32&lt;&gt;"",COUNTIF('الزبائن'!$A$6:$A$505,B32)=0),"source key not found; ","")&amp;IF((COUNTIFS('أرقام التواصل'!$A$6:$A$505,"proposed_name",'أرقام التواصل'!$B$6:$B$505,A32,'أرقام التواصل'!$I$6:$I$505,"TRUE")+COUNTIFS('أرقام التواصل'!$A$6:$A$505,"proposed_name",'أرقام التواصل'!$B$6:$B$505,A32,'أرقام التواصل'!$C$6:$C$505,1))=0,"missing primary contact in أرقام التواصل; ","")&amp;IF(AND(W32="TRUE",X32=""),"duplicate_type required when duplicate_flag TRUE; ","")))))</x:f>
      </x:c>
    </x:row>
    <x:row r="33">
      <x:c r="A33" s="302"/>
      <x:c r="B33" s="252"/>
      <x:c r="C33" s="253"/>
      <x:c r="D33" s="253"/>
      <x:c r="E33" s="253"/>
      <x:c r="F33" s="252"/>
      <x:c r="G33" s="253"/>
      <x:c r="H33" s="272"/>
      <x:c r="I33" s="253"/>
      <x:c r="J33" s="253"/>
      <x:c r="K33" s="253"/>
      <x:c r="L33" s="253"/>
      <x:c r="M33" s="253"/>
      <x:c r="N33" s="253"/>
      <x:c r="O33" s="253" t="str">
        <x:f>IF(TRIM(L33&amp;" "&amp;M33&amp;IF(N33&lt;&gt;""," ("&amp;N33&amp;")",""))="","",TRIM(L33&amp;" "&amp;M33&amp;IF(N33&lt;&gt;""," ("&amp;N33&amp;")","")))</x:f>
      </x:c>
      <x:c r="P33" s="253"/>
      <x:c r="Q33" s="252"/>
      <x:c r="R33" s="253"/>
      <x:c r="S33" s="253"/>
      <x:c r="T33" s="253"/>
      <x:c r="U33" s="253"/>
      <x:c r="V33" s="253"/>
      <x:c r="W33" s="253"/>
      <x:c r="X33" s="253"/>
      <x:c r="Y33" s="252"/>
      <x:c r="Z33" s="252"/>
      <x:c r="AA33" s="253"/>
      <x:c r="AB33" s="253" t="str">
        <x:f>IF(B33="","",IFERROR(INDEX('الزبائن'!$BA$6:$BA$505,MATCH(B33,'الزبائن'!$A$6:$A$505,0)),"source key not found"))</x:f>
      </x:c>
      <x:c r="AC33" s="253" t="str">
        <x:f>IF(B33="","",IFERROR(INDEX('الزبائن'!$BB$6:$BB$505,MATCH(B33,'الزبائن'!$A$6:$A$505,0)),"source key not found"))</x:f>
      </x:c>
      <x:c r="AD33" s="253" t="str">
        <x:f>IF(AND(A33="",C33="",D33="",I33="",L33="",M33=""),"",IF(C33="skip","SKIP",IF(OR(A33="",C33="",D33="",I33="",L33="",M33="",U33="",COUNTIF($A$6:$A$505,A33)&gt;1,AND(B33&lt;&gt;"",COUNTIF('الزبائن'!$A$6:$A$505,B33)=0),(COUNTIFS('أرقام التواصل'!$A$6:$A$505,"proposed_name",'أرقام التواصل'!$B$6:$B$505,A33,'أرقام التواصل'!$I$6:$I$505,"TRUE")+COUNTIFS('أرقام التواصل'!$A$6:$A$505,"proposed_name",'أرقام التواصل'!$B$6:$B$505,A33,'أرقام التواصل'!$C$6:$C$505,1))=0,AND(W33="TRUE",X33="")),"REVIEW","READY")))</x:f>
      </x:c>
      <x:c r="AE33" s="255" t="str">
        <x:f>IF(AD33="","",IF(AD33="READY","",IF(AD33="SKIP","Skipped by candidate_import_action",TRIM(IF(A33="","missing proposed_name_key; ","")&amp;IF(AND(A33&lt;&gt;"",COUNTIF($A$6:$A$505,A33)&gt;1),"duplicate proposed_name_key; ","")&amp;IF(C33="","missing candidate_import_action; ","")&amp;IF(D33="","missing move_reason; ","")&amp;IF(I33="","missing branch_id; ","")&amp;IF(L33="","missing first_name; ","")&amp;IF(M33="","missing last_name; ","")&amp;IF(U33="","missing status; ","")&amp;IF(AND(B33&lt;&gt;"",COUNTIF('الزبائن'!$A$6:$A$505,B33)=0),"source key not found; ","")&amp;IF((COUNTIFS('أرقام التواصل'!$A$6:$A$505,"proposed_name",'أرقام التواصل'!$B$6:$B$505,A33,'أرقام التواصل'!$I$6:$I$505,"TRUE")+COUNTIFS('أرقام التواصل'!$A$6:$A$505,"proposed_name",'أرقام التواصل'!$B$6:$B$505,A33,'أرقام التواصل'!$C$6:$C$505,1))=0,"missing primary contact in أرقام التواصل; ","")&amp;IF(AND(W33="TRUE",X33=""),"duplicate_type required when duplicate_flag TRUE; ","")))))</x:f>
      </x:c>
    </x:row>
    <x:row r="34">
      <x:c r="A34" s="302"/>
      <x:c r="B34" s="252"/>
      <x:c r="C34" s="253"/>
      <x:c r="D34" s="253"/>
      <x:c r="E34" s="253"/>
      <x:c r="F34" s="252"/>
      <x:c r="G34" s="253"/>
      <x:c r="H34" s="272"/>
      <x:c r="I34" s="253"/>
      <x:c r="J34" s="253"/>
      <x:c r="K34" s="253"/>
      <x:c r="L34" s="253"/>
      <x:c r="M34" s="253"/>
      <x:c r="N34" s="253"/>
      <x:c r="O34" s="253" t="str">
        <x:f>IF(TRIM(L34&amp;" "&amp;M34&amp;IF(N34&lt;&gt;""," ("&amp;N34&amp;")",""))="","",TRIM(L34&amp;" "&amp;M34&amp;IF(N34&lt;&gt;""," ("&amp;N34&amp;")","")))</x:f>
      </x:c>
      <x:c r="P34" s="253"/>
      <x:c r="Q34" s="252"/>
      <x:c r="R34" s="253"/>
      <x:c r="S34" s="253"/>
      <x:c r="T34" s="253"/>
      <x:c r="U34" s="253"/>
      <x:c r="V34" s="253"/>
      <x:c r="W34" s="253"/>
      <x:c r="X34" s="253"/>
      <x:c r="Y34" s="252"/>
      <x:c r="Z34" s="252"/>
      <x:c r="AA34" s="253"/>
      <x:c r="AB34" s="253" t="str">
        <x:f>IF(B34="","",IFERROR(INDEX('الزبائن'!$BA$6:$BA$505,MATCH(B34,'الزبائن'!$A$6:$A$505,0)),"source key not found"))</x:f>
      </x:c>
      <x:c r="AC34" s="253" t="str">
        <x:f>IF(B34="","",IFERROR(INDEX('الزبائن'!$BB$6:$BB$505,MATCH(B34,'الزبائن'!$A$6:$A$505,0)),"source key not found"))</x:f>
      </x:c>
      <x:c r="AD34" s="253" t="str">
        <x:f>IF(AND(A34="",C34="",D34="",I34="",L34="",M34=""),"",IF(C34="skip","SKIP",IF(OR(A34="",C34="",D34="",I34="",L34="",M34="",U34="",COUNTIF($A$6:$A$505,A34)&gt;1,AND(B34&lt;&gt;"",COUNTIF('الزبائن'!$A$6:$A$505,B34)=0),(COUNTIFS('أرقام التواصل'!$A$6:$A$505,"proposed_name",'أرقام التواصل'!$B$6:$B$505,A34,'أرقام التواصل'!$I$6:$I$505,"TRUE")+COUNTIFS('أرقام التواصل'!$A$6:$A$505,"proposed_name",'أرقام التواصل'!$B$6:$B$505,A34,'أرقام التواصل'!$C$6:$C$505,1))=0,AND(W34="TRUE",X34="")),"REVIEW","READY")))</x:f>
      </x:c>
      <x:c r="AE34" s="255" t="str">
        <x:f>IF(AD34="","",IF(AD34="READY","",IF(AD34="SKIP","Skipped by candidate_import_action",TRIM(IF(A34="","missing proposed_name_key; ","")&amp;IF(AND(A34&lt;&gt;"",COUNTIF($A$6:$A$505,A34)&gt;1),"duplicate proposed_name_key; ","")&amp;IF(C34="","missing candidate_import_action; ","")&amp;IF(D34="","missing move_reason; ","")&amp;IF(I34="","missing branch_id; ","")&amp;IF(L34="","missing first_name; ","")&amp;IF(M34="","missing last_name; ","")&amp;IF(U34="","missing status; ","")&amp;IF(AND(B34&lt;&gt;"",COUNTIF('الزبائن'!$A$6:$A$505,B34)=0),"source key not found; ","")&amp;IF((COUNTIFS('أرقام التواصل'!$A$6:$A$505,"proposed_name",'أرقام التواصل'!$B$6:$B$505,A34,'أرقام التواصل'!$I$6:$I$505,"TRUE")+COUNTIFS('أرقام التواصل'!$A$6:$A$505,"proposed_name",'أرقام التواصل'!$B$6:$B$505,A34,'أرقام التواصل'!$C$6:$C$505,1))=0,"missing primary contact in أرقام التواصل; ","")&amp;IF(AND(W34="TRUE",X34=""),"duplicate_type required when duplicate_flag TRUE; ","")))))</x:f>
      </x:c>
    </x:row>
    <x:row r="35">
      <x:c r="A35" s="302"/>
      <x:c r="B35" s="252"/>
      <x:c r="C35" s="253"/>
      <x:c r="D35" s="253"/>
      <x:c r="E35" s="253"/>
      <x:c r="F35" s="252"/>
      <x:c r="G35" s="253"/>
      <x:c r="H35" s="272"/>
      <x:c r="I35" s="253"/>
      <x:c r="J35" s="253"/>
      <x:c r="K35" s="253"/>
      <x:c r="L35" s="253"/>
      <x:c r="M35" s="253"/>
      <x:c r="N35" s="253"/>
      <x:c r="O35" s="253" t="str">
        <x:f>IF(TRIM(L35&amp;" "&amp;M35&amp;IF(N35&lt;&gt;""," ("&amp;N35&amp;")",""))="","",TRIM(L35&amp;" "&amp;M35&amp;IF(N35&lt;&gt;""," ("&amp;N35&amp;")","")))</x:f>
      </x:c>
      <x:c r="P35" s="253"/>
      <x:c r="Q35" s="252"/>
      <x:c r="R35" s="253"/>
      <x:c r="S35" s="253"/>
      <x:c r="T35" s="253"/>
      <x:c r="U35" s="253"/>
      <x:c r="V35" s="253"/>
      <x:c r="W35" s="253"/>
      <x:c r="X35" s="253"/>
      <x:c r="Y35" s="252"/>
      <x:c r="Z35" s="252"/>
      <x:c r="AA35" s="253"/>
      <x:c r="AB35" s="253" t="str">
        <x:f>IF(B35="","",IFERROR(INDEX('الزبائن'!$BA$6:$BA$505,MATCH(B35,'الزبائن'!$A$6:$A$505,0)),"source key not found"))</x:f>
      </x:c>
      <x:c r="AC35" s="253" t="str">
        <x:f>IF(B35="","",IFERROR(INDEX('الزبائن'!$BB$6:$BB$505,MATCH(B35,'الزبائن'!$A$6:$A$505,0)),"source key not found"))</x:f>
      </x:c>
      <x:c r="AD35" s="253" t="str">
        <x:f>IF(AND(A35="",C35="",D35="",I35="",L35="",M35=""),"",IF(C35="skip","SKIP",IF(OR(A35="",C35="",D35="",I35="",L35="",M35="",U35="",COUNTIF($A$6:$A$505,A35)&gt;1,AND(B35&lt;&gt;"",COUNTIF('الزبائن'!$A$6:$A$505,B35)=0),(COUNTIFS('أرقام التواصل'!$A$6:$A$505,"proposed_name",'أرقام التواصل'!$B$6:$B$505,A35,'أرقام التواصل'!$I$6:$I$505,"TRUE")+COUNTIFS('أرقام التواصل'!$A$6:$A$505,"proposed_name",'أرقام التواصل'!$B$6:$B$505,A35,'أرقام التواصل'!$C$6:$C$505,1))=0,AND(W35="TRUE",X35="")),"REVIEW","READY")))</x:f>
      </x:c>
      <x:c r="AE35" s="255" t="str">
        <x:f>IF(AD35="","",IF(AD35="READY","",IF(AD35="SKIP","Skipped by candidate_import_action",TRIM(IF(A35="","missing proposed_name_key; ","")&amp;IF(AND(A35&lt;&gt;"",COUNTIF($A$6:$A$505,A35)&gt;1),"duplicate proposed_name_key; ","")&amp;IF(C35="","missing candidate_import_action; ","")&amp;IF(D35="","missing move_reason; ","")&amp;IF(I35="","missing branch_id; ","")&amp;IF(L35="","missing first_name; ","")&amp;IF(M35="","missing last_name; ","")&amp;IF(U35="","missing status; ","")&amp;IF(AND(B35&lt;&gt;"",COUNTIF('الزبائن'!$A$6:$A$505,B35)=0),"source key not found; ","")&amp;IF((COUNTIFS('أرقام التواصل'!$A$6:$A$505,"proposed_name",'أرقام التواصل'!$B$6:$B$505,A35,'أرقام التواصل'!$I$6:$I$505,"TRUE")+COUNTIFS('أرقام التواصل'!$A$6:$A$505,"proposed_name",'أرقام التواصل'!$B$6:$B$505,A35,'أرقام التواصل'!$C$6:$C$505,1))=0,"missing primary contact in أرقام التواصل; ","")&amp;IF(AND(W35="TRUE",X35=""),"duplicate_type required when duplicate_flag TRUE; ","")))))</x:f>
      </x:c>
    </x:row>
    <x:row r="36">
      <x:c r="A36" s="302"/>
      <x:c r="B36" s="252"/>
      <x:c r="C36" s="253"/>
      <x:c r="D36" s="253"/>
      <x:c r="E36" s="253"/>
      <x:c r="F36" s="252"/>
      <x:c r="G36" s="253"/>
      <x:c r="H36" s="272"/>
      <x:c r="I36" s="253"/>
      <x:c r="J36" s="253"/>
      <x:c r="K36" s="253"/>
      <x:c r="L36" s="253"/>
      <x:c r="M36" s="253"/>
      <x:c r="N36" s="253"/>
      <x:c r="O36" s="253" t="str">
        <x:f>IF(TRIM(L36&amp;" "&amp;M36&amp;IF(N36&lt;&gt;""," ("&amp;N36&amp;")",""))="","",TRIM(L36&amp;" "&amp;M36&amp;IF(N36&lt;&gt;""," ("&amp;N36&amp;")","")))</x:f>
      </x:c>
      <x:c r="P36" s="253"/>
      <x:c r="Q36" s="252"/>
      <x:c r="R36" s="253"/>
      <x:c r="S36" s="253"/>
      <x:c r="T36" s="253"/>
      <x:c r="U36" s="253"/>
      <x:c r="V36" s="253"/>
      <x:c r="W36" s="253"/>
      <x:c r="X36" s="253"/>
      <x:c r="Y36" s="252"/>
      <x:c r="Z36" s="252"/>
      <x:c r="AA36" s="253"/>
      <x:c r="AB36" s="253" t="str">
        <x:f>IF(B36="","",IFERROR(INDEX('الزبائن'!$BA$6:$BA$505,MATCH(B36,'الزبائن'!$A$6:$A$505,0)),"source key not found"))</x:f>
      </x:c>
      <x:c r="AC36" s="253" t="str">
        <x:f>IF(B36="","",IFERROR(INDEX('الزبائن'!$BB$6:$BB$505,MATCH(B36,'الزبائن'!$A$6:$A$505,0)),"source key not found"))</x:f>
      </x:c>
      <x:c r="AD36" s="253" t="str">
        <x:f>IF(AND(A36="",C36="",D36="",I36="",L36="",M36=""),"",IF(C36="skip","SKIP",IF(OR(A36="",C36="",D36="",I36="",L36="",M36="",U36="",COUNTIF($A$6:$A$505,A36)&gt;1,AND(B36&lt;&gt;"",COUNTIF('الزبائن'!$A$6:$A$505,B36)=0),(COUNTIFS('أرقام التواصل'!$A$6:$A$505,"proposed_name",'أرقام التواصل'!$B$6:$B$505,A36,'أرقام التواصل'!$I$6:$I$505,"TRUE")+COUNTIFS('أرقام التواصل'!$A$6:$A$505,"proposed_name",'أرقام التواصل'!$B$6:$B$505,A36,'أرقام التواصل'!$C$6:$C$505,1))=0,AND(W36="TRUE",X36="")),"REVIEW","READY")))</x:f>
      </x:c>
      <x:c r="AE36" s="255" t="str">
        <x:f>IF(AD36="","",IF(AD36="READY","",IF(AD36="SKIP","Skipped by candidate_import_action",TRIM(IF(A36="","missing proposed_name_key; ","")&amp;IF(AND(A36&lt;&gt;"",COUNTIF($A$6:$A$505,A36)&gt;1),"duplicate proposed_name_key; ","")&amp;IF(C36="","missing candidate_import_action; ","")&amp;IF(D36="","missing move_reason; ","")&amp;IF(I36="","missing branch_id; ","")&amp;IF(L36="","missing first_name; ","")&amp;IF(M36="","missing last_name; ","")&amp;IF(U36="","missing status; ","")&amp;IF(AND(B36&lt;&gt;"",COUNTIF('الزبائن'!$A$6:$A$505,B36)=0),"source key not found; ","")&amp;IF((COUNTIFS('أرقام التواصل'!$A$6:$A$505,"proposed_name",'أرقام التواصل'!$B$6:$B$505,A36,'أرقام التواصل'!$I$6:$I$505,"TRUE")+COUNTIFS('أرقام التواصل'!$A$6:$A$505,"proposed_name",'أرقام التواصل'!$B$6:$B$505,A36,'أرقام التواصل'!$C$6:$C$505,1))=0,"missing primary contact in أرقام التواصل; ","")&amp;IF(AND(W36="TRUE",X36=""),"duplicate_type required when duplicate_flag TRUE; ","")))))</x:f>
      </x:c>
    </x:row>
    <x:row r="37">
      <x:c r="A37" s="302"/>
      <x:c r="B37" s="252"/>
      <x:c r="C37" s="253"/>
      <x:c r="D37" s="253"/>
      <x:c r="E37" s="253"/>
      <x:c r="F37" s="252"/>
      <x:c r="G37" s="253"/>
      <x:c r="H37" s="272"/>
      <x:c r="I37" s="253"/>
      <x:c r="J37" s="253"/>
      <x:c r="K37" s="253"/>
      <x:c r="L37" s="253"/>
      <x:c r="M37" s="253"/>
      <x:c r="N37" s="253"/>
      <x:c r="O37" s="253" t="str">
        <x:f>IF(TRIM(L37&amp;" "&amp;M37&amp;IF(N37&lt;&gt;""," ("&amp;N37&amp;")",""))="","",TRIM(L37&amp;" "&amp;M37&amp;IF(N37&lt;&gt;""," ("&amp;N37&amp;")","")))</x:f>
      </x:c>
      <x:c r="P37" s="253"/>
      <x:c r="Q37" s="252"/>
      <x:c r="R37" s="253"/>
      <x:c r="S37" s="253"/>
      <x:c r="T37" s="253"/>
      <x:c r="U37" s="253"/>
      <x:c r="V37" s="253"/>
      <x:c r="W37" s="253"/>
      <x:c r="X37" s="253"/>
      <x:c r="Y37" s="252"/>
      <x:c r="Z37" s="252"/>
      <x:c r="AA37" s="253"/>
      <x:c r="AB37" s="253" t="str">
        <x:f>IF(B37="","",IFERROR(INDEX('الزبائن'!$BA$6:$BA$505,MATCH(B37,'الزبائن'!$A$6:$A$505,0)),"source key not found"))</x:f>
      </x:c>
      <x:c r="AC37" s="253" t="str">
        <x:f>IF(B37="","",IFERROR(INDEX('الزبائن'!$BB$6:$BB$505,MATCH(B37,'الزبائن'!$A$6:$A$505,0)),"source key not found"))</x:f>
      </x:c>
      <x:c r="AD37" s="253" t="str">
        <x:f>IF(AND(A37="",C37="",D37="",I37="",L37="",M37=""),"",IF(C37="skip","SKIP",IF(OR(A37="",C37="",D37="",I37="",L37="",M37="",U37="",COUNTIF($A$6:$A$505,A37)&gt;1,AND(B37&lt;&gt;"",COUNTIF('الزبائن'!$A$6:$A$505,B37)=0),(COUNTIFS('أرقام التواصل'!$A$6:$A$505,"proposed_name",'أرقام التواصل'!$B$6:$B$505,A37,'أرقام التواصل'!$I$6:$I$505,"TRUE")+COUNTIFS('أرقام التواصل'!$A$6:$A$505,"proposed_name",'أرقام التواصل'!$B$6:$B$505,A37,'أرقام التواصل'!$C$6:$C$505,1))=0,AND(W37="TRUE",X37="")),"REVIEW","READY")))</x:f>
      </x:c>
      <x:c r="AE37" s="255" t="str">
        <x:f>IF(AD37="","",IF(AD37="READY","",IF(AD37="SKIP","Skipped by candidate_import_action",TRIM(IF(A37="","missing proposed_name_key; ","")&amp;IF(AND(A37&lt;&gt;"",COUNTIF($A$6:$A$505,A37)&gt;1),"duplicate proposed_name_key; ","")&amp;IF(C37="","missing candidate_import_action; ","")&amp;IF(D37="","missing move_reason; ","")&amp;IF(I37="","missing branch_id; ","")&amp;IF(L37="","missing first_name; ","")&amp;IF(M37="","missing last_name; ","")&amp;IF(U37="","missing status; ","")&amp;IF(AND(B37&lt;&gt;"",COUNTIF('الزبائن'!$A$6:$A$505,B37)=0),"source key not found; ","")&amp;IF((COUNTIFS('أرقام التواصل'!$A$6:$A$505,"proposed_name",'أرقام التواصل'!$B$6:$B$505,A37,'أرقام التواصل'!$I$6:$I$505,"TRUE")+COUNTIFS('أرقام التواصل'!$A$6:$A$505,"proposed_name",'أرقام التواصل'!$B$6:$B$505,A37,'أرقام التواصل'!$C$6:$C$505,1))=0,"missing primary contact in أرقام التواصل; ","")&amp;IF(AND(W37="TRUE",X37=""),"duplicate_type required when duplicate_flag TRUE; ","")))))</x:f>
      </x:c>
    </x:row>
    <x:row r="38">
      <x:c r="A38" s="302"/>
      <x:c r="B38" s="252"/>
      <x:c r="C38" s="253"/>
      <x:c r="D38" s="253"/>
      <x:c r="E38" s="253"/>
      <x:c r="F38" s="252"/>
      <x:c r="G38" s="253"/>
      <x:c r="H38" s="272"/>
      <x:c r="I38" s="253"/>
      <x:c r="J38" s="253"/>
      <x:c r="K38" s="253"/>
      <x:c r="L38" s="253"/>
      <x:c r="M38" s="253"/>
      <x:c r="N38" s="253"/>
      <x:c r="O38" s="253" t="str">
        <x:f>IF(TRIM(L38&amp;" "&amp;M38&amp;IF(N38&lt;&gt;""," ("&amp;N38&amp;")",""))="","",TRIM(L38&amp;" "&amp;M38&amp;IF(N38&lt;&gt;""," ("&amp;N38&amp;")","")))</x:f>
      </x:c>
      <x:c r="P38" s="253"/>
      <x:c r="Q38" s="252"/>
      <x:c r="R38" s="253"/>
      <x:c r="S38" s="253"/>
      <x:c r="T38" s="253"/>
      <x:c r="U38" s="253"/>
      <x:c r="V38" s="253"/>
      <x:c r="W38" s="253"/>
      <x:c r="X38" s="253"/>
      <x:c r="Y38" s="252"/>
      <x:c r="Z38" s="252"/>
      <x:c r="AA38" s="253"/>
      <x:c r="AB38" s="253" t="str">
        <x:f>IF(B38="","",IFERROR(INDEX('الزبائن'!$BA$6:$BA$505,MATCH(B38,'الزبائن'!$A$6:$A$505,0)),"source key not found"))</x:f>
      </x:c>
      <x:c r="AC38" s="253" t="str">
        <x:f>IF(B38="","",IFERROR(INDEX('الزبائن'!$BB$6:$BB$505,MATCH(B38,'الزبائن'!$A$6:$A$505,0)),"source key not found"))</x:f>
      </x:c>
      <x:c r="AD38" s="253" t="str">
        <x:f>IF(AND(A38="",C38="",D38="",I38="",L38="",M38=""),"",IF(C38="skip","SKIP",IF(OR(A38="",C38="",D38="",I38="",L38="",M38="",U38="",COUNTIF($A$6:$A$505,A38)&gt;1,AND(B38&lt;&gt;"",COUNTIF('الزبائن'!$A$6:$A$505,B38)=0),(COUNTIFS('أرقام التواصل'!$A$6:$A$505,"proposed_name",'أرقام التواصل'!$B$6:$B$505,A38,'أرقام التواصل'!$I$6:$I$505,"TRUE")+COUNTIFS('أرقام التواصل'!$A$6:$A$505,"proposed_name",'أرقام التواصل'!$B$6:$B$505,A38,'أرقام التواصل'!$C$6:$C$505,1))=0,AND(W38="TRUE",X38="")),"REVIEW","READY")))</x:f>
      </x:c>
      <x:c r="AE38" s="255" t="str">
        <x:f>IF(AD38="","",IF(AD38="READY","",IF(AD38="SKIP","Skipped by candidate_import_action",TRIM(IF(A38="","missing proposed_name_key; ","")&amp;IF(AND(A38&lt;&gt;"",COUNTIF($A$6:$A$505,A38)&gt;1),"duplicate proposed_name_key; ","")&amp;IF(C38="","missing candidate_import_action; ","")&amp;IF(D38="","missing move_reason; ","")&amp;IF(I38="","missing branch_id; ","")&amp;IF(L38="","missing first_name; ","")&amp;IF(M38="","missing last_name; ","")&amp;IF(U38="","missing status; ","")&amp;IF(AND(B38&lt;&gt;"",COUNTIF('الزبائن'!$A$6:$A$505,B38)=0),"source key not found; ","")&amp;IF((COUNTIFS('أرقام التواصل'!$A$6:$A$505,"proposed_name",'أرقام التواصل'!$B$6:$B$505,A38,'أرقام التواصل'!$I$6:$I$505,"TRUE")+COUNTIFS('أرقام التواصل'!$A$6:$A$505,"proposed_name",'أرقام التواصل'!$B$6:$B$505,A38,'أرقام التواصل'!$C$6:$C$505,1))=0,"missing primary contact in أرقام التواصل; ","")&amp;IF(AND(W38="TRUE",X38=""),"duplicate_type required when duplicate_flag TRUE; ","")))))</x:f>
      </x:c>
    </x:row>
    <x:row r="39">
      <x:c r="A39" s="302"/>
      <x:c r="B39" s="252"/>
      <x:c r="C39" s="253"/>
      <x:c r="D39" s="253"/>
      <x:c r="E39" s="253"/>
      <x:c r="F39" s="252"/>
      <x:c r="G39" s="253"/>
      <x:c r="H39" s="272"/>
      <x:c r="I39" s="253"/>
      <x:c r="J39" s="253"/>
      <x:c r="K39" s="253"/>
      <x:c r="L39" s="253"/>
      <x:c r="M39" s="253"/>
      <x:c r="N39" s="253"/>
      <x:c r="O39" s="253" t="str">
        <x:f>IF(TRIM(L39&amp;" "&amp;M39&amp;IF(N39&lt;&gt;""," ("&amp;N39&amp;")",""))="","",TRIM(L39&amp;" "&amp;M39&amp;IF(N39&lt;&gt;""," ("&amp;N39&amp;")","")))</x:f>
      </x:c>
      <x:c r="P39" s="253"/>
      <x:c r="Q39" s="252"/>
      <x:c r="R39" s="253"/>
      <x:c r="S39" s="253"/>
      <x:c r="T39" s="253"/>
      <x:c r="U39" s="253"/>
      <x:c r="V39" s="253"/>
      <x:c r="W39" s="253"/>
      <x:c r="X39" s="253"/>
      <x:c r="Y39" s="252"/>
      <x:c r="Z39" s="252"/>
      <x:c r="AA39" s="253"/>
      <x:c r="AB39" s="253" t="str">
        <x:f>IF(B39="","",IFERROR(INDEX('الزبائن'!$BA$6:$BA$505,MATCH(B39,'الزبائن'!$A$6:$A$505,0)),"source key not found"))</x:f>
      </x:c>
      <x:c r="AC39" s="253" t="str">
        <x:f>IF(B39="","",IFERROR(INDEX('الزبائن'!$BB$6:$BB$505,MATCH(B39,'الزبائن'!$A$6:$A$505,0)),"source key not found"))</x:f>
      </x:c>
      <x:c r="AD39" s="253" t="str">
        <x:f>IF(AND(A39="",C39="",D39="",I39="",L39="",M39=""),"",IF(C39="skip","SKIP",IF(OR(A39="",C39="",D39="",I39="",L39="",M39="",U39="",COUNTIF($A$6:$A$505,A39)&gt;1,AND(B39&lt;&gt;"",COUNTIF('الزبائن'!$A$6:$A$505,B39)=0),(COUNTIFS('أرقام التواصل'!$A$6:$A$505,"proposed_name",'أرقام التواصل'!$B$6:$B$505,A39,'أرقام التواصل'!$I$6:$I$505,"TRUE")+COUNTIFS('أرقام التواصل'!$A$6:$A$505,"proposed_name",'أرقام التواصل'!$B$6:$B$505,A39,'أرقام التواصل'!$C$6:$C$505,1))=0,AND(W39="TRUE",X39="")),"REVIEW","READY")))</x:f>
      </x:c>
      <x:c r="AE39" s="255" t="str">
        <x:f>IF(AD39="","",IF(AD39="READY","",IF(AD39="SKIP","Skipped by candidate_import_action",TRIM(IF(A39="","missing proposed_name_key; ","")&amp;IF(AND(A39&lt;&gt;"",COUNTIF($A$6:$A$505,A39)&gt;1),"duplicate proposed_name_key; ","")&amp;IF(C39="","missing candidate_import_action; ","")&amp;IF(D39="","missing move_reason; ","")&amp;IF(I39="","missing branch_id; ","")&amp;IF(L39="","missing first_name; ","")&amp;IF(M39="","missing last_name; ","")&amp;IF(U39="","missing status; ","")&amp;IF(AND(B39&lt;&gt;"",COUNTIF('الزبائن'!$A$6:$A$505,B39)=0),"source key not found; ","")&amp;IF((COUNTIFS('أرقام التواصل'!$A$6:$A$505,"proposed_name",'أرقام التواصل'!$B$6:$B$505,A39,'أرقام التواصل'!$I$6:$I$505,"TRUE")+COUNTIFS('أرقام التواصل'!$A$6:$A$505,"proposed_name",'أرقام التواصل'!$B$6:$B$505,A39,'أرقام التواصل'!$C$6:$C$505,1))=0,"missing primary contact in أرقام التواصل; ","")&amp;IF(AND(W39="TRUE",X39=""),"duplicate_type required when duplicate_flag TRUE; ","")))))</x:f>
      </x:c>
    </x:row>
    <x:row r="40">
      <x:c r="A40" s="302"/>
      <x:c r="B40" s="252"/>
      <x:c r="C40" s="253"/>
      <x:c r="D40" s="253"/>
      <x:c r="E40" s="253"/>
      <x:c r="F40" s="252"/>
      <x:c r="G40" s="253"/>
      <x:c r="H40" s="272"/>
      <x:c r="I40" s="253"/>
      <x:c r="J40" s="253"/>
      <x:c r="K40" s="253"/>
      <x:c r="L40" s="253"/>
      <x:c r="M40" s="253"/>
      <x:c r="N40" s="253"/>
      <x:c r="O40" s="253" t="str">
        <x:f>IF(TRIM(L40&amp;" "&amp;M40&amp;IF(N40&lt;&gt;""," ("&amp;N40&amp;")",""))="","",TRIM(L40&amp;" "&amp;M40&amp;IF(N40&lt;&gt;""," ("&amp;N40&amp;")","")))</x:f>
      </x:c>
      <x:c r="P40" s="253"/>
      <x:c r="Q40" s="252"/>
      <x:c r="R40" s="253"/>
      <x:c r="S40" s="253"/>
      <x:c r="T40" s="253"/>
      <x:c r="U40" s="253"/>
      <x:c r="V40" s="253"/>
      <x:c r="W40" s="253"/>
      <x:c r="X40" s="253"/>
      <x:c r="Y40" s="252"/>
      <x:c r="Z40" s="252"/>
      <x:c r="AA40" s="253"/>
      <x:c r="AB40" s="253" t="str">
        <x:f>IF(B40="","",IFERROR(INDEX('الزبائن'!$BA$6:$BA$505,MATCH(B40,'الزبائن'!$A$6:$A$505,0)),"source key not found"))</x:f>
      </x:c>
      <x:c r="AC40" s="253" t="str">
        <x:f>IF(B40="","",IFERROR(INDEX('الزبائن'!$BB$6:$BB$505,MATCH(B40,'الزبائن'!$A$6:$A$505,0)),"source key not found"))</x:f>
      </x:c>
      <x:c r="AD40" s="253" t="str">
        <x:f>IF(AND(A40="",C40="",D40="",I40="",L40="",M40=""),"",IF(C40="skip","SKIP",IF(OR(A40="",C40="",D40="",I40="",L40="",M40="",U40="",COUNTIF($A$6:$A$505,A40)&gt;1,AND(B40&lt;&gt;"",COUNTIF('الزبائن'!$A$6:$A$505,B40)=0),(COUNTIFS('أرقام التواصل'!$A$6:$A$505,"proposed_name",'أرقام التواصل'!$B$6:$B$505,A40,'أرقام التواصل'!$I$6:$I$505,"TRUE")+COUNTIFS('أرقام التواصل'!$A$6:$A$505,"proposed_name",'أرقام التواصل'!$B$6:$B$505,A40,'أرقام التواصل'!$C$6:$C$505,1))=0,AND(W40="TRUE",X40="")),"REVIEW","READY")))</x:f>
      </x:c>
      <x:c r="AE40" s="255" t="str">
        <x:f>IF(AD40="","",IF(AD40="READY","",IF(AD40="SKIP","Skipped by candidate_import_action",TRIM(IF(A40="","missing proposed_name_key; ","")&amp;IF(AND(A40&lt;&gt;"",COUNTIF($A$6:$A$505,A40)&gt;1),"duplicate proposed_name_key; ","")&amp;IF(C40="","missing candidate_import_action; ","")&amp;IF(D40="","missing move_reason; ","")&amp;IF(I40="","missing branch_id; ","")&amp;IF(L40="","missing first_name; ","")&amp;IF(M40="","missing last_name; ","")&amp;IF(U40="","missing status; ","")&amp;IF(AND(B40&lt;&gt;"",COUNTIF('الزبائن'!$A$6:$A$505,B40)=0),"source key not found; ","")&amp;IF((COUNTIFS('أرقام التواصل'!$A$6:$A$505,"proposed_name",'أرقام التواصل'!$B$6:$B$505,A40,'أرقام التواصل'!$I$6:$I$505,"TRUE")+COUNTIFS('أرقام التواصل'!$A$6:$A$505,"proposed_name",'أرقام التواصل'!$B$6:$B$505,A40,'أرقام التواصل'!$C$6:$C$505,1))=0,"missing primary contact in أرقام التواصل; ","")&amp;IF(AND(W40="TRUE",X40=""),"duplicate_type required when duplicate_flag TRUE; ","")))))</x:f>
      </x:c>
    </x:row>
    <x:row r="41">
      <x:c r="A41" s="302"/>
      <x:c r="B41" s="252"/>
      <x:c r="C41" s="253"/>
      <x:c r="D41" s="253"/>
      <x:c r="E41" s="253"/>
      <x:c r="F41" s="252"/>
      <x:c r="G41" s="253"/>
      <x:c r="H41" s="272"/>
      <x:c r="I41" s="253"/>
      <x:c r="J41" s="253"/>
      <x:c r="K41" s="253"/>
      <x:c r="L41" s="253"/>
      <x:c r="M41" s="253"/>
      <x:c r="N41" s="253"/>
      <x:c r="O41" s="253" t="str">
        <x:f>IF(TRIM(L41&amp;" "&amp;M41&amp;IF(N41&lt;&gt;""," ("&amp;N41&amp;")",""))="","",TRIM(L41&amp;" "&amp;M41&amp;IF(N41&lt;&gt;""," ("&amp;N41&amp;")","")))</x:f>
      </x:c>
      <x:c r="P41" s="253"/>
      <x:c r="Q41" s="252"/>
      <x:c r="R41" s="253"/>
      <x:c r="S41" s="253"/>
      <x:c r="T41" s="253"/>
      <x:c r="U41" s="253"/>
      <x:c r="V41" s="253"/>
      <x:c r="W41" s="253"/>
      <x:c r="X41" s="253"/>
      <x:c r="Y41" s="252"/>
      <x:c r="Z41" s="252"/>
      <x:c r="AA41" s="253"/>
      <x:c r="AB41" s="253" t="str">
        <x:f>IF(B41="","",IFERROR(INDEX('الزبائن'!$BA$6:$BA$505,MATCH(B41,'الزبائن'!$A$6:$A$505,0)),"source key not found"))</x:f>
      </x:c>
      <x:c r="AC41" s="253" t="str">
        <x:f>IF(B41="","",IFERROR(INDEX('الزبائن'!$BB$6:$BB$505,MATCH(B41,'الزبائن'!$A$6:$A$505,0)),"source key not found"))</x:f>
      </x:c>
      <x:c r="AD41" s="253" t="str">
        <x:f>IF(AND(A41="",C41="",D41="",I41="",L41="",M41=""),"",IF(C41="skip","SKIP",IF(OR(A41="",C41="",D41="",I41="",L41="",M41="",U41="",COUNTIF($A$6:$A$505,A41)&gt;1,AND(B41&lt;&gt;"",COUNTIF('الزبائن'!$A$6:$A$505,B41)=0),(COUNTIFS('أرقام التواصل'!$A$6:$A$505,"proposed_name",'أرقام التواصل'!$B$6:$B$505,A41,'أرقام التواصل'!$I$6:$I$505,"TRUE")+COUNTIFS('أرقام التواصل'!$A$6:$A$505,"proposed_name",'أرقام التواصل'!$B$6:$B$505,A41,'أرقام التواصل'!$C$6:$C$505,1))=0,AND(W41="TRUE",X41="")),"REVIEW","READY")))</x:f>
      </x:c>
      <x:c r="AE41" s="255" t="str">
        <x:f>IF(AD41="","",IF(AD41="READY","",IF(AD41="SKIP","Skipped by candidate_import_action",TRIM(IF(A41="","missing proposed_name_key; ","")&amp;IF(AND(A41&lt;&gt;"",COUNTIF($A$6:$A$505,A41)&gt;1),"duplicate proposed_name_key; ","")&amp;IF(C41="","missing candidate_import_action; ","")&amp;IF(D41="","missing move_reason; ","")&amp;IF(I41="","missing branch_id; ","")&amp;IF(L41="","missing first_name; ","")&amp;IF(M41="","missing last_name; ","")&amp;IF(U41="","missing status; ","")&amp;IF(AND(B41&lt;&gt;"",COUNTIF('الزبائن'!$A$6:$A$505,B41)=0),"source key not found; ","")&amp;IF((COUNTIFS('أرقام التواصل'!$A$6:$A$505,"proposed_name",'أرقام التواصل'!$B$6:$B$505,A41,'أرقام التواصل'!$I$6:$I$505,"TRUE")+COUNTIFS('أرقام التواصل'!$A$6:$A$505,"proposed_name",'أرقام التواصل'!$B$6:$B$505,A41,'أرقام التواصل'!$C$6:$C$505,1))=0,"missing primary contact in أرقام التواصل; ","")&amp;IF(AND(W41="TRUE",X41=""),"duplicate_type required when duplicate_flag TRUE; ","")))))</x:f>
      </x:c>
    </x:row>
    <x:row r="42">
      <x:c r="A42" s="302"/>
      <x:c r="B42" s="252"/>
      <x:c r="C42" s="253"/>
      <x:c r="D42" s="253"/>
      <x:c r="E42" s="253"/>
      <x:c r="F42" s="252"/>
      <x:c r="G42" s="253"/>
      <x:c r="H42" s="272"/>
      <x:c r="I42" s="253"/>
      <x:c r="J42" s="253"/>
      <x:c r="K42" s="253"/>
      <x:c r="L42" s="253"/>
      <x:c r="M42" s="253"/>
      <x:c r="N42" s="253"/>
      <x:c r="O42" s="253" t="str">
        <x:f>IF(TRIM(L42&amp;" "&amp;M42&amp;IF(N42&lt;&gt;""," ("&amp;N42&amp;")",""))="","",TRIM(L42&amp;" "&amp;M42&amp;IF(N42&lt;&gt;""," ("&amp;N42&amp;")","")))</x:f>
      </x:c>
      <x:c r="P42" s="253"/>
      <x:c r="Q42" s="252"/>
      <x:c r="R42" s="253"/>
      <x:c r="S42" s="253"/>
      <x:c r="T42" s="253"/>
      <x:c r="U42" s="253"/>
      <x:c r="V42" s="253"/>
      <x:c r="W42" s="253"/>
      <x:c r="X42" s="253"/>
      <x:c r="Y42" s="252"/>
      <x:c r="Z42" s="252"/>
      <x:c r="AA42" s="253"/>
      <x:c r="AB42" s="253" t="str">
        <x:f>IF(B42="","",IFERROR(INDEX('الزبائن'!$BA$6:$BA$505,MATCH(B42,'الزبائن'!$A$6:$A$505,0)),"source key not found"))</x:f>
      </x:c>
      <x:c r="AC42" s="253" t="str">
        <x:f>IF(B42="","",IFERROR(INDEX('الزبائن'!$BB$6:$BB$505,MATCH(B42,'الزبائن'!$A$6:$A$505,0)),"source key not found"))</x:f>
      </x:c>
      <x:c r="AD42" s="253" t="str">
        <x:f>IF(AND(A42="",C42="",D42="",I42="",L42="",M42=""),"",IF(C42="skip","SKIP",IF(OR(A42="",C42="",D42="",I42="",L42="",M42="",U42="",COUNTIF($A$6:$A$505,A42)&gt;1,AND(B42&lt;&gt;"",COUNTIF('الزبائن'!$A$6:$A$505,B42)=0),(COUNTIFS('أرقام التواصل'!$A$6:$A$505,"proposed_name",'أرقام التواصل'!$B$6:$B$505,A42,'أرقام التواصل'!$I$6:$I$505,"TRUE")+COUNTIFS('أرقام التواصل'!$A$6:$A$505,"proposed_name",'أرقام التواصل'!$B$6:$B$505,A42,'أرقام التواصل'!$C$6:$C$505,1))=0,AND(W42="TRUE",X42="")),"REVIEW","READY")))</x:f>
      </x:c>
      <x:c r="AE42" s="255" t="str">
        <x:f>IF(AD42="","",IF(AD42="READY","",IF(AD42="SKIP","Skipped by candidate_import_action",TRIM(IF(A42="","missing proposed_name_key; ","")&amp;IF(AND(A42&lt;&gt;"",COUNTIF($A$6:$A$505,A42)&gt;1),"duplicate proposed_name_key; ","")&amp;IF(C42="","missing candidate_import_action; ","")&amp;IF(D42="","missing move_reason; ","")&amp;IF(I42="","missing branch_id; ","")&amp;IF(L42="","missing first_name; ","")&amp;IF(M42="","missing last_name; ","")&amp;IF(U42="","missing status; ","")&amp;IF(AND(B42&lt;&gt;"",COUNTIF('الزبائن'!$A$6:$A$505,B42)=0),"source key not found; ","")&amp;IF((COUNTIFS('أرقام التواصل'!$A$6:$A$505,"proposed_name",'أرقام التواصل'!$B$6:$B$505,A42,'أرقام التواصل'!$I$6:$I$505,"TRUE")+COUNTIFS('أرقام التواصل'!$A$6:$A$505,"proposed_name",'أرقام التواصل'!$B$6:$B$505,A42,'أرقام التواصل'!$C$6:$C$505,1))=0,"missing primary contact in أرقام التواصل; ","")&amp;IF(AND(W42="TRUE",X42=""),"duplicate_type required when duplicate_flag TRUE; ","")))))</x:f>
      </x:c>
    </x:row>
    <x:row r="43">
      <x:c r="A43" s="302"/>
      <x:c r="B43" s="252"/>
      <x:c r="C43" s="253"/>
      <x:c r="D43" s="253"/>
      <x:c r="E43" s="253"/>
      <x:c r="F43" s="252"/>
      <x:c r="G43" s="253"/>
      <x:c r="H43" s="272"/>
      <x:c r="I43" s="253"/>
      <x:c r="J43" s="253"/>
      <x:c r="K43" s="253"/>
      <x:c r="L43" s="253"/>
      <x:c r="M43" s="253"/>
      <x:c r="N43" s="253"/>
      <x:c r="O43" s="253" t="str">
        <x:f>IF(TRIM(L43&amp;" "&amp;M43&amp;IF(N43&lt;&gt;""," ("&amp;N43&amp;")",""))="","",TRIM(L43&amp;" "&amp;M43&amp;IF(N43&lt;&gt;""," ("&amp;N43&amp;")","")))</x:f>
      </x:c>
      <x:c r="P43" s="253"/>
      <x:c r="Q43" s="252"/>
      <x:c r="R43" s="253"/>
      <x:c r="S43" s="253"/>
      <x:c r="T43" s="253"/>
      <x:c r="U43" s="253"/>
      <x:c r="V43" s="253"/>
      <x:c r="W43" s="253"/>
      <x:c r="X43" s="253"/>
      <x:c r="Y43" s="252"/>
      <x:c r="Z43" s="252"/>
      <x:c r="AA43" s="253"/>
      <x:c r="AB43" s="253" t="str">
        <x:f>IF(B43="","",IFERROR(INDEX('الزبائن'!$BA$6:$BA$505,MATCH(B43,'الزبائن'!$A$6:$A$505,0)),"source key not found"))</x:f>
      </x:c>
      <x:c r="AC43" s="253" t="str">
        <x:f>IF(B43="","",IFERROR(INDEX('الزبائن'!$BB$6:$BB$505,MATCH(B43,'الزبائن'!$A$6:$A$505,0)),"source key not found"))</x:f>
      </x:c>
      <x:c r="AD43" s="253" t="str">
        <x:f>IF(AND(A43="",C43="",D43="",I43="",L43="",M43=""),"",IF(C43="skip","SKIP",IF(OR(A43="",C43="",D43="",I43="",L43="",M43="",U43="",COUNTIF($A$6:$A$505,A43)&gt;1,AND(B43&lt;&gt;"",COUNTIF('الزبائن'!$A$6:$A$505,B43)=0),(COUNTIFS('أرقام التواصل'!$A$6:$A$505,"proposed_name",'أرقام التواصل'!$B$6:$B$505,A43,'أرقام التواصل'!$I$6:$I$505,"TRUE")+COUNTIFS('أرقام التواصل'!$A$6:$A$505,"proposed_name",'أرقام التواصل'!$B$6:$B$505,A43,'أرقام التواصل'!$C$6:$C$505,1))=0,AND(W43="TRUE",X43="")),"REVIEW","READY")))</x:f>
      </x:c>
      <x:c r="AE43" s="255" t="str">
        <x:f>IF(AD43="","",IF(AD43="READY","",IF(AD43="SKIP","Skipped by candidate_import_action",TRIM(IF(A43="","missing proposed_name_key; ","")&amp;IF(AND(A43&lt;&gt;"",COUNTIF($A$6:$A$505,A43)&gt;1),"duplicate proposed_name_key; ","")&amp;IF(C43="","missing candidate_import_action; ","")&amp;IF(D43="","missing move_reason; ","")&amp;IF(I43="","missing branch_id; ","")&amp;IF(L43="","missing first_name; ","")&amp;IF(M43="","missing last_name; ","")&amp;IF(U43="","missing status; ","")&amp;IF(AND(B43&lt;&gt;"",COUNTIF('الزبائن'!$A$6:$A$505,B43)=0),"source key not found; ","")&amp;IF((COUNTIFS('أرقام التواصل'!$A$6:$A$505,"proposed_name",'أرقام التواصل'!$B$6:$B$505,A43,'أرقام التواصل'!$I$6:$I$505,"TRUE")+COUNTIFS('أرقام التواصل'!$A$6:$A$505,"proposed_name",'أرقام التواصل'!$B$6:$B$505,A43,'أرقام التواصل'!$C$6:$C$505,1))=0,"missing primary contact in أرقام التواصل; ","")&amp;IF(AND(W43="TRUE",X43=""),"duplicate_type required when duplicate_flag TRUE; ","")))))</x:f>
      </x:c>
    </x:row>
    <x:row r="44">
      <x:c r="A44" s="302"/>
      <x:c r="B44" s="252"/>
      <x:c r="C44" s="253"/>
      <x:c r="D44" s="253"/>
      <x:c r="E44" s="253"/>
      <x:c r="F44" s="252"/>
      <x:c r="G44" s="253"/>
      <x:c r="H44" s="272"/>
      <x:c r="I44" s="253"/>
      <x:c r="J44" s="253"/>
      <x:c r="K44" s="253"/>
      <x:c r="L44" s="253"/>
      <x:c r="M44" s="253"/>
      <x:c r="N44" s="253"/>
      <x:c r="O44" s="253" t="str">
        <x:f>IF(TRIM(L44&amp;" "&amp;M44&amp;IF(N44&lt;&gt;""," ("&amp;N44&amp;")",""))="","",TRIM(L44&amp;" "&amp;M44&amp;IF(N44&lt;&gt;""," ("&amp;N44&amp;")","")))</x:f>
      </x:c>
      <x:c r="P44" s="253"/>
      <x:c r="Q44" s="252"/>
      <x:c r="R44" s="253"/>
      <x:c r="S44" s="253"/>
      <x:c r="T44" s="253"/>
      <x:c r="U44" s="253"/>
      <x:c r="V44" s="253"/>
      <x:c r="W44" s="253"/>
      <x:c r="X44" s="253"/>
      <x:c r="Y44" s="252"/>
      <x:c r="Z44" s="252"/>
      <x:c r="AA44" s="253"/>
      <x:c r="AB44" s="253" t="str">
        <x:f>IF(B44="","",IFERROR(INDEX('الزبائن'!$BA$6:$BA$505,MATCH(B44,'الزبائن'!$A$6:$A$505,0)),"source key not found"))</x:f>
      </x:c>
      <x:c r="AC44" s="253" t="str">
        <x:f>IF(B44="","",IFERROR(INDEX('الزبائن'!$BB$6:$BB$505,MATCH(B44,'الزبائن'!$A$6:$A$505,0)),"source key not found"))</x:f>
      </x:c>
      <x:c r="AD44" s="253" t="str">
        <x:f>IF(AND(A44="",C44="",D44="",I44="",L44="",M44=""),"",IF(C44="skip","SKIP",IF(OR(A44="",C44="",D44="",I44="",L44="",M44="",U44="",COUNTIF($A$6:$A$505,A44)&gt;1,AND(B44&lt;&gt;"",COUNTIF('الزبائن'!$A$6:$A$505,B44)=0),(COUNTIFS('أرقام التواصل'!$A$6:$A$505,"proposed_name",'أرقام التواصل'!$B$6:$B$505,A44,'أرقام التواصل'!$I$6:$I$505,"TRUE")+COUNTIFS('أرقام التواصل'!$A$6:$A$505,"proposed_name",'أرقام التواصل'!$B$6:$B$505,A44,'أرقام التواصل'!$C$6:$C$505,1))=0,AND(W44="TRUE",X44="")),"REVIEW","READY")))</x:f>
      </x:c>
      <x:c r="AE44" s="255" t="str">
        <x:f>IF(AD44="","",IF(AD44="READY","",IF(AD44="SKIP","Skipped by candidate_import_action",TRIM(IF(A44="","missing proposed_name_key; ","")&amp;IF(AND(A44&lt;&gt;"",COUNTIF($A$6:$A$505,A44)&gt;1),"duplicate proposed_name_key; ","")&amp;IF(C44="","missing candidate_import_action; ","")&amp;IF(D44="","missing move_reason; ","")&amp;IF(I44="","missing branch_id; ","")&amp;IF(L44="","missing first_name; ","")&amp;IF(M44="","missing last_name; ","")&amp;IF(U44="","missing status; ","")&amp;IF(AND(B44&lt;&gt;"",COUNTIF('الزبائن'!$A$6:$A$505,B44)=0),"source key not found; ","")&amp;IF((COUNTIFS('أرقام التواصل'!$A$6:$A$505,"proposed_name",'أرقام التواصل'!$B$6:$B$505,A44,'أرقام التواصل'!$I$6:$I$505,"TRUE")+COUNTIFS('أرقام التواصل'!$A$6:$A$505,"proposed_name",'أرقام التواصل'!$B$6:$B$505,A44,'أرقام التواصل'!$C$6:$C$505,1))=0,"missing primary contact in أرقام التواصل; ","")&amp;IF(AND(W44="TRUE",X44=""),"duplicate_type required when duplicate_flag TRUE; ","")))))</x:f>
      </x:c>
    </x:row>
    <x:row r="45">
      <x:c r="A45" s="302"/>
      <x:c r="B45" s="252"/>
      <x:c r="C45" s="253"/>
      <x:c r="D45" s="253"/>
      <x:c r="E45" s="253"/>
      <x:c r="F45" s="252"/>
      <x:c r="G45" s="253"/>
      <x:c r="H45" s="272"/>
      <x:c r="I45" s="253"/>
      <x:c r="J45" s="253"/>
      <x:c r="K45" s="253"/>
      <x:c r="L45" s="253"/>
      <x:c r="M45" s="253"/>
      <x:c r="N45" s="253"/>
      <x:c r="O45" s="253" t="str">
        <x:f>IF(TRIM(L45&amp;" "&amp;M45&amp;IF(N45&lt;&gt;""," ("&amp;N45&amp;")",""))="","",TRIM(L45&amp;" "&amp;M45&amp;IF(N45&lt;&gt;""," ("&amp;N45&amp;")","")))</x:f>
      </x:c>
      <x:c r="P45" s="253"/>
      <x:c r="Q45" s="252"/>
      <x:c r="R45" s="253"/>
      <x:c r="S45" s="253"/>
      <x:c r="T45" s="253"/>
      <x:c r="U45" s="253"/>
      <x:c r="V45" s="253"/>
      <x:c r="W45" s="253"/>
      <x:c r="X45" s="253"/>
      <x:c r="Y45" s="252"/>
      <x:c r="Z45" s="252"/>
      <x:c r="AA45" s="253"/>
      <x:c r="AB45" s="253" t="str">
        <x:f>IF(B45="","",IFERROR(INDEX('الزبائن'!$BA$6:$BA$505,MATCH(B45,'الزبائن'!$A$6:$A$505,0)),"source key not found"))</x:f>
      </x:c>
      <x:c r="AC45" s="253" t="str">
        <x:f>IF(B45="","",IFERROR(INDEX('الزبائن'!$BB$6:$BB$505,MATCH(B45,'الزبائن'!$A$6:$A$505,0)),"source key not found"))</x:f>
      </x:c>
      <x:c r="AD45" s="253" t="str">
        <x:f>IF(AND(A45="",C45="",D45="",I45="",L45="",M45=""),"",IF(C45="skip","SKIP",IF(OR(A45="",C45="",D45="",I45="",L45="",M45="",U45="",COUNTIF($A$6:$A$505,A45)&gt;1,AND(B45&lt;&gt;"",COUNTIF('الزبائن'!$A$6:$A$505,B45)=0),(COUNTIFS('أرقام التواصل'!$A$6:$A$505,"proposed_name",'أرقام التواصل'!$B$6:$B$505,A45,'أرقام التواصل'!$I$6:$I$505,"TRUE")+COUNTIFS('أرقام التواصل'!$A$6:$A$505,"proposed_name",'أرقام التواصل'!$B$6:$B$505,A45,'أرقام التواصل'!$C$6:$C$505,1))=0,AND(W45="TRUE",X45="")),"REVIEW","READY")))</x:f>
      </x:c>
      <x:c r="AE45" s="255" t="str">
        <x:f>IF(AD45="","",IF(AD45="READY","",IF(AD45="SKIP","Skipped by candidate_import_action",TRIM(IF(A45="","missing proposed_name_key; ","")&amp;IF(AND(A45&lt;&gt;"",COUNTIF($A$6:$A$505,A45)&gt;1),"duplicate proposed_name_key; ","")&amp;IF(C45="","missing candidate_import_action; ","")&amp;IF(D45="","missing move_reason; ","")&amp;IF(I45="","missing branch_id; ","")&amp;IF(L45="","missing first_name; ","")&amp;IF(M45="","missing last_name; ","")&amp;IF(U45="","missing status; ","")&amp;IF(AND(B45&lt;&gt;"",COUNTIF('الزبائن'!$A$6:$A$505,B45)=0),"source key not found; ","")&amp;IF((COUNTIFS('أرقام التواصل'!$A$6:$A$505,"proposed_name",'أرقام التواصل'!$B$6:$B$505,A45,'أرقام التواصل'!$I$6:$I$505,"TRUE")+COUNTIFS('أرقام التواصل'!$A$6:$A$505,"proposed_name",'أرقام التواصل'!$B$6:$B$505,A45,'أرقام التواصل'!$C$6:$C$505,1))=0,"missing primary contact in أرقام التواصل; ","")&amp;IF(AND(W45="TRUE",X45=""),"duplicate_type required when duplicate_flag TRUE; ","")))))</x:f>
      </x:c>
    </x:row>
    <x:row r="46">
      <x:c r="A46" s="302"/>
      <x:c r="B46" s="252"/>
      <x:c r="C46" s="253"/>
      <x:c r="D46" s="253"/>
      <x:c r="E46" s="253"/>
      <x:c r="F46" s="252"/>
      <x:c r="G46" s="253"/>
      <x:c r="H46" s="272"/>
      <x:c r="I46" s="253"/>
      <x:c r="J46" s="253"/>
      <x:c r="K46" s="253"/>
      <x:c r="L46" s="253"/>
      <x:c r="M46" s="253"/>
      <x:c r="N46" s="253"/>
      <x:c r="O46" s="253" t="str">
        <x:f>IF(TRIM(L46&amp;" "&amp;M46&amp;IF(N46&lt;&gt;""," ("&amp;N46&amp;")",""))="","",TRIM(L46&amp;" "&amp;M46&amp;IF(N46&lt;&gt;""," ("&amp;N46&amp;")","")))</x:f>
      </x:c>
      <x:c r="P46" s="253"/>
      <x:c r="Q46" s="252"/>
      <x:c r="R46" s="253"/>
      <x:c r="S46" s="253"/>
      <x:c r="T46" s="253"/>
      <x:c r="U46" s="253"/>
      <x:c r="V46" s="253"/>
      <x:c r="W46" s="253"/>
      <x:c r="X46" s="253"/>
      <x:c r="Y46" s="252"/>
      <x:c r="Z46" s="252"/>
      <x:c r="AA46" s="253"/>
      <x:c r="AB46" s="253" t="str">
        <x:f>IF(B46="","",IFERROR(INDEX('الزبائن'!$BA$6:$BA$505,MATCH(B46,'الزبائن'!$A$6:$A$505,0)),"source key not found"))</x:f>
      </x:c>
      <x:c r="AC46" s="253" t="str">
        <x:f>IF(B46="","",IFERROR(INDEX('الزبائن'!$BB$6:$BB$505,MATCH(B46,'الزبائن'!$A$6:$A$505,0)),"source key not found"))</x:f>
      </x:c>
      <x:c r="AD46" s="253" t="str">
        <x:f>IF(AND(A46="",C46="",D46="",I46="",L46="",M46=""),"",IF(C46="skip","SKIP",IF(OR(A46="",C46="",D46="",I46="",L46="",M46="",U46="",COUNTIF($A$6:$A$505,A46)&gt;1,AND(B46&lt;&gt;"",COUNTIF('الزبائن'!$A$6:$A$505,B46)=0),(COUNTIFS('أرقام التواصل'!$A$6:$A$505,"proposed_name",'أرقام التواصل'!$B$6:$B$505,A46,'أرقام التواصل'!$I$6:$I$505,"TRUE")+COUNTIFS('أرقام التواصل'!$A$6:$A$505,"proposed_name",'أرقام التواصل'!$B$6:$B$505,A46,'أرقام التواصل'!$C$6:$C$505,1))=0,AND(W46="TRUE",X46="")),"REVIEW","READY")))</x:f>
      </x:c>
      <x:c r="AE46" s="255" t="str">
        <x:f>IF(AD46="","",IF(AD46="READY","",IF(AD46="SKIP","Skipped by candidate_import_action",TRIM(IF(A46="","missing proposed_name_key; ","")&amp;IF(AND(A46&lt;&gt;"",COUNTIF($A$6:$A$505,A46)&gt;1),"duplicate proposed_name_key; ","")&amp;IF(C46="","missing candidate_import_action; ","")&amp;IF(D46="","missing move_reason; ","")&amp;IF(I46="","missing branch_id; ","")&amp;IF(L46="","missing first_name; ","")&amp;IF(M46="","missing last_name; ","")&amp;IF(U46="","missing status; ","")&amp;IF(AND(B46&lt;&gt;"",COUNTIF('الزبائن'!$A$6:$A$505,B46)=0),"source key not found; ","")&amp;IF((COUNTIFS('أرقام التواصل'!$A$6:$A$505,"proposed_name",'أرقام التواصل'!$B$6:$B$505,A46,'أرقام التواصل'!$I$6:$I$505,"TRUE")+COUNTIFS('أرقام التواصل'!$A$6:$A$505,"proposed_name",'أرقام التواصل'!$B$6:$B$505,A46,'أرقام التواصل'!$C$6:$C$505,1))=0,"missing primary contact in أرقام التواصل; ","")&amp;IF(AND(W46="TRUE",X46=""),"duplicate_type required when duplicate_flag TRUE; ","")))))</x:f>
      </x:c>
    </x:row>
    <x:row r="47">
      <x:c r="A47" s="302"/>
      <x:c r="B47" s="252"/>
      <x:c r="C47" s="253"/>
      <x:c r="D47" s="253"/>
      <x:c r="E47" s="253"/>
      <x:c r="F47" s="252"/>
      <x:c r="G47" s="253"/>
      <x:c r="H47" s="272"/>
      <x:c r="I47" s="253"/>
      <x:c r="J47" s="253"/>
      <x:c r="K47" s="253"/>
      <x:c r="L47" s="253"/>
      <x:c r="M47" s="253"/>
      <x:c r="N47" s="253"/>
      <x:c r="O47" s="253" t="str">
        <x:f>IF(TRIM(L47&amp;" "&amp;M47&amp;IF(N47&lt;&gt;""," ("&amp;N47&amp;")",""))="","",TRIM(L47&amp;" "&amp;M47&amp;IF(N47&lt;&gt;""," ("&amp;N47&amp;")","")))</x:f>
      </x:c>
      <x:c r="P47" s="253"/>
      <x:c r="Q47" s="252"/>
      <x:c r="R47" s="253"/>
      <x:c r="S47" s="253"/>
      <x:c r="T47" s="253"/>
      <x:c r="U47" s="253"/>
      <x:c r="V47" s="253"/>
      <x:c r="W47" s="253"/>
      <x:c r="X47" s="253"/>
      <x:c r="Y47" s="252"/>
      <x:c r="Z47" s="252"/>
      <x:c r="AA47" s="253"/>
      <x:c r="AB47" s="253" t="str">
        <x:f>IF(B47="","",IFERROR(INDEX('الزبائن'!$BA$6:$BA$505,MATCH(B47,'الزبائن'!$A$6:$A$505,0)),"source key not found"))</x:f>
      </x:c>
      <x:c r="AC47" s="253" t="str">
        <x:f>IF(B47="","",IFERROR(INDEX('الزبائن'!$BB$6:$BB$505,MATCH(B47,'الزبائن'!$A$6:$A$505,0)),"source key not found"))</x:f>
      </x:c>
      <x:c r="AD47" s="253" t="str">
        <x:f>IF(AND(A47="",C47="",D47="",I47="",L47="",M47=""),"",IF(C47="skip","SKIP",IF(OR(A47="",C47="",D47="",I47="",L47="",M47="",U47="",COUNTIF($A$6:$A$505,A47)&gt;1,AND(B47&lt;&gt;"",COUNTIF('الزبائن'!$A$6:$A$505,B47)=0),(COUNTIFS('أرقام التواصل'!$A$6:$A$505,"proposed_name",'أرقام التواصل'!$B$6:$B$505,A47,'أرقام التواصل'!$I$6:$I$505,"TRUE")+COUNTIFS('أرقام التواصل'!$A$6:$A$505,"proposed_name",'أرقام التواصل'!$B$6:$B$505,A47,'أرقام التواصل'!$C$6:$C$505,1))=0,AND(W47="TRUE",X47="")),"REVIEW","READY")))</x:f>
      </x:c>
      <x:c r="AE47" s="255" t="str">
        <x:f>IF(AD47="","",IF(AD47="READY","",IF(AD47="SKIP","Skipped by candidate_import_action",TRIM(IF(A47="","missing proposed_name_key; ","")&amp;IF(AND(A47&lt;&gt;"",COUNTIF($A$6:$A$505,A47)&gt;1),"duplicate proposed_name_key; ","")&amp;IF(C47="","missing candidate_import_action; ","")&amp;IF(D47="","missing move_reason; ","")&amp;IF(I47="","missing branch_id; ","")&amp;IF(L47="","missing first_name; ","")&amp;IF(M47="","missing last_name; ","")&amp;IF(U47="","missing status; ","")&amp;IF(AND(B47&lt;&gt;"",COUNTIF('الزبائن'!$A$6:$A$505,B47)=0),"source key not found; ","")&amp;IF((COUNTIFS('أرقام التواصل'!$A$6:$A$505,"proposed_name",'أرقام التواصل'!$B$6:$B$505,A47,'أرقام التواصل'!$I$6:$I$505,"TRUE")+COUNTIFS('أرقام التواصل'!$A$6:$A$505,"proposed_name",'أرقام التواصل'!$B$6:$B$505,A47,'أرقام التواصل'!$C$6:$C$505,1))=0,"missing primary contact in أرقام التواصل; ","")&amp;IF(AND(W47="TRUE",X47=""),"duplicate_type required when duplicate_flag TRUE; ","")))))</x:f>
      </x:c>
    </x:row>
    <x:row r="48">
      <x:c r="A48" s="302"/>
      <x:c r="B48" s="252"/>
      <x:c r="C48" s="253"/>
      <x:c r="D48" s="253"/>
      <x:c r="E48" s="253"/>
      <x:c r="F48" s="252"/>
      <x:c r="G48" s="253"/>
      <x:c r="H48" s="272"/>
      <x:c r="I48" s="253"/>
      <x:c r="J48" s="253"/>
      <x:c r="K48" s="253"/>
      <x:c r="L48" s="253"/>
      <x:c r="M48" s="253"/>
      <x:c r="N48" s="253"/>
      <x:c r="O48" s="253" t="str">
        <x:f>IF(TRIM(L48&amp;" "&amp;M48&amp;IF(N48&lt;&gt;""," ("&amp;N48&amp;")",""))="","",TRIM(L48&amp;" "&amp;M48&amp;IF(N48&lt;&gt;""," ("&amp;N48&amp;")","")))</x:f>
      </x:c>
      <x:c r="P48" s="253"/>
      <x:c r="Q48" s="252"/>
      <x:c r="R48" s="253"/>
      <x:c r="S48" s="253"/>
      <x:c r="T48" s="253"/>
      <x:c r="U48" s="253"/>
      <x:c r="V48" s="253"/>
      <x:c r="W48" s="253"/>
      <x:c r="X48" s="253"/>
      <x:c r="Y48" s="252"/>
      <x:c r="Z48" s="252"/>
      <x:c r="AA48" s="253"/>
      <x:c r="AB48" s="253" t="str">
        <x:f>IF(B48="","",IFERROR(INDEX('الزبائن'!$BA$6:$BA$505,MATCH(B48,'الزبائن'!$A$6:$A$505,0)),"source key not found"))</x:f>
      </x:c>
      <x:c r="AC48" s="253" t="str">
        <x:f>IF(B48="","",IFERROR(INDEX('الزبائن'!$BB$6:$BB$505,MATCH(B48,'الزبائن'!$A$6:$A$505,0)),"source key not found"))</x:f>
      </x:c>
      <x:c r="AD48" s="253" t="str">
        <x:f>IF(AND(A48="",C48="",D48="",I48="",L48="",M48=""),"",IF(C48="skip","SKIP",IF(OR(A48="",C48="",D48="",I48="",L48="",M48="",U48="",COUNTIF($A$6:$A$505,A48)&gt;1,AND(B48&lt;&gt;"",COUNTIF('الزبائن'!$A$6:$A$505,B48)=0),(COUNTIFS('أرقام التواصل'!$A$6:$A$505,"proposed_name",'أرقام التواصل'!$B$6:$B$505,A48,'أرقام التواصل'!$I$6:$I$505,"TRUE")+COUNTIFS('أرقام التواصل'!$A$6:$A$505,"proposed_name",'أرقام التواصل'!$B$6:$B$505,A48,'أرقام التواصل'!$C$6:$C$505,1))=0,AND(W48="TRUE",X48="")),"REVIEW","READY")))</x:f>
      </x:c>
      <x:c r="AE48" s="255" t="str">
        <x:f>IF(AD48="","",IF(AD48="READY","",IF(AD48="SKIP","Skipped by candidate_import_action",TRIM(IF(A48="","missing proposed_name_key; ","")&amp;IF(AND(A48&lt;&gt;"",COUNTIF($A$6:$A$505,A48)&gt;1),"duplicate proposed_name_key; ","")&amp;IF(C48="","missing candidate_import_action; ","")&amp;IF(D48="","missing move_reason; ","")&amp;IF(I48="","missing branch_id; ","")&amp;IF(L48="","missing first_name; ","")&amp;IF(M48="","missing last_name; ","")&amp;IF(U48="","missing status; ","")&amp;IF(AND(B48&lt;&gt;"",COUNTIF('الزبائن'!$A$6:$A$505,B48)=0),"source key not found; ","")&amp;IF((COUNTIFS('أرقام التواصل'!$A$6:$A$505,"proposed_name",'أرقام التواصل'!$B$6:$B$505,A48,'أرقام التواصل'!$I$6:$I$505,"TRUE")+COUNTIFS('أرقام التواصل'!$A$6:$A$505,"proposed_name",'أرقام التواصل'!$B$6:$B$505,A48,'أرقام التواصل'!$C$6:$C$505,1))=0,"missing primary contact in أرقام التواصل; ","")&amp;IF(AND(W48="TRUE",X48=""),"duplicate_type required when duplicate_flag TRUE; ","")))))</x:f>
      </x:c>
    </x:row>
    <x:row r="49">
      <x:c r="A49" s="302"/>
      <x:c r="B49" s="252"/>
      <x:c r="C49" s="253"/>
      <x:c r="D49" s="253"/>
      <x:c r="E49" s="253"/>
      <x:c r="F49" s="252"/>
      <x:c r="G49" s="253"/>
      <x:c r="H49" s="272"/>
      <x:c r="I49" s="253"/>
      <x:c r="J49" s="253"/>
      <x:c r="K49" s="253"/>
      <x:c r="L49" s="253"/>
      <x:c r="M49" s="253"/>
      <x:c r="N49" s="253"/>
      <x:c r="O49" s="253" t="str">
        <x:f>IF(TRIM(L49&amp;" "&amp;M49&amp;IF(N49&lt;&gt;""," ("&amp;N49&amp;")",""))="","",TRIM(L49&amp;" "&amp;M49&amp;IF(N49&lt;&gt;""," ("&amp;N49&amp;")","")))</x:f>
      </x:c>
      <x:c r="P49" s="253"/>
      <x:c r="Q49" s="252"/>
      <x:c r="R49" s="253"/>
      <x:c r="S49" s="253"/>
      <x:c r="T49" s="253"/>
      <x:c r="U49" s="253"/>
      <x:c r="V49" s="253"/>
      <x:c r="W49" s="253"/>
      <x:c r="X49" s="253"/>
      <x:c r="Y49" s="252"/>
      <x:c r="Z49" s="252"/>
      <x:c r="AA49" s="253"/>
      <x:c r="AB49" s="253" t="str">
        <x:f>IF(B49="","",IFERROR(INDEX('الزبائن'!$BA$6:$BA$505,MATCH(B49,'الزبائن'!$A$6:$A$505,0)),"source key not found"))</x:f>
      </x:c>
      <x:c r="AC49" s="253" t="str">
        <x:f>IF(B49="","",IFERROR(INDEX('الزبائن'!$BB$6:$BB$505,MATCH(B49,'الزبائن'!$A$6:$A$505,0)),"source key not found"))</x:f>
      </x:c>
      <x:c r="AD49" s="253" t="str">
        <x:f>IF(AND(A49="",C49="",D49="",I49="",L49="",M49=""),"",IF(C49="skip","SKIP",IF(OR(A49="",C49="",D49="",I49="",L49="",M49="",U49="",COUNTIF($A$6:$A$505,A49)&gt;1,AND(B49&lt;&gt;"",COUNTIF('الزبائن'!$A$6:$A$505,B49)=0),(COUNTIFS('أرقام التواصل'!$A$6:$A$505,"proposed_name",'أرقام التواصل'!$B$6:$B$505,A49,'أرقام التواصل'!$I$6:$I$505,"TRUE")+COUNTIFS('أرقام التواصل'!$A$6:$A$505,"proposed_name",'أرقام التواصل'!$B$6:$B$505,A49,'أرقام التواصل'!$C$6:$C$505,1))=0,AND(W49="TRUE",X49="")),"REVIEW","READY")))</x:f>
      </x:c>
      <x:c r="AE49" s="255" t="str">
        <x:f>IF(AD49="","",IF(AD49="READY","",IF(AD49="SKIP","Skipped by candidate_import_action",TRIM(IF(A49="","missing proposed_name_key; ","")&amp;IF(AND(A49&lt;&gt;"",COUNTIF($A$6:$A$505,A49)&gt;1),"duplicate proposed_name_key; ","")&amp;IF(C49="","missing candidate_import_action; ","")&amp;IF(D49="","missing move_reason; ","")&amp;IF(I49="","missing branch_id; ","")&amp;IF(L49="","missing first_name; ","")&amp;IF(M49="","missing last_name; ","")&amp;IF(U49="","missing status; ","")&amp;IF(AND(B49&lt;&gt;"",COUNTIF('الزبائن'!$A$6:$A$505,B49)=0),"source key not found; ","")&amp;IF((COUNTIFS('أرقام التواصل'!$A$6:$A$505,"proposed_name",'أرقام التواصل'!$B$6:$B$505,A49,'أرقام التواصل'!$I$6:$I$505,"TRUE")+COUNTIFS('أرقام التواصل'!$A$6:$A$505,"proposed_name",'أرقام التواصل'!$B$6:$B$505,A49,'أرقام التواصل'!$C$6:$C$505,1))=0,"missing primary contact in أرقام التواصل; ","")&amp;IF(AND(W49="TRUE",X49=""),"duplicate_type required when duplicate_flag TRUE; ","")))))</x:f>
      </x:c>
    </x:row>
    <x:row r="50">
      <x:c r="A50" s="302"/>
      <x:c r="B50" s="252"/>
      <x:c r="C50" s="253"/>
      <x:c r="D50" s="253"/>
      <x:c r="E50" s="253"/>
      <x:c r="F50" s="252"/>
      <x:c r="G50" s="253"/>
      <x:c r="H50" s="272"/>
      <x:c r="I50" s="253"/>
      <x:c r="J50" s="253"/>
      <x:c r="K50" s="253"/>
      <x:c r="L50" s="253"/>
      <x:c r="M50" s="253"/>
      <x:c r="N50" s="253"/>
      <x:c r="O50" s="253" t="str">
        <x:f>IF(TRIM(L50&amp;" "&amp;M50&amp;IF(N50&lt;&gt;""," ("&amp;N50&amp;")",""))="","",TRIM(L50&amp;" "&amp;M50&amp;IF(N50&lt;&gt;""," ("&amp;N50&amp;")","")))</x:f>
      </x:c>
      <x:c r="P50" s="253"/>
      <x:c r="Q50" s="252"/>
      <x:c r="R50" s="253"/>
      <x:c r="S50" s="253"/>
      <x:c r="T50" s="253"/>
      <x:c r="U50" s="253"/>
      <x:c r="V50" s="253"/>
      <x:c r="W50" s="253"/>
      <x:c r="X50" s="253"/>
      <x:c r="Y50" s="252"/>
      <x:c r="Z50" s="252"/>
      <x:c r="AA50" s="253"/>
      <x:c r="AB50" s="253" t="str">
        <x:f>IF(B50="","",IFERROR(INDEX('الزبائن'!$BA$6:$BA$505,MATCH(B50,'الزبائن'!$A$6:$A$505,0)),"source key not found"))</x:f>
      </x:c>
      <x:c r="AC50" s="253" t="str">
        <x:f>IF(B50="","",IFERROR(INDEX('الزبائن'!$BB$6:$BB$505,MATCH(B50,'الزبائن'!$A$6:$A$505,0)),"source key not found"))</x:f>
      </x:c>
      <x:c r="AD50" s="253" t="str">
        <x:f>IF(AND(A50="",C50="",D50="",I50="",L50="",M50=""),"",IF(C50="skip","SKIP",IF(OR(A50="",C50="",D50="",I50="",L50="",M50="",U50="",COUNTIF($A$6:$A$505,A50)&gt;1,AND(B50&lt;&gt;"",COUNTIF('الزبائن'!$A$6:$A$505,B50)=0),(COUNTIFS('أرقام التواصل'!$A$6:$A$505,"proposed_name",'أرقام التواصل'!$B$6:$B$505,A50,'أرقام التواصل'!$I$6:$I$505,"TRUE")+COUNTIFS('أرقام التواصل'!$A$6:$A$505,"proposed_name",'أرقام التواصل'!$B$6:$B$505,A50,'أرقام التواصل'!$C$6:$C$505,1))=0,AND(W50="TRUE",X50="")),"REVIEW","READY")))</x:f>
      </x:c>
      <x:c r="AE50" s="255" t="str">
        <x:f>IF(AD50="","",IF(AD50="READY","",IF(AD50="SKIP","Skipped by candidate_import_action",TRIM(IF(A50="","missing proposed_name_key; ","")&amp;IF(AND(A50&lt;&gt;"",COUNTIF($A$6:$A$505,A50)&gt;1),"duplicate proposed_name_key; ","")&amp;IF(C50="","missing candidate_import_action; ","")&amp;IF(D50="","missing move_reason; ","")&amp;IF(I50="","missing branch_id; ","")&amp;IF(L50="","missing first_name; ","")&amp;IF(M50="","missing last_name; ","")&amp;IF(U50="","missing status; ","")&amp;IF(AND(B50&lt;&gt;"",COUNTIF('الزبائن'!$A$6:$A$505,B50)=0),"source key not found; ","")&amp;IF((COUNTIFS('أرقام التواصل'!$A$6:$A$505,"proposed_name",'أرقام التواصل'!$B$6:$B$505,A50,'أرقام التواصل'!$I$6:$I$505,"TRUE")+COUNTIFS('أرقام التواصل'!$A$6:$A$505,"proposed_name",'أرقام التواصل'!$B$6:$B$505,A50,'أرقام التواصل'!$C$6:$C$505,1))=0,"missing primary contact in أرقام التواصل; ","")&amp;IF(AND(W50="TRUE",X50=""),"duplicate_type required when duplicate_flag TRUE; ","")))))</x:f>
      </x:c>
    </x:row>
    <x:row r="51">
      <x:c r="A51" s="302"/>
      <x:c r="B51" s="252"/>
      <x:c r="C51" s="253"/>
      <x:c r="D51" s="253"/>
      <x:c r="E51" s="253"/>
      <x:c r="F51" s="252"/>
      <x:c r="G51" s="253"/>
      <x:c r="H51" s="272"/>
      <x:c r="I51" s="253"/>
      <x:c r="J51" s="253"/>
      <x:c r="K51" s="253"/>
      <x:c r="L51" s="253"/>
      <x:c r="M51" s="253"/>
      <x:c r="N51" s="253"/>
      <x:c r="O51" s="253" t="str">
        <x:f>IF(TRIM(L51&amp;" "&amp;M51&amp;IF(N51&lt;&gt;""," ("&amp;N51&amp;")",""))="","",TRIM(L51&amp;" "&amp;M51&amp;IF(N51&lt;&gt;""," ("&amp;N51&amp;")","")))</x:f>
      </x:c>
      <x:c r="P51" s="253"/>
      <x:c r="Q51" s="252"/>
      <x:c r="R51" s="253"/>
      <x:c r="S51" s="253"/>
      <x:c r="T51" s="253"/>
      <x:c r="U51" s="253"/>
      <x:c r="V51" s="253"/>
      <x:c r="W51" s="253"/>
      <x:c r="X51" s="253"/>
      <x:c r="Y51" s="252"/>
      <x:c r="Z51" s="252"/>
      <x:c r="AA51" s="253"/>
      <x:c r="AB51" s="253" t="str">
        <x:f>IF(B51="","",IFERROR(INDEX('الزبائن'!$BA$6:$BA$505,MATCH(B51,'الزبائن'!$A$6:$A$505,0)),"source key not found"))</x:f>
      </x:c>
      <x:c r="AC51" s="253" t="str">
        <x:f>IF(B51="","",IFERROR(INDEX('الزبائن'!$BB$6:$BB$505,MATCH(B51,'الزبائن'!$A$6:$A$505,0)),"source key not found"))</x:f>
      </x:c>
      <x:c r="AD51" s="253" t="str">
        <x:f>IF(AND(A51="",C51="",D51="",I51="",L51="",M51=""),"",IF(C51="skip","SKIP",IF(OR(A51="",C51="",D51="",I51="",L51="",M51="",U51="",COUNTIF($A$6:$A$505,A51)&gt;1,AND(B51&lt;&gt;"",COUNTIF('الزبائن'!$A$6:$A$505,B51)=0),(COUNTIFS('أرقام التواصل'!$A$6:$A$505,"proposed_name",'أرقام التواصل'!$B$6:$B$505,A51,'أرقام التواصل'!$I$6:$I$505,"TRUE")+COUNTIFS('أرقام التواصل'!$A$6:$A$505,"proposed_name",'أرقام التواصل'!$B$6:$B$505,A51,'أرقام التواصل'!$C$6:$C$505,1))=0,AND(W51="TRUE",X51="")),"REVIEW","READY")))</x:f>
      </x:c>
      <x:c r="AE51" s="255" t="str">
        <x:f>IF(AD51="","",IF(AD51="READY","",IF(AD51="SKIP","Skipped by candidate_import_action",TRIM(IF(A51="","missing proposed_name_key; ","")&amp;IF(AND(A51&lt;&gt;"",COUNTIF($A$6:$A$505,A51)&gt;1),"duplicate proposed_name_key; ","")&amp;IF(C51="","missing candidate_import_action; ","")&amp;IF(D51="","missing move_reason; ","")&amp;IF(I51="","missing branch_id; ","")&amp;IF(L51="","missing first_name; ","")&amp;IF(M51="","missing last_name; ","")&amp;IF(U51="","missing status; ","")&amp;IF(AND(B51&lt;&gt;"",COUNTIF('الزبائن'!$A$6:$A$505,B51)=0),"source key not found; ","")&amp;IF((COUNTIFS('أرقام التواصل'!$A$6:$A$505,"proposed_name",'أرقام التواصل'!$B$6:$B$505,A51,'أرقام التواصل'!$I$6:$I$505,"TRUE")+COUNTIFS('أرقام التواصل'!$A$6:$A$505,"proposed_name",'أرقام التواصل'!$B$6:$B$505,A51,'أرقام التواصل'!$C$6:$C$505,1))=0,"missing primary contact in أرقام التواصل; ","")&amp;IF(AND(W51="TRUE",X51=""),"duplicate_type required when duplicate_flag TRUE; ","")))))</x:f>
      </x:c>
    </x:row>
    <x:row r="52">
      <x:c r="A52" s="302"/>
      <x:c r="B52" s="252"/>
      <x:c r="C52" s="253"/>
      <x:c r="D52" s="253"/>
      <x:c r="E52" s="253"/>
      <x:c r="F52" s="252"/>
      <x:c r="G52" s="253"/>
      <x:c r="H52" s="272"/>
      <x:c r="I52" s="253"/>
      <x:c r="J52" s="253"/>
      <x:c r="K52" s="253"/>
      <x:c r="L52" s="253"/>
      <x:c r="M52" s="253"/>
      <x:c r="N52" s="253"/>
      <x:c r="O52" s="253" t="str">
        <x:f>IF(TRIM(L52&amp;" "&amp;M52&amp;IF(N52&lt;&gt;""," ("&amp;N52&amp;")",""))="","",TRIM(L52&amp;" "&amp;M52&amp;IF(N52&lt;&gt;""," ("&amp;N52&amp;")","")))</x:f>
      </x:c>
      <x:c r="P52" s="253"/>
      <x:c r="Q52" s="252"/>
      <x:c r="R52" s="253"/>
      <x:c r="S52" s="253"/>
      <x:c r="T52" s="253"/>
      <x:c r="U52" s="253"/>
      <x:c r="V52" s="253"/>
      <x:c r="W52" s="253"/>
      <x:c r="X52" s="253"/>
      <x:c r="Y52" s="252"/>
      <x:c r="Z52" s="252"/>
      <x:c r="AA52" s="253"/>
      <x:c r="AB52" s="253" t="str">
        <x:f>IF(B52="","",IFERROR(INDEX('الزبائن'!$BA$6:$BA$505,MATCH(B52,'الزبائن'!$A$6:$A$505,0)),"source key not found"))</x:f>
      </x:c>
      <x:c r="AC52" s="253" t="str">
        <x:f>IF(B52="","",IFERROR(INDEX('الزبائن'!$BB$6:$BB$505,MATCH(B52,'الزبائن'!$A$6:$A$505,0)),"source key not found"))</x:f>
      </x:c>
      <x:c r="AD52" s="253" t="str">
        <x:f>IF(AND(A52="",C52="",D52="",I52="",L52="",M52=""),"",IF(C52="skip","SKIP",IF(OR(A52="",C52="",D52="",I52="",L52="",M52="",U52="",COUNTIF($A$6:$A$505,A52)&gt;1,AND(B52&lt;&gt;"",COUNTIF('الزبائن'!$A$6:$A$505,B52)=0),(COUNTIFS('أرقام التواصل'!$A$6:$A$505,"proposed_name",'أرقام التواصل'!$B$6:$B$505,A52,'أرقام التواصل'!$I$6:$I$505,"TRUE")+COUNTIFS('أرقام التواصل'!$A$6:$A$505,"proposed_name",'أرقام التواصل'!$B$6:$B$505,A52,'أرقام التواصل'!$C$6:$C$505,1))=0,AND(W52="TRUE",X52="")),"REVIEW","READY")))</x:f>
      </x:c>
      <x:c r="AE52" s="255" t="str">
        <x:f>IF(AD52="","",IF(AD52="READY","",IF(AD52="SKIP","Skipped by candidate_import_action",TRIM(IF(A52="","missing proposed_name_key; ","")&amp;IF(AND(A52&lt;&gt;"",COUNTIF($A$6:$A$505,A52)&gt;1),"duplicate proposed_name_key; ","")&amp;IF(C52="","missing candidate_import_action; ","")&amp;IF(D52="","missing move_reason; ","")&amp;IF(I52="","missing branch_id; ","")&amp;IF(L52="","missing first_name; ","")&amp;IF(M52="","missing last_name; ","")&amp;IF(U52="","missing status; ","")&amp;IF(AND(B52&lt;&gt;"",COUNTIF('الزبائن'!$A$6:$A$505,B52)=0),"source key not found; ","")&amp;IF((COUNTIFS('أرقام التواصل'!$A$6:$A$505,"proposed_name",'أرقام التواصل'!$B$6:$B$505,A52,'أرقام التواصل'!$I$6:$I$505,"TRUE")+COUNTIFS('أرقام التواصل'!$A$6:$A$505,"proposed_name",'أرقام التواصل'!$B$6:$B$505,A52,'أرقام التواصل'!$C$6:$C$505,1))=0,"missing primary contact in أرقام التواصل; ","")&amp;IF(AND(W52="TRUE",X52=""),"duplicate_type required when duplicate_flag TRUE; ","")))))</x:f>
      </x:c>
    </x:row>
    <x:row r="53">
      <x:c r="A53" s="302"/>
      <x:c r="B53" s="252"/>
      <x:c r="C53" s="253"/>
      <x:c r="D53" s="253"/>
      <x:c r="E53" s="253"/>
      <x:c r="F53" s="252"/>
      <x:c r="G53" s="253"/>
      <x:c r="H53" s="272"/>
      <x:c r="I53" s="253"/>
      <x:c r="J53" s="253"/>
      <x:c r="K53" s="253"/>
      <x:c r="L53" s="253"/>
      <x:c r="M53" s="253"/>
      <x:c r="N53" s="253"/>
      <x:c r="O53" s="253" t="str">
        <x:f>IF(TRIM(L53&amp;" "&amp;M53&amp;IF(N53&lt;&gt;""," ("&amp;N53&amp;")",""))="","",TRIM(L53&amp;" "&amp;M53&amp;IF(N53&lt;&gt;""," ("&amp;N53&amp;")","")))</x:f>
      </x:c>
      <x:c r="P53" s="253"/>
      <x:c r="Q53" s="252"/>
      <x:c r="R53" s="253"/>
      <x:c r="S53" s="253"/>
      <x:c r="T53" s="253"/>
      <x:c r="U53" s="253"/>
      <x:c r="V53" s="253"/>
      <x:c r="W53" s="253"/>
      <x:c r="X53" s="253"/>
      <x:c r="Y53" s="252"/>
      <x:c r="Z53" s="252"/>
      <x:c r="AA53" s="253"/>
      <x:c r="AB53" s="253" t="str">
        <x:f>IF(B53="","",IFERROR(INDEX('الزبائن'!$BA$6:$BA$505,MATCH(B53,'الزبائن'!$A$6:$A$505,0)),"source key not found"))</x:f>
      </x:c>
      <x:c r="AC53" s="253" t="str">
        <x:f>IF(B53="","",IFERROR(INDEX('الزبائن'!$BB$6:$BB$505,MATCH(B53,'الزبائن'!$A$6:$A$505,0)),"source key not found"))</x:f>
      </x:c>
      <x:c r="AD53" s="253" t="str">
        <x:f>IF(AND(A53="",C53="",D53="",I53="",L53="",M53=""),"",IF(C53="skip","SKIP",IF(OR(A53="",C53="",D53="",I53="",L53="",M53="",U53="",COUNTIF($A$6:$A$505,A53)&gt;1,AND(B53&lt;&gt;"",COUNTIF('الزبائن'!$A$6:$A$505,B53)=0),(COUNTIFS('أرقام التواصل'!$A$6:$A$505,"proposed_name",'أرقام التواصل'!$B$6:$B$505,A53,'أرقام التواصل'!$I$6:$I$505,"TRUE")+COUNTIFS('أرقام التواصل'!$A$6:$A$505,"proposed_name",'أرقام التواصل'!$B$6:$B$505,A53,'أرقام التواصل'!$C$6:$C$505,1))=0,AND(W53="TRUE",X53="")),"REVIEW","READY")))</x:f>
      </x:c>
      <x:c r="AE53" s="255" t="str">
        <x:f>IF(AD53="","",IF(AD53="READY","",IF(AD53="SKIP","Skipped by candidate_import_action",TRIM(IF(A53="","missing proposed_name_key; ","")&amp;IF(AND(A53&lt;&gt;"",COUNTIF($A$6:$A$505,A53)&gt;1),"duplicate proposed_name_key; ","")&amp;IF(C53="","missing candidate_import_action; ","")&amp;IF(D53="","missing move_reason; ","")&amp;IF(I53="","missing branch_id; ","")&amp;IF(L53="","missing first_name; ","")&amp;IF(M53="","missing last_name; ","")&amp;IF(U53="","missing status; ","")&amp;IF(AND(B53&lt;&gt;"",COUNTIF('الزبائن'!$A$6:$A$505,B53)=0),"source key not found; ","")&amp;IF((COUNTIFS('أرقام التواصل'!$A$6:$A$505,"proposed_name",'أرقام التواصل'!$B$6:$B$505,A53,'أرقام التواصل'!$I$6:$I$505,"TRUE")+COUNTIFS('أرقام التواصل'!$A$6:$A$505,"proposed_name",'أرقام التواصل'!$B$6:$B$505,A53,'أرقام التواصل'!$C$6:$C$505,1))=0,"missing primary contact in أرقام التواصل; ","")&amp;IF(AND(W53="TRUE",X53=""),"duplicate_type required when duplicate_flag TRUE; ","")))))</x:f>
      </x:c>
    </x:row>
    <x:row r="54">
      <x:c r="A54" s="302"/>
      <x:c r="B54" s="252"/>
      <x:c r="C54" s="253"/>
      <x:c r="D54" s="253"/>
      <x:c r="E54" s="253"/>
      <x:c r="F54" s="252"/>
      <x:c r="G54" s="253"/>
      <x:c r="H54" s="272"/>
      <x:c r="I54" s="253"/>
      <x:c r="J54" s="253"/>
      <x:c r="K54" s="253"/>
      <x:c r="L54" s="253"/>
      <x:c r="M54" s="253"/>
      <x:c r="N54" s="253"/>
      <x:c r="O54" s="253" t="str">
        <x:f>IF(TRIM(L54&amp;" "&amp;M54&amp;IF(N54&lt;&gt;""," ("&amp;N54&amp;")",""))="","",TRIM(L54&amp;" "&amp;M54&amp;IF(N54&lt;&gt;""," ("&amp;N54&amp;")","")))</x:f>
      </x:c>
      <x:c r="P54" s="253"/>
      <x:c r="Q54" s="252"/>
      <x:c r="R54" s="253"/>
      <x:c r="S54" s="253"/>
      <x:c r="T54" s="253"/>
      <x:c r="U54" s="253"/>
      <x:c r="V54" s="253"/>
      <x:c r="W54" s="253"/>
      <x:c r="X54" s="253"/>
      <x:c r="Y54" s="252"/>
      <x:c r="Z54" s="252"/>
      <x:c r="AA54" s="253"/>
      <x:c r="AB54" s="253" t="str">
        <x:f>IF(B54="","",IFERROR(INDEX('الزبائن'!$BA$6:$BA$505,MATCH(B54,'الزبائن'!$A$6:$A$505,0)),"source key not found"))</x:f>
      </x:c>
      <x:c r="AC54" s="253" t="str">
        <x:f>IF(B54="","",IFERROR(INDEX('الزبائن'!$BB$6:$BB$505,MATCH(B54,'الزبائن'!$A$6:$A$505,0)),"source key not found"))</x:f>
      </x:c>
      <x:c r="AD54" s="253" t="str">
        <x:f>IF(AND(A54="",C54="",D54="",I54="",L54="",M54=""),"",IF(C54="skip","SKIP",IF(OR(A54="",C54="",D54="",I54="",L54="",M54="",U54="",COUNTIF($A$6:$A$505,A54)&gt;1,AND(B54&lt;&gt;"",COUNTIF('الزبائن'!$A$6:$A$505,B54)=0),(COUNTIFS('أرقام التواصل'!$A$6:$A$505,"proposed_name",'أرقام التواصل'!$B$6:$B$505,A54,'أرقام التواصل'!$I$6:$I$505,"TRUE")+COUNTIFS('أرقام التواصل'!$A$6:$A$505,"proposed_name",'أرقام التواصل'!$B$6:$B$505,A54,'أرقام التواصل'!$C$6:$C$505,1))=0,AND(W54="TRUE",X54="")),"REVIEW","READY")))</x:f>
      </x:c>
      <x:c r="AE54" s="255" t="str">
        <x:f>IF(AD54="","",IF(AD54="READY","",IF(AD54="SKIP","Skipped by candidate_import_action",TRIM(IF(A54="","missing proposed_name_key; ","")&amp;IF(AND(A54&lt;&gt;"",COUNTIF($A$6:$A$505,A54)&gt;1),"duplicate proposed_name_key; ","")&amp;IF(C54="","missing candidate_import_action; ","")&amp;IF(D54="","missing move_reason; ","")&amp;IF(I54="","missing branch_id; ","")&amp;IF(L54="","missing first_name; ","")&amp;IF(M54="","missing last_name; ","")&amp;IF(U54="","missing status; ","")&amp;IF(AND(B54&lt;&gt;"",COUNTIF('الزبائن'!$A$6:$A$505,B54)=0),"source key not found; ","")&amp;IF((COUNTIFS('أرقام التواصل'!$A$6:$A$505,"proposed_name",'أرقام التواصل'!$B$6:$B$505,A54,'أرقام التواصل'!$I$6:$I$505,"TRUE")+COUNTIFS('أرقام التواصل'!$A$6:$A$505,"proposed_name",'أرقام التواصل'!$B$6:$B$505,A54,'أرقام التواصل'!$C$6:$C$505,1))=0,"missing primary contact in أرقام التواصل; ","")&amp;IF(AND(W54="TRUE",X54=""),"duplicate_type required when duplicate_flag TRUE; ","")))))</x:f>
      </x:c>
    </x:row>
    <x:row r="55">
      <x:c r="A55" s="302"/>
      <x:c r="B55" s="252"/>
      <x:c r="C55" s="253"/>
      <x:c r="D55" s="253"/>
      <x:c r="E55" s="253"/>
      <x:c r="F55" s="252"/>
      <x:c r="G55" s="253"/>
      <x:c r="H55" s="272"/>
      <x:c r="I55" s="253"/>
      <x:c r="J55" s="253"/>
      <x:c r="K55" s="253"/>
      <x:c r="L55" s="253"/>
      <x:c r="M55" s="253"/>
      <x:c r="N55" s="253"/>
      <x:c r="O55" s="253" t="str">
        <x:f>IF(TRIM(L55&amp;" "&amp;M55&amp;IF(N55&lt;&gt;""," ("&amp;N55&amp;")",""))="","",TRIM(L55&amp;" "&amp;M55&amp;IF(N55&lt;&gt;""," ("&amp;N55&amp;")","")))</x:f>
      </x:c>
      <x:c r="P55" s="253"/>
      <x:c r="Q55" s="252"/>
      <x:c r="R55" s="253"/>
      <x:c r="S55" s="253"/>
      <x:c r="T55" s="253"/>
      <x:c r="U55" s="253"/>
      <x:c r="V55" s="253"/>
      <x:c r="W55" s="253"/>
      <x:c r="X55" s="253"/>
      <x:c r="Y55" s="252"/>
      <x:c r="Z55" s="252"/>
      <x:c r="AA55" s="253"/>
      <x:c r="AB55" s="253" t="str">
        <x:f>IF(B55="","",IFERROR(INDEX('الزبائن'!$BA$6:$BA$505,MATCH(B55,'الزبائن'!$A$6:$A$505,0)),"source key not found"))</x:f>
      </x:c>
      <x:c r="AC55" s="253" t="str">
        <x:f>IF(B55="","",IFERROR(INDEX('الزبائن'!$BB$6:$BB$505,MATCH(B55,'الزبائن'!$A$6:$A$505,0)),"source key not found"))</x:f>
      </x:c>
      <x:c r="AD55" s="253" t="str">
        <x:f>IF(AND(A55="",C55="",D55="",I55="",L55="",M55=""),"",IF(C55="skip","SKIP",IF(OR(A55="",C55="",D55="",I55="",L55="",M55="",U55="",COUNTIF($A$6:$A$505,A55)&gt;1,AND(B55&lt;&gt;"",COUNTIF('الزبائن'!$A$6:$A$505,B55)=0),(COUNTIFS('أرقام التواصل'!$A$6:$A$505,"proposed_name",'أرقام التواصل'!$B$6:$B$505,A55,'أرقام التواصل'!$I$6:$I$505,"TRUE")+COUNTIFS('أرقام التواصل'!$A$6:$A$505,"proposed_name",'أرقام التواصل'!$B$6:$B$505,A55,'أرقام التواصل'!$C$6:$C$505,1))=0,AND(W55="TRUE",X55="")),"REVIEW","READY")))</x:f>
      </x:c>
      <x:c r="AE55" s="255" t="str">
        <x:f>IF(AD55="","",IF(AD55="READY","",IF(AD55="SKIP","Skipped by candidate_import_action",TRIM(IF(A55="","missing proposed_name_key; ","")&amp;IF(AND(A55&lt;&gt;"",COUNTIF($A$6:$A$505,A55)&gt;1),"duplicate proposed_name_key; ","")&amp;IF(C55="","missing candidate_import_action; ","")&amp;IF(D55="","missing move_reason; ","")&amp;IF(I55="","missing branch_id; ","")&amp;IF(L55="","missing first_name; ","")&amp;IF(M55="","missing last_name; ","")&amp;IF(U55="","missing status; ","")&amp;IF(AND(B55&lt;&gt;"",COUNTIF('الزبائن'!$A$6:$A$505,B55)=0),"source key not found; ","")&amp;IF((COUNTIFS('أرقام التواصل'!$A$6:$A$505,"proposed_name",'أرقام التواصل'!$B$6:$B$505,A55,'أرقام التواصل'!$I$6:$I$505,"TRUE")+COUNTIFS('أرقام التواصل'!$A$6:$A$505,"proposed_name",'أرقام التواصل'!$B$6:$B$505,A55,'أرقام التواصل'!$C$6:$C$505,1))=0,"missing primary contact in أرقام التواصل; ","")&amp;IF(AND(W55="TRUE",X55=""),"duplicate_type required when duplicate_flag TRUE; ","")))))</x:f>
      </x:c>
    </x:row>
    <x:row r="56">
      <x:c r="A56" s="302"/>
      <x:c r="B56" s="252"/>
      <x:c r="C56" s="253"/>
      <x:c r="D56" s="253"/>
      <x:c r="E56" s="253"/>
      <x:c r="F56" s="252"/>
      <x:c r="G56" s="253"/>
      <x:c r="H56" s="272"/>
      <x:c r="I56" s="253"/>
      <x:c r="J56" s="253"/>
      <x:c r="K56" s="253"/>
      <x:c r="L56" s="253"/>
      <x:c r="M56" s="253"/>
      <x:c r="N56" s="253"/>
      <x:c r="O56" s="253" t="str">
        <x:f>IF(TRIM(L56&amp;" "&amp;M56&amp;IF(N56&lt;&gt;""," ("&amp;N56&amp;")",""))="","",TRIM(L56&amp;" "&amp;M56&amp;IF(N56&lt;&gt;""," ("&amp;N56&amp;")","")))</x:f>
      </x:c>
      <x:c r="P56" s="253"/>
      <x:c r="Q56" s="252"/>
      <x:c r="R56" s="253"/>
      <x:c r="S56" s="253"/>
      <x:c r="T56" s="253"/>
      <x:c r="U56" s="253"/>
      <x:c r="V56" s="253"/>
      <x:c r="W56" s="253"/>
      <x:c r="X56" s="253"/>
      <x:c r="Y56" s="252"/>
      <x:c r="Z56" s="252"/>
      <x:c r="AA56" s="253"/>
      <x:c r="AB56" s="253" t="str">
        <x:f>IF(B56="","",IFERROR(INDEX('الزبائن'!$BA$6:$BA$505,MATCH(B56,'الزبائن'!$A$6:$A$505,0)),"source key not found"))</x:f>
      </x:c>
      <x:c r="AC56" s="253" t="str">
        <x:f>IF(B56="","",IFERROR(INDEX('الزبائن'!$BB$6:$BB$505,MATCH(B56,'الزبائن'!$A$6:$A$505,0)),"source key not found"))</x:f>
      </x:c>
      <x:c r="AD56" s="253" t="str">
        <x:f>IF(AND(A56="",C56="",D56="",I56="",L56="",M56=""),"",IF(C56="skip","SKIP",IF(OR(A56="",C56="",D56="",I56="",L56="",M56="",U56="",COUNTIF($A$6:$A$505,A56)&gt;1,AND(B56&lt;&gt;"",COUNTIF('الزبائن'!$A$6:$A$505,B56)=0),(COUNTIFS('أرقام التواصل'!$A$6:$A$505,"proposed_name",'أرقام التواصل'!$B$6:$B$505,A56,'أرقام التواصل'!$I$6:$I$505,"TRUE")+COUNTIFS('أرقام التواصل'!$A$6:$A$505,"proposed_name",'أرقام التواصل'!$B$6:$B$505,A56,'أرقام التواصل'!$C$6:$C$505,1))=0,AND(W56="TRUE",X56="")),"REVIEW","READY")))</x:f>
      </x:c>
      <x:c r="AE56" s="255" t="str">
        <x:f>IF(AD56="","",IF(AD56="READY","",IF(AD56="SKIP","Skipped by candidate_import_action",TRIM(IF(A56="","missing proposed_name_key; ","")&amp;IF(AND(A56&lt;&gt;"",COUNTIF($A$6:$A$505,A56)&gt;1),"duplicate proposed_name_key; ","")&amp;IF(C56="","missing candidate_import_action; ","")&amp;IF(D56="","missing move_reason; ","")&amp;IF(I56="","missing branch_id; ","")&amp;IF(L56="","missing first_name; ","")&amp;IF(M56="","missing last_name; ","")&amp;IF(U56="","missing status; ","")&amp;IF(AND(B56&lt;&gt;"",COUNTIF('الزبائن'!$A$6:$A$505,B56)=0),"source key not found; ","")&amp;IF((COUNTIFS('أرقام التواصل'!$A$6:$A$505,"proposed_name",'أرقام التواصل'!$B$6:$B$505,A56,'أرقام التواصل'!$I$6:$I$505,"TRUE")+COUNTIFS('أرقام التواصل'!$A$6:$A$505,"proposed_name",'أرقام التواصل'!$B$6:$B$505,A56,'أرقام التواصل'!$C$6:$C$505,1))=0,"missing primary contact in أرقام التواصل; ","")&amp;IF(AND(W56="TRUE",X56=""),"duplicate_type required when duplicate_flag TRUE; ","")))))</x:f>
      </x:c>
    </x:row>
    <x:row r="57">
      <x:c r="A57" s="302"/>
      <x:c r="B57" s="252"/>
      <x:c r="C57" s="253"/>
      <x:c r="D57" s="253"/>
      <x:c r="E57" s="253"/>
      <x:c r="F57" s="252"/>
      <x:c r="G57" s="253"/>
      <x:c r="H57" s="272"/>
      <x:c r="I57" s="253"/>
      <x:c r="J57" s="253"/>
      <x:c r="K57" s="253"/>
      <x:c r="L57" s="253"/>
      <x:c r="M57" s="253"/>
      <x:c r="N57" s="253"/>
      <x:c r="O57" s="253" t="str">
        <x:f>IF(TRIM(L57&amp;" "&amp;M57&amp;IF(N57&lt;&gt;""," ("&amp;N57&amp;")",""))="","",TRIM(L57&amp;" "&amp;M57&amp;IF(N57&lt;&gt;""," ("&amp;N57&amp;")","")))</x:f>
      </x:c>
      <x:c r="P57" s="253"/>
      <x:c r="Q57" s="252"/>
      <x:c r="R57" s="253"/>
      <x:c r="S57" s="253"/>
      <x:c r="T57" s="253"/>
      <x:c r="U57" s="253"/>
      <x:c r="V57" s="253"/>
      <x:c r="W57" s="253"/>
      <x:c r="X57" s="253"/>
      <x:c r="Y57" s="252"/>
      <x:c r="Z57" s="252"/>
      <x:c r="AA57" s="253"/>
      <x:c r="AB57" s="253" t="str">
        <x:f>IF(B57="","",IFERROR(INDEX('الزبائن'!$BA$6:$BA$505,MATCH(B57,'الزبائن'!$A$6:$A$505,0)),"source key not found"))</x:f>
      </x:c>
      <x:c r="AC57" s="253" t="str">
        <x:f>IF(B57="","",IFERROR(INDEX('الزبائن'!$BB$6:$BB$505,MATCH(B57,'الزبائن'!$A$6:$A$505,0)),"source key not found"))</x:f>
      </x:c>
      <x:c r="AD57" s="253" t="str">
        <x:f>IF(AND(A57="",C57="",D57="",I57="",L57="",M57=""),"",IF(C57="skip","SKIP",IF(OR(A57="",C57="",D57="",I57="",L57="",M57="",U57="",COUNTIF($A$6:$A$505,A57)&gt;1,AND(B57&lt;&gt;"",COUNTIF('الزبائن'!$A$6:$A$505,B57)=0),(COUNTIFS('أرقام التواصل'!$A$6:$A$505,"proposed_name",'أرقام التواصل'!$B$6:$B$505,A57,'أرقام التواصل'!$I$6:$I$505,"TRUE")+COUNTIFS('أرقام التواصل'!$A$6:$A$505,"proposed_name",'أرقام التواصل'!$B$6:$B$505,A57,'أرقام التواصل'!$C$6:$C$505,1))=0,AND(W57="TRUE",X57="")),"REVIEW","READY")))</x:f>
      </x:c>
      <x:c r="AE57" s="255" t="str">
        <x:f>IF(AD57="","",IF(AD57="READY","",IF(AD57="SKIP","Skipped by candidate_import_action",TRIM(IF(A57="","missing proposed_name_key; ","")&amp;IF(AND(A57&lt;&gt;"",COUNTIF($A$6:$A$505,A57)&gt;1),"duplicate proposed_name_key; ","")&amp;IF(C57="","missing candidate_import_action; ","")&amp;IF(D57="","missing move_reason; ","")&amp;IF(I57="","missing branch_id; ","")&amp;IF(L57="","missing first_name; ","")&amp;IF(M57="","missing last_name; ","")&amp;IF(U57="","missing status; ","")&amp;IF(AND(B57&lt;&gt;"",COUNTIF('الزبائن'!$A$6:$A$505,B57)=0),"source key not found; ","")&amp;IF((COUNTIFS('أرقام التواصل'!$A$6:$A$505,"proposed_name",'أرقام التواصل'!$B$6:$B$505,A57,'أرقام التواصل'!$I$6:$I$505,"TRUE")+COUNTIFS('أرقام التواصل'!$A$6:$A$505,"proposed_name",'أرقام التواصل'!$B$6:$B$505,A57,'أرقام التواصل'!$C$6:$C$505,1))=0,"missing primary contact in أرقام التواصل; ","")&amp;IF(AND(W57="TRUE",X57=""),"duplicate_type required when duplicate_flag TRUE; ","")))))</x:f>
      </x:c>
    </x:row>
    <x:row r="58">
      <x:c r="A58" s="302"/>
      <x:c r="B58" s="252"/>
      <x:c r="C58" s="253"/>
      <x:c r="D58" s="253"/>
      <x:c r="E58" s="253"/>
      <x:c r="F58" s="252"/>
      <x:c r="G58" s="253"/>
      <x:c r="H58" s="272"/>
      <x:c r="I58" s="253"/>
      <x:c r="J58" s="253"/>
      <x:c r="K58" s="253"/>
      <x:c r="L58" s="253"/>
      <x:c r="M58" s="253"/>
      <x:c r="N58" s="253"/>
      <x:c r="O58" s="253" t="str">
        <x:f>IF(TRIM(L58&amp;" "&amp;M58&amp;IF(N58&lt;&gt;""," ("&amp;N58&amp;")",""))="","",TRIM(L58&amp;" "&amp;M58&amp;IF(N58&lt;&gt;""," ("&amp;N58&amp;")","")))</x:f>
      </x:c>
      <x:c r="P58" s="253"/>
      <x:c r="Q58" s="252"/>
      <x:c r="R58" s="253"/>
      <x:c r="S58" s="253"/>
      <x:c r="T58" s="253"/>
      <x:c r="U58" s="253"/>
      <x:c r="V58" s="253"/>
      <x:c r="W58" s="253"/>
      <x:c r="X58" s="253"/>
      <x:c r="Y58" s="252"/>
      <x:c r="Z58" s="252"/>
      <x:c r="AA58" s="253"/>
      <x:c r="AB58" s="253" t="str">
        <x:f>IF(B58="","",IFERROR(INDEX('الزبائن'!$BA$6:$BA$505,MATCH(B58,'الزبائن'!$A$6:$A$505,0)),"source key not found"))</x:f>
      </x:c>
      <x:c r="AC58" s="253" t="str">
        <x:f>IF(B58="","",IFERROR(INDEX('الزبائن'!$BB$6:$BB$505,MATCH(B58,'الزبائن'!$A$6:$A$505,0)),"source key not found"))</x:f>
      </x:c>
      <x:c r="AD58" s="253" t="str">
        <x:f>IF(AND(A58="",C58="",D58="",I58="",L58="",M58=""),"",IF(C58="skip","SKIP",IF(OR(A58="",C58="",D58="",I58="",L58="",M58="",U58="",COUNTIF($A$6:$A$505,A58)&gt;1,AND(B58&lt;&gt;"",COUNTIF('الزبائن'!$A$6:$A$505,B58)=0),(COUNTIFS('أرقام التواصل'!$A$6:$A$505,"proposed_name",'أرقام التواصل'!$B$6:$B$505,A58,'أرقام التواصل'!$I$6:$I$505,"TRUE")+COUNTIFS('أرقام التواصل'!$A$6:$A$505,"proposed_name",'أرقام التواصل'!$B$6:$B$505,A58,'أرقام التواصل'!$C$6:$C$505,1))=0,AND(W58="TRUE",X58="")),"REVIEW","READY")))</x:f>
      </x:c>
      <x:c r="AE58" s="255" t="str">
        <x:f>IF(AD58="","",IF(AD58="READY","",IF(AD58="SKIP","Skipped by candidate_import_action",TRIM(IF(A58="","missing proposed_name_key; ","")&amp;IF(AND(A58&lt;&gt;"",COUNTIF($A$6:$A$505,A58)&gt;1),"duplicate proposed_name_key; ","")&amp;IF(C58="","missing candidate_import_action; ","")&amp;IF(D58="","missing move_reason; ","")&amp;IF(I58="","missing branch_id; ","")&amp;IF(L58="","missing first_name; ","")&amp;IF(M58="","missing last_name; ","")&amp;IF(U58="","missing status; ","")&amp;IF(AND(B58&lt;&gt;"",COUNTIF('الزبائن'!$A$6:$A$505,B58)=0),"source key not found; ","")&amp;IF((COUNTIFS('أرقام التواصل'!$A$6:$A$505,"proposed_name",'أرقام التواصل'!$B$6:$B$505,A58,'أرقام التواصل'!$I$6:$I$505,"TRUE")+COUNTIFS('أرقام التواصل'!$A$6:$A$505,"proposed_name",'أرقام التواصل'!$B$6:$B$505,A58,'أرقام التواصل'!$C$6:$C$505,1))=0,"missing primary contact in أرقام التواصل; ","")&amp;IF(AND(W58="TRUE",X58=""),"duplicate_type required when duplicate_flag TRUE; ","")))))</x:f>
      </x:c>
    </x:row>
    <x:row r="59">
      <x:c r="A59" s="302"/>
      <x:c r="B59" s="252"/>
      <x:c r="C59" s="253"/>
      <x:c r="D59" s="253"/>
      <x:c r="E59" s="253"/>
      <x:c r="F59" s="252"/>
      <x:c r="G59" s="253"/>
      <x:c r="H59" s="272"/>
      <x:c r="I59" s="253"/>
      <x:c r="J59" s="253"/>
      <x:c r="K59" s="253"/>
      <x:c r="L59" s="253"/>
      <x:c r="M59" s="253"/>
      <x:c r="N59" s="253"/>
      <x:c r="O59" s="253" t="str">
        <x:f>IF(TRIM(L59&amp;" "&amp;M59&amp;IF(N59&lt;&gt;""," ("&amp;N59&amp;")",""))="","",TRIM(L59&amp;" "&amp;M59&amp;IF(N59&lt;&gt;""," ("&amp;N59&amp;")","")))</x:f>
      </x:c>
      <x:c r="P59" s="253"/>
      <x:c r="Q59" s="252"/>
      <x:c r="R59" s="253"/>
      <x:c r="S59" s="253"/>
      <x:c r="T59" s="253"/>
      <x:c r="U59" s="253"/>
      <x:c r="V59" s="253"/>
      <x:c r="W59" s="253"/>
      <x:c r="X59" s="253"/>
      <x:c r="Y59" s="252"/>
      <x:c r="Z59" s="252"/>
      <x:c r="AA59" s="253"/>
      <x:c r="AB59" s="253" t="str">
        <x:f>IF(B59="","",IFERROR(INDEX('الزبائن'!$BA$6:$BA$505,MATCH(B59,'الزبائن'!$A$6:$A$505,0)),"source key not found"))</x:f>
      </x:c>
      <x:c r="AC59" s="253" t="str">
        <x:f>IF(B59="","",IFERROR(INDEX('الزبائن'!$BB$6:$BB$505,MATCH(B59,'الزبائن'!$A$6:$A$505,0)),"source key not found"))</x:f>
      </x:c>
      <x:c r="AD59" s="253" t="str">
        <x:f>IF(AND(A59="",C59="",D59="",I59="",L59="",M59=""),"",IF(C59="skip","SKIP",IF(OR(A59="",C59="",D59="",I59="",L59="",M59="",U59="",COUNTIF($A$6:$A$505,A59)&gt;1,AND(B59&lt;&gt;"",COUNTIF('الزبائن'!$A$6:$A$505,B59)=0),(COUNTIFS('أرقام التواصل'!$A$6:$A$505,"proposed_name",'أرقام التواصل'!$B$6:$B$505,A59,'أرقام التواصل'!$I$6:$I$505,"TRUE")+COUNTIFS('أرقام التواصل'!$A$6:$A$505,"proposed_name",'أرقام التواصل'!$B$6:$B$505,A59,'أرقام التواصل'!$C$6:$C$505,1))=0,AND(W59="TRUE",X59="")),"REVIEW","READY")))</x:f>
      </x:c>
      <x:c r="AE59" s="255" t="str">
        <x:f>IF(AD59="","",IF(AD59="READY","",IF(AD59="SKIP","Skipped by candidate_import_action",TRIM(IF(A59="","missing proposed_name_key; ","")&amp;IF(AND(A59&lt;&gt;"",COUNTIF($A$6:$A$505,A59)&gt;1),"duplicate proposed_name_key; ","")&amp;IF(C59="","missing candidate_import_action; ","")&amp;IF(D59="","missing move_reason; ","")&amp;IF(I59="","missing branch_id; ","")&amp;IF(L59="","missing first_name; ","")&amp;IF(M59="","missing last_name; ","")&amp;IF(U59="","missing status; ","")&amp;IF(AND(B59&lt;&gt;"",COUNTIF('الزبائن'!$A$6:$A$505,B59)=0),"source key not found; ","")&amp;IF((COUNTIFS('أرقام التواصل'!$A$6:$A$505,"proposed_name",'أرقام التواصل'!$B$6:$B$505,A59,'أرقام التواصل'!$I$6:$I$505,"TRUE")+COUNTIFS('أرقام التواصل'!$A$6:$A$505,"proposed_name",'أرقام التواصل'!$B$6:$B$505,A59,'أرقام التواصل'!$C$6:$C$505,1))=0,"missing primary contact in أرقام التواصل; ","")&amp;IF(AND(W59="TRUE",X59=""),"duplicate_type required when duplicate_flag TRUE; ","")))))</x:f>
      </x:c>
    </x:row>
    <x:row r="60">
      <x:c r="A60" s="302"/>
      <x:c r="B60" s="252"/>
      <x:c r="C60" s="253"/>
      <x:c r="D60" s="253"/>
      <x:c r="E60" s="253"/>
      <x:c r="F60" s="252"/>
      <x:c r="G60" s="253"/>
      <x:c r="H60" s="272"/>
      <x:c r="I60" s="253"/>
      <x:c r="J60" s="253"/>
      <x:c r="K60" s="253"/>
      <x:c r="L60" s="253"/>
      <x:c r="M60" s="253"/>
      <x:c r="N60" s="253"/>
      <x:c r="O60" s="253" t="str">
        <x:f>IF(TRIM(L60&amp;" "&amp;M60&amp;IF(N60&lt;&gt;""," ("&amp;N60&amp;")",""))="","",TRIM(L60&amp;" "&amp;M60&amp;IF(N60&lt;&gt;""," ("&amp;N60&amp;")","")))</x:f>
      </x:c>
      <x:c r="P60" s="253"/>
      <x:c r="Q60" s="252"/>
      <x:c r="R60" s="253"/>
      <x:c r="S60" s="253"/>
      <x:c r="T60" s="253"/>
      <x:c r="U60" s="253"/>
      <x:c r="V60" s="253"/>
      <x:c r="W60" s="253"/>
      <x:c r="X60" s="253"/>
      <x:c r="Y60" s="252"/>
      <x:c r="Z60" s="252"/>
      <x:c r="AA60" s="253"/>
      <x:c r="AB60" s="253" t="str">
        <x:f>IF(B60="","",IFERROR(INDEX('الزبائن'!$BA$6:$BA$505,MATCH(B60,'الزبائن'!$A$6:$A$505,0)),"source key not found"))</x:f>
      </x:c>
      <x:c r="AC60" s="253" t="str">
        <x:f>IF(B60="","",IFERROR(INDEX('الزبائن'!$BB$6:$BB$505,MATCH(B60,'الزبائن'!$A$6:$A$505,0)),"source key not found"))</x:f>
      </x:c>
      <x:c r="AD60" s="253" t="str">
        <x:f>IF(AND(A60="",C60="",D60="",I60="",L60="",M60=""),"",IF(C60="skip","SKIP",IF(OR(A60="",C60="",D60="",I60="",L60="",M60="",U60="",COUNTIF($A$6:$A$505,A60)&gt;1,AND(B60&lt;&gt;"",COUNTIF('الزبائن'!$A$6:$A$505,B60)=0),(COUNTIFS('أرقام التواصل'!$A$6:$A$505,"proposed_name",'أرقام التواصل'!$B$6:$B$505,A60,'أرقام التواصل'!$I$6:$I$505,"TRUE")+COUNTIFS('أرقام التواصل'!$A$6:$A$505,"proposed_name",'أرقام التواصل'!$B$6:$B$505,A60,'أرقام التواصل'!$C$6:$C$505,1))=0,AND(W60="TRUE",X60="")),"REVIEW","READY")))</x:f>
      </x:c>
      <x:c r="AE60" s="255" t="str">
        <x:f>IF(AD60="","",IF(AD60="READY","",IF(AD60="SKIP","Skipped by candidate_import_action",TRIM(IF(A60="","missing proposed_name_key; ","")&amp;IF(AND(A60&lt;&gt;"",COUNTIF($A$6:$A$505,A60)&gt;1),"duplicate proposed_name_key; ","")&amp;IF(C60="","missing candidate_import_action; ","")&amp;IF(D60="","missing move_reason; ","")&amp;IF(I60="","missing branch_id; ","")&amp;IF(L60="","missing first_name; ","")&amp;IF(M60="","missing last_name; ","")&amp;IF(U60="","missing status; ","")&amp;IF(AND(B60&lt;&gt;"",COUNTIF('الزبائن'!$A$6:$A$505,B60)=0),"source key not found; ","")&amp;IF((COUNTIFS('أرقام التواصل'!$A$6:$A$505,"proposed_name",'أرقام التواصل'!$B$6:$B$505,A60,'أرقام التواصل'!$I$6:$I$505,"TRUE")+COUNTIFS('أرقام التواصل'!$A$6:$A$505,"proposed_name",'أرقام التواصل'!$B$6:$B$505,A60,'أرقام التواصل'!$C$6:$C$505,1))=0,"missing primary contact in أرقام التواصل; ","")&amp;IF(AND(W60="TRUE",X60=""),"duplicate_type required when duplicate_flag TRUE; ","")))))</x:f>
      </x:c>
    </x:row>
    <x:row r="61">
      <x:c r="A61" s="302"/>
      <x:c r="B61" s="252"/>
      <x:c r="C61" s="253"/>
      <x:c r="D61" s="253"/>
      <x:c r="E61" s="253"/>
      <x:c r="F61" s="252"/>
      <x:c r="G61" s="253"/>
      <x:c r="H61" s="272"/>
      <x:c r="I61" s="253"/>
      <x:c r="J61" s="253"/>
      <x:c r="K61" s="253"/>
      <x:c r="L61" s="253"/>
      <x:c r="M61" s="253"/>
      <x:c r="N61" s="253"/>
      <x:c r="O61" s="253" t="str">
        <x:f>IF(TRIM(L61&amp;" "&amp;M61&amp;IF(N61&lt;&gt;""," ("&amp;N61&amp;")",""))="","",TRIM(L61&amp;" "&amp;M61&amp;IF(N61&lt;&gt;""," ("&amp;N61&amp;")","")))</x:f>
      </x:c>
      <x:c r="P61" s="253"/>
      <x:c r="Q61" s="252"/>
      <x:c r="R61" s="253"/>
      <x:c r="S61" s="253"/>
      <x:c r="T61" s="253"/>
      <x:c r="U61" s="253"/>
      <x:c r="V61" s="253"/>
      <x:c r="W61" s="253"/>
      <x:c r="X61" s="253"/>
      <x:c r="Y61" s="252"/>
      <x:c r="Z61" s="252"/>
      <x:c r="AA61" s="253"/>
      <x:c r="AB61" s="253" t="str">
        <x:f>IF(B61="","",IFERROR(INDEX('الزبائن'!$BA$6:$BA$505,MATCH(B61,'الزبائن'!$A$6:$A$505,0)),"source key not found"))</x:f>
      </x:c>
      <x:c r="AC61" s="253" t="str">
        <x:f>IF(B61="","",IFERROR(INDEX('الزبائن'!$BB$6:$BB$505,MATCH(B61,'الزبائن'!$A$6:$A$505,0)),"source key not found"))</x:f>
      </x:c>
      <x:c r="AD61" s="253" t="str">
        <x:f>IF(AND(A61="",C61="",D61="",I61="",L61="",M61=""),"",IF(C61="skip","SKIP",IF(OR(A61="",C61="",D61="",I61="",L61="",M61="",U61="",COUNTIF($A$6:$A$505,A61)&gt;1,AND(B61&lt;&gt;"",COUNTIF('الزبائن'!$A$6:$A$505,B61)=0),(COUNTIFS('أرقام التواصل'!$A$6:$A$505,"proposed_name",'أرقام التواصل'!$B$6:$B$505,A61,'أرقام التواصل'!$I$6:$I$505,"TRUE")+COUNTIFS('أرقام التواصل'!$A$6:$A$505,"proposed_name",'أرقام التواصل'!$B$6:$B$505,A61,'أرقام التواصل'!$C$6:$C$505,1))=0,AND(W61="TRUE",X61="")),"REVIEW","READY")))</x:f>
      </x:c>
      <x:c r="AE61" s="255" t="str">
        <x:f>IF(AD61="","",IF(AD61="READY","",IF(AD61="SKIP","Skipped by candidate_import_action",TRIM(IF(A61="","missing proposed_name_key; ","")&amp;IF(AND(A61&lt;&gt;"",COUNTIF($A$6:$A$505,A61)&gt;1),"duplicate proposed_name_key; ","")&amp;IF(C61="","missing candidate_import_action; ","")&amp;IF(D61="","missing move_reason; ","")&amp;IF(I61="","missing branch_id; ","")&amp;IF(L61="","missing first_name; ","")&amp;IF(M61="","missing last_name; ","")&amp;IF(U61="","missing status; ","")&amp;IF(AND(B61&lt;&gt;"",COUNTIF('الزبائن'!$A$6:$A$505,B61)=0),"source key not found; ","")&amp;IF((COUNTIFS('أرقام التواصل'!$A$6:$A$505,"proposed_name",'أرقام التواصل'!$B$6:$B$505,A61,'أرقام التواصل'!$I$6:$I$505,"TRUE")+COUNTIFS('أرقام التواصل'!$A$6:$A$505,"proposed_name",'أرقام التواصل'!$B$6:$B$505,A61,'أرقام التواصل'!$C$6:$C$505,1))=0,"missing primary contact in أرقام التواصل; ","")&amp;IF(AND(W61="TRUE",X61=""),"duplicate_type required when duplicate_flag TRUE; ","")))))</x:f>
      </x:c>
    </x:row>
    <x:row r="62">
      <x:c r="A62" s="302"/>
      <x:c r="B62" s="252"/>
      <x:c r="C62" s="253"/>
      <x:c r="D62" s="253"/>
      <x:c r="E62" s="253"/>
      <x:c r="F62" s="252"/>
      <x:c r="G62" s="253"/>
      <x:c r="H62" s="272"/>
      <x:c r="I62" s="253"/>
      <x:c r="J62" s="253"/>
      <x:c r="K62" s="253"/>
      <x:c r="L62" s="253"/>
      <x:c r="M62" s="253"/>
      <x:c r="N62" s="253"/>
      <x:c r="O62" s="253" t="str">
        <x:f>IF(TRIM(L62&amp;" "&amp;M62&amp;IF(N62&lt;&gt;""," ("&amp;N62&amp;")",""))="","",TRIM(L62&amp;" "&amp;M62&amp;IF(N62&lt;&gt;""," ("&amp;N62&amp;")","")))</x:f>
      </x:c>
      <x:c r="P62" s="253"/>
      <x:c r="Q62" s="252"/>
      <x:c r="R62" s="253"/>
      <x:c r="S62" s="253"/>
      <x:c r="T62" s="253"/>
      <x:c r="U62" s="253"/>
      <x:c r="V62" s="253"/>
      <x:c r="W62" s="253"/>
      <x:c r="X62" s="253"/>
      <x:c r="Y62" s="252"/>
      <x:c r="Z62" s="252"/>
      <x:c r="AA62" s="253"/>
      <x:c r="AB62" s="253" t="str">
        <x:f>IF(B62="","",IFERROR(INDEX('الزبائن'!$BA$6:$BA$505,MATCH(B62,'الزبائن'!$A$6:$A$505,0)),"source key not found"))</x:f>
      </x:c>
      <x:c r="AC62" s="253" t="str">
        <x:f>IF(B62="","",IFERROR(INDEX('الزبائن'!$BB$6:$BB$505,MATCH(B62,'الزبائن'!$A$6:$A$505,0)),"source key not found"))</x:f>
      </x:c>
      <x:c r="AD62" s="253" t="str">
        <x:f>IF(AND(A62="",C62="",D62="",I62="",L62="",M62=""),"",IF(C62="skip","SKIP",IF(OR(A62="",C62="",D62="",I62="",L62="",M62="",U62="",COUNTIF($A$6:$A$505,A62)&gt;1,AND(B62&lt;&gt;"",COUNTIF('الزبائن'!$A$6:$A$505,B62)=0),(COUNTIFS('أرقام التواصل'!$A$6:$A$505,"proposed_name",'أرقام التواصل'!$B$6:$B$505,A62,'أرقام التواصل'!$I$6:$I$505,"TRUE")+COUNTIFS('أرقام التواصل'!$A$6:$A$505,"proposed_name",'أرقام التواصل'!$B$6:$B$505,A62,'أرقام التواصل'!$C$6:$C$505,1))=0,AND(W62="TRUE",X62="")),"REVIEW","READY")))</x:f>
      </x:c>
      <x:c r="AE62" s="255" t="str">
        <x:f>IF(AD62="","",IF(AD62="READY","",IF(AD62="SKIP","Skipped by candidate_import_action",TRIM(IF(A62="","missing proposed_name_key; ","")&amp;IF(AND(A62&lt;&gt;"",COUNTIF($A$6:$A$505,A62)&gt;1),"duplicate proposed_name_key; ","")&amp;IF(C62="","missing candidate_import_action; ","")&amp;IF(D62="","missing move_reason; ","")&amp;IF(I62="","missing branch_id; ","")&amp;IF(L62="","missing first_name; ","")&amp;IF(M62="","missing last_name; ","")&amp;IF(U62="","missing status; ","")&amp;IF(AND(B62&lt;&gt;"",COUNTIF('الزبائن'!$A$6:$A$505,B62)=0),"source key not found; ","")&amp;IF((COUNTIFS('أرقام التواصل'!$A$6:$A$505,"proposed_name",'أرقام التواصل'!$B$6:$B$505,A62,'أرقام التواصل'!$I$6:$I$505,"TRUE")+COUNTIFS('أرقام التواصل'!$A$6:$A$505,"proposed_name",'أرقام التواصل'!$B$6:$B$505,A62,'أرقام التواصل'!$C$6:$C$505,1))=0,"missing primary contact in أرقام التواصل; ","")&amp;IF(AND(W62="TRUE",X62=""),"duplicate_type required when duplicate_flag TRUE; ","")))))</x:f>
      </x:c>
    </x:row>
    <x:row r="63">
      <x:c r="A63" s="302"/>
      <x:c r="B63" s="252"/>
      <x:c r="C63" s="253"/>
      <x:c r="D63" s="253"/>
      <x:c r="E63" s="253"/>
      <x:c r="F63" s="252"/>
      <x:c r="G63" s="253"/>
      <x:c r="H63" s="272"/>
      <x:c r="I63" s="253"/>
      <x:c r="J63" s="253"/>
      <x:c r="K63" s="253"/>
      <x:c r="L63" s="253"/>
      <x:c r="M63" s="253"/>
      <x:c r="N63" s="253"/>
      <x:c r="O63" s="253" t="str">
        <x:f>IF(TRIM(L63&amp;" "&amp;M63&amp;IF(N63&lt;&gt;""," ("&amp;N63&amp;")",""))="","",TRIM(L63&amp;" "&amp;M63&amp;IF(N63&lt;&gt;""," ("&amp;N63&amp;")","")))</x:f>
      </x:c>
      <x:c r="P63" s="253"/>
      <x:c r="Q63" s="252"/>
      <x:c r="R63" s="253"/>
      <x:c r="S63" s="253"/>
      <x:c r="T63" s="253"/>
      <x:c r="U63" s="253"/>
      <x:c r="V63" s="253"/>
      <x:c r="W63" s="253"/>
      <x:c r="X63" s="253"/>
      <x:c r="Y63" s="252"/>
      <x:c r="Z63" s="252"/>
      <x:c r="AA63" s="253"/>
      <x:c r="AB63" s="253" t="str">
        <x:f>IF(B63="","",IFERROR(INDEX('الزبائن'!$BA$6:$BA$505,MATCH(B63,'الزبائن'!$A$6:$A$505,0)),"source key not found"))</x:f>
      </x:c>
      <x:c r="AC63" s="253" t="str">
        <x:f>IF(B63="","",IFERROR(INDEX('الزبائن'!$BB$6:$BB$505,MATCH(B63,'الزبائن'!$A$6:$A$505,0)),"source key not found"))</x:f>
      </x:c>
      <x:c r="AD63" s="253" t="str">
        <x:f>IF(AND(A63="",C63="",D63="",I63="",L63="",M63=""),"",IF(C63="skip","SKIP",IF(OR(A63="",C63="",D63="",I63="",L63="",M63="",U63="",COUNTIF($A$6:$A$505,A63)&gt;1,AND(B63&lt;&gt;"",COUNTIF('الزبائن'!$A$6:$A$505,B63)=0),(COUNTIFS('أرقام التواصل'!$A$6:$A$505,"proposed_name",'أرقام التواصل'!$B$6:$B$505,A63,'أرقام التواصل'!$I$6:$I$505,"TRUE")+COUNTIFS('أرقام التواصل'!$A$6:$A$505,"proposed_name",'أرقام التواصل'!$B$6:$B$505,A63,'أرقام التواصل'!$C$6:$C$505,1))=0,AND(W63="TRUE",X63="")),"REVIEW","READY")))</x:f>
      </x:c>
      <x:c r="AE63" s="255" t="str">
        <x:f>IF(AD63="","",IF(AD63="READY","",IF(AD63="SKIP","Skipped by candidate_import_action",TRIM(IF(A63="","missing proposed_name_key; ","")&amp;IF(AND(A63&lt;&gt;"",COUNTIF($A$6:$A$505,A63)&gt;1),"duplicate proposed_name_key; ","")&amp;IF(C63="","missing candidate_import_action; ","")&amp;IF(D63="","missing move_reason; ","")&amp;IF(I63="","missing branch_id; ","")&amp;IF(L63="","missing first_name; ","")&amp;IF(M63="","missing last_name; ","")&amp;IF(U63="","missing status; ","")&amp;IF(AND(B63&lt;&gt;"",COUNTIF('الزبائن'!$A$6:$A$505,B63)=0),"source key not found; ","")&amp;IF((COUNTIFS('أرقام التواصل'!$A$6:$A$505,"proposed_name",'أرقام التواصل'!$B$6:$B$505,A63,'أرقام التواصل'!$I$6:$I$505,"TRUE")+COUNTIFS('أرقام التواصل'!$A$6:$A$505,"proposed_name",'أرقام التواصل'!$B$6:$B$505,A63,'أرقام التواصل'!$C$6:$C$505,1))=0,"missing primary contact in أرقام التواصل; ","")&amp;IF(AND(W63="TRUE",X63=""),"duplicate_type required when duplicate_flag TRUE; ","")))))</x:f>
      </x:c>
    </x:row>
    <x:row r="64">
      <x:c r="A64" s="302"/>
      <x:c r="B64" s="252"/>
      <x:c r="C64" s="253"/>
      <x:c r="D64" s="253"/>
      <x:c r="E64" s="253"/>
      <x:c r="F64" s="252"/>
      <x:c r="G64" s="253"/>
      <x:c r="H64" s="272"/>
      <x:c r="I64" s="253"/>
      <x:c r="J64" s="253"/>
      <x:c r="K64" s="253"/>
      <x:c r="L64" s="253"/>
      <x:c r="M64" s="253"/>
      <x:c r="N64" s="253"/>
      <x:c r="O64" s="253" t="str">
        <x:f>IF(TRIM(L64&amp;" "&amp;M64&amp;IF(N64&lt;&gt;""," ("&amp;N64&amp;")",""))="","",TRIM(L64&amp;" "&amp;M64&amp;IF(N64&lt;&gt;""," ("&amp;N64&amp;")","")))</x:f>
      </x:c>
      <x:c r="P64" s="253"/>
      <x:c r="Q64" s="252"/>
      <x:c r="R64" s="253"/>
      <x:c r="S64" s="253"/>
      <x:c r="T64" s="253"/>
      <x:c r="U64" s="253"/>
      <x:c r="V64" s="253"/>
      <x:c r="W64" s="253"/>
      <x:c r="X64" s="253"/>
      <x:c r="Y64" s="252"/>
      <x:c r="Z64" s="252"/>
      <x:c r="AA64" s="253"/>
      <x:c r="AB64" s="253" t="str">
        <x:f>IF(B64="","",IFERROR(INDEX('الزبائن'!$BA$6:$BA$505,MATCH(B64,'الزبائن'!$A$6:$A$505,0)),"source key not found"))</x:f>
      </x:c>
      <x:c r="AC64" s="253" t="str">
        <x:f>IF(B64="","",IFERROR(INDEX('الزبائن'!$BB$6:$BB$505,MATCH(B64,'الزبائن'!$A$6:$A$505,0)),"source key not found"))</x:f>
      </x:c>
      <x:c r="AD64" s="253" t="str">
        <x:f>IF(AND(A64="",C64="",D64="",I64="",L64="",M64=""),"",IF(C64="skip","SKIP",IF(OR(A64="",C64="",D64="",I64="",L64="",M64="",U64="",COUNTIF($A$6:$A$505,A64)&gt;1,AND(B64&lt;&gt;"",COUNTIF('الزبائن'!$A$6:$A$505,B64)=0),(COUNTIFS('أرقام التواصل'!$A$6:$A$505,"proposed_name",'أرقام التواصل'!$B$6:$B$505,A64,'أرقام التواصل'!$I$6:$I$505,"TRUE")+COUNTIFS('أرقام التواصل'!$A$6:$A$505,"proposed_name",'أرقام التواصل'!$B$6:$B$505,A64,'أرقام التواصل'!$C$6:$C$505,1))=0,AND(W64="TRUE",X64="")),"REVIEW","READY")))</x:f>
      </x:c>
      <x:c r="AE64" s="255" t="str">
        <x:f>IF(AD64="","",IF(AD64="READY","",IF(AD64="SKIP","Skipped by candidate_import_action",TRIM(IF(A64="","missing proposed_name_key; ","")&amp;IF(AND(A64&lt;&gt;"",COUNTIF($A$6:$A$505,A64)&gt;1),"duplicate proposed_name_key; ","")&amp;IF(C64="","missing candidate_import_action; ","")&amp;IF(D64="","missing move_reason; ","")&amp;IF(I64="","missing branch_id; ","")&amp;IF(L64="","missing first_name; ","")&amp;IF(M64="","missing last_name; ","")&amp;IF(U64="","missing status; ","")&amp;IF(AND(B64&lt;&gt;"",COUNTIF('الزبائن'!$A$6:$A$505,B64)=0),"source key not found; ","")&amp;IF((COUNTIFS('أرقام التواصل'!$A$6:$A$505,"proposed_name",'أرقام التواصل'!$B$6:$B$505,A64,'أرقام التواصل'!$I$6:$I$505,"TRUE")+COUNTIFS('أرقام التواصل'!$A$6:$A$505,"proposed_name",'أرقام التواصل'!$B$6:$B$505,A64,'أرقام التواصل'!$C$6:$C$505,1))=0,"missing primary contact in أرقام التواصل; ","")&amp;IF(AND(W64="TRUE",X64=""),"duplicate_type required when duplicate_flag TRUE; ","")))))</x:f>
      </x:c>
    </x:row>
    <x:row r="65">
      <x:c r="A65" s="302"/>
      <x:c r="B65" s="252"/>
      <x:c r="C65" s="253"/>
      <x:c r="D65" s="253"/>
      <x:c r="E65" s="253"/>
      <x:c r="F65" s="252"/>
      <x:c r="G65" s="253"/>
      <x:c r="H65" s="272"/>
      <x:c r="I65" s="253"/>
      <x:c r="J65" s="253"/>
      <x:c r="K65" s="253"/>
      <x:c r="L65" s="253"/>
      <x:c r="M65" s="253"/>
      <x:c r="N65" s="253"/>
      <x:c r="O65" s="253" t="str">
        <x:f>IF(TRIM(L65&amp;" "&amp;M65&amp;IF(N65&lt;&gt;""," ("&amp;N65&amp;")",""))="","",TRIM(L65&amp;" "&amp;M65&amp;IF(N65&lt;&gt;""," ("&amp;N65&amp;")","")))</x:f>
      </x:c>
      <x:c r="P65" s="253"/>
      <x:c r="Q65" s="252"/>
      <x:c r="R65" s="253"/>
      <x:c r="S65" s="253"/>
      <x:c r="T65" s="253"/>
      <x:c r="U65" s="253"/>
      <x:c r="V65" s="253"/>
      <x:c r="W65" s="253"/>
      <x:c r="X65" s="253"/>
      <x:c r="Y65" s="252"/>
      <x:c r="Z65" s="252"/>
      <x:c r="AA65" s="253"/>
      <x:c r="AB65" s="253" t="str">
        <x:f>IF(B65="","",IFERROR(INDEX('الزبائن'!$BA$6:$BA$505,MATCH(B65,'الزبائن'!$A$6:$A$505,0)),"source key not found"))</x:f>
      </x:c>
      <x:c r="AC65" s="253" t="str">
        <x:f>IF(B65="","",IFERROR(INDEX('الزبائن'!$BB$6:$BB$505,MATCH(B65,'الزبائن'!$A$6:$A$505,0)),"source key not found"))</x:f>
      </x:c>
      <x:c r="AD65" s="253" t="str">
        <x:f>IF(AND(A65="",C65="",D65="",I65="",L65="",M65=""),"",IF(C65="skip","SKIP",IF(OR(A65="",C65="",D65="",I65="",L65="",M65="",U65="",COUNTIF($A$6:$A$505,A65)&gt;1,AND(B65&lt;&gt;"",COUNTIF('الزبائن'!$A$6:$A$505,B65)=0),(COUNTIFS('أرقام التواصل'!$A$6:$A$505,"proposed_name",'أرقام التواصل'!$B$6:$B$505,A65,'أرقام التواصل'!$I$6:$I$505,"TRUE")+COUNTIFS('أرقام التواصل'!$A$6:$A$505,"proposed_name",'أرقام التواصل'!$B$6:$B$505,A65,'أرقام التواصل'!$C$6:$C$505,1))=0,AND(W65="TRUE",X65="")),"REVIEW","READY")))</x:f>
      </x:c>
      <x:c r="AE65" s="255" t="str">
        <x:f>IF(AD65="","",IF(AD65="READY","",IF(AD65="SKIP","Skipped by candidate_import_action",TRIM(IF(A65="","missing proposed_name_key; ","")&amp;IF(AND(A65&lt;&gt;"",COUNTIF($A$6:$A$505,A65)&gt;1),"duplicate proposed_name_key; ","")&amp;IF(C65="","missing candidate_import_action; ","")&amp;IF(D65="","missing move_reason; ","")&amp;IF(I65="","missing branch_id; ","")&amp;IF(L65="","missing first_name; ","")&amp;IF(M65="","missing last_name; ","")&amp;IF(U65="","missing status; ","")&amp;IF(AND(B65&lt;&gt;"",COUNTIF('الزبائن'!$A$6:$A$505,B65)=0),"source key not found; ","")&amp;IF((COUNTIFS('أرقام التواصل'!$A$6:$A$505,"proposed_name",'أرقام التواصل'!$B$6:$B$505,A65,'أرقام التواصل'!$I$6:$I$505,"TRUE")+COUNTIFS('أرقام التواصل'!$A$6:$A$505,"proposed_name",'أرقام التواصل'!$B$6:$B$505,A65,'أرقام التواصل'!$C$6:$C$505,1))=0,"missing primary contact in أرقام التواصل; ","")&amp;IF(AND(W65="TRUE",X65=""),"duplicate_type required when duplicate_flag TRUE; ","")))))</x:f>
      </x:c>
    </x:row>
    <x:row r="66">
      <x:c r="A66" s="302"/>
      <x:c r="B66" s="252"/>
      <x:c r="C66" s="253"/>
      <x:c r="D66" s="253"/>
      <x:c r="E66" s="253"/>
      <x:c r="F66" s="252"/>
      <x:c r="G66" s="253"/>
      <x:c r="H66" s="272"/>
      <x:c r="I66" s="253"/>
      <x:c r="J66" s="253"/>
      <x:c r="K66" s="253"/>
      <x:c r="L66" s="253"/>
      <x:c r="M66" s="253"/>
      <x:c r="N66" s="253"/>
      <x:c r="O66" s="253" t="str">
        <x:f>IF(TRIM(L66&amp;" "&amp;M66&amp;IF(N66&lt;&gt;""," ("&amp;N66&amp;")",""))="","",TRIM(L66&amp;" "&amp;M66&amp;IF(N66&lt;&gt;""," ("&amp;N66&amp;")","")))</x:f>
      </x:c>
      <x:c r="P66" s="253"/>
      <x:c r="Q66" s="252"/>
      <x:c r="R66" s="253"/>
      <x:c r="S66" s="253"/>
      <x:c r="T66" s="253"/>
      <x:c r="U66" s="253"/>
      <x:c r="V66" s="253"/>
      <x:c r="W66" s="253"/>
      <x:c r="X66" s="253"/>
      <x:c r="Y66" s="252"/>
      <x:c r="Z66" s="252"/>
      <x:c r="AA66" s="253"/>
      <x:c r="AB66" s="253" t="str">
        <x:f>IF(B66="","",IFERROR(INDEX('الزبائن'!$BA$6:$BA$505,MATCH(B66,'الزبائن'!$A$6:$A$505,0)),"source key not found"))</x:f>
      </x:c>
      <x:c r="AC66" s="253" t="str">
        <x:f>IF(B66="","",IFERROR(INDEX('الزبائن'!$BB$6:$BB$505,MATCH(B66,'الزبائن'!$A$6:$A$505,0)),"source key not found"))</x:f>
      </x:c>
      <x:c r="AD66" s="253" t="str">
        <x:f>IF(AND(A66="",C66="",D66="",I66="",L66="",M66=""),"",IF(C66="skip","SKIP",IF(OR(A66="",C66="",D66="",I66="",L66="",M66="",U66="",COUNTIF($A$6:$A$505,A66)&gt;1,AND(B66&lt;&gt;"",COUNTIF('الزبائن'!$A$6:$A$505,B66)=0),(COUNTIFS('أرقام التواصل'!$A$6:$A$505,"proposed_name",'أرقام التواصل'!$B$6:$B$505,A66,'أرقام التواصل'!$I$6:$I$505,"TRUE")+COUNTIFS('أرقام التواصل'!$A$6:$A$505,"proposed_name",'أرقام التواصل'!$B$6:$B$505,A66,'أرقام التواصل'!$C$6:$C$505,1))=0,AND(W66="TRUE",X66="")),"REVIEW","READY")))</x:f>
      </x:c>
      <x:c r="AE66" s="255" t="str">
        <x:f>IF(AD66="","",IF(AD66="READY","",IF(AD66="SKIP","Skipped by candidate_import_action",TRIM(IF(A66="","missing proposed_name_key; ","")&amp;IF(AND(A66&lt;&gt;"",COUNTIF($A$6:$A$505,A66)&gt;1),"duplicate proposed_name_key; ","")&amp;IF(C66="","missing candidate_import_action; ","")&amp;IF(D66="","missing move_reason; ","")&amp;IF(I66="","missing branch_id; ","")&amp;IF(L66="","missing first_name; ","")&amp;IF(M66="","missing last_name; ","")&amp;IF(U66="","missing status; ","")&amp;IF(AND(B66&lt;&gt;"",COUNTIF('الزبائن'!$A$6:$A$505,B66)=0),"source key not found; ","")&amp;IF((COUNTIFS('أرقام التواصل'!$A$6:$A$505,"proposed_name",'أرقام التواصل'!$B$6:$B$505,A66,'أرقام التواصل'!$I$6:$I$505,"TRUE")+COUNTIFS('أرقام التواصل'!$A$6:$A$505,"proposed_name",'أرقام التواصل'!$B$6:$B$505,A66,'أرقام التواصل'!$C$6:$C$505,1))=0,"missing primary contact in أرقام التواصل; ","")&amp;IF(AND(W66="TRUE",X66=""),"duplicate_type required when duplicate_flag TRUE; ","")))))</x:f>
      </x:c>
    </x:row>
    <x:row r="67">
      <x:c r="A67" s="302"/>
      <x:c r="B67" s="252"/>
      <x:c r="C67" s="253"/>
      <x:c r="D67" s="253"/>
      <x:c r="E67" s="253"/>
      <x:c r="F67" s="252"/>
      <x:c r="G67" s="253"/>
      <x:c r="H67" s="272"/>
      <x:c r="I67" s="253"/>
      <x:c r="J67" s="253"/>
      <x:c r="K67" s="253"/>
      <x:c r="L67" s="253"/>
      <x:c r="M67" s="253"/>
      <x:c r="N67" s="253"/>
      <x:c r="O67" s="253" t="str">
        <x:f>IF(TRIM(L67&amp;" "&amp;M67&amp;IF(N67&lt;&gt;""," ("&amp;N67&amp;")",""))="","",TRIM(L67&amp;" "&amp;M67&amp;IF(N67&lt;&gt;""," ("&amp;N67&amp;")","")))</x:f>
      </x:c>
      <x:c r="P67" s="253"/>
      <x:c r="Q67" s="252"/>
      <x:c r="R67" s="253"/>
      <x:c r="S67" s="253"/>
      <x:c r="T67" s="253"/>
      <x:c r="U67" s="253"/>
      <x:c r="V67" s="253"/>
      <x:c r="W67" s="253"/>
      <x:c r="X67" s="253"/>
      <x:c r="Y67" s="252"/>
      <x:c r="Z67" s="252"/>
      <x:c r="AA67" s="253"/>
      <x:c r="AB67" s="253" t="str">
        <x:f>IF(B67="","",IFERROR(INDEX('الزبائن'!$BA$6:$BA$505,MATCH(B67,'الزبائن'!$A$6:$A$505,0)),"source key not found"))</x:f>
      </x:c>
      <x:c r="AC67" s="253" t="str">
        <x:f>IF(B67="","",IFERROR(INDEX('الزبائن'!$BB$6:$BB$505,MATCH(B67,'الزبائن'!$A$6:$A$505,0)),"source key not found"))</x:f>
      </x:c>
      <x:c r="AD67" s="253" t="str">
        <x:f>IF(AND(A67="",C67="",D67="",I67="",L67="",M67=""),"",IF(C67="skip","SKIP",IF(OR(A67="",C67="",D67="",I67="",L67="",M67="",U67="",COUNTIF($A$6:$A$505,A67)&gt;1,AND(B67&lt;&gt;"",COUNTIF('الزبائن'!$A$6:$A$505,B67)=0),(COUNTIFS('أرقام التواصل'!$A$6:$A$505,"proposed_name",'أرقام التواصل'!$B$6:$B$505,A67,'أرقام التواصل'!$I$6:$I$505,"TRUE")+COUNTIFS('أرقام التواصل'!$A$6:$A$505,"proposed_name",'أرقام التواصل'!$B$6:$B$505,A67,'أرقام التواصل'!$C$6:$C$505,1))=0,AND(W67="TRUE",X67="")),"REVIEW","READY")))</x:f>
      </x:c>
      <x:c r="AE67" s="255" t="str">
        <x:f>IF(AD67="","",IF(AD67="READY","",IF(AD67="SKIP","Skipped by candidate_import_action",TRIM(IF(A67="","missing proposed_name_key; ","")&amp;IF(AND(A67&lt;&gt;"",COUNTIF($A$6:$A$505,A67)&gt;1),"duplicate proposed_name_key; ","")&amp;IF(C67="","missing candidate_import_action; ","")&amp;IF(D67="","missing move_reason; ","")&amp;IF(I67="","missing branch_id; ","")&amp;IF(L67="","missing first_name; ","")&amp;IF(M67="","missing last_name; ","")&amp;IF(U67="","missing status; ","")&amp;IF(AND(B67&lt;&gt;"",COUNTIF('الزبائن'!$A$6:$A$505,B67)=0),"source key not found; ","")&amp;IF((COUNTIFS('أرقام التواصل'!$A$6:$A$505,"proposed_name",'أرقام التواصل'!$B$6:$B$505,A67,'أرقام التواصل'!$I$6:$I$505,"TRUE")+COUNTIFS('أرقام التواصل'!$A$6:$A$505,"proposed_name",'أرقام التواصل'!$B$6:$B$505,A67,'أرقام التواصل'!$C$6:$C$505,1))=0,"missing primary contact in أرقام التواصل; ","")&amp;IF(AND(W67="TRUE",X67=""),"duplicate_type required when duplicate_flag TRUE; ","")))))</x:f>
      </x:c>
    </x:row>
    <x:row r="68">
      <x:c r="A68" s="302"/>
      <x:c r="B68" s="252"/>
      <x:c r="C68" s="253"/>
      <x:c r="D68" s="253"/>
      <x:c r="E68" s="253"/>
      <x:c r="F68" s="252"/>
      <x:c r="G68" s="253"/>
      <x:c r="H68" s="272"/>
      <x:c r="I68" s="253"/>
      <x:c r="J68" s="253"/>
      <x:c r="K68" s="253"/>
      <x:c r="L68" s="253"/>
      <x:c r="M68" s="253"/>
      <x:c r="N68" s="253"/>
      <x:c r="O68" s="253" t="str">
        <x:f>IF(TRIM(L68&amp;" "&amp;M68&amp;IF(N68&lt;&gt;""," ("&amp;N68&amp;")",""))="","",TRIM(L68&amp;" "&amp;M68&amp;IF(N68&lt;&gt;""," ("&amp;N68&amp;")","")))</x:f>
      </x:c>
      <x:c r="P68" s="253"/>
      <x:c r="Q68" s="252"/>
      <x:c r="R68" s="253"/>
      <x:c r="S68" s="253"/>
      <x:c r="T68" s="253"/>
      <x:c r="U68" s="253"/>
      <x:c r="V68" s="253"/>
      <x:c r="W68" s="253"/>
      <x:c r="X68" s="253"/>
      <x:c r="Y68" s="252"/>
      <x:c r="Z68" s="252"/>
      <x:c r="AA68" s="253"/>
      <x:c r="AB68" s="253" t="str">
        <x:f>IF(B68="","",IFERROR(INDEX('الزبائن'!$BA$6:$BA$505,MATCH(B68,'الزبائن'!$A$6:$A$505,0)),"source key not found"))</x:f>
      </x:c>
      <x:c r="AC68" s="253" t="str">
        <x:f>IF(B68="","",IFERROR(INDEX('الزبائن'!$BB$6:$BB$505,MATCH(B68,'الزبائن'!$A$6:$A$505,0)),"source key not found"))</x:f>
      </x:c>
      <x:c r="AD68" s="253" t="str">
        <x:f>IF(AND(A68="",C68="",D68="",I68="",L68="",M68=""),"",IF(C68="skip","SKIP",IF(OR(A68="",C68="",D68="",I68="",L68="",M68="",U68="",COUNTIF($A$6:$A$505,A68)&gt;1,AND(B68&lt;&gt;"",COUNTIF('الزبائن'!$A$6:$A$505,B68)=0),(COUNTIFS('أرقام التواصل'!$A$6:$A$505,"proposed_name",'أرقام التواصل'!$B$6:$B$505,A68,'أرقام التواصل'!$I$6:$I$505,"TRUE")+COUNTIFS('أرقام التواصل'!$A$6:$A$505,"proposed_name",'أرقام التواصل'!$B$6:$B$505,A68,'أرقام التواصل'!$C$6:$C$505,1))=0,AND(W68="TRUE",X68="")),"REVIEW","READY")))</x:f>
      </x:c>
      <x:c r="AE68" s="255" t="str">
        <x:f>IF(AD68="","",IF(AD68="READY","",IF(AD68="SKIP","Skipped by candidate_import_action",TRIM(IF(A68="","missing proposed_name_key; ","")&amp;IF(AND(A68&lt;&gt;"",COUNTIF($A$6:$A$505,A68)&gt;1),"duplicate proposed_name_key; ","")&amp;IF(C68="","missing candidate_import_action; ","")&amp;IF(D68="","missing move_reason; ","")&amp;IF(I68="","missing branch_id; ","")&amp;IF(L68="","missing first_name; ","")&amp;IF(M68="","missing last_name; ","")&amp;IF(U68="","missing status; ","")&amp;IF(AND(B68&lt;&gt;"",COUNTIF('الزبائن'!$A$6:$A$505,B68)=0),"source key not found; ","")&amp;IF((COUNTIFS('أرقام التواصل'!$A$6:$A$505,"proposed_name",'أرقام التواصل'!$B$6:$B$505,A68,'أرقام التواصل'!$I$6:$I$505,"TRUE")+COUNTIFS('أرقام التواصل'!$A$6:$A$505,"proposed_name",'أرقام التواصل'!$B$6:$B$505,A68,'أرقام التواصل'!$C$6:$C$505,1))=0,"missing primary contact in أرقام التواصل; ","")&amp;IF(AND(W68="TRUE",X68=""),"duplicate_type required when duplicate_flag TRUE; ","")))))</x:f>
      </x:c>
    </x:row>
    <x:row r="69">
      <x:c r="A69" s="302"/>
      <x:c r="B69" s="252"/>
      <x:c r="C69" s="253"/>
      <x:c r="D69" s="253"/>
      <x:c r="E69" s="253"/>
      <x:c r="F69" s="252"/>
      <x:c r="G69" s="253"/>
      <x:c r="H69" s="272"/>
      <x:c r="I69" s="253"/>
      <x:c r="J69" s="253"/>
      <x:c r="K69" s="253"/>
      <x:c r="L69" s="253"/>
      <x:c r="M69" s="253"/>
      <x:c r="N69" s="253"/>
      <x:c r="O69" s="253" t="str">
        <x:f>IF(TRIM(L69&amp;" "&amp;M69&amp;IF(N69&lt;&gt;""," ("&amp;N69&amp;")",""))="","",TRIM(L69&amp;" "&amp;M69&amp;IF(N69&lt;&gt;""," ("&amp;N69&amp;")","")))</x:f>
      </x:c>
      <x:c r="P69" s="253"/>
      <x:c r="Q69" s="252"/>
      <x:c r="R69" s="253"/>
      <x:c r="S69" s="253"/>
      <x:c r="T69" s="253"/>
      <x:c r="U69" s="253"/>
      <x:c r="V69" s="253"/>
      <x:c r="W69" s="253"/>
      <x:c r="X69" s="253"/>
      <x:c r="Y69" s="252"/>
      <x:c r="Z69" s="252"/>
      <x:c r="AA69" s="253"/>
      <x:c r="AB69" s="253" t="str">
        <x:f>IF(B69="","",IFERROR(INDEX('الزبائن'!$BA$6:$BA$505,MATCH(B69,'الزبائن'!$A$6:$A$505,0)),"source key not found"))</x:f>
      </x:c>
      <x:c r="AC69" s="253" t="str">
        <x:f>IF(B69="","",IFERROR(INDEX('الزبائن'!$BB$6:$BB$505,MATCH(B69,'الزبائن'!$A$6:$A$505,0)),"source key not found"))</x:f>
      </x:c>
      <x:c r="AD69" s="253" t="str">
        <x:f>IF(AND(A69="",C69="",D69="",I69="",L69="",M69=""),"",IF(C69="skip","SKIP",IF(OR(A69="",C69="",D69="",I69="",L69="",M69="",U69="",COUNTIF($A$6:$A$505,A69)&gt;1,AND(B69&lt;&gt;"",COUNTIF('الزبائن'!$A$6:$A$505,B69)=0),(COUNTIFS('أرقام التواصل'!$A$6:$A$505,"proposed_name",'أرقام التواصل'!$B$6:$B$505,A69,'أرقام التواصل'!$I$6:$I$505,"TRUE")+COUNTIFS('أرقام التواصل'!$A$6:$A$505,"proposed_name",'أرقام التواصل'!$B$6:$B$505,A69,'أرقام التواصل'!$C$6:$C$505,1))=0,AND(W69="TRUE",X69="")),"REVIEW","READY")))</x:f>
      </x:c>
      <x:c r="AE69" s="255" t="str">
        <x:f>IF(AD69="","",IF(AD69="READY","",IF(AD69="SKIP","Skipped by candidate_import_action",TRIM(IF(A69="","missing proposed_name_key; ","")&amp;IF(AND(A69&lt;&gt;"",COUNTIF($A$6:$A$505,A69)&gt;1),"duplicate proposed_name_key; ","")&amp;IF(C69="","missing candidate_import_action; ","")&amp;IF(D69="","missing move_reason; ","")&amp;IF(I69="","missing branch_id; ","")&amp;IF(L69="","missing first_name; ","")&amp;IF(M69="","missing last_name; ","")&amp;IF(U69="","missing status; ","")&amp;IF(AND(B69&lt;&gt;"",COUNTIF('الزبائن'!$A$6:$A$505,B69)=0),"source key not found; ","")&amp;IF((COUNTIFS('أرقام التواصل'!$A$6:$A$505,"proposed_name",'أرقام التواصل'!$B$6:$B$505,A69,'أرقام التواصل'!$I$6:$I$505,"TRUE")+COUNTIFS('أرقام التواصل'!$A$6:$A$505,"proposed_name",'أرقام التواصل'!$B$6:$B$505,A69,'أرقام التواصل'!$C$6:$C$505,1))=0,"missing primary contact in أرقام التواصل; ","")&amp;IF(AND(W69="TRUE",X69=""),"duplicate_type required when duplicate_flag TRUE; ","")))))</x:f>
      </x:c>
    </x:row>
    <x:row r="70">
      <x:c r="A70" s="302"/>
      <x:c r="B70" s="252"/>
      <x:c r="C70" s="253"/>
      <x:c r="D70" s="253"/>
      <x:c r="E70" s="253"/>
      <x:c r="F70" s="252"/>
      <x:c r="G70" s="253"/>
      <x:c r="H70" s="272"/>
      <x:c r="I70" s="253"/>
      <x:c r="J70" s="253"/>
      <x:c r="K70" s="253"/>
      <x:c r="L70" s="253"/>
      <x:c r="M70" s="253"/>
      <x:c r="N70" s="253"/>
      <x:c r="O70" s="253" t="str">
        <x:f>IF(TRIM(L70&amp;" "&amp;M70&amp;IF(N70&lt;&gt;""," ("&amp;N70&amp;")",""))="","",TRIM(L70&amp;" "&amp;M70&amp;IF(N70&lt;&gt;""," ("&amp;N70&amp;")","")))</x:f>
      </x:c>
      <x:c r="P70" s="253"/>
      <x:c r="Q70" s="252"/>
      <x:c r="R70" s="253"/>
      <x:c r="S70" s="253"/>
      <x:c r="T70" s="253"/>
      <x:c r="U70" s="253"/>
      <x:c r="V70" s="253"/>
      <x:c r="W70" s="253"/>
      <x:c r="X70" s="253"/>
      <x:c r="Y70" s="252"/>
      <x:c r="Z70" s="252"/>
      <x:c r="AA70" s="253"/>
      <x:c r="AB70" s="253" t="str">
        <x:f>IF(B70="","",IFERROR(INDEX('الزبائن'!$BA$6:$BA$505,MATCH(B70,'الزبائن'!$A$6:$A$505,0)),"source key not found"))</x:f>
      </x:c>
      <x:c r="AC70" s="253" t="str">
        <x:f>IF(B70="","",IFERROR(INDEX('الزبائن'!$BB$6:$BB$505,MATCH(B70,'الزبائن'!$A$6:$A$505,0)),"source key not found"))</x:f>
      </x:c>
      <x:c r="AD70" s="253" t="str">
        <x:f>IF(AND(A70="",C70="",D70="",I70="",L70="",M70=""),"",IF(C70="skip","SKIP",IF(OR(A70="",C70="",D70="",I70="",L70="",M70="",U70="",COUNTIF($A$6:$A$505,A70)&gt;1,AND(B70&lt;&gt;"",COUNTIF('الزبائن'!$A$6:$A$505,B70)=0),(COUNTIFS('أرقام التواصل'!$A$6:$A$505,"proposed_name",'أرقام التواصل'!$B$6:$B$505,A70,'أرقام التواصل'!$I$6:$I$505,"TRUE")+COUNTIFS('أرقام التواصل'!$A$6:$A$505,"proposed_name",'أرقام التواصل'!$B$6:$B$505,A70,'أرقام التواصل'!$C$6:$C$505,1))=0,AND(W70="TRUE",X70="")),"REVIEW","READY")))</x:f>
      </x:c>
      <x:c r="AE70" s="255" t="str">
        <x:f>IF(AD70="","",IF(AD70="READY","",IF(AD70="SKIP","Skipped by candidate_import_action",TRIM(IF(A70="","missing proposed_name_key; ","")&amp;IF(AND(A70&lt;&gt;"",COUNTIF($A$6:$A$505,A70)&gt;1),"duplicate proposed_name_key; ","")&amp;IF(C70="","missing candidate_import_action; ","")&amp;IF(D70="","missing move_reason; ","")&amp;IF(I70="","missing branch_id; ","")&amp;IF(L70="","missing first_name; ","")&amp;IF(M70="","missing last_name; ","")&amp;IF(U70="","missing status; ","")&amp;IF(AND(B70&lt;&gt;"",COUNTIF('الزبائن'!$A$6:$A$505,B70)=0),"source key not found; ","")&amp;IF((COUNTIFS('أرقام التواصل'!$A$6:$A$505,"proposed_name",'أرقام التواصل'!$B$6:$B$505,A70,'أرقام التواصل'!$I$6:$I$505,"TRUE")+COUNTIFS('أرقام التواصل'!$A$6:$A$505,"proposed_name",'أرقام التواصل'!$B$6:$B$505,A70,'أرقام التواصل'!$C$6:$C$505,1))=0,"missing primary contact in أرقام التواصل; ","")&amp;IF(AND(W70="TRUE",X70=""),"duplicate_type required when duplicate_flag TRUE; ","")))))</x:f>
      </x:c>
    </x:row>
    <x:row r="71">
      <x:c r="A71" s="302"/>
      <x:c r="B71" s="252"/>
      <x:c r="C71" s="253"/>
      <x:c r="D71" s="253"/>
      <x:c r="E71" s="253"/>
      <x:c r="F71" s="252"/>
      <x:c r="G71" s="253"/>
      <x:c r="H71" s="272"/>
      <x:c r="I71" s="253"/>
      <x:c r="J71" s="253"/>
      <x:c r="K71" s="253"/>
      <x:c r="L71" s="253"/>
      <x:c r="M71" s="253"/>
      <x:c r="N71" s="253"/>
      <x:c r="O71" s="253" t="str">
        <x:f>IF(TRIM(L71&amp;" "&amp;M71&amp;IF(N71&lt;&gt;""," ("&amp;N71&amp;")",""))="","",TRIM(L71&amp;" "&amp;M71&amp;IF(N71&lt;&gt;""," ("&amp;N71&amp;")","")))</x:f>
      </x:c>
      <x:c r="P71" s="253"/>
      <x:c r="Q71" s="252"/>
      <x:c r="R71" s="253"/>
      <x:c r="S71" s="253"/>
      <x:c r="T71" s="253"/>
      <x:c r="U71" s="253"/>
      <x:c r="V71" s="253"/>
      <x:c r="W71" s="253"/>
      <x:c r="X71" s="253"/>
      <x:c r="Y71" s="252"/>
      <x:c r="Z71" s="252"/>
      <x:c r="AA71" s="253"/>
      <x:c r="AB71" s="253" t="str">
        <x:f>IF(B71="","",IFERROR(INDEX('الزبائن'!$BA$6:$BA$505,MATCH(B71,'الزبائن'!$A$6:$A$505,0)),"source key not found"))</x:f>
      </x:c>
      <x:c r="AC71" s="253" t="str">
        <x:f>IF(B71="","",IFERROR(INDEX('الزبائن'!$BB$6:$BB$505,MATCH(B71,'الزبائن'!$A$6:$A$505,0)),"source key not found"))</x:f>
      </x:c>
      <x:c r="AD71" s="253" t="str">
        <x:f>IF(AND(A71="",C71="",D71="",I71="",L71="",M71=""),"",IF(C71="skip","SKIP",IF(OR(A71="",C71="",D71="",I71="",L71="",M71="",U71="",COUNTIF($A$6:$A$505,A71)&gt;1,AND(B71&lt;&gt;"",COUNTIF('الزبائن'!$A$6:$A$505,B71)=0),(COUNTIFS('أرقام التواصل'!$A$6:$A$505,"proposed_name",'أرقام التواصل'!$B$6:$B$505,A71,'أرقام التواصل'!$I$6:$I$505,"TRUE")+COUNTIFS('أرقام التواصل'!$A$6:$A$505,"proposed_name",'أرقام التواصل'!$B$6:$B$505,A71,'أرقام التواصل'!$C$6:$C$505,1))=0,AND(W71="TRUE",X71="")),"REVIEW","READY")))</x:f>
      </x:c>
      <x:c r="AE71" s="255" t="str">
        <x:f>IF(AD71="","",IF(AD71="READY","",IF(AD71="SKIP","Skipped by candidate_import_action",TRIM(IF(A71="","missing proposed_name_key; ","")&amp;IF(AND(A71&lt;&gt;"",COUNTIF($A$6:$A$505,A71)&gt;1),"duplicate proposed_name_key; ","")&amp;IF(C71="","missing candidate_import_action; ","")&amp;IF(D71="","missing move_reason; ","")&amp;IF(I71="","missing branch_id; ","")&amp;IF(L71="","missing first_name; ","")&amp;IF(M71="","missing last_name; ","")&amp;IF(U71="","missing status; ","")&amp;IF(AND(B71&lt;&gt;"",COUNTIF('الزبائن'!$A$6:$A$505,B71)=0),"source key not found; ","")&amp;IF((COUNTIFS('أرقام التواصل'!$A$6:$A$505,"proposed_name",'أرقام التواصل'!$B$6:$B$505,A71,'أرقام التواصل'!$I$6:$I$505,"TRUE")+COUNTIFS('أرقام التواصل'!$A$6:$A$505,"proposed_name",'أرقام التواصل'!$B$6:$B$505,A71,'أرقام التواصل'!$C$6:$C$505,1))=0,"missing primary contact in أرقام التواصل; ","")&amp;IF(AND(W71="TRUE",X71=""),"duplicate_type required when duplicate_flag TRUE; ","")))))</x:f>
      </x:c>
    </x:row>
    <x:row r="72">
      <x:c r="A72" s="302"/>
      <x:c r="B72" s="252"/>
      <x:c r="C72" s="253"/>
      <x:c r="D72" s="253"/>
      <x:c r="E72" s="253"/>
      <x:c r="F72" s="252"/>
      <x:c r="G72" s="253"/>
      <x:c r="H72" s="272"/>
      <x:c r="I72" s="253"/>
      <x:c r="J72" s="253"/>
      <x:c r="K72" s="253"/>
      <x:c r="L72" s="253"/>
      <x:c r="M72" s="253"/>
      <x:c r="N72" s="253"/>
      <x:c r="O72" s="253" t="str">
        <x:f>IF(TRIM(L72&amp;" "&amp;M72&amp;IF(N72&lt;&gt;""," ("&amp;N72&amp;")",""))="","",TRIM(L72&amp;" "&amp;M72&amp;IF(N72&lt;&gt;""," ("&amp;N72&amp;")","")))</x:f>
      </x:c>
      <x:c r="P72" s="253"/>
      <x:c r="Q72" s="252"/>
      <x:c r="R72" s="253"/>
      <x:c r="S72" s="253"/>
      <x:c r="T72" s="253"/>
      <x:c r="U72" s="253"/>
      <x:c r="V72" s="253"/>
      <x:c r="W72" s="253"/>
      <x:c r="X72" s="253"/>
      <x:c r="Y72" s="252"/>
      <x:c r="Z72" s="252"/>
      <x:c r="AA72" s="253"/>
      <x:c r="AB72" s="253" t="str">
        <x:f>IF(B72="","",IFERROR(INDEX('الزبائن'!$BA$6:$BA$505,MATCH(B72,'الزبائن'!$A$6:$A$505,0)),"source key not found"))</x:f>
      </x:c>
      <x:c r="AC72" s="253" t="str">
        <x:f>IF(B72="","",IFERROR(INDEX('الزبائن'!$BB$6:$BB$505,MATCH(B72,'الزبائن'!$A$6:$A$505,0)),"source key not found"))</x:f>
      </x:c>
      <x:c r="AD72" s="253" t="str">
        <x:f>IF(AND(A72="",C72="",D72="",I72="",L72="",M72=""),"",IF(C72="skip","SKIP",IF(OR(A72="",C72="",D72="",I72="",L72="",M72="",U72="",COUNTIF($A$6:$A$505,A72)&gt;1,AND(B72&lt;&gt;"",COUNTIF('الزبائن'!$A$6:$A$505,B72)=0),(COUNTIFS('أرقام التواصل'!$A$6:$A$505,"proposed_name",'أرقام التواصل'!$B$6:$B$505,A72,'أرقام التواصل'!$I$6:$I$505,"TRUE")+COUNTIFS('أرقام التواصل'!$A$6:$A$505,"proposed_name",'أرقام التواصل'!$B$6:$B$505,A72,'أرقام التواصل'!$C$6:$C$505,1))=0,AND(W72="TRUE",X72="")),"REVIEW","READY")))</x:f>
      </x:c>
      <x:c r="AE72" s="255" t="str">
        <x:f>IF(AD72="","",IF(AD72="READY","",IF(AD72="SKIP","Skipped by candidate_import_action",TRIM(IF(A72="","missing proposed_name_key; ","")&amp;IF(AND(A72&lt;&gt;"",COUNTIF($A$6:$A$505,A72)&gt;1),"duplicate proposed_name_key; ","")&amp;IF(C72="","missing candidate_import_action; ","")&amp;IF(D72="","missing move_reason; ","")&amp;IF(I72="","missing branch_id; ","")&amp;IF(L72="","missing first_name; ","")&amp;IF(M72="","missing last_name; ","")&amp;IF(U72="","missing status; ","")&amp;IF(AND(B72&lt;&gt;"",COUNTIF('الزبائن'!$A$6:$A$505,B72)=0),"source key not found; ","")&amp;IF((COUNTIFS('أرقام التواصل'!$A$6:$A$505,"proposed_name",'أرقام التواصل'!$B$6:$B$505,A72,'أرقام التواصل'!$I$6:$I$505,"TRUE")+COUNTIFS('أرقام التواصل'!$A$6:$A$505,"proposed_name",'أرقام التواصل'!$B$6:$B$505,A72,'أرقام التواصل'!$C$6:$C$505,1))=0,"missing primary contact in أرقام التواصل; ","")&amp;IF(AND(W72="TRUE",X72=""),"duplicate_type required when duplicate_flag TRUE; ","")))))</x:f>
      </x:c>
    </x:row>
    <x:row r="73">
      <x:c r="A73" s="302"/>
      <x:c r="B73" s="252"/>
      <x:c r="C73" s="253"/>
      <x:c r="D73" s="253"/>
      <x:c r="E73" s="253"/>
      <x:c r="F73" s="252"/>
      <x:c r="G73" s="253"/>
      <x:c r="H73" s="272"/>
      <x:c r="I73" s="253"/>
      <x:c r="J73" s="253"/>
      <x:c r="K73" s="253"/>
      <x:c r="L73" s="253"/>
      <x:c r="M73" s="253"/>
      <x:c r="N73" s="253"/>
      <x:c r="O73" s="253" t="str">
        <x:f>IF(TRIM(L73&amp;" "&amp;M73&amp;IF(N73&lt;&gt;""," ("&amp;N73&amp;")",""))="","",TRIM(L73&amp;" "&amp;M73&amp;IF(N73&lt;&gt;""," ("&amp;N73&amp;")","")))</x:f>
      </x:c>
      <x:c r="P73" s="253"/>
      <x:c r="Q73" s="252"/>
      <x:c r="R73" s="253"/>
      <x:c r="S73" s="253"/>
      <x:c r="T73" s="253"/>
      <x:c r="U73" s="253"/>
      <x:c r="V73" s="253"/>
      <x:c r="W73" s="253"/>
      <x:c r="X73" s="253"/>
      <x:c r="Y73" s="252"/>
      <x:c r="Z73" s="252"/>
      <x:c r="AA73" s="253"/>
      <x:c r="AB73" s="253" t="str">
        <x:f>IF(B73="","",IFERROR(INDEX('الزبائن'!$BA$6:$BA$505,MATCH(B73,'الزبائن'!$A$6:$A$505,0)),"source key not found"))</x:f>
      </x:c>
      <x:c r="AC73" s="253" t="str">
        <x:f>IF(B73="","",IFERROR(INDEX('الزبائن'!$BB$6:$BB$505,MATCH(B73,'الزبائن'!$A$6:$A$505,0)),"source key not found"))</x:f>
      </x:c>
      <x:c r="AD73" s="253" t="str">
        <x:f>IF(AND(A73="",C73="",D73="",I73="",L73="",M73=""),"",IF(C73="skip","SKIP",IF(OR(A73="",C73="",D73="",I73="",L73="",M73="",U73="",COUNTIF($A$6:$A$505,A73)&gt;1,AND(B73&lt;&gt;"",COUNTIF('الزبائن'!$A$6:$A$505,B73)=0),(COUNTIFS('أرقام التواصل'!$A$6:$A$505,"proposed_name",'أرقام التواصل'!$B$6:$B$505,A73,'أرقام التواصل'!$I$6:$I$505,"TRUE")+COUNTIFS('أرقام التواصل'!$A$6:$A$505,"proposed_name",'أرقام التواصل'!$B$6:$B$505,A73,'أرقام التواصل'!$C$6:$C$505,1))=0,AND(W73="TRUE",X73="")),"REVIEW","READY")))</x:f>
      </x:c>
      <x:c r="AE73" s="255" t="str">
        <x:f>IF(AD73="","",IF(AD73="READY","",IF(AD73="SKIP","Skipped by candidate_import_action",TRIM(IF(A73="","missing proposed_name_key; ","")&amp;IF(AND(A73&lt;&gt;"",COUNTIF($A$6:$A$505,A73)&gt;1),"duplicate proposed_name_key; ","")&amp;IF(C73="","missing candidate_import_action; ","")&amp;IF(D73="","missing move_reason; ","")&amp;IF(I73="","missing branch_id; ","")&amp;IF(L73="","missing first_name; ","")&amp;IF(M73="","missing last_name; ","")&amp;IF(U73="","missing status; ","")&amp;IF(AND(B73&lt;&gt;"",COUNTIF('الزبائن'!$A$6:$A$505,B73)=0),"source key not found; ","")&amp;IF((COUNTIFS('أرقام التواصل'!$A$6:$A$505,"proposed_name",'أرقام التواصل'!$B$6:$B$505,A73,'أرقام التواصل'!$I$6:$I$505,"TRUE")+COUNTIFS('أرقام التواصل'!$A$6:$A$505,"proposed_name",'أرقام التواصل'!$B$6:$B$505,A73,'أرقام التواصل'!$C$6:$C$505,1))=0,"missing primary contact in أرقام التواصل; ","")&amp;IF(AND(W73="TRUE",X73=""),"duplicate_type required when duplicate_flag TRUE; ","")))))</x:f>
      </x:c>
    </x:row>
    <x:row r="74">
      <x:c r="A74" s="302"/>
      <x:c r="B74" s="252"/>
      <x:c r="C74" s="253"/>
      <x:c r="D74" s="253"/>
      <x:c r="E74" s="253"/>
      <x:c r="F74" s="252"/>
      <x:c r="G74" s="253"/>
      <x:c r="H74" s="272"/>
      <x:c r="I74" s="253"/>
      <x:c r="J74" s="253"/>
      <x:c r="K74" s="253"/>
      <x:c r="L74" s="253"/>
      <x:c r="M74" s="253"/>
      <x:c r="N74" s="253"/>
      <x:c r="O74" s="253" t="str">
        <x:f>IF(TRIM(L74&amp;" "&amp;M74&amp;IF(N74&lt;&gt;""," ("&amp;N74&amp;")",""))="","",TRIM(L74&amp;" "&amp;M74&amp;IF(N74&lt;&gt;""," ("&amp;N74&amp;")","")))</x:f>
      </x:c>
      <x:c r="P74" s="253"/>
      <x:c r="Q74" s="252"/>
      <x:c r="R74" s="253"/>
      <x:c r="S74" s="253"/>
      <x:c r="T74" s="253"/>
      <x:c r="U74" s="253"/>
      <x:c r="V74" s="253"/>
      <x:c r="W74" s="253"/>
      <x:c r="X74" s="253"/>
      <x:c r="Y74" s="252"/>
      <x:c r="Z74" s="252"/>
      <x:c r="AA74" s="253"/>
      <x:c r="AB74" s="253" t="str">
        <x:f>IF(B74="","",IFERROR(INDEX('الزبائن'!$BA$6:$BA$505,MATCH(B74,'الزبائن'!$A$6:$A$505,0)),"source key not found"))</x:f>
      </x:c>
      <x:c r="AC74" s="253" t="str">
        <x:f>IF(B74="","",IFERROR(INDEX('الزبائن'!$BB$6:$BB$505,MATCH(B74,'الزبائن'!$A$6:$A$505,0)),"source key not found"))</x:f>
      </x:c>
      <x:c r="AD74" s="253" t="str">
        <x:f>IF(AND(A74="",C74="",D74="",I74="",L74="",M74=""),"",IF(C74="skip","SKIP",IF(OR(A74="",C74="",D74="",I74="",L74="",M74="",U74="",COUNTIF($A$6:$A$505,A74)&gt;1,AND(B74&lt;&gt;"",COUNTIF('الزبائن'!$A$6:$A$505,B74)=0),(COUNTIFS('أرقام التواصل'!$A$6:$A$505,"proposed_name",'أرقام التواصل'!$B$6:$B$505,A74,'أرقام التواصل'!$I$6:$I$505,"TRUE")+COUNTIFS('أرقام التواصل'!$A$6:$A$505,"proposed_name",'أرقام التواصل'!$B$6:$B$505,A74,'أرقام التواصل'!$C$6:$C$505,1))=0,AND(W74="TRUE",X74="")),"REVIEW","READY")))</x:f>
      </x:c>
      <x:c r="AE74" s="255" t="str">
        <x:f>IF(AD74="","",IF(AD74="READY","",IF(AD74="SKIP","Skipped by candidate_import_action",TRIM(IF(A74="","missing proposed_name_key; ","")&amp;IF(AND(A74&lt;&gt;"",COUNTIF($A$6:$A$505,A74)&gt;1),"duplicate proposed_name_key; ","")&amp;IF(C74="","missing candidate_import_action; ","")&amp;IF(D74="","missing move_reason; ","")&amp;IF(I74="","missing branch_id; ","")&amp;IF(L74="","missing first_name; ","")&amp;IF(M74="","missing last_name; ","")&amp;IF(U74="","missing status; ","")&amp;IF(AND(B74&lt;&gt;"",COUNTIF('الزبائن'!$A$6:$A$505,B74)=0),"source key not found; ","")&amp;IF((COUNTIFS('أرقام التواصل'!$A$6:$A$505,"proposed_name",'أرقام التواصل'!$B$6:$B$505,A74,'أرقام التواصل'!$I$6:$I$505,"TRUE")+COUNTIFS('أرقام التواصل'!$A$6:$A$505,"proposed_name",'أرقام التواصل'!$B$6:$B$505,A74,'أرقام التواصل'!$C$6:$C$505,1))=0,"missing primary contact in أرقام التواصل; ","")&amp;IF(AND(W74="TRUE",X74=""),"duplicate_type required when duplicate_flag TRUE; ","")))))</x:f>
      </x:c>
    </x:row>
    <x:row r="75">
      <x:c r="A75" s="302"/>
      <x:c r="B75" s="252"/>
      <x:c r="C75" s="253"/>
      <x:c r="D75" s="253"/>
      <x:c r="E75" s="253"/>
      <x:c r="F75" s="252"/>
      <x:c r="G75" s="253"/>
      <x:c r="H75" s="272"/>
      <x:c r="I75" s="253"/>
      <x:c r="J75" s="253"/>
      <x:c r="K75" s="253"/>
      <x:c r="L75" s="253"/>
      <x:c r="M75" s="253"/>
      <x:c r="N75" s="253"/>
      <x:c r="O75" s="253" t="str">
        <x:f>IF(TRIM(L75&amp;" "&amp;M75&amp;IF(N75&lt;&gt;""," ("&amp;N75&amp;")",""))="","",TRIM(L75&amp;" "&amp;M75&amp;IF(N75&lt;&gt;""," ("&amp;N75&amp;")","")))</x:f>
      </x:c>
      <x:c r="P75" s="253"/>
      <x:c r="Q75" s="252"/>
      <x:c r="R75" s="253"/>
      <x:c r="S75" s="253"/>
      <x:c r="T75" s="253"/>
      <x:c r="U75" s="253"/>
      <x:c r="V75" s="253"/>
      <x:c r="W75" s="253"/>
      <x:c r="X75" s="253"/>
      <x:c r="Y75" s="252"/>
      <x:c r="Z75" s="252"/>
      <x:c r="AA75" s="253"/>
      <x:c r="AB75" s="253" t="str">
        <x:f>IF(B75="","",IFERROR(INDEX('الزبائن'!$BA$6:$BA$505,MATCH(B75,'الزبائن'!$A$6:$A$505,0)),"source key not found"))</x:f>
      </x:c>
      <x:c r="AC75" s="253" t="str">
        <x:f>IF(B75="","",IFERROR(INDEX('الزبائن'!$BB$6:$BB$505,MATCH(B75,'الزبائن'!$A$6:$A$505,0)),"source key not found"))</x:f>
      </x:c>
      <x:c r="AD75" s="253" t="str">
        <x:f>IF(AND(A75="",C75="",D75="",I75="",L75="",M75=""),"",IF(C75="skip","SKIP",IF(OR(A75="",C75="",D75="",I75="",L75="",M75="",U75="",COUNTIF($A$6:$A$505,A75)&gt;1,AND(B75&lt;&gt;"",COUNTIF('الزبائن'!$A$6:$A$505,B75)=0),(COUNTIFS('أرقام التواصل'!$A$6:$A$505,"proposed_name",'أرقام التواصل'!$B$6:$B$505,A75,'أرقام التواصل'!$I$6:$I$505,"TRUE")+COUNTIFS('أرقام التواصل'!$A$6:$A$505,"proposed_name",'أرقام التواصل'!$B$6:$B$505,A75,'أرقام التواصل'!$C$6:$C$505,1))=0,AND(W75="TRUE",X75="")),"REVIEW","READY")))</x:f>
      </x:c>
      <x:c r="AE75" s="255" t="str">
        <x:f>IF(AD75="","",IF(AD75="READY","",IF(AD75="SKIP","Skipped by candidate_import_action",TRIM(IF(A75="","missing proposed_name_key; ","")&amp;IF(AND(A75&lt;&gt;"",COUNTIF($A$6:$A$505,A75)&gt;1),"duplicate proposed_name_key; ","")&amp;IF(C75="","missing candidate_import_action; ","")&amp;IF(D75="","missing move_reason; ","")&amp;IF(I75="","missing branch_id; ","")&amp;IF(L75="","missing first_name; ","")&amp;IF(M75="","missing last_name; ","")&amp;IF(U75="","missing status; ","")&amp;IF(AND(B75&lt;&gt;"",COUNTIF('الزبائن'!$A$6:$A$505,B75)=0),"source key not found; ","")&amp;IF((COUNTIFS('أرقام التواصل'!$A$6:$A$505,"proposed_name",'أرقام التواصل'!$B$6:$B$505,A75,'أرقام التواصل'!$I$6:$I$505,"TRUE")+COUNTIFS('أرقام التواصل'!$A$6:$A$505,"proposed_name",'أرقام التواصل'!$B$6:$B$505,A75,'أرقام التواصل'!$C$6:$C$505,1))=0,"missing primary contact in أرقام التواصل; ","")&amp;IF(AND(W75="TRUE",X75=""),"duplicate_type required when duplicate_flag TRUE; ","")))))</x:f>
      </x:c>
    </x:row>
    <x:row r="76">
      <x:c r="A76" s="302"/>
      <x:c r="B76" s="252"/>
      <x:c r="C76" s="253"/>
      <x:c r="D76" s="253"/>
      <x:c r="E76" s="253"/>
      <x:c r="F76" s="252"/>
      <x:c r="G76" s="253"/>
      <x:c r="H76" s="272"/>
      <x:c r="I76" s="253"/>
      <x:c r="J76" s="253"/>
      <x:c r="K76" s="253"/>
      <x:c r="L76" s="253"/>
      <x:c r="M76" s="253"/>
      <x:c r="N76" s="253"/>
      <x:c r="O76" s="253" t="str">
        <x:f>IF(TRIM(L76&amp;" "&amp;M76&amp;IF(N76&lt;&gt;""," ("&amp;N76&amp;")",""))="","",TRIM(L76&amp;" "&amp;M76&amp;IF(N76&lt;&gt;""," ("&amp;N76&amp;")","")))</x:f>
      </x:c>
      <x:c r="P76" s="253"/>
      <x:c r="Q76" s="252"/>
      <x:c r="R76" s="253"/>
      <x:c r="S76" s="253"/>
      <x:c r="T76" s="253"/>
      <x:c r="U76" s="253"/>
      <x:c r="V76" s="253"/>
      <x:c r="W76" s="253"/>
      <x:c r="X76" s="253"/>
      <x:c r="Y76" s="252"/>
      <x:c r="Z76" s="252"/>
      <x:c r="AA76" s="253"/>
      <x:c r="AB76" s="253" t="str">
        <x:f>IF(B76="","",IFERROR(INDEX('الزبائن'!$BA$6:$BA$505,MATCH(B76,'الزبائن'!$A$6:$A$505,0)),"source key not found"))</x:f>
      </x:c>
      <x:c r="AC76" s="253" t="str">
        <x:f>IF(B76="","",IFERROR(INDEX('الزبائن'!$BB$6:$BB$505,MATCH(B76,'الزبائن'!$A$6:$A$505,0)),"source key not found"))</x:f>
      </x:c>
      <x:c r="AD76" s="253" t="str">
        <x:f>IF(AND(A76="",C76="",D76="",I76="",L76="",M76=""),"",IF(C76="skip","SKIP",IF(OR(A76="",C76="",D76="",I76="",L76="",M76="",U76="",COUNTIF($A$6:$A$505,A76)&gt;1,AND(B76&lt;&gt;"",COUNTIF('الزبائن'!$A$6:$A$505,B76)=0),(COUNTIFS('أرقام التواصل'!$A$6:$A$505,"proposed_name",'أرقام التواصل'!$B$6:$B$505,A76,'أرقام التواصل'!$I$6:$I$505,"TRUE")+COUNTIFS('أرقام التواصل'!$A$6:$A$505,"proposed_name",'أرقام التواصل'!$B$6:$B$505,A76,'أرقام التواصل'!$C$6:$C$505,1))=0,AND(W76="TRUE",X76="")),"REVIEW","READY")))</x:f>
      </x:c>
      <x:c r="AE76" s="255" t="str">
        <x:f>IF(AD76="","",IF(AD76="READY","",IF(AD76="SKIP","Skipped by candidate_import_action",TRIM(IF(A76="","missing proposed_name_key; ","")&amp;IF(AND(A76&lt;&gt;"",COUNTIF($A$6:$A$505,A76)&gt;1),"duplicate proposed_name_key; ","")&amp;IF(C76="","missing candidate_import_action; ","")&amp;IF(D76="","missing move_reason; ","")&amp;IF(I76="","missing branch_id; ","")&amp;IF(L76="","missing first_name; ","")&amp;IF(M76="","missing last_name; ","")&amp;IF(U76="","missing status; ","")&amp;IF(AND(B76&lt;&gt;"",COUNTIF('الزبائن'!$A$6:$A$505,B76)=0),"source key not found; ","")&amp;IF((COUNTIFS('أرقام التواصل'!$A$6:$A$505,"proposed_name",'أرقام التواصل'!$B$6:$B$505,A76,'أرقام التواصل'!$I$6:$I$505,"TRUE")+COUNTIFS('أرقام التواصل'!$A$6:$A$505,"proposed_name",'أرقام التواصل'!$B$6:$B$505,A76,'أرقام التواصل'!$C$6:$C$505,1))=0,"missing primary contact in أرقام التواصل; ","")&amp;IF(AND(W76="TRUE",X76=""),"duplicate_type required when duplicate_flag TRUE; ","")))))</x:f>
      </x:c>
    </x:row>
    <x:row r="77">
      <x:c r="A77" s="302"/>
      <x:c r="B77" s="252"/>
      <x:c r="C77" s="253"/>
      <x:c r="D77" s="253"/>
      <x:c r="E77" s="253"/>
      <x:c r="F77" s="252"/>
      <x:c r="G77" s="253"/>
      <x:c r="H77" s="272"/>
      <x:c r="I77" s="253"/>
      <x:c r="J77" s="253"/>
      <x:c r="K77" s="253"/>
      <x:c r="L77" s="253"/>
      <x:c r="M77" s="253"/>
      <x:c r="N77" s="253"/>
      <x:c r="O77" s="253" t="str">
        <x:f>IF(TRIM(L77&amp;" "&amp;M77&amp;IF(N77&lt;&gt;""," ("&amp;N77&amp;")",""))="","",TRIM(L77&amp;" "&amp;M77&amp;IF(N77&lt;&gt;""," ("&amp;N77&amp;")","")))</x:f>
      </x:c>
      <x:c r="P77" s="253"/>
      <x:c r="Q77" s="252"/>
      <x:c r="R77" s="253"/>
      <x:c r="S77" s="253"/>
      <x:c r="T77" s="253"/>
      <x:c r="U77" s="253"/>
      <x:c r="V77" s="253"/>
      <x:c r="W77" s="253"/>
      <x:c r="X77" s="253"/>
      <x:c r="Y77" s="252"/>
      <x:c r="Z77" s="252"/>
      <x:c r="AA77" s="253"/>
      <x:c r="AB77" s="253" t="str">
        <x:f>IF(B77="","",IFERROR(INDEX('الزبائن'!$BA$6:$BA$505,MATCH(B77,'الزبائن'!$A$6:$A$505,0)),"source key not found"))</x:f>
      </x:c>
      <x:c r="AC77" s="253" t="str">
        <x:f>IF(B77="","",IFERROR(INDEX('الزبائن'!$BB$6:$BB$505,MATCH(B77,'الزبائن'!$A$6:$A$505,0)),"source key not found"))</x:f>
      </x:c>
      <x:c r="AD77" s="253" t="str">
        <x:f>IF(AND(A77="",C77="",D77="",I77="",L77="",M77=""),"",IF(C77="skip","SKIP",IF(OR(A77="",C77="",D77="",I77="",L77="",M77="",U77="",COUNTIF($A$6:$A$505,A77)&gt;1,AND(B77&lt;&gt;"",COUNTIF('الزبائن'!$A$6:$A$505,B77)=0),(COUNTIFS('أرقام التواصل'!$A$6:$A$505,"proposed_name",'أرقام التواصل'!$B$6:$B$505,A77,'أرقام التواصل'!$I$6:$I$505,"TRUE")+COUNTIFS('أرقام التواصل'!$A$6:$A$505,"proposed_name",'أرقام التواصل'!$B$6:$B$505,A77,'أرقام التواصل'!$C$6:$C$505,1))=0,AND(W77="TRUE",X77="")),"REVIEW","READY")))</x:f>
      </x:c>
      <x:c r="AE77" s="255" t="str">
        <x:f>IF(AD77="","",IF(AD77="READY","",IF(AD77="SKIP","Skipped by candidate_import_action",TRIM(IF(A77="","missing proposed_name_key; ","")&amp;IF(AND(A77&lt;&gt;"",COUNTIF($A$6:$A$505,A77)&gt;1),"duplicate proposed_name_key; ","")&amp;IF(C77="","missing candidate_import_action; ","")&amp;IF(D77="","missing move_reason; ","")&amp;IF(I77="","missing branch_id; ","")&amp;IF(L77="","missing first_name; ","")&amp;IF(M77="","missing last_name; ","")&amp;IF(U77="","missing status; ","")&amp;IF(AND(B77&lt;&gt;"",COUNTIF('الزبائن'!$A$6:$A$505,B77)=0),"source key not found; ","")&amp;IF((COUNTIFS('أرقام التواصل'!$A$6:$A$505,"proposed_name",'أرقام التواصل'!$B$6:$B$505,A77,'أرقام التواصل'!$I$6:$I$505,"TRUE")+COUNTIFS('أرقام التواصل'!$A$6:$A$505,"proposed_name",'أرقام التواصل'!$B$6:$B$505,A77,'أرقام التواصل'!$C$6:$C$505,1))=0,"missing primary contact in أرقام التواصل; ","")&amp;IF(AND(W77="TRUE",X77=""),"duplicate_type required when duplicate_flag TRUE; ","")))))</x:f>
      </x:c>
    </x:row>
    <x:row r="78">
      <x:c r="A78" s="302"/>
      <x:c r="B78" s="252"/>
      <x:c r="C78" s="253"/>
      <x:c r="D78" s="253"/>
      <x:c r="E78" s="253"/>
      <x:c r="F78" s="252"/>
      <x:c r="G78" s="253"/>
      <x:c r="H78" s="272"/>
      <x:c r="I78" s="253"/>
      <x:c r="J78" s="253"/>
      <x:c r="K78" s="253"/>
      <x:c r="L78" s="253"/>
      <x:c r="M78" s="253"/>
      <x:c r="N78" s="253"/>
      <x:c r="O78" s="253" t="str">
        <x:f>IF(TRIM(L78&amp;" "&amp;M78&amp;IF(N78&lt;&gt;""," ("&amp;N78&amp;")",""))="","",TRIM(L78&amp;" "&amp;M78&amp;IF(N78&lt;&gt;""," ("&amp;N78&amp;")","")))</x:f>
      </x:c>
      <x:c r="P78" s="253"/>
      <x:c r="Q78" s="252"/>
      <x:c r="R78" s="253"/>
      <x:c r="S78" s="253"/>
      <x:c r="T78" s="253"/>
      <x:c r="U78" s="253"/>
      <x:c r="V78" s="253"/>
      <x:c r="W78" s="253"/>
      <x:c r="X78" s="253"/>
      <x:c r="Y78" s="252"/>
      <x:c r="Z78" s="252"/>
      <x:c r="AA78" s="253"/>
      <x:c r="AB78" s="253" t="str">
        <x:f>IF(B78="","",IFERROR(INDEX('الزبائن'!$BA$6:$BA$505,MATCH(B78,'الزبائن'!$A$6:$A$505,0)),"source key not found"))</x:f>
      </x:c>
      <x:c r="AC78" s="253" t="str">
        <x:f>IF(B78="","",IFERROR(INDEX('الزبائن'!$BB$6:$BB$505,MATCH(B78,'الزبائن'!$A$6:$A$505,0)),"source key not found"))</x:f>
      </x:c>
      <x:c r="AD78" s="253" t="str">
        <x:f>IF(AND(A78="",C78="",D78="",I78="",L78="",M78=""),"",IF(C78="skip","SKIP",IF(OR(A78="",C78="",D78="",I78="",L78="",M78="",U78="",COUNTIF($A$6:$A$505,A78)&gt;1,AND(B78&lt;&gt;"",COUNTIF('الزبائن'!$A$6:$A$505,B78)=0),(COUNTIFS('أرقام التواصل'!$A$6:$A$505,"proposed_name",'أرقام التواصل'!$B$6:$B$505,A78,'أرقام التواصل'!$I$6:$I$505,"TRUE")+COUNTIFS('أرقام التواصل'!$A$6:$A$505,"proposed_name",'أرقام التواصل'!$B$6:$B$505,A78,'أرقام التواصل'!$C$6:$C$505,1))=0,AND(W78="TRUE",X78="")),"REVIEW","READY")))</x:f>
      </x:c>
      <x:c r="AE78" s="255" t="str">
        <x:f>IF(AD78="","",IF(AD78="READY","",IF(AD78="SKIP","Skipped by candidate_import_action",TRIM(IF(A78="","missing proposed_name_key; ","")&amp;IF(AND(A78&lt;&gt;"",COUNTIF($A$6:$A$505,A78)&gt;1),"duplicate proposed_name_key; ","")&amp;IF(C78="","missing candidate_import_action; ","")&amp;IF(D78="","missing move_reason; ","")&amp;IF(I78="","missing branch_id; ","")&amp;IF(L78="","missing first_name; ","")&amp;IF(M78="","missing last_name; ","")&amp;IF(U78="","missing status; ","")&amp;IF(AND(B78&lt;&gt;"",COUNTIF('الزبائن'!$A$6:$A$505,B78)=0),"source key not found; ","")&amp;IF((COUNTIFS('أرقام التواصل'!$A$6:$A$505,"proposed_name",'أرقام التواصل'!$B$6:$B$505,A78,'أرقام التواصل'!$I$6:$I$505,"TRUE")+COUNTIFS('أرقام التواصل'!$A$6:$A$505,"proposed_name",'أرقام التواصل'!$B$6:$B$505,A78,'أرقام التواصل'!$C$6:$C$505,1))=0,"missing primary contact in أرقام التواصل; ","")&amp;IF(AND(W78="TRUE",X78=""),"duplicate_type required when duplicate_flag TRUE; ","")))))</x:f>
      </x:c>
    </x:row>
    <x:row r="79">
      <x:c r="A79" s="302"/>
      <x:c r="B79" s="252"/>
      <x:c r="C79" s="253"/>
      <x:c r="D79" s="253"/>
      <x:c r="E79" s="253"/>
      <x:c r="F79" s="252"/>
      <x:c r="G79" s="253"/>
      <x:c r="H79" s="272"/>
      <x:c r="I79" s="253"/>
      <x:c r="J79" s="253"/>
      <x:c r="K79" s="253"/>
      <x:c r="L79" s="253"/>
      <x:c r="M79" s="253"/>
      <x:c r="N79" s="253"/>
      <x:c r="O79" s="253" t="str">
        <x:f>IF(TRIM(L79&amp;" "&amp;M79&amp;IF(N79&lt;&gt;""," ("&amp;N79&amp;")",""))="","",TRIM(L79&amp;" "&amp;M79&amp;IF(N79&lt;&gt;""," ("&amp;N79&amp;")","")))</x:f>
      </x:c>
      <x:c r="P79" s="253"/>
      <x:c r="Q79" s="252"/>
      <x:c r="R79" s="253"/>
      <x:c r="S79" s="253"/>
      <x:c r="T79" s="253"/>
      <x:c r="U79" s="253"/>
      <x:c r="V79" s="253"/>
      <x:c r="W79" s="253"/>
      <x:c r="X79" s="253"/>
      <x:c r="Y79" s="252"/>
      <x:c r="Z79" s="252"/>
      <x:c r="AA79" s="253"/>
      <x:c r="AB79" s="253" t="str">
        <x:f>IF(B79="","",IFERROR(INDEX('الزبائن'!$BA$6:$BA$505,MATCH(B79,'الزبائن'!$A$6:$A$505,0)),"source key not found"))</x:f>
      </x:c>
      <x:c r="AC79" s="253" t="str">
        <x:f>IF(B79="","",IFERROR(INDEX('الزبائن'!$BB$6:$BB$505,MATCH(B79,'الزبائن'!$A$6:$A$505,0)),"source key not found"))</x:f>
      </x:c>
      <x:c r="AD79" s="253" t="str">
        <x:f>IF(AND(A79="",C79="",D79="",I79="",L79="",M79=""),"",IF(C79="skip","SKIP",IF(OR(A79="",C79="",D79="",I79="",L79="",M79="",U79="",COUNTIF($A$6:$A$505,A79)&gt;1,AND(B79&lt;&gt;"",COUNTIF('الزبائن'!$A$6:$A$505,B79)=0),(COUNTIFS('أرقام التواصل'!$A$6:$A$505,"proposed_name",'أرقام التواصل'!$B$6:$B$505,A79,'أرقام التواصل'!$I$6:$I$505,"TRUE")+COUNTIFS('أرقام التواصل'!$A$6:$A$505,"proposed_name",'أرقام التواصل'!$B$6:$B$505,A79,'أرقام التواصل'!$C$6:$C$505,1))=0,AND(W79="TRUE",X79="")),"REVIEW","READY")))</x:f>
      </x:c>
      <x:c r="AE79" s="255" t="str">
        <x:f>IF(AD79="","",IF(AD79="READY","",IF(AD79="SKIP","Skipped by candidate_import_action",TRIM(IF(A79="","missing proposed_name_key; ","")&amp;IF(AND(A79&lt;&gt;"",COUNTIF($A$6:$A$505,A79)&gt;1),"duplicate proposed_name_key; ","")&amp;IF(C79="","missing candidate_import_action; ","")&amp;IF(D79="","missing move_reason; ","")&amp;IF(I79="","missing branch_id; ","")&amp;IF(L79="","missing first_name; ","")&amp;IF(M79="","missing last_name; ","")&amp;IF(U79="","missing status; ","")&amp;IF(AND(B79&lt;&gt;"",COUNTIF('الزبائن'!$A$6:$A$505,B79)=0),"source key not found; ","")&amp;IF((COUNTIFS('أرقام التواصل'!$A$6:$A$505,"proposed_name",'أرقام التواصل'!$B$6:$B$505,A79,'أرقام التواصل'!$I$6:$I$505,"TRUE")+COUNTIFS('أرقام التواصل'!$A$6:$A$505,"proposed_name",'أرقام التواصل'!$B$6:$B$505,A79,'أرقام التواصل'!$C$6:$C$505,1))=0,"missing primary contact in أرقام التواصل; ","")&amp;IF(AND(W79="TRUE",X79=""),"duplicate_type required when duplicate_flag TRUE; ","")))))</x:f>
      </x:c>
    </x:row>
    <x:row r="80">
      <x:c r="A80" s="302"/>
      <x:c r="B80" s="252"/>
      <x:c r="C80" s="253"/>
      <x:c r="D80" s="253"/>
      <x:c r="E80" s="253"/>
      <x:c r="F80" s="252"/>
      <x:c r="G80" s="253"/>
      <x:c r="H80" s="272"/>
      <x:c r="I80" s="253"/>
      <x:c r="J80" s="253"/>
      <x:c r="K80" s="253"/>
      <x:c r="L80" s="253"/>
      <x:c r="M80" s="253"/>
      <x:c r="N80" s="253"/>
      <x:c r="O80" s="253" t="str">
        <x:f>IF(TRIM(L80&amp;" "&amp;M80&amp;IF(N80&lt;&gt;""," ("&amp;N80&amp;")",""))="","",TRIM(L80&amp;" "&amp;M80&amp;IF(N80&lt;&gt;""," ("&amp;N80&amp;")","")))</x:f>
      </x:c>
      <x:c r="P80" s="253"/>
      <x:c r="Q80" s="252"/>
      <x:c r="R80" s="253"/>
      <x:c r="S80" s="253"/>
      <x:c r="T80" s="253"/>
      <x:c r="U80" s="253"/>
      <x:c r="V80" s="253"/>
      <x:c r="W80" s="253"/>
      <x:c r="X80" s="253"/>
      <x:c r="Y80" s="252"/>
      <x:c r="Z80" s="252"/>
      <x:c r="AA80" s="253"/>
      <x:c r="AB80" s="253" t="str">
        <x:f>IF(B80="","",IFERROR(INDEX('الزبائن'!$BA$6:$BA$505,MATCH(B80,'الزبائن'!$A$6:$A$505,0)),"source key not found"))</x:f>
      </x:c>
      <x:c r="AC80" s="253" t="str">
        <x:f>IF(B80="","",IFERROR(INDEX('الزبائن'!$BB$6:$BB$505,MATCH(B80,'الزبائن'!$A$6:$A$505,0)),"source key not found"))</x:f>
      </x:c>
      <x:c r="AD80" s="253" t="str">
        <x:f>IF(AND(A80="",C80="",D80="",I80="",L80="",M80=""),"",IF(C80="skip","SKIP",IF(OR(A80="",C80="",D80="",I80="",L80="",M80="",U80="",COUNTIF($A$6:$A$505,A80)&gt;1,AND(B80&lt;&gt;"",COUNTIF('الزبائن'!$A$6:$A$505,B80)=0),(COUNTIFS('أرقام التواصل'!$A$6:$A$505,"proposed_name",'أرقام التواصل'!$B$6:$B$505,A80,'أرقام التواصل'!$I$6:$I$505,"TRUE")+COUNTIFS('أرقام التواصل'!$A$6:$A$505,"proposed_name",'أرقام التواصل'!$B$6:$B$505,A80,'أرقام التواصل'!$C$6:$C$505,1))=0,AND(W80="TRUE",X80="")),"REVIEW","READY")))</x:f>
      </x:c>
      <x:c r="AE80" s="255" t="str">
        <x:f>IF(AD80="","",IF(AD80="READY","",IF(AD80="SKIP","Skipped by candidate_import_action",TRIM(IF(A80="","missing proposed_name_key; ","")&amp;IF(AND(A80&lt;&gt;"",COUNTIF($A$6:$A$505,A80)&gt;1),"duplicate proposed_name_key; ","")&amp;IF(C80="","missing candidate_import_action; ","")&amp;IF(D80="","missing move_reason; ","")&amp;IF(I80="","missing branch_id; ","")&amp;IF(L80="","missing first_name; ","")&amp;IF(M80="","missing last_name; ","")&amp;IF(U80="","missing status; ","")&amp;IF(AND(B80&lt;&gt;"",COUNTIF('الزبائن'!$A$6:$A$505,B80)=0),"source key not found; ","")&amp;IF((COUNTIFS('أرقام التواصل'!$A$6:$A$505,"proposed_name",'أرقام التواصل'!$B$6:$B$505,A80,'أرقام التواصل'!$I$6:$I$505,"TRUE")+COUNTIFS('أرقام التواصل'!$A$6:$A$505,"proposed_name",'أرقام التواصل'!$B$6:$B$505,A80,'أرقام التواصل'!$C$6:$C$505,1))=0,"missing primary contact in أرقام التواصل; ","")&amp;IF(AND(W80="TRUE",X80=""),"duplicate_type required when duplicate_flag TRUE; ","")))))</x:f>
      </x:c>
    </x:row>
    <x:row r="81">
      <x:c r="A81" s="302"/>
      <x:c r="B81" s="252"/>
      <x:c r="C81" s="253"/>
      <x:c r="D81" s="253"/>
      <x:c r="E81" s="253"/>
      <x:c r="F81" s="252"/>
      <x:c r="G81" s="253"/>
      <x:c r="H81" s="272"/>
      <x:c r="I81" s="253"/>
      <x:c r="J81" s="253"/>
      <x:c r="K81" s="253"/>
      <x:c r="L81" s="253"/>
      <x:c r="M81" s="253"/>
      <x:c r="N81" s="253"/>
      <x:c r="O81" s="253" t="str">
        <x:f>IF(TRIM(L81&amp;" "&amp;M81&amp;IF(N81&lt;&gt;""," ("&amp;N81&amp;")",""))="","",TRIM(L81&amp;" "&amp;M81&amp;IF(N81&lt;&gt;""," ("&amp;N81&amp;")","")))</x:f>
      </x:c>
      <x:c r="P81" s="253"/>
      <x:c r="Q81" s="252"/>
      <x:c r="R81" s="253"/>
      <x:c r="S81" s="253"/>
      <x:c r="T81" s="253"/>
      <x:c r="U81" s="253"/>
      <x:c r="V81" s="253"/>
      <x:c r="W81" s="253"/>
      <x:c r="X81" s="253"/>
      <x:c r="Y81" s="252"/>
      <x:c r="Z81" s="252"/>
      <x:c r="AA81" s="253"/>
      <x:c r="AB81" s="253" t="str">
        <x:f>IF(B81="","",IFERROR(INDEX('الزبائن'!$BA$6:$BA$505,MATCH(B81,'الزبائن'!$A$6:$A$505,0)),"source key not found"))</x:f>
      </x:c>
      <x:c r="AC81" s="253" t="str">
        <x:f>IF(B81="","",IFERROR(INDEX('الزبائن'!$BB$6:$BB$505,MATCH(B81,'الزبائن'!$A$6:$A$505,0)),"source key not found"))</x:f>
      </x:c>
      <x:c r="AD81" s="253" t="str">
        <x:f>IF(AND(A81="",C81="",D81="",I81="",L81="",M81=""),"",IF(C81="skip","SKIP",IF(OR(A81="",C81="",D81="",I81="",L81="",M81="",U81="",COUNTIF($A$6:$A$505,A81)&gt;1,AND(B81&lt;&gt;"",COUNTIF('الزبائن'!$A$6:$A$505,B81)=0),(COUNTIFS('أرقام التواصل'!$A$6:$A$505,"proposed_name",'أرقام التواصل'!$B$6:$B$505,A81,'أرقام التواصل'!$I$6:$I$505,"TRUE")+COUNTIFS('أرقام التواصل'!$A$6:$A$505,"proposed_name",'أرقام التواصل'!$B$6:$B$505,A81,'أرقام التواصل'!$C$6:$C$505,1))=0,AND(W81="TRUE",X81="")),"REVIEW","READY")))</x:f>
      </x:c>
      <x:c r="AE81" s="255" t="str">
        <x:f>IF(AD81="","",IF(AD81="READY","",IF(AD81="SKIP","Skipped by candidate_import_action",TRIM(IF(A81="","missing proposed_name_key; ","")&amp;IF(AND(A81&lt;&gt;"",COUNTIF($A$6:$A$505,A81)&gt;1),"duplicate proposed_name_key; ","")&amp;IF(C81="","missing candidate_import_action; ","")&amp;IF(D81="","missing move_reason; ","")&amp;IF(I81="","missing branch_id; ","")&amp;IF(L81="","missing first_name; ","")&amp;IF(M81="","missing last_name; ","")&amp;IF(U81="","missing status; ","")&amp;IF(AND(B81&lt;&gt;"",COUNTIF('الزبائن'!$A$6:$A$505,B81)=0),"source key not found; ","")&amp;IF((COUNTIFS('أرقام التواصل'!$A$6:$A$505,"proposed_name",'أرقام التواصل'!$B$6:$B$505,A81,'أرقام التواصل'!$I$6:$I$505,"TRUE")+COUNTIFS('أرقام التواصل'!$A$6:$A$505,"proposed_name",'أرقام التواصل'!$B$6:$B$505,A81,'أرقام التواصل'!$C$6:$C$505,1))=0,"missing primary contact in أرقام التواصل; ","")&amp;IF(AND(W81="TRUE",X81=""),"duplicate_type required when duplicate_flag TRUE; ","")))))</x:f>
      </x:c>
    </x:row>
    <x:row r="82">
      <x:c r="A82" s="302"/>
      <x:c r="B82" s="252"/>
      <x:c r="C82" s="253"/>
      <x:c r="D82" s="253"/>
      <x:c r="E82" s="253"/>
      <x:c r="F82" s="252"/>
      <x:c r="G82" s="253"/>
      <x:c r="H82" s="272"/>
      <x:c r="I82" s="253"/>
      <x:c r="J82" s="253"/>
      <x:c r="K82" s="253"/>
      <x:c r="L82" s="253"/>
      <x:c r="M82" s="253"/>
      <x:c r="N82" s="253"/>
      <x:c r="O82" s="253" t="str">
        <x:f>IF(TRIM(L82&amp;" "&amp;M82&amp;IF(N82&lt;&gt;""," ("&amp;N82&amp;")",""))="","",TRIM(L82&amp;" "&amp;M82&amp;IF(N82&lt;&gt;""," ("&amp;N82&amp;")","")))</x:f>
      </x:c>
      <x:c r="P82" s="253"/>
      <x:c r="Q82" s="252"/>
      <x:c r="R82" s="253"/>
      <x:c r="S82" s="253"/>
      <x:c r="T82" s="253"/>
      <x:c r="U82" s="253"/>
      <x:c r="V82" s="253"/>
      <x:c r="W82" s="253"/>
      <x:c r="X82" s="253"/>
      <x:c r="Y82" s="252"/>
      <x:c r="Z82" s="252"/>
      <x:c r="AA82" s="253"/>
      <x:c r="AB82" s="253" t="str">
        <x:f>IF(B82="","",IFERROR(INDEX('الزبائن'!$BA$6:$BA$505,MATCH(B82,'الزبائن'!$A$6:$A$505,0)),"source key not found"))</x:f>
      </x:c>
      <x:c r="AC82" s="253" t="str">
        <x:f>IF(B82="","",IFERROR(INDEX('الزبائن'!$BB$6:$BB$505,MATCH(B82,'الزبائن'!$A$6:$A$505,0)),"source key not found"))</x:f>
      </x:c>
      <x:c r="AD82" s="253" t="str">
        <x:f>IF(AND(A82="",C82="",D82="",I82="",L82="",M82=""),"",IF(C82="skip","SKIP",IF(OR(A82="",C82="",D82="",I82="",L82="",M82="",U82="",COUNTIF($A$6:$A$505,A82)&gt;1,AND(B82&lt;&gt;"",COUNTIF('الزبائن'!$A$6:$A$505,B82)=0),(COUNTIFS('أرقام التواصل'!$A$6:$A$505,"proposed_name",'أرقام التواصل'!$B$6:$B$505,A82,'أرقام التواصل'!$I$6:$I$505,"TRUE")+COUNTIFS('أرقام التواصل'!$A$6:$A$505,"proposed_name",'أرقام التواصل'!$B$6:$B$505,A82,'أرقام التواصل'!$C$6:$C$505,1))=0,AND(W82="TRUE",X82="")),"REVIEW","READY")))</x:f>
      </x:c>
      <x:c r="AE82" s="255" t="str">
        <x:f>IF(AD82="","",IF(AD82="READY","",IF(AD82="SKIP","Skipped by candidate_import_action",TRIM(IF(A82="","missing proposed_name_key; ","")&amp;IF(AND(A82&lt;&gt;"",COUNTIF($A$6:$A$505,A82)&gt;1),"duplicate proposed_name_key; ","")&amp;IF(C82="","missing candidate_import_action; ","")&amp;IF(D82="","missing move_reason; ","")&amp;IF(I82="","missing branch_id; ","")&amp;IF(L82="","missing first_name; ","")&amp;IF(M82="","missing last_name; ","")&amp;IF(U82="","missing status; ","")&amp;IF(AND(B82&lt;&gt;"",COUNTIF('الزبائن'!$A$6:$A$505,B82)=0),"source key not found; ","")&amp;IF((COUNTIFS('أرقام التواصل'!$A$6:$A$505,"proposed_name",'أرقام التواصل'!$B$6:$B$505,A82,'أرقام التواصل'!$I$6:$I$505,"TRUE")+COUNTIFS('أرقام التواصل'!$A$6:$A$505,"proposed_name",'أرقام التواصل'!$B$6:$B$505,A82,'أرقام التواصل'!$C$6:$C$505,1))=0,"missing primary contact in أرقام التواصل; ","")&amp;IF(AND(W82="TRUE",X82=""),"duplicate_type required when duplicate_flag TRUE; ","")))))</x:f>
      </x:c>
    </x:row>
    <x:row r="83">
      <x:c r="A83" s="302"/>
      <x:c r="B83" s="252"/>
      <x:c r="C83" s="253"/>
      <x:c r="D83" s="253"/>
      <x:c r="E83" s="253"/>
      <x:c r="F83" s="252"/>
      <x:c r="G83" s="253"/>
      <x:c r="H83" s="272"/>
      <x:c r="I83" s="253"/>
      <x:c r="J83" s="253"/>
      <x:c r="K83" s="253"/>
      <x:c r="L83" s="253"/>
      <x:c r="M83" s="253"/>
      <x:c r="N83" s="253"/>
      <x:c r="O83" s="253" t="str">
        <x:f>IF(TRIM(L83&amp;" "&amp;M83&amp;IF(N83&lt;&gt;""," ("&amp;N83&amp;")",""))="","",TRIM(L83&amp;" "&amp;M83&amp;IF(N83&lt;&gt;""," ("&amp;N83&amp;")","")))</x:f>
      </x:c>
      <x:c r="P83" s="253"/>
      <x:c r="Q83" s="252"/>
      <x:c r="R83" s="253"/>
      <x:c r="S83" s="253"/>
      <x:c r="T83" s="253"/>
      <x:c r="U83" s="253"/>
      <x:c r="V83" s="253"/>
      <x:c r="W83" s="253"/>
      <x:c r="X83" s="253"/>
      <x:c r="Y83" s="252"/>
      <x:c r="Z83" s="252"/>
      <x:c r="AA83" s="253"/>
      <x:c r="AB83" s="253" t="str">
        <x:f>IF(B83="","",IFERROR(INDEX('الزبائن'!$BA$6:$BA$505,MATCH(B83,'الزبائن'!$A$6:$A$505,0)),"source key not found"))</x:f>
      </x:c>
      <x:c r="AC83" s="253" t="str">
        <x:f>IF(B83="","",IFERROR(INDEX('الزبائن'!$BB$6:$BB$505,MATCH(B83,'الزبائن'!$A$6:$A$505,0)),"source key not found"))</x:f>
      </x:c>
      <x:c r="AD83" s="253" t="str">
        <x:f>IF(AND(A83="",C83="",D83="",I83="",L83="",M83=""),"",IF(C83="skip","SKIP",IF(OR(A83="",C83="",D83="",I83="",L83="",M83="",U83="",COUNTIF($A$6:$A$505,A83)&gt;1,AND(B83&lt;&gt;"",COUNTIF('الزبائن'!$A$6:$A$505,B83)=0),(COUNTIFS('أرقام التواصل'!$A$6:$A$505,"proposed_name",'أرقام التواصل'!$B$6:$B$505,A83,'أرقام التواصل'!$I$6:$I$505,"TRUE")+COUNTIFS('أرقام التواصل'!$A$6:$A$505,"proposed_name",'أرقام التواصل'!$B$6:$B$505,A83,'أرقام التواصل'!$C$6:$C$505,1))=0,AND(W83="TRUE",X83="")),"REVIEW","READY")))</x:f>
      </x:c>
      <x:c r="AE83" s="255" t="str">
        <x:f>IF(AD83="","",IF(AD83="READY","",IF(AD83="SKIP","Skipped by candidate_import_action",TRIM(IF(A83="","missing proposed_name_key; ","")&amp;IF(AND(A83&lt;&gt;"",COUNTIF($A$6:$A$505,A83)&gt;1),"duplicate proposed_name_key; ","")&amp;IF(C83="","missing candidate_import_action; ","")&amp;IF(D83="","missing move_reason; ","")&amp;IF(I83="","missing branch_id; ","")&amp;IF(L83="","missing first_name; ","")&amp;IF(M83="","missing last_name; ","")&amp;IF(U83="","missing status; ","")&amp;IF(AND(B83&lt;&gt;"",COUNTIF('الزبائن'!$A$6:$A$505,B83)=0),"source key not found; ","")&amp;IF((COUNTIFS('أرقام التواصل'!$A$6:$A$505,"proposed_name",'أرقام التواصل'!$B$6:$B$505,A83,'أرقام التواصل'!$I$6:$I$505,"TRUE")+COUNTIFS('أرقام التواصل'!$A$6:$A$505,"proposed_name",'أرقام التواصل'!$B$6:$B$505,A83,'أرقام التواصل'!$C$6:$C$505,1))=0,"missing primary contact in أرقام التواصل; ","")&amp;IF(AND(W83="TRUE",X83=""),"duplicate_type required when duplicate_flag TRUE; ","")))))</x:f>
      </x:c>
    </x:row>
    <x:row r="84">
      <x:c r="A84" s="302"/>
      <x:c r="B84" s="252"/>
      <x:c r="C84" s="253"/>
      <x:c r="D84" s="253"/>
      <x:c r="E84" s="253"/>
      <x:c r="F84" s="252"/>
      <x:c r="G84" s="253"/>
      <x:c r="H84" s="272"/>
      <x:c r="I84" s="253"/>
      <x:c r="J84" s="253"/>
      <x:c r="K84" s="253"/>
      <x:c r="L84" s="253"/>
      <x:c r="M84" s="253"/>
      <x:c r="N84" s="253"/>
      <x:c r="O84" s="253" t="str">
        <x:f>IF(TRIM(L84&amp;" "&amp;M84&amp;IF(N84&lt;&gt;""," ("&amp;N84&amp;")",""))="","",TRIM(L84&amp;" "&amp;M84&amp;IF(N84&lt;&gt;""," ("&amp;N84&amp;")","")))</x:f>
      </x:c>
      <x:c r="P84" s="253"/>
      <x:c r="Q84" s="252"/>
      <x:c r="R84" s="253"/>
      <x:c r="S84" s="253"/>
      <x:c r="T84" s="253"/>
      <x:c r="U84" s="253"/>
      <x:c r="V84" s="253"/>
      <x:c r="W84" s="253"/>
      <x:c r="X84" s="253"/>
      <x:c r="Y84" s="252"/>
      <x:c r="Z84" s="252"/>
      <x:c r="AA84" s="253"/>
      <x:c r="AB84" s="253" t="str">
        <x:f>IF(B84="","",IFERROR(INDEX('الزبائن'!$BA$6:$BA$505,MATCH(B84,'الزبائن'!$A$6:$A$505,0)),"source key not found"))</x:f>
      </x:c>
      <x:c r="AC84" s="253" t="str">
        <x:f>IF(B84="","",IFERROR(INDEX('الزبائن'!$BB$6:$BB$505,MATCH(B84,'الزبائن'!$A$6:$A$505,0)),"source key not found"))</x:f>
      </x:c>
      <x:c r="AD84" s="253" t="str">
        <x:f>IF(AND(A84="",C84="",D84="",I84="",L84="",M84=""),"",IF(C84="skip","SKIP",IF(OR(A84="",C84="",D84="",I84="",L84="",M84="",U84="",COUNTIF($A$6:$A$505,A84)&gt;1,AND(B84&lt;&gt;"",COUNTIF('الزبائن'!$A$6:$A$505,B84)=0),(COUNTIFS('أرقام التواصل'!$A$6:$A$505,"proposed_name",'أرقام التواصل'!$B$6:$B$505,A84,'أرقام التواصل'!$I$6:$I$505,"TRUE")+COUNTIFS('أرقام التواصل'!$A$6:$A$505,"proposed_name",'أرقام التواصل'!$B$6:$B$505,A84,'أرقام التواصل'!$C$6:$C$505,1))=0,AND(W84="TRUE",X84="")),"REVIEW","READY")))</x:f>
      </x:c>
      <x:c r="AE84" s="255" t="str">
        <x:f>IF(AD84="","",IF(AD84="READY","",IF(AD84="SKIP","Skipped by candidate_import_action",TRIM(IF(A84="","missing proposed_name_key; ","")&amp;IF(AND(A84&lt;&gt;"",COUNTIF($A$6:$A$505,A84)&gt;1),"duplicate proposed_name_key; ","")&amp;IF(C84="","missing candidate_import_action; ","")&amp;IF(D84="","missing move_reason; ","")&amp;IF(I84="","missing branch_id; ","")&amp;IF(L84="","missing first_name; ","")&amp;IF(M84="","missing last_name; ","")&amp;IF(U84="","missing status; ","")&amp;IF(AND(B84&lt;&gt;"",COUNTIF('الزبائن'!$A$6:$A$505,B84)=0),"source key not found; ","")&amp;IF((COUNTIFS('أرقام التواصل'!$A$6:$A$505,"proposed_name",'أرقام التواصل'!$B$6:$B$505,A84,'أرقام التواصل'!$I$6:$I$505,"TRUE")+COUNTIFS('أرقام التواصل'!$A$6:$A$505,"proposed_name",'أرقام التواصل'!$B$6:$B$505,A84,'أرقام التواصل'!$C$6:$C$505,1))=0,"missing primary contact in أرقام التواصل; ","")&amp;IF(AND(W84="TRUE",X84=""),"duplicate_type required when duplicate_flag TRUE; ","")))))</x:f>
      </x:c>
    </x:row>
    <x:row r="85">
      <x:c r="A85" s="302"/>
      <x:c r="B85" s="252"/>
      <x:c r="C85" s="253"/>
      <x:c r="D85" s="253"/>
      <x:c r="E85" s="253"/>
      <x:c r="F85" s="252"/>
      <x:c r="G85" s="253"/>
      <x:c r="H85" s="272"/>
      <x:c r="I85" s="253"/>
      <x:c r="J85" s="253"/>
      <x:c r="K85" s="253"/>
      <x:c r="L85" s="253"/>
      <x:c r="M85" s="253"/>
      <x:c r="N85" s="253"/>
      <x:c r="O85" s="253" t="str">
        <x:f>IF(TRIM(L85&amp;" "&amp;M85&amp;IF(N85&lt;&gt;""," ("&amp;N85&amp;")",""))="","",TRIM(L85&amp;" "&amp;M85&amp;IF(N85&lt;&gt;""," ("&amp;N85&amp;")","")))</x:f>
      </x:c>
      <x:c r="P85" s="253"/>
      <x:c r="Q85" s="252"/>
      <x:c r="R85" s="253"/>
      <x:c r="S85" s="253"/>
      <x:c r="T85" s="253"/>
      <x:c r="U85" s="253"/>
      <x:c r="V85" s="253"/>
      <x:c r="W85" s="253"/>
      <x:c r="X85" s="253"/>
      <x:c r="Y85" s="252"/>
      <x:c r="Z85" s="252"/>
      <x:c r="AA85" s="253"/>
      <x:c r="AB85" s="253" t="str">
        <x:f>IF(B85="","",IFERROR(INDEX('الزبائن'!$BA$6:$BA$505,MATCH(B85,'الزبائن'!$A$6:$A$505,0)),"source key not found"))</x:f>
      </x:c>
      <x:c r="AC85" s="253" t="str">
        <x:f>IF(B85="","",IFERROR(INDEX('الزبائن'!$BB$6:$BB$505,MATCH(B85,'الزبائن'!$A$6:$A$505,0)),"source key not found"))</x:f>
      </x:c>
      <x:c r="AD85" s="253" t="str">
        <x:f>IF(AND(A85="",C85="",D85="",I85="",L85="",M85=""),"",IF(C85="skip","SKIP",IF(OR(A85="",C85="",D85="",I85="",L85="",M85="",U85="",COUNTIF($A$6:$A$505,A85)&gt;1,AND(B85&lt;&gt;"",COUNTIF('الزبائن'!$A$6:$A$505,B85)=0),(COUNTIFS('أرقام التواصل'!$A$6:$A$505,"proposed_name",'أرقام التواصل'!$B$6:$B$505,A85,'أرقام التواصل'!$I$6:$I$505,"TRUE")+COUNTIFS('أرقام التواصل'!$A$6:$A$505,"proposed_name",'أرقام التواصل'!$B$6:$B$505,A85,'أرقام التواصل'!$C$6:$C$505,1))=0,AND(W85="TRUE",X85="")),"REVIEW","READY")))</x:f>
      </x:c>
      <x:c r="AE85" s="255" t="str">
        <x:f>IF(AD85="","",IF(AD85="READY","",IF(AD85="SKIP","Skipped by candidate_import_action",TRIM(IF(A85="","missing proposed_name_key; ","")&amp;IF(AND(A85&lt;&gt;"",COUNTIF($A$6:$A$505,A85)&gt;1),"duplicate proposed_name_key; ","")&amp;IF(C85="","missing candidate_import_action; ","")&amp;IF(D85="","missing move_reason; ","")&amp;IF(I85="","missing branch_id; ","")&amp;IF(L85="","missing first_name; ","")&amp;IF(M85="","missing last_name; ","")&amp;IF(U85="","missing status; ","")&amp;IF(AND(B85&lt;&gt;"",COUNTIF('الزبائن'!$A$6:$A$505,B85)=0),"source key not found; ","")&amp;IF((COUNTIFS('أرقام التواصل'!$A$6:$A$505,"proposed_name",'أرقام التواصل'!$B$6:$B$505,A85,'أرقام التواصل'!$I$6:$I$505,"TRUE")+COUNTIFS('أرقام التواصل'!$A$6:$A$505,"proposed_name",'أرقام التواصل'!$B$6:$B$505,A85,'أرقام التواصل'!$C$6:$C$505,1))=0,"missing primary contact in أرقام التواصل; ","")&amp;IF(AND(W85="TRUE",X85=""),"duplicate_type required when duplicate_flag TRUE; ","")))))</x:f>
      </x:c>
    </x:row>
    <x:row r="86">
      <x:c r="A86" s="302"/>
      <x:c r="B86" s="252"/>
      <x:c r="C86" s="253"/>
      <x:c r="D86" s="253"/>
      <x:c r="E86" s="253"/>
      <x:c r="F86" s="252"/>
      <x:c r="G86" s="253"/>
      <x:c r="H86" s="272"/>
      <x:c r="I86" s="253"/>
      <x:c r="J86" s="253"/>
      <x:c r="K86" s="253"/>
      <x:c r="L86" s="253"/>
      <x:c r="M86" s="253"/>
      <x:c r="N86" s="253"/>
      <x:c r="O86" s="253" t="str">
        <x:f>IF(TRIM(L86&amp;" "&amp;M86&amp;IF(N86&lt;&gt;""," ("&amp;N86&amp;")",""))="","",TRIM(L86&amp;" "&amp;M86&amp;IF(N86&lt;&gt;""," ("&amp;N86&amp;")","")))</x:f>
      </x:c>
      <x:c r="P86" s="253"/>
      <x:c r="Q86" s="252"/>
      <x:c r="R86" s="253"/>
      <x:c r="S86" s="253"/>
      <x:c r="T86" s="253"/>
      <x:c r="U86" s="253"/>
      <x:c r="V86" s="253"/>
      <x:c r="W86" s="253"/>
      <x:c r="X86" s="253"/>
      <x:c r="Y86" s="252"/>
      <x:c r="Z86" s="252"/>
      <x:c r="AA86" s="253"/>
      <x:c r="AB86" s="253" t="str">
        <x:f>IF(B86="","",IFERROR(INDEX('الزبائن'!$BA$6:$BA$505,MATCH(B86,'الزبائن'!$A$6:$A$505,0)),"source key not found"))</x:f>
      </x:c>
      <x:c r="AC86" s="253" t="str">
        <x:f>IF(B86="","",IFERROR(INDEX('الزبائن'!$BB$6:$BB$505,MATCH(B86,'الزبائن'!$A$6:$A$505,0)),"source key not found"))</x:f>
      </x:c>
      <x:c r="AD86" s="253" t="str">
        <x:f>IF(AND(A86="",C86="",D86="",I86="",L86="",M86=""),"",IF(C86="skip","SKIP",IF(OR(A86="",C86="",D86="",I86="",L86="",M86="",U86="",COUNTIF($A$6:$A$505,A86)&gt;1,AND(B86&lt;&gt;"",COUNTIF('الزبائن'!$A$6:$A$505,B86)=0),(COUNTIFS('أرقام التواصل'!$A$6:$A$505,"proposed_name",'أرقام التواصل'!$B$6:$B$505,A86,'أرقام التواصل'!$I$6:$I$505,"TRUE")+COUNTIFS('أرقام التواصل'!$A$6:$A$505,"proposed_name",'أرقام التواصل'!$B$6:$B$505,A86,'أرقام التواصل'!$C$6:$C$505,1))=0,AND(W86="TRUE",X86="")),"REVIEW","READY")))</x:f>
      </x:c>
      <x:c r="AE86" s="255" t="str">
        <x:f>IF(AD86="","",IF(AD86="READY","",IF(AD86="SKIP","Skipped by candidate_import_action",TRIM(IF(A86="","missing proposed_name_key; ","")&amp;IF(AND(A86&lt;&gt;"",COUNTIF($A$6:$A$505,A86)&gt;1),"duplicate proposed_name_key; ","")&amp;IF(C86="","missing candidate_import_action; ","")&amp;IF(D86="","missing move_reason; ","")&amp;IF(I86="","missing branch_id; ","")&amp;IF(L86="","missing first_name; ","")&amp;IF(M86="","missing last_name; ","")&amp;IF(U86="","missing status; ","")&amp;IF(AND(B86&lt;&gt;"",COUNTIF('الزبائن'!$A$6:$A$505,B86)=0),"source key not found; ","")&amp;IF((COUNTIFS('أرقام التواصل'!$A$6:$A$505,"proposed_name",'أرقام التواصل'!$B$6:$B$505,A86,'أرقام التواصل'!$I$6:$I$505,"TRUE")+COUNTIFS('أرقام التواصل'!$A$6:$A$505,"proposed_name",'أرقام التواصل'!$B$6:$B$505,A86,'أرقام التواصل'!$C$6:$C$505,1))=0,"missing primary contact in أرقام التواصل; ","")&amp;IF(AND(W86="TRUE",X86=""),"duplicate_type required when duplicate_flag TRUE; ","")))))</x:f>
      </x:c>
    </x:row>
    <x:row r="87">
      <x:c r="A87" s="302"/>
      <x:c r="B87" s="252"/>
      <x:c r="C87" s="253"/>
      <x:c r="D87" s="253"/>
      <x:c r="E87" s="253"/>
      <x:c r="F87" s="252"/>
      <x:c r="G87" s="253"/>
      <x:c r="H87" s="272"/>
      <x:c r="I87" s="253"/>
      <x:c r="J87" s="253"/>
      <x:c r="K87" s="253"/>
      <x:c r="L87" s="253"/>
      <x:c r="M87" s="253"/>
      <x:c r="N87" s="253"/>
      <x:c r="O87" s="253" t="str">
        <x:f>IF(TRIM(L87&amp;" "&amp;M87&amp;IF(N87&lt;&gt;""," ("&amp;N87&amp;")",""))="","",TRIM(L87&amp;" "&amp;M87&amp;IF(N87&lt;&gt;""," ("&amp;N87&amp;")","")))</x:f>
      </x:c>
      <x:c r="P87" s="253"/>
      <x:c r="Q87" s="252"/>
      <x:c r="R87" s="253"/>
      <x:c r="S87" s="253"/>
      <x:c r="T87" s="253"/>
      <x:c r="U87" s="253"/>
      <x:c r="V87" s="253"/>
      <x:c r="W87" s="253"/>
      <x:c r="X87" s="253"/>
      <x:c r="Y87" s="252"/>
      <x:c r="Z87" s="252"/>
      <x:c r="AA87" s="253"/>
      <x:c r="AB87" s="253" t="str">
        <x:f>IF(B87="","",IFERROR(INDEX('الزبائن'!$BA$6:$BA$505,MATCH(B87,'الزبائن'!$A$6:$A$505,0)),"source key not found"))</x:f>
      </x:c>
      <x:c r="AC87" s="253" t="str">
        <x:f>IF(B87="","",IFERROR(INDEX('الزبائن'!$BB$6:$BB$505,MATCH(B87,'الزبائن'!$A$6:$A$505,0)),"source key not found"))</x:f>
      </x:c>
      <x:c r="AD87" s="253" t="str">
        <x:f>IF(AND(A87="",C87="",D87="",I87="",L87="",M87=""),"",IF(C87="skip","SKIP",IF(OR(A87="",C87="",D87="",I87="",L87="",M87="",U87="",COUNTIF($A$6:$A$505,A87)&gt;1,AND(B87&lt;&gt;"",COUNTIF('الزبائن'!$A$6:$A$505,B87)=0),(COUNTIFS('أرقام التواصل'!$A$6:$A$505,"proposed_name",'أرقام التواصل'!$B$6:$B$505,A87,'أرقام التواصل'!$I$6:$I$505,"TRUE")+COUNTIFS('أرقام التواصل'!$A$6:$A$505,"proposed_name",'أرقام التواصل'!$B$6:$B$505,A87,'أرقام التواصل'!$C$6:$C$505,1))=0,AND(W87="TRUE",X87="")),"REVIEW","READY")))</x:f>
      </x:c>
      <x:c r="AE87" s="255" t="str">
        <x:f>IF(AD87="","",IF(AD87="READY","",IF(AD87="SKIP","Skipped by candidate_import_action",TRIM(IF(A87="","missing proposed_name_key; ","")&amp;IF(AND(A87&lt;&gt;"",COUNTIF($A$6:$A$505,A87)&gt;1),"duplicate proposed_name_key; ","")&amp;IF(C87="","missing candidate_import_action; ","")&amp;IF(D87="","missing move_reason; ","")&amp;IF(I87="","missing branch_id; ","")&amp;IF(L87="","missing first_name; ","")&amp;IF(M87="","missing last_name; ","")&amp;IF(U87="","missing status; ","")&amp;IF(AND(B87&lt;&gt;"",COUNTIF('الزبائن'!$A$6:$A$505,B87)=0),"source key not found; ","")&amp;IF((COUNTIFS('أرقام التواصل'!$A$6:$A$505,"proposed_name",'أرقام التواصل'!$B$6:$B$505,A87,'أرقام التواصل'!$I$6:$I$505,"TRUE")+COUNTIFS('أرقام التواصل'!$A$6:$A$505,"proposed_name",'أرقام التواصل'!$B$6:$B$505,A87,'أرقام التواصل'!$C$6:$C$505,1))=0,"missing primary contact in أرقام التواصل; ","")&amp;IF(AND(W87="TRUE",X87=""),"duplicate_type required when duplicate_flag TRUE; ","")))))</x:f>
      </x:c>
    </x:row>
    <x:row r="88">
      <x:c r="A88" s="302"/>
      <x:c r="B88" s="252"/>
      <x:c r="C88" s="253"/>
      <x:c r="D88" s="253"/>
      <x:c r="E88" s="253"/>
      <x:c r="F88" s="252"/>
      <x:c r="G88" s="253"/>
      <x:c r="H88" s="272"/>
      <x:c r="I88" s="253"/>
      <x:c r="J88" s="253"/>
      <x:c r="K88" s="253"/>
      <x:c r="L88" s="253"/>
      <x:c r="M88" s="253"/>
      <x:c r="N88" s="253"/>
      <x:c r="O88" s="253" t="str">
        <x:f>IF(TRIM(L88&amp;" "&amp;M88&amp;IF(N88&lt;&gt;""," ("&amp;N88&amp;")",""))="","",TRIM(L88&amp;" "&amp;M88&amp;IF(N88&lt;&gt;""," ("&amp;N88&amp;")","")))</x:f>
      </x:c>
      <x:c r="P88" s="253"/>
      <x:c r="Q88" s="252"/>
      <x:c r="R88" s="253"/>
      <x:c r="S88" s="253"/>
      <x:c r="T88" s="253"/>
      <x:c r="U88" s="253"/>
      <x:c r="V88" s="253"/>
      <x:c r="W88" s="253"/>
      <x:c r="X88" s="253"/>
      <x:c r="Y88" s="252"/>
      <x:c r="Z88" s="252"/>
      <x:c r="AA88" s="253"/>
      <x:c r="AB88" s="253" t="str">
        <x:f>IF(B88="","",IFERROR(INDEX('الزبائن'!$BA$6:$BA$505,MATCH(B88,'الزبائن'!$A$6:$A$505,0)),"source key not found"))</x:f>
      </x:c>
      <x:c r="AC88" s="253" t="str">
        <x:f>IF(B88="","",IFERROR(INDEX('الزبائن'!$BB$6:$BB$505,MATCH(B88,'الزبائن'!$A$6:$A$505,0)),"source key not found"))</x:f>
      </x:c>
      <x:c r="AD88" s="253" t="str">
        <x:f>IF(AND(A88="",C88="",D88="",I88="",L88="",M88=""),"",IF(C88="skip","SKIP",IF(OR(A88="",C88="",D88="",I88="",L88="",M88="",U88="",COUNTIF($A$6:$A$505,A88)&gt;1,AND(B88&lt;&gt;"",COUNTIF('الزبائن'!$A$6:$A$505,B88)=0),(COUNTIFS('أرقام التواصل'!$A$6:$A$505,"proposed_name",'أرقام التواصل'!$B$6:$B$505,A88,'أرقام التواصل'!$I$6:$I$505,"TRUE")+COUNTIFS('أرقام التواصل'!$A$6:$A$505,"proposed_name",'أرقام التواصل'!$B$6:$B$505,A88,'أرقام التواصل'!$C$6:$C$505,1))=0,AND(W88="TRUE",X88="")),"REVIEW","READY")))</x:f>
      </x:c>
      <x:c r="AE88" s="255" t="str">
        <x:f>IF(AD88="","",IF(AD88="READY","",IF(AD88="SKIP","Skipped by candidate_import_action",TRIM(IF(A88="","missing proposed_name_key; ","")&amp;IF(AND(A88&lt;&gt;"",COUNTIF($A$6:$A$505,A88)&gt;1),"duplicate proposed_name_key; ","")&amp;IF(C88="","missing candidate_import_action; ","")&amp;IF(D88="","missing move_reason; ","")&amp;IF(I88="","missing branch_id; ","")&amp;IF(L88="","missing first_name; ","")&amp;IF(M88="","missing last_name; ","")&amp;IF(U88="","missing status; ","")&amp;IF(AND(B88&lt;&gt;"",COUNTIF('الزبائن'!$A$6:$A$505,B88)=0),"source key not found; ","")&amp;IF((COUNTIFS('أرقام التواصل'!$A$6:$A$505,"proposed_name",'أرقام التواصل'!$B$6:$B$505,A88,'أرقام التواصل'!$I$6:$I$505,"TRUE")+COUNTIFS('أرقام التواصل'!$A$6:$A$505,"proposed_name",'أرقام التواصل'!$B$6:$B$505,A88,'أرقام التواصل'!$C$6:$C$505,1))=0,"missing primary contact in أرقام التواصل; ","")&amp;IF(AND(W88="TRUE",X88=""),"duplicate_type required when duplicate_flag TRUE; ","")))))</x:f>
      </x:c>
    </x:row>
    <x:row r="89">
      <x:c r="A89" s="302"/>
      <x:c r="B89" s="252"/>
      <x:c r="C89" s="253"/>
      <x:c r="D89" s="253"/>
      <x:c r="E89" s="253"/>
      <x:c r="F89" s="252"/>
      <x:c r="G89" s="253"/>
      <x:c r="H89" s="272"/>
      <x:c r="I89" s="253"/>
      <x:c r="J89" s="253"/>
      <x:c r="K89" s="253"/>
      <x:c r="L89" s="253"/>
      <x:c r="M89" s="253"/>
      <x:c r="N89" s="253"/>
      <x:c r="O89" s="253" t="str">
        <x:f>IF(TRIM(L89&amp;" "&amp;M89&amp;IF(N89&lt;&gt;""," ("&amp;N89&amp;")",""))="","",TRIM(L89&amp;" "&amp;M89&amp;IF(N89&lt;&gt;""," ("&amp;N89&amp;")","")))</x:f>
      </x:c>
      <x:c r="P89" s="253"/>
      <x:c r="Q89" s="252"/>
      <x:c r="R89" s="253"/>
      <x:c r="S89" s="253"/>
      <x:c r="T89" s="253"/>
      <x:c r="U89" s="253"/>
      <x:c r="V89" s="253"/>
      <x:c r="W89" s="253"/>
      <x:c r="X89" s="253"/>
      <x:c r="Y89" s="252"/>
      <x:c r="Z89" s="252"/>
      <x:c r="AA89" s="253"/>
      <x:c r="AB89" s="253" t="str">
        <x:f>IF(B89="","",IFERROR(INDEX('الزبائن'!$BA$6:$BA$505,MATCH(B89,'الزبائن'!$A$6:$A$505,0)),"source key not found"))</x:f>
      </x:c>
      <x:c r="AC89" s="253" t="str">
        <x:f>IF(B89="","",IFERROR(INDEX('الزبائن'!$BB$6:$BB$505,MATCH(B89,'الزبائن'!$A$6:$A$505,0)),"source key not found"))</x:f>
      </x:c>
      <x:c r="AD89" s="253" t="str">
        <x:f>IF(AND(A89="",C89="",D89="",I89="",L89="",M89=""),"",IF(C89="skip","SKIP",IF(OR(A89="",C89="",D89="",I89="",L89="",M89="",U89="",COUNTIF($A$6:$A$505,A89)&gt;1,AND(B89&lt;&gt;"",COUNTIF('الزبائن'!$A$6:$A$505,B89)=0),(COUNTIFS('أرقام التواصل'!$A$6:$A$505,"proposed_name",'أرقام التواصل'!$B$6:$B$505,A89,'أرقام التواصل'!$I$6:$I$505,"TRUE")+COUNTIFS('أرقام التواصل'!$A$6:$A$505,"proposed_name",'أرقام التواصل'!$B$6:$B$505,A89,'أرقام التواصل'!$C$6:$C$505,1))=0,AND(W89="TRUE",X89="")),"REVIEW","READY")))</x:f>
      </x:c>
      <x:c r="AE89" s="255" t="str">
        <x:f>IF(AD89="","",IF(AD89="READY","",IF(AD89="SKIP","Skipped by candidate_import_action",TRIM(IF(A89="","missing proposed_name_key; ","")&amp;IF(AND(A89&lt;&gt;"",COUNTIF($A$6:$A$505,A89)&gt;1),"duplicate proposed_name_key; ","")&amp;IF(C89="","missing candidate_import_action; ","")&amp;IF(D89="","missing move_reason; ","")&amp;IF(I89="","missing branch_id; ","")&amp;IF(L89="","missing first_name; ","")&amp;IF(M89="","missing last_name; ","")&amp;IF(U89="","missing status; ","")&amp;IF(AND(B89&lt;&gt;"",COUNTIF('الزبائن'!$A$6:$A$505,B89)=0),"source key not found; ","")&amp;IF((COUNTIFS('أرقام التواصل'!$A$6:$A$505,"proposed_name",'أرقام التواصل'!$B$6:$B$505,A89,'أرقام التواصل'!$I$6:$I$505,"TRUE")+COUNTIFS('أرقام التواصل'!$A$6:$A$505,"proposed_name",'أرقام التواصل'!$B$6:$B$505,A89,'أرقام التواصل'!$C$6:$C$505,1))=0,"missing primary contact in أرقام التواصل; ","")&amp;IF(AND(W89="TRUE",X89=""),"duplicate_type required when duplicate_flag TRUE; ","")))))</x:f>
      </x:c>
    </x:row>
    <x:row r="90">
      <x:c r="A90" s="302"/>
      <x:c r="B90" s="252"/>
      <x:c r="C90" s="253"/>
      <x:c r="D90" s="253"/>
      <x:c r="E90" s="253"/>
      <x:c r="F90" s="252"/>
      <x:c r="G90" s="253"/>
      <x:c r="H90" s="272"/>
      <x:c r="I90" s="253"/>
      <x:c r="J90" s="253"/>
      <x:c r="K90" s="253"/>
      <x:c r="L90" s="253"/>
      <x:c r="M90" s="253"/>
      <x:c r="N90" s="253"/>
      <x:c r="O90" s="253" t="str">
        <x:f>IF(TRIM(L90&amp;" "&amp;M90&amp;IF(N90&lt;&gt;""," ("&amp;N90&amp;")",""))="","",TRIM(L90&amp;" "&amp;M90&amp;IF(N90&lt;&gt;""," ("&amp;N90&amp;")","")))</x:f>
      </x:c>
      <x:c r="P90" s="253"/>
      <x:c r="Q90" s="252"/>
      <x:c r="R90" s="253"/>
      <x:c r="S90" s="253"/>
      <x:c r="T90" s="253"/>
      <x:c r="U90" s="253"/>
      <x:c r="V90" s="253"/>
      <x:c r="W90" s="253"/>
      <x:c r="X90" s="253"/>
      <x:c r="Y90" s="252"/>
      <x:c r="Z90" s="252"/>
      <x:c r="AA90" s="253"/>
      <x:c r="AB90" s="253" t="str">
        <x:f>IF(B90="","",IFERROR(INDEX('الزبائن'!$BA$6:$BA$505,MATCH(B90,'الزبائن'!$A$6:$A$505,0)),"source key not found"))</x:f>
      </x:c>
      <x:c r="AC90" s="253" t="str">
        <x:f>IF(B90="","",IFERROR(INDEX('الزبائن'!$BB$6:$BB$505,MATCH(B90,'الزبائن'!$A$6:$A$505,0)),"source key not found"))</x:f>
      </x:c>
      <x:c r="AD90" s="253" t="str">
        <x:f>IF(AND(A90="",C90="",D90="",I90="",L90="",M90=""),"",IF(C90="skip","SKIP",IF(OR(A90="",C90="",D90="",I90="",L90="",M90="",U90="",COUNTIF($A$6:$A$505,A90)&gt;1,AND(B90&lt;&gt;"",COUNTIF('الزبائن'!$A$6:$A$505,B90)=0),(COUNTIFS('أرقام التواصل'!$A$6:$A$505,"proposed_name",'أرقام التواصل'!$B$6:$B$505,A90,'أرقام التواصل'!$I$6:$I$505,"TRUE")+COUNTIFS('أرقام التواصل'!$A$6:$A$505,"proposed_name",'أرقام التواصل'!$B$6:$B$505,A90,'أرقام التواصل'!$C$6:$C$505,1))=0,AND(W90="TRUE",X90="")),"REVIEW","READY")))</x:f>
      </x:c>
      <x:c r="AE90" s="255" t="str">
        <x:f>IF(AD90="","",IF(AD90="READY","",IF(AD90="SKIP","Skipped by candidate_import_action",TRIM(IF(A90="","missing proposed_name_key; ","")&amp;IF(AND(A90&lt;&gt;"",COUNTIF($A$6:$A$505,A90)&gt;1),"duplicate proposed_name_key; ","")&amp;IF(C90="","missing candidate_import_action; ","")&amp;IF(D90="","missing move_reason; ","")&amp;IF(I90="","missing branch_id; ","")&amp;IF(L90="","missing first_name; ","")&amp;IF(M90="","missing last_name; ","")&amp;IF(U90="","missing status; ","")&amp;IF(AND(B90&lt;&gt;"",COUNTIF('الزبائن'!$A$6:$A$505,B90)=0),"source key not found; ","")&amp;IF((COUNTIFS('أرقام التواصل'!$A$6:$A$505,"proposed_name",'أرقام التواصل'!$B$6:$B$505,A90,'أرقام التواصل'!$I$6:$I$505,"TRUE")+COUNTIFS('أرقام التواصل'!$A$6:$A$505,"proposed_name",'أرقام التواصل'!$B$6:$B$505,A90,'أرقام التواصل'!$C$6:$C$505,1))=0,"missing primary contact in أرقام التواصل; ","")&amp;IF(AND(W90="TRUE",X90=""),"duplicate_type required when duplicate_flag TRUE; ","")))))</x:f>
      </x:c>
    </x:row>
    <x:row r="91">
      <x:c r="A91" s="302"/>
      <x:c r="B91" s="252"/>
      <x:c r="C91" s="253"/>
      <x:c r="D91" s="253"/>
      <x:c r="E91" s="253"/>
      <x:c r="F91" s="252"/>
      <x:c r="G91" s="253"/>
      <x:c r="H91" s="272"/>
      <x:c r="I91" s="253"/>
      <x:c r="J91" s="253"/>
      <x:c r="K91" s="253"/>
      <x:c r="L91" s="253"/>
      <x:c r="M91" s="253"/>
      <x:c r="N91" s="253"/>
      <x:c r="O91" s="253" t="str">
        <x:f>IF(TRIM(L91&amp;" "&amp;M91&amp;IF(N91&lt;&gt;""," ("&amp;N91&amp;")",""))="","",TRIM(L91&amp;" "&amp;M91&amp;IF(N91&lt;&gt;""," ("&amp;N91&amp;")","")))</x:f>
      </x:c>
      <x:c r="P91" s="253"/>
      <x:c r="Q91" s="252"/>
      <x:c r="R91" s="253"/>
      <x:c r="S91" s="253"/>
      <x:c r="T91" s="253"/>
      <x:c r="U91" s="253"/>
      <x:c r="V91" s="253"/>
      <x:c r="W91" s="253"/>
      <x:c r="X91" s="253"/>
      <x:c r="Y91" s="252"/>
      <x:c r="Z91" s="252"/>
      <x:c r="AA91" s="253"/>
      <x:c r="AB91" s="253" t="str">
        <x:f>IF(B91="","",IFERROR(INDEX('الزبائن'!$BA$6:$BA$505,MATCH(B91,'الزبائن'!$A$6:$A$505,0)),"source key not found"))</x:f>
      </x:c>
      <x:c r="AC91" s="253" t="str">
        <x:f>IF(B91="","",IFERROR(INDEX('الزبائن'!$BB$6:$BB$505,MATCH(B91,'الزبائن'!$A$6:$A$505,0)),"source key not found"))</x:f>
      </x:c>
      <x:c r="AD91" s="253" t="str">
        <x:f>IF(AND(A91="",C91="",D91="",I91="",L91="",M91=""),"",IF(C91="skip","SKIP",IF(OR(A91="",C91="",D91="",I91="",L91="",M91="",U91="",COUNTIF($A$6:$A$505,A91)&gt;1,AND(B91&lt;&gt;"",COUNTIF('الزبائن'!$A$6:$A$505,B91)=0),(COUNTIFS('أرقام التواصل'!$A$6:$A$505,"proposed_name",'أرقام التواصل'!$B$6:$B$505,A91,'أرقام التواصل'!$I$6:$I$505,"TRUE")+COUNTIFS('أرقام التواصل'!$A$6:$A$505,"proposed_name",'أرقام التواصل'!$B$6:$B$505,A91,'أرقام التواصل'!$C$6:$C$505,1))=0,AND(W91="TRUE",X91="")),"REVIEW","READY")))</x:f>
      </x:c>
      <x:c r="AE91" s="255" t="str">
        <x:f>IF(AD91="","",IF(AD91="READY","",IF(AD91="SKIP","Skipped by candidate_import_action",TRIM(IF(A91="","missing proposed_name_key; ","")&amp;IF(AND(A91&lt;&gt;"",COUNTIF($A$6:$A$505,A91)&gt;1),"duplicate proposed_name_key; ","")&amp;IF(C91="","missing candidate_import_action; ","")&amp;IF(D91="","missing move_reason; ","")&amp;IF(I91="","missing branch_id; ","")&amp;IF(L91="","missing first_name; ","")&amp;IF(M91="","missing last_name; ","")&amp;IF(U91="","missing status; ","")&amp;IF(AND(B91&lt;&gt;"",COUNTIF('الزبائن'!$A$6:$A$505,B91)=0),"source key not found; ","")&amp;IF((COUNTIFS('أرقام التواصل'!$A$6:$A$505,"proposed_name",'أرقام التواصل'!$B$6:$B$505,A91,'أرقام التواصل'!$I$6:$I$505,"TRUE")+COUNTIFS('أرقام التواصل'!$A$6:$A$505,"proposed_name",'أرقام التواصل'!$B$6:$B$505,A91,'أرقام التواصل'!$C$6:$C$505,1))=0,"missing primary contact in أرقام التواصل; ","")&amp;IF(AND(W91="TRUE",X91=""),"duplicate_type required when duplicate_flag TRUE; ","")))))</x:f>
      </x:c>
    </x:row>
    <x:row r="92">
      <x:c r="A92" s="302"/>
      <x:c r="B92" s="252"/>
      <x:c r="C92" s="253"/>
      <x:c r="D92" s="253"/>
      <x:c r="E92" s="253"/>
      <x:c r="F92" s="252"/>
      <x:c r="G92" s="253"/>
      <x:c r="H92" s="272"/>
      <x:c r="I92" s="253"/>
      <x:c r="J92" s="253"/>
      <x:c r="K92" s="253"/>
      <x:c r="L92" s="253"/>
      <x:c r="M92" s="253"/>
      <x:c r="N92" s="253"/>
      <x:c r="O92" s="253" t="str">
        <x:f>IF(TRIM(L92&amp;" "&amp;M92&amp;IF(N92&lt;&gt;""," ("&amp;N92&amp;")",""))="","",TRIM(L92&amp;" "&amp;M92&amp;IF(N92&lt;&gt;""," ("&amp;N92&amp;")","")))</x:f>
      </x:c>
      <x:c r="P92" s="253"/>
      <x:c r="Q92" s="252"/>
      <x:c r="R92" s="253"/>
      <x:c r="S92" s="253"/>
      <x:c r="T92" s="253"/>
      <x:c r="U92" s="253"/>
      <x:c r="V92" s="253"/>
      <x:c r="W92" s="253"/>
      <x:c r="X92" s="253"/>
      <x:c r="Y92" s="252"/>
      <x:c r="Z92" s="252"/>
      <x:c r="AA92" s="253"/>
      <x:c r="AB92" s="253" t="str">
        <x:f>IF(B92="","",IFERROR(INDEX('الزبائن'!$BA$6:$BA$505,MATCH(B92,'الزبائن'!$A$6:$A$505,0)),"source key not found"))</x:f>
      </x:c>
      <x:c r="AC92" s="253" t="str">
        <x:f>IF(B92="","",IFERROR(INDEX('الزبائن'!$BB$6:$BB$505,MATCH(B92,'الزبائن'!$A$6:$A$505,0)),"source key not found"))</x:f>
      </x:c>
      <x:c r="AD92" s="253" t="str">
        <x:f>IF(AND(A92="",C92="",D92="",I92="",L92="",M92=""),"",IF(C92="skip","SKIP",IF(OR(A92="",C92="",D92="",I92="",L92="",M92="",U92="",COUNTIF($A$6:$A$505,A92)&gt;1,AND(B92&lt;&gt;"",COUNTIF('الزبائن'!$A$6:$A$505,B92)=0),(COUNTIFS('أرقام التواصل'!$A$6:$A$505,"proposed_name",'أرقام التواصل'!$B$6:$B$505,A92,'أرقام التواصل'!$I$6:$I$505,"TRUE")+COUNTIFS('أرقام التواصل'!$A$6:$A$505,"proposed_name",'أرقام التواصل'!$B$6:$B$505,A92,'أرقام التواصل'!$C$6:$C$505,1))=0,AND(W92="TRUE",X92="")),"REVIEW","READY")))</x:f>
      </x:c>
      <x:c r="AE92" s="255" t="str">
        <x:f>IF(AD92="","",IF(AD92="READY","",IF(AD92="SKIP","Skipped by candidate_import_action",TRIM(IF(A92="","missing proposed_name_key; ","")&amp;IF(AND(A92&lt;&gt;"",COUNTIF($A$6:$A$505,A92)&gt;1),"duplicate proposed_name_key; ","")&amp;IF(C92="","missing candidate_import_action; ","")&amp;IF(D92="","missing move_reason; ","")&amp;IF(I92="","missing branch_id; ","")&amp;IF(L92="","missing first_name; ","")&amp;IF(M92="","missing last_name; ","")&amp;IF(U92="","missing status; ","")&amp;IF(AND(B92&lt;&gt;"",COUNTIF('الزبائن'!$A$6:$A$505,B92)=0),"source key not found; ","")&amp;IF((COUNTIFS('أرقام التواصل'!$A$6:$A$505,"proposed_name",'أرقام التواصل'!$B$6:$B$505,A92,'أرقام التواصل'!$I$6:$I$505,"TRUE")+COUNTIFS('أرقام التواصل'!$A$6:$A$505,"proposed_name",'أرقام التواصل'!$B$6:$B$505,A92,'أرقام التواصل'!$C$6:$C$505,1))=0,"missing primary contact in أرقام التواصل; ","")&amp;IF(AND(W92="TRUE",X92=""),"duplicate_type required when duplicate_flag TRUE; ","")))))</x:f>
      </x:c>
    </x:row>
    <x:row r="93">
      <x:c r="A93" s="302"/>
      <x:c r="B93" s="252"/>
      <x:c r="C93" s="253"/>
      <x:c r="D93" s="253"/>
      <x:c r="E93" s="253"/>
      <x:c r="F93" s="252"/>
      <x:c r="G93" s="253"/>
      <x:c r="H93" s="272"/>
      <x:c r="I93" s="253"/>
      <x:c r="J93" s="253"/>
      <x:c r="K93" s="253"/>
      <x:c r="L93" s="253"/>
      <x:c r="M93" s="253"/>
      <x:c r="N93" s="253"/>
      <x:c r="O93" s="253" t="str">
        <x:f>IF(TRIM(L93&amp;" "&amp;M93&amp;IF(N93&lt;&gt;""," ("&amp;N93&amp;")",""))="","",TRIM(L93&amp;" "&amp;M93&amp;IF(N93&lt;&gt;""," ("&amp;N93&amp;")","")))</x:f>
      </x:c>
      <x:c r="P93" s="253"/>
      <x:c r="Q93" s="252"/>
      <x:c r="R93" s="253"/>
      <x:c r="S93" s="253"/>
      <x:c r="T93" s="253"/>
      <x:c r="U93" s="253"/>
      <x:c r="V93" s="253"/>
      <x:c r="W93" s="253"/>
      <x:c r="X93" s="253"/>
      <x:c r="Y93" s="252"/>
      <x:c r="Z93" s="252"/>
      <x:c r="AA93" s="253"/>
      <x:c r="AB93" s="253" t="str">
        <x:f>IF(B93="","",IFERROR(INDEX('الزبائن'!$BA$6:$BA$505,MATCH(B93,'الزبائن'!$A$6:$A$505,0)),"source key not found"))</x:f>
      </x:c>
      <x:c r="AC93" s="253" t="str">
        <x:f>IF(B93="","",IFERROR(INDEX('الزبائن'!$BB$6:$BB$505,MATCH(B93,'الزبائن'!$A$6:$A$505,0)),"source key not found"))</x:f>
      </x:c>
      <x:c r="AD93" s="253" t="str">
        <x:f>IF(AND(A93="",C93="",D93="",I93="",L93="",M93=""),"",IF(C93="skip","SKIP",IF(OR(A93="",C93="",D93="",I93="",L93="",M93="",U93="",COUNTIF($A$6:$A$505,A93)&gt;1,AND(B93&lt;&gt;"",COUNTIF('الزبائن'!$A$6:$A$505,B93)=0),(COUNTIFS('أرقام التواصل'!$A$6:$A$505,"proposed_name",'أرقام التواصل'!$B$6:$B$505,A93,'أرقام التواصل'!$I$6:$I$505,"TRUE")+COUNTIFS('أرقام التواصل'!$A$6:$A$505,"proposed_name",'أرقام التواصل'!$B$6:$B$505,A93,'أرقام التواصل'!$C$6:$C$505,1))=0,AND(W93="TRUE",X93="")),"REVIEW","READY")))</x:f>
      </x:c>
      <x:c r="AE93" s="255" t="str">
        <x:f>IF(AD93="","",IF(AD93="READY","",IF(AD93="SKIP","Skipped by candidate_import_action",TRIM(IF(A93="","missing proposed_name_key; ","")&amp;IF(AND(A93&lt;&gt;"",COUNTIF($A$6:$A$505,A93)&gt;1),"duplicate proposed_name_key; ","")&amp;IF(C93="","missing candidate_import_action; ","")&amp;IF(D93="","missing move_reason; ","")&amp;IF(I93="","missing branch_id; ","")&amp;IF(L93="","missing first_name; ","")&amp;IF(M93="","missing last_name; ","")&amp;IF(U93="","missing status; ","")&amp;IF(AND(B93&lt;&gt;"",COUNTIF('الزبائن'!$A$6:$A$505,B93)=0),"source key not found; ","")&amp;IF((COUNTIFS('أرقام التواصل'!$A$6:$A$505,"proposed_name",'أرقام التواصل'!$B$6:$B$505,A93,'أرقام التواصل'!$I$6:$I$505,"TRUE")+COUNTIFS('أرقام التواصل'!$A$6:$A$505,"proposed_name",'أرقام التواصل'!$B$6:$B$505,A93,'أرقام التواصل'!$C$6:$C$505,1))=0,"missing primary contact in أرقام التواصل; ","")&amp;IF(AND(W93="TRUE",X93=""),"duplicate_type required when duplicate_flag TRUE; ","")))))</x:f>
      </x:c>
    </x:row>
    <x:row r="94">
      <x:c r="A94" s="302"/>
      <x:c r="B94" s="252"/>
      <x:c r="C94" s="253"/>
      <x:c r="D94" s="253"/>
      <x:c r="E94" s="253"/>
      <x:c r="F94" s="252"/>
      <x:c r="G94" s="253"/>
      <x:c r="H94" s="272"/>
      <x:c r="I94" s="253"/>
      <x:c r="J94" s="253"/>
      <x:c r="K94" s="253"/>
      <x:c r="L94" s="253"/>
      <x:c r="M94" s="253"/>
      <x:c r="N94" s="253"/>
      <x:c r="O94" s="253" t="str">
        <x:f>IF(TRIM(L94&amp;" "&amp;M94&amp;IF(N94&lt;&gt;""," ("&amp;N94&amp;")",""))="","",TRIM(L94&amp;" "&amp;M94&amp;IF(N94&lt;&gt;""," ("&amp;N94&amp;")","")))</x:f>
      </x:c>
      <x:c r="P94" s="253"/>
      <x:c r="Q94" s="252"/>
      <x:c r="R94" s="253"/>
      <x:c r="S94" s="253"/>
      <x:c r="T94" s="253"/>
      <x:c r="U94" s="253"/>
      <x:c r="V94" s="253"/>
      <x:c r="W94" s="253"/>
      <x:c r="X94" s="253"/>
      <x:c r="Y94" s="252"/>
      <x:c r="Z94" s="252"/>
      <x:c r="AA94" s="253"/>
      <x:c r="AB94" s="253" t="str">
        <x:f>IF(B94="","",IFERROR(INDEX('الزبائن'!$BA$6:$BA$505,MATCH(B94,'الزبائن'!$A$6:$A$505,0)),"source key not found"))</x:f>
      </x:c>
      <x:c r="AC94" s="253" t="str">
        <x:f>IF(B94="","",IFERROR(INDEX('الزبائن'!$BB$6:$BB$505,MATCH(B94,'الزبائن'!$A$6:$A$505,0)),"source key not found"))</x:f>
      </x:c>
      <x:c r="AD94" s="253" t="str">
        <x:f>IF(AND(A94="",C94="",D94="",I94="",L94="",M94=""),"",IF(C94="skip","SKIP",IF(OR(A94="",C94="",D94="",I94="",L94="",M94="",U94="",COUNTIF($A$6:$A$505,A94)&gt;1,AND(B94&lt;&gt;"",COUNTIF('الزبائن'!$A$6:$A$505,B94)=0),(COUNTIFS('أرقام التواصل'!$A$6:$A$505,"proposed_name",'أرقام التواصل'!$B$6:$B$505,A94,'أرقام التواصل'!$I$6:$I$505,"TRUE")+COUNTIFS('أرقام التواصل'!$A$6:$A$505,"proposed_name",'أرقام التواصل'!$B$6:$B$505,A94,'أرقام التواصل'!$C$6:$C$505,1))=0,AND(W94="TRUE",X94="")),"REVIEW","READY")))</x:f>
      </x:c>
      <x:c r="AE94" s="255" t="str">
        <x:f>IF(AD94="","",IF(AD94="READY","",IF(AD94="SKIP","Skipped by candidate_import_action",TRIM(IF(A94="","missing proposed_name_key; ","")&amp;IF(AND(A94&lt;&gt;"",COUNTIF($A$6:$A$505,A94)&gt;1),"duplicate proposed_name_key; ","")&amp;IF(C94="","missing candidate_import_action; ","")&amp;IF(D94="","missing move_reason; ","")&amp;IF(I94="","missing branch_id; ","")&amp;IF(L94="","missing first_name; ","")&amp;IF(M94="","missing last_name; ","")&amp;IF(U94="","missing status; ","")&amp;IF(AND(B94&lt;&gt;"",COUNTIF('الزبائن'!$A$6:$A$505,B94)=0),"source key not found; ","")&amp;IF((COUNTIFS('أرقام التواصل'!$A$6:$A$505,"proposed_name",'أرقام التواصل'!$B$6:$B$505,A94,'أرقام التواصل'!$I$6:$I$505,"TRUE")+COUNTIFS('أرقام التواصل'!$A$6:$A$505,"proposed_name",'أرقام التواصل'!$B$6:$B$505,A94,'أرقام التواصل'!$C$6:$C$505,1))=0,"missing primary contact in أرقام التواصل; ","")&amp;IF(AND(W94="TRUE",X94=""),"duplicate_type required when duplicate_flag TRUE; ","")))))</x:f>
      </x:c>
    </x:row>
    <x:row r="95">
      <x:c r="A95" s="302"/>
      <x:c r="B95" s="252"/>
      <x:c r="C95" s="253"/>
      <x:c r="D95" s="253"/>
      <x:c r="E95" s="253"/>
      <x:c r="F95" s="252"/>
      <x:c r="G95" s="253"/>
      <x:c r="H95" s="272"/>
      <x:c r="I95" s="253"/>
      <x:c r="J95" s="253"/>
      <x:c r="K95" s="253"/>
      <x:c r="L95" s="253"/>
      <x:c r="M95" s="253"/>
      <x:c r="N95" s="253"/>
      <x:c r="O95" s="253" t="str">
        <x:f>IF(TRIM(L95&amp;" "&amp;M95&amp;IF(N95&lt;&gt;""," ("&amp;N95&amp;")",""))="","",TRIM(L95&amp;" "&amp;M95&amp;IF(N95&lt;&gt;""," ("&amp;N95&amp;")","")))</x:f>
      </x:c>
      <x:c r="P95" s="253"/>
      <x:c r="Q95" s="252"/>
      <x:c r="R95" s="253"/>
      <x:c r="S95" s="253"/>
      <x:c r="T95" s="253"/>
      <x:c r="U95" s="253"/>
      <x:c r="V95" s="253"/>
      <x:c r="W95" s="253"/>
      <x:c r="X95" s="253"/>
      <x:c r="Y95" s="252"/>
      <x:c r="Z95" s="252"/>
      <x:c r="AA95" s="253"/>
      <x:c r="AB95" s="253" t="str">
        <x:f>IF(B95="","",IFERROR(INDEX('الزبائن'!$BA$6:$BA$505,MATCH(B95,'الزبائن'!$A$6:$A$505,0)),"source key not found"))</x:f>
      </x:c>
      <x:c r="AC95" s="253" t="str">
        <x:f>IF(B95="","",IFERROR(INDEX('الزبائن'!$BB$6:$BB$505,MATCH(B95,'الزبائن'!$A$6:$A$505,0)),"source key not found"))</x:f>
      </x:c>
      <x:c r="AD95" s="253" t="str">
        <x:f>IF(AND(A95="",C95="",D95="",I95="",L95="",M95=""),"",IF(C95="skip","SKIP",IF(OR(A95="",C95="",D95="",I95="",L95="",M95="",U95="",COUNTIF($A$6:$A$505,A95)&gt;1,AND(B95&lt;&gt;"",COUNTIF('الزبائن'!$A$6:$A$505,B95)=0),(COUNTIFS('أرقام التواصل'!$A$6:$A$505,"proposed_name",'أرقام التواصل'!$B$6:$B$505,A95,'أرقام التواصل'!$I$6:$I$505,"TRUE")+COUNTIFS('أرقام التواصل'!$A$6:$A$505,"proposed_name",'أرقام التواصل'!$B$6:$B$505,A95,'أرقام التواصل'!$C$6:$C$505,1))=0,AND(W95="TRUE",X95="")),"REVIEW","READY")))</x:f>
      </x:c>
      <x:c r="AE95" s="255" t="str">
        <x:f>IF(AD95="","",IF(AD95="READY","",IF(AD95="SKIP","Skipped by candidate_import_action",TRIM(IF(A95="","missing proposed_name_key; ","")&amp;IF(AND(A95&lt;&gt;"",COUNTIF($A$6:$A$505,A95)&gt;1),"duplicate proposed_name_key; ","")&amp;IF(C95="","missing candidate_import_action; ","")&amp;IF(D95="","missing move_reason; ","")&amp;IF(I95="","missing branch_id; ","")&amp;IF(L95="","missing first_name; ","")&amp;IF(M95="","missing last_name; ","")&amp;IF(U95="","missing status; ","")&amp;IF(AND(B95&lt;&gt;"",COUNTIF('الزبائن'!$A$6:$A$505,B95)=0),"source key not found; ","")&amp;IF((COUNTIFS('أرقام التواصل'!$A$6:$A$505,"proposed_name",'أرقام التواصل'!$B$6:$B$505,A95,'أرقام التواصل'!$I$6:$I$505,"TRUE")+COUNTIFS('أرقام التواصل'!$A$6:$A$505,"proposed_name",'أرقام التواصل'!$B$6:$B$505,A95,'أرقام التواصل'!$C$6:$C$505,1))=0,"missing primary contact in أرقام التواصل; ","")&amp;IF(AND(W95="TRUE",X95=""),"duplicate_type required when duplicate_flag TRUE; ","")))))</x:f>
      </x:c>
    </x:row>
    <x:row r="96">
      <x:c r="A96" s="302"/>
      <x:c r="B96" s="252"/>
      <x:c r="C96" s="253"/>
      <x:c r="D96" s="253"/>
      <x:c r="E96" s="253"/>
      <x:c r="F96" s="252"/>
      <x:c r="G96" s="253"/>
      <x:c r="H96" s="272"/>
      <x:c r="I96" s="253"/>
      <x:c r="J96" s="253"/>
      <x:c r="K96" s="253"/>
      <x:c r="L96" s="253"/>
      <x:c r="M96" s="253"/>
      <x:c r="N96" s="253"/>
      <x:c r="O96" s="253" t="str">
        <x:f>IF(TRIM(L96&amp;" "&amp;M96&amp;IF(N96&lt;&gt;""," ("&amp;N96&amp;")",""))="","",TRIM(L96&amp;" "&amp;M96&amp;IF(N96&lt;&gt;""," ("&amp;N96&amp;")","")))</x:f>
      </x:c>
      <x:c r="P96" s="253"/>
      <x:c r="Q96" s="252"/>
      <x:c r="R96" s="253"/>
      <x:c r="S96" s="253"/>
      <x:c r="T96" s="253"/>
      <x:c r="U96" s="253"/>
      <x:c r="V96" s="253"/>
      <x:c r="W96" s="253"/>
      <x:c r="X96" s="253"/>
      <x:c r="Y96" s="252"/>
      <x:c r="Z96" s="252"/>
      <x:c r="AA96" s="253"/>
      <x:c r="AB96" s="253" t="str">
        <x:f>IF(B96="","",IFERROR(INDEX('الزبائن'!$BA$6:$BA$505,MATCH(B96,'الزبائن'!$A$6:$A$505,0)),"source key not found"))</x:f>
      </x:c>
      <x:c r="AC96" s="253" t="str">
        <x:f>IF(B96="","",IFERROR(INDEX('الزبائن'!$BB$6:$BB$505,MATCH(B96,'الزبائن'!$A$6:$A$505,0)),"source key not found"))</x:f>
      </x:c>
      <x:c r="AD96" s="253" t="str">
        <x:f>IF(AND(A96="",C96="",D96="",I96="",L96="",M96=""),"",IF(C96="skip","SKIP",IF(OR(A96="",C96="",D96="",I96="",L96="",M96="",U96="",COUNTIF($A$6:$A$505,A96)&gt;1,AND(B96&lt;&gt;"",COUNTIF('الزبائن'!$A$6:$A$505,B96)=0),(COUNTIFS('أرقام التواصل'!$A$6:$A$505,"proposed_name",'أرقام التواصل'!$B$6:$B$505,A96,'أرقام التواصل'!$I$6:$I$505,"TRUE")+COUNTIFS('أرقام التواصل'!$A$6:$A$505,"proposed_name",'أرقام التواصل'!$B$6:$B$505,A96,'أرقام التواصل'!$C$6:$C$505,1))=0,AND(W96="TRUE",X96="")),"REVIEW","READY")))</x:f>
      </x:c>
      <x:c r="AE96" s="255" t="str">
        <x:f>IF(AD96="","",IF(AD96="READY","",IF(AD96="SKIP","Skipped by candidate_import_action",TRIM(IF(A96="","missing proposed_name_key; ","")&amp;IF(AND(A96&lt;&gt;"",COUNTIF($A$6:$A$505,A96)&gt;1),"duplicate proposed_name_key; ","")&amp;IF(C96="","missing candidate_import_action; ","")&amp;IF(D96="","missing move_reason; ","")&amp;IF(I96="","missing branch_id; ","")&amp;IF(L96="","missing first_name; ","")&amp;IF(M96="","missing last_name; ","")&amp;IF(U96="","missing status; ","")&amp;IF(AND(B96&lt;&gt;"",COUNTIF('الزبائن'!$A$6:$A$505,B96)=0),"source key not found; ","")&amp;IF((COUNTIFS('أرقام التواصل'!$A$6:$A$505,"proposed_name",'أرقام التواصل'!$B$6:$B$505,A96,'أرقام التواصل'!$I$6:$I$505,"TRUE")+COUNTIFS('أرقام التواصل'!$A$6:$A$505,"proposed_name",'أرقام التواصل'!$B$6:$B$505,A96,'أرقام التواصل'!$C$6:$C$505,1))=0,"missing primary contact in أرقام التواصل; ","")&amp;IF(AND(W96="TRUE",X96=""),"duplicate_type required when duplicate_flag TRUE; ","")))))</x:f>
      </x:c>
    </x:row>
    <x:row r="97">
      <x:c r="A97" s="302"/>
      <x:c r="B97" s="252"/>
      <x:c r="C97" s="253"/>
      <x:c r="D97" s="253"/>
      <x:c r="E97" s="253"/>
      <x:c r="F97" s="252"/>
      <x:c r="G97" s="253"/>
      <x:c r="H97" s="272"/>
      <x:c r="I97" s="253"/>
      <x:c r="J97" s="253"/>
      <x:c r="K97" s="253"/>
      <x:c r="L97" s="253"/>
      <x:c r="M97" s="253"/>
      <x:c r="N97" s="253"/>
      <x:c r="O97" s="253" t="str">
        <x:f>IF(TRIM(L97&amp;" "&amp;M97&amp;IF(N97&lt;&gt;""," ("&amp;N97&amp;")",""))="","",TRIM(L97&amp;" "&amp;M97&amp;IF(N97&lt;&gt;""," ("&amp;N97&amp;")","")))</x:f>
      </x:c>
      <x:c r="P97" s="253"/>
      <x:c r="Q97" s="252"/>
      <x:c r="R97" s="253"/>
      <x:c r="S97" s="253"/>
      <x:c r="T97" s="253"/>
      <x:c r="U97" s="253"/>
      <x:c r="V97" s="253"/>
      <x:c r="W97" s="253"/>
      <x:c r="X97" s="253"/>
      <x:c r="Y97" s="252"/>
      <x:c r="Z97" s="252"/>
      <x:c r="AA97" s="253"/>
      <x:c r="AB97" s="253" t="str">
        <x:f>IF(B97="","",IFERROR(INDEX('الزبائن'!$BA$6:$BA$505,MATCH(B97,'الزبائن'!$A$6:$A$505,0)),"source key not found"))</x:f>
      </x:c>
      <x:c r="AC97" s="253" t="str">
        <x:f>IF(B97="","",IFERROR(INDEX('الزبائن'!$BB$6:$BB$505,MATCH(B97,'الزبائن'!$A$6:$A$505,0)),"source key not found"))</x:f>
      </x:c>
      <x:c r="AD97" s="253" t="str">
        <x:f>IF(AND(A97="",C97="",D97="",I97="",L97="",M97=""),"",IF(C97="skip","SKIP",IF(OR(A97="",C97="",D97="",I97="",L97="",M97="",U97="",COUNTIF($A$6:$A$505,A97)&gt;1,AND(B97&lt;&gt;"",COUNTIF('الزبائن'!$A$6:$A$505,B97)=0),(COUNTIFS('أرقام التواصل'!$A$6:$A$505,"proposed_name",'أرقام التواصل'!$B$6:$B$505,A97,'أرقام التواصل'!$I$6:$I$505,"TRUE")+COUNTIFS('أرقام التواصل'!$A$6:$A$505,"proposed_name",'أرقام التواصل'!$B$6:$B$505,A97,'أرقام التواصل'!$C$6:$C$505,1))=0,AND(W97="TRUE",X97="")),"REVIEW","READY")))</x:f>
      </x:c>
      <x:c r="AE97" s="255" t="str">
        <x:f>IF(AD97="","",IF(AD97="READY","",IF(AD97="SKIP","Skipped by candidate_import_action",TRIM(IF(A97="","missing proposed_name_key; ","")&amp;IF(AND(A97&lt;&gt;"",COUNTIF($A$6:$A$505,A97)&gt;1),"duplicate proposed_name_key; ","")&amp;IF(C97="","missing candidate_import_action; ","")&amp;IF(D97="","missing move_reason; ","")&amp;IF(I97="","missing branch_id; ","")&amp;IF(L97="","missing first_name; ","")&amp;IF(M97="","missing last_name; ","")&amp;IF(U97="","missing status; ","")&amp;IF(AND(B97&lt;&gt;"",COUNTIF('الزبائن'!$A$6:$A$505,B97)=0),"source key not found; ","")&amp;IF((COUNTIFS('أرقام التواصل'!$A$6:$A$505,"proposed_name",'أرقام التواصل'!$B$6:$B$505,A97,'أرقام التواصل'!$I$6:$I$505,"TRUE")+COUNTIFS('أرقام التواصل'!$A$6:$A$505,"proposed_name",'أرقام التواصل'!$B$6:$B$505,A97,'أرقام التواصل'!$C$6:$C$505,1))=0,"missing primary contact in أرقام التواصل; ","")&amp;IF(AND(W97="TRUE",X97=""),"duplicate_type required when duplicate_flag TRUE; ","")))))</x:f>
      </x:c>
    </x:row>
    <x:row r="98">
      <x:c r="A98" s="302"/>
      <x:c r="B98" s="252"/>
      <x:c r="C98" s="253"/>
      <x:c r="D98" s="253"/>
      <x:c r="E98" s="253"/>
      <x:c r="F98" s="252"/>
      <x:c r="G98" s="253"/>
      <x:c r="H98" s="272"/>
      <x:c r="I98" s="253"/>
      <x:c r="J98" s="253"/>
      <x:c r="K98" s="253"/>
      <x:c r="L98" s="253"/>
      <x:c r="M98" s="253"/>
      <x:c r="N98" s="253"/>
      <x:c r="O98" s="253" t="str">
        <x:f>IF(TRIM(L98&amp;" "&amp;M98&amp;IF(N98&lt;&gt;""," ("&amp;N98&amp;")",""))="","",TRIM(L98&amp;" "&amp;M98&amp;IF(N98&lt;&gt;""," ("&amp;N98&amp;")","")))</x:f>
      </x:c>
      <x:c r="P98" s="253"/>
      <x:c r="Q98" s="252"/>
      <x:c r="R98" s="253"/>
      <x:c r="S98" s="253"/>
      <x:c r="T98" s="253"/>
      <x:c r="U98" s="253"/>
      <x:c r="V98" s="253"/>
      <x:c r="W98" s="253"/>
      <x:c r="X98" s="253"/>
      <x:c r="Y98" s="252"/>
      <x:c r="Z98" s="252"/>
      <x:c r="AA98" s="253"/>
      <x:c r="AB98" s="253" t="str">
        <x:f>IF(B98="","",IFERROR(INDEX('الزبائن'!$BA$6:$BA$505,MATCH(B98,'الزبائن'!$A$6:$A$505,0)),"source key not found"))</x:f>
      </x:c>
      <x:c r="AC98" s="253" t="str">
        <x:f>IF(B98="","",IFERROR(INDEX('الزبائن'!$BB$6:$BB$505,MATCH(B98,'الزبائن'!$A$6:$A$505,0)),"source key not found"))</x:f>
      </x:c>
      <x:c r="AD98" s="253" t="str">
        <x:f>IF(AND(A98="",C98="",D98="",I98="",L98="",M98=""),"",IF(C98="skip","SKIP",IF(OR(A98="",C98="",D98="",I98="",L98="",M98="",U98="",COUNTIF($A$6:$A$505,A98)&gt;1,AND(B98&lt;&gt;"",COUNTIF('الزبائن'!$A$6:$A$505,B98)=0),(COUNTIFS('أرقام التواصل'!$A$6:$A$505,"proposed_name",'أرقام التواصل'!$B$6:$B$505,A98,'أرقام التواصل'!$I$6:$I$505,"TRUE")+COUNTIFS('أرقام التواصل'!$A$6:$A$505,"proposed_name",'أرقام التواصل'!$B$6:$B$505,A98,'أرقام التواصل'!$C$6:$C$505,1))=0,AND(W98="TRUE",X98="")),"REVIEW","READY")))</x:f>
      </x:c>
      <x:c r="AE98" s="255" t="str">
        <x:f>IF(AD98="","",IF(AD98="READY","",IF(AD98="SKIP","Skipped by candidate_import_action",TRIM(IF(A98="","missing proposed_name_key; ","")&amp;IF(AND(A98&lt;&gt;"",COUNTIF($A$6:$A$505,A98)&gt;1),"duplicate proposed_name_key; ","")&amp;IF(C98="","missing candidate_import_action; ","")&amp;IF(D98="","missing move_reason; ","")&amp;IF(I98="","missing branch_id; ","")&amp;IF(L98="","missing first_name; ","")&amp;IF(M98="","missing last_name; ","")&amp;IF(U98="","missing status; ","")&amp;IF(AND(B98&lt;&gt;"",COUNTIF('الزبائن'!$A$6:$A$505,B98)=0),"source key not found; ","")&amp;IF((COUNTIFS('أرقام التواصل'!$A$6:$A$505,"proposed_name",'أرقام التواصل'!$B$6:$B$505,A98,'أرقام التواصل'!$I$6:$I$505,"TRUE")+COUNTIFS('أرقام التواصل'!$A$6:$A$505,"proposed_name",'أرقام التواصل'!$B$6:$B$505,A98,'أرقام التواصل'!$C$6:$C$505,1))=0,"missing primary contact in أرقام التواصل; ","")&amp;IF(AND(W98="TRUE",X98=""),"duplicate_type required when duplicate_flag TRUE; ","")))))</x:f>
      </x:c>
    </x:row>
    <x:row r="99">
      <x:c r="A99" s="302"/>
      <x:c r="B99" s="252"/>
      <x:c r="C99" s="253"/>
      <x:c r="D99" s="253"/>
      <x:c r="E99" s="253"/>
      <x:c r="F99" s="252"/>
      <x:c r="G99" s="253"/>
      <x:c r="H99" s="272"/>
      <x:c r="I99" s="253"/>
      <x:c r="J99" s="253"/>
      <x:c r="K99" s="253"/>
      <x:c r="L99" s="253"/>
      <x:c r="M99" s="253"/>
      <x:c r="N99" s="253"/>
      <x:c r="O99" s="253" t="str">
        <x:f>IF(TRIM(L99&amp;" "&amp;M99&amp;IF(N99&lt;&gt;""," ("&amp;N99&amp;")",""))="","",TRIM(L99&amp;" "&amp;M99&amp;IF(N99&lt;&gt;""," ("&amp;N99&amp;")","")))</x:f>
      </x:c>
      <x:c r="P99" s="253"/>
      <x:c r="Q99" s="252"/>
      <x:c r="R99" s="253"/>
      <x:c r="S99" s="253"/>
      <x:c r="T99" s="253"/>
      <x:c r="U99" s="253"/>
      <x:c r="V99" s="253"/>
      <x:c r="W99" s="253"/>
      <x:c r="X99" s="253"/>
      <x:c r="Y99" s="252"/>
      <x:c r="Z99" s="252"/>
      <x:c r="AA99" s="253"/>
      <x:c r="AB99" s="253" t="str">
        <x:f>IF(B99="","",IFERROR(INDEX('الزبائن'!$BA$6:$BA$505,MATCH(B99,'الزبائن'!$A$6:$A$505,0)),"source key not found"))</x:f>
      </x:c>
      <x:c r="AC99" s="253" t="str">
        <x:f>IF(B99="","",IFERROR(INDEX('الزبائن'!$BB$6:$BB$505,MATCH(B99,'الزبائن'!$A$6:$A$505,0)),"source key not found"))</x:f>
      </x:c>
      <x:c r="AD99" s="253" t="str">
        <x:f>IF(AND(A99="",C99="",D99="",I99="",L99="",M99=""),"",IF(C99="skip","SKIP",IF(OR(A99="",C99="",D99="",I99="",L99="",M99="",U99="",COUNTIF($A$6:$A$505,A99)&gt;1,AND(B99&lt;&gt;"",COUNTIF('الزبائن'!$A$6:$A$505,B99)=0),(COUNTIFS('أرقام التواصل'!$A$6:$A$505,"proposed_name",'أرقام التواصل'!$B$6:$B$505,A99,'أرقام التواصل'!$I$6:$I$505,"TRUE")+COUNTIFS('أرقام التواصل'!$A$6:$A$505,"proposed_name",'أرقام التواصل'!$B$6:$B$505,A99,'أرقام التواصل'!$C$6:$C$505,1))=0,AND(W99="TRUE",X99="")),"REVIEW","READY")))</x:f>
      </x:c>
      <x:c r="AE99" s="255" t="str">
        <x:f>IF(AD99="","",IF(AD99="READY","",IF(AD99="SKIP","Skipped by candidate_import_action",TRIM(IF(A99="","missing proposed_name_key; ","")&amp;IF(AND(A99&lt;&gt;"",COUNTIF($A$6:$A$505,A99)&gt;1),"duplicate proposed_name_key; ","")&amp;IF(C99="","missing candidate_import_action; ","")&amp;IF(D99="","missing move_reason; ","")&amp;IF(I99="","missing branch_id; ","")&amp;IF(L99="","missing first_name; ","")&amp;IF(M99="","missing last_name; ","")&amp;IF(U99="","missing status; ","")&amp;IF(AND(B99&lt;&gt;"",COUNTIF('الزبائن'!$A$6:$A$505,B99)=0),"source key not found; ","")&amp;IF((COUNTIFS('أرقام التواصل'!$A$6:$A$505,"proposed_name",'أرقام التواصل'!$B$6:$B$505,A99,'أرقام التواصل'!$I$6:$I$505,"TRUE")+COUNTIFS('أرقام التواصل'!$A$6:$A$505,"proposed_name",'أرقام التواصل'!$B$6:$B$505,A99,'أرقام التواصل'!$C$6:$C$505,1))=0,"missing primary contact in أرقام التواصل; ","")&amp;IF(AND(W99="TRUE",X99=""),"duplicate_type required when duplicate_flag TRUE; ","")))))</x:f>
      </x:c>
    </x:row>
    <x:row r="100">
      <x:c r="A100" s="302"/>
      <x:c r="B100" s="252"/>
      <x:c r="C100" s="253"/>
      <x:c r="D100" s="253"/>
      <x:c r="E100" s="253"/>
      <x:c r="F100" s="252"/>
      <x:c r="G100" s="253"/>
      <x:c r="H100" s="272"/>
      <x:c r="I100" s="253"/>
      <x:c r="J100" s="253"/>
      <x:c r="K100" s="253"/>
      <x:c r="L100" s="253"/>
      <x:c r="M100" s="253"/>
      <x:c r="N100" s="253"/>
      <x:c r="O100" s="253" t="str">
        <x:f>IF(TRIM(L100&amp;" "&amp;M100&amp;IF(N100&lt;&gt;""," ("&amp;N100&amp;")",""))="","",TRIM(L100&amp;" "&amp;M100&amp;IF(N100&lt;&gt;""," ("&amp;N100&amp;")","")))</x:f>
      </x:c>
      <x:c r="P100" s="253"/>
      <x:c r="Q100" s="252"/>
      <x:c r="R100" s="253"/>
      <x:c r="S100" s="253"/>
      <x:c r="T100" s="253"/>
      <x:c r="U100" s="253"/>
      <x:c r="V100" s="253"/>
      <x:c r="W100" s="253"/>
      <x:c r="X100" s="253"/>
      <x:c r="Y100" s="252"/>
      <x:c r="Z100" s="252"/>
      <x:c r="AA100" s="253"/>
      <x:c r="AB100" s="253" t="str">
        <x:f>IF(B100="","",IFERROR(INDEX('الزبائن'!$BA$6:$BA$505,MATCH(B100,'الزبائن'!$A$6:$A$505,0)),"source key not found"))</x:f>
      </x:c>
      <x:c r="AC100" s="253" t="str">
        <x:f>IF(B100="","",IFERROR(INDEX('الزبائن'!$BB$6:$BB$505,MATCH(B100,'الزبائن'!$A$6:$A$505,0)),"source key not found"))</x:f>
      </x:c>
      <x:c r="AD100" s="253" t="str">
        <x:f>IF(AND(A100="",C100="",D100="",I100="",L100="",M100=""),"",IF(C100="skip","SKIP",IF(OR(A100="",C100="",D100="",I100="",L100="",M100="",U100="",COUNTIF($A$6:$A$505,A100)&gt;1,AND(B100&lt;&gt;"",COUNTIF('الزبائن'!$A$6:$A$505,B100)=0),(COUNTIFS('أرقام التواصل'!$A$6:$A$505,"proposed_name",'أرقام التواصل'!$B$6:$B$505,A100,'أرقام التواصل'!$I$6:$I$505,"TRUE")+COUNTIFS('أرقام التواصل'!$A$6:$A$505,"proposed_name",'أرقام التواصل'!$B$6:$B$505,A100,'أرقام التواصل'!$C$6:$C$505,1))=0,AND(W100="TRUE",X100="")),"REVIEW","READY")))</x:f>
      </x:c>
      <x:c r="AE100" s="255" t="str">
        <x:f>IF(AD100="","",IF(AD100="READY","",IF(AD100="SKIP","Skipped by candidate_import_action",TRIM(IF(A100="","missing proposed_name_key; ","")&amp;IF(AND(A100&lt;&gt;"",COUNTIF($A$6:$A$505,A100)&gt;1),"duplicate proposed_name_key; ","")&amp;IF(C100="","missing candidate_import_action; ","")&amp;IF(D100="","missing move_reason; ","")&amp;IF(I100="","missing branch_id; ","")&amp;IF(L100="","missing first_name; ","")&amp;IF(M100="","missing last_name; ","")&amp;IF(U100="","missing status; ","")&amp;IF(AND(B100&lt;&gt;"",COUNTIF('الزبائن'!$A$6:$A$505,B100)=0),"source key not found; ","")&amp;IF((COUNTIFS('أرقام التواصل'!$A$6:$A$505,"proposed_name",'أرقام التواصل'!$B$6:$B$505,A100,'أرقام التواصل'!$I$6:$I$505,"TRUE")+COUNTIFS('أرقام التواصل'!$A$6:$A$505,"proposed_name",'أرقام التواصل'!$B$6:$B$505,A100,'أرقام التواصل'!$C$6:$C$505,1))=0,"missing primary contact in أرقام التواصل; ","")&amp;IF(AND(W100="TRUE",X100=""),"duplicate_type required when duplicate_flag TRUE; ","")))))</x:f>
      </x:c>
    </x:row>
    <x:row r="101">
      <x:c r="A101" s="302"/>
      <x:c r="B101" s="252"/>
      <x:c r="C101" s="253"/>
      <x:c r="D101" s="253"/>
      <x:c r="E101" s="253"/>
      <x:c r="F101" s="252"/>
      <x:c r="G101" s="253"/>
      <x:c r="H101" s="272"/>
      <x:c r="I101" s="253"/>
      <x:c r="J101" s="253"/>
      <x:c r="K101" s="253"/>
      <x:c r="L101" s="253"/>
      <x:c r="M101" s="253"/>
      <x:c r="N101" s="253"/>
      <x:c r="O101" s="253" t="str">
        <x:f>IF(TRIM(L101&amp;" "&amp;M101&amp;IF(N101&lt;&gt;""," ("&amp;N101&amp;")",""))="","",TRIM(L101&amp;" "&amp;M101&amp;IF(N101&lt;&gt;""," ("&amp;N101&amp;")","")))</x:f>
      </x:c>
      <x:c r="P101" s="253"/>
      <x:c r="Q101" s="252"/>
      <x:c r="R101" s="253"/>
      <x:c r="S101" s="253"/>
      <x:c r="T101" s="253"/>
      <x:c r="U101" s="253"/>
      <x:c r="V101" s="253"/>
      <x:c r="W101" s="253"/>
      <x:c r="X101" s="253"/>
      <x:c r="Y101" s="252"/>
      <x:c r="Z101" s="252"/>
      <x:c r="AA101" s="253"/>
      <x:c r="AB101" s="253" t="str">
        <x:f>IF(B101="","",IFERROR(INDEX('الزبائن'!$BA$6:$BA$505,MATCH(B101,'الزبائن'!$A$6:$A$505,0)),"source key not found"))</x:f>
      </x:c>
      <x:c r="AC101" s="253" t="str">
        <x:f>IF(B101="","",IFERROR(INDEX('الزبائن'!$BB$6:$BB$505,MATCH(B101,'الزبائن'!$A$6:$A$505,0)),"source key not found"))</x:f>
      </x:c>
      <x:c r="AD101" s="253" t="str">
        <x:f>IF(AND(A101="",C101="",D101="",I101="",L101="",M101=""),"",IF(C101="skip","SKIP",IF(OR(A101="",C101="",D101="",I101="",L101="",M101="",U101="",COUNTIF($A$6:$A$505,A101)&gt;1,AND(B101&lt;&gt;"",COUNTIF('الزبائن'!$A$6:$A$505,B101)=0),(COUNTIFS('أرقام التواصل'!$A$6:$A$505,"proposed_name",'أرقام التواصل'!$B$6:$B$505,A101,'أرقام التواصل'!$I$6:$I$505,"TRUE")+COUNTIFS('أرقام التواصل'!$A$6:$A$505,"proposed_name",'أرقام التواصل'!$B$6:$B$505,A101,'أرقام التواصل'!$C$6:$C$505,1))=0,AND(W101="TRUE",X101="")),"REVIEW","READY")))</x:f>
      </x:c>
      <x:c r="AE101" s="255" t="str">
        <x:f>IF(AD101="","",IF(AD101="READY","",IF(AD101="SKIP","Skipped by candidate_import_action",TRIM(IF(A101="","missing proposed_name_key; ","")&amp;IF(AND(A101&lt;&gt;"",COUNTIF($A$6:$A$505,A101)&gt;1),"duplicate proposed_name_key; ","")&amp;IF(C101="","missing candidate_import_action; ","")&amp;IF(D101="","missing move_reason; ","")&amp;IF(I101="","missing branch_id; ","")&amp;IF(L101="","missing first_name; ","")&amp;IF(M101="","missing last_name; ","")&amp;IF(U101="","missing status; ","")&amp;IF(AND(B101&lt;&gt;"",COUNTIF('الزبائن'!$A$6:$A$505,B101)=0),"source key not found; ","")&amp;IF((COUNTIFS('أرقام التواصل'!$A$6:$A$505,"proposed_name",'أرقام التواصل'!$B$6:$B$505,A101,'أرقام التواصل'!$I$6:$I$505,"TRUE")+COUNTIFS('أرقام التواصل'!$A$6:$A$505,"proposed_name",'أرقام التواصل'!$B$6:$B$505,A101,'أرقام التواصل'!$C$6:$C$505,1))=0,"missing primary contact in أرقام التواصل; ","")&amp;IF(AND(W101="TRUE",X101=""),"duplicate_type required when duplicate_flag TRUE; ","")))))</x:f>
      </x:c>
    </x:row>
    <x:row r="102">
      <x:c r="A102" s="302"/>
      <x:c r="B102" s="252"/>
      <x:c r="C102" s="253"/>
      <x:c r="D102" s="253"/>
      <x:c r="E102" s="253"/>
      <x:c r="F102" s="252"/>
      <x:c r="G102" s="253"/>
      <x:c r="H102" s="272"/>
      <x:c r="I102" s="253"/>
      <x:c r="J102" s="253"/>
      <x:c r="K102" s="253"/>
      <x:c r="L102" s="253"/>
      <x:c r="M102" s="253"/>
      <x:c r="N102" s="253"/>
      <x:c r="O102" s="253" t="str">
        <x:f>IF(TRIM(L102&amp;" "&amp;M102&amp;IF(N102&lt;&gt;""," ("&amp;N102&amp;")",""))="","",TRIM(L102&amp;" "&amp;M102&amp;IF(N102&lt;&gt;""," ("&amp;N102&amp;")","")))</x:f>
      </x:c>
      <x:c r="P102" s="253"/>
      <x:c r="Q102" s="252"/>
      <x:c r="R102" s="253"/>
      <x:c r="S102" s="253"/>
      <x:c r="T102" s="253"/>
      <x:c r="U102" s="253"/>
      <x:c r="V102" s="253"/>
      <x:c r="W102" s="253"/>
      <x:c r="X102" s="253"/>
      <x:c r="Y102" s="252"/>
      <x:c r="Z102" s="252"/>
      <x:c r="AA102" s="253"/>
      <x:c r="AB102" s="253" t="str">
        <x:f>IF(B102="","",IFERROR(INDEX('الزبائن'!$BA$6:$BA$505,MATCH(B102,'الزبائن'!$A$6:$A$505,0)),"source key not found"))</x:f>
      </x:c>
      <x:c r="AC102" s="253" t="str">
        <x:f>IF(B102="","",IFERROR(INDEX('الزبائن'!$BB$6:$BB$505,MATCH(B102,'الزبائن'!$A$6:$A$505,0)),"source key not found"))</x:f>
      </x:c>
      <x:c r="AD102" s="253" t="str">
        <x:f>IF(AND(A102="",C102="",D102="",I102="",L102="",M102=""),"",IF(C102="skip","SKIP",IF(OR(A102="",C102="",D102="",I102="",L102="",M102="",U102="",COUNTIF($A$6:$A$505,A102)&gt;1,AND(B102&lt;&gt;"",COUNTIF('الزبائن'!$A$6:$A$505,B102)=0),(COUNTIFS('أرقام التواصل'!$A$6:$A$505,"proposed_name",'أرقام التواصل'!$B$6:$B$505,A102,'أرقام التواصل'!$I$6:$I$505,"TRUE")+COUNTIFS('أرقام التواصل'!$A$6:$A$505,"proposed_name",'أرقام التواصل'!$B$6:$B$505,A102,'أرقام التواصل'!$C$6:$C$505,1))=0,AND(W102="TRUE",X102="")),"REVIEW","READY")))</x:f>
      </x:c>
      <x:c r="AE102" s="255" t="str">
        <x:f>IF(AD102="","",IF(AD102="READY","",IF(AD102="SKIP","Skipped by candidate_import_action",TRIM(IF(A102="","missing proposed_name_key; ","")&amp;IF(AND(A102&lt;&gt;"",COUNTIF($A$6:$A$505,A102)&gt;1),"duplicate proposed_name_key; ","")&amp;IF(C102="","missing candidate_import_action; ","")&amp;IF(D102="","missing move_reason; ","")&amp;IF(I102="","missing branch_id; ","")&amp;IF(L102="","missing first_name; ","")&amp;IF(M102="","missing last_name; ","")&amp;IF(U102="","missing status; ","")&amp;IF(AND(B102&lt;&gt;"",COUNTIF('الزبائن'!$A$6:$A$505,B102)=0),"source key not found; ","")&amp;IF((COUNTIFS('أرقام التواصل'!$A$6:$A$505,"proposed_name",'أرقام التواصل'!$B$6:$B$505,A102,'أرقام التواصل'!$I$6:$I$505,"TRUE")+COUNTIFS('أرقام التواصل'!$A$6:$A$505,"proposed_name",'أرقام التواصل'!$B$6:$B$505,A102,'أرقام التواصل'!$C$6:$C$505,1))=0,"missing primary contact in أرقام التواصل; ","")&amp;IF(AND(W102="TRUE",X102=""),"duplicate_type required when duplicate_flag TRUE; ","")))))</x:f>
      </x:c>
    </x:row>
    <x:row r="103">
      <x:c r="A103" s="302"/>
      <x:c r="B103" s="252"/>
      <x:c r="C103" s="253"/>
      <x:c r="D103" s="253"/>
      <x:c r="E103" s="253"/>
      <x:c r="F103" s="252"/>
      <x:c r="G103" s="253"/>
      <x:c r="H103" s="272"/>
      <x:c r="I103" s="253"/>
      <x:c r="J103" s="253"/>
      <x:c r="K103" s="253"/>
      <x:c r="L103" s="253"/>
      <x:c r="M103" s="253"/>
      <x:c r="N103" s="253"/>
      <x:c r="O103" s="253" t="str">
        <x:f>IF(TRIM(L103&amp;" "&amp;M103&amp;IF(N103&lt;&gt;""," ("&amp;N103&amp;")",""))="","",TRIM(L103&amp;" "&amp;M103&amp;IF(N103&lt;&gt;""," ("&amp;N103&amp;")","")))</x:f>
      </x:c>
      <x:c r="P103" s="253"/>
      <x:c r="Q103" s="252"/>
      <x:c r="R103" s="253"/>
      <x:c r="S103" s="253"/>
      <x:c r="T103" s="253"/>
      <x:c r="U103" s="253"/>
      <x:c r="V103" s="253"/>
      <x:c r="W103" s="253"/>
      <x:c r="X103" s="253"/>
      <x:c r="Y103" s="252"/>
      <x:c r="Z103" s="252"/>
      <x:c r="AA103" s="253"/>
      <x:c r="AB103" s="253" t="str">
        <x:f>IF(B103="","",IFERROR(INDEX('الزبائن'!$BA$6:$BA$505,MATCH(B103,'الزبائن'!$A$6:$A$505,0)),"source key not found"))</x:f>
      </x:c>
      <x:c r="AC103" s="253" t="str">
        <x:f>IF(B103="","",IFERROR(INDEX('الزبائن'!$BB$6:$BB$505,MATCH(B103,'الزبائن'!$A$6:$A$505,0)),"source key not found"))</x:f>
      </x:c>
      <x:c r="AD103" s="253" t="str">
        <x:f>IF(AND(A103="",C103="",D103="",I103="",L103="",M103=""),"",IF(C103="skip","SKIP",IF(OR(A103="",C103="",D103="",I103="",L103="",M103="",U103="",COUNTIF($A$6:$A$505,A103)&gt;1,AND(B103&lt;&gt;"",COUNTIF('الزبائن'!$A$6:$A$505,B103)=0),(COUNTIFS('أرقام التواصل'!$A$6:$A$505,"proposed_name",'أرقام التواصل'!$B$6:$B$505,A103,'أرقام التواصل'!$I$6:$I$505,"TRUE")+COUNTIFS('أرقام التواصل'!$A$6:$A$505,"proposed_name",'أرقام التواصل'!$B$6:$B$505,A103,'أرقام التواصل'!$C$6:$C$505,1))=0,AND(W103="TRUE",X103="")),"REVIEW","READY")))</x:f>
      </x:c>
      <x:c r="AE103" s="255" t="str">
        <x:f>IF(AD103="","",IF(AD103="READY","",IF(AD103="SKIP","Skipped by candidate_import_action",TRIM(IF(A103="","missing proposed_name_key; ","")&amp;IF(AND(A103&lt;&gt;"",COUNTIF($A$6:$A$505,A103)&gt;1),"duplicate proposed_name_key; ","")&amp;IF(C103="","missing candidate_import_action; ","")&amp;IF(D103="","missing move_reason; ","")&amp;IF(I103="","missing branch_id; ","")&amp;IF(L103="","missing first_name; ","")&amp;IF(M103="","missing last_name; ","")&amp;IF(U103="","missing status; ","")&amp;IF(AND(B103&lt;&gt;"",COUNTIF('الزبائن'!$A$6:$A$505,B103)=0),"source key not found; ","")&amp;IF((COUNTIFS('أرقام التواصل'!$A$6:$A$505,"proposed_name",'أرقام التواصل'!$B$6:$B$505,A103,'أرقام التواصل'!$I$6:$I$505,"TRUE")+COUNTIFS('أرقام التواصل'!$A$6:$A$505,"proposed_name",'أرقام التواصل'!$B$6:$B$505,A103,'أرقام التواصل'!$C$6:$C$505,1))=0,"missing primary contact in أرقام التواصل; ","")&amp;IF(AND(W103="TRUE",X103=""),"duplicate_type required when duplicate_flag TRUE; ","")))))</x:f>
      </x:c>
    </x:row>
    <x:row r="104">
      <x:c r="A104" s="302"/>
      <x:c r="B104" s="252"/>
      <x:c r="C104" s="253"/>
      <x:c r="D104" s="253"/>
      <x:c r="E104" s="253"/>
      <x:c r="F104" s="252"/>
      <x:c r="G104" s="253"/>
      <x:c r="H104" s="272"/>
      <x:c r="I104" s="253"/>
      <x:c r="J104" s="253"/>
      <x:c r="K104" s="253"/>
      <x:c r="L104" s="253"/>
      <x:c r="M104" s="253"/>
      <x:c r="N104" s="253"/>
      <x:c r="O104" s="253" t="str">
        <x:f>IF(TRIM(L104&amp;" "&amp;M104&amp;IF(N104&lt;&gt;""," ("&amp;N104&amp;")",""))="","",TRIM(L104&amp;" "&amp;M104&amp;IF(N104&lt;&gt;""," ("&amp;N104&amp;")","")))</x:f>
      </x:c>
      <x:c r="P104" s="253"/>
      <x:c r="Q104" s="252"/>
      <x:c r="R104" s="253"/>
      <x:c r="S104" s="253"/>
      <x:c r="T104" s="253"/>
      <x:c r="U104" s="253"/>
      <x:c r="V104" s="253"/>
      <x:c r="W104" s="253"/>
      <x:c r="X104" s="253"/>
      <x:c r="Y104" s="252"/>
      <x:c r="Z104" s="252"/>
      <x:c r="AA104" s="253"/>
      <x:c r="AB104" s="253" t="str">
        <x:f>IF(B104="","",IFERROR(INDEX('الزبائن'!$BA$6:$BA$505,MATCH(B104,'الزبائن'!$A$6:$A$505,0)),"source key not found"))</x:f>
      </x:c>
      <x:c r="AC104" s="253" t="str">
        <x:f>IF(B104="","",IFERROR(INDEX('الزبائن'!$BB$6:$BB$505,MATCH(B104,'الزبائن'!$A$6:$A$505,0)),"source key not found"))</x:f>
      </x:c>
      <x:c r="AD104" s="253" t="str">
        <x:f>IF(AND(A104="",C104="",D104="",I104="",L104="",M104=""),"",IF(C104="skip","SKIP",IF(OR(A104="",C104="",D104="",I104="",L104="",M104="",U104="",COUNTIF($A$6:$A$505,A104)&gt;1,AND(B104&lt;&gt;"",COUNTIF('الزبائن'!$A$6:$A$505,B104)=0),(COUNTIFS('أرقام التواصل'!$A$6:$A$505,"proposed_name",'أرقام التواصل'!$B$6:$B$505,A104,'أرقام التواصل'!$I$6:$I$505,"TRUE")+COUNTIFS('أرقام التواصل'!$A$6:$A$505,"proposed_name",'أرقام التواصل'!$B$6:$B$505,A104,'أرقام التواصل'!$C$6:$C$505,1))=0,AND(W104="TRUE",X104="")),"REVIEW","READY")))</x:f>
      </x:c>
      <x:c r="AE104" s="255" t="str">
        <x:f>IF(AD104="","",IF(AD104="READY","",IF(AD104="SKIP","Skipped by candidate_import_action",TRIM(IF(A104="","missing proposed_name_key; ","")&amp;IF(AND(A104&lt;&gt;"",COUNTIF($A$6:$A$505,A104)&gt;1),"duplicate proposed_name_key; ","")&amp;IF(C104="","missing candidate_import_action; ","")&amp;IF(D104="","missing move_reason; ","")&amp;IF(I104="","missing branch_id; ","")&amp;IF(L104="","missing first_name; ","")&amp;IF(M104="","missing last_name; ","")&amp;IF(U104="","missing status; ","")&amp;IF(AND(B104&lt;&gt;"",COUNTIF('الزبائن'!$A$6:$A$505,B104)=0),"source key not found; ","")&amp;IF((COUNTIFS('أرقام التواصل'!$A$6:$A$505,"proposed_name",'أرقام التواصل'!$B$6:$B$505,A104,'أرقام التواصل'!$I$6:$I$505,"TRUE")+COUNTIFS('أرقام التواصل'!$A$6:$A$505,"proposed_name",'أرقام التواصل'!$B$6:$B$505,A104,'أرقام التواصل'!$C$6:$C$505,1))=0,"missing primary contact in أرقام التواصل; ","")&amp;IF(AND(W104="TRUE",X104=""),"duplicate_type required when duplicate_flag TRUE; ","")))))</x:f>
      </x:c>
    </x:row>
    <x:row r="105">
      <x:c r="A105" s="302"/>
      <x:c r="B105" s="252"/>
      <x:c r="C105" s="253"/>
      <x:c r="D105" s="253"/>
      <x:c r="E105" s="253"/>
      <x:c r="F105" s="252"/>
      <x:c r="G105" s="253"/>
      <x:c r="H105" s="272"/>
      <x:c r="I105" s="253"/>
      <x:c r="J105" s="253"/>
      <x:c r="K105" s="253"/>
      <x:c r="L105" s="253"/>
      <x:c r="M105" s="253"/>
      <x:c r="N105" s="253"/>
      <x:c r="O105" s="253" t="str">
        <x:f>IF(TRIM(L105&amp;" "&amp;M105&amp;IF(N105&lt;&gt;""," ("&amp;N105&amp;")",""))="","",TRIM(L105&amp;" "&amp;M105&amp;IF(N105&lt;&gt;""," ("&amp;N105&amp;")","")))</x:f>
      </x:c>
      <x:c r="P105" s="253"/>
      <x:c r="Q105" s="252"/>
      <x:c r="R105" s="253"/>
      <x:c r="S105" s="253"/>
      <x:c r="T105" s="253"/>
      <x:c r="U105" s="253"/>
      <x:c r="V105" s="253"/>
      <x:c r="W105" s="253"/>
      <x:c r="X105" s="253"/>
      <x:c r="Y105" s="252"/>
      <x:c r="Z105" s="252"/>
      <x:c r="AA105" s="253"/>
      <x:c r="AB105" s="253" t="str">
        <x:f>IF(B105="","",IFERROR(INDEX('الزبائن'!$BA$6:$BA$505,MATCH(B105,'الزبائن'!$A$6:$A$505,0)),"source key not found"))</x:f>
      </x:c>
      <x:c r="AC105" s="253" t="str">
        <x:f>IF(B105="","",IFERROR(INDEX('الزبائن'!$BB$6:$BB$505,MATCH(B105,'الزبائن'!$A$6:$A$505,0)),"source key not found"))</x:f>
      </x:c>
      <x:c r="AD105" s="253" t="str">
        <x:f>IF(AND(A105="",C105="",D105="",I105="",L105="",M105=""),"",IF(C105="skip","SKIP",IF(OR(A105="",C105="",D105="",I105="",L105="",M105="",U105="",COUNTIF($A$6:$A$505,A105)&gt;1,AND(B105&lt;&gt;"",COUNTIF('الزبائن'!$A$6:$A$505,B105)=0),(COUNTIFS('أرقام التواصل'!$A$6:$A$505,"proposed_name",'أرقام التواصل'!$B$6:$B$505,A105,'أرقام التواصل'!$I$6:$I$505,"TRUE")+COUNTIFS('أرقام التواصل'!$A$6:$A$505,"proposed_name",'أرقام التواصل'!$B$6:$B$505,A105,'أرقام التواصل'!$C$6:$C$505,1))=0,AND(W105="TRUE",X105="")),"REVIEW","READY")))</x:f>
      </x:c>
      <x:c r="AE105" s="255" t="str">
        <x:f>IF(AD105="","",IF(AD105="READY","",IF(AD105="SKIP","Skipped by candidate_import_action",TRIM(IF(A105="","missing proposed_name_key; ","")&amp;IF(AND(A105&lt;&gt;"",COUNTIF($A$6:$A$505,A105)&gt;1),"duplicate proposed_name_key; ","")&amp;IF(C105="","missing candidate_import_action; ","")&amp;IF(D105="","missing move_reason; ","")&amp;IF(I105="","missing branch_id; ","")&amp;IF(L105="","missing first_name; ","")&amp;IF(M105="","missing last_name; ","")&amp;IF(U105="","missing status; ","")&amp;IF(AND(B105&lt;&gt;"",COUNTIF('الزبائن'!$A$6:$A$505,B105)=0),"source key not found; ","")&amp;IF((COUNTIFS('أرقام التواصل'!$A$6:$A$505,"proposed_name",'أرقام التواصل'!$B$6:$B$505,A105,'أرقام التواصل'!$I$6:$I$505,"TRUE")+COUNTIFS('أرقام التواصل'!$A$6:$A$505,"proposed_name",'أرقام التواصل'!$B$6:$B$505,A105,'أرقام التواصل'!$C$6:$C$505,1))=0,"missing primary contact in أرقام التواصل; ","")&amp;IF(AND(W105="TRUE",X105=""),"duplicate_type required when duplicate_flag TRUE; ","")))))</x:f>
      </x:c>
    </x:row>
    <x:row r="106">
      <x:c r="A106" s="302"/>
      <x:c r="B106" s="252"/>
      <x:c r="C106" s="253"/>
      <x:c r="D106" s="253"/>
      <x:c r="E106" s="253"/>
      <x:c r="F106" s="252"/>
      <x:c r="G106" s="253"/>
      <x:c r="H106" s="272"/>
      <x:c r="I106" s="253"/>
      <x:c r="J106" s="253"/>
      <x:c r="K106" s="253"/>
      <x:c r="L106" s="253"/>
      <x:c r="M106" s="253"/>
      <x:c r="N106" s="253"/>
      <x:c r="O106" s="253" t="str">
        <x:f>IF(TRIM(L106&amp;" "&amp;M106&amp;IF(N106&lt;&gt;""," ("&amp;N106&amp;")",""))="","",TRIM(L106&amp;" "&amp;M106&amp;IF(N106&lt;&gt;""," ("&amp;N106&amp;")","")))</x:f>
      </x:c>
      <x:c r="P106" s="253"/>
      <x:c r="Q106" s="252"/>
      <x:c r="R106" s="253"/>
      <x:c r="S106" s="253"/>
      <x:c r="T106" s="253"/>
      <x:c r="U106" s="253"/>
      <x:c r="V106" s="253"/>
      <x:c r="W106" s="253"/>
      <x:c r="X106" s="253"/>
      <x:c r="Y106" s="252"/>
      <x:c r="Z106" s="252"/>
      <x:c r="AA106" s="253"/>
      <x:c r="AB106" s="253" t="str">
        <x:f>IF(B106="","",IFERROR(INDEX('الزبائن'!$BA$6:$BA$505,MATCH(B106,'الزبائن'!$A$6:$A$505,0)),"source key not found"))</x:f>
      </x:c>
      <x:c r="AC106" s="253" t="str">
        <x:f>IF(B106="","",IFERROR(INDEX('الزبائن'!$BB$6:$BB$505,MATCH(B106,'الزبائن'!$A$6:$A$505,0)),"source key not found"))</x:f>
      </x:c>
      <x:c r="AD106" s="253" t="str">
        <x:f>IF(AND(A106="",C106="",D106="",I106="",L106="",M106=""),"",IF(C106="skip","SKIP",IF(OR(A106="",C106="",D106="",I106="",L106="",M106="",U106="",COUNTIF($A$6:$A$505,A106)&gt;1,AND(B106&lt;&gt;"",COUNTIF('الزبائن'!$A$6:$A$505,B106)=0),(COUNTIFS('أرقام التواصل'!$A$6:$A$505,"proposed_name",'أرقام التواصل'!$B$6:$B$505,A106,'أرقام التواصل'!$I$6:$I$505,"TRUE")+COUNTIFS('أرقام التواصل'!$A$6:$A$505,"proposed_name",'أرقام التواصل'!$B$6:$B$505,A106,'أرقام التواصل'!$C$6:$C$505,1))=0,AND(W106="TRUE",X106="")),"REVIEW","READY")))</x:f>
      </x:c>
      <x:c r="AE106" s="255" t="str">
        <x:f>IF(AD106="","",IF(AD106="READY","",IF(AD106="SKIP","Skipped by candidate_import_action",TRIM(IF(A106="","missing proposed_name_key; ","")&amp;IF(AND(A106&lt;&gt;"",COUNTIF($A$6:$A$505,A106)&gt;1),"duplicate proposed_name_key; ","")&amp;IF(C106="","missing candidate_import_action; ","")&amp;IF(D106="","missing move_reason; ","")&amp;IF(I106="","missing branch_id; ","")&amp;IF(L106="","missing first_name; ","")&amp;IF(M106="","missing last_name; ","")&amp;IF(U106="","missing status; ","")&amp;IF(AND(B106&lt;&gt;"",COUNTIF('الزبائن'!$A$6:$A$505,B106)=0),"source key not found; ","")&amp;IF((COUNTIFS('أرقام التواصل'!$A$6:$A$505,"proposed_name",'أرقام التواصل'!$B$6:$B$505,A106,'أرقام التواصل'!$I$6:$I$505,"TRUE")+COUNTIFS('أرقام التواصل'!$A$6:$A$505,"proposed_name",'أرقام التواصل'!$B$6:$B$505,A106,'أرقام التواصل'!$C$6:$C$505,1))=0,"missing primary contact in أرقام التواصل; ","")&amp;IF(AND(W106="TRUE",X106=""),"duplicate_type required when duplicate_flag TRUE; ","")))))</x:f>
      </x:c>
    </x:row>
    <x:row r="107">
      <x:c r="A107" s="302"/>
      <x:c r="B107" s="252"/>
      <x:c r="C107" s="253"/>
      <x:c r="D107" s="253"/>
      <x:c r="E107" s="253"/>
      <x:c r="F107" s="252"/>
      <x:c r="G107" s="253"/>
      <x:c r="H107" s="272"/>
      <x:c r="I107" s="253"/>
      <x:c r="J107" s="253"/>
      <x:c r="K107" s="253"/>
      <x:c r="L107" s="253"/>
      <x:c r="M107" s="253"/>
      <x:c r="N107" s="253"/>
      <x:c r="O107" s="253" t="str">
        <x:f>IF(TRIM(L107&amp;" "&amp;M107&amp;IF(N107&lt;&gt;""," ("&amp;N107&amp;")",""))="","",TRIM(L107&amp;" "&amp;M107&amp;IF(N107&lt;&gt;""," ("&amp;N107&amp;")","")))</x:f>
      </x:c>
      <x:c r="P107" s="253"/>
      <x:c r="Q107" s="252"/>
      <x:c r="R107" s="253"/>
      <x:c r="S107" s="253"/>
      <x:c r="T107" s="253"/>
      <x:c r="U107" s="253"/>
      <x:c r="V107" s="253"/>
      <x:c r="W107" s="253"/>
      <x:c r="X107" s="253"/>
      <x:c r="Y107" s="252"/>
      <x:c r="Z107" s="252"/>
      <x:c r="AA107" s="253"/>
      <x:c r="AB107" s="253" t="str">
        <x:f>IF(B107="","",IFERROR(INDEX('الزبائن'!$BA$6:$BA$505,MATCH(B107,'الزبائن'!$A$6:$A$505,0)),"source key not found"))</x:f>
      </x:c>
      <x:c r="AC107" s="253" t="str">
        <x:f>IF(B107="","",IFERROR(INDEX('الزبائن'!$BB$6:$BB$505,MATCH(B107,'الزبائن'!$A$6:$A$505,0)),"source key not found"))</x:f>
      </x:c>
      <x:c r="AD107" s="253" t="str">
        <x:f>IF(AND(A107="",C107="",D107="",I107="",L107="",M107=""),"",IF(C107="skip","SKIP",IF(OR(A107="",C107="",D107="",I107="",L107="",M107="",U107="",COUNTIF($A$6:$A$505,A107)&gt;1,AND(B107&lt;&gt;"",COUNTIF('الزبائن'!$A$6:$A$505,B107)=0),(COUNTIFS('أرقام التواصل'!$A$6:$A$505,"proposed_name",'أرقام التواصل'!$B$6:$B$505,A107,'أرقام التواصل'!$I$6:$I$505,"TRUE")+COUNTIFS('أرقام التواصل'!$A$6:$A$505,"proposed_name",'أرقام التواصل'!$B$6:$B$505,A107,'أرقام التواصل'!$C$6:$C$505,1))=0,AND(W107="TRUE",X107="")),"REVIEW","READY")))</x:f>
      </x:c>
      <x:c r="AE107" s="255" t="str">
        <x:f>IF(AD107="","",IF(AD107="READY","",IF(AD107="SKIP","Skipped by candidate_import_action",TRIM(IF(A107="","missing proposed_name_key; ","")&amp;IF(AND(A107&lt;&gt;"",COUNTIF($A$6:$A$505,A107)&gt;1),"duplicate proposed_name_key; ","")&amp;IF(C107="","missing candidate_import_action; ","")&amp;IF(D107="","missing move_reason; ","")&amp;IF(I107="","missing branch_id; ","")&amp;IF(L107="","missing first_name; ","")&amp;IF(M107="","missing last_name; ","")&amp;IF(U107="","missing status; ","")&amp;IF(AND(B107&lt;&gt;"",COUNTIF('الزبائن'!$A$6:$A$505,B107)=0),"source key not found; ","")&amp;IF((COUNTIFS('أرقام التواصل'!$A$6:$A$505,"proposed_name",'أرقام التواصل'!$B$6:$B$505,A107,'أرقام التواصل'!$I$6:$I$505,"TRUE")+COUNTIFS('أرقام التواصل'!$A$6:$A$505,"proposed_name",'أرقام التواصل'!$B$6:$B$505,A107,'أرقام التواصل'!$C$6:$C$505,1))=0,"missing primary contact in أرقام التواصل; ","")&amp;IF(AND(W107="TRUE",X107=""),"duplicate_type required when duplicate_flag TRUE; ","")))))</x:f>
      </x:c>
    </x:row>
    <x:row r="108">
      <x:c r="A108" s="302"/>
      <x:c r="B108" s="252"/>
      <x:c r="C108" s="253"/>
      <x:c r="D108" s="253"/>
      <x:c r="E108" s="253"/>
      <x:c r="F108" s="252"/>
      <x:c r="G108" s="253"/>
      <x:c r="H108" s="272"/>
      <x:c r="I108" s="253"/>
      <x:c r="J108" s="253"/>
      <x:c r="K108" s="253"/>
      <x:c r="L108" s="253"/>
      <x:c r="M108" s="253"/>
      <x:c r="N108" s="253"/>
      <x:c r="O108" s="253" t="str">
        <x:f>IF(TRIM(L108&amp;" "&amp;M108&amp;IF(N108&lt;&gt;""," ("&amp;N108&amp;")",""))="","",TRIM(L108&amp;" "&amp;M108&amp;IF(N108&lt;&gt;""," ("&amp;N108&amp;")","")))</x:f>
      </x:c>
      <x:c r="P108" s="253"/>
      <x:c r="Q108" s="252"/>
      <x:c r="R108" s="253"/>
      <x:c r="S108" s="253"/>
      <x:c r="T108" s="253"/>
      <x:c r="U108" s="253"/>
      <x:c r="V108" s="253"/>
      <x:c r="W108" s="253"/>
      <x:c r="X108" s="253"/>
      <x:c r="Y108" s="252"/>
      <x:c r="Z108" s="252"/>
      <x:c r="AA108" s="253"/>
      <x:c r="AB108" s="253" t="str">
        <x:f>IF(B108="","",IFERROR(INDEX('الزبائن'!$BA$6:$BA$505,MATCH(B108,'الزبائن'!$A$6:$A$505,0)),"source key not found"))</x:f>
      </x:c>
      <x:c r="AC108" s="253" t="str">
        <x:f>IF(B108="","",IFERROR(INDEX('الزبائن'!$BB$6:$BB$505,MATCH(B108,'الزبائن'!$A$6:$A$505,0)),"source key not found"))</x:f>
      </x:c>
      <x:c r="AD108" s="253" t="str">
        <x:f>IF(AND(A108="",C108="",D108="",I108="",L108="",M108=""),"",IF(C108="skip","SKIP",IF(OR(A108="",C108="",D108="",I108="",L108="",M108="",U108="",COUNTIF($A$6:$A$505,A108)&gt;1,AND(B108&lt;&gt;"",COUNTIF('الزبائن'!$A$6:$A$505,B108)=0),(COUNTIFS('أرقام التواصل'!$A$6:$A$505,"proposed_name",'أرقام التواصل'!$B$6:$B$505,A108,'أرقام التواصل'!$I$6:$I$505,"TRUE")+COUNTIFS('أرقام التواصل'!$A$6:$A$505,"proposed_name",'أرقام التواصل'!$B$6:$B$505,A108,'أرقام التواصل'!$C$6:$C$505,1))=0,AND(W108="TRUE",X108="")),"REVIEW","READY")))</x:f>
      </x:c>
      <x:c r="AE108" s="255" t="str">
        <x:f>IF(AD108="","",IF(AD108="READY","",IF(AD108="SKIP","Skipped by candidate_import_action",TRIM(IF(A108="","missing proposed_name_key; ","")&amp;IF(AND(A108&lt;&gt;"",COUNTIF($A$6:$A$505,A108)&gt;1),"duplicate proposed_name_key; ","")&amp;IF(C108="","missing candidate_import_action; ","")&amp;IF(D108="","missing move_reason; ","")&amp;IF(I108="","missing branch_id; ","")&amp;IF(L108="","missing first_name; ","")&amp;IF(M108="","missing last_name; ","")&amp;IF(U108="","missing status; ","")&amp;IF(AND(B108&lt;&gt;"",COUNTIF('الزبائن'!$A$6:$A$505,B108)=0),"source key not found; ","")&amp;IF((COUNTIFS('أرقام التواصل'!$A$6:$A$505,"proposed_name",'أرقام التواصل'!$B$6:$B$505,A108,'أرقام التواصل'!$I$6:$I$505,"TRUE")+COUNTIFS('أرقام التواصل'!$A$6:$A$505,"proposed_name",'أرقام التواصل'!$B$6:$B$505,A108,'أرقام التواصل'!$C$6:$C$505,1))=0,"missing primary contact in أرقام التواصل; ","")&amp;IF(AND(W108="TRUE",X108=""),"duplicate_type required when duplicate_flag TRUE; ","")))))</x:f>
      </x:c>
    </x:row>
    <x:row r="109">
      <x:c r="A109" s="302"/>
      <x:c r="B109" s="252"/>
      <x:c r="C109" s="253"/>
      <x:c r="D109" s="253"/>
      <x:c r="E109" s="253"/>
      <x:c r="F109" s="252"/>
      <x:c r="G109" s="253"/>
      <x:c r="H109" s="272"/>
      <x:c r="I109" s="253"/>
      <x:c r="J109" s="253"/>
      <x:c r="K109" s="253"/>
      <x:c r="L109" s="253"/>
      <x:c r="M109" s="253"/>
      <x:c r="N109" s="253"/>
      <x:c r="O109" s="253" t="str">
        <x:f>IF(TRIM(L109&amp;" "&amp;M109&amp;IF(N109&lt;&gt;""," ("&amp;N109&amp;")",""))="","",TRIM(L109&amp;" "&amp;M109&amp;IF(N109&lt;&gt;""," ("&amp;N109&amp;")","")))</x:f>
      </x:c>
      <x:c r="P109" s="253"/>
      <x:c r="Q109" s="252"/>
      <x:c r="R109" s="253"/>
      <x:c r="S109" s="253"/>
      <x:c r="T109" s="253"/>
      <x:c r="U109" s="253"/>
      <x:c r="V109" s="253"/>
      <x:c r="W109" s="253"/>
      <x:c r="X109" s="253"/>
      <x:c r="Y109" s="252"/>
      <x:c r="Z109" s="252"/>
      <x:c r="AA109" s="253"/>
      <x:c r="AB109" s="253" t="str">
        <x:f>IF(B109="","",IFERROR(INDEX('الزبائن'!$BA$6:$BA$505,MATCH(B109,'الزبائن'!$A$6:$A$505,0)),"source key not found"))</x:f>
      </x:c>
      <x:c r="AC109" s="253" t="str">
        <x:f>IF(B109="","",IFERROR(INDEX('الزبائن'!$BB$6:$BB$505,MATCH(B109,'الزبائن'!$A$6:$A$505,0)),"source key not found"))</x:f>
      </x:c>
      <x:c r="AD109" s="253" t="str">
        <x:f>IF(AND(A109="",C109="",D109="",I109="",L109="",M109=""),"",IF(C109="skip","SKIP",IF(OR(A109="",C109="",D109="",I109="",L109="",M109="",U109="",COUNTIF($A$6:$A$505,A109)&gt;1,AND(B109&lt;&gt;"",COUNTIF('الزبائن'!$A$6:$A$505,B109)=0),(COUNTIFS('أرقام التواصل'!$A$6:$A$505,"proposed_name",'أرقام التواصل'!$B$6:$B$505,A109,'أرقام التواصل'!$I$6:$I$505,"TRUE")+COUNTIFS('أرقام التواصل'!$A$6:$A$505,"proposed_name",'أرقام التواصل'!$B$6:$B$505,A109,'أرقام التواصل'!$C$6:$C$505,1))=0,AND(W109="TRUE",X109="")),"REVIEW","READY")))</x:f>
      </x:c>
      <x:c r="AE109" s="255" t="str">
        <x:f>IF(AD109="","",IF(AD109="READY","",IF(AD109="SKIP","Skipped by candidate_import_action",TRIM(IF(A109="","missing proposed_name_key; ","")&amp;IF(AND(A109&lt;&gt;"",COUNTIF($A$6:$A$505,A109)&gt;1),"duplicate proposed_name_key; ","")&amp;IF(C109="","missing candidate_import_action; ","")&amp;IF(D109="","missing move_reason; ","")&amp;IF(I109="","missing branch_id; ","")&amp;IF(L109="","missing first_name; ","")&amp;IF(M109="","missing last_name; ","")&amp;IF(U109="","missing status; ","")&amp;IF(AND(B109&lt;&gt;"",COUNTIF('الزبائن'!$A$6:$A$505,B109)=0),"source key not found; ","")&amp;IF((COUNTIFS('أرقام التواصل'!$A$6:$A$505,"proposed_name",'أرقام التواصل'!$B$6:$B$505,A109,'أرقام التواصل'!$I$6:$I$505,"TRUE")+COUNTIFS('أرقام التواصل'!$A$6:$A$505,"proposed_name",'أرقام التواصل'!$B$6:$B$505,A109,'أرقام التواصل'!$C$6:$C$505,1))=0,"missing primary contact in أرقام التواصل; ","")&amp;IF(AND(W109="TRUE",X109=""),"duplicate_type required when duplicate_flag TRUE; ","")))))</x:f>
      </x:c>
    </x:row>
    <x:row r="110">
      <x:c r="A110" s="302"/>
      <x:c r="B110" s="252"/>
      <x:c r="C110" s="253"/>
      <x:c r="D110" s="253"/>
      <x:c r="E110" s="253"/>
      <x:c r="F110" s="252"/>
      <x:c r="G110" s="253"/>
      <x:c r="H110" s="272"/>
      <x:c r="I110" s="253"/>
      <x:c r="J110" s="253"/>
      <x:c r="K110" s="253"/>
      <x:c r="L110" s="253"/>
      <x:c r="M110" s="253"/>
      <x:c r="N110" s="253"/>
      <x:c r="O110" s="253" t="str">
        <x:f>IF(TRIM(L110&amp;" "&amp;M110&amp;IF(N110&lt;&gt;""," ("&amp;N110&amp;")",""))="","",TRIM(L110&amp;" "&amp;M110&amp;IF(N110&lt;&gt;""," ("&amp;N110&amp;")","")))</x:f>
      </x:c>
      <x:c r="P110" s="253"/>
      <x:c r="Q110" s="252"/>
      <x:c r="R110" s="253"/>
      <x:c r="S110" s="253"/>
      <x:c r="T110" s="253"/>
      <x:c r="U110" s="253"/>
      <x:c r="V110" s="253"/>
      <x:c r="W110" s="253"/>
      <x:c r="X110" s="253"/>
      <x:c r="Y110" s="252"/>
      <x:c r="Z110" s="252"/>
      <x:c r="AA110" s="253"/>
      <x:c r="AB110" s="253" t="str">
        <x:f>IF(B110="","",IFERROR(INDEX('الزبائن'!$BA$6:$BA$505,MATCH(B110,'الزبائن'!$A$6:$A$505,0)),"source key not found"))</x:f>
      </x:c>
      <x:c r="AC110" s="253" t="str">
        <x:f>IF(B110="","",IFERROR(INDEX('الزبائن'!$BB$6:$BB$505,MATCH(B110,'الزبائن'!$A$6:$A$505,0)),"source key not found"))</x:f>
      </x:c>
      <x:c r="AD110" s="253" t="str">
        <x:f>IF(AND(A110="",C110="",D110="",I110="",L110="",M110=""),"",IF(C110="skip","SKIP",IF(OR(A110="",C110="",D110="",I110="",L110="",M110="",U110="",COUNTIF($A$6:$A$505,A110)&gt;1,AND(B110&lt;&gt;"",COUNTIF('الزبائن'!$A$6:$A$505,B110)=0),(COUNTIFS('أرقام التواصل'!$A$6:$A$505,"proposed_name",'أرقام التواصل'!$B$6:$B$505,A110,'أرقام التواصل'!$I$6:$I$505,"TRUE")+COUNTIFS('أرقام التواصل'!$A$6:$A$505,"proposed_name",'أرقام التواصل'!$B$6:$B$505,A110,'أرقام التواصل'!$C$6:$C$505,1))=0,AND(W110="TRUE",X110="")),"REVIEW","READY")))</x:f>
      </x:c>
      <x:c r="AE110" s="255" t="str">
        <x:f>IF(AD110="","",IF(AD110="READY","",IF(AD110="SKIP","Skipped by candidate_import_action",TRIM(IF(A110="","missing proposed_name_key; ","")&amp;IF(AND(A110&lt;&gt;"",COUNTIF($A$6:$A$505,A110)&gt;1),"duplicate proposed_name_key; ","")&amp;IF(C110="","missing candidate_import_action; ","")&amp;IF(D110="","missing move_reason; ","")&amp;IF(I110="","missing branch_id; ","")&amp;IF(L110="","missing first_name; ","")&amp;IF(M110="","missing last_name; ","")&amp;IF(U110="","missing status; ","")&amp;IF(AND(B110&lt;&gt;"",COUNTIF('الزبائن'!$A$6:$A$505,B110)=0),"source key not found; ","")&amp;IF((COUNTIFS('أرقام التواصل'!$A$6:$A$505,"proposed_name",'أرقام التواصل'!$B$6:$B$505,A110,'أرقام التواصل'!$I$6:$I$505,"TRUE")+COUNTIFS('أرقام التواصل'!$A$6:$A$505,"proposed_name",'أرقام التواصل'!$B$6:$B$505,A110,'أرقام التواصل'!$C$6:$C$505,1))=0,"missing primary contact in أرقام التواصل; ","")&amp;IF(AND(W110="TRUE",X110=""),"duplicate_type required when duplicate_flag TRUE; ","")))))</x:f>
      </x:c>
    </x:row>
    <x:row r="111">
      <x:c r="A111" s="302"/>
      <x:c r="B111" s="252"/>
      <x:c r="C111" s="253"/>
      <x:c r="D111" s="253"/>
      <x:c r="E111" s="253"/>
      <x:c r="F111" s="252"/>
      <x:c r="G111" s="253"/>
      <x:c r="H111" s="272"/>
      <x:c r="I111" s="253"/>
      <x:c r="J111" s="253"/>
      <x:c r="K111" s="253"/>
      <x:c r="L111" s="253"/>
      <x:c r="M111" s="253"/>
      <x:c r="N111" s="253"/>
      <x:c r="O111" s="253" t="str">
        <x:f>IF(TRIM(L111&amp;" "&amp;M111&amp;IF(N111&lt;&gt;""," ("&amp;N111&amp;")",""))="","",TRIM(L111&amp;" "&amp;M111&amp;IF(N111&lt;&gt;""," ("&amp;N111&amp;")","")))</x:f>
      </x:c>
      <x:c r="P111" s="253"/>
      <x:c r="Q111" s="252"/>
      <x:c r="R111" s="253"/>
      <x:c r="S111" s="253"/>
      <x:c r="T111" s="253"/>
      <x:c r="U111" s="253"/>
      <x:c r="V111" s="253"/>
      <x:c r="W111" s="253"/>
      <x:c r="X111" s="253"/>
      <x:c r="Y111" s="252"/>
      <x:c r="Z111" s="252"/>
      <x:c r="AA111" s="253"/>
      <x:c r="AB111" s="253" t="str">
        <x:f>IF(B111="","",IFERROR(INDEX('الزبائن'!$BA$6:$BA$505,MATCH(B111,'الزبائن'!$A$6:$A$505,0)),"source key not found"))</x:f>
      </x:c>
      <x:c r="AC111" s="253" t="str">
        <x:f>IF(B111="","",IFERROR(INDEX('الزبائن'!$BB$6:$BB$505,MATCH(B111,'الزبائن'!$A$6:$A$505,0)),"source key not found"))</x:f>
      </x:c>
      <x:c r="AD111" s="253" t="str">
        <x:f>IF(AND(A111="",C111="",D111="",I111="",L111="",M111=""),"",IF(C111="skip","SKIP",IF(OR(A111="",C111="",D111="",I111="",L111="",M111="",U111="",COUNTIF($A$6:$A$505,A111)&gt;1,AND(B111&lt;&gt;"",COUNTIF('الزبائن'!$A$6:$A$505,B111)=0),(COUNTIFS('أرقام التواصل'!$A$6:$A$505,"proposed_name",'أرقام التواصل'!$B$6:$B$505,A111,'أرقام التواصل'!$I$6:$I$505,"TRUE")+COUNTIFS('أرقام التواصل'!$A$6:$A$505,"proposed_name",'أرقام التواصل'!$B$6:$B$505,A111,'أرقام التواصل'!$C$6:$C$505,1))=0,AND(W111="TRUE",X111="")),"REVIEW","READY")))</x:f>
      </x:c>
      <x:c r="AE111" s="255" t="str">
        <x:f>IF(AD111="","",IF(AD111="READY","",IF(AD111="SKIP","Skipped by candidate_import_action",TRIM(IF(A111="","missing proposed_name_key; ","")&amp;IF(AND(A111&lt;&gt;"",COUNTIF($A$6:$A$505,A111)&gt;1),"duplicate proposed_name_key; ","")&amp;IF(C111="","missing candidate_import_action; ","")&amp;IF(D111="","missing move_reason; ","")&amp;IF(I111="","missing branch_id; ","")&amp;IF(L111="","missing first_name; ","")&amp;IF(M111="","missing last_name; ","")&amp;IF(U111="","missing status; ","")&amp;IF(AND(B111&lt;&gt;"",COUNTIF('الزبائن'!$A$6:$A$505,B111)=0),"source key not found; ","")&amp;IF((COUNTIFS('أرقام التواصل'!$A$6:$A$505,"proposed_name",'أرقام التواصل'!$B$6:$B$505,A111,'أرقام التواصل'!$I$6:$I$505,"TRUE")+COUNTIFS('أرقام التواصل'!$A$6:$A$505,"proposed_name",'أرقام التواصل'!$B$6:$B$505,A111,'أرقام التواصل'!$C$6:$C$505,1))=0,"missing primary contact in أرقام التواصل; ","")&amp;IF(AND(W111="TRUE",X111=""),"duplicate_type required when duplicate_flag TRUE; ","")))))</x:f>
      </x:c>
    </x:row>
    <x:row r="112">
      <x:c r="A112" s="302"/>
      <x:c r="B112" s="252"/>
      <x:c r="C112" s="253"/>
      <x:c r="D112" s="253"/>
      <x:c r="E112" s="253"/>
      <x:c r="F112" s="252"/>
      <x:c r="G112" s="253"/>
      <x:c r="H112" s="272"/>
      <x:c r="I112" s="253"/>
      <x:c r="J112" s="253"/>
      <x:c r="K112" s="253"/>
      <x:c r="L112" s="253"/>
      <x:c r="M112" s="253"/>
      <x:c r="N112" s="253"/>
      <x:c r="O112" s="253" t="str">
        <x:f>IF(TRIM(L112&amp;" "&amp;M112&amp;IF(N112&lt;&gt;""," ("&amp;N112&amp;")",""))="","",TRIM(L112&amp;" "&amp;M112&amp;IF(N112&lt;&gt;""," ("&amp;N112&amp;")","")))</x:f>
      </x:c>
      <x:c r="P112" s="253"/>
      <x:c r="Q112" s="252"/>
      <x:c r="R112" s="253"/>
      <x:c r="S112" s="253"/>
      <x:c r="T112" s="253"/>
      <x:c r="U112" s="253"/>
      <x:c r="V112" s="253"/>
      <x:c r="W112" s="253"/>
      <x:c r="X112" s="253"/>
      <x:c r="Y112" s="252"/>
      <x:c r="Z112" s="252"/>
      <x:c r="AA112" s="253"/>
      <x:c r="AB112" s="253" t="str">
        <x:f>IF(B112="","",IFERROR(INDEX('الزبائن'!$BA$6:$BA$505,MATCH(B112,'الزبائن'!$A$6:$A$505,0)),"source key not found"))</x:f>
      </x:c>
      <x:c r="AC112" s="253" t="str">
        <x:f>IF(B112="","",IFERROR(INDEX('الزبائن'!$BB$6:$BB$505,MATCH(B112,'الزبائن'!$A$6:$A$505,0)),"source key not found"))</x:f>
      </x:c>
      <x:c r="AD112" s="253" t="str">
        <x:f>IF(AND(A112="",C112="",D112="",I112="",L112="",M112=""),"",IF(C112="skip","SKIP",IF(OR(A112="",C112="",D112="",I112="",L112="",M112="",U112="",COUNTIF($A$6:$A$505,A112)&gt;1,AND(B112&lt;&gt;"",COUNTIF('الزبائن'!$A$6:$A$505,B112)=0),(COUNTIFS('أرقام التواصل'!$A$6:$A$505,"proposed_name",'أرقام التواصل'!$B$6:$B$505,A112,'أرقام التواصل'!$I$6:$I$505,"TRUE")+COUNTIFS('أرقام التواصل'!$A$6:$A$505,"proposed_name",'أرقام التواصل'!$B$6:$B$505,A112,'أرقام التواصل'!$C$6:$C$505,1))=0,AND(W112="TRUE",X112="")),"REVIEW","READY")))</x:f>
      </x:c>
      <x:c r="AE112" s="255" t="str">
        <x:f>IF(AD112="","",IF(AD112="READY","",IF(AD112="SKIP","Skipped by candidate_import_action",TRIM(IF(A112="","missing proposed_name_key; ","")&amp;IF(AND(A112&lt;&gt;"",COUNTIF($A$6:$A$505,A112)&gt;1),"duplicate proposed_name_key; ","")&amp;IF(C112="","missing candidate_import_action; ","")&amp;IF(D112="","missing move_reason; ","")&amp;IF(I112="","missing branch_id; ","")&amp;IF(L112="","missing first_name; ","")&amp;IF(M112="","missing last_name; ","")&amp;IF(U112="","missing status; ","")&amp;IF(AND(B112&lt;&gt;"",COUNTIF('الزبائن'!$A$6:$A$505,B112)=0),"source key not found; ","")&amp;IF((COUNTIFS('أرقام التواصل'!$A$6:$A$505,"proposed_name",'أرقام التواصل'!$B$6:$B$505,A112,'أرقام التواصل'!$I$6:$I$505,"TRUE")+COUNTIFS('أرقام التواصل'!$A$6:$A$505,"proposed_name",'أرقام التواصل'!$B$6:$B$505,A112,'أرقام التواصل'!$C$6:$C$505,1))=0,"missing primary contact in أرقام التواصل; ","")&amp;IF(AND(W112="TRUE",X112=""),"duplicate_type required when duplicate_flag TRUE; ","")))))</x:f>
      </x:c>
    </x:row>
    <x:row r="113">
      <x:c r="A113" s="302"/>
      <x:c r="B113" s="252"/>
      <x:c r="C113" s="253"/>
      <x:c r="D113" s="253"/>
      <x:c r="E113" s="253"/>
      <x:c r="F113" s="252"/>
      <x:c r="G113" s="253"/>
      <x:c r="H113" s="272"/>
      <x:c r="I113" s="253"/>
      <x:c r="J113" s="253"/>
      <x:c r="K113" s="253"/>
      <x:c r="L113" s="253"/>
      <x:c r="M113" s="253"/>
      <x:c r="N113" s="253"/>
      <x:c r="O113" s="253" t="str">
        <x:f>IF(TRIM(L113&amp;" "&amp;M113&amp;IF(N113&lt;&gt;""," ("&amp;N113&amp;")",""))="","",TRIM(L113&amp;" "&amp;M113&amp;IF(N113&lt;&gt;""," ("&amp;N113&amp;")","")))</x:f>
      </x:c>
      <x:c r="P113" s="253"/>
      <x:c r="Q113" s="252"/>
      <x:c r="R113" s="253"/>
      <x:c r="S113" s="253"/>
      <x:c r="T113" s="253"/>
      <x:c r="U113" s="253"/>
      <x:c r="V113" s="253"/>
      <x:c r="W113" s="253"/>
      <x:c r="X113" s="253"/>
      <x:c r="Y113" s="252"/>
      <x:c r="Z113" s="252"/>
      <x:c r="AA113" s="253"/>
      <x:c r="AB113" s="253" t="str">
        <x:f>IF(B113="","",IFERROR(INDEX('الزبائن'!$BA$6:$BA$505,MATCH(B113,'الزبائن'!$A$6:$A$505,0)),"source key not found"))</x:f>
      </x:c>
      <x:c r="AC113" s="253" t="str">
        <x:f>IF(B113="","",IFERROR(INDEX('الزبائن'!$BB$6:$BB$505,MATCH(B113,'الزبائن'!$A$6:$A$505,0)),"source key not found"))</x:f>
      </x:c>
      <x:c r="AD113" s="253" t="str">
        <x:f>IF(AND(A113="",C113="",D113="",I113="",L113="",M113=""),"",IF(C113="skip","SKIP",IF(OR(A113="",C113="",D113="",I113="",L113="",M113="",U113="",COUNTIF($A$6:$A$505,A113)&gt;1,AND(B113&lt;&gt;"",COUNTIF('الزبائن'!$A$6:$A$505,B113)=0),(COUNTIFS('أرقام التواصل'!$A$6:$A$505,"proposed_name",'أرقام التواصل'!$B$6:$B$505,A113,'أرقام التواصل'!$I$6:$I$505,"TRUE")+COUNTIFS('أرقام التواصل'!$A$6:$A$505,"proposed_name",'أرقام التواصل'!$B$6:$B$505,A113,'أرقام التواصل'!$C$6:$C$505,1))=0,AND(W113="TRUE",X113="")),"REVIEW","READY")))</x:f>
      </x:c>
      <x:c r="AE113" s="255" t="str">
        <x:f>IF(AD113="","",IF(AD113="READY","",IF(AD113="SKIP","Skipped by candidate_import_action",TRIM(IF(A113="","missing proposed_name_key; ","")&amp;IF(AND(A113&lt;&gt;"",COUNTIF($A$6:$A$505,A113)&gt;1),"duplicate proposed_name_key; ","")&amp;IF(C113="","missing candidate_import_action; ","")&amp;IF(D113="","missing move_reason; ","")&amp;IF(I113="","missing branch_id; ","")&amp;IF(L113="","missing first_name; ","")&amp;IF(M113="","missing last_name; ","")&amp;IF(U113="","missing status; ","")&amp;IF(AND(B113&lt;&gt;"",COUNTIF('الزبائن'!$A$6:$A$505,B113)=0),"source key not found; ","")&amp;IF((COUNTIFS('أرقام التواصل'!$A$6:$A$505,"proposed_name",'أرقام التواصل'!$B$6:$B$505,A113,'أرقام التواصل'!$I$6:$I$505,"TRUE")+COUNTIFS('أرقام التواصل'!$A$6:$A$505,"proposed_name",'أرقام التواصل'!$B$6:$B$505,A113,'أرقام التواصل'!$C$6:$C$505,1))=0,"missing primary contact in أرقام التواصل; ","")&amp;IF(AND(W113="TRUE",X113=""),"duplicate_type required when duplicate_flag TRUE; ","")))))</x:f>
      </x:c>
    </x:row>
    <x:row r="114">
      <x:c r="A114" s="302"/>
      <x:c r="B114" s="252"/>
      <x:c r="C114" s="253"/>
      <x:c r="D114" s="253"/>
      <x:c r="E114" s="253"/>
      <x:c r="F114" s="252"/>
      <x:c r="G114" s="253"/>
      <x:c r="H114" s="272"/>
      <x:c r="I114" s="253"/>
      <x:c r="J114" s="253"/>
      <x:c r="K114" s="253"/>
      <x:c r="L114" s="253"/>
      <x:c r="M114" s="253"/>
      <x:c r="N114" s="253"/>
      <x:c r="O114" s="253" t="str">
        <x:f>IF(TRIM(L114&amp;" "&amp;M114&amp;IF(N114&lt;&gt;""," ("&amp;N114&amp;")",""))="","",TRIM(L114&amp;" "&amp;M114&amp;IF(N114&lt;&gt;""," ("&amp;N114&amp;")","")))</x:f>
      </x:c>
      <x:c r="P114" s="253"/>
      <x:c r="Q114" s="252"/>
      <x:c r="R114" s="253"/>
      <x:c r="S114" s="253"/>
      <x:c r="T114" s="253"/>
      <x:c r="U114" s="253"/>
      <x:c r="V114" s="253"/>
      <x:c r="W114" s="253"/>
      <x:c r="X114" s="253"/>
      <x:c r="Y114" s="252"/>
      <x:c r="Z114" s="252"/>
      <x:c r="AA114" s="253"/>
      <x:c r="AB114" s="253" t="str">
        <x:f>IF(B114="","",IFERROR(INDEX('الزبائن'!$BA$6:$BA$505,MATCH(B114,'الزبائن'!$A$6:$A$505,0)),"source key not found"))</x:f>
      </x:c>
      <x:c r="AC114" s="253" t="str">
        <x:f>IF(B114="","",IFERROR(INDEX('الزبائن'!$BB$6:$BB$505,MATCH(B114,'الزبائن'!$A$6:$A$505,0)),"source key not found"))</x:f>
      </x:c>
      <x:c r="AD114" s="253" t="str">
        <x:f>IF(AND(A114="",C114="",D114="",I114="",L114="",M114=""),"",IF(C114="skip","SKIP",IF(OR(A114="",C114="",D114="",I114="",L114="",M114="",U114="",COUNTIF($A$6:$A$505,A114)&gt;1,AND(B114&lt;&gt;"",COUNTIF('الزبائن'!$A$6:$A$505,B114)=0),(COUNTIFS('أرقام التواصل'!$A$6:$A$505,"proposed_name",'أرقام التواصل'!$B$6:$B$505,A114,'أرقام التواصل'!$I$6:$I$505,"TRUE")+COUNTIFS('أرقام التواصل'!$A$6:$A$505,"proposed_name",'أرقام التواصل'!$B$6:$B$505,A114,'أرقام التواصل'!$C$6:$C$505,1))=0,AND(W114="TRUE",X114="")),"REVIEW","READY")))</x:f>
      </x:c>
      <x:c r="AE114" s="255" t="str">
        <x:f>IF(AD114="","",IF(AD114="READY","",IF(AD114="SKIP","Skipped by candidate_import_action",TRIM(IF(A114="","missing proposed_name_key; ","")&amp;IF(AND(A114&lt;&gt;"",COUNTIF($A$6:$A$505,A114)&gt;1),"duplicate proposed_name_key; ","")&amp;IF(C114="","missing candidate_import_action; ","")&amp;IF(D114="","missing move_reason; ","")&amp;IF(I114="","missing branch_id; ","")&amp;IF(L114="","missing first_name; ","")&amp;IF(M114="","missing last_name; ","")&amp;IF(U114="","missing status; ","")&amp;IF(AND(B114&lt;&gt;"",COUNTIF('الزبائن'!$A$6:$A$505,B114)=0),"source key not found; ","")&amp;IF((COUNTIFS('أرقام التواصل'!$A$6:$A$505,"proposed_name",'أرقام التواصل'!$B$6:$B$505,A114,'أرقام التواصل'!$I$6:$I$505,"TRUE")+COUNTIFS('أرقام التواصل'!$A$6:$A$505,"proposed_name",'أرقام التواصل'!$B$6:$B$505,A114,'أرقام التواصل'!$C$6:$C$505,1))=0,"missing primary contact in أرقام التواصل; ","")&amp;IF(AND(W114="TRUE",X114=""),"duplicate_type required when duplicate_flag TRUE; ","")))))</x:f>
      </x:c>
    </x:row>
    <x:row r="115">
      <x:c r="A115" s="302"/>
      <x:c r="B115" s="252"/>
      <x:c r="C115" s="253"/>
      <x:c r="D115" s="253"/>
      <x:c r="E115" s="253"/>
      <x:c r="F115" s="252"/>
      <x:c r="G115" s="253"/>
      <x:c r="H115" s="272"/>
      <x:c r="I115" s="253"/>
      <x:c r="J115" s="253"/>
      <x:c r="K115" s="253"/>
      <x:c r="L115" s="253"/>
      <x:c r="M115" s="253"/>
      <x:c r="N115" s="253"/>
      <x:c r="O115" s="253" t="str">
        <x:f>IF(TRIM(L115&amp;" "&amp;M115&amp;IF(N115&lt;&gt;""," ("&amp;N115&amp;")",""))="","",TRIM(L115&amp;" "&amp;M115&amp;IF(N115&lt;&gt;""," ("&amp;N115&amp;")","")))</x:f>
      </x:c>
      <x:c r="P115" s="253"/>
      <x:c r="Q115" s="252"/>
      <x:c r="R115" s="253"/>
      <x:c r="S115" s="253"/>
      <x:c r="T115" s="253"/>
      <x:c r="U115" s="253"/>
      <x:c r="V115" s="253"/>
      <x:c r="W115" s="253"/>
      <x:c r="X115" s="253"/>
      <x:c r="Y115" s="252"/>
      <x:c r="Z115" s="252"/>
      <x:c r="AA115" s="253"/>
      <x:c r="AB115" s="253" t="str">
        <x:f>IF(B115="","",IFERROR(INDEX('الزبائن'!$BA$6:$BA$505,MATCH(B115,'الزبائن'!$A$6:$A$505,0)),"source key not found"))</x:f>
      </x:c>
      <x:c r="AC115" s="253" t="str">
        <x:f>IF(B115="","",IFERROR(INDEX('الزبائن'!$BB$6:$BB$505,MATCH(B115,'الزبائن'!$A$6:$A$505,0)),"source key not found"))</x:f>
      </x:c>
      <x:c r="AD115" s="253" t="str">
        <x:f>IF(AND(A115="",C115="",D115="",I115="",L115="",M115=""),"",IF(C115="skip","SKIP",IF(OR(A115="",C115="",D115="",I115="",L115="",M115="",U115="",COUNTIF($A$6:$A$505,A115)&gt;1,AND(B115&lt;&gt;"",COUNTIF('الزبائن'!$A$6:$A$505,B115)=0),(COUNTIFS('أرقام التواصل'!$A$6:$A$505,"proposed_name",'أرقام التواصل'!$B$6:$B$505,A115,'أرقام التواصل'!$I$6:$I$505,"TRUE")+COUNTIFS('أرقام التواصل'!$A$6:$A$505,"proposed_name",'أرقام التواصل'!$B$6:$B$505,A115,'أرقام التواصل'!$C$6:$C$505,1))=0,AND(W115="TRUE",X115="")),"REVIEW","READY")))</x:f>
      </x:c>
      <x:c r="AE115" s="255" t="str">
        <x:f>IF(AD115="","",IF(AD115="READY","",IF(AD115="SKIP","Skipped by candidate_import_action",TRIM(IF(A115="","missing proposed_name_key; ","")&amp;IF(AND(A115&lt;&gt;"",COUNTIF($A$6:$A$505,A115)&gt;1),"duplicate proposed_name_key; ","")&amp;IF(C115="","missing candidate_import_action; ","")&amp;IF(D115="","missing move_reason; ","")&amp;IF(I115="","missing branch_id; ","")&amp;IF(L115="","missing first_name; ","")&amp;IF(M115="","missing last_name; ","")&amp;IF(U115="","missing status; ","")&amp;IF(AND(B115&lt;&gt;"",COUNTIF('الزبائن'!$A$6:$A$505,B115)=0),"source key not found; ","")&amp;IF((COUNTIFS('أرقام التواصل'!$A$6:$A$505,"proposed_name",'أرقام التواصل'!$B$6:$B$505,A115,'أرقام التواصل'!$I$6:$I$505,"TRUE")+COUNTIFS('أرقام التواصل'!$A$6:$A$505,"proposed_name",'أرقام التواصل'!$B$6:$B$505,A115,'أرقام التواصل'!$C$6:$C$505,1))=0,"missing primary contact in أرقام التواصل; ","")&amp;IF(AND(W115="TRUE",X115=""),"duplicate_type required when duplicate_flag TRUE; ","")))))</x:f>
      </x:c>
    </x:row>
    <x:row r="116">
      <x:c r="A116" s="302"/>
      <x:c r="B116" s="252"/>
      <x:c r="C116" s="253"/>
      <x:c r="D116" s="253"/>
      <x:c r="E116" s="253"/>
      <x:c r="F116" s="252"/>
      <x:c r="G116" s="253"/>
      <x:c r="H116" s="272"/>
      <x:c r="I116" s="253"/>
      <x:c r="J116" s="253"/>
      <x:c r="K116" s="253"/>
      <x:c r="L116" s="253"/>
      <x:c r="M116" s="253"/>
      <x:c r="N116" s="253"/>
      <x:c r="O116" s="253" t="str">
        <x:f>IF(TRIM(L116&amp;" "&amp;M116&amp;IF(N116&lt;&gt;""," ("&amp;N116&amp;")",""))="","",TRIM(L116&amp;" "&amp;M116&amp;IF(N116&lt;&gt;""," ("&amp;N116&amp;")","")))</x:f>
      </x:c>
      <x:c r="P116" s="253"/>
      <x:c r="Q116" s="252"/>
      <x:c r="R116" s="253"/>
      <x:c r="S116" s="253"/>
      <x:c r="T116" s="253"/>
      <x:c r="U116" s="253"/>
      <x:c r="V116" s="253"/>
      <x:c r="W116" s="253"/>
      <x:c r="X116" s="253"/>
      <x:c r="Y116" s="252"/>
      <x:c r="Z116" s="252"/>
      <x:c r="AA116" s="253"/>
      <x:c r="AB116" s="253" t="str">
        <x:f>IF(B116="","",IFERROR(INDEX('الزبائن'!$BA$6:$BA$505,MATCH(B116,'الزبائن'!$A$6:$A$505,0)),"source key not found"))</x:f>
      </x:c>
      <x:c r="AC116" s="253" t="str">
        <x:f>IF(B116="","",IFERROR(INDEX('الزبائن'!$BB$6:$BB$505,MATCH(B116,'الزبائن'!$A$6:$A$505,0)),"source key not found"))</x:f>
      </x:c>
      <x:c r="AD116" s="253" t="str">
        <x:f>IF(AND(A116="",C116="",D116="",I116="",L116="",M116=""),"",IF(C116="skip","SKIP",IF(OR(A116="",C116="",D116="",I116="",L116="",M116="",U116="",COUNTIF($A$6:$A$505,A116)&gt;1,AND(B116&lt;&gt;"",COUNTIF('الزبائن'!$A$6:$A$505,B116)=0),(COUNTIFS('أرقام التواصل'!$A$6:$A$505,"proposed_name",'أرقام التواصل'!$B$6:$B$505,A116,'أرقام التواصل'!$I$6:$I$505,"TRUE")+COUNTIFS('أرقام التواصل'!$A$6:$A$505,"proposed_name",'أرقام التواصل'!$B$6:$B$505,A116,'أرقام التواصل'!$C$6:$C$505,1))=0,AND(W116="TRUE",X116="")),"REVIEW","READY")))</x:f>
      </x:c>
      <x:c r="AE116" s="255" t="str">
        <x:f>IF(AD116="","",IF(AD116="READY","",IF(AD116="SKIP","Skipped by candidate_import_action",TRIM(IF(A116="","missing proposed_name_key; ","")&amp;IF(AND(A116&lt;&gt;"",COUNTIF($A$6:$A$505,A116)&gt;1),"duplicate proposed_name_key; ","")&amp;IF(C116="","missing candidate_import_action; ","")&amp;IF(D116="","missing move_reason; ","")&amp;IF(I116="","missing branch_id; ","")&amp;IF(L116="","missing first_name; ","")&amp;IF(M116="","missing last_name; ","")&amp;IF(U116="","missing status; ","")&amp;IF(AND(B116&lt;&gt;"",COUNTIF('الزبائن'!$A$6:$A$505,B116)=0),"source key not found; ","")&amp;IF((COUNTIFS('أرقام التواصل'!$A$6:$A$505,"proposed_name",'أرقام التواصل'!$B$6:$B$505,A116,'أرقام التواصل'!$I$6:$I$505,"TRUE")+COUNTIFS('أرقام التواصل'!$A$6:$A$505,"proposed_name",'أرقام التواصل'!$B$6:$B$505,A116,'أرقام التواصل'!$C$6:$C$505,1))=0,"missing primary contact in أرقام التواصل; ","")&amp;IF(AND(W116="TRUE",X116=""),"duplicate_type required when duplicate_flag TRUE; ","")))))</x:f>
      </x:c>
    </x:row>
    <x:row r="117">
      <x:c r="A117" s="302"/>
      <x:c r="B117" s="252"/>
      <x:c r="C117" s="253"/>
      <x:c r="D117" s="253"/>
      <x:c r="E117" s="253"/>
      <x:c r="F117" s="252"/>
      <x:c r="G117" s="253"/>
      <x:c r="H117" s="272"/>
      <x:c r="I117" s="253"/>
      <x:c r="J117" s="253"/>
      <x:c r="K117" s="253"/>
      <x:c r="L117" s="253"/>
      <x:c r="M117" s="253"/>
      <x:c r="N117" s="253"/>
      <x:c r="O117" s="253" t="str">
        <x:f>IF(TRIM(L117&amp;" "&amp;M117&amp;IF(N117&lt;&gt;""," ("&amp;N117&amp;")",""))="","",TRIM(L117&amp;" "&amp;M117&amp;IF(N117&lt;&gt;""," ("&amp;N117&amp;")","")))</x:f>
      </x:c>
      <x:c r="P117" s="253"/>
      <x:c r="Q117" s="252"/>
      <x:c r="R117" s="253"/>
      <x:c r="S117" s="253"/>
      <x:c r="T117" s="253"/>
      <x:c r="U117" s="253"/>
      <x:c r="V117" s="253"/>
      <x:c r="W117" s="253"/>
      <x:c r="X117" s="253"/>
      <x:c r="Y117" s="252"/>
      <x:c r="Z117" s="252"/>
      <x:c r="AA117" s="253"/>
      <x:c r="AB117" s="253" t="str">
        <x:f>IF(B117="","",IFERROR(INDEX('الزبائن'!$BA$6:$BA$505,MATCH(B117,'الزبائن'!$A$6:$A$505,0)),"source key not found"))</x:f>
      </x:c>
      <x:c r="AC117" s="253" t="str">
        <x:f>IF(B117="","",IFERROR(INDEX('الزبائن'!$BB$6:$BB$505,MATCH(B117,'الزبائن'!$A$6:$A$505,0)),"source key not found"))</x:f>
      </x:c>
      <x:c r="AD117" s="253" t="str">
        <x:f>IF(AND(A117="",C117="",D117="",I117="",L117="",M117=""),"",IF(C117="skip","SKIP",IF(OR(A117="",C117="",D117="",I117="",L117="",M117="",U117="",COUNTIF($A$6:$A$505,A117)&gt;1,AND(B117&lt;&gt;"",COUNTIF('الزبائن'!$A$6:$A$505,B117)=0),(COUNTIFS('أرقام التواصل'!$A$6:$A$505,"proposed_name",'أرقام التواصل'!$B$6:$B$505,A117,'أرقام التواصل'!$I$6:$I$505,"TRUE")+COUNTIFS('أرقام التواصل'!$A$6:$A$505,"proposed_name",'أرقام التواصل'!$B$6:$B$505,A117,'أرقام التواصل'!$C$6:$C$505,1))=0,AND(W117="TRUE",X117="")),"REVIEW","READY")))</x:f>
      </x:c>
      <x:c r="AE117" s="255" t="str">
        <x:f>IF(AD117="","",IF(AD117="READY","",IF(AD117="SKIP","Skipped by candidate_import_action",TRIM(IF(A117="","missing proposed_name_key; ","")&amp;IF(AND(A117&lt;&gt;"",COUNTIF($A$6:$A$505,A117)&gt;1),"duplicate proposed_name_key; ","")&amp;IF(C117="","missing candidate_import_action; ","")&amp;IF(D117="","missing move_reason; ","")&amp;IF(I117="","missing branch_id; ","")&amp;IF(L117="","missing first_name; ","")&amp;IF(M117="","missing last_name; ","")&amp;IF(U117="","missing status; ","")&amp;IF(AND(B117&lt;&gt;"",COUNTIF('الزبائن'!$A$6:$A$505,B117)=0),"source key not found; ","")&amp;IF((COUNTIFS('أرقام التواصل'!$A$6:$A$505,"proposed_name",'أرقام التواصل'!$B$6:$B$505,A117,'أرقام التواصل'!$I$6:$I$505,"TRUE")+COUNTIFS('أرقام التواصل'!$A$6:$A$505,"proposed_name",'أرقام التواصل'!$B$6:$B$505,A117,'أرقام التواصل'!$C$6:$C$505,1))=0,"missing primary contact in أرقام التواصل; ","")&amp;IF(AND(W117="TRUE",X117=""),"duplicate_type required when duplicate_flag TRUE; ","")))))</x:f>
      </x:c>
    </x:row>
    <x:row r="118">
      <x:c r="A118" s="302"/>
      <x:c r="B118" s="252"/>
      <x:c r="C118" s="253"/>
      <x:c r="D118" s="253"/>
      <x:c r="E118" s="253"/>
      <x:c r="F118" s="252"/>
      <x:c r="G118" s="253"/>
      <x:c r="H118" s="272"/>
      <x:c r="I118" s="253"/>
      <x:c r="J118" s="253"/>
      <x:c r="K118" s="253"/>
      <x:c r="L118" s="253"/>
      <x:c r="M118" s="253"/>
      <x:c r="N118" s="253"/>
      <x:c r="O118" s="253" t="str">
        <x:f>IF(TRIM(L118&amp;" "&amp;M118&amp;IF(N118&lt;&gt;""," ("&amp;N118&amp;")",""))="","",TRIM(L118&amp;" "&amp;M118&amp;IF(N118&lt;&gt;""," ("&amp;N118&amp;")","")))</x:f>
      </x:c>
      <x:c r="P118" s="253"/>
      <x:c r="Q118" s="252"/>
      <x:c r="R118" s="253"/>
      <x:c r="S118" s="253"/>
      <x:c r="T118" s="253"/>
      <x:c r="U118" s="253"/>
      <x:c r="V118" s="253"/>
      <x:c r="W118" s="253"/>
      <x:c r="X118" s="253"/>
      <x:c r="Y118" s="252"/>
      <x:c r="Z118" s="252"/>
      <x:c r="AA118" s="253"/>
      <x:c r="AB118" s="253" t="str">
        <x:f>IF(B118="","",IFERROR(INDEX('الزبائن'!$BA$6:$BA$505,MATCH(B118,'الزبائن'!$A$6:$A$505,0)),"source key not found"))</x:f>
      </x:c>
      <x:c r="AC118" s="253" t="str">
        <x:f>IF(B118="","",IFERROR(INDEX('الزبائن'!$BB$6:$BB$505,MATCH(B118,'الزبائن'!$A$6:$A$505,0)),"source key not found"))</x:f>
      </x:c>
      <x:c r="AD118" s="253" t="str">
        <x:f>IF(AND(A118="",C118="",D118="",I118="",L118="",M118=""),"",IF(C118="skip","SKIP",IF(OR(A118="",C118="",D118="",I118="",L118="",M118="",U118="",COUNTIF($A$6:$A$505,A118)&gt;1,AND(B118&lt;&gt;"",COUNTIF('الزبائن'!$A$6:$A$505,B118)=0),(COUNTIFS('أرقام التواصل'!$A$6:$A$505,"proposed_name",'أرقام التواصل'!$B$6:$B$505,A118,'أرقام التواصل'!$I$6:$I$505,"TRUE")+COUNTIFS('أرقام التواصل'!$A$6:$A$505,"proposed_name",'أرقام التواصل'!$B$6:$B$505,A118,'أرقام التواصل'!$C$6:$C$505,1))=0,AND(W118="TRUE",X118="")),"REVIEW","READY")))</x:f>
      </x:c>
      <x:c r="AE118" s="255" t="str">
        <x:f>IF(AD118="","",IF(AD118="READY","",IF(AD118="SKIP","Skipped by candidate_import_action",TRIM(IF(A118="","missing proposed_name_key; ","")&amp;IF(AND(A118&lt;&gt;"",COUNTIF($A$6:$A$505,A118)&gt;1),"duplicate proposed_name_key; ","")&amp;IF(C118="","missing candidate_import_action; ","")&amp;IF(D118="","missing move_reason; ","")&amp;IF(I118="","missing branch_id; ","")&amp;IF(L118="","missing first_name; ","")&amp;IF(M118="","missing last_name; ","")&amp;IF(U118="","missing status; ","")&amp;IF(AND(B118&lt;&gt;"",COUNTIF('الزبائن'!$A$6:$A$505,B118)=0),"source key not found; ","")&amp;IF((COUNTIFS('أرقام التواصل'!$A$6:$A$505,"proposed_name",'أرقام التواصل'!$B$6:$B$505,A118,'أرقام التواصل'!$I$6:$I$505,"TRUE")+COUNTIFS('أرقام التواصل'!$A$6:$A$505,"proposed_name",'أرقام التواصل'!$B$6:$B$505,A118,'أرقام التواصل'!$C$6:$C$505,1))=0,"missing primary contact in أرقام التواصل; ","")&amp;IF(AND(W118="TRUE",X118=""),"duplicate_type required when duplicate_flag TRUE; ","")))))</x:f>
      </x:c>
    </x:row>
    <x:row r="119">
      <x:c r="A119" s="302"/>
      <x:c r="B119" s="252"/>
      <x:c r="C119" s="253"/>
      <x:c r="D119" s="253"/>
      <x:c r="E119" s="253"/>
      <x:c r="F119" s="252"/>
      <x:c r="G119" s="253"/>
      <x:c r="H119" s="272"/>
      <x:c r="I119" s="253"/>
      <x:c r="J119" s="253"/>
      <x:c r="K119" s="253"/>
      <x:c r="L119" s="253"/>
      <x:c r="M119" s="253"/>
      <x:c r="N119" s="253"/>
      <x:c r="O119" s="253" t="str">
        <x:f>IF(TRIM(L119&amp;" "&amp;M119&amp;IF(N119&lt;&gt;""," ("&amp;N119&amp;")",""))="","",TRIM(L119&amp;" "&amp;M119&amp;IF(N119&lt;&gt;""," ("&amp;N119&amp;")","")))</x:f>
      </x:c>
      <x:c r="P119" s="253"/>
      <x:c r="Q119" s="252"/>
      <x:c r="R119" s="253"/>
      <x:c r="S119" s="253"/>
      <x:c r="T119" s="253"/>
      <x:c r="U119" s="253"/>
      <x:c r="V119" s="253"/>
      <x:c r="W119" s="253"/>
      <x:c r="X119" s="253"/>
      <x:c r="Y119" s="252"/>
      <x:c r="Z119" s="252"/>
      <x:c r="AA119" s="253"/>
      <x:c r="AB119" s="253" t="str">
        <x:f>IF(B119="","",IFERROR(INDEX('الزبائن'!$BA$6:$BA$505,MATCH(B119,'الزبائن'!$A$6:$A$505,0)),"source key not found"))</x:f>
      </x:c>
      <x:c r="AC119" s="253" t="str">
        <x:f>IF(B119="","",IFERROR(INDEX('الزبائن'!$BB$6:$BB$505,MATCH(B119,'الزبائن'!$A$6:$A$505,0)),"source key not found"))</x:f>
      </x:c>
      <x:c r="AD119" s="253" t="str">
        <x:f>IF(AND(A119="",C119="",D119="",I119="",L119="",M119=""),"",IF(C119="skip","SKIP",IF(OR(A119="",C119="",D119="",I119="",L119="",M119="",U119="",COUNTIF($A$6:$A$505,A119)&gt;1,AND(B119&lt;&gt;"",COUNTIF('الزبائن'!$A$6:$A$505,B119)=0),(COUNTIFS('أرقام التواصل'!$A$6:$A$505,"proposed_name",'أرقام التواصل'!$B$6:$B$505,A119,'أرقام التواصل'!$I$6:$I$505,"TRUE")+COUNTIFS('أرقام التواصل'!$A$6:$A$505,"proposed_name",'أرقام التواصل'!$B$6:$B$505,A119,'أرقام التواصل'!$C$6:$C$505,1))=0,AND(W119="TRUE",X119="")),"REVIEW","READY")))</x:f>
      </x:c>
      <x:c r="AE119" s="255" t="str">
        <x:f>IF(AD119="","",IF(AD119="READY","",IF(AD119="SKIP","Skipped by candidate_import_action",TRIM(IF(A119="","missing proposed_name_key; ","")&amp;IF(AND(A119&lt;&gt;"",COUNTIF($A$6:$A$505,A119)&gt;1),"duplicate proposed_name_key; ","")&amp;IF(C119="","missing candidate_import_action; ","")&amp;IF(D119="","missing move_reason; ","")&amp;IF(I119="","missing branch_id; ","")&amp;IF(L119="","missing first_name; ","")&amp;IF(M119="","missing last_name; ","")&amp;IF(U119="","missing status; ","")&amp;IF(AND(B119&lt;&gt;"",COUNTIF('الزبائن'!$A$6:$A$505,B119)=0),"source key not found; ","")&amp;IF((COUNTIFS('أرقام التواصل'!$A$6:$A$505,"proposed_name",'أرقام التواصل'!$B$6:$B$505,A119,'أرقام التواصل'!$I$6:$I$505,"TRUE")+COUNTIFS('أرقام التواصل'!$A$6:$A$505,"proposed_name",'أرقام التواصل'!$B$6:$B$505,A119,'أرقام التواصل'!$C$6:$C$505,1))=0,"missing primary contact in أرقام التواصل; ","")&amp;IF(AND(W119="TRUE",X119=""),"duplicate_type required when duplicate_flag TRUE; ","")))))</x:f>
      </x:c>
    </x:row>
    <x:row r="120">
      <x:c r="A120" s="302"/>
      <x:c r="B120" s="252"/>
      <x:c r="C120" s="253"/>
      <x:c r="D120" s="253"/>
      <x:c r="E120" s="253"/>
      <x:c r="F120" s="252"/>
      <x:c r="G120" s="253"/>
      <x:c r="H120" s="272"/>
      <x:c r="I120" s="253"/>
      <x:c r="J120" s="253"/>
      <x:c r="K120" s="253"/>
      <x:c r="L120" s="253"/>
      <x:c r="M120" s="253"/>
      <x:c r="N120" s="253"/>
      <x:c r="O120" s="253" t="str">
        <x:f>IF(TRIM(L120&amp;" "&amp;M120&amp;IF(N120&lt;&gt;""," ("&amp;N120&amp;")",""))="","",TRIM(L120&amp;" "&amp;M120&amp;IF(N120&lt;&gt;""," ("&amp;N120&amp;")","")))</x:f>
      </x:c>
      <x:c r="P120" s="253"/>
      <x:c r="Q120" s="252"/>
      <x:c r="R120" s="253"/>
      <x:c r="S120" s="253"/>
      <x:c r="T120" s="253"/>
      <x:c r="U120" s="253"/>
      <x:c r="V120" s="253"/>
      <x:c r="W120" s="253"/>
      <x:c r="X120" s="253"/>
      <x:c r="Y120" s="252"/>
      <x:c r="Z120" s="252"/>
      <x:c r="AA120" s="253"/>
      <x:c r="AB120" s="253" t="str">
        <x:f>IF(B120="","",IFERROR(INDEX('الزبائن'!$BA$6:$BA$505,MATCH(B120,'الزبائن'!$A$6:$A$505,0)),"source key not found"))</x:f>
      </x:c>
      <x:c r="AC120" s="253" t="str">
        <x:f>IF(B120="","",IFERROR(INDEX('الزبائن'!$BB$6:$BB$505,MATCH(B120,'الزبائن'!$A$6:$A$505,0)),"source key not found"))</x:f>
      </x:c>
      <x:c r="AD120" s="253" t="str">
        <x:f>IF(AND(A120="",C120="",D120="",I120="",L120="",M120=""),"",IF(C120="skip","SKIP",IF(OR(A120="",C120="",D120="",I120="",L120="",M120="",U120="",COUNTIF($A$6:$A$505,A120)&gt;1,AND(B120&lt;&gt;"",COUNTIF('الزبائن'!$A$6:$A$505,B120)=0),(COUNTIFS('أرقام التواصل'!$A$6:$A$505,"proposed_name",'أرقام التواصل'!$B$6:$B$505,A120,'أرقام التواصل'!$I$6:$I$505,"TRUE")+COUNTIFS('أرقام التواصل'!$A$6:$A$505,"proposed_name",'أرقام التواصل'!$B$6:$B$505,A120,'أرقام التواصل'!$C$6:$C$505,1))=0,AND(W120="TRUE",X120="")),"REVIEW","READY")))</x:f>
      </x:c>
      <x:c r="AE120" s="255" t="str">
        <x:f>IF(AD120="","",IF(AD120="READY","",IF(AD120="SKIP","Skipped by candidate_import_action",TRIM(IF(A120="","missing proposed_name_key; ","")&amp;IF(AND(A120&lt;&gt;"",COUNTIF($A$6:$A$505,A120)&gt;1),"duplicate proposed_name_key; ","")&amp;IF(C120="","missing candidate_import_action; ","")&amp;IF(D120="","missing move_reason; ","")&amp;IF(I120="","missing branch_id; ","")&amp;IF(L120="","missing first_name; ","")&amp;IF(M120="","missing last_name; ","")&amp;IF(U120="","missing status; ","")&amp;IF(AND(B120&lt;&gt;"",COUNTIF('الزبائن'!$A$6:$A$505,B120)=0),"source key not found; ","")&amp;IF((COUNTIFS('أرقام التواصل'!$A$6:$A$505,"proposed_name",'أرقام التواصل'!$B$6:$B$505,A120,'أرقام التواصل'!$I$6:$I$505,"TRUE")+COUNTIFS('أرقام التواصل'!$A$6:$A$505,"proposed_name",'أرقام التواصل'!$B$6:$B$505,A120,'أرقام التواصل'!$C$6:$C$505,1))=0,"missing primary contact in أرقام التواصل; ","")&amp;IF(AND(W120="TRUE",X120=""),"duplicate_type required when duplicate_flag TRUE; ","")))))</x:f>
      </x:c>
    </x:row>
    <x:row r="121">
      <x:c r="A121" s="302"/>
      <x:c r="B121" s="252"/>
      <x:c r="C121" s="253"/>
      <x:c r="D121" s="253"/>
      <x:c r="E121" s="253"/>
      <x:c r="F121" s="252"/>
      <x:c r="G121" s="253"/>
      <x:c r="H121" s="272"/>
      <x:c r="I121" s="253"/>
      <x:c r="J121" s="253"/>
      <x:c r="K121" s="253"/>
      <x:c r="L121" s="253"/>
      <x:c r="M121" s="253"/>
      <x:c r="N121" s="253"/>
      <x:c r="O121" s="253" t="str">
        <x:f>IF(TRIM(L121&amp;" "&amp;M121&amp;IF(N121&lt;&gt;""," ("&amp;N121&amp;")",""))="","",TRIM(L121&amp;" "&amp;M121&amp;IF(N121&lt;&gt;""," ("&amp;N121&amp;")","")))</x:f>
      </x:c>
      <x:c r="P121" s="253"/>
      <x:c r="Q121" s="252"/>
      <x:c r="R121" s="253"/>
      <x:c r="S121" s="253"/>
      <x:c r="T121" s="253"/>
      <x:c r="U121" s="253"/>
      <x:c r="V121" s="253"/>
      <x:c r="W121" s="253"/>
      <x:c r="X121" s="253"/>
      <x:c r="Y121" s="252"/>
      <x:c r="Z121" s="252"/>
      <x:c r="AA121" s="253"/>
      <x:c r="AB121" s="253" t="str">
        <x:f>IF(B121="","",IFERROR(INDEX('الزبائن'!$BA$6:$BA$505,MATCH(B121,'الزبائن'!$A$6:$A$505,0)),"source key not found"))</x:f>
      </x:c>
      <x:c r="AC121" s="253" t="str">
        <x:f>IF(B121="","",IFERROR(INDEX('الزبائن'!$BB$6:$BB$505,MATCH(B121,'الزبائن'!$A$6:$A$505,0)),"source key not found"))</x:f>
      </x:c>
      <x:c r="AD121" s="253" t="str">
        <x:f>IF(AND(A121="",C121="",D121="",I121="",L121="",M121=""),"",IF(C121="skip","SKIP",IF(OR(A121="",C121="",D121="",I121="",L121="",M121="",U121="",COUNTIF($A$6:$A$505,A121)&gt;1,AND(B121&lt;&gt;"",COUNTIF('الزبائن'!$A$6:$A$505,B121)=0),(COUNTIFS('أرقام التواصل'!$A$6:$A$505,"proposed_name",'أرقام التواصل'!$B$6:$B$505,A121,'أرقام التواصل'!$I$6:$I$505,"TRUE")+COUNTIFS('أرقام التواصل'!$A$6:$A$505,"proposed_name",'أرقام التواصل'!$B$6:$B$505,A121,'أرقام التواصل'!$C$6:$C$505,1))=0,AND(W121="TRUE",X121="")),"REVIEW","READY")))</x:f>
      </x:c>
      <x:c r="AE121" s="255" t="str">
        <x:f>IF(AD121="","",IF(AD121="READY","",IF(AD121="SKIP","Skipped by candidate_import_action",TRIM(IF(A121="","missing proposed_name_key; ","")&amp;IF(AND(A121&lt;&gt;"",COUNTIF($A$6:$A$505,A121)&gt;1),"duplicate proposed_name_key; ","")&amp;IF(C121="","missing candidate_import_action; ","")&amp;IF(D121="","missing move_reason; ","")&amp;IF(I121="","missing branch_id; ","")&amp;IF(L121="","missing first_name; ","")&amp;IF(M121="","missing last_name; ","")&amp;IF(U121="","missing status; ","")&amp;IF(AND(B121&lt;&gt;"",COUNTIF('الزبائن'!$A$6:$A$505,B121)=0),"source key not found; ","")&amp;IF((COUNTIFS('أرقام التواصل'!$A$6:$A$505,"proposed_name",'أرقام التواصل'!$B$6:$B$505,A121,'أرقام التواصل'!$I$6:$I$505,"TRUE")+COUNTIFS('أرقام التواصل'!$A$6:$A$505,"proposed_name",'أرقام التواصل'!$B$6:$B$505,A121,'أرقام التواصل'!$C$6:$C$505,1))=0,"missing primary contact in أرقام التواصل; ","")&amp;IF(AND(W121="TRUE",X121=""),"duplicate_type required when duplicate_flag TRUE; ","")))))</x:f>
      </x:c>
    </x:row>
    <x:row r="122">
      <x:c r="A122" s="302"/>
      <x:c r="B122" s="252"/>
      <x:c r="C122" s="253"/>
      <x:c r="D122" s="253"/>
      <x:c r="E122" s="253"/>
      <x:c r="F122" s="252"/>
      <x:c r="G122" s="253"/>
      <x:c r="H122" s="272"/>
      <x:c r="I122" s="253"/>
      <x:c r="J122" s="253"/>
      <x:c r="K122" s="253"/>
      <x:c r="L122" s="253"/>
      <x:c r="M122" s="253"/>
      <x:c r="N122" s="253"/>
      <x:c r="O122" s="253" t="str">
        <x:f>IF(TRIM(L122&amp;" "&amp;M122&amp;IF(N122&lt;&gt;""," ("&amp;N122&amp;")",""))="","",TRIM(L122&amp;" "&amp;M122&amp;IF(N122&lt;&gt;""," ("&amp;N122&amp;")","")))</x:f>
      </x:c>
      <x:c r="P122" s="253"/>
      <x:c r="Q122" s="252"/>
      <x:c r="R122" s="253"/>
      <x:c r="S122" s="253"/>
      <x:c r="T122" s="253"/>
      <x:c r="U122" s="253"/>
      <x:c r="V122" s="253"/>
      <x:c r="W122" s="253"/>
      <x:c r="X122" s="253"/>
      <x:c r="Y122" s="252"/>
      <x:c r="Z122" s="252"/>
      <x:c r="AA122" s="253"/>
      <x:c r="AB122" s="253" t="str">
        <x:f>IF(B122="","",IFERROR(INDEX('الزبائن'!$BA$6:$BA$505,MATCH(B122,'الزبائن'!$A$6:$A$505,0)),"source key not found"))</x:f>
      </x:c>
      <x:c r="AC122" s="253" t="str">
        <x:f>IF(B122="","",IFERROR(INDEX('الزبائن'!$BB$6:$BB$505,MATCH(B122,'الزبائن'!$A$6:$A$505,0)),"source key not found"))</x:f>
      </x:c>
      <x:c r="AD122" s="253" t="str">
        <x:f>IF(AND(A122="",C122="",D122="",I122="",L122="",M122=""),"",IF(C122="skip","SKIP",IF(OR(A122="",C122="",D122="",I122="",L122="",M122="",U122="",COUNTIF($A$6:$A$505,A122)&gt;1,AND(B122&lt;&gt;"",COUNTIF('الزبائن'!$A$6:$A$505,B122)=0),(COUNTIFS('أرقام التواصل'!$A$6:$A$505,"proposed_name",'أرقام التواصل'!$B$6:$B$505,A122,'أرقام التواصل'!$I$6:$I$505,"TRUE")+COUNTIFS('أرقام التواصل'!$A$6:$A$505,"proposed_name",'أرقام التواصل'!$B$6:$B$505,A122,'أرقام التواصل'!$C$6:$C$505,1))=0,AND(W122="TRUE",X122="")),"REVIEW","READY")))</x:f>
      </x:c>
      <x:c r="AE122" s="255" t="str">
        <x:f>IF(AD122="","",IF(AD122="READY","",IF(AD122="SKIP","Skipped by candidate_import_action",TRIM(IF(A122="","missing proposed_name_key; ","")&amp;IF(AND(A122&lt;&gt;"",COUNTIF($A$6:$A$505,A122)&gt;1),"duplicate proposed_name_key; ","")&amp;IF(C122="","missing candidate_import_action; ","")&amp;IF(D122="","missing move_reason; ","")&amp;IF(I122="","missing branch_id; ","")&amp;IF(L122="","missing first_name; ","")&amp;IF(M122="","missing last_name; ","")&amp;IF(U122="","missing status; ","")&amp;IF(AND(B122&lt;&gt;"",COUNTIF('الزبائن'!$A$6:$A$505,B122)=0),"source key not found; ","")&amp;IF((COUNTIFS('أرقام التواصل'!$A$6:$A$505,"proposed_name",'أرقام التواصل'!$B$6:$B$505,A122,'أرقام التواصل'!$I$6:$I$505,"TRUE")+COUNTIFS('أرقام التواصل'!$A$6:$A$505,"proposed_name",'أرقام التواصل'!$B$6:$B$505,A122,'أرقام التواصل'!$C$6:$C$505,1))=0,"missing primary contact in أرقام التواصل; ","")&amp;IF(AND(W122="TRUE",X122=""),"duplicate_type required when duplicate_flag TRUE; ","")))))</x:f>
      </x:c>
    </x:row>
    <x:row r="123">
      <x:c r="A123" s="302"/>
      <x:c r="B123" s="252"/>
      <x:c r="C123" s="253"/>
      <x:c r="D123" s="253"/>
      <x:c r="E123" s="253"/>
      <x:c r="F123" s="252"/>
      <x:c r="G123" s="253"/>
      <x:c r="H123" s="272"/>
      <x:c r="I123" s="253"/>
      <x:c r="J123" s="253"/>
      <x:c r="K123" s="253"/>
      <x:c r="L123" s="253"/>
      <x:c r="M123" s="253"/>
      <x:c r="N123" s="253"/>
      <x:c r="O123" s="253" t="str">
        <x:f>IF(TRIM(L123&amp;" "&amp;M123&amp;IF(N123&lt;&gt;""," ("&amp;N123&amp;")",""))="","",TRIM(L123&amp;" "&amp;M123&amp;IF(N123&lt;&gt;""," ("&amp;N123&amp;")","")))</x:f>
      </x:c>
      <x:c r="P123" s="253"/>
      <x:c r="Q123" s="252"/>
      <x:c r="R123" s="253"/>
      <x:c r="S123" s="253"/>
      <x:c r="T123" s="253"/>
      <x:c r="U123" s="253"/>
      <x:c r="V123" s="253"/>
      <x:c r="W123" s="253"/>
      <x:c r="X123" s="253"/>
      <x:c r="Y123" s="252"/>
      <x:c r="Z123" s="252"/>
      <x:c r="AA123" s="253"/>
      <x:c r="AB123" s="253" t="str">
        <x:f>IF(B123="","",IFERROR(INDEX('الزبائن'!$BA$6:$BA$505,MATCH(B123,'الزبائن'!$A$6:$A$505,0)),"source key not found"))</x:f>
      </x:c>
      <x:c r="AC123" s="253" t="str">
        <x:f>IF(B123="","",IFERROR(INDEX('الزبائن'!$BB$6:$BB$505,MATCH(B123,'الزبائن'!$A$6:$A$505,0)),"source key not found"))</x:f>
      </x:c>
      <x:c r="AD123" s="253" t="str">
        <x:f>IF(AND(A123="",C123="",D123="",I123="",L123="",M123=""),"",IF(C123="skip","SKIP",IF(OR(A123="",C123="",D123="",I123="",L123="",M123="",U123="",COUNTIF($A$6:$A$505,A123)&gt;1,AND(B123&lt;&gt;"",COUNTIF('الزبائن'!$A$6:$A$505,B123)=0),(COUNTIFS('أرقام التواصل'!$A$6:$A$505,"proposed_name",'أرقام التواصل'!$B$6:$B$505,A123,'أرقام التواصل'!$I$6:$I$505,"TRUE")+COUNTIFS('أرقام التواصل'!$A$6:$A$505,"proposed_name",'أرقام التواصل'!$B$6:$B$505,A123,'أرقام التواصل'!$C$6:$C$505,1))=0,AND(W123="TRUE",X123="")),"REVIEW","READY")))</x:f>
      </x:c>
      <x:c r="AE123" s="255" t="str">
        <x:f>IF(AD123="","",IF(AD123="READY","",IF(AD123="SKIP","Skipped by candidate_import_action",TRIM(IF(A123="","missing proposed_name_key; ","")&amp;IF(AND(A123&lt;&gt;"",COUNTIF($A$6:$A$505,A123)&gt;1),"duplicate proposed_name_key; ","")&amp;IF(C123="","missing candidate_import_action; ","")&amp;IF(D123="","missing move_reason; ","")&amp;IF(I123="","missing branch_id; ","")&amp;IF(L123="","missing first_name; ","")&amp;IF(M123="","missing last_name; ","")&amp;IF(U123="","missing status; ","")&amp;IF(AND(B123&lt;&gt;"",COUNTIF('الزبائن'!$A$6:$A$505,B123)=0),"source key not found; ","")&amp;IF((COUNTIFS('أرقام التواصل'!$A$6:$A$505,"proposed_name",'أرقام التواصل'!$B$6:$B$505,A123,'أرقام التواصل'!$I$6:$I$505,"TRUE")+COUNTIFS('أرقام التواصل'!$A$6:$A$505,"proposed_name",'أرقام التواصل'!$B$6:$B$505,A123,'أرقام التواصل'!$C$6:$C$505,1))=0,"missing primary contact in أرقام التواصل; ","")&amp;IF(AND(W123="TRUE",X123=""),"duplicate_type required when duplicate_flag TRUE; ","")))))</x:f>
      </x:c>
    </x:row>
    <x:row r="124">
      <x:c r="A124" s="302"/>
      <x:c r="B124" s="252"/>
      <x:c r="C124" s="253"/>
      <x:c r="D124" s="253"/>
      <x:c r="E124" s="253"/>
      <x:c r="F124" s="252"/>
      <x:c r="G124" s="253"/>
      <x:c r="H124" s="272"/>
      <x:c r="I124" s="253"/>
      <x:c r="J124" s="253"/>
      <x:c r="K124" s="253"/>
      <x:c r="L124" s="253"/>
      <x:c r="M124" s="253"/>
      <x:c r="N124" s="253"/>
      <x:c r="O124" s="253" t="str">
        <x:f>IF(TRIM(L124&amp;" "&amp;M124&amp;IF(N124&lt;&gt;""," ("&amp;N124&amp;")",""))="","",TRIM(L124&amp;" "&amp;M124&amp;IF(N124&lt;&gt;""," ("&amp;N124&amp;")","")))</x:f>
      </x:c>
      <x:c r="P124" s="253"/>
      <x:c r="Q124" s="252"/>
      <x:c r="R124" s="253"/>
      <x:c r="S124" s="253"/>
      <x:c r="T124" s="253"/>
      <x:c r="U124" s="253"/>
      <x:c r="V124" s="253"/>
      <x:c r="W124" s="253"/>
      <x:c r="X124" s="253"/>
      <x:c r="Y124" s="252"/>
      <x:c r="Z124" s="252"/>
      <x:c r="AA124" s="253"/>
      <x:c r="AB124" s="253" t="str">
        <x:f>IF(B124="","",IFERROR(INDEX('الزبائن'!$BA$6:$BA$505,MATCH(B124,'الزبائن'!$A$6:$A$505,0)),"source key not found"))</x:f>
      </x:c>
      <x:c r="AC124" s="253" t="str">
        <x:f>IF(B124="","",IFERROR(INDEX('الزبائن'!$BB$6:$BB$505,MATCH(B124,'الزبائن'!$A$6:$A$505,0)),"source key not found"))</x:f>
      </x:c>
      <x:c r="AD124" s="253" t="str">
        <x:f>IF(AND(A124="",C124="",D124="",I124="",L124="",M124=""),"",IF(C124="skip","SKIP",IF(OR(A124="",C124="",D124="",I124="",L124="",M124="",U124="",COUNTIF($A$6:$A$505,A124)&gt;1,AND(B124&lt;&gt;"",COUNTIF('الزبائن'!$A$6:$A$505,B124)=0),(COUNTIFS('أرقام التواصل'!$A$6:$A$505,"proposed_name",'أرقام التواصل'!$B$6:$B$505,A124,'أرقام التواصل'!$I$6:$I$505,"TRUE")+COUNTIFS('أرقام التواصل'!$A$6:$A$505,"proposed_name",'أرقام التواصل'!$B$6:$B$505,A124,'أرقام التواصل'!$C$6:$C$505,1))=0,AND(W124="TRUE",X124="")),"REVIEW","READY")))</x:f>
      </x:c>
      <x:c r="AE124" s="255" t="str">
        <x:f>IF(AD124="","",IF(AD124="READY","",IF(AD124="SKIP","Skipped by candidate_import_action",TRIM(IF(A124="","missing proposed_name_key; ","")&amp;IF(AND(A124&lt;&gt;"",COUNTIF($A$6:$A$505,A124)&gt;1),"duplicate proposed_name_key; ","")&amp;IF(C124="","missing candidate_import_action; ","")&amp;IF(D124="","missing move_reason; ","")&amp;IF(I124="","missing branch_id; ","")&amp;IF(L124="","missing first_name; ","")&amp;IF(M124="","missing last_name; ","")&amp;IF(U124="","missing status; ","")&amp;IF(AND(B124&lt;&gt;"",COUNTIF('الزبائن'!$A$6:$A$505,B124)=0),"source key not found; ","")&amp;IF((COUNTIFS('أرقام التواصل'!$A$6:$A$505,"proposed_name",'أرقام التواصل'!$B$6:$B$505,A124,'أرقام التواصل'!$I$6:$I$505,"TRUE")+COUNTIFS('أرقام التواصل'!$A$6:$A$505,"proposed_name",'أرقام التواصل'!$B$6:$B$505,A124,'أرقام التواصل'!$C$6:$C$505,1))=0,"missing primary contact in أرقام التواصل; ","")&amp;IF(AND(W124="TRUE",X124=""),"duplicate_type required when duplicate_flag TRUE; ","")))))</x:f>
      </x:c>
    </x:row>
    <x:row r="125">
      <x:c r="A125" s="302"/>
      <x:c r="B125" s="252"/>
      <x:c r="C125" s="253"/>
      <x:c r="D125" s="253"/>
      <x:c r="E125" s="253"/>
      <x:c r="F125" s="252"/>
      <x:c r="G125" s="253"/>
      <x:c r="H125" s="272"/>
      <x:c r="I125" s="253"/>
      <x:c r="J125" s="253"/>
      <x:c r="K125" s="253"/>
      <x:c r="L125" s="253"/>
      <x:c r="M125" s="253"/>
      <x:c r="N125" s="253"/>
      <x:c r="O125" s="253" t="str">
        <x:f>IF(TRIM(L125&amp;" "&amp;M125&amp;IF(N125&lt;&gt;""," ("&amp;N125&amp;")",""))="","",TRIM(L125&amp;" "&amp;M125&amp;IF(N125&lt;&gt;""," ("&amp;N125&amp;")","")))</x:f>
      </x:c>
      <x:c r="P125" s="253"/>
      <x:c r="Q125" s="252"/>
      <x:c r="R125" s="253"/>
      <x:c r="S125" s="253"/>
      <x:c r="T125" s="253"/>
      <x:c r="U125" s="253"/>
      <x:c r="V125" s="253"/>
      <x:c r="W125" s="253"/>
      <x:c r="X125" s="253"/>
      <x:c r="Y125" s="252"/>
      <x:c r="Z125" s="252"/>
      <x:c r="AA125" s="253"/>
      <x:c r="AB125" s="253" t="str">
        <x:f>IF(B125="","",IFERROR(INDEX('الزبائن'!$BA$6:$BA$505,MATCH(B125,'الزبائن'!$A$6:$A$505,0)),"source key not found"))</x:f>
      </x:c>
      <x:c r="AC125" s="253" t="str">
        <x:f>IF(B125="","",IFERROR(INDEX('الزبائن'!$BB$6:$BB$505,MATCH(B125,'الزبائن'!$A$6:$A$505,0)),"source key not found"))</x:f>
      </x:c>
      <x:c r="AD125" s="253" t="str">
        <x:f>IF(AND(A125="",C125="",D125="",I125="",L125="",M125=""),"",IF(C125="skip","SKIP",IF(OR(A125="",C125="",D125="",I125="",L125="",M125="",U125="",COUNTIF($A$6:$A$505,A125)&gt;1,AND(B125&lt;&gt;"",COUNTIF('الزبائن'!$A$6:$A$505,B125)=0),(COUNTIFS('أرقام التواصل'!$A$6:$A$505,"proposed_name",'أرقام التواصل'!$B$6:$B$505,A125,'أرقام التواصل'!$I$6:$I$505,"TRUE")+COUNTIFS('أرقام التواصل'!$A$6:$A$505,"proposed_name",'أرقام التواصل'!$B$6:$B$505,A125,'أرقام التواصل'!$C$6:$C$505,1))=0,AND(W125="TRUE",X125="")),"REVIEW","READY")))</x:f>
      </x:c>
      <x:c r="AE125" s="255" t="str">
        <x:f>IF(AD125="","",IF(AD125="READY","",IF(AD125="SKIP","Skipped by candidate_import_action",TRIM(IF(A125="","missing proposed_name_key; ","")&amp;IF(AND(A125&lt;&gt;"",COUNTIF($A$6:$A$505,A125)&gt;1),"duplicate proposed_name_key; ","")&amp;IF(C125="","missing candidate_import_action; ","")&amp;IF(D125="","missing move_reason; ","")&amp;IF(I125="","missing branch_id; ","")&amp;IF(L125="","missing first_name; ","")&amp;IF(M125="","missing last_name; ","")&amp;IF(U125="","missing status; ","")&amp;IF(AND(B125&lt;&gt;"",COUNTIF('الزبائن'!$A$6:$A$505,B125)=0),"source key not found; ","")&amp;IF((COUNTIFS('أرقام التواصل'!$A$6:$A$505,"proposed_name",'أرقام التواصل'!$B$6:$B$505,A125,'أرقام التواصل'!$I$6:$I$505,"TRUE")+COUNTIFS('أرقام التواصل'!$A$6:$A$505,"proposed_name",'أرقام التواصل'!$B$6:$B$505,A125,'أرقام التواصل'!$C$6:$C$505,1))=0,"missing primary contact in أرقام التواصل; ","")&amp;IF(AND(W125="TRUE",X125=""),"duplicate_type required when duplicate_flag TRUE; ","")))))</x:f>
      </x:c>
    </x:row>
    <x:row r="126">
      <x:c r="A126" s="302"/>
      <x:c r="B126" s="252"/>
      <x:c r="C126" s="253"/>
      <x:c r="D126" s="253"/>
      <x:c r="E126" s="253"/>
      <x:c r="F126" s="252"/>
      <x:c r="G126" s="253"/>
      <x:c r="H126" s="272"/>
      <x:c r="I126" s="253"/>
      <x:c r="J126" s="253"/>
      <x:c r="K126" s="253"/>
      <x:c r="L126" s="253"/>
      <x:c r="M126" s="253"/>
      <x:c r="N126" s="253"/>
      <x:c r="O126" s="253" t="str">
        <x:f>IF(TRIM(L126&amp;" "&amp;M126&amp;IF(N126&lt;&gt;""," ("&amp;N126&amp;")",""))="","",TRIM(L126&amp;" "&amp;M126&amp;IF(N126&lt;&gt;""," ("&amp;N126&amp;")","")))</x:f>
      </x:c>
      <x:c r="P126" s="253"/>
      <x:c r="Q126" s="252"/>
      <x:c r="R126" s="253"/>
      <x:c r="S126" s="253"/>
      <x:c r="T126" s="253"/>
      <x:c r="U126" s="253"/>
      <x:c r="V126" s="253"/>
      <x:c r="W126" s="253"/>
      <x:c r="X126" s="253"/>
      <x:c r="Y126" s="252"/>
      <x:c r="Z126" s="252"/>
      <x:c r="AA126" s="253"/>
      <x:c r="AB126" s="253" t="str">
        <x:f>IF(B126="","",IFERROR(INDEX('الزبائن'!$BA$6:$BA$505,MATCH(B126,'الزبائن'!$A$6:$A$505,0)),"source key not found"))</x:f>
      </x:c>
      <x:c r="AC126" s="253" t="str">
        <x:f>IF(B126="","",IFERROR(INDEX('الزبائن'!$BB$6:$BB$505,MATCH(B126,'الزبائن'!$A$6:$A$505,0)),"source key not found"))</x:f>
      </x:c>
      <x:c r="AD126" s="253" t="str">
        <x:f>IF(AND(A126="",C126="",D126="",I126="",L126="",M126=""),"",IF(C126="skip","SKIP",IF(OR(A126="",C126="",D126="",I126="",L126="",M126="",U126="",COUNTIF($A$6:$A$505,A126)&gt;1,AND(B126&lt;&gt;"",COUNTIF('الزبائن'!$A$6:$A$505,B126)=0),(COUNTIFS('أرقام التواصل'!$A$6:$A$505,"proposed_name",'أرقام التواصل'!$B$6:$B$505,A126,'أرقام التواصل'!$I$6:$I$505,"TRUE")+COUNTIFS('أرقام التواصل'!$A$6:$A$505,"proposed_name",'أرقام التواصل'!$B$6:$B$505,A126,'أرقام التواصل'!$C$6:$C$505,1))=0,AND(W126="TRUE",X126="")),"REVIEW","READY")))</x:f>
      </x:c>
      <x:c r="AE126" s="255" t="str">
        <x:f>IF(AD126="","",IF(AD126="READY","",IF(AD126="SKIP","Skipped by candidate_import_action",TRIM(IF(A126="","missing proposed_name_key; ","")&amp;IF(AND(A126&lt;&gt;"",COUNTIF($A$6:$A$505,A126)&gt;1),"duplicate proposed_name_key; ","")&amp;IF(C126="","missing candidate_import_action; ","")&amp;IF(D126="","missing move_reason; ","")&amp;IF(I126="","missing branch_id; ","")&amp;IF(L126="","missing first_name; ","")&amp;IF(M126="","missing last_name; ","")&amp;IF(U126="","missing status; ","")&amp;IF(AND(B126&lt;&gt;"",COUNTIF('الزبائن'!$A$6:$A$505,B126)=0),"source key not found; ","")&amp;IF((COUNTIFS('أرقام التواصل'!$A$6:$A$505,"proposed_name",'أرقام التواصل'!$B$6:$B$505,A126,'أرقام التواصل'!$I$6:$I$505,"TRUE")+COUNTIFS('أرقام التواصل'!$A$6:$A$505,"proposed_name",'أرقام التواصل'!$B$6:$B$505,A126,'أرقام التواصل'!$C$6:$C$505,1))=0,"missing primary contact in أرقام التواصل; ","")&amp;IF(AND(W126="TRUE",X126=""),"duplicate_type required when duplicate_flag TRUE; ","")))))</x:f>
      </x:c>
    </x:row>
    <x:row r="127">
      <x:c r="A127" s="302"/>
      <x:c r="B127" s="252"/>
      <x:c r="C127" s="253"/>
      <x:c r="D127" s="253"/>
      <x:c r="E127" s="253"/>
      <x:c r="F127" s="252"/>
      <x:c r="G127" s="253"/>
      <x:c r="H127" s="272"/>
      <x:c r="I127" s="253"/>
      <x:c r="J127" s="253"/>
      <x:c r="K127" s="253"/>
      <x:c r="L127" s="253"/>
      <x:c r="M127" s="253"/>
      <x:c r="N127" s="253"/>
      <x:c r="O127" s="253" t="str">
        <x:f>IF(TRIM(L127&amp;" "&amp;M127&amp;IF(N127&lt;&gt;""," ("&amp;N127&amp;")",""))="","",TRIM(L127&amp;" "&amp;M127&amp;IF(N127&lt;&gt;""," ("&amp;N127&amp;")","")))</x:f>
      </x:c>
      <x:c r="P127" s="253"/>
      <x:c r="Q127" s="252"/>
      <x:c r="R127" s="253"/>
      <x:c r="S127" s="253"/>
      <x:c r="T127" s="253"/>
      <x:c r="U127" s="253"/>
      <x:c r="V127" s="253"/>
      <x:c r="W127" s="253"/>
      <x:c r="X127" s="253"/>
      <x:c r="Y127" s="252"/>
      <x:c r="Z127" s="252"/>
      <x:c r="AA127" s="253"/>
      <x:c r="AB127" s="253" t="str">
        <x:f>IF(B127="","",IFERROR(INDEX('الزبائن'!$BA$6:$BA$505,MATCH(B127,'الزبائن'!$A$6:$A$505,0)),"source key not found"))</x:f>
      </x:c>
      <x:c r="AC127" s="253" t="str">
        <x:f>IF(B127="","",IFERROR(INDEX('الزبائن'!$BB$6:$BB$505,MATCH(B127,'الزبائن'!$A$6:$A$505,0)),"source key not found"))</x:f>
      </x:c>
      <x:c r="AD127" s="253" t="str">
        <x:f>IF(AND(A127="",C127="",D127="",I127="",L127="",M127=""),"",IF(C127="skip","SKIP",IF(OR(A127="",C127="",D127="",I127="",L127="",M127="",U127="",COUNTIF($A$6:$A$505,A127)&gt;1,AND(B127&lt;&gt;"",COUNTIF('الزبائن'!$A$6:$A$505,B127)=0),(COUNTIFS('أرقام التواصل'!$A$6:$A$505,"proposed_name",'أرقام التواصل'!$B$6:$B$505,A127,'أرقام التواصل'!$I$6:$I$505,"TRUE")+COUNTIFS('أرقام التواصل'!$A$6:$A$505,"proposed_name",'أرقام التواصل'!$B$6:$B$505,A127,'أرقام التواصل'!$C$6:$C$505,1))=0,AND(W127="TRUE",X127="")),"REVIEW","READY")))</x:f>
      </x:c>
      <x:c r="AE127" s="255" t="str">
        <x:f>IF(AD127="","",IF(AD127="READY","",IF(AD127="SKIP","Skipped by candidate_import_action",TRIM(IF(A127="","missing proposed_name_key; ","")&amp;IF(AND(A127&lt;&gt;"",COUNTIF($A$6:$A$505,A127)&gt;1),"duplicate proposed_name_key; ","")&amp;IF(C127="","missing candidate_import_action; ","")&amp;IF(D127="","missing move_reason; ","")&amp;IF(I127="","missing branch_id; ","")&amp;IF(L127="","missing first_name; ","")&amp;IF(M127="","missing last_name; ","")&amp;IF(U127="","missing status; ","")&amp;IF(AND(B127&lt;&gt;"",COUNTIF('الزبائن'!$A$6:$A$505,B127)=0),"source key not found; ","")&amp;IF((COUNTIFS('أرقام التواصل'!$A$6:$A$505,"proposed_name",'أرقام التواصل'!$B$6:$B$505,A127,'أرقام التواصل'!$I$6:$I$505,"TRUE")+COUNTIFS('أرقام التواصل'!$A$6:$A$505,"proposed_name",'أرقام التواصل'!$B$6:$B$505,A127,'أرقام التواصل'!$C$6:$C$505,1))=0,"missing primary contact in أرقام التواصل; ","")&amp;IF(AND(W127="TRUE",X127=""),"duplicate_type required when duplicate_flag TRUE; ","")))))</x:f>
      </x:c>
    </x:row>
    <x:row r="128">
      <x:c r="A128" s="302"/>
      <x:c r="B128" s="252"/>
      <x:c r="C128" s="253"/>
      <x:c r="D128" s="253"/>
      <x:c r="E128" s="253"/>
      <x:c r="F128" s="252"/>
      <x:c r="G128" s="253"/>
      <x:c r="H128" s="272"/>
      <x:c r="I128" s="253"/>
      <x:c r="J128" s="253"/>
      <x:c r="K128" s="253"/>
      <x:c r="L128" s="253"/>
      <x:c r="M128" s="253"/>
      <x:c r="N128" s="253"/>
      <x:c r="O128" s="253" t="str">
        <x:f>IF(TRIM(L128&amp;" "&amp;M128&amp;IF(N128&lt;&gt;""," ("&amp;N128&amp;")",""))="","",TRIM(L128&amp;" "&amp;M128&amp;IF(N128&lt;&gt;""," ("&amp;N128&amp;")","")))</x:f>
      </x:c>
      <x:c r="P128" s="253"/>
      <x:c r="Q128" s="252"/>
      <x:c r="R128" s="253"/>
      <x:c r="S128" s="253"/>
      <x:c r="T128" s="253"/>
      <x:c r="U128" s="253"/>
      <x:c r="V128" s="253"/>
      <x:c r="W128" s="253"/>
      <x:c r="X128" s="253"/>
      <x:c r="Y128" s="252"/>
      <x:c r="Z128" s="252"/>
      <x:c r="AA128" s="253"/>
      <x:c r="AB128" s="253" t="str">
        <x:f>IF(B128="","",IFERROR(INDEX('الزبائن'!$BA$6:$BA$505,MATCH(B128,'الزبائن'!$A$6:$A$505,0)),"source key not found"))</x:f>
      </x:c>
      <x:c r="AC128" s="253" t="str">
        <x:f>IF(B128="","",IFERROR(INDEX('الزبائن'!$BB$6:$BB$505,MATCH(B128,'الزبائن'!$A$6:$A$505,0)),"source key not found"))</x:f>
      </x:c>
      <x:c r="AD128" s="253" t="str">
        <x:f>IF(AND(A128="",C128="",D128="",I128="",L128="",M128=""),"",IF(C128="skip","SKIP",IF(OR(A128="",C128="",D128="",I128="",L128="",M128="",U128="",COUNTIF($A$6:$A$505,A128)&gt;1,AND(B128&lt;&gt;"",COUNTIF('الزبائن'!$A$6:$A$505,B128)=0),(COUNTIFS('أرقام التواصل'!$A$6:$A$505,"proposed_name",'أرقام التواصل'!$B$6:$B$505,A128,'أرقام التواصل'!$I$6:$I$505,"TRUE")+COUNTIFS('أرقام التواصل'!$A$6:$A$505,"proposed_name",'أرقام التواصل'!$B$6:$B$505,A128,'أرقام التواصل'!$C$6:$C$505,1))=0,AND(W128="TRUE",X128="")),"REVIEW","READY")))</x:f>
      </x:c>
      <x:c r="AE128" s="255" t="str">
        <x:f>IF(AD128="","",IF(AD128="READY","",IF(AD128="SKIP","Skipped by candidate_import_action",TRIM(IF(A128="","missing proposed_name_key; ","")&amp;IF(AND(A128&lt;&gt;"",COUNTIF($A$6:$A$505,A128)&gt;1),"duplicate proposed_name_key; ","")&amp;IF(C128="","missing candidate_import_action; ","")&amp;IF(D128="","missing move_reason; ","")&amp;IF(I128="","missing branch_id; ","")&amp;IF(L128="","missing first_name; ","")&amp;IF(M128="","missing last_name; ","")&amp;IF(U128="","missing status; ","")&amp;IF(AND(B128&lt;&gt;"",COUNTIF('الزبائن'!$A$6:$A$505,B128)=0),"source key not found; ","")&amp;IF((COUNTIFS('أرقام التواصل'!$A$6:$A$505,"proposed_name",'أرقام التواصل'!$B$6:$B$505,A128,'أرقام التواصل'!$I$6:$I$505,"TRUE")+COUNTIFS('أرقام التواصل'!$A$6:$A$505,"proposed_name",'أرقام التواصل'!$B$6:$B$505,A128,'أرقام التواصل'!$C$6:$C$505,1))=0,"missing primary contact in أرقام التواصل; ","")&amp;IF(AND(W128="TRUE",X128=""),"duplicate_type required when duplicate_flag TRUE; ","")))))</x:f>
      </x:c>
    </x:row>
    <x:row r="129">
      <x:c r="A129" s="302"/>
      <x:c r="B129" s="252"/>
      <x:c r="C129" s="253"/>
      <x:c r="D129" s="253"/>
      <x:c r="E129" s="253"/>
      <x:c r="F129" s="252"/>
      <x:c r="G129" s="253"/>
      <x:c r="H129" s="272"/>
      <x:c r="I129" s="253"/>
      <x:c r="J129" s="253"/>
      <x:c r="K129" s="253"/>
      <x:c r="L129" s="253"/>
      <x:c r="M129" s="253"/>
      <x:c r="N129" s="253"/>
      <x:c r="O129" s="253" t="str">
        <x:f>IF(TRIM(L129&amp;" "&amp;M129&amp;IF(N129&lt;&gt;""," ("&amp;N129&amp;")",""))="","",TRIM(L129&amp;" "&amp;M129&amp;IF(N129&lt;&gt;""," ("&amp;N129&amp;")","")))</x:f>
      </x:c>
      <x:c r="P129" s="253"/>
      <x:c r="Q129" s="252"/>
      <x:c r="R129" s="253"/>
      <x:c r="S129" s="253"/>
      <x:c r="T129" s="253"/>
      <x:c r="U129" s="253"/>
      <x:c r="V129" s="253"/>
      <x:c r="W129" s="253"/>
      <x:c r="X129" s="253"/>
      <x:c r="Y129" s="252"/>
      <x:c r="Z129" s="252"/>
      <x:c r="AA129" s="253"/>
      <x:c r="AB129" s="253" t="str">
        <x:f>IF(B129="","",IFERROR(INDEX('الزبائن'!$BA$6:$BA$505,MATCH(B129,'الزبائن'!$A$6:$A$505,0)),"source key not found"))</x:f>
      </x:c>
      <x:c r="AC129" s="253" t="str">
        <x:f>IF(B129="","",IFERROR(INDEX('الزبائن'!$BB$6:$BB$505,MATCH(B129,'الزبائن'!$A$6:$A$505,0)),"source key not found"))</x:f>
      </x:c>
      <x:c r="AD129" s="253" t="str">
        <x:f>IF(AND(A129="",C129="",D129="",I129="",L129="",M129=""),"",IF(C129="skip","SKIP",IF(OR(A129="",C129="",D129="",I129="",L129="",M129="",U129="",COUNTIF($A$6:$A$505,A129)&gt;1,AND(B129&lt;&gt;"",COUNTIF('الزبائن'!$A$6:$A$505,B129)=0),(COUNTIFS('أرقام التواصل'!$A$6:$A$505,"proposed_name",'أرقام التواصل'!$B$6:$B$505,A129,'أرقام التواصل'!$I$6:$I$505,"TRUE")+COUNTIFS('أرقام التواصل'!$A$6:$A$505,"proposed_name",'أرقام التواصل'!$B$6:$B$505,A129,'أرقام التواصل'!$C$6:$C$505,1))=0,AND(W129="TRUE",X129="")),"REVIEW","READY")))</x:f>
      </x:c>
      <x:c r="AE129" s="255" t="str">
        <x:f>IF(AD129="","",IF(AD129="READY","",IF(AD129="SKIP","Skipped by candidate_import_action",TRIM(IF(A129="","missing proposed_name_key; ","")&amp;IF(AND(A129&lt;&gt;"",COUNTIF($A$6:$A$505,A129)&gt;1),"duplicate proposed_name_key; ","")&amp;IF(C129="","missing candidate_import_action; ","")&amp;IF(D129="","missing move_reason; ","")&amp;IF(I129="","missing branch_id; ","")&amp;IF(L129="","missing first_name; ","")&amp;IF(M129="","missing last_name; ","")&amp;IF(U129="","missing status; ","")&amp;IF(AND(B129&lt;&gt;"",COUNTIF('الزبائن'!$A$6:$A$505,B129)=0),"source key not found; ","")&amp;IF((COUNTIFS('أرقام التواصل'!$A$6:$A$505,"proposed_name",'أرقام التواصل'!$B$6:$B$505,A129,'أرقام التواصل'!$I$6:$I$505,"TRUE")+COUNTIFS('أرقام التواصل'!$A$6:$A$505,"proposed_name",'أرقام التواصل'!$B$6:$B$505,A129,'أرقام التواصل'!$C$6:$C$505,1))=0,"missing primary contact in أرقام التواصل; ","")&amp;IF(AND(W129="TRUE",X129=""),"duplicate_type required when duplicate_flag TRUE; ","")))))</x:f>
      </x:c>
    </x:row>
    <x:row r="130">
      <x:c r="A130" s="302"/>
      <x:c r="B130" s="252"/>
      <x:c r="C130" s="253"/>
      <x:c r="D130" s="253"/>
      <x:c r="E130" s="253"/>
      <x:c r="F130" s="252"/>
      <x:c r="G130" s="253"/>
      <x:c r="H130" s="272"/>
      <x:c r="I130" s="253"/>
      <x:c r="J130" s="253"/>
      <x:c r="K130" s="253"/>
      <x:c r="L130" s="253"/>
      <x:c r="M130" s="253"/>
      <x:c r="N130" s="253"/>
      <x:c r="O130" s="253" t="str">
        <x:f>IF(TRIM(L130&amp;" "&amp;M130&amp;IF(N130&lt;&gt;""," ("&amp;N130&amp;")",""))="","",TRIM(L130&amp;" "&amp;M130&amp;IF(N130&lt;&gt;""," ("&amp;N130&amp;")","")))</x:f>
      </x:c>
      <x:c r="P130" s="253"/>
      <x:c r="Q130" s="252"/>
      <x:c r="R130" s="253"/>
      <x:c r="S130" s="253"/>
      <x:c r="T130" s="253"/>
      <x:c r="U130" s="253"/>
      <x:c r="V130" s="253"/>
      <x:c r="W130" s="253"/>
      <x:c r="X130" s="253"/>
      <x:c r="Y130" s="252"/>
      <x:c r="Z130" s="252"/>
      <x:c r="AA130" s="253"/>
      <x:c r="AB130" s="253" t="str">
        <x:f>IF(B130="","",IFERROR(INDEX('الزبائن'!$BA$6:$BA$505,MATCH(B130,'الزبائن'!$A$6:$A$505,0)),"source key not found"))</x:f>
      </x:c>
      <x:c r="AC130" s="253" t="str">
        <x:f>IF(B130="","",IFERROR(INDEX('الزبائن'!$BB$6:$BB$505,MATCH(B130,'الزبائن'!$A$6:$A$505,0)),"source key not found"))</x:f>
      </x:c>
      <x:c r="AD130" s="253" t="str">
        <x:f>IF(AND(A130="",C130="",D130="",I130="",L130="",M130=""),"",IF(C130="skip","SKIP",IF(OR(A130="",C130="",D130="",I130="",L130="",M130="",U130="",COUNTIF($A$6:$A$505,A130)&gt;1,AND(B130&lt;&gt;"",COUNTIF('الزبائن'!$A$6:$A$505,B130)=0),(COUNTIFS('أرقام التواصل'!$A$6:$A$505,"proposed_name",'أرقام التواصل'!$B$6:$B$505,A130,'أرقام التواصل'!$I$6:$I$505,"TRUE")+COUNTIFS('أرقام التواصل'!$A$6:$A$505,"proposed_name",'أرقام التواصل'!$B$6:$B$505,A130,'أرقام التواصل'!$C$6:$C$505,1))=0,AND(W130="TRUE",X130="")),"REVIEW","READY")))</x:f>
      </x:c>
      <x:c r="AE130" s="255" t="str">
        <x:f>IF(AD130="","",IF(AD130="READY","",IF(AD130="SKIP","Skipped by candidate_import_action",TRIM(IF(A130="","missing proposed_name_key; ","")&amp;IF(AND(A130&lt;&gt;"",COUNTIF($A$6:$A$505,A130)&gt;1),"duplicate proposed_name_key; ","")&amp;IF(C130="","missing candidate_import_action; ","")&amp;IF(D130="","missing move_reason; ","")&amp;IF(I130="","missing branch_id; ","")&amp;IF(L130="","missing first_name; ","")&amp;IF(M130="","missing last_name; ","")&amp;IF(U130="","missing status; ","")&amp;IF(AND(B130&lt;&gt;"",COUNTIF('الزبائن'!$A$6:$A$505,B130)=0),"source key not found; ","")&amp;IF((COUNTIFS('أرقام التواصل'!$A$6:$A$505,"proposed_name",'أرقام التواصل'!$B$6:$B$505,A130,'أرقام التواصل'!$I$6:$I$505,"TRUE")+COUNTIFS('أرقام التواصل'!$A$6:$A$505,"proposed_name",'أرقام التواصل'!$B$6:$B$505,A130,'أرقام التواصل'!$C$6:$C$505,1))=0,"missing primary contact in أرقام التواصل; ","")&amp;IF(AND(W130="TRUE",X130=""),"duplicate_type required when duplicate_flag TRUE; ","")))))</x:f>
      </x:c>
    </x:row>
    <x:row r="131">
      <x:c r="A131" s="302"/>
      <x:c r="B131" s="252"/>
      <x:c r="C131" s="253"/>
      <x:c r="D131" s="253"/>
      <x:c r="E131" s="253"/>
      <x:c r="F131" s="252"/>
      <x:c r="G131" s="253"/>
      <x:c r="H131" s="272"/>
      <x:c r="I131" s="253"/>
      <x:c r="J131" s="253"/>
      <x:c r="K131" s="253"/>
      <x:c r="L131" s="253"/>
      <x:c r="M131" s="253"/>
      <x:c r="N131" s="253"/>
      <x:c r="O131" s="253" t="str">
        <x:f>IF(TRIM(L131&amp;" "&amp;M131&amp;IF(N131&lt;&gt;""," ("&amp;N131&amp;")",""))="","",TRIM(L131&amp;" "&amp;M131&amp;IF(N131&lt;&gt;""," ("&amp;N131&amp;")","")))</x:f>
      </x:c>
      <x:c r="P131" s="253"/>
      <x:c r="Q131" s="252"/>
      <x:c r="R131" s="253"/>
      <x:c r="S131" s="253"/>
      <x:c r="T131" s="253"/>
      <x:c r="U131" s="253"/>
      <x:c r="V131" s="253"/>
      <x:c r="W131" s="253"/>
      <x:c r="X131" s="253"/>
      <x:c r="Y131" s="252"/>
      <x:c r="Z131" s="252"/>
      <x:c r="AA131" s="253"/>
      <x:c r="AB131" s="253" t="str">
        <x:f>IF(B131="","",IFERROR(INDEX('الزبائن'!$BA$6:$BA$505,MATCH(B131,'الزبائن'!$A$6:$A$505,0)),"source key not found"))</x:f>
      </x:c>
      <x:c r="AC131" s="253" t="str">
        <x:f>IF(B131="","",IFERROR(INDEX('الزبائن'!$BB$6:$BB$505,MATCH(B131,'الزبائن'!$A$6:$A$505,0)),"source key not found"))</x:f>
      </x:c>
      <x:c r="AD131" s="253" t="str">
        <x:f>IF(AND(A131="",C131="",D131="",I131="",L131="",M131=""),"",IF(C131="skip","SKIP",IF(OR(A131="",C131="",D131="",I131="",L131="",M131="",U131="",COUNTIF($A$6:$A$505,A131)&gt;1,AND(B131&lt;&gt;"",COUNTIF('الزبائن'!$A$6:$A$505,B131)=0),(COUNTIFS('أرقام التواصل'!$A$6:$A$505,"proposed_name",'أرقام التواصل'!$B$6:$B$505,A131,'أرقام التواصل'!$I$6:$I$505,"TRUE")+COUNTIFS('أرقام التواصل'!$A$6:$A$505,"proposed_name",'أرقام التواصل'!$B$6:$B$505,A131,'أرقام التواصل'!$C$6:$C$505,1))=0,AND(W131="TRUE",X131="")),"REVIEW","READY")))</x:f>
      </x:c>
      <x:c r="AE131" s="255" t="str">
        <x:f>IF(AD131="","",IF(AD131="READY","",IF(AD131="SKIP","Skipped by candidate_import_action",TRIM(IF(A131="","missing proposed_name_key; ","")&amp;IF(AND(A131&lt;&gt;"",COUNTIF($A$6:$A$505,A131)&gt;1),"duplicate proposed_name_key; ","")&amp;IF(C131="","missing candidate_import_action; ","")&amp;IF(D131="","missing move_reason; ","")&amp;IF(I131="","missing branch_id; ","")&amp;IF(L131="","missing first_name; ","")&amp;IF(M131="","missing last_name; ","")&amp;IF(U131="","missing status; ","")&amp;IF(AND(B131&lt;&gt;"",COUNTIF('الزبائن'!$A$6:$A$505,B131)=0),"source key not found; ","")&amp;IF((COUNTIFS('أرقام التواصل'!$A$6:$A$505,"proposed_name",'أرقام التواصل'!$B$6:$B$505,A131,'أرقام التواصل'!$I$6:$I$505,"TRUE")+COUNTIFS('أرقام التواصل'!$A$6:$A$505,"proposed_name",'أرقام التواصل'!$B$6:$B$505,A131,'أرقام التواصل'!$C$6:$C$505,1))=0,"missing primary contact in أرقام التواصل; ","")&amp;IF(AND(W131="TRUE",X131=""),"duplicate_type required when duplicate_flag TRUE; ","")))))</x:f>
      </x:c>
    </x:row>
    <x:row r="132">
      <x:c r="A132" s="302"/>
      <x:c r="B132" s="252"/>
      <x:c r="C132" s="253"/>
      <x:c r="D132" s="253"/>
      <x:c r="E132" s="253"/>
      <x:c r="F132" s="252"/>
      <x:c r="G132" s="253"/>
      <x:c r="H132" s="272"/>
      <x:c r="I132" s="253"/>
      <x:c r="J132" s="253"/>
      <x:c r="K132" s="253"/>
      <x:c r="L132" s="253"/>
      <x:c r="M132" s="253"/>
      <x:c r="N132" s="253"/>
      <x:c r="O132" s="253" t="str">
        <x:f>IF(TRIM(L132&amp;" "&amp;M132&amp;IF(N132&lt;&gt;""," ("&amp;N132&amp;")",""))="","",TRIM(L132&amp;" "&amp;M132&amp;IF(N132&lt;&gt;""," ("&amp;N132&amp;")","")))</x:f>
      </x:c>
      <x:c r="P132" s="253"/>
      <x:c r="Q132" s="252"/>
      <x:c r="R132" s="253"/>
      <x:c r="S132" s="253"/>
      <x:c r="T132" s="253"/>
      <x:c r="U132" s="253"/>
      <x:c r="V132" s="253"/>
      <x:c r="W132" s="253"/>
      <x:c r="X132" s="253"/>
      <x:c r="Y132" s="252"/>
      <x:c r="Z132" s="252"/>
      <x:c r="AA132" s="253"/>
      <x:c r="AB132" s="253" t="str">
        <x:f>IF(B132="","",IFERROR(INDEX('الزبائن'!$BA$6:$BA$505,MATCH(B132,'الزبائن'!$A$6:$A$505,0)),"source key not found"))</x:f>
      </x:c>
      <x:c r="AC132" s="253" t="str">
        <x:f>IF(B132="","",IFERROR(INDEX('الزبائن'!$BB$6:$BB$505,MATCH(B132,'الزبائن'!$A$6:$A$505,0)),"source key not found"))</x:f>
      </x:c>
      <x:c r="AD132" s="253" t="str">
        <x:f>IF(AND(A132="",C132="",D132="",I132="",L132="",M132=""),"",IF(C132="skip","SKIP",IF(OR(A132="",C132="",D132="",I132="",L132="",M132="",U132="",COUNTIF($A$6:$A$505,A132)&gt;1,AND(B132&lt;&gt;"",COUNTIF('الزبائن'!$A$6:$A$505,B132)=0),(COUNTIFS('أرقام التواصل'!$A$6:$A$505,"proposed_name",'أرقام التواصل'!$B$6:$B$505,A132,'أرقام التواصل'!$I$6:$I$505,"TRUE")+COUNTIFS('أرقام التواصل'!$A$6:$A$505,"proposed_name",'أرقام التواصل'!$B$6:$B$505,A132,'أرقام التواصل'!$C$6:$C$505,1))=0,AND(W132="TRUE",X132="")),"REVIEW","READY")))</x:f>
      </x:c>
      <x:c r="AE132" s="255" t="str">
        <x:f>IF(AD132="","",IF(AD132="READY","",IF(AD132="SKIP","Skipped by candidate_import_action",TRIM(IF(A132="","missing proposed_name_key; ","")&amp;IF(AND(A132&lt;&gt;"",COUNTIF($A$6:$A$505,A132)&gt;1),"duplicate proposed_name_key; ","")&amp;IF(C132="","missing candidate_import_action; ","")&amp;IF(D132="","missing move_reason; ","")&amp;IF(I132="","missing branch_id; ","")&amp;IF(L132="","missing first_name; ","")&amp;IF(M132="","missing last_name; ","")&amp;IF(U132="","missing status; ","")&amp;IF(AND(B132&lt;&gt;"",COUNTIF('الزبائن'!$A$6:$A$505,B132)=0),"source key not found; ","")&amp;IF((COUNTIFS('أرقام التواصل'!$A$6:$A$505,"proposed_name",'أرقام التواصل'!$B$6:$B$505,A132,'أرقام التواصل'!$I$6:$I$505,"TRUE")+COUNTIFS('أرقام التواصل'!$A$6:$A$505,"proposed_name",'أرقام التواصل'!$B$6:$B$505,A132,'أرقام التواصل'!$C$6:$C$505,1))=0,"missing primary contact in أرقام التواصل; ","")&amp;IF(AND(W132="TRUE",X132=""),"duplicate_type required when duplicate_flag TRUE; ","")))))</x:f>
      </x:c>
    </x:row>
    <x:row r="133">
      <x:c r="A133" s="302"/>
      <x:c r="B133" s="252"/>
      <x:c r="C133" s="253"/>
      <x:c r="D133" s="253"/>
      <x:c r="E133" s="253"/>
      <x:c r="F133" s="252"/>
      <x:c r="G133" s="253"/>
      <x:c r="H133" s="272"/>
      <x:c r="I133" s="253"/>
      <x:c r="J133" s="253"/>
      <x:c r="K133" s="253"/>
      <x:c r="L133" s="253"/>
      <x:c r="M133" s="253"/>
      <x:c r="N133" s="253"/>
      <x:c r="O133" s="253" t="str">
        <x:f>IF(TRIM(L133&amp;" "&amp;M133&amp;IF(N133&lt;&gt;""," ("&amp;N133&amp;")",""))="","",TRIM(L133&amp;" "&amp;M133&amp;IF(N133&lt;&gt;""," ("&amp;N133&amp;")","")))</x:f>
      </x:c>
      <x:c r="P133" s="253"/>
      <x:c r="Q133" s="252"/>
      <x:c r="R133" s="253"/>
      <x:c r="S133" s="253"/>
      <x:c r="T133" s="253"/>
      <x:c r="U133" s="253"/>
      <x:c r="V133" s="253"/>
      <x:c r="W133" s="253"/>
      <x:c r="X133" s="253"/>
      <x:c r="Y133" s="252"/>
      <x:c r="Z133" s="252"/>
      <x:c r="AA133" s="253"/>
      <x:c r="AB133" s="253" t="str">
        <x:f>IF(B133="","",IFERROR(INDEX('الزبائن'!$BA$6:$BA$505,MATCH(B133,'الزبائن'!$A$6:$A$505,0)),"source key not found"))</x:f>
      </x:c>
      <x:c r="AC133" s="253" t="str">
        <x:f>IF(B133="","",IFERROR(INDEX('الزبائن'!$BB$6:$BB$505,MATCH(B133,'الزبائن'!$A$6:$A$505,0)),"source key not found"))</x:f>
      </x:c>
      <x:c r="AD133" s="253" t="str">
        <x:f>IF(AND(A133="",C133="",D133="",I133="",L133="",M133=""),"",IF(C133="skip","SKIP",IF(OR(A133="",C133="",D133="",I133="",L133="",M133="",U133="",COUNTIF($A$6:$A$505,A133)&gt;1,AND(B133&lt;&gt;"",COUNTIF('الزبائن'!$A$6:$A$505,B133)=0),(COUNTIFS('أرقام التواصل'!$A$6:$A$505,"proposed_name",'أرقام التواصل'!$B$6:$B$505,A133,'أرقام التواصل'!$I$6:$I$505,"TRUE")+COUNTIFS('أرقام التواصل'!$A$6:$A$505,"proposed_name",'أرقام التواصل'!$B$6:$B$505,A133,'أرقام التواصل'!$C$6:$C$505,1))=0,AND(W133="TRUE",X133="")),"REVIEW","READY")))</x:f>
      </x:c>
      <x:c r="AE133" s="255" t="str">
        <x:f>IF(AD133="","",IF(AD133="READY","",IF(AD133="SKIP","Skipped by candidate_import_action",TRIM(IF(A133="","missing proposed_name_key; ","")&amp;IF(AND(A133&lt;&gt;"",COUNTIF($A$6:$A$505,A133)&gt;1),"duplicate proposed_name_key; ","")&amp;IF(C133="","missing candidate_import_action; ","")&amp;IF(D133="","missing move_reason; ","")&amp;IF(I133="","missing branch_id; ","")&amp;IF(L133="","missing first_name; ","")&amp;IF(M133="","missing last_name; ","")&amp;IF(U133="","missing status; ","")&amp;IF(AND(B133&lt;&gt;"",COUNTIF('الزبائن'!$A$6:$A$505,B133)=0),"source key not found; ","")&amp;IF((COUNTIFS('أرقام التواصل'!$A$6:$A$505,"proposed_name",'أرقام التواصل'!$B$6:$B$505,A133,'أرقام التواصل'!$I$6:$I$505,"TRUE")+COUNTIFS('أرقام التواصل'!$A$6:$A$505,"proposed_name",'أرقام التواصل'!$B$6:$B$505,A133,'أرقام التواصل'!$C$6:$C$505,1))=0,"missing primary contact in أرقام التواصل; ","")&amp;IF(AND(W133="TRUE",X133=""),"duplicate_type required when duplicate_flag TRUE; ","")))))</x:f>
      </x:c>
    </x:row>
    <x:row r="134">
      <x:c r="A134" s="302"/>
      <x:c r="B134" s="252"/>
      <x:c r="C134" s="253"/>
      <x:c r="D134" s="253"/>
      <x:c r="E134" s="253"/>
      <x:c r="F134" s="252"/>
      <x:c r="G134" s="253"/>
      <x:c r="H134" s="272"/>
      <x:c r="I134" s="253"/>
      <x:c r="J134" s="253"/>
      <x:c r="K134" s="253"/>
      <x:c r="L134" s="253"/>
      <x:c r="M134" s="253"/>
      <x:c r="N134" s="253"/>
      <x:c r="O134" s="253" t="str">
        <x:f>IF(TRIM(L134&amp;" "&amp;M134&amp;IF(N134&lt;&gt;""," ("&amp;N134&amp;")",""))="","",TRIM(L134&amp;" "&amp;M134&amp;IF(N134&lt;&gt;""," ("&amp;N134&amp;")","")))</x:f>
      </x:c>
      <x:c r="P134" s="253"/>
      <x:c r="Q134" s="252"/>
      <x:c r="R134" s="253"/>
      <x:c r="S134" s="253"/>
      <x:c r="T134" s="253"/>
      <x:c r="U134" s="253"/>
      <x:c r="V134" s="253"/>
      <x:c r="W134" s="253"/>
      <x:c r="X134" s="253"/>
      <x:c r="Y134" s="252"/>
      <x:c r="Z134" s="252"/>
      <x:c r="AA134" s="253"/>
      <x:c r="AB134" s="253" t="str">
        <x:f>IF(B134="","",IFERROR(INDEX('الزبائن'!$BA$6:$BA$505,MATCH(B134,'الزبائن'!$A$6:$A$505,0)),"source key not found"))</x:f>
      </x:c>
      <x:c r="AC134" s="253" t="str">
        <x:f>IF(B134="","",IFERROR(INDEX('الزبائن'!$BB$6:$BB$505,MATCH(B134,'الزبائن'!$A$6:$A$505,0)),"source key not found"))</x:f>
      </x:c>
      <x:c r="AD134" s="253" t="str">
        <x:f>IF(AND(A134="",C134="",D134="",I134="",L134="",M134=""),"",IF(C134="skip","SKIP",IF(OR(A134="",C134="",D134="",I134="",L134="",M134="",U134="",COUNTIF($A$6:$A$505,A134)&gt;1,AND(B134&lt;&gt;"",COUNTIF('الزبائن'!$A$6:$A$505,B134)=0),(COUNTIFS('أرقام التواصل'!$A$6:$A$505,"proposed_name",'أرقام التواصل'!$B$6:$B$505,A134,'أرقام التواصل'!$I$6:$I$505,"TRUE")+COUNTIFS('أرقام التواصل'!$A$6:$A$505,"proposed_name",'أرقام التواصل'!$B$6:$B$505,A134,'أرقام التواصل'!$C$6:$C$505,1))=0,AND(W134="TRUE",X134="")),"REVIEW","READY")))</x:f>
      </x:c>
      <x:c r="AE134" s="255" t="str">
        <x:f>IF(AD134="","",IF(AD134="READY","",IF(AD134="SKIP","Skipped by candidate_import_action",TRIM(IF(A134="","missing proposed_name_key; ","")&amp;IF(AND(A134&lt;&gt;"",COUNTIF($A$6:$A$505,A134)&gt;1),"duplicate proposed_name_key; ","")&amp;IF(C134="","missing candidate_import_action; ","")&amp;IF(D134="","missing move_reason; ","")&amp;IF(I134="","missing branch_id; ","")&amp;IF(L134="","missing first_name; ","")&amp;IF(M134="","missing last_name; ","")&amp;IF(U134="","missing status; ","")&amp;IF(AND(B134&lt;&gt;"",COUNTIF('الزبائن'!$A$6:$A$505,B134)=0),"source key not found; ","")&amp;IF((COUNTIFS('أرقام التواصل'!$A$6:$A$505,"proposed_name",'أرقام التواصل'!$B$6:$B$505,A134,'أرقام التواصل'!$I$6:$I$505,"TRUE")+COUNTIFS('أرقام التواصل'!$A$6:$A$505,"proposed_name",'أرقام التواصل'!$B$6:$B$505,A134,'أرقام التواصل'!$C$6:$C$505,1))=0,"missing primary contact in أرقام التواصل; ","")&amp;IF(AND(W134="TRUE",X134=""),"duplicate_type required when duplicate_flag TRUE; ","")))))</x:f>
      </x:c>
    </x:row>
    <x:row r="135">
      <x:c r="A135" s="302"/>
      <x:c r="B135" s="252"/>
      <x:c r="C135" s="253"/>
      <x:c r="D135" s="253"/>
      <x:c r="E135" s="253"/>
      <x:c r="F135" s="252"/>
      <x:c r="G135" s="253"/>
      <x:c r="H135" s="272"/>
      <x:c r="I135" s="253"/>
      <x:c r="J135" s="253"/>
      <x:c r="K135" s="253"/>
      <x:c r="L135" s="253"/>
      <x:c r="M135" s="253"/>
      <x:c r="N135" s="253"/>
      <x:c r="O135" s="253" t="str">
        <x:f>IF(TRIM(L135&amp;" "&amp;M135&amp;IF(N135&lt;&gt;""," ("&amp;N135&amp;")",""))="","",TRIM(L135&amp;" "&amp;M135&amp;IF(N135&lt;&gt;""," ("&amp;N135&amp;")","")))</x:f>
      </x:c>
      <x:c r="P135" s="253"/>
      <x:c r="Q135" s="252"/>
      <x:c r="R135" s="253"/>
      <x:c r="S135" s="253"/>
      <x:c r="T135" s="253"/>
      <x:c r="U135" s="253"/>
      <x:c r="V135" s="253"/>
      <x:c r="W135" s="253"/>
      <x:c r="X135" s="253"/>
      <x:c r="Y135" s="252"/>
      <x:c r="Z135" s="252"/>
      <x:c r="AA135" s="253"/>
      <x:c r="AB135" s="253" t="str">
        <x:f>IF(B135="","",IFERROR(INDEX('الزبائن'!$BA$6:$BA$505,MATCH(B135,'الزبائن'!$A$6:$A$505,0)),"source key not found"))</x:f>
      </x:c>
      <x:c r="AC135" s="253" t="str">
        <x:f>IF(B135="","",IFERROR(INDEX('الزبائن'!$BB$6:$BB$505,MATCH(B135,'الزبائن'!$A$6:$A$505,0)),"source key not found"))</x:f>
      </x:c>
      <x:c r="AD135" s="253" t="str">
        <x:f>IF(AND(A135="",C135="",D135="",I135="",L135="",M135=""),"",IF(C135="skip","SKIP",IF(OR(A135="",C135="",D135="",I135="",L135="",M135="",U135="",COUNTIF($A$6:$A$505,A135)&gt;1,AND(B135&lt;&gt;"",COUNTIF('الزبائن'!$A$6:$A$505,B135)=0),(COUNTIFS('أرقام التواصل'!$A$6:$A$505,"proposed_name",'أرقام التواصل'!$B$6:$B$505,A135,'أرقام التواصل'!$I$6:$I$505,"TRUE")+COUNTIFS('أرقام التواصل'!$A$6:$A$505,"proposed_name",'أرقام التواصل'!$B$6:$B$505,A135,'أرقام التواصل'!$C$6:$C$505,1))=0,AND(W135="TRUE",X135="")),"REVIEW","READY")))</x:f>
      </x:c>
      <x:c r="AE135" s="255" t="str">
        <x:f>IF(AD135="","",IF(AD135="READY","",IF(AD135="SKIP","Skipped by candidate_import_action",TRIM(IF(A135="","missing proposed_name_key; ","")&amp;IF(AND(A135&lt;&gt;"",COUNTIF($A$6:$A$505,A135)&gt;1),"duplicate proposed_name_key; ","")&amp;IF(C135="","missing candidate_import_action; ","")&amp;IF(D135="","missing move_reason; ","")&amp;IF(I135="","missing branch_id; ","")&amp;IF(L135="","missing first_name; ","")&amp;IF(M135="","missing last_name; ","")&amp;IF(U135="","missing status; ","")&amp;IF(AND(B135&lt;&gt;"",COUNTIF('الزبائن'!$A$6:$A$505,B135)=0),"source key not found; ","")&amp;IF((COUNTIFS('أرقام التواصل'!$A$6:$A$505,"proposed_name",'أرقام التواصل'!$B$6:$B$505,A135,'أرقام التواصل'!$I$6:$I$505,"TRUE")+COUNTIFS('أرقام التواصل'!$A$6:$A$505,"proposed_name",'أرقام التواصل'!$B$6:$B$505,A135,'أرقام التواصل'!$C$6:$C$505,1))=0,"missing primary contact in أرقام التواصل; ","")&amp;IF(AND(W135="TRUE",X135=""),"duplicate_type required when duplicate_flag TRUE; ","")))))</x:f>
      </x:c>
    </x:row>
    <x:row r="136">
      <x:c r="A136" s="302"/>
      <x:c r="B136" s="252"/>
      <x:c r="C136" s="253"/>
      <x:c r="D136" s="253"/>
      <x:c r="E136" s="253"/>
      <x:c r="F136" s="252"/>
      <x:c r="G136" s="253"/>
      <x:c r="H136" s="272"/>
      <x:c r="I136" s="253"/>
      <x:c r="J136" s="253"/>
      <x:c r="K136" s="253"/>
      <x:c r="L136" s="253"/>
      <x:c r="M136" s="253"/>
      <x:c r="N136" s="253"/>
      <x:c r="O136" s="253" t="str">
        <x:f>IF(TRIM(L136&amp;" "&amp;M136&amp;IF(N136&lt;&gt;""," ("&amp;N136&amp;")",""))="","",TRIM(L136&amp;" "&amp;M136&amp;IF(N136&lt;&gt;""," ("&amp;N136&amp;")","")))</x:f>
      </x:c>
      <x:c r="P136" s="253"/>
      <x:c r="Q136" s="252"/>
      <x:c r="R136" s="253"/>
      <x:c r="S136" s="253"/>
      <x:c r="T136" s="253"/>
      <x:c r="U136" s="253"/>
      <x:c r="V136" s="253"/>
      <x:c r="W136" s="253"/>
      <x:c r="X136" s="253"/>
      <x:c r="Y136" s="252"/>
      <x:c r="Z136" s="252"/>
      <x:c r="AA136" s="253"/>
      <x:c r="AB136" s="253" t="str">
        <x:f>IF(B136="","",IFERROR(INDEX('الزبائن'!$BA$6:$BA$505,MATCH(B136,'الزبائن'!$A$6:$A$505,0)),"source key not found"))</x:f>
      </x:c>
      <x:c r="AC136" s="253" t="str">
        <x:f>IF(B136="","",IFERROR(INDEX('الزبائن'!$BB$6:$BB$505,MATCH(B136,'الزبائن'!$A$6:$A$505,0)),"source key not found"))</x:f>
      </x:c>
      <x:c r="AD136" s="253" t="str">
        <x:f>IF(AND(A136="",C136="",D136="",I136="",L136="",M136=""),"",IF(C136="skip","SKIP",IF(OR(A136="",C136="",D136="",I136="",L136="",M136="",U136="",COUNTIF($A$6:$A$505,A136)&gt;1,AND(B136&lt;&gt;"",COUNTIF('الزبائن'!$A$6:$A$505,B136)=0),(COUNTIFS('أرقام التواصل'!$A$6:$A$505,"proposed_name",'أرقام التواصل'!$B$6:$B$505,A136,'أرقام التواصل'!$I$6:$I$505,"TRUE")+COUNTIFS('أرقام التواصل'!$A$6:$A$505,"proposed_name",'أرقام التواصل'!$B$6:$B$505,A136,'أرقام التواصل'!$C$6:$C$505,1))=0,AND(W136="TRUE",X136="")),"REVIEW","READY")))</x:f>
      </x:c>
      <x:c r="AE136" s="255" t="str">
        <x:f>IF(AD136="","",IF(AD136="READY","",IF(AD136="SKIP","Skipped by candidate_import_action",TRIM(IF(A136="","missing proposed_name_key; ","")&amp;IF(AND(A136&lt;&gt;"",COUNTIF($A$6:$A$505,A136)&gt;1),"duplicate proposed_name_key; ","")&amp;IF(C136="","missing candidate_import_action; ","")&amp;IF(D136="","missing move_reason; ","")&amp;IF(I136="","missing branch_id; ","")&amp;IF(L136="","missing first_name; ","")&amp;IF(M136="","missing last_name; ","")&amp;IF(U136="","missing status; ","")&amp;IF(AND(B136&lt;&gt;"",COUNTIF('الزبائن'!$A$6:$A$505,B136)=0),"source key not found; ","")&amp;IF((COUNTIFS('أرقام التواصل'!$A$6:$A$505,"proposed_name",'أرقام التواصل'!$B$6:$B$505,A136,'أرقام التواصل'!$I$6:$I$505,"TRUE")+COUNTIFS('أرقام التواصل'!$A$6:$A$505,"proposed_name",'أرقام التواصل'!$B$6:$B$505,A136,'أرقام التواصل'!$C$6:$C$505,1))=0,"missing primary contact in أرقام التواصل; ","")&amp;IF(AND(W136="TRUE",X136=""),"duplicate_type required when duplicate_flag TRUE; ","")))))</x:f>
      </x:c>
    </x:row>
    <x:row r="137">
      <x:c r="A137" s="302"/>
      <x:c r="B137" s="252"/>
      <x:c r="C137" s="253"/>
      <x:c r="D137" s="253"/>
      <x:c r="E137" s="253"/>
      <x:c r="F137" s="252"/>
      <x:c r="G137" s="253"/>
      <x:c r="H137" s="272"/>
      <x:c r="I137" s="253"/>
      <x:c r="J137" s="253"/>
      <x:c r="K137" s="253"/>
      <x:c r="L137" s="253"/>
      <x:c r="M137" s="253"/>
      <x:c r="N137" s="253"/>
      <x:c r="O137" s="253" t="str">
        <x:f>IF(TRIM(L137&amp;" "&amp;M137&amp;IF(N137&lt;&gt;""," ("&amp;N137&amp;")",""))="","",TRIM(L137&amp;" "&amp;M137&amp;IF(N137&lt;&gt;""," ("&amp;N137&amp;")","")))</x:f>
      </x:c>
      <x:c r="P137" s="253"/>
      <x:c r="Q137" s="252"/>
      <x:c r="R137" s="253"/>
      <x:c r="S137" s="253"/>
      <x:c r="T137" s="253"/>
      <x:c r="U137" s="253"/>
      <x:c r="V137" s="253"/>
      <x:c r="W137" s="253"/>
      <x:c r="X137" s="253"/>
      <x:c r="Y137" s="252"/>
      <x:c r="Z137" s="252"/>
      <x:c r="AA137" s="253"/>
      <x:c r="AB137" s="253" t="str">
        <x:f>IF(B137="","",IFERROR(INDEX('الزبائن'!$BA$6:$BA$505,MATCH(B137,'الزبائن'!$A$6:$A$505,0)),"source key not found"))</x:f>
      </x:c>
      <x:c r="AC137" s="253" t="str">
        <x:f>IF(B137="","",IFERROR(INDEX('الزبائن'!$BB$6:$BB$505,MATCH(B137,'الزبائن'!$A$6:$A$505,0)),"source key not found"))</x:f>
      </x:c>
      <x:c r="AD137" s="253" t="str">
        <x:f>IF(AND(A137="",C137="",D137="",I137="",L137="",M137=""),"",IF(C137="skip","SKIP",IF(OR(A137="",C137="",D137="",I137="",L137="",M137="",U137="",COUNTIF($A$6:$A$505,A137)&gt;1,AND(B137&lt;&gt;"",COUNTIF('الزبائن'!$A$6:$A$505,B137)=0),(COUNTIFS('أرقام التواصل'!$A$6:$A$505,"proposed_name",'أرقام التواصل'!$B$6:$B$505,A137,'أرقام التواصل'!$I$6:$I$505,"TRUE")+COUNTIFS('أرقام التواصل'!$A$6:$A$505,"proposed_name",'أرقام التواصل'!$B$6:$B$505,A137,'أرقام التواصل'!$C$6:$C$505,1))=0,AND(W137="TRUE",X137="")),"REVIEW","READY")))</x:f>
      </x:c>
      <x:c r="AE137" s="255" t="str">
        <x:f>IF(AD137="","",IF(AD137="READY","",IF(AD137="SKIP","Skipped by candidate_import_action",TRIM(IF(A137="","missing proposed_name_key; ","")&amp;IF(AND(A137&lt;&gt;"",COUNTIF($A$6:$A$505,A137)&gt;1),"duplicate proposed_name_key; ","")&amp;IF(C137="","missing candidate_import_action; ","")&amp;IF(D137="","missing move_reason; ","")&amp;IF(I137="","missing branch_id; ","")&amp;IF(L137="","missing first_name; ","")&amp;IF(M137="","missing last_name; ","")&amp;IF(U137="","missing status; ","")&amp;IF(AND(B137&lt;&gt;"",COUNTIF('الزبائن'!$A$6:$A$505,B137)=0),"source key not found; ","")&amp;IF((COUNTIFS('أرقام التواصل'!$A$6:$A$505,"proposed_name",'أرقام التواصل'!$B$6:$B$505,A137,'أرقام التواصل'!$I$6:$I$505,"TRUE")+COUNTIFS('أرقام التواصل'!$A$6:$A$505,"proposed_name",'أرقام التواصل'!$B$6:$B$505,A137,'أرقام التواصل'!$C$6:$C$505,1))=0,"missing primary contact in أرقام التواصل; ","")&amp;IF(AND(W137="TRUE",X137=""),"duplicate_type required when duplicate_flag TRUE; ","")))))</x:f>
      </x:c>
    </x:row>
    <x:row r="138">
      <x:c r="A138" s="302"/>
      <x:c r="B138" s="252"/>
      <x:c r="C138" s="253"/>
      <x:c r="D138" s="253"/>
      <x:c r="E138" s="253"/>
      <x:c r="F138" s="252"/>
      <x:c r="G138" s="253"/>
      <x:c r="H138" s="272"/>
      <x:c r="I138" s="253"/>
      <x:c r="J138" s="253"/>
      <x:c r="K138" s="253"/>
      <x:c r="L138" s="253"/>
      <x:c r="M138" s="253"/>
      <x:c r="N138" s="253"/>
      <x:c r="O138" s="253" t="str">
        <x:f>IF(TRIM(L138&amp;" "&amp;M138&amp;IF(N138&lt;&gt;""," ("&amp;N138&amp;")",""))="","",TRIM(L138&amp;" "&amp;M138&amp;IF(N138&lt;&gt;""," ("&amp;N138&amp;")","")))</x:f>
      </x:c>
      <x:c r="P138" s="253"/>
      <x:c r="Q138" s="252"/>
      <x:c r="R138" s="253"/>
      <x:c r="S138" s="253"/>
      <x:c r="T138" s="253"/>
      <x:c r="U138" s="253"/>
      <x:c r="V138" s="253"/>
      <x:c r="W138" s="253"/>
      <x:c r="X138" s="253"/>
      <x:c r="Y138" s="252"/>
      <x:c r="Z138" s="252"/>
      <x:c r="AA138" s="253"/>
      <x:c r="AB138" s="253" t="str">
        <x:f>IF(B138="","",IFERROR(INDEX('الزبائن'!$BA$6:$BA$505,MATCH(B138,'الزبائن'!$A$6:$A$505,0)),"source key not found"))</x:f>
      </x:c>
      <x:c r="AC138" s="253" t="str">
        <x:f>IF(B138="","",IFERROR(INDEX('الزبائن'!$BB$6:$BB$505,MATCH(B138,'الزبائن'!$A$6:$A$505,0)),"source key not found"))</x:f>
      </x:c>
      <x:c r="AD138" s="253" t="str">
        <x:f>IF(AND(A138="",C138="",D138="",I138="",L138="",M138=""),"",IF(C138="skip","SKIP",IF(OR(A138="",C138="",D138="",I138="",L138="",M138="",U138="",COUNTIF($A$6:$A$505,A138)&gt;1,AND(B138&lt;&gt;"",COUNTIF('الزبائن'!$A$6:$A$505,B138)=0),(COUNTIFS('أرقام التواصل'!$A$6:$A$505,"proposed_name",'أرقام التواصل'!$B$6:$B$505,A138,'أرقام التواصل'!$I$6:$I$505,"TRUE")+COUNTIFS('أرقام التواصل'!$A$6:$A$505,"proposed_name",'أرقام التواصل'!$B$6:$B$505,A138,'أرقام التواصل'!$C$6:$C$505,1))=0,AND(W138="TRUE",X138="")),"REVIEW","READY")))</x:f>
      </x:c>
      <x:c r="AE138" s="255" t="str">
        <x:f>IF(AD138="","",IF(AD138="READY","",IF(AD138="SKIP","Skipped by candidate_import_action",TRIM(IF(A138="","missing proposed_name_key; ","")&amp;IF(AND(A138&lt;&gt;"",COUNTIF($A$6:$A$505,A138)&gt;1),"duplicate proposed_name_key; ","")&amp;IF(C138="","missing candidate_import_action; ","")&amp;IF(D138="","missing move_reason; ","")&amp;IF(I138="","missing branch_id; ","")&amp;IF(L138="","missing first_name; ","")&amp;IF(M138="","missing last_name; ","")&amp;IF(U138="","missing status; ","")&amp;IF(AND(B138&lt;&gt;"",COUNTIF('الزبائن'!$A$6:$A$505,B138)=0),"source key not found; ","")&amp;IF((COUNTIFS('أرقام التواصل'!$A$6:$A$505,"proposed_name",'أرقام التواصل'!$B$6:$B$505,A138,'أرقام التواصل'!$I$6:$I$505,"TRUE")+COUNTIFS('أرقام التواصل'!$A$6:$A$505,"proposed_name",'أرقام التواصل'!$B$6:$B$505,A138,'أرقام التواصل'!$C$6:$C$505,1))=0,"missing primary contact in أرقام التواصل; ","")&amp;IF(AND(W138="TRUE",X138=""),"duplicate_type required when duplicate_flag TRUE; ","")))))</x:f>
      </x:c>
    </x:row>
    <x:row r="139">
      <x:c r="A139" s="302"/>
      <x:c r="B139" s="252"/>
      <x:c r="C139" s="253"/>
      <x:c r="D139" s="253"/>
      <x:c r="E139" s="253"/>
      <x:c r="F139" s="252"/>
      <x:c r="G139" s="253"/>
      <x:c r="H139" s="272"/>
      <x:c r="I139" s="253"/>
      <x:c r="J139" s="253"/>
      <x:c r="K139" s="253"/>
      <x:c r="L139" s="253"/>
      <x:c r="M139" s="253"/>
      <x:c r="N139" s="253"/>
      <x:c r="O139" s="253" t="str">
        <x:f>IF(TRIM(L139&amp;" "&amp;M139&amp;IF(N139&lt;&gt;""," ("&amp;N139&amp;")",""))="","",TRIM(L139&amp;" "&amp;M139&amp;IF(N139&lt;&gt;""," ("&amp;N139&amp;")","")))</x:f>
      </x:c>
      <x:c r="P139" s="253"/>
      <x:c r="Q139" s="252"/>
      <x:c r="R139" s="253"/>
      <x:c r="S139" s="253"/>
      <x:c r="T139" s="253"/>
      <x:c r="U139" s="253"/>
      <x:c r="V139" s="253"/>
      <x:c r="W139" s="253"/>
      <x:c r="X139" s="253"/>
      <x:c r="Y139" s="252"/>
      <x:c r="Z139" s="252"/>
      <x:c r="AA139" s="253"/>
      <x:c r="AB139" s="253" t="str">
        <x:f>IF(B139="","",IFERROR(INDEX('الزبائن'!$BA$6:$BA$505,MATCH(B139,'الزبائن'!$A$6:$A$505,0)),"source key not found"))</x:f>
      </x:c>
      <x:c r="AC139" s="253" t="str">
        <x:f>IF(B139="","",IFERROR(INDEX('الزبائن'!$BB$6:$BB$505,MATCH(B139,'الزبائن'!$A$6:$A$505,0)),"source key not found"))</x:f>
      </x:c>
      <x:c r="AD139" s="253" t="str">
        <x:f>IF(AND(A139="",C139="",D139="",I139="",L139="",M139=""),"",IF(C139="skip","SKIP",IF(OR(A139="",C139="",D139="",I139="",L139="",M139="",U139="",COUNTIF($A$6:$A$505,A139)&gt;1,AND(B139&lt;&gt;"",COUNTIF('الزبائن'!$A$6:$A$505,B139)=0),(COUNTIFS('أرقام التواصل'!$A$6:$A$505,"proposed_name",'أرقام التواصل'!$B$6:$B$505,A139,'أرقام التواصل'!$I$6:$I$505,"TRUE")+COUNTIFS('أرقام التواصل'!$A$6:$A$505,"proposed_name",'أرقام التواصل'!$B$6:$B$505,A139,'أرقام التواصل'!$C$6:$C$505,1))=0,AND(W139="TRUE",X139="")),"REVIEW","READY")))</x:f>
      </x:c>
      <x:c r="AE139" s="255" t="str">
        <x:f>IF(AD139="","",IF(AD139="READY","",IF(AD139="SKIP","Skipped by candidate_import_action",TRIM(IF(A139="","missing proposed_name_key; ","")&amp;IF(AND(A139&lt;&gt;"",COUNTIF($A$6:$A$505,A139)&gt;1),"duplicate proposed_name_key; ","")&amp;IF(C139="","missing candidate_import_action; ","")&amp;IF(D139="","missing move_reason; ","")&amp;IF(I139="","missing branch_id; ","")&amp;IF(L139="","missing first_name; ","")&amp;IF(M139="","missing last_name; ","")&amp;IF(U139="","missing status; ","")&amp;IF(AND(B139&lt;&gt;"",COUNTIF('الزبائن'!$A$6:$A$505,B139)=0),"source key not found; ","")&amp;IF((COUNTIFS('أرقام التواصل'!$A$6:$A$505,"proposed_name",'أرقام التواصل'!$B$6:$B$505,A139,'أرقام التواصل'!$I$6:$I$505,"TRUE")+COUNTIFS('أرقام التواصل'!$A$6:$A$505,"proposed_name",'أرقام التواصل'!$B$6:$B$505,A139,'أرقام التواصل'!$C$6:$C$505,1))=0,"missing primary contact in أرقام التواصل; ","")&amp;IF(AND(W139="TRUE",X139=""),"duplicate_type required when duplicate_flag TRUE; ","")))))</x:f>
      </x:c>
    </x:row>
    <x:row r="140">
      <x:c r="A140" s="302"/>
      <x:c r="B140" s="252"/>
      <x:c r="C140" s="253"/>
      <x:c r="D140" s="253"/>
      <x:c r="E140" s="253"/>
      <x:c r="F140" s="252"/>
      <x:c r="G140" s="253"/>
      <x:c r="H140" s="272"/>
      <x:c r="I140" s="253"/>
      <x:c r="J140" s="253"/>
      <x:c r="K140" s="253"/>
      <x:c r="L140" s="253"/>
      <x:c r="M140" s="253"/>
      <x:c r="N140" s="253"/>
      <x:c r="O140" s="253" t="str">
        <x:f>IF(TRIM(L140&amp;" "&amp;M140&amp;IF(N140&lt;&gt;""," ("&amp;N140&amp;")",""))="","",TRIM(L140&amp;" "&amp;M140&amp;IF(N140&lt;&gt;""," ("&amp;N140&amp;")","")))</x:f>
      </x:c>
      <x:c r="P140" s="253"/>
      <x:c r="Q140" s="252"/>
      <x:c r="R140" s="253"/>
      <x:c r="S140" s="253"/>
      <x:c r="T140" s="253"/>
      <x:c r="U140" s="253"/>
      <x:c r="V140" s="253"/>
      <x:c r="W140" s="253"/>
      <x:c r="X140" s="253"/>
      <x:c r="Y140" s="252"/>
      <x:c r="Z140" s="252"/>
      <x:c r="AA140" s="253"/>
      <x:c r="AB140" s="253" t="str">
        <x:f>IF(B140="","",IFERROR(INDEX('الزبائن'!$BA$6:$BA$505,MATCH(B140,'الزبائن'!$A$6:$A$505,0)),"source key not found"))</x:f>
      </x:c>
      <x:c r="AC140" s="253" t="str">
        <x:f>IF(B140="","",IFERROR(INDEX('الزبائن'!$BB$6:$BB$505,MATCH(B140,'الزبائن'!$A$6:$A$505,0)),"source key not found"))</x:f>
      </x:c>
      <x:c r="AD140" s="253" t="str">
        <x:f>IF(AND(A140="",C140="",D140="",I140="",L140="",M140=""),"",IF(C140="skip","SKIP",IF(OR(A140="",C140="",D140="",I140="",L140="",M140="",U140="",COUNTIF($A$6:$A$505,A140)&gt;1,AND(B140&lt;&gt;"",COUNTIF('الزبائن'!$A$6:$A$505,B140)=0),(COUNTIFS('أرقام التواصل'!$A$6:$A$505,"proposed_name",'أرقام التواصل'!$B$6:$B$505,A140,'أرقام التواصل'!$I$6:$I$505,"TRUE")+COUNTIFS('أرقام التواصل'!$A$6:$A$505,"proposed_name",'أرقام التواصل'!$B$6:$B$505,A140,'أرقام التواصل'!$C$6:$C$505,1))=0,AND(W140="TRUE",X140="")),"REVIEW","READY")))</x:f>
      </x:c>
      <x:c r="AE140" s="255" t="str">
        <x:f>IF(AD140="","",IF(AD140="READY","",IF(AD140="SKIP","Skipped by candidate_import_action",TRIM(IF(A140="","missing proposed_name_key; ","")&amp;IF(AND(A140&lt;&gt;"",COUNTIF($A$6:$A$505,A140)&gt;1),"duplicate proposed_name_key; ","")&amp;IF(C140="","missing candidate_import_action; ","")&amp;IF(D140="","missing move_reason; ","")&amp;IF(I140="","missing branch_id; ","")&amp;IF(L140="","missing first_name; ","")&amp;IF(M140="","missing last_name; ","")&amp;IF(U140="","missing status; ","")&amp;IF(AND(B140&lt;&gt;"",COUNTIF('الزبائن'!$A$6:$A$505,B140)=0),"source key not found; ","")&amp;IF((COUNTIFS('أرقام التواصل'!$A$6:$A$505,"proposed_name",'أرقام التواصل'!$B$6:$B$505,A140,'أرقام التواصل'!$I$6:$I$505,"TRUE")+COUNTIFS('أرقام التواصل'!$A$6:$A$505,"proposed_name",'أرقام التواصل'!$B$6:$B$505,A140,'أرقام التواصل'!$C$6:$C$505,1))=0,"missing primary contact in أرقام التواصل; ","")&amp;IF(AND(W140="TRUE",X140=""),"duplicate_type required when duplicate_flag TRUE; ","")))))</x:f>
      </x:c>
    </x:row>
    <x:row r="141">
      <x:c r="A141" s="302"/>
      <x:c r="B141" s="252"/>
      <x:c r="C141" s="253"/>
      <x:c r="D141" s="253"/>
      <x:c r="E141" s="253"/>
      <x:c r="F141" s="252"/>
      <x:c r="G141" s="253"/>
      <x:c r="H141" s="272"/>
      <x:c r="I141" s="253"/>
      <x:c r="J141" s="253"/>
      <x:c r="K141" s="253"/>
      <x:c r="L141" s="253"/>
      <x:c r="M141" s="253"/>
      <x:c r="N141" s="253"/>
      <x:c r="O141" s="253" t="str">
        <x:f>IF(TRIM(L141&amp;" "&amp;M141&amp;IF(N141&lt;&gt;""," ("&amp;N141&amp;")",""))="","",TRIM(L141&amp;" "&amp;M141&amp;IF(N141&lt;&gt;""," ("&amp;N141&amp;")","")))</x:f>
      </x:c>
      <x:c r="P141" s="253"/>
      <x:c r="Q141" s="252"/>
      <x:c r="R141" s="253"/>
      <x:c r="S141" s="253"/>
      <x:c r="T141" s="253"/>
      <x:c r="U141" s="253"/>
      <x:c r="V141" s="253"/>
      <x:c r="W141" s="253"/>
      <x:c r="X141" s="253"/>
      <x:c r="Y141" s="252"/>
      <x:c r="Z141" s="252"/>
      <x:c r="AA141" s="253"/>
      <x:c r="AB141" s="253" t="str">
        <x:f>IF(B141="","",IFERROR(INDEX('الزبائن'!$BA$6:$BA$505,MATCH(B141,'الزبائن'!$A$6:$A$505,0)),"source key not found"))</x:f>
      </x:c>
      <x:c r="AC141" s="253" t="str">
        <x:f>IF(B141="","",IFERROR(INDEX('الزبائن'!$BB$6:$BB$505,MATCH(B141,'الزبائن'!$A$6:$A$505,0)),"source key not found"))</x:f>
      </x:c>
      <x:c r="AD141" s="253" t="str">
        <x:f>IF(AND(A141="",C141="",D141="",I141="",L141="",M141=""),"",IF(C141="skip","SKIP",IF(OR(A141="",C141="",D141="",I141="",L141="",M141="",U141="",COUNTIF($A$6:$A$505,A141)&gt;1,AND(B141&lt;&gt;"",COUNTIF('الزبائن'!$A$6:$A$505,B141)=0),(COUNTIFS('أرقام التواصل'!$A$6:$A$505,"proposed_name",'أرقام التواصل'!$B$6:$B$505,A141,'أرقام التواصل'!$I$6:$I$505,"TRUE")+COUNTIFS('أرقام التواصل'!$A$6:$A$505,"proposed_name",'أرقام التواصل'!$B$6:$B$505,A141,'أرقام التواصل'!$C$6:$C$505,1))=0,AND(W141="TRUE",X141="")),"REVIEW","READY")))</x:f>
      </x:c>
      <x:c r="AE141" s="255" t="str">
        <x:f>IF(AD141="","",IF(AD141="READY","",IF(AD141="SKIP","Skipped by candidate_import_action",TRIM(IF(A141="","missing proposed_name_key; ","")&amp;IF(AND(A141&lt;&gt;"",COUNTIF($A$6:$A$505,A141)&gt;1),"duplicate proposed_name_key; ","")&amp;IF(C141="","missing candidate_import_action; ","")&amp;IF(D141="","missing move_reason; ","")&amp;IF(I141="","missing branch_id; ","")&amp;IF(L141="","missing first_name; ","")&amp;IF(M141="","missing last_name; ","")&amp;IF(U141="","missing status; ","")&amp;IF(AND(B141&lt;&gt;"",COUNTIF('الزبائن'!$A$6:$A$505,B141)=0),"source key not found; ","")&amp;IF((COUNTIFS('أرقام التواصل'!$A$6:$A$505,"proposed_name",'أرقام التواصل'!$B$6:$B$505,A141,'أرقام التواصل'!$I$6:$I$505,"TRUE")+COUNTIFS('أرقام التواصل'!$A$6:$A$505,"proposed_name",'أرقام التواصل'!$B$6:$B$505,A141,'أرقام التواصل'!$C$6:$C$505,1))=0,"missing primary contact in أرقام التواصل; ","")&amp;IF(AND(W141="TRUE",X141=""),"duplicate_type required when duplicate_flag TRUE; ","")))))</x:f>
      </x:c>
    </x:row>
    <x:row r="142">
      <x:c r="A142" s="302"/>
      <x:c r="B142" s="252"/>
      <x:c r="C142" s="253"/>
      <x:c r="D142" s="253"/>
      <x:c r="E142" s="253"/>
      <x:c r="F142" s="252"/>
      <x:c r="G142" s="253"/>
      <x:c r="H142" s="272"/>
      <x:c r="I142" s="253"/>
      <x:c r="J142" s="253"/>
      <x:c r="K142" s="253"/>
      <x:c r="L142" s="253"/>
      <x:c r="M142" s="253"/>
      <x:c r="N142" s="253"/>
      <x:c r="O142" s="253" t="str">
        <x:f>IF(TRIM(L142&amp;" "&amp;M142&amp;IF(N142&lt;&gt;""," ("&amp;N142&amp;")",""))="","",TRIM(L142&amp;" "&amp;M142&amp;IF(N142&lt;&gt;""," ("&amp;N142&amp;")","")))</x:f>
      </x:c>
      <x:c r="P142" s="253"/>
      <x:c r="Q142" s="252"/>
      <x:c r="R142" s="253"/>
      <x:c r="S142" s="253"/>
      <x:c r="T142" s="253"/>
      <x:c r="U142" s="253"/>
      <x:c r="V142" s="253"/>
      <x:c r="W142" s="253"/>
      <x:c r="X142" s="253"/>
      <x:c r="Y142" s="252"/>
      <x:c r="Z142" s="252"/>
      <x:c r="AA142" s="253"/>
      <x:c r="AB142" s="253" t="str">
        <x:f>IF(B142="","",IFERROR(INDEX('الزبائن'!$BA$6:$BA$505,MATCH(B142,'الزبائن'!$A$6:$A$505,0)),"source key not found"))</x:f>
      </x:c>
      <x:c r="AC142" s="253" t="str">
        <x:f>IF(B142="","",IFERROR(INDEX('الزبائن'!$BB$6:$BB$505,MATCH(B142,'الزبائن'!$A$6:$A$505,0)),"source key not found"))</x:f>
      </x:c>
      <x:c r="AD142" s="253" t="str">
        <x:f>IF(AND(A142="",C142="",D142="",I142="",L142="",M142=""),"",IF(C142="skip","SKIP",IF(OR(A142="",C142="",D142="",I142="",L142="",M142="",U142="",COUNTIF($A$6:$A$505,A142)&gt;1,AND(B142&lt;&gt;"",COUNTIF('الزبائن'!$A$6:$A$505,B142)=0),(COUNTIFS('أرقام التواصل'!$A$6:$A$505,"proposed_name",'أرقام التواصل'!$B$6:$B$505,A142,'أرقام التواصل'!$I$6:$I$505,"TRUE")+COUNTIFS('أرقام التواصل'!$A$6:$A$505,"proposed_name",'أرقام التواصل'!$B$6:$B$505,A142,'أرقام التواصل'!$C$6:$C$505,1))=0,AND(W142="TRUE",X142="")),"REVIEW","READY")))</x:f>
      </x:c>
      <x:c r="AE142" s="255" t="str">
        <x:f>IF(AD142="","",IF(AD142="READY","",IF(AD142="SKIP","Skipped by candidate_import_action",TRIM(IF(A142="","missing proposed_name_key; ","")&amp;IF(AND(A142&lt;&gt;"",COUNTIF($A$6:$A$505,A142)&gt;1),"duplicate proposed_name_key; ","")&amp;IF(C142="","missing candidate_import_action; ","")&amp;IF(D142="","missing move_reason; ","")&amp;IF(I142="","missing branch_id; ","")&amp;IF(L142="","missing first_name; ","")&amp;IF(M142="","missing last_name; ","")&amp;IF(U142="","missing status; ","")&amp;IF(AND(B142&lt;&gt;"",COUNTIF('الزبائن'!$A$6:$A$505,B142)=0),"source key not found; ","")&amp;IF((COUNTIFS('أرقام التواصل'!$A$6:$A$505,"proposed_name",'أرقام التواصل'!$B$6:$B$505,A142,'أرقام التواصل'!$I$6:$I$505,"TRUE")+COUNTIFS('أرقام التواصل'!$A$6:$A$505,"proposed_name",'أرقام التواصل'!$B$6:$B$505,A142,'أرقام التواصل'!$C$6:$C$505,1))=0,"missing primary contact in أرقام التواصل; ","")&amp;IF(AND(W142="TRUE",X142=""),"duplicate_type required when duplicate_flag TRUE; ","")))))</x:f>
      </x:c>
    </x:row>
    <x:row r="143">
      <x:c r="A143" s="302"/>
      <x:c r="B143" s="252"/>
      <x:c r="C143" s="253"/>
      <x:c r="D143" s="253"/>
      <x:c r="E143" s="253"/>
      <x:c r="F143" s="252"/>
      <x:c r="G143" s="253"/>
      <x:c r="H143" s="272"/>
      <x:c r="I143" s="253"/>
      <x:c r="J143" s="253"/>
      <x:c r="K143" s="253"/>
      <x:c r="L143" s="253"/>
      <x:c r="M143" s="253"/>
      <x:c r="N143" s="253"/>
      <x:c r="O143" s="253" t="str">
        <x:f>IF(TRIM(L143&amp;" "&amp;M143&amp;IF(N143&lt;&gt;""," ("&amp;N143&amp;")",""))="","",TRIM(L143&amp;" "&amp;M143&amp;IF(N143&lt;&gt;""," ("&amp;N143&amp;")","")))</x:f>
      </x:c>
      <x:c r="P143" s="253"/>
      <x:c r="Q143" s="252"/>
      <x:c r="R143" s="253"/>
      <x:c r="S143" s="253"/>
      <x:c r="T143" s="253"/>
      <x:c r="U143" s="253"/>
      <x:c r="V143" s="253"/>
      <x:c r="W143" s="253"/>
      <x:c r="X143" s="253"/>
      <x:c r="Y143" s="252"/>
      <x:c r="Z143" s="252"/>
      <x:c r="AA143" s="253"/>
      <x:c r="AB143" s="253" t="str">
        <x:f>IF(B143="","",IFERROR(INDEX('الزبائن'!$BA$6:$BA$505,MATCH(B143,'الزبائن'!$A$6:$A$505,0)),"source key not found"))</x:f>
      </x:c>
      <x:c r="AC143" s="253" t="str">
        <x:f>IF(B143="","",IFERROR(INDEX('الزبائن'!$BB$6:$BB$505,MATCH(B143,'الزبائن'!$A$6:$A$505,0)),"source key not found"))</x:f>
      </x:c>
      <x:c r="AD143" s="253" t="str">
        <x:f>IF(AND(A143="",C143="",D143="",I143="",L143="",M143=""),"",IF(C143="skip","SKIP",IF(OR(A143="",C143="",D143="",I143="",L143="",M143="",U143="",COUNTIF($A$6:$A$505,A143)&gt;1,AND(B143&lt;&gt;"",COUNTIF('الزبائن'!$A$6:$A$505,B143)=0),(COUNTIFS('أرقام التواصل'!$A$6:$A$505,"proposed_name",'أرقام التواصل'!$B$6:$B$505,A143,'أرقام التواصل'!$I$6:$I$505,"TRUE")+COUNTIFS('أرقام التواصل'!$A$6:$A$505,"proposed_name",'أرقام التواصل'!$B$6:$B$505,A143,'أرقام التواصل'!$C$6:$C$505,1))=0,AND(W143="TRUE",X143="")),"REVIEW","READY")))</x:f>
      </x:c>
      <x:c r="AE143" s="255" t="str">
        <x:f>IF(AD143="","",IF(AD143="READY","",IF(AD143="SKIP","Skipped by candidate_import_action",TRIM(IF(A143="","missing proposed_name_key; ","")&amp;IF(AND(A143&lt;&gt;"",COUNTIF($A$6:$A$505,A143)&gt;1),"duplicate proposed_name_key; ","")&amp;IF(C143="","missing candidate_import_action; ","")&amp;IF(D143="","missing move_reason; ","")&amp;IF(I143="","missing branch_id; ","")&amp;IF(L143="","missing first_name; ","")&amp;IF(M143="","missing last_name; ","")&amp;IF(U143="","missing status; ","")&amp;IF(AND(B143&lt;&gt;"",COUNTIF('الزبائن'!$A$6:$A$505,B143)=0),"source key not found; ","")&amp;IF((COUNTIFS('أرقام التواصل'!$A$6:$A$505,"proposed_name",'أرقام التواصل'!$B$6:$B$505,A143,'أرقام التواصل'!$I$6:$I$505,"TRUE")+COUNTIFS('أرقام التواصل'!$A$6:$A$505,"proposed_name",'أرقام التواصل'!$B$6:$B$505,A143,'أرقام التواصل'!$C$6:$C$505,1))=0,"missing primary contact in أرقام التواصل; ","")&amp;IF(AND(W143="TRUE",X143=""),"duplicate_type required when duplicate_flag TRUE; ","")))))</x:f>
      </x:c>
    </x:row>
    <x:row r="144">
      <x:c r="A144" s="302"/>
      <x:c r="B144" s="252"/>
      <x:c r="C144" s="253"/>
      <x:c r="D144" s="253"/>
      <x:c r="E144" s="253"/>
      <x:c r="F144" s="252"/>
      <x:c r="G144" s="253"/>
      <x:c r="H144" s="272"/>
      <x:c r="I144" s="253"/>
      <x:c r="J144" s="253"/>
      <x:c r="K144" s="253"/>
      <x:c r="L144" s="253"/>
      <x:c r="M144" s="253"/>
      <x:c r="N144" s="253"/>
      <x:c r="O144" s="253" t="str">
        <x:f>IF(TRIM(L144&amp;" "&amp;M144&amp;IF(N144&lt;&gt;""," ("&amp;N144&amp;")",""))="","",TRIM(L144&amp;" "&amp;M144&amp;IF(N144&lt;&gt;""," ("&amp;N144&amp;")","")))</x:f>
      </x:c>
      <x:c r="P144" s="253"/>
      <x:c r="Q144" s="252"/>
      <x:c r="R144" s="253"/>
      <x:c r="S144" s="253"/>
      <x:c r="T144" s="253"/>
      <x:c r="U144" s="253"/>
      <x:c r="V144" s="253"/>
      <x:c r="W144" s="253"/>
      <x:c r="X144" s="253"/>
      <x:c r="Y144" s="252"/>
      <x:c r="Z144" s="252"/>
      <x:c r="AA144" s="253"/>
      <x:c r="AB144" s="253" t="str">
        <x:f>IF(B144="","",IFERROR(INDEX('الزبائن'!$BA$6:$BA$505,MATCH(B144,'الزبائن'!$A$6:$A$505,0)),"source key not found"))</x:f>
      </x:c>
      <x:c r="AC144" s="253" t="str">
        <x:f>IF(B144="","",IFERROR(INDEX('الزبائن'!$BB$6:$BB$505,MATCH(B144,'الزبائن'!$A$6:$A$505,0)),"source key not found"))</x:f>
      </x:c>
      <x:c r="AD144" s="253" t="str">
        <x:f>IF(AND(A144="",C144="",D144="",I144="",L144="",M144=""),"",IF(C144="skip","SKIP",IF(OR(A144="",C144="",D144="",I144="",L144="",M144="",U144="",COUNTIF($A$6:$A$505,A144)&gt;1,AND(B144&lt;&gt;"",COUNTIF('الزبائن'!$A$6:$A$505,B144)=0),(COUNTIFS('أرقام التواصل'!$A$6:$A$505,"proposed_name",'أرقام التواصل'!$B$6:$B$505,A144,'أرقام التواصل'!$I$6:$I$505,"TRUE")+COUNTIFS('أرقام التواصل'!$A$6:$A$505,"proposed_name",'أرقام التواصل'!$B$6:$B$505,A144,'أرقام التواصل'!$C$6:$C$505,1))=0,AND(W144="TRUE",X144="")),"REVIEW","READY")))</x:f>
      </x:c>
      <x:c r="AE144" s="255" t="str">
        <x:f>IF(AD144="","",IF(AD144="READY","",IF(AD144="SKIP","Skipped by candidate_import_action",TRIM(IF(A144="","missing proposed_name_key; ","")&amp;IF(AND(A144&lt;&gt;"",COUNTIF($A$6:$A$505,A144)&gt;1),"duplicate proposed_name_key; ","")&amp;IF(C144="","missing candidate_import_action; ","")&amp;IF(D144="","missing move_reason; ","")&amp;IF(I144="","missing branch_id; ","")&amp;IF(L144="","missing first_name; ","")&amp;IF(M144="","missing last_name; ","")&amp;IF(U144="","missing status; ","")&amp;IF(AND(B144&lt;&gt;"",COUNTIF('الزبائن'!$A$6:$A$505,B144)=0),"source key not found; ","")&amp;IF((COUNTIFS('أرقام التواصل'!$A$6:$A$505,"proposed_name",'أرقام التواصل'!$B$6:$B$505,A144,'أرقام التواصل'!$I$6:$I$505,"TRUE")+COUNTIFS('أرقام التواصل'!$A$6:$A$505,"proposed_name",'أرقام التواصل'!$B$6:$B$505,A144,'أرقام التواصل'!$C$6:$C$505,1))=0,"missing primary contact in أرقام التواصل; ","")&amp;IF(AND(W144="TRUE",X144=""),"duplicate_type required when duplicate_flag TRUE; ","")))))</x:f>
      </x:c>
    </x:row>
    <x:row r="145">
      <x:c r="A145" s="302"/>
      <x:c r="B145" s="252"/>
      <x:c r="C145" s="253"/>
      <x:c r="D145" s="253"/>
      <x:c r="E145" s="253"/>
      <x:c r="F145" s="252"/>
      <x:c r="G145" s="253"/>
      <x:c r="H145" s="272"/>
      <x:c r="I145" s="253"/>
      <x:c r="J145" s="253"/>
      <x:c r="K145" s="253"/>
      <x:c r="L145" s="253"/>
      <x:c r="M145" s="253"/>
      <x:c r="N145" s="253"/>
      <x:c r="O145" s="253" t="str">
        <x:f>IF(TRIM(L145&amp;" "&amp;M145&amp;IF(N145&lt;&gt;""," ("&amp;N145&amp;")",""))="","",TRIM(L145&amp;" "&amp;M145&amp;IF(N145&lt;&gt;""," ("&amp;N145&amp;")","")))</x:f>
      </x:c>
      <x:c r="P145" s="253"/>
      <x:c r="Q145" s="252"/>
      <x:c r="R145" s="253"/>
      <x:c r="S145" s="253"/>
      <x:c r="T145" s="253"/>
      <x:c r="U145" s="253"/>
      <x:c r="V145" s="253"/>
      <x:c r="W145" s="253"/>
      <x:c r="X145" s="253"/>
      <x:c r="Y145" s="252"/>
      <x:c r="Z145" s="252"/>
      <x:c r="AA145" s="253"/>
      <x:c r="AB145" s="253" t="str">
        <x:f>IF(B145="","",IFERROR(INDEX('الزبائن'!$BA$6:$BA$505,MATCH(B145,'الزبائن'!$A$6:$A$505,0)),"source key not found"))</x:f>
      </x:c>
      <x:c r="AC145" s="253" t="str">
        <x:f>IF(B145="","",IFERROR(INDEX('الزبائن'!$BB$6:$BB$505,MATCH(B145,'الزبائن'!$A$6:$A$505,0)),"source key not found"))</x:f>
      </x:c>
      <x:c r="AD145" s="253" t="str">
        <x:f>IF(AND(A145="",C145="",D145="",I145="",L145="",M145=""),"",IF(C145="skip","SKIP",IF(OR(A145="",C145="",D145="",I145="",L145="",M145="",U145="",COUNTIF($A$6:$A$505,A145)&gt;1,AND(B145&lt;&gt;"",COUNTIF('الزبائن'!$A$6:$A$505,B145)=0),(COUNTIFS('أرقام التواصل'!$A$6:$A$505,"proposed_name",'أرقام التواصل'!$B$6:$B$505,A145,'أرقام التواصل'!$I$6:$I$505,"TRUE")+COUNTIFS('أرقام التواصل'!$A$6:$A$505,"proposed_name",'أرقام التواصل'!$B$6:$B$505,A145,'أرقام التواصل'!$C$6:$C$505,1))=0,AND(W145="TRUE",X145="")),"REVIEW","READY")))</x:f>
      </x:c>
      <x:c r="AE145" s="255" t="str">
        <x:f>IF(AD145="","",IF(AD145="READY","",IF(AD145="SKIP","Skipped by candidate_import_action",TRIM(IF(A145="","missing proposed_name_key; ","")&amp;IF(AND(A145&lt;&gt;"",COUNTIF($A$6:$A$505,A145)&gt;1),"duplicate proposed_name_key; ","")&amp;IF(C145="","missing candidate_import_action; ","")&amp;IF(D145="","missing move_reason; ","")&amp;IF(I145="","missing branch_id; ","")&amp;IF(L145="","missing first_name; ","")&amp;IF(M145="","missing last_name; ","")&amp;IF(U145="","missing status; ","")&amp;IF(AND(B145&lt;&gt;"",COUNTIF('الزبائن'!$A$6:$A$505,B145)=0),"source key not found; ","")&amp;IF((COUNTIFS('أرقام التواصل'!$A$6:$A$505,"proposed_name",'أرقام التواصل'!$B$6:$B$505,A145,'أرقام التواصل'!$I$6:$I$505,"TRUE")+COUNTIFS('أرقام التواصل'!$A$6:$A$505,"proposed_name",'أرقام التواصل'!$B$6:$B$505,A145,'أرقام التواصل'!$C$6:$C$505,1))=0,"missing primary contact in أرقام التواصل; ","")&amp;IF(AND(W145="TRUE",X145=""),"duplicate_type required when duplicate_flag TRUE; ","")))))</x:f>
      </x:c>
    </x:row>
    <x:row r="146">
      <x:c r="A146" s="302"/>
      <x:c r="B146" s="252"/>
      <x:c r="C146" s="253"/>
      <x:c r="D146" s="253"/>
      <x:c r="E146" s="253"/>
      <x:c r="F146" s="252"/>
      <x:c r="G146" s="253"/>
      <x:c r="H146" s="272"/>
      <x:c r="I146" s="253"/>
      <x:c r="J146" s="253"/>
      <x:c r="K146" s="253"/>
      <x:c r="L146" s="253"/>
      <x:c r="M146" s="253"/>
      <x:c r="N146" s="253"/>
      <x:c r="O146" s="253" t="str">
        <x:f>IF(TRIM(L146&amp;" "&amp;M146&amp;IF(N146&lt;&gt;""," ("&amp;N146&amp;")",""))="","",TRIM(L146&amp;" "&amp;M146&amp;IF(N146&lt;&gt;""," ("&amp;N146&amp;")","")))</x:f>
      </x:c>
      <x:c r="P146" s="253"/>
      <x:c r="Q146" s="252"/>
      <x:c r="R146" s="253"/>
      <x:c r="S146" s="253"/>
      <x:c r="T146" s="253"/>
      <x:c r="U146" s="253"/>
      <x:c r="V146" s="253"/>
      <x:c r="W146" s="253"/>
      <x:c r="X146" s="253"/>
      <x:c r="Y146" s="252"/>
      <x:c r="Z146" s="252"/>
      <x:c r="AA146" s="253"/>
      <x:c r="AB146" s="253" t="str">
        <x:f>IF(B146="","",IFERROR(INDEX('الزبائن'!$BA$6:$BA$505,MATCH(B146,'الزبائن'!$A$6:$A$505,0)),"source key not found"))</x:f>
      </x:c>
      <x:c r="AC146" s="253" t="str">
        <x:f>IF(B146="","",IFERROR(INDEX('الزبائن'!$BB$6:$BB$505,MATCH(B146,'الزبائن'!$A$6:$A$505,0)),"source key not found"))</x:f>
      </x:c>
      <x:c r="AD146" s="253" t="str">
        <x:f>IF(AND(A146="",C146="",D146="",I146="",L146="",M146=""),"",IF(C146="skip","SKIP",IF(OR(A146="",C146="",D146="",I146="",L146="",M146="",U146="",COUNTIF($A$6:$A$505,A146)&gt;1,AND(B146&lt;&gt;"",COUNTIF('الزبائن'!$A$6:$A$505,B146)=0),(COUNTIFS('أرقام التواصل'!$A$6:$A$505,"proposed_name",'أرقام التواصل'!$B$6:$B$505,A146,'أرقام التواصل'!$I$6:$I$505,"TRUE")+COUNTIFS('أرقام التواصل'!$A$6:$A$505,"proposed_name",'أرقام التواصل'!$B$6:$B$505,A146,'أرقام التواصل'!$C$6:$C$505,1))=0,AND(W146="TRUE",X146="")),"REVIEW","READY")))</x:f>
      </x:c>
      <x:c r="AE146" s="255" t="str">
        <x:f>IF(AD146="","",IF(AD146="READY","",IF(AD146="SKIP","Skipped by candidate_import_action",TRIM(IF(A146="","missing proposed_name_key; ","")&amp;IF(AND(A146&lt;&gt;"",COUNTIF($A$6:$A$505,A146)&gt;1),"duplicate proposed_name_key; ","")&amp;IF(C146="","missing candidate_import_action; ","")&amp;IF(D146="","missing move_reason; ","")&amp;IF(I146="","missing branch_id; ","")&amp;IF(L146="","missing first_name; ","")&amp;IF(M146="","missing last_name; ","")&amp;IF(U146="","missing status; ","")&amp;IF(AND(B146&lt;&gt;"",COUNTIF('الزبائن'!$A$6:$A$505,B146)=0),"source key not found; ","")&amp;IF((COUNTIFS('أرقام التواصل'!$A$6:$A$505,"proposed_name",'أرقام التواصل'!$B$6:$B$505,A146,'أرقام التواصل'!$I$6:$I$505,"TRUE")+COUNTIFS('أرقام التواصل'!$A$6:$A$505,"proposed_name",'أرقام التواصل'!$B$6:$B$505,A146,'أرقام التواصل'!$C$6:$C$505,1))=0,"missing primary contact in أرقام التواصل; ","")&amp;IF(AND(W146="TRUE",X146=""),"duplicate_type required when duplicate_flag TRUE; ","")))))</x:f>
      </x:c>
    </x:row>
    <x:row r="147">
      <x:c r="A147" s="302"/>
      <x:c r="B147" s="252"/>
      <x:c r="C147" s="253"/>
      <x:c r="D147" s="253"/>
      <x:c r="E147" s="253"/>
      <x:c r="F147" s="252"/>
      <x:c r="G147" s="253"/>
      <x:c r="H147" s="272"/>
      <x:c r="I147" s="253"/>
      <x:c r="J147" s="253"/>
      <x:c r="K147" s="253"/>
      <x:c r="L147" s="253"/>
      <x:c r="M147" s="253"/>
      <x:c r="N147" s="253"/>
      <x:c r="O147" s="253" t="str">
        <x:f>IF(TRIM(L147&amp;" "&amp;M147&amp;IF(N147&lt;&gt;""," ("&amp;N147&amp;")",""))="","",TRIM(L147&amp;" "&amp;M147&amp;IF(N147&lt;&gt;""," ("&amp;N147&amp;")","")))</x:f>
      </x:c>
      <x:c r="P147" s="253"/>
      <x:c r="Q147" s="252"/>
      <x:c r="R147" s="253"/>
      <x:c r="S147" s="253"/>
      <x:c r="T147" s="253"/>
      <x:c r="U147" s="253"/>
      <x:c r="V147" s="253"/>
      <x:c r="W147" s="253"/>
      <x:c r="X147" s="253"/>
      <x:c r="Y147" s="252"/>
      <x:c r="Z147" s="252"/>
      <x:c r="AA147" s="253"/>
      <x:c r="AB147" s="253" t="str">
        <x:f>IF(B147="","",IFERROR(INDEX('الزبائن'!$BA$6:$BA$505,MATCH(B147,'الزبائن'!$A$6:$A$505,0)),"source key not found"))</x:f>
      </x:c>
      <x:c r="AC147" s="253" t="str">
        <x:f>IF(B147="","",IFERROR(INDEX('الزبائن'!$BB$6:$BB$505,MATCH(B147,'الزبائن'!$A$6:$A$505,0)),"source key not found"))</x:f>
      </x:c>
      <x:c r="AD147" s="253" t="str">
        <x:f>IF(AND(A147="",C147="",D147="",I147="",L147="",M147=""),"",IF(C147="skip","SKIP",IF(OR(A147="",C147="",D147="",I147="",L147="",M147="",U147="",COUNTIF($A$6:$A$505,A147)&gt;1,AND(B147&lt;&gt;"",COUNTIF('الزبائن'!$A$6:$A$505,B147)=0),(COUNTIFS('أرقام التواصل'!$A$6:$A$505,"proposed_name",'أرقام التواصل'!$B$6:$B$505,A147,'أرقام التواصل'!$I$6:$I$505,"TRUE")+COUNTIFS('أرقام التواصل'!$A$6:$A$505,"proposed_name",'أرقام التواصل'!$B$6:$B$505,A147,'أرقام التواصل'!$C$6:$C$505,1))=0,AND(W147="TRUE",X147="")),"REVIEW","READY")))</x:f>
      </x:c>
      <x:c r="AE147" s="255" t="str">
        <x:f>IF(AD147="","",IF(AD147="READY","",IF(AD147="SKIP","Skipped by candidate_import_action",TRIM(IF(A147="","missing proposed_name_key; ","")&amp;IF(AND(A147&lt;&gt;"",COUNTIF($A$6:$A$505,A147)&gt;1),"duplicate proposed_name_key; ","")&amp;IF(C147="","missing candidate_import_action; ","")&amp;IF(D147="","missing move_reason; ","")&amp;IF(I147="","missing branch_id; ","")&amp;IF(L147="","missing first_name; ","")&amp;IF(M147="","missing last_name; ","")&amp;IF(U147="","missing status; ","")&amp;IF(AND(B147&lt;&gt;"",COUNTIF('الزبائن'!$A$6:$A$505,B147)=0),"source key not found; ","")&amp;IF((COUNTIFS('أرقام التواصل'!$A$6:$A$505,"proposed_name",'أرقام التواصل'!$B$6:$B$505,A147,'أرقام التواصل'!$I$6:$I$505,"TRUE")+COUNTIFS('أرقام التواصل'!$A$6:$A$505,"proposed_name",'أرقام التواصل'!$B$6:$B$505,A147,'أرقام التواصل'!$C$6:$C$505,1))=0,"missing primary contact in أرقام التواصل; ","")&amp;IF(AND(W147="TRUE",X147=""),"duplicate_type required when duplicate_flag TRUE; ","")))))</x:f>
      </x:c>
    </x:row>
    <x:row r="148">
      <x:c r="A148" s="302"/>
      <x:c r="B148" s="252"/>
      <x:c r="C148" s="253"/>
      <x:c r="D148" s="253"/>
      <x:c r="E148" s="253"/>
      <x:c r="F148" s="252"/>
      <x:c r="G148" s="253"/>
      <x:c r="H148" s="272"/>
      <x:c r="I148" s="253"/>
      <x:c r="J148" s="253"/>
      <x:c r="K148" s="253"/>
      <x:c r="L148" s="253"/>
      <x:c r="M148" s="253"/>
      <x:c r="N148" s="253"/>
      <x:c r="O148" s="253" t="str">
        <x:f>IF(TRIM(L148&amp;" "&amp;M148&amp;IF(N148&lt;&gt;""," ("&amp;N148&amp;")",""))="","",TRIM(L148&amp;" "&amp;M148&amp;IF(N148&lt;&gt;""," ("&amp;N148&amp;")","")))</x:f>
      </x:c>
      <x:c r="P148" s="253"/>
      <x:c r="Q148" s="252"/>
      <x:c r="R148" s="253"/>
      <x:c r="S148" s="253"/>
      <x:c r="T148" s="253"/>
      <x:c r="U148" s="253"/>
      <x:c r="V148" s="253"/>
      <x:c r="W148" s="253"/>
      <x:c r="X148" s="253"/>
      <x:c r="Y148" s="252"/>
      <x:c r="Z148" s="252"/>
      <x:c r="AA148" s="253"/>
      <x:c r="AB148" s="253" t="str">
        <x:f>IF(B148="","",IFERROR(INDEX('الزبائن'!$BA$6:$BA$505,MATCH(B148,'الزبائن'!$A$6:$A$505,0)),"source key not found"))</x:f>
      </x:c>
      <x:c r="AC148" s="253" t="str">
        <x:f>IF(B148="","",IFERROR(INDEX('الزبائن'!$BB$6:$BB$505,MATCH(B148,'الزبائن'!$A$6:$A$505,0)),"source key not found"))</x:f>
      </x:c>
      <x:c r="AD148" s="253" t="str">
        <x:f>IF(AND(A148="",C148="",D148="",I148="",L148="",M148=""),"",IF(C148="skip","SKIP",IF(OR(A148="",C148="",D148="",I148="",L148="",M148="",U148="",COUNTIF($A$6:$A$505,A148)&gt;1,AND(B148&lt;&gt;"",COUNTIF('الزبائن'!$A$6:$A$505,B148)=0),(COUNTIFS('أرقام التواصل'!$A$6:$A$505,"proposed_name",'أرقام التواصل'!$B$6:$B$505,A148,'أرقام التواصل'!$I$6:$I$505,"TRUE")+COUNTIFS('أرقام التواصل'!$A$6:$A$505,"proposed_name",'أرقام التواصل'!$B$6:$B$505,A148,'أرقام التواصل'!$C$6:$C$505,1))=0,AND(W148="TRUE",X148="")),"REVIEW","READY")))</x:f>
      </x:c>
      <x:c r="AE148" s="255" t="str">
        <x:f>IF(AD148="","",IF(AD148="READY","",IF(AD148="SKIP","Skipped by candidate_import_action",TRIM(IF(A148="","missing proposed_name_key; ","")&amp;IF(AND(A148&lt;&gt;"",COUNTIF($A$6:$A$505,A148)&gt;1),"duplicate proposed_name_key; ","")&amp;IF(C148="","missing candidate_import_action; ","")&amp;IF(D148="","missing move_reason; ","")&amp;IF(I148="","missing branch_id; ","")&amp;IF(L148="","missing first_name; ","")&amp;IF(M148="","missing last_name; ","")&amp;IF(U148="","missing status; ","")&amp;IF(AND(B148&lt;&gt;"",COUNTIF('الزبائن'!$A$6:$A$505,B148)=0),"source key not found; ","")&amp;IF((COUNTIFS('أرقام التواصل'!$A$6:$A$505,"proposed_name",'أرقام التواصل'!$B$6:$B$505,A148,'أرقام التواصل'!$I$6:$I$505,"TRUE")+COUNTIFS('أرقام التواصل'!$A$6:$A$505,"proposed_name",'أرقام التواصل'!$B$6:$B$505,A148,'أرقام التواصل'!$C$6:$C$505,1))=0,"missing primary contact in أرقام التواصل; ","")&amp;IF(AND(W148="TRUE",X148=""),"duplicate_type required when duplicate_flag TRUE; ","")))))</x:f>
      </x:c>
    </x:row>
    <x:row r="149">
      <x:c r="A149" s="302"/>
      <x:c r="B149" s="252"/>
      <x:c r="C149" s="253"/>
      <x:c r="D149" s="253"/>
      <x:c r="E149" s="253"/>
      <x:c r="F149" s="252"/>
      <x:c r="G149" s="253"/>
      <x:c r="H149" s="272"/>
      <x:c r="I149" s="253"/>
      <x:c r="J149" s="253"/>
      <x:c r="K149" s="253"/>
      <x:c r="L149" s="253"/>
      <x:c r="M149" s="253"/>
      <x:c r="N149" s="253"/>
      <x:c r="O149" s="253" t="str">
        <x:f>IF(TRIM(L149&amp;" "&amp;M149&amp;IF(N149&lt;&gt;""," ("&amp;N149&amp;")",""))="","",TRIM(L149&amp;" "&amp;M149&amp;IF(N149&lt;&gt;""," ("&amp;N149&amp;")","")))</x:f>
      </x:c>
      <x:c r="P149" s="253"/>
      <x:c r="Q149" s="252"/>
      <x:c r="R149" s="253"/>
      <x:c r="S149" s="253"/>
      <x:c r="T149" s="253"/>
      <x:c r="U149" s="253"/>
      <x:c r="V149" s="253"/>
      <x:c r="W149" s="253"/>
      <x:c r="X149" s="253"/>
      <x:c r="Y149" s="252"/>
      <x:c r="Z149" s="252"/>
      <x:c r="AA149" s="253"/>
      <x:c r="AB149" s="253" t="str">
        <x:f>IF(B149="","",IFERROR(INDEX('الزبائن'!$BA$6:$BA$505,MATCH(B149,'الزبائن'!$A$6:$A$505,0)),"source key not found"))</x:f>
      </x:c>
      <x:c r="AC149" s="253" t="str">
        <x:f>IF(B149="","",IFERROR(INDEX('الزبائن'!$BB$6:$BB$505,MATCH(B149,'الزبائن'!$A$6:$A$505,0)),"source key not found"))</x:f>
      </x:c>
      <x:c r="AD149" s="253" t="str">
        <x:f>IF(AND(A149="",C149="",D149="",I149="",L149="",M149=""),"",IF(C149="skip","SKIP",IF(OR(A149="",C149="",D149="",I149="",L149="",M149="",U149="",COUNTIF($A$6:$A$505,A149)&gt;1,AND(B149&lt;&gt;"",COUNTIF('الزبائن'!$A$6:$A$505,B149)=0),(COUNTIFS('أرقام التواصل'!$A$6:$A$505,"proposed_name",'أرقام التواصل'!$B$6:$B$505,A149,'أرقام التواصل'!$I$6:$I$505,"TRUE")+COUNTIFS('أرقام التواصل'!$A$6:$A$505,"proposed_name",'أرقام التواصل'!$B$6:$B$505,A149,'أرقام التواصل'!$C$6:$C$505,1))=0,AND(W149="TRUE",X149="")),"REVIEW","READY")))</x:f>
      </x:c>
      <x:c r="AE149" s="255" t="str">
        <x:f>IF(AD149="","",IF(AD149="READY","",IF(AD149="SKIP","Skipped by candidate_import_action",TRIM(IF(A149="","missing proposed_name_key; ","")&amp;IF(AND(A149&lt;&gt;"",COUNTIF($A$6:$A$505,A149)&gt;1),"duplicate proposed_name_key; ","")&amp;IF(C149="","missing candidate_import_action; ","")&amp;IF(D149="","missing move_reason; ","")&amp;IF(I149="","missing branch_id; ","")&amp;IF(L149="","missing first_name; ","")&amp;IF(M149="","missing last_name; ","")&amp;IF(U149="","missing status; ","")&amp;IF(AND(B149&lt;&gt;"",COUNTIF('الزبائن'!$A$6:$A$505,B149)=0),"source key not found; ","")&amp;IF((COUNTIFS('أرقام التواصل'!$A$6:$A$505,"proposed_name",'أرقام التواصل'!$B$6:$B$505,A149,'أرقام التواصل'!$I$6:$I$505,"TRUE")+COUNTIFS('أرقام التواصل'!$A$6:$A$505,"proposed_name",'أرقام التواصل'!$B$6:$B$505,A149,'أرقام التواصل'!$C$6:$C$505,1))=0,"missing primary contact in أرقام التواصل; ","")&amp;IF(AND(W149="TRUE",X149=""),"duplicate_type required when duplicate_flag TRUE; ","")))))</x:f>
      </x:c>
    </x:row>
    <x:row r="150">
      <x:c r="A150" s="302"/>
      <x:c r="B150" s="252"/>
      <x:c r="C150" s="253"/>
      <x:c r="D150" s="253"/>
      <x:c r="E150" s="253"/>
      <x:c r="F150" s="252"/>
      <x:c r="G150" s="253"/>
      <x:c r="H150" s="272"/>
      <x:c r="I150" s="253"/>
      <x:c r="J150" s="253"/>
      <x:c r="K150" s="253"/>
      <x:c r="L150" s="253"/>
      <x:c r="M150" s="253"/>
      <x:c r="N150" s="253"/>
      <x:c r="O150" s="253" t="str">
        <x:f>IF(TRIM(L150&amp;" "&amp;M150&amp;IF(N150&lt;&gt;""," ("&amp;N150&amp;")",""))="","",TRIM(L150&amp;" "&amp;M150&amp;IF(N150&lt;&gt;""," ("&amp;N150&amp;")","")))</x:f>
      </x:c>
      <x:c r="P150" s="253"/>
      <x:c r="Q150" s="252"/>
      <x:c r="R150" s="253"/>
      <x:c r="S150" s="253"/>
      <x:c r="T150" s="253"/>
      <x:c r="U150" s="253"/>
      <x:c r="V150" s="253"/>
      <x:c r="W150" s="253"/>
      <x:c r="X150" s="253"/>
      <x:c r="Y150" s="252"/>
      <x:c r="Z150" s="252"/>
      <x:c r="AA150" s="253"/>
      <x:c r="AB150" s="253" t="str">
        <x:f>IF(B150="","",IFERROR(INDEX('الزبائن'!$BA$6:$BA$505,MATCH(B150,'الزبائن'!$A$6:$A$505,0)),"source key not found"))</x:f>
      </x:c>
      <x:c r="AC150" s="253" t="str">
        <x:f>IF(B150="","",IFERROR(INDEX('الزبائن'!$BB$6:$BB$505,MATCH(B150,'الزبائن'!$A$6:$A$505,0)),"source key not found"))</x:f>
      </x:c>
      <x:c r="AD150" s="253" t="str">
        <x:f>IF(AND(A150="",C150="",D150="",I150="",L150="",M150=""),"",IF(C150="skip","SKIP",IF(OR(A150="",C150="",D150="",I150="",L150="",M150="",U150="",COUNTIF($A$6:$A$505,A150)&gt;1,AND(B150&lt;&gt;"",COUNTIF('الزبائن'!$A$6:$A$505,B150)=0),(COUNTIFS('أرقام التواصل'!$A$6:$A$505,"proposed_name",'أرقام التواصل'!$B$6:$B$505,A150,'أرقام التواصل'!$I$6:$I$505,"TRUE")+COUNTIFS('أرقام التواصل'!$A$6:$A$505,"proposed_name",'أرقام التواصل'!$B$6:$B$505,A150,'أرقام التواصل'!$C$6:$C$505,1))=0,AND(W150="TRUE",X150="")),"REVIEW","READY")))</x:f>
      </x:c>
      <x:c r="AE150" s="255" t="str">
        <x:f>IF(AD150="","",IF(AD150="READY","",IF(AD150="SKIP","Skipped by candidate_import_action",TRIM(IF(A150="","missing proposed_name_key; ","")&amp;IF(AND(A150&lt;&gt;"",COUNTIF($A$6:$A$505,A150)&gt;1),"duplicate proposed_name_key; ","")&amp;IF(C150="","missing candidate_import_action; ","")&amp;IF(D150="","missing move_reason; ","")&amp;IF(I150="","missing branch_id; ","")&amp;IF(L150="","missing first_name; ","")&amp;IF(M150="","missing last_name; ","")&amp;IF(U150="","missing status; ","")&amp;IF(AND(B150&lt;&gt;"",COUNTIF('الزبائن'!$A$6:$A$505,B150)=0),"source key not found; ","")&amp;IF((COUNTIFS('أرقام التواصل'!$A$6:$A$505,"proposed_name",'أرقام التواصل'!$B$6:$B$505,A150,'أرقام التواصل'!$I$6:$I$505,"TRUE")+COUNTIFS('أرقام التواصل'!$A$6:$A$505,"proposed_name",'أرقام التواصل'!$B$6:$B$505,A150,'أرقام التواصل'!$C$6:$C$505,1))=0,"missing primary contact in أرقام التواصل; ","")&amp;IF(AND(W150="TRUE",X150=""),"duplicate_type required when duplicate_flag TRUE; ","")))))</x:f>
      </x:c>
    </x:row>
    <x:row r="151">
      <x:c r="A151" s="302"/>
      <x:c r="B151" s="252"/>
      <x:c r="C151" s="253"/>
      <x:c r="D151" s="253"/>
      <x:c r="E151" s="253"/>
      <x:c r="F151" s="252"/>
      <x:c r="G151" s="253"/>
      <x:c r="H151" s="272"/>
      <x:c r="I151" s="253"/>
      <x:c r="J151" s="253"/>
      <x:c r="K151" s="253"/>
      <x:c r="L151" s="253"/>
      <x:c r="M151" s="253"/>
      <x:c r="N151" s="253"/>
      <x:c r="O151" s="253" t="str">
        <x:f>IF(TRIM(L151&amp;" "&amp;M151&amp;IF(N151&lt;&gt;""," ("&amp;N151&amp;")",""))="","",TRIM(L151&amp;" "&amp;M151&amp;IF(N151&lt;&gt;""," ("&amp;N151&amp;")","")))</x:f>
      </x:c>
      <x:c r="P151" s="253"/>
      <x:c r="Q151" s="252"/>
      <x:c r="R151" s="253"/>
      <x:c r="S151" s="253"/>
      <x:c r="T151" s="253"/>
      <x:c r="U151" s="253"/>
      <x:c r="V151" s="253"/>
      <x:c r="W151" s="253"/>
      <x:c r="X151" s="253"/>
      <x:c r="Y151" s="252"/>
      <x:c r="Z151" s="252"/>
      <x:c r="AA151" s="253"/>
      <x:c r="AB151" s="253" t="str">
        <x:f>IF(B151="","",IFERROR(INDEX('الزبائن'!$BA$6:$BA$505,MATCH(B151,'الزبائن'!$A$6:$A$505,0)),"source key not found"))</x:f>
      </x:c>
      <x:c r="AC151" s="253" t="str">
        <x:f>IF(B151="","",IFERROR(INDEX('الزبائن'!$BB$6:$BB$505,MATCH(B151,'الزبائن'!$A$6:$A$505,0)),"source key not found"))</x:f>
      </x:c>
      <x:c r="AD151" s="253" t="str">
        <x:f>IF(AND(A151="",C151="",D151="",I151="",L151="",M151=""),"",IF(C151="skip","SKIP",IF(OR(A151="",C151="",D151="",I151="",L151="",M151="",U151="",COUNTIF($A$6:$A$505,A151)&gt;1,AND(B151&lt;&gt;"",COUNTIF('الزبائن'!$A$6:$A$505,B151)=0),(COUNTIFS('أرقام التواصل'!$A$6:$A$505,"proposed_name",'أرقام التواصل'!$B$6:$B$505,A151,'أرقام التواصل'!$I$6:$I$505,"TRUE")+COUNTIFS('أرقام التواصل'!$A$6:$A$505,"proposed_name",'أرقام التواصل'!$B$6:$B$505,A151,'أرقام التواصل'!$C$6:$C$505,1))=0,AND(W151="TRUE",X151="")),"REVIEW","READY")))</x:f>
      </x:c>
      <x:c r="AE151" s="255" t="str">
        <x:f>IF(AD151="","",IF(AD151="READY","",IF(AD151="SKIP","Skipped by candidate_import_action",TRIM(IF(A151="","missing proposed_name_key; ","")&amp;IF(AND(A151&lt;&gt;"",COUNTIF($A$6:$A$505,A151)&gt;1),"duplicate proposed_name_key; ","")&amp;IF(C151="","missing candidate_import_action; ","")&amp;IF(D151="","missing move_reason; ","")&amp;IF(I151="","missing branch_id; ","")&amp;IF(L151="","missing first_name; ","")&amp;IF(M151="","missing last_name; ","")&amp;IF(U151="","missing status; ","")&amp;IF(AND(B151&lt;&gt;"",COUNTIF('الزبائن'!$A$6:$A$505,B151)=0),"source key not found; ","")&amp;IF((COUNTIFS('أرقام التواصل'!$A$6:$A$505,"proposed_name",'أرقام التواصل'!$B$6:$B$505,A151,'أرقام التواصل'!$I$6:$I$505,"TRUE")+COUNTIFS('أرقام التواصل'!$A$6:$A$505,"proposed_name",'أرقام التواصل'!$B$6:$B$505,A151,'أرقام التواصل'!$C$6:$C$505,1))=0,"missing primary contact in أرقام التواصل; ","")&amp;IF(AND(W151="TRUE",X151=""),"duplicate_type required when duplicate_flag TRUE; ","")))))</x:f>
      </x:c>
    </x:row>
    <x:row r="152">
      <x:c r="A152" s="302"/>
      <x:c r="B152" s="252"/>
      <x:c r="C152" s="253"/>
      <x:c r="D152" s="253"/>
      <x:c r="E152" s="253"/>
      <x:c r="F152" s="252"/>
      <x:c r="G152" s="253"/>
      <x:c r="H152" s="272"/>
      <x:c r="I152" s="253"/>
      <x:c r="J152" s="253"/>
      <x:c r="K152" s="253"/>
      <x:c r="L152" s="253"/>
      <x:c r="M152" s="253"/>
      <x:c r="N152" s="253"/>
      <x:c r="O152" s="253" t="str">
        <x:f>IF(TRIM(L152&amp;" "&amp;M152&amp;IF(N152&lt;&gt;""," ("&amp;N152&amp;")",""))="","",TRIM(L152&amp;" "&amp;M152&amp;IF(N152&lt;&gt;""," ("&amp;N152&amp;")","")))</x:f>
      </x:c>
      <x:c r="P152" s="253"/>
      <x:c r="Q152" s="252"/>
      <x:c r="R152" s="253"/>
      <x:c r="S152" s="253"/>
      <x:c r="T152" s="253"/>
      <x:c r="U152" s="253"/>
      <x:c r="V152" s="253"/>
      <x:c r="W152" s="253"/>
      <x:c r="X152" s="253"/>
      <x:c r="Y152" s="252"/>
      <x:c r="Z152" s="252"/>
      <x:c r="AA152" s="253"/>
      <x:c r="AB152" s="253" t="str">
        <x:f>IF(B152="","",IFERROR(INDEX('الزبائن'!$BA$6:$BA$505,MATCH(B152,'الزبائن'!$A$6:$A$505,0)),"source key not found"))</x:f>
      </x:c>
      <x:c r="AC152" s="253" t="str">
        <x:f>IF(B152="","",IFERROR(INDEX('الزبائن'!$BB$6:$BB$505,MATCH(B152,'الزبائن'!$A$6:$A$505,0)),"source key not found"))</x:f>
      </x:c>
      <x:c r="AD152" s="253" t="str">
        <x:f>IF(AND(A152="",C152="",D152="",I152="",L152="",M152=""),"",IF(C152="skip","SKIP",IF(OR(A152="",C152="",D152="",I152="",L152="",M152="",U152="",COUNTIF($A$6:$A$505,A152)&gt;1,AND(B152&lt;&gt;"",COUNTIF('الزبائن'!$A$6:$A$505,B152)=0),(COUNTIFS('أرقام التواصل'!$A$6:$A$505,"proposed_name",'أرقام التواصل'!$B$6:$B$505,A152,'أرقام التواصل'!$I$6:$I$505,"TRUE")+COUNTIFS('أرقام التواصل'!$A$6:$A$505,"proposed_name",'أرقام التواصل'!$B$6:$B$505,A152,'أرقام التواصل'!$C$6:$C$505,1))=0,AND(W152="TRUE",X152="")),"REVIEW","READY")))</x:f>
      </x:c>
      <x:c r="AE152" s="255" t="str">
        <x:f>IF(AD152="","",IF(AD152="READY","",IF(AD152="SKIP","Skipped by candidate_import_action",TRIM(IF(A152="","missing proposed_name_key; ","")&amp;IF(AND(A152&lt;&gt;"",COUNTIF($A$6:$A$505,A152)&gt;1),"duplicate proposed_name_key; ","")&amp;IF(C152="","missing candidate_import_action; ","")&amp;IF(D152="","missing move_reason; ","")&amp;IF(I152="","missing branch_id; ","")&amp;IF(L152="","missing first_name; ","")&amp;IF(M152="","missing last_name; ","")&amp;IF(U152="","missing status; ","")&amp;IF(AND(B152&lt;&gt;"",COUNTIF('الزبائن'!$A$6:$A$505,B152)=0),"source key not found; ","")&amp;IF((COUNTIFS('أرقام التواصل'!$A$6:$A$505,"proposed_name",'أرقام التواصل'!$B$6:$B$505,A152,'أرقام التواصل'!$I$6:$I$505,"TRUE")+COUNTIFS('أرقام التواصل'!$A$6:$A$505,"proposed_name",'أرقام التواصل'!$B$6:$B$505,A152,'أرقام التواصل'!$C$6:$C$505,1))=0,"missing primary contact in أرقام التواصل; ","")&amp;IF(AND(W152="TRUE",X152=""),"duplicate_type required when duplicate_flag TRUE; ","")))))</x:f>
      </x:c>
    </x:row>
    <x:row r="153">
      <x:c r="A153" s="302"/>
      <x:c r="B153" s="252"/>
      <x:c r="C153" s="253"/>
      <x:c r="D153" s="253"/>
      <x:c r="E153" s="253"/>
      <x:c r="F153" s="252"/>
      <x:c r="G153" s="253"/>
      <x:c r="H153" s="272"/>
      <x:c r="I153" s="253"/>
      <x:c r="J153" s="253"/>
      <x:c r="K153" s="253"/>
      <x:c r="L153" s="253"/>
      <x:c r="M153" s="253"/>
      <x:c r="N153" s="253"/>
      <x:c r="O153" s="253" t="str">
        <x:f>IF(TRIM(L153&amp;" "&amp;M153&amp;IF(N153&lt;&gt;""," ("&amp;N153&amp;")",""))="","",TRIM(L153&amp;" "&amp;M153&amp;IF(N153&lt;&gt;""," ("&amp;N153&amp;")","")))</x:f>
      </x:c>
      <x:c r="P153" s="253"/>
      <x:c r="Q153" s="252"/>
      <x:c r="R153" s="253"/>
      <x:c r="S153" s="253"/>
      <x:c r="T153" s="253"/>
      <x:c r="U153" s="253"/>
      <x:c r="V153" s="253"/>
      <x:c r="W153" s="253"/>
      <x:c r="X153" s="253"/>
      <x:c r="Y153" s="252"/>
      <x:c r="Z153" s="252"/>
      <x:c r="AA153" s="253"/>
      <x:c r="AB153" s="253" t="str">
        <x:f>IF(B153="","",IFERROR(INDEX('الزبائن'!$BA$6:$BA$505,MATCH(B153,'الزبائن'!$A$6:$A$505,0)),"source key not found"))</x:f>
      </x:c>
      <x:c r="AC153" s="253" t="str">
        <x:f>IF(B153="","",IFERROR(INDEX('الزبائن'!$BB$6:$BB$505,MATCH(B153,'الزبائن'!$A$6:$A$505,0)),"source key not found"))</x:f>
      </x:c>
      <x:c r="AD153" s="253" t="str">
        <x:f>IF(AND(A153="",C153="",D153="",I153="",L153="",M153=""),"",IF(C153="skip","SKIP",IF(OR(A153="",C153="",D153="",I153="",L153="",M153="",U153="",COUNTIF($A$6:$A$505,A153)&gt;1,AND(B153&lt;&gt;"",COUNTIF('الزبائن'!$A$6:$A$505,B153)=0),(COUNTIFS('أرقام التواصل'!$A$6:$A$505,"proposed_name",'أرقام التواصل'!$B$6:$B$505,A153,'أرقام التواصل'!$I$6:$I$505,"TRUE")+COUNTIFS('أرقام التواصل'!$A$6:$A$505,"proposed_name",'أرقام التواصل'!$B$6:$B$505,A153,'أرقام التواصل'!$C$6:$C$505,1))=0,AND(W153="TRUE",X153="")),"REVIEW","READY")))</x:f>
      </x:c>
      <x:c r="AE153" s="255" t="str">
        <x:f>IF(AD153="","",IF(AD153="READY","",IF(AD153="SKIP","Skipped by candidate_import_action",TRIM(IF(A153="","missing proposed_name_key; ","")&amp;IF(AND(A153&lt;&gt;"",COUNTIF($A$6:$A$505,A153)&gt;1),"duplicate proposed_name_key; ","")&amp;IF(C153="","missing candidate_import_action; ","")&amp;IF(D153="","missing move_reason; ","")&amp;IF(I153="","missing branch_id; ","")&amp;IF(L153="","missing first_name; ","")&amp;IF(M153="","missing last_name; ","")&amp;IF(U153="","missing status; ","")&amp;IF(AND(B153&lt;&gt;"",COUNTIF('الزبائن'!$A$6:$A$505,B153)=0),"source key not found; ","")&amp;IF((COUNTIFS('أرقام التواصل'!$A$6:$A$505,"proposed_name",'أرقام التواصل'!$B$6:$B$505,A153,'أرقام التواصل'!$I$6:$I$505,"TRUE")+COUNTIFS('أرقام التواصل'!$A$6:$A$505,"proposed_name",'أرقام التواصل'!$B$6:$B$505,A153,'أرقام التواصل'!$C$6:$C$505,1))=0,"missing primary contact in أرقام التواصل; ","")&amp;IF(AND(W153="TRUE",X153=""),"duplicate_type required when duplicate_flag TRUE; ","")))))</x:f>
      </x:c>
    </x:row>
    <x:row r="154">
      <x:c r="A154" s="302"/>
      <x:c r="B154" s="252"/>
      <x:c r="C154" s="253"/>
      <x:c r="D154" s="253"/>
      <x:c r="E154" s="253"/>
      <x:c r="F154" s="252"/>
      <x:c r="G154" s="253"/>
      <x:c r="H154" s="272"/>
      <x:c r="I154" s="253"/>
      <x:c r="J154" s="253"/>
      <x:c r="K154" s="253"/>
      <x:c r="L154" s="253"/>
      <x:c r="M154" s="253"/>
      <x:c r="N154" s="253"/>
      <x:c r="O154" s="253" t="str">
        <x:f>IF(TRIM(L154&amp;" "&amp;M154&amp;IF(N154&lt;&gt;""," ("&amp;N154&amp;")",""))="","",TRIM(L154&amp;" "&amp;M154&amp;IF(N154&lt;&gt;""," ("&amp;N154&amp;")","")))</x:f>
      </x:c>
      <x:c r="P154" s="253"/>
      <x:c r="Q154" s="252"/>
      <x:c r="R154" s="253"/>
      <x:c r="S154" s="253"/>
      <x:c r="T154" s="253"/>
      <x:c r="U154" s="253"/>
      <x:c r="V154" s="253"/>
      <x:c r="W154" s="253"/>
      <x:c r="X154" s="253"/>
      <x:c r="Y154" s="252"/>
      <x:c r="Z154" s="252"/>
      <x:c r="AA154" s="253"/>
      <x:c r="AB154" s="253" t="str">
        <x:f>IF(B154="","",IFERROR(INDEX('الزبائن'!$BA$6:$BA$505,MATCH(B154,'الزبائن'!$A$6:$A$505,0)),"source key not found"))</x:f>
      </x:c>
      <x:c r="AC154" s="253" t="str">
        <x:f>IF(B154="","",IFERROR(INDEX('الزبائن'!$BB$6:$BB$505,MATCH(B154,'الزبائن'!$A$6:$A$505,0)),"source key not found"))</x:f>
      </x:c>
      <x:c r="AD154" s="253" t="str">
        <x:f>IF(AND(A154="",C154="",D154="",I154="",L154="",M154=""),"",IF(C154="skip","SKIP",IF(OR(A154="",C154="",D154="",I154="",L154="",M154="",U154="",COUNTIF($A$6:$A$505,A154)&gt;1,AND(B154&lt;&gt;"",COUNTIF('الزبائن'!$A$6:$A$505,B154)=0),(COUNTIFS('أرقام التواصل'!$A$6:$A$505,"proposed_name",'أرقام التواصل'!$B$6:$B$505,A154,'أرقام التواصل'!$I$6:$I$505,"TRUE")+COUNTIFS('أرقام التواصل'!$A$6:$A$505,"proposed_name",'أرقام التواصل'!$B$6:$B$505,A154,'أرقام التواصل'!$C$6:$C$505,1))=0,AND(W154="TRUE",X154="")),"REVIEW","READY")))</x:f>
      </x:c>
      <x:c r="AE154" s="255" t="str">
        <x:f>IF(AD154="","",IF(AD154="READY","",IF(AD154="SKIP","Skipped by candidate_import_action",TRIM(IF(A154="","missing proposed_name_key; ","")&amp;IF(AND(A154&lt;&gt;"",COUNTIF($A$6:$A$505,A154)&gt;1),"duplicate proposed_name_key; ","")&amp;IF(C154="","missing candidate_import_action; ","")&amp;IF(D154="","missing move_reason; ","")&amp;IF(I154="","missing branch_id; ","")&amp;IF(L154="","missing first_name; ","")&amp;IF(M154="","missing last_name; ","")&amp;IF(U154="","missing status; ","")&amp;IF(AND(B154&lt;&gt;"",COUNTIF('الزبائن'!$A$6:$A$505,B154)=0),"source key not found; ","")&amp;IF((COUNTIFS('أرقام التواصل'!$A$6:$A$505,"proposed_name",'أرقام التواصل'!$B$6:$B$505,A154,'أرقام التواصل'!$I$6:$I$505,"TRUE")+COUNTIFS('أرقام التواصل'!$A$6:$A$505,"proposed_name",'أرقام التواصل'!$B$6:$B$505,A154,'أرقام التواصل'!$C$6:$C$505,1))=0,"missing primary contact in أرقام التواصل; ","")&amp;IF(AND(W154="TRUE",X154=""),"duplicate_type required when duplicate_flag TRUE; ","")))))</x:f>
      </x:c>
    </x:row>
    <x:row r="155">
      <x:c r="A155" s="302"/>
      <x:c r="B155" s="252"/>
      <x:c r="C155" s="253"/>
      <x:c r="D155" s="253"/>
      <x:c r="E155" s="253"/>
      <x:c r="F155" s="252"/>
      <x:c r="G155" s="253"/>
      <x:c r="H155" s="272"/>
      <x:c r="I155" s="253"/>
      <x:c r="J155" s="253"/>
      <x:c r="K155" s="253"/>
      <x:c r="L155" s="253"/>
      <x:c r="M155" s="253"/>
      <x:c r="N155" s="253"/>
      <x:c r="O155" s="253" t="str">
        <x:f>IF(TRIM(L155&amp;" "&amp;M155&amp;IF(N155&lt;&gt;""," ("&amp;N155&amp;")",""))="","",TRIM(L155&amp;" "&amp;M155&amp;IF(N155&lt;&gt;""," ("&amp;N155&amp;")","")))</x:f>
      </x:c>
      <x:c r="P155" s="253"/>
      <x:c r="Q155" s="252"/>
      <x:c r="R155" s="253"/>
      <x:c r="S155" s="253"/>
      <x:c r="T155" s="253"/>
      <x:c r="U155" s="253"/>
      <x:c r="V155" s="253"/>
      <x:c r="W155" s="253"/>
      <x:c r="X155" s="253"/>
      <x:c r="Y155" s="252"/>
      <x:c r="Z155" s="252"/>
      <x:c r="AA155" s="253"/>
      <x:c r="AB155" s="253" t="str">
        <x:f>IF(B155="","",IFERROR(INDEX('الزبائن'!$BA$6:$BA$505,MATCH(B155,'الزبائن'!$A$6:$A$505,0)),"source key not found"))</x:f>
      </x:c>
      <x:c r="AC155" s="253" t="str">
        <x:f>IF(B155="","",IFERROR(INDEX('الزبائن'!$BB$6:$BB$505,MATCH(B155,'الزبائن'!$A$6:$A$505,0)),"source key not found"))</x:f>
      </x:c>
      <x:c r="AD155" s="253" t="str">
        <x:f>IF(AND(A155="",C155="",D155="",I155="",L155="",M155=""),"",IF(C155="skip","SKIP",IF(OR(A155="",C155="",D155="",I155="",L155="",M155="",U155="",COUNTIF($A$6:$A$505,A155)&gt;1,AND(B155&lt;&gt;"",COUNTIF('الزبائن'!$A$6:$A$505,B155)=0),(COUNTIFS('أرقام التواصل'!$A$6:$A$505,"proposed_name",'أرقام التواصل'!$B$6:$B$505,A155,'أرقام التواصل'!$I$6:$I$505,"TRUE")+COUNTIFS('أرقام التواصل'!$A$6:$A$505,"proposed_name",'أرقام التواصل'!$B$6:$B$505,A155,'أرقام التواصل'!$C$6:$C$505,1))=0,AND(W155="TRUE",X155="")),"REVIEW","READY")))</x:f>
      </x:c>
      <x:c r="AE155" s="255" t="str">
        <x:f>IF(AD155="","",IF(AD155="READY","",IF(AD155="SKIP","Skipped by candidate_import_action",TRIM(IF(A155="","missing proposed_name_key; ","")&amp;IF(AND(A155&lt;&gt;"",COUNTIF($A$6:$A$505,A155)&gt;1),"duplicate proposed_name_key; ","")&amp;IF(C155="","missing candidate_import_action; ","")&amp;IF(D155="","missing move_reason; ","")&amp;IF(I155="","missing branch_id; ","")&amp;IF(L155="","missing first_name; ","")&amp;IF(M155="","missing last_name; ","")&amp;IF(U155="","missing status; ","")&amp;IF(AND(B155&lt;&gt;"",COUNTIF('الزبائن'!$A$6:$A$505,B155)=0),"source key not found; ","")&amp;IF((COUNTIFS('أرقام التواصل'!$A$6:$A$505,"proposed_name",'أرقام التواصل'!$B$6:$B$505,A155,'أرقام التواصل'!$I$6:$I$505,"TRUE")+COUNTIFS('أرقام التواصل'!$A$6:$A$505,"proposed_name",'أرقام التواصل'!$B$6:$B$505,A155,'أرقام التواصل'!$C$6:$C$505,1))=0,"missing primary contact in أرقام التواصل; ","")&amp;IF(AND(W155="TRUE",X155=""),"duplicate_type required when duplicate_flag TRUE; ","")))))</x:f>
      </x:c>
    </x:row>
    <x:row r="156">
      <x:c r="A156" s="302"/>
      <x:c r="B156" s="252"/>
      <x:c r="C156" s="253"/>
      <x:c r="D156" s="253"/>
      <x:c r="E156" s="253"/>
      <x:c r="F156" s="252"/>
      <x:c r="G156" s="253"/>
      <x:c r="H156" s="272"/>
      <x:c r="I156" s="253"/>
      <x:c r="J156" s="253"/>
      <x:c r="K156" s="253"/>
      <x:c r="L156" s="253"/>
      <x:c r="M156" s="253"/>
      <x:c r="N156" s="253"/>
      <x:c r="O156" s="253" t="str">
        <x:f>IF(TRIM(L156&amp;" "&amp;M156&amp;IF(N156&lt;&gt;""," ("&amp;N156&amp;")",""))="","",TRIM(L156&amp;" "&amp;M156&amp;IF(N156&lt;&gt;""," ("&amp;N156&amp;")","")))</x:f>
      </x:c>
      <x:c r="P156" s="253"/>
      <x:c r="Q156" s="252"/>
      <x:c r="R156" s="253"/>
      <x:c r="S156" s="253"/>
      <x:c r="T156" s="253"/>
      <x:c r="U156" s="253"/>
      <x:c r="V156" s="253"/>
      <x:c r="W156" s="253"/>
      <x:c r="X156" s="253"/>
      <x:c r="Y156" s="252"/>
      <x:c r="Z156" s="252"/>
      <x:c r="AA156" s="253"/>
      <x:c r="AB156" s="253" t="str">
        <x:f>IF(B156="","",IFERROR(INDEX('الزبائن'!$BA$6:$BA$505,MATCH(B156,'الزبائن'!$A$6:$A$505,0)),"source key not found"))</x:f>
      </x:c>
      <x:c r="AC156" s="253" t="str">
        <x:f>IF(B156="","",IFERROR(INDEX('الزبائن'!$BB$6:$BB$505,MATCH(B156,'الزبائن'!$A$6:$A$505,0)),"source key not found"))</x:f>
      </x:c>
      <x:c r="AD156" s="253" t="str">
        <x:f>IF(AND(A156="",C156="",D156="",I156="",L156="",M156=""),"",IF(C156="skip","SKIP",IF(OR(A156="",C156="",D156="",I156="",L156="",M156="",U156="",COUNTIF($A$6:$A$505,A156)&gt;1,AND(B156&lt;&gt;"",COUNTIF('الزبائن'!$A$6:$A$505,B156)=0),(COUNTIFS('أرقام التواصل'!$A$6:$A$505,"proposed_name",'أرقام التواصل'!$B$6:$B$505,A156,'أرقام التواصل'!$I$6:$I$505,"TRUE")+COUNTIFS('أرقام التواصل'!$A$6:$A$505,"proposed_name",'أرقام التواصل'!$B$6:$B$505,A156,'أرقام التواصل'!$C$6:$C$505,1))=0,AND(W156="TRUE",X156="")),"REVIEW","READY")))</x:f>
      </x:c>
      <x:c r="AE156" s="255" t="str">
        <x:f>IF(AD156="","",IF(AD156="READY","",IF(AD156="SKIP","Skipped by candidate_import_action",TRIM(IF(A156="","missing proposed_name_key; ","")&amp;IF(AND(A156&lt;&gt;"",COUNTIF($A$6:$A$505,A156)&gt;1),"duplicate proposed_name_key; ","")&amp;IF(C156="","missing candidate_import_action; ","")&amp;IF(D156="","missing move_reason; ","")&amp;IF(I156="","missing branch_id; ","")&amp;IF(L156="","missing first_name; ","")&amp;IF(M156="","missing last_name; ","")&amp;IF(U156="","missing status; ","")&amp;IF(AND(B156&lt;&gt;"",COUNTIF('الزبائن'!$A$6:$A$505,B156)=0),"source key not found; ","")&amp;IF((COUNTIFS('أرقام التواصل'!$A$6:$A$505,"proposed_name",'أرقام التواصل'!$B$6:$B$505,A156,'أرقام التواصل'!$I$6:$I$505,"TRUE")+COUNTIFS('أرقام التواصل'!$A$6:$A$505,"proposed_name",'أرقام التواصل'!$B$6:$B$505,A156,'أرقام التواصل'!$C$6:$C$505,1))=0,"missing primary contact in أرقام التواصل; ","")&amp;IF(AND(W156="TRUE",X156=""),"duplicate_type required when duplicate_flag TRUE; ","")))))</x:f>
      </x:c>
    </x:row>
    <x:row r="157">
      <x:c r="A157" s="302"/>
      <x:c r="B157" s="252"/>
      <x:c r="C157" s="253"/>
      <x:c r="D157" s="253"/>
      <x:c r="E157" s="253"/>
      <x:c r="F157" s="252"/>
      <x:c r="G157" s="253"/>
      <x:c r="H157" s="272"/>
      <x:c r="I157" s="253"/>
      <x:c r="J157" s="253"/>
      <x:c r="K157" s="253"/>
      <x:c r="L157" s="253"/>
      <x:c r="M157" s="253"/>
      <x:c r="N157" s="253"/>
      <x:c r="O157" s="253" t="str">
        <x:f>IF(TRIM(L157&amp;" "&amp;M157&amp;IF(N157&lt;&gt;""," ("&amp;N157&amp;")",""))="","",TRIM(L157&amp;" "&amp;M157&amp;IF(N157&lt;&gt;""," ("&amp;N157&amp;")","")))</x:f>
      </x:c>
      <x:c r="P157" s="253"/>
      <x:c r="Q157" s="252"/>
      <x:c r="R157" s="253"/>
      <x:c r="S157" s="253"/>
      <x:c r="T157" s="253"/>
      <x:c r="U157" s="253"/>
      <x:c r="V157" s="253"/>
      <x:c r="W157" s="253"/>
      <x:c r="X157" s="253"/>
      <x:c r="Y157" s="252"/>
      <x:c r="Z157" s="252"/>
      <x:c r="AA157" s="253"/>
      <x:c r="AB157" s="253" t="str">
        <x:f>IF(B157="","",IFERROR(INDEX('الزبائن'!$BA$6:$BA$505,MATCH(B157,'الزبائن'!$A$6:$A$505,0)),"source key not found"))</x:f>
      </x:c>
      <x:c r="AC157" s="253" t="str">
        <x:f>IF(B157="","",IFERROR(INDEX('الزبائن'!$BB$6:$BB$505,MATCH(B157,'الزبائن'!$A$6:$A$505,0)),"source key not found"))</x:f>
      </x:c>
      <x:c r="AD157" s="253" t="str">
        <x:f>IF(AND(A157="",C157="",D157="",I157="",L157="",M157=""),"",IF(C157="skip","SKIP",IF(OR(A157="",C157="",D157="",I157="",L157="",M157="",U157="",COUNTIF($A$6:$A$505,A157)&gt;1,AND(B157&lt;&gt;"",COUNTIF('الزبائن'!$A$6:$A$505,B157)=0),(COUNTIFS('أرقام التواصل'!$A$6:$A$505,"proposed_name",'أرقام التواصل'!$B$6:$B$505,A157,'أرقام التواصل'!$I$6:$I$505,"TRUE")+COUNTIFS('أرقام التواصل'!$A$6:$A$505,"proposed_name",'أرقام التواصل'!$B$6:$B$505,A157,'أرقام التواصل'!$C$6:$C$505,1))=0,AND(W157="TRUE",X157="")),"REVIEW","READY")))</x:f>
      </x:c>
      <x:c r="AE157" s="255" t="str">
        <x:f>IF(AD157="","",IF(AD157="READY","",IF(AD157="SKIP","Skipped by candidate_import_action",TRIM(IF(A157="","missing proposed_name_key; ","")&amp;IF(AND(A157&lt;&gt;"",COUNTIF($A$6:$A$505,A157)&gt;1),"duplicate proposed_name_key; ","")&amp;IF(C157="","missing candidate_import_action; ","")&amp;IF(D157="","missing move_reason; ","")&amp;IF(I157="","missing branch_id; ","")&amp;IF(L157="","missing first_name; ","")&amp;IF(M157="","missing last_name; ","")&amp;IF(U157="","missing status; ","")&amp;IF(AND(B157&lt;&gt;"",COUNTIF('الزبائن'!$A$6:$A$505,B157)=0),"source key not found; ","")&amp;IF((COUNTIFS('أرقام التواصل'!$A$6:$A$505,"proposed_name",'أرقام التواصل'!$B$6:$B$505,A157,'أرقام التواصل'!$I$6:$I$505,"TRUE")+COUNTIFS('أرقام التواصل'!$A$6:$A$505,"proposed_name",'أرقام التواصل'!$B$6:$B$505,A157,'أرقام التواصل'!$C$6:$C$505,1))=0,"missing primary contact in أرقام التواصل; ","")&amp;IF(AND(W157="TRUE",X157=""),"duplicate_type required when duplicate_flag TRUE; ","")))))</x:f>
      </x:c>
    </x:row>
    <x:row r="158">
      <x:c r="A158" s="302"/>
      <x:c r="B158" s="252"/>
      <x:c r="C158" s="253"/>
      <x:c r="D158" s="253"/>
      <x:c r="E158" s="253"/>
      <x:c r="F158" s="252"/>
      <x:c r="G158" s="253"/>
      <x:c r="H158" s="272"/>
      <x:c r="I158" s="253"/>
      <x:c r="J158" s="253"/>
      <x:c r="K158" s="253"/>
      <x:c r="L158" s="253"/>
      <x:c r="M158" s="253"/>
      <x:c r="N158" s="253"/>
      <x:c r="O158" s="253" t="str">
        <x:f>IF(TRIM(L158&amp;" "&amp;M158&amp;IF(N158&lt;&gt;""," ("&amp;N158&amp;")",""))="","",TRIM(L158&amp;" "&amp;M158&amp;IF(N158&lt;&gt;""," ("&amp;N158&amp;")","")))</x:f>
      </x:c>
      <x:c r="P158" s="253"/>
      <x:c r="Q158" s="252"/>
      <x:c r="R158" s="253"/>
      <x:c r="S158" s="253"/>
      <x:c r="T158" s="253"/>
      <x:c r="U158" s="253"/>
      <x:c r="V158" s="253"/>
      <x:c r="W158" s="253"/>
      <x:c r="X158" s="253"/>
      <x:c r="Y158" s="252"/>
      <x:c r="Z158" s="252"/>
      <x:c r="AA158" s="253"/>
      <x:c r="AB158" s="253" t="str">
        <x:f>IF(B158="","",IFERROR(INDEX('الزبائن'!$BA$6:$BA$505,MATCH(B158,'الزبائن'!$A$6:$A$505,0)),"source key not found"))</x:f>
      </x:c>
      <x:c r="AC158" s="253" t="str">
        <x:f>IF(B158="","",IFERROR(INDEX('الزبائن'!$BB$6:$BB$505,MATCH(B158,'الزبائن'!$A$6:$A$505,0)),"source key not found"))</x:f>
      </x:c>
      <x:c r="AD158" s="253" t="str">
        <x:f>IF(AND(A158="",C158="",D158="",I158="",L158="",M158=""),"",IF(C158="skip","SKIP",IF(OR(A158="",C158="",D158="",I158="",L158="",M158="",U158="",COUNTIF($A$6:$A$505,A158)&gt;1,AND(B158&lt;&gt;"",COUNTIF('الزبائن'!$A$6:$A$505,B158)=0),(COUNTIFS('أرقام التواصل'!$A$6:$A$505,"proposed_name",'أرقام التواصل'!$B$6:$B$505,A158,'أرقام التواصل'!$I$6:$I$505,"TRUE")+COUNTIFS('أرقام التواصل'!$A$6:$A$505,"proposed_name",'أرقام التواصل'!$B$6:$B$505,A158,'أرقام التواصل'!$C$6:$C$505,1))=0,AND(W158="TRUE",X158="")),"REVIEW","READY")))</x:f>
      </x:c>
      <x:c r="AE158" s="255" t="str">
        <x:f>IF(AD158="","",IF(AD158="READY","",IF(AD158="SKIP","Skipped by candidate_import_action",TRIM(IF(A158="","missing proposed_name_key; ","")&amp;IF(AND(A158&lt;&gt;"",COUNTIF($A$6:$A$505,A158)&gt;1),"duplicate proposed_name_key; ","")&amp;IF(C158="","missing candidate_import_action; ","")&amp;IF(D158="","missing move_reason; ","")&amp;IF(I158="","missing branch_id; ","")&amp;IF(L158="","missing first_name; ","")&amp;IF(M158="","missing last_name; ","")&amp;IF(U158="","missing status; ","")&amp;IF(AND(B158&lt;&gt;"",COUNTIF('الزبائن'!$A$6:$A$505,B158)=0),"source key not found; ","")&amp;IF((COUNTIFS('أرقام التواصل'!$A$6:$A$505,"proposed_name",'أرقام التواصل'!$B$6:$B$505,A158,'أرقام التواصل'!$I$6:$I$505,"TRUE")+COUNTIFS('أرقام التواصل'!$A$6:$A$505,"proposed_name",'أرقام التواصل'!$B$6:$B$505,A158,'أرقام التواصل'!$C$6:$C$505,1))=0,"missing primary contact in أرقام التواصل; ","")&amp;IF(AND(W158="TRUE",X158=""),"duplicate_type required when duplicate_flag TRUE; ","")))))</x:f>
      </x:c>
    </x:row>
    <x:row r="159">
      <x:c r="A159" s="302"/>
      <x:c r="B159" s="252"/>
      <x:c r="C159" s="253"/>
      <x:c r="D159" s="253"/>
      <x:c r="E159" s="253"/>
      <x:c r="F159" s="252"/>
      <x:c r="G159" s="253"/>
      <x:c r="H159" s="272"/>
      <x:c r="I159" s="253"/>
      <x:c r="J159" s="253"/>
      <x:c r="K159" s="253"/>
      <x:c r="L159" s="253"/>
      <x:c r="M159" s="253"/>
      <x:c r="N159" s="253"/>
      <x:c r="O159" s="253" t="str">
        <x:f>IF(TRIM(L159&amp;" "&amp;M159&amp;IF(N159&lt;&gt;""," ("&amp;N159&amp;")",""))="","",TRIM(L159&amp;" "&amp;M159&amp;IF(N159&lt;&gt;""," ("&amp;N159&amp;")","")))</x:f>
      </x:c>
      <x:c r="P159" s="253"/>
      <x:c r="Q159" s="252"/>
      <x:c r="R159" s="253"/>
      <x:c r="S159" s="253"/>
      <x:c r="T159" s="253"/>
      <x:c r="U159" s="253"/>
      <x:c r="V159" s="253"/>
      <x:c r="W159" s="253"/>
      <x:c r="X159" s="253"/>
      <x:c r="Y159" s="252"/>
      <x:c r="Z159" s="252"/>
      <x:c r="AA159" s="253"/>
      <x:c r="AB159" s="253" t="str">
        <x:f>IF(B159="","",IFERROR(INDEX('الزبائن'!$BA$6:$BA$505,MATCH(B159,'الزبائن'!$A$6:$A$505,0)),"source key not found"))</x:f>
      </x:c>
      <x:c r="AC159" s="253" t="str">
        <x:f>IF(B159="","",IFERROR(INDEX('الزبائن'!$BB$6:$BB$505,MATCH(B159,'الزبائن'!$A$6:$A$505,0)),"source key not found"))</x:f>
      </x:c>
      <x:c r="AD159" s="253" t="str">
        <x:f>IF(AND(A159="",C159="",D159="",I159="",L159="",M159=""),"",IF(C159="skip","SKIP",IF(OR(A159="",C159="",D159="",I159="",L159="",M159="",U159="",COUNTIF($A$6:$A$505,A159)&gt;1,AND(B159&lt;&gt;"",COUNTIF('الزبائن'!$A$6:$A$505,B159)=0),(COUNTIFS('أرقام التواصل'!$A$6:$A$505,"proposed_name",'أرقام التواصل'!$B$6:$B$505,A159,'أرقام التواصل'!$I$6:$I$505,"TRUE")+COUNTIFS('أرقام التواصل'!$A$6:$A$505,"proposed_name",'أرقام التواصل'!$B$6:$B$505,A159,'أرقام التواصل'!$C$6:$C$505,1))=0,AND(W159="TRUE",X159="")),"REVIEW","READY")))</x:f>
      </x:c>
      <x:c r="AE159" s="255" t="str">
        <x:f>IF(AD159="","",IF(AD159="READY","",IF(AD159="SKIP","Skipped by candidate_import_action",TRIM(IF(A159="","missing proposed_name_key; ","")&amp;IF(AND(A159&lt;&gt;"",COUNTIF($A$6:$A$505,A159)&gt;1),"duplicate proposed_name_key; ","")&amp;IF(C159="","missing candidate_import_action; ","")&amp;IF(D159="","missing move_reason; ","")&amp;IF(I159="","missing branch_id; ","")&amp;IF(L159="","missing first_name; ","")&amp;IF(M159="","missing last_name; ","")&amp;IF(U159="","missing status; ","")&amp;IF(AND(B159&lt;&gt;"",COUNTIF('الزبائن'!$A$6:$A$505,B159)=0),"source key not found; ","")&amp;IF((COUNTIFS('أرقام التواصل'!$A$6:$A$505,"proposed_name",'أرقام التواصل'!$B$6:$B$505,A159,'أرقام التواصل'!$I$6:$I$505,"TRUE")+COUNTIFS('أرقام التواصل'!$A$6:$A$505,"proposed_name",'أرقام التواصل'!$B$6:$B$505,A159,'أرقام التواصل'!$C$6:$C$505,1))=0,"missing primary contact in أرقام التواصل; ","")&amp;IF(AND(W159="TRUE",X159=""),"duplicate_type required when duplicate_flag TRUE; ","")))))</x:f>
      </x:c>
    </x:row>
    <x:row r="160">
      <x:c r="A160" s="302"/>
      <x:c r="B160" s="252"/>
      <x:c r="C160" s="253"/>
      <x:c r="D160" s="253"/>
      <x:c r="E160" s="253"/>
      <x:c r="F160" s="252"/>
      <x:c r="G160" s="253"/>
      <x:c r="H160" s="272"/>
      <x:c r="I160" s="253"/>
      <x:c r="J160" s="253"/>
      <x:c r="K160" s="253"/>
      <x:c r="L160" s="253"/>
      <x:c r="M160" s="253"/>
      <x:c r="N160" s="253"/>
      <x:c r="O160" s="253" t="str">
        <x:f>IF(TRIM(L160&amp;" "&amp;M160&amp;IF(N160&lt;&gt;""," ("&amp;N160&amp;")",""))="","",TRIM(L160&amp;" "&amp;M160&amp;IF(N160&lt;&gt;""," ("&amp;N160&amp;")","")))</x:f>
      </x:c>
      <x:c r="P160" s="253"/>
      <x:c r="Q160" s="252"/>
      <x:c r="R160" s="253"/>
      <x:c r="S160" s="253"/>
      <x:c r="T160" s="253"/>
      <x:c r="U160" s="253"/>
      <x:c r="V160" s="253"/>
      <x:c r="W160" s="253"/>
      <x:c r="X160" s="253"/>
      <x:c r="Y160" s="252"/>
      <x:c r="Z160" s="252"/>
      <x:c r="AA160" s="253"/>
      <x:c r="AB160" s="253" t="str">
        <x:f>IF(B160="","",IFERROR(INDEX('الزبائن'!$BA$6:$BA$505,MATCH(B160,'الزبائن'!$A$6:$A$505,0)),"source key not found"))</x:f>
      </x:c>
      <x:c r="AC160" s="253" t="str">
        <x:f>IF(B160="","",IFERROR(INDEX('الزبائن'!$BB$6:$BB$505,MATCH(B160,'الزبائن'!$A$6:$A$505,0)),"source key not found"))</x:f>
      </x:c>
      <x:c r="AD160" s="253" t="str">
        <x:f>IF(AND(A160="",C160="",D160="",I160="",L160="",M160=""),"",IF(C160="skip","SKIP",IF(OR(A160="",C160="",D160="",I160="",L160="",M160="",U160="",COUNTIF($A$6:$A$505,A160)&gt;1,AND(B160&lt;&gt;"",COUNTIF('الزبائن'!$A$6:$A$505,B160)=0),(COUNTIFS('أرقام التواصل'!$A$6:$A$505,"proposed_name",'أرقام التواصل'!$B$6:$B$505,A160,'أرقام التواصل'!$I$6:$I$505,"TRUE")+COUNTIFS('أرقام التواصل'!$A$6:$A$505,"proposed_name",'أرقام التواصل'!$B$6:$B$505,A160,'أرقام التواصل'!$C$6:$C$505,1))=0,AND(W160="TRUE",X160="")),"REVIEW","READY")))</x:f>
      </x:c>
      <x:c r="AE160" s="255" t="str">
        <x:f>IF(AD160="","",IF(AD160="READY","",IF(AD160="SKIP","Skipped by candidate_import_action",TRIM(IF(A160="","missing proposed_name_key; ","")&amp;IF(AND(A160&lt;&gt;"",COUNTIF($A$6:$A$505,A160)&gt;1),"duplicate proposed_name_key; ","")&amp;IF(C160="","missing candidate_import_action; ","")&amp;IF(D160="","missing move_reason; ","")&amp;IF(I160="","missing branch_id; ","")&amp;IF(L160="","missing first_name; ","")&amp;IF(M160="","missing last_name; ","")&amp;IF(U160="","missing status; ","")&amp;IF(AND(B160&lt;&gt;"",COUNTIF('الزبائن'!$A$6:$A$505,B160)=0),"source key not found; ","")&amp;IF((COUNTIFS('أرقام التواصل'!$A$6:$A$505,"proposed_name",'أرقام التواصل'!$B$6:$B$505,A160,'أرقام التواصل'!$I$6:$I$505,"TRUE")+COUNTIFS('أرقام التواصل'!$A$6:$A$505,"proposed_name",'أرقام التواصل'!$B$6:$B$505,A160,'أرقام التواصل'!$C$6:$C$505,1))=0,"missing primary contact in أرقام التواصل; ","")&amp;IF(AND(W160="TRUE",X160=""),"duplicate_type required when duplicate_flag TRUE; ","")))))</x:f>
      </x:c>
    </x:row>
    <x:row r="161">
      <x:c r="A161" s="302"/>
      <x:c r="B161" s="252"/>
      <x:c r="C161" s="253"/>
      <x:c r="D161" s="253"/>
      <x:c r="E161" s="253"/>
      <x:c r="F161" s="252"/>
      <x:c r="G161" s="253"/>
      <x:c r="H161" s="272"/>
      <x:c r="I161" s="253"/>
      <x:c r="J161" s="253"/>
      <x:c r="K161" s="253"/>
      <x:c r="L161" s="253"/>
      <x:c r="M161" s="253"/>
      <x:c r="N161" s="253"/>
      <x:c r="O161" s="253" t="str">
        <x:f>IF(TRIM(L161&amp;" "&amp;M161&amp;IF(N161&lt;&gt;""," ("&amp;N161&amp;")",""))="","",TRIM(L161&amp;" "&amp;M161&amp;IF(N161&lt;&gt;""," ("&amp;N161&amp;")","")))</x:f>
      </x:c>
      <x:c r="P161" s="253"/>
      <x:c r="Q161" s="252"/>
      <x:c r="R161" s="253"/>
      <x:c r="S161" s="253"/>
      <x:c r="T161" s="253"/>
      <x:c r="U161" s="253"/>
      <x:c r="V161" s="253"/>
      <x:c r="W161" s="253"/>
      <x:c r="X161" s="253"/>
      <x:c r="Y161" s="252"/>
      <x:c r="Z161" s="252"/>
      <x:c r="AA161" s="253"/>
      <x:c r="AB161" s="253" t="str">
        <x:f>IF(B161="","",IFERROR(INDEX('الزبائن'!$BA$6:$BA$505,MATCH(B161,'الزبائن'!$A$6:$A$505,0)),"source key not found"))</x:f>
      </x:c>
      <x:c r="AC161" s="253" t="str">
        <x:f>IF(B161="","",IFERROR(INDEX('الزبائن'!$BB$6:$BB$505,MATCH(B161,'الزبائن'!$A$6:$A$505,0)),"source key not found"))</x:f>
      </x:c>
      <x:c r="AD161" s="253" t="str">
        <x:f>IF(AND(A161="",C161="",D161="",I161="",L161="",M161=""),"",IF(C161="skip","SKIP",IF(OR(A161="",C161="",D161="",I161="",L161="",M161="",U161="",COUNTIF($A$6:$A$505,A161)&gt;1,AND(B161&lt;&gt;"",COUNTIF('الزبائن'!$A$6:$A$505,B161)=0),(COUNTIFS('أرقام التواصل'!$A$6:$A$505,"proposed_name",'أرقام التواصل'!$B$6:$B$505,A161,'أرقام التواصل'!$I$6:$I$505,"TRUE")+COUNTIFS('أرقام التواصل'!$A$6:$A$505,"proposed_name",'أرقام التواصل'!$B$6:$B$505,A161,'أرقام التواصل'!$C$6:$C$505,1))=0,AND(W161="TRUE",X161="")),"REVIEW","READY")))</x:f>
      </x:c>
      <x:c r="AE161" s="255" t="str">
        <x:f>IF(AD161="","",IF(AD161="READY","",IF(AD161="SKIP","Skipped by candidate_import_action",TRIM(IF(A161="","missing proposed_name_key; ","")&amp;IF(AND(A161&lt;&gt;"",COUNTIF($A$6:$A$505,A161)&gt;1),"duplicate proposed_name_key; ","")&amp;IF(C161="","missing candidate_import_action; ","")&amp;IF(D161="","missing move_reason; ","")&amp;IF(I161="","missing branch_id; ","")&amp;IF(L161="","missing first_name; ","")&amp;IF(M161="","missing last_name; ","")&amp;IF(U161="","missing status; ","")&amp;IF(AND(B161&lt;&gt;"",COUNTIF('الزبائن'!$A$6:$A$505,B161)=0),"source key not found; ","")&amp;IF((COUNTIFS('أرقام التواصل'!$A$6:$A$505,"proposed_name",'أرقام التواصل'!$B$6:$B$505,A161,'أرقام التواصل'!$I$6:$I$505,"TRUE")+COUNTIFS('أرقام التواصل'!$A$6:$A$505,"proposed_name",'أرقام التواصل'!$B$6:$B$505,A161,'أرقام التواصل'!$C$6:$C$505,1))=0,"missing primary contact in أرقام التواصل; ","")&amp;IF(AND(W161="TRUE",X161=""),"duplicate_type required when duplicate_flag TRUE; ","")))))</x:f>
      </x:c>
    </x:row>
    <x:row r="162">
      <x:c r="A162" s="302"/>
      <x:c r="B162" s="252"/>
      <x:c r="C162" s="253"/>
      <x:c r="D162" s="253"/>
      <x:c r="E162" s="253"/>
      <x:c r="F162" s="252"/>
      <x:c r="G162" s="253"/>
      <x:c r="H162" s="272"/>
      <x:c r="I162" s="253"/>
      <x:c r="J162" s="253"/>
      <x:c r="K162" s="253"/>
      <x:c r="L162" s="253"/>
      <x:c r="M162" s="253"/>
      <x:c r="N162" s="253"/>
      <x:c r="O162" s="253" t="str">
        <x:f>IF(TRIM(L162&amp;" "&amp;M162&amp;IF(N162&lt;&gt;""," ("&amp;N162&amp;")",""))="","",TRIM(L162&amp;" "&amp;M162&amp;IF(N162&lt;&gt;""," ("&amp;N162&amp;")","")))</x:f>
      </x:c>
      <x:c r="P162" s="253"/>
      <x:c r="Q162" s="252"/>
      <x:c r="R162" s="253"/>
      <x:c r="S162" s="253"/>
      <x:c r="T162" s="253"/>
      <x:c r="U162" s="253"/>
      <x:c r="V162" s="253"/>
      <x:c r="W162" s="253"/>
      <x:c r="X162" s="253"/>
      <x:c r="Y162" s="252"/>
      <x:c r="Z162" s="252"/>
      <x:c r="AA162" s="253"/>
      <x:c r="AB162" s="253" t="str">
        <x:f>IF(B162="","",IFERROR(INDEX('الزبائن'!$BA$6:$BA$505,MATCH(B162,'الزبائن'!$A$6:$A$505,0)),"source key not found"))</x:f>
      </x:c>
      <x:c r="AC162" s="253" t="str">
        <x:f>IF(B162="","",IFERROR(INDEX('الزبائن'!$BB$6:$BB$505,MATCH(B162,'الزبائن'!$A$6:$A$505,0)),"source key not found"))</x:f>
      </x:c>
      <x:c r="AD162" s="253" t="str">
        <x:f>IF(AND(A162="",C162="",D162="",I162="",L162="",M162=""),"",IF(C162="skip","SKIP",IF(OR(A162="",C162="",D162="",I162="",L162="",M162="",U162="",COUNTIF($A$6:$A$505,A162)&gt;1,AND(B162&lt;&gt;"",COUNTIF('الزبائن'!$A$6:$A$505,B162)=0),(COUNTIFS('أرقام التواصل'!$A$6:$A$505,"proposed_name",'أرقام التواصل'!$B$6:$B$505,A162,'أرقام التواصل'!$I$6:$I$505,"TRUE")+COUNTIFS('أرقام التواصل'!$A$6:$A$505,"proposed_name",'أرقام التواصل'!$B$6:$B$505,A162,'أرقام التواصل'!$C$6:$C$505,1))=0,AND(W162="TRUE",X162="")),"REVIEW","READY")))</x:f>
      </x:c>
      <x:c r="AE162" s="255" t="str">
        <x:f>IF(AD162="","",IF(AD162="READY","",IF(AD162="SKIP","Skipped by candidate_import_action",TRIM(IF(A162="","missing proposed_name_key; ","")&amp;IF(AND(A162&lt;&gt;"",COUNTIF($A$6:$A$505,A162)&gt;1),"duplicate proposed_name_key; ","")&amp;IF(C162="","missing candidate_import_action; ","")&amp;IF(D162="","missing move_reason; ","")&amp;IF(I162="","missing branch_id; ","")&amp;IF(L162="","missing first_name; ","")&amp;IF(M162="","missing last_name; ","")&amp;IF(U162="","missing status; ","")&amp;IF(AND(B162&lt;&gt;"",COUNTIF('الزبائن'!$A$6:$A$505,B162)=0),"source key not found; ","")&amp;IF((COUNTIFS('أرقام التواصل'!$A$6:$A$505,"proposed_name",'أرقام التواصل'!$B$6:$B$505,A162,'أرقام التواصل'!$I$6:$I$505,"TRUE")+COUNTIFS('أرقام التواصل'!$A$6:$A$505,"proposed_name",'أرقام التواصل'!$B$6:$B$505,A162,'أرقام التواصل'!$C$6:$C$505,1))=0,"missing primary contact in أرقام التواصل; ","")&amp;IF(AND(W162="TRUE",X162=""),"duplicate_type required when duplicate_flag TRUE; ","")))))</x:f>
      </x:c>
    </x:row>
    <x:row r="163">
      <x:c r="A163" s="302"/>
      <x:c r="B163" s="252"/>
      <x:c r="C163" s="253"/>
      <x:c r="D163" s="253"/>
      <x:c r="E163" s="253"/>
      <x:c r="F163" s="252"/>
      <x:c r="G163" s="253"/>
      <x:c r="H163" s="272"/>
      <x:c r="I163" s="253"/>
      <x:c r="J163" s="253"/>
      <x:c r="K163" s="253"/>
      <x:c r="L163" s="253"/>
      <x:c r="M163" s="253"/>
      <x:c r="N163" s="253"/>
      <x:c r="O163" s="253" t="str">
        <x:f>IF(TRIM(L163&amp;" "&amp;M163&amp;IF(N163&lt;&gt;""," ("&amp;N163&amp;")",""))="","",TRIM(L163&amp;" "&amp;M163&amp;IF(N163&lt;&gt;""," ("&amp;N163&amp;")","")))</x:f>
      </x:c>
      <x:c r="P163" s="253"/>
      <x:c r="Q163" s="252"/>
      <x:c r="R163" s="253"/>
      <x:c r="S163" s="253"/>
      <x:c r="T163" s="253"/>
      <x:c r="U163" s="253"/>
      <x:c r="V163" s="253"/>
      <x:c r="W163" s="253"/>
      <x:c r="X163" s="253"/>
      <x:c r="Y163" s="252"/>
      <x:c r="Z163" s="252"/>
      <x:c r="AA163" s="253"/>
      <x:c r="AB163" s="253" t="str">
        <x:f>IF(B163="","",IFERROR(INDEX('الزبائن'!$BA$6:$BA$505,MATCH(B163,'الزبائن'!$A$6:$A$505,0)),"source key not found"))</x:f>
      </x:c>
      <x:c r="AC163" s="253" t="str">
        <x:f>IF(B163="","",IFERROR(INDEX('الزبائن'!$BB$6:$BB$505,MATCH(B163,'الزبائن'!$A$6:$A$505,0)),"source key not found"))</x:f>
      </x:c>
      <x:c r="AD163" s="253" t="str">
        <x:f>IF(AND(A163="",C163="",D163="",I163="",L163="",M163=""),"",IF(C163="skip","SKIP",IF(OR(A163="",C163="",D163="",I163="",L163="",M163="",U163="",COUNTIF($A$6:$A$505,A163)&gt;1,AND(B163&lt;&gt;"",COUNTIF('الزبائن'!$A$6:$A$505,B163)=0),(COUNTIFS('أرقام التواصل'!$A$6:$A$505,"proposed_name",'أرقام التواصل'!$B$6:$B$505,A163,'أرقام التواصل'!$I$6:$I$505,"TRUE")+COUNTIFS('أرقام التواصل'!$A$6:$A$505,"proposed_name",'أرقام التواصل'!$B$6:$B$505,A163,'أرقام التواصل'!$C$6:$C$505,1))=0,AND(W163="TRUE",X163="")),"REVIEW","READY")))</x:f>
      </x:c>
      <x:c r="AE163" s="255" t="str">
        <x:f>IF(AD163="","",IF(AD163="READY","",IF(AD163="SKIP","Skipped by candidate_import_action",TRIM(IF(A163="","missing proposed_name_key; ","")&amp;IF(AND(A163&lt;&gt;"",COUNTIF($A$6:$A$505,A163)&gt;1),"duplicate proposed_name_key; ","")&amp;IF(C163="","missing candidate_import_action; ","")&amp;IF(D163="","missing move_reason; ","")&amp;IF(I163="","missing branch_id; ","")&amp;IF(L163="","missing first_name; ","")&amp;IF(M163="","missing last_name; ","")&amp;IF(U163="","missing status; ","")&amp;IF(AND(B163&lt;&gt;"",COUNTIF('الزبائن'!$A$6:$A$505,B163)=0),"source key not found; ","")&amp;IF((COUNTIFS('أرقام التواصل'!$A$6:$A$505,"proposed_name",'أرقام التواصل'!$B$6:$B$505,A163,'أرقام التواصل'!$I$6:$I$505,"TRUE")+COUNTIFS('أرقام التواصل'!$A$6:$A$505,"proposed_name",'أرقام التواصل'!$B$6:$B$505,A163,'أرقام التواصل'!$C$6:$C$505,1))=0,"missing primary contact in أرقام التواصل; ","")&amp;IF(AND(W163="TRUE",X163=""),"duplicate_type required when duplicate_flag TRUE; ","")))))</x:f>
      </x:c>
    </x:row>
    <x:row r="164">
      <x:c r="A164" s="302"/>
      <x:c r="B164" s="252"/>
      <x:c r="C164" s="253"/>
      <x:c r="D164" s="253"/>
      <x:c r="E164" s="253"/>
      <x:c r="F164" s="252"/>
      <x:c r="G164" s="253"/>
      <x:c r="H164" s="272"/>
      <x:c r="I164" s="253"/>
      <x:c r="J164" s="253"/>
      <x:c r="K164" s="253"/>
      <x:c r="L164" s="253"/>
      <x:c r="M164" s="253"/>
      <x:c r="N164" s="253"/>
      <x:c r="O164" s="253" t="str">
        <x:f>IF(TRIM(L164&amp;" "&amp;M164&amp;IF(N164&lt;&gt;""," ("&amp;N164&amp;")",""))="","",TRIM(L164&amp;" "&amp;M164&amp;IF(N164&lt;&gt;""," ("&amp;N164&amp;")","")))</x:f>
      </x:c>
      <x:c r="P164" s="253"/>
      <x:c r="Q164" s="252"/>
      <x:c r="R164" s="253"/>
      <x:c r="S164" s="253"/>
      <x:c r="T164" s="253"/>
      <x:c r="U164" s="253"/>
      <x:c r="V164" s="253"/>
      <x:c r="W164" s="253"/>
      <x:c r="X164" s="253"/>
      <x:c r="Y164" s="252"/>
      <x:c r="Z164" s="252"/>
      <x:c r="AA164" s="253"/>
      <x:c r="AB164" s="253" t="str">
        <x:f>IF(B164="","",IFERROR(INDEX('الزبائن'!$BA$6:$BA$505,MATCH(B164,'الزبائن'!$A$6:$A$505,0)),"source key not found"))</x:f>
      </x:c>
      <x:c r="AC164" s="253" t="str">
        <x:f>IF(B164="","",IFERROR(INDEX('الزبائن'!$BB$6:$BB$505,MATCH(B164,'الزبائن'!$A$6:$A$505,0)),"source key not found"))</x:f>
      </x:c>
      <x:c r="AD164" s="253" t="str">
        <x:f>IF(AND(A164="",C164="",D164="",I164="",L164="",M164=""),"",IF(C164="skip","SKIP",IF(OR(A164="",C164="",D164="",I164="",L164="",M164="",U164="",COUNTIF($A$6:$A$505,A164)&gt;1,AND(B164&lt;&gt;"",COUNTIF('الزبائن'!$A$6:$A$505,B164)=0),(COUNTIFS('أرقام التواصل'!$A$6:$A$505,"proposed_name",'أرقام التواصل'!$B$6:$B$505,A164,'أرقام التواصل'!$I$6:$I$505,"TRUE")+COUNTIFS('أرقام التواصل'!$A$6:$A$505,"proposed_name",'أرقام التواصل'!$B$6:$B$505,A164,'أرقام التواصل'!$C$6:$C$505,1))=0,AND(W164="TRUE",X164="")),"REVIEW","READY")))</x:f>
      </x:c>
      <x:c r="AE164" s="255" t="str">
        <x:f>IF(AD164="","",IF(AD164="READY","",IF(AD164="SKIP","Skipped by candidate_import_action",TRIM(IF(A164="","missing proposed_name_key; ","")&amp;IF(AND(A164&lt;&gt;"",COUNTIF($A$6:$A$505,A164)&gt;1),"duplicate proposed_name_key; ","")&amp;IF(C164="","missing candidate_import_action; ","")&amp;IF(D164="","missing move_reason; ","")&amp;IF(I164="","missing branch_id; ","")&amp;IF(L164="","missing first_name; ","")&amp;IF(M164="","missing last_name; ","")&amp;IF(U164="","missing status; ","")&amp;IF(AND(B164&lt;&gt;"",COUNTIF('الزبائن'!$A$6:$A$505,B164)=0),"source key not found; ","")&amp;IF((COUNTIFS('أرقام التواصل'!$A$6:$A$505,"proposed_name",'أرقام التواصل'!$B$6:$B$505,A164,'أرقام التواصل'!$I$6:$I$505,"TRUE")+COUNTIFS('أرقام التواصل'!$A$6:$A$505,"proposed_name",'أرقام التواصل'!$B$6:$B$505,A164,'أرقام التواصل'!$C$6:$C$505,1))=0,"missing primary contact in أرقام التواصل; ","")&amp;IF(AND(W164="TRUE",X164=""),"duplicate_type required when duplicate_flag TRUE; ","")))))</x:f>
      </x:c>
    </x:row>
    <x:row r="165">
      <x:c r="A165" s="302"/>
      <x:c r="B165" s="252"/>
      <x:c r="C165" s="253"/>
      <x:c r="D165" s="253"/>
      <x:c r="E165" s="253"/>
      <x:c r="F165" s="252"/>
      <x:c r="G165" s="253"/>
      <x:c r="H165" s="272"/>
      <x:c r="I165" s="253"/>
      <x:c r="J165" s="253"/>
      <x:c r="K165" s="253"/>
      <x:c r="L165" s="253"/>
      <x:c r="M165" s="253"/>
      <x:c r="N165" s="253"/>
      <x:c r="O165" s="253" t="str">
        <x:f>IF(TRIM(L165&amp;" "&amp;M165&amp;IF(N165&lt;&gt;""," ("&amp;N165&amp;")",""))="","",TRIM(L165&amp;" "&amp;M165&amp;IF(N165&lt;&gt;""," ("&amp;N165&amp;")","")))</x:f>
      </x:c>
      <x:c r="P165" s="253"/>
      <x:c r="Q165" s="252"/>
      <x:c r="R165" s="253"/>
      <x:c r="S165" s="253"/>
      <x:c r="T165" s="253"/>
      <x:c r="U165" s="253"/>
      <x:c r="V165" s="253"/>
      <x:c r="W165" s="253"/>
      <x:c r="X165" s="253"/>
      <x:c r="Y165" s="252"/>
      <x:c r="Z165" s="252"/>
      <x:c r="AA165" s="253"/>
      <x:c r="AB165" s="253" t="str">
        <x:f>IF(B165="","",IFERROR(INDEX('الزبائن'!$BA$6:$BA$505,MATCH(B165,'الزبائن'!$A$6:$A$505,0)),"source key not found"))</x:f>
      </x:c>
      <x:c r="AC165" s="253" t="str">
        <x:f>IF(B165="","",IFERROR(INDEX('الزبائن'!$BB$6:$BB$505,MATCH(B165,'الزبائن'!$A$6:$A$505,0)),"source key not found"))</x:f>
      </x:c>
      <x:c r="AD165" s="253" t="str">
        <x:f>IF(AND(A165="",C165="",D165="",I165="",L165="",M165=""),"",IF(C165="skip","SKIP",IF(OR(A165="",C165="",D165="",I165="",L165="",M165="",U165="",COUNTIF($A$6:$A$505,A165)&gt;1,AND(B165&lt;&gt;"",COUNTIF('الزبائن'!$A$6:$A$505,B165)=0),(COUNTIFS('أرقام التواصل'!$A$6:$A$505,"proposed_name",'أرقام التواصل'!$B$6:$B$505,A165,'أرقام التواصل'!$I$6:$I$505,"TRUE")+COUNTIFS('أرقام التواصل'!$A$6:$A$505,"proposed_name",'أرقام التواصل'!$B$6:$B$505,A165,'أرقام التواصل'!$C$6:$C$505,1))=0,AND(W165="TRUE",X165="")),"REVIEW","READY")))</x:f>
      </x:c>
      <x:c r="AE165" s="255" t="str">
        <x:f>IF(AD165="","",IF(AD165="READY","",IF(AD165="SKIP","Skipped by candidate_import_action",TRIM(IF(A165="","missing proposed_name_key; ","")&amp;IF(AND(A165&lt;&gt;"",COUNTIF($A$6:$A$505,A165)&gt;1),"duplicate proposed_name_key; ","")&amp;IF(C165="","missing candidate_import_action; ","")&amp;IF(D165="","missing move_reason; ","")&amp;IF(I165="","missing branch_id; ","")&amp;IF(L165="","missing first_name; ","")&amp;IF(M165="","missing last_name; ","")&amp;IF(U165="","missing status; ","")&amp;IF(AND(B165&lt;&gt;"",COUNTIF('الزبائن'!$A$6:$A$505,B165)=0),"source key not found; ","")&amp;IF((COUNTIFS('أرقام التواصل'!$A$6:$A$505,"proposed_name",'أرقام التواصل'!$B$6:$B$505,A165,'أرقام التواصل'!$I$6:$I$505,"TRUE")+COUNTIFS('أرقام التواصل'!$A$6:$A$505,"proposed_name",'أرقام التواصل'!$B$6:$B$505,A165,'أرقام التواصل'!$C$6:$C$505,1))=0,"missing primary contact in أرقام التواصل; ","")&amp;IF(AND(W165="TRUE",X165=""),"duplicate_type required when duplicate_flag TRUE; ","")))))</x:f>
      </x:c>
    </x:row>
    <x:row r="166">
      <x:c r="A166" s="302"/>
      <x:c r="B166" s="252"/>
      <x:c r="C166" s="253"/>
      <x:c r="D166" s="253"/>
      <x:c r="E166" s="253"/>
      <x:c r="F166" s="252"/>
      <x:c r="G166" s="253"/>
      <x:c r="H166" s="272"/>
      <x:c r="I166" s="253"/>
      <x:c r="J166" s="253"/>
      <x:c r="K166" s="253"/>
      <x:c r="L166" s="253"/>
      <x:c r="M166" s="253"/>
      <x:c r="N166" s="253"/>
      <x:c r="O166" s="253" t="str">
        <x:f>IF(TRIM(L166&amp;" "&amp;M166&amp;IF(N166&lt;&gt;""," ("&amp;N166&amp;")",""))="","",TRIM(L166&amp;" "&amp;M166&amp;IF(N166&lt;&gt;""," ("&amp;N166&amp;")","")))</x:f>
      </x:c>
      <x:c r="P166" s="253"/>
      <x:c r="Q166" s="252"/>
      <x:c r="R166" s="253"/>
      <x:c r="S166" s="253"/>
      <x:c r="T166" s="253"/>
      <x:c r="U166" s="253"/>
      <x:c r="V166" s="253"/>
      <x:c r="W166" s="253"/>
      <x:c r="X166" s="253"/>
      <x:c r="Y166" s="252"/>
      <x:c r="Z166" s="252"/>
      <x:c r="AA166" s="253"/>
      <x:c r="AB166" s="253" t="str">
        <x:f>IF(B166="","",IFERROR(INDEX('الزبائن'!$BA$6:$BA$505,MATCH(B166,'الزبائن'!$A$6:$A$505,0)),"source key not found"))</x:f>
      </x:c>
      <x:c r="AC166" s="253" t="str">
        <x:f>IF(B166="","",IFERROR(INDEX('الزبائن'!$BB$6:$BB$505,MATCH(B166,'الزبائن'!$A$6:$A$505,0)),"source key not found"))</x:f>
      </x:c>
      <x:c r="AD166" s="253" t="str">
        <x:f>IF(AND(A166="",C166="",D166="",I166="",L166="",M166=""),"",IF(C166="skip","SKIP",IF(OR(A166="",C166="",D166="",I166="",L166="",M166="",U166="",COUNTIF($A$6:$A$505,A166)&gt;1,AND(B166&lt;&gt;"",COUNTIF('الزبائن'!$A$6:$A$505,B166)=0),(COUNTIFS('أرقام التواصل'!$A$6:$A$505,"proposed_name",'أرقام التواصل'!$B$6:$B$505,A166,'أرقام التواصل'!$I$6:$I$505,"TRUE")+COUNTIFS('أرقام التواصل'!$A$6:$A$505,"proposed_name",'أرقام التواصل'!$B$6:$B$505,A166,'أرقام التواصل'!$C$6:$C$505,1))=0,AND(W166="TRUE",X166="")),"REVIEW","READY")))</x:f>
      </x:c>
      <x:c r="AE166" s="255" t="str">
        <x:f>IF(AD166="","",IF(AD166="READY","",IF(AD166="SKIP","Skipped by candidate_import_action",TRIM(IF(A166="","missing proposed_name_key; ","")&amp;IF(AND(A166&lt;&gt;"",COUNTIF($A$6:$A$505,A166)&gt;1),"duplicate proposed_name_key; ","")&amp;IF(C166="","missing candidate_import_action; ","")&amp;IF(D166="","missing move_reason; ","")&amp;IF(I166="","missing branch_id; ","")&amp;IF(L166="","missing first_name; ","")&amp;IF(M166="","missing last_name; ","")&amp;IF(U166="","missing status; ","")&amp;IF(AND(B166&lt;&gt;"",COUNTIF('الزبائن'!$A$6:$A$505,B166)=0),"source key not found; ","")&amp;IF((COUNTIFS('أرقام التواصل'!$A$6:$A$505,"proposed_name",'أرقام التواصل'!$B$6:$B$505,A166,'أرقام التواصل'!$I$6:$I$505,"TRUE")+COUNTIFS('أرقام التواصل'!$A$6:$A$505,"proposed_name",'أرقام التواصل'!$B$6:$B$505,A166,'أرقام التواصل'!$C$6:$C$505,1))=0,"missing primary contact in أرقام التواصل; ","")&amp;IF(AND(W166="TRUE",X166=""),"duplicate_type required when duplicate_flag TRUE; ","")))))</x:f>
      </x:c>
    </x:row>
    <x:row r="167">
      <x:c r="A167" s="302"/>
      <x:c r="B167" s="252"/>
      <x:c r="C167" s="253"/>
      <x:c r="D167" s="253"/>
      <x:c r="E167" s="253"/>
      <x:c r="F167" s="252"/>
      <x:c r="G167" s="253"/>
      <x:c r="H167" s="272"/>
      <x:c r="I167" s="253"/>
      <x:c r="J167" s="253"/>
      <x:c r="K167" s="253"/>
      <x:c r="L167" s="253"/>
      <x:c r="M167" s="253"/>
      <x:c r="N167" s="253"/>
      <x:c r="O167" s="253" t="str">
        <x:f>IF(TRIM(L167&amp;" "&amp;M167&amp;IF(N167&lt;&gt;""," ("&amp;N167&amp;")",""))="","",TRIM(L167&amp;" "&amp;M167&amp;IF(N167&lt;&gt;""," ("&amp;N167&amp;")","")))</x:f>
      </x:c>
      <x:c r="P167" s="253"/>
      <x:c r="Q167" s="252"/>
      <x:c r="R167" s="253"/>
      <x:c r="S167" s="253"/>
      <x:c r="T167" s="253"/>
      <x:c r="U167" s="253"/>
      <x:c r="V167" s="253"/>
      <x:c r="W167" s="253"/>
      <x:c r="X167" s="253"/>
      <x:c r="Y167" s="252"/>
      <x:c r="Z167" s="252"/>
      <x:c r="AA167" s="253"/>
      <x:c r="AB167" s="253" t="str">
        <x:f>IF(B167="","",IFERROR(INDEX('الزبائن'!$BA$6:$BA$505,MATCH(B167,'الزبائن'!$A$6:$A$505,0)),"source key not found"))</x:f>
      </x:c>
      <x:c r="AC167" s="253" t="str">
        <x:f>IF(B167="","",IFERROR(INDEX('الزبائن'!$BB$6:$BB$505,MATCH(B167,'الزبائن'!$A$6:$A$505,0)),"source key not found"))</x:f>
      </x:c>
      <x:c r="AD167" s="253" t="str">
        <x:f>IF(AND(A167="",C167="",D167="",I167="",L167="",M167=""),"",IF(C167="skip","SKIP",IF(OR(A167="",C167="",D167="",I167="",L167="",M167="",U167="",COUNTIF($A$6:$A$505,A167)&gt;1,AND(B167&lt;&gt;"",COUNTIF('الزبائن'!$A$6:$A$505,B167)=0),(COUNTIFS('أرقام التواصل'!$A$6:$A$505,"proposed_name",'أرقام التواصل'!$B$6:$B$505,A167,'أرقام التواصل'!$I$6:$I$505,"TRUE")+COUNTIFS('أرقام التواصل'!$A$6:$A$505,"proposed_name",'أرقام التواصل'!$B$6:$B$505,A167,'أرقام التواصل'!$C$6:$C$505,1))=0,AND(W167="TRUE",X167="")),"REVIEW","READY")))</x:f>
      </x:c>
      <x:c r="AE167" s="255" t="str">
        <x:f>IF(AD167="","",IF(AD167="READY","",IF(AD167="SKIP","Skipped by candidate_import_action",TRIM(IF(A167="","missing proposed_name_key; ","")&amp;IF(AND(A167&lt;&gt;"",COUNTIF($A$6:$A$505,A167)&gt;1),"duplicate proposed_name_key; ","")&amp;IF(C167="","missing candidate_import_action; ","")&amp;IF(D167="","missing move_reason; ","")&amp;IF(I167="","missing branch_id; ","")&amp;IF(L167="","missing first_name; ","")&amp;IF(M167="","missing last_name; ","")&amp;IF(U167="","missing status; ","")&amp;IF(AND(B167&lt;&gt;"",COUNTIF('الزبائن'!$A$6:$A$505,B167)=0),"source key not found; ","")&amp;IF((COUNTIFS('أرقام التواصل'!$A$6:$A$505,"proposed_name",'أرقام التواصل'!$B$6:$B$505,A167,'أرقام التواصل'!$I$6:$I$505,"TRUE")+COUNTIFS('أرقام التواصل'!$A$6:$A$505,"proposed_name",'أرقام التواصل'!$B$6:$B$505,A167,'أرقام التواصل'!$C$6:$C$505,1))=0,"missing primary contact in أرقام التواصل; ","")&amp;IF(AND(W167="TRUE",X167=""),"duplicate_type required when duplicate_flag TRUE; ","")))))</x:f>
      </x:c>
    </x:row>
    <x:row r="168">
      <x:c r="A168" s="302"/>
      <x:c r="B168" s="252"/>
      <x:c r="C168" s="253"/>
      <x:c r="D168" s="253"/>
      <x:c r="E168" s="253"/>
      <x:c r="F168" s="252"/>
      <x:c r="G168" s="253"/>
      <x:c r="H168" s="272"/>
      <x:c r="I168" s="253"/>
      <x:c r="J168" s="253"/>
      <x:c r="K168" s="253"/>
      <x:c r="L168" s="253"/>
      <x:c r="M168" s="253"/>
      <x:c r="N168" s="253"/>
      <x:c r="O168" s="253" t="str">
        <x:f>IF(TRIM(L168&amp;" "&amp;M168&amp;IF(N168&lt;&gt;""," ("&amp;N168&amp;")",""))="","",TRIM(L168&amp;" "&amp;M168&amp;IF(N168&lt;&gt;""," ("&amp;N168&amp;")","")))</x:f>
      </x:c>
      <x:c r="P168" s="253"/>
      <x:c r="Q168" s="252"/>
      <x:c r="R168" s="253"/>
      <x:c r="S168" s="253"/>
      <x:c r="T168" s="253"/>
      <x:c r="U168" s="253"/>
      <x:c r="V168" s="253"/>
      <x:c r="W168" s="253"/>
      <x:c r="X168" s="253"/>
      <x:c r="Y168" s="252"/>
      <x:c r="Z168" s="252"/>
      <x:c r="AA168" s="253"/>
      <x:c r="AB168" s="253" t="str">
        <x:f>IF(B168="","",IFERROR(INDEX('الزبائن'!$BA$6:$BA$505,MATCH(B168,'الزبائن'!$A$6:$A$505,0)),"source key not found"))</x:f>
      </x:c>
      <x:c r="AC168" s="253" t="str">
        <x:f>IF(B168="","",IFERROR(INDEX('الزبائن'!$BB$6:$BB$505,MATCH(B168,'الزبائن'!$A$6:$A$505,0)),"source key not found"))</x:f>
      </x:c>
      <x:c r="AD168" s="253" t="str">
        <x:f>IF(AND(A168="",C168="",D168="",I168="",L168="",M168=""),"",IF(C168="skip","SKIP",IF(OR(A168="",C168="",D168="",I168="",L168="",M168="",U168="",COUNTIF($A$6:$A$505,A168)&gt;1,AND(B168&lt;&gt;"",COUNTIF('الزبائن'!$A$6:$A$505,B168)=0),(COUNTIFS('أرقام التواصل'!$A$6:$A$505,"proposed_name",'أرقام التواصل'!$B$6:$B$505,A168,'أرقام التواصل'!$I$6:$I$505,"TRUE")+COUNTIFS('أرقام التواصل'!$A$6:$A$505,"proposed_name",'أرقام التواصل'!$B$6:$B$505,A168,'أرقام التواصل'!$C$6:$C$505,1))=0,AND(W168="TRUE",X168="")),"REVIEW","READY")))</x:f>
      </x:c>
      <x:c r="AE168" s="255" t="str">
        <x:f>IF(AD168="","",IF(AD168="READY","",IF(AD168="SKIP","Skipped by candidate_import_action",TRIM(IF(A168="","missing proposed_name_key; ","")&amp;IF(AND(A168&lt;&gt;"",COUNTIF($A$6:$A$505,A168)&gt;1),"duplicate proposed_name_key; ","")&amp;IF(C168="","missing candidate_import_action; ","")&amp;IF(D168="","missing move_reason; ","")&amp;IF(I168="","missing branch_id; ","")&amp;IF(L168="","missing first_name; ","")&amp;IF(M168="","missing last_name; ","")&amp;IF(U168="","missing status; ","")&amp;IF(AND(B168&lt;&gt;"",COUNTIF('الزبائن'!$A$6:$A$505,B168)=0),"source key not found; ","")&amp;IF((COUNTIFS('أرقام التواصل'!$A$6:$A$505,"proposed_name",'أرقام التواصل'!$B$6:$B$505,A168,'أرقام التواصل'!$I$6:$I$505,"TRUE")+COUNTIFS('أرقام التواصل'!$A$6:$A$505,"proposed_name",'أرقام التواصل'!$B$6:$B$505,A168,'أرقام التواصل'!$C$6:$C$505,1))=0,"missing primary contact in أرقام التواصل; ","")&amp;IF(AND(W168="TRUE",X168=""),"duplicate_type required when duplicate_flag TRUE; ","")))))</x:f>
      </x:c>
    </x:row>
    <x:row r="169">
      <x:c r="A169" s="302"/>
      <x:c r="B169" s="252"/>
      <x:c r="C169" s="253"/>
      <x:c r="D169" s="253"/>
      <x:c r="E169" s="253"/>
      <x:c r="F169" s="252"/>
      <x:c r="G169" s="253"/>
      <x:c r="H169" s="272"/>
      <x:c r="I169" s="253"/>
      <x:c r="J169" s="253"/>
      <x:c r="K169" s="253"/>
      <x:c r="L169" s="253"/>
      <x:c r="M169" s="253"/>
      <x:c r="N169" s="253"/>
      <x:c r="O169" s="253" t="str">
        <x:f>IF(TRIM(L169&amp;" "&amp;M169&amp;IF(N169&lt;&gt;""," ("&amp;N169&amp;")",""))="","",TRIM(L169&amp;" "&amp;M169&amp;IF(N169&lt;&gt;""," ("&amp;N169&amp;")","")))</x:f>
      </x:c>
      <x:c r="P169" s="253"/>
      <x:c r="Q169" s="252"/>
      <x:c r="R169" s="253"/>
      <x:c r="S169" s="253"/>
      <x:c r="T169" s="253"/>
      <x:c r="U169" s="253"/>
      <x:c r="V169" s="253"/>
      <x:c r="W169" s="253"/>
      <x:c r="X169" s="253"/>
      <x:c r="Y169" s="252"/>
      <x:c r="Z169" s="252"/>
      <x:c r="AA169" s="253"/>
      <x:c r="AB169" s="253" t="str">
        <x:f>IF(B169="","",IFERROR(INDEX('الزبائن'!$BA$6:$BA$505,MATCH(B169,'الزبائن'!$A$6:$A$505,0)),"source key not found"))</x:f>
      </x:c>
      <x:c r="AC169" s="253" t="str">
        <x:f>IF(B169="","",IFERROR(INDEX('الزبائن'!$BB$6:$BB$505,MATCH(B169,'الزبائن'!$A$6:$A$505,0)),"source key not found"))</x:f>
      </x:c>
      <x:c r="AD169" s="253" t="str">
        <x:f>IF(AND(A169="",C169="",D169="",I169="",L169="",M169=""),"",IF(C169="skip","SKIP",IF(OR(A169="",C169="",D169="",I169="",L169="",M169="",U169="",COUNTIF($A$6:$A$505,A169)&gt;1,AND(B169&lt;&gt;"",COUNTIF('الزبائن'!$A$6:$A$505,B169)=0),(COUNTIFS('أرقام التواصل'!$A$6:$A$505,"proposed_name",'أرقام التواصل'!$B$6:$B$505,A169,'أرقام التواصل'!$I$6:$I$505,"TRUE")+COUNTIFS('أرقام التواصل'!$A$6:$A$505,"proposed_name",'أرقام التواصل'!$B$6:$B$505,A169,'أرقام التواصل'!$C$6:$C$505,1))=0,AND(W169="TRUE",X169="")),"REVIEW","READY")))</x:f>
      </x:c>
      <x:c r="AE169" s="255" t="str">
        <x:f>IF(AD169="","",IF(AD169="READY","",IF(AD169="SKIP","Skipped by candidate_import_action",TRIM(IF(A169="","missing proposed_name_key; ","")&amp;IF(AND(A169&lt;&gt;"",COUNTIF($A$6:$A$505,A169)&gt;1),"duplicate proposed_name_key; ","")&amp;IF(C169="","missing candidate_import_action; ","")&amp;IF(D169="","missing move_reason; ","")&amp;IF(I169="","missing branch_id; ","")&amp;IF(L169="","missing first_name; ","")&amp;IF(M169="","missing last_name; ","")&amp;IF(U169="","missing status; ","")&amp;IF(AND(B169&lt;&gt;"",COUNTIF('الزبائن'!$A$6:$A$505,B169)=0),"source key not found; ","")&amp;IF((COUNTIFS('أرقام التواصل'!$A$6:$A$505,"proposed_name",'أرقام التواصل'!$B$6:$B$505,A169,'أرقام التواصل'!$I$6:$I$505,"TRUE")+COUNTIFS('أرقام التواصل'!$A$6:$A$505,"proposed_name",'أرقام التواصل'!$B$6:$B$505,A169,'أرقام التواصل'!$C$6:$C$505,1))=0,"missing primary contact in أرقام التواصل; ","")&amp;IF(AND(W169="TRUE",X169=""),"duplicate_type required when duplicate_flag TRUE; ","")))))</x:f>
      </x:c>
    </x:row>
    <x:row r="170">
      <x:c r="A170" s="302"/>
      <x:c r="B170" s="252"/>
      <x:c r="C170" s="253"/>
      <x:c r="D170" s="253"/>
      <x:c r="E170" s="253"/>
      <x:c r="F170" s="252"/>
      <x:c r="G170" s="253"/>
      <x:c r="H170" s="272"/>
      <x:c r="I170" s="253"/>
      <x:c r="J170" s="253"/>
      <x:c r="K170" s="253"/>
      <x:c r="L170" s="253"/>
      <x:c r="M170" s="253"/>
      <x:c r="N170" s="253"/>
      <x:c r="O170" s="253" t="str">
        <x:f>IF(TRIM(L170&amp;" "&amp;M170&amp;IF(N170&lt;&gt;""," ("&amp;N170&amp;")",""))="","",TRIM(L170&amp;" "&amp;M170&amp;IF(N170&lt;&gt;""," ("&amp;N170&amp;")","")))</x:f>
      </x:c>
      <x:c r="P170" s="253"/>
      <x:c r="Q170" s="252"/>
      <x:c r="R170" s="253"/>
      <x:c r="S170" s="253"/>
      <x:c r="T170" s="253"/>
      <x:c r="U170" s="253"/>
      <x:c r="V170" s="253"/>
      <x:c r="W170" s="253"/>
      <x:c r="X170" s="253"/>
      <x:c r="Y170" s="252"/>
      <x:c r="Z170" s="252"/>
      <x:c r="AA170" s="253"/>
      <x:c r="AB170" s="253" t="str">
        <x:f>IF(B170="","",IFERROR(INDEX('الزبائن'!$BA$6:$BA$505,MATCH(B170,'الزبائن'!$A$6:$A$505,0)),"source key not found"))</x:f>
      </x:c>
      <x:c r="AC170" s="253" t="str">
        <x:f>IF(B170="","",IFERROR(INDEX('الزبائن'!$BB$6:$BB$505,MATCH(B170,'الزبائن'!$A$6:$A$505,0)),"source key not found"))</x:f>
      </x:c>
      <x:c r="AD170" s="253" t="str">
        <x:f>IF(AND(A170="",C170="",D170="",I170="",L170="",M170=""),"",IF(C170="skip","SKIP",IF(OR(A170="",C170="",D170="",I170="",L170="",M170="",U170="",COUNTIF($A$6:$A$505,A170)&gt;1,AND(B170&lt;&gt;"",COUNTIF('الزبائن'!$A$6:$A$505,B170)=0),(COUNTIFS('أرقام التواصل'!$A$6:$A$505,"proposed_name",'أرقام التواصل'!$B$6:$B$505,A170,'أرقام التواصل'!$I$6:$I$505,"TRUE")+COUNTIFS('أرقام التواصل'!$A$6:$A$505,"proposed_name",'أرقام التواصل'!$B$6:$B$505,A170,'أرقام التواصل'!$C$6:$C$505,1))=0,AND(W170="TRUE",X170="")),"REVIEW","READY")))</x:f>
      </x:c>
      <x:c r="AE170" s="255" t="str">
        <x:f>IF(AD170="","",IF(AD170="READY","",IF(AD170="SKIP","Skipped by candidate_import_action",TRIM(IF(A170="","missing proposed_name_key; ","")&amp;IF(AND(A170&lt;&gt;"",COUNTIF($A$6:$A$505,A170)&gt;1),"duplicate proposed_name_key; ","")&amp;IF(C170="","missing candidate_import_action; ","")&amp;IF(D170="","missing move_reason; ","")&amp;IF(I170="","missing branch_id; ","")&amp;IF(L170="","missing first_name; ","")&amp;IF(M170="","missing last_name; ","")&amp;IF(U170="","missing status; ","")&amp;IF(AND(B170&lt;&gt;"",COUNTIF('الزبائن'!$A$6:$A$505,B170)=0),"source key not found; ","")&amp;IF((COUNTIFS('أرقام التواصل'!$A$6:$A$505,"proposed_name",'أرقام التواصل'!$B$6:$B$505,A170,'أرقام التواصل'!$I$6:$I$505,"TRUE")+COUNTIFS('أرقام التواصل'!$A$6:$A$505,"proposed_name",'أرقام التواصل'!$B$6:$B$505,A170,'أرقام التواصل'!$C$6:$C$505,1))=0,"missing primary contact in أرقام التواصل; ","")&amp;IF(AND(W170="TRUE",X170=""),"duplicate_type required when duplicate_flag TRUE; ","")))))</x:f>
      </x:c>
    </x:row>
    <x:row r="171">
      <x:c r="A171" s="302"/>
      <x:c r="B171" s="252"/>
      <x:c r="C171" s="253"/>
      <x:c r="D171" s="253"/>
      <x:c r="E171" s="253"/>
      <x:c r="F171" s="252"/>
      <x:c r="G171" s="253"/>
      <x:c r="H171" s="272"/>
      <x:c r="I171" s="253"/>
      <x:c r="J171" s="253"/>
      <x:c r="K171" s="253"/>
      <x:c r="L171" s="253"/>
      <x:c r="M171" s="253"/>
      <x:c r="N171" s="253"/>
      <x:c r="O171" s="253" t="str">
        <x:f>IF(TRIM(L171&amp;" "&amp;M171&amp;IF(N171&lt;&gt;""," ("&amp;N171&amp;")",""))="","",TRIM(L171&amp;" "&amp;M171&amp;IF(N171&lt;&gt;""," ("&amp;N171&amp;")","")))</x:f>
      </x:c>
      <x:c r="P171" s="253"/>
      <x:c r="Q171" s="252"/>
      <x:c r="R171" s="253"/>
      <x:c r="S171" s="253"/>
      <x:c r="T171" s="253"/>
      <x:c r="U171" s="253"/>
      <x:c r="V171" s="253"/>
      <x:c r="W171" s="253"/>
      <x:c r="X171" s="253"/>
      <x:c r="Y171" s="252"/>
      <x:c r="Z171" s="252"/>
      <x:c r="AA171" s="253"/>
      <x:c r="AB171" s="253" t="str">
        <x:f>IF(B171="","",IFERROR(INDEX('الزبائن'!$BA$6:$BA$505,MATCH(B171,'الزبائن'!$A$6:$A$505,0)),"source key not found"))</x:f>
      </x:c>
      <x:c r="AC171" s="253" t="str">
        <x:f>IF(B171="","",IFERROR(INDEX('الزبائن'!$BB$6:$BB$505,MATCH(B171,'الزبائن'!$A$6:$A$505,0)),"source key not found"))</x:f>
      </x:c>
      <x:c r="AD171" s="253" t="str">
        <x:f>IF(AND(A171="",C171="",D171="",I171="",L171="",M171=""),"",IF(C171="skip","SKIP",IF(OR(A171="",C171="",D171="",I171="",L171="",M171="",U171="",COUNTIF($A$6:$A$505,A171)&gt;1,AND(B171&lt;&gt;"",COUNTIF('الزبائن'!$A$6:$A$505,B171)=0),(COUNTIFS('أرقام التواصل'!$A$6:$A$505,"proposed_name",'أرقام التواصل'!$B$6:$B$505,A171,'أرقام التواصل'!$I$6:$I$505,"TRUE")+COUNTIFS('أرقام التواصل'!$A$6:$A$505,"proposed_name",'أرقام التواصل'!$B$6:$B$505,A171,'أرقام التواصل'!$C$6:$C$505,1))=0,AND(W171="TRUE",X171="")),"REVIEW","READY")))</x:f>
      </x:c>
      <x:c r="AE171" s="255" t="str">
        <x:f>IF(AD171="","",IF(AD171="READY","",IF(AD171="SKIP","Skipped by candidate_import_action",TRIM(IF(A171="","missing proposed_name_key; ","")&amp;IF(AND(A171&lt;&gt;"",COUNTIF($A$6:$A$505,A171)&gt;1),"duplicate proposed_name_key; ","")&amp;IF(C171="","missing candidate_import_action; ","")&amp;IF(D171="","missing move_reason; ","")&amp;IF(I171="","missing branch_id; ","")&amp;IF(L171="","missing first_name; ","")&amp;IF(M171="","missing last_name; ","")&amp;IF(U171="","missing status; ","")&amp;IF(AND(B171&lt;&gt;"",COUNTIF('الزبائن'!$A$6:$A$505,B171)=0),"source key not found; ","")&amp;IF((COUNTIFS('أرقام التواصل'!$A$6:$A$505,"proposed_name",'أرقام التواصل'!$B$6:$B$505,A171,'أرقام التواصل'!$I$6:$I$505,"TRUE")+COUNTIFS('أرقام التواصل'!$A$6:$A$505,"proposed_name",'أرقام التواصل'!$B$6:$B$505,A171,'أرقام التواصل'!$C$6:$C$505,1))=0,"missing primary contact in أرقام التواصل; ","")&amp;IF(AND(W171="TRUE",X171=""),"duplicate_type required when duplicate_flag TRUE; ","")))))</x:f>
      </x:c>
    </x:row>
    <x:row r="172">
      <x:c r="A172" s="302"/>
      <x:c r="B172" s="252"/>
      <x:c r="C172" s="253"/>
      <x:c r="D172" s="253"/>
      <x:c r="E172" s="253"/>
      <x:c r="F172" s="252"/>
      <x:c r="G172" s="253"/>
      <x:c r="H172" s="272"/>
      <x:c r="I172" s="253"/>
      <x:c r="J172" s="253"/>
      <x:c r="K172" s="253"/>
      <x:c r="L172" s="253"/>
      <x:c r="M172" s="253"/>
      <x:c r="N172" s="253"/>
      <x:c r="O172" s="253" t="str">
        <x:f>IF(TRIM(L172&amp;" "&amp;M172&amp;IF(N172&lt;&gt;""," ("&amp;N172&amp;")",""))="","",TRIM(L172&amp;" "&amp;M172&amp;IF(N172&lt;&gt;""," ("&amp;N172&amp;")","")))</x:f>
      </x:c>
      <x:c r="P172" s="253"/>
      <x:c r="Q172" s="252"/>
      <x:c r="R172" s="253"/>
      <x:c r="S172" s="253"/>
      <x:c r="T172" s="253"/>
      <x:c r="U172" s="253"/>
      <x:c r="V172" s="253"/>
      <x:c r="W172" s="253"/>
      <x:c r="X172" s="253"/>
      <x:c r="Y172" s="252"/>
      <x:c r="Z172" s="252"/>
      <x:c r="AA172" s="253"/>
      <x:c r="AB172" s="253" t="str">
        <x:f>IF(B172="","",IFERROR(INDEX('الزبائن'!$BA$6:$BA$505,MATCH(B172,'الزبائن'!$A$6:$A$505,0)),"source key not found"))</x:f>
      </x:c>
      <x:c r="AC172" s="253" t="str">
        <x:f>IF(B172="","",IFERROR(INDEX('الزبائن'!$BB$6:$BB$505,MATCH(B172,'الزبائن'!$A$6:$A$505,0)),"source key not found"))</x:f>
      </x:c>
      <x:c r="AD172" s="253" t="str">
        <x:f>IF(AND(A172="",C172="",D172="",I172="",L172="",M172=""),"",IF(C172="skip","SKIP",IF(OR(A172="",C172="",D172="",I172="",L172="",M172="",U172="",COUNTIF($A$6:$A$505,A172)&gt;1,AND(B172&lt;&gt;"",COUNTIF('الزبائن'!$A$6:$A$505,B172)=0),(COUNTIFS('أرقام التواصل'!$A$6:$A$505,"proposed_name",'أرقام التواصل'!$B$6:$B$505,A172,'أرقام التواصل'!$I$6:$I$505,"TRUE")+COUNTIFS('أرقام التواصل'!$A$6:$A$505,"proposed_name",'أرقام التواصل'!$B$6:$B$505,A172,'أرقام التواصل'!$C$6:$C$505,1))=0,AND(W172="TRUE",X172="")),"REVIEW","READY")))</x:f>
      </x:c>
      <x:c r="AE172" s="255" t="str">
        <x:f>IF(AD172="","",IF(AD172="READY","",IF(AD172="SKIP","Skipped by candidate_import_action",TRIM(IF(A172="","missing proposed_name_key; ","")&amp;IF(AND(A172&lt;&gt;"",COUNTIF($A$6:$A$505,A172)&gt;1),"duplicate proposed_name_key; ","")&amp;IF(C172="","missing candidate_import_action; ","")&amp;IF(D172="","missing move_reason; ","")&amp;IF(I172="","missing branch_id; ","")&amp;IF(L172="","missing first_name; ","")&amp;IF(M172="","missing last_name; ","")&amp;IF(U172="","missing status; ","")&amp;IF(AND(B172&lt;&gt;"",COUNTIF('الزبائن'!$A$6:$A$505,B172)=0),"source key not found; ","")&amp;IF((COUNTIFS('أرقام التواصل'!$A$6:$A$505,"proposed_name",'أرقام التواصل'!$B$6:$B$505,A172,'أرقام التواصل'!$I$6:$I$505,"TRUE")+COUNTIFS('أرقام التواصل'!$A$6:$A$505,"proposed_name",'أرقام التواصل'!$B$6:$B$505,A172,'أرقام التواصل'!$C$6:$C$505,1))=0,"missing primary contact in أرقام التواصل; ","")&amp;IF(AND(W172="TRUE",X172=""),"duplicate_type required when duplicate_flag TRUE; ","")))))</x:f>
      </x:c>
    </x:row>
    <x:row r="173">
      <x:c r="A173" s="302"/>
      <x:c r="B173" s="252"/>
      <x:c r="C173" s="253"/>
      <x:c r="D173" s="253"/>
      <x:c r="E173" s="253"/>
      <x:c r="F173" s="252"/>
      <x:c r="G173" s="253"/>
      <x:c r="H173" s="272"/>
      <x:c r="I173" s="253"/>
      <x:c r="J173" s="253"/>
      <x:c r="K173" s="253"/>
      <x:c r="L173" s="253"/>
      <x:c r="M173" s="253"/>
      <x:c r="N173" s="253"/>
      <x:c r="O173" s="253" t="str">
        <x:f>IF(TRIM(L173&amp;" "&amp;M173&amp;IF(N173&lt;&gt;""," ("&amp;N173&amp;")",""))="","",TRIM(L173&amp;" "&amp;M173&amp;IF(N173&lt;&gt;""," ("&amp;N173&amp;")","")))</x:f>
      </x:c>
      <x:c r="P173" s="253"/>
      <x:c r="Q173" s="252"/>
      <x:c r="R173" s="253"/>
      <x:c r="S173" s="253"/>
      <x:c r="T173" s="253"/>
      <x:c r="U173" s="253"/>
      <x:c r="V173" s="253"/>
      <x:c r="W173" s="253"/>
      <x:c r="X173" s="253"/>
      <x:c r="Y173" s="252"/>
      <x:c r="Z173" s="252"/>
      <x:c r="AA173" s="253"/>
      <x:c r="AB173" s="253" t="str">
        <x:f>IF(B173="","",IFERROR(INDEX('الزبائن'!$BA$6:$BA$505,MATCH(B173,'الزبائن'!$A$6:$A$505,0)),"source key not found"))</x:f>
      </x:c>
      <x:c r="AC173" s="253" t="str">
        <x:f>IF(B173="","",IFERROR(INDEX('الزبائن'!$BB$6:$BB$505,MATCH(B173,'الزبائن'!$A$6:$A$505,0)),"source key not found"))</x:f>
      </x:c>
      <x:c r="AD173" s="253" t="str">
        <x:f>IF(AND(A173="",C173="",D173="",I173="",L173="",M173=""),"",IF(C173="skip","SKIP",IF(OR(A173="",C173="",D173="",I173="",L173="",M173="",U173="",COUNTIF($A$6:$A$505,A173)&gt;1,AND(B173&lt;&gt;"",COUNTIF('الزبائن'!$A$6:$A$505,B173)=0),(COUNTIFS('أرقام التواصل'!$A$6:$A$505,"proposed_name",'أرقام التواصل'!$B$6:$B$505,A173,'أرقام التواصل'!$I$6:$I$505,"TRUE")+COUNTIFS('أرقام التواصل'!$A$6:$A$505,"proposed_name",'أرقام التواصل'!$B$6:$B$505,A173,'أرقام التواصل'!$C$6:$C$505,1))=0,AND(W173="TRUE",X173="")),"REVIEW","READY")))</x:f>
      </x:c>
      <x:c r="AE173" s="255" t="str">
        <x:f>IF(AD173="","",IF(AD173="READY","",IF(AD173="SKIP","Skipped by candidate_import_action",TRIM(IF(A173="","missing proposed_name_key; ","")&amp;IF(AND(A173&lt;&gt;"",COUNTIF($A$6:$A$505,A173)&gt;1),"duplicate proposed_name_key; ","")&amp;IF(C173="","missing candidate_import_action; ","")&amp;IF(D173="","missing move_reason; ","")&amp;IF(I173="","missing branch_id; ","")&amp;IF(L173="","missing first_name; ","")&amp;IF(M173="","missing last_name; ","")&amp;IF(U173="","missing status; ","")&amp;IF(AND(B173&lt;&gt;"",COUNTIF('الزبائن'!$A$6:$A$505,B173)=0),"source key not found; ","")&amp;IF((COUNTIFS('أرقام التواصل'!$A$6:$A$505,"proposed_name",'أرقام التواصل'!$B$6:$B$505,A173,'أرقام التواصل'!$I$6:$I$505,"TRUE")+COUNTIFS('أرقام التواصل'!$A$6:$A$505,"proposed_name",'أرقام التواصل'!$B$6:$B$505,A173,'أرقام التواصل'!$C$6:$C$505,1))=0,"missing primary contact in أرقام التواصل; ","")&amp;IF(AND(W173="TRUE",X173=""),"duplicate_type required when duplicate_flag TRUE; ","")))))</x:f>
      </x:c>
    </x:row>
    <x:row r="174">
      <x:c r="A174" s="302"/>
      <x:c r="B174" s="252"/>
      <x:c r="C174" s="253"/>
      <x:c r="D174" s="253"/>
      <x:c r="E174" s="253"/>
      <x:c r="F174" s="252"/>
      <x:c r="G174" s="253"/>
      <x:c r="H174" s="272"/>
      <x:c r="I174" s="253"/>
      <x:c r="J174" s="253"/>
      <x:c r="K174" s="253"/>
      <x:c r="L174" s="253"/>
      <x:c r="M174" s="253"/>
      <x:c r="N174" s="253"/>
      <x:c r="O174" s="253" t="str">
        <x:f>IF(TRIM(L174&amp;" "&amp;M174&amp;IF(N174&lt;&gt;""," ("&amp;N174&amp;")",""))="","",TRIM(L174&amp;" "&amp;M174&amp;IF(N174&lt;&gt;""," ("&amp;N174&amp;")","")))</x:f>
      </x:c>
      <x:c r="P174" s="253"/>
      <x:c r="Q174" s="252"/>
      <x:c r="R174" s="253"/>
      <x:c r="S174" s="253"/>
      <x:c r="T174" s="253"/>
      <x:c r="U174" s="253"/>
      <x:c r="V174" s="253"/>
      <x:c r="W174" s="253"/>
      <x:c r="X174" s="253"/>
      <x:c r="Y174" s="252"/>
      <x:c r="Z174" s="252"/>
      <x:c r="AA174" s="253"/>
      <x:c r="AB174" s="253" t="str">
        <x:f>IF(B174="","",IFERROR(INDEX('الزبائن'!$BA$6:$BA$505,MATCH(B174,'الزبائن'!$A$6:$A$505,0)),"source key not found"))</x:f>
      </x:c>
      <x:c r="AC174" s="253" t="str">
        <x:f>IF(B174="","",IFERROR(INDEX('الزبائن'!$BB$6:$BB$505,MATCH(B174,'الزبائن'!$A$6:$A$505,0)),"source key not found"))</x:f>
      </x:c>
      <x:c r="AD174" s="253" t="str">
        <x:f>IF(AND(A174="",C174="",D174="",I174="",L174="",M174=""),"",IF(C174="skip","SKIP",IF(OR(A174="",C174="",D174="",I174="",L174="",M174="",U174="",COUNTIF($A$6:$A$505,A174)&gt;1,AND(B174&lt;&gt;"",COUNTIF('الزبائن'!$A$6:$A$505,B174)=0),(COUNTIFS('أرقام التواصل'!$A$6:$A$505,"proposed_name",'أرقام التواصل'!$B$6:$B$505,A174,'أرقام التواصل'!$I$6:$I$505,"TRUE")+COUNTIFS('أرقام التواصل'!$A$6:$A$505,"proposed_name",'أرقام التواصل'!$B$6:$B$505,A174,'أرقام التواصل'!$C$6:$C$505,1))=0,AND(W174="TRUE",X174="")),"REVIEW","READY")))</x:f>
      </x:c>
      <x:c r="AE174" s="255" t="str">
        <x:f>IF(AD174="","",IF(AD174="READY","",IF(AD174="SKIP","Skipped by candidate_import_action",TRIM(IF(A174="","missing proposed_name_key; ","")&amp;IF(AND(A174&lt;&gt;"",COUNTIF($A$6:$A$505,A174)&gt;1),"duplicate proposed_name_key; ","")&amp;IF(C174="","missing candidate_import_action; ","")&amp;IF(D174="","missing move_reason; ","")&amp;IF(I174="","missing branch_id; ","")&amp;IF(L174="","missing first_name; ","")&amp;IF(M174="","missing last_name; ","")&amp;IF(U174="","missing status; ","")&amp;IF(AND(B174&lt;&gt;"",COUNTIF('الزبائن'!$A$6:$A$505,B174)=0),"source key not found; ","")&amp;IF((COUNTIFS('أرقام التواصل'!$A$6:$A$505,"proposed_name",'أرقام التواصل'!$B$6:$B$505,A174,'أرقام التواصل'!$I$6:$I$505,"TRUE")+COUNTIFS('أرقام التواصل'!$A$6:$A$505,"proposed_name",'أرقام التواصل'!$B$6:$B$505,A174,'أرقام التواصل'!$C$6:$C$505,1))=0,"missing primary contact in أرقام التواصل; ","")&amp;IF(AND(W174="TRUE",X174=""),"duplicate_type required when duplicate_flag TRUE; ","")))))</x:f>
      </x:c>
    </x:row>
    <x:row r="175">
      <x:c r="A175" s="302"/>
      <x:c r="B175" s="252"/>
      <x:c r="C175" s="253"/>
      <x:c r="D175" s="253"/>
      <x:c r="E175" s="253"/>
      <x:c r="F175" s="252"/>
      <x:c r="G175" s="253"/>
      <x:c r="H175" s="272"/>
      <x:c r="I175" s="253"/>
      <x:c r="J175" s="253"/>
      <x:c r="K175" s="253"/>
      <x:c r="L175" s="253"/>
      <x:c r="M175" s="253"/>
      <x:c r="N175" s="253"/>
      <x:c r="O175" s="253" t="str">
        <x:f>IF(TRIM(L175&amp;" "&amp;M175&amp;IF(N175&lt;&gt;""," ("&amp;N175&amp;")",""))="","",TRIM(L175&amp;" "&amp;M175&amp;IF(N175&lt;&gt;""," ("&amp;N175&amp;")","")))</x:f>
      </x:c>
      <x:c r="P175" s="253"/>
      <x:c r="Q175" s="252"/>
      <x:c r="R175" s="253"/>
      <x:c r="S175" s="253"/>
      <x:c r="T175" s="253"/>
      <x:c r="U175" s="253"/>
      <x:c r="V175" s="253"/>
      <x:c r="W175" s="253"/>
      <x:c r="X175" s="253"/>
      <x:c r="Y175" s="252"/>
      <x:c r="Z175" s="252"/>
      <x:c r="AA175" s="253"/>
      <x:c r="AB175" s="253" t="str">
        <x:f>IF(B175="","",IFERROR(INDEX('الزبائن'!$BA$6:$BA$505,MATCH(B175,'الزبائن'!$A$6:$A$505,0)),"source key not found"))</x:f>
      </x:c>
      <x:c r="AC175" s="253" t="str">
        <x:f>IF(B175="","",IFERROR(INDEX('الزبائن'!$BB$6:$BB$505,MATCH(B175,'الزبائن'!$A$6:$A$505,0)),"source key not found"))</x:f>
      </x:c>
      <x:c r="AD175" s="253" t="str">
        <x:f>IF(AND(A175="",C175="",D175="",I175="",L175="",M175=""),"",IF(C175="skip","SKIP",IF(OR(A175="",C175="",D175="",I175="",L175="",M175="",U175="",COUNTIF($A$6:$A$505,A175)&gt;1,AND(B175&lt;&gt;"",COUNTIF('الزبائن'!$A$6:$A$505,B175)=0),(COUNTIFS('أرقام التواصل'!$A$6:$A$505,"proposed_name",'أرقام التواصل'!$B$6:$B$505,A175,'أرقام التواصل'!$I$6:$I$505,"TRUE")+COUNTIFS('أرقام التواصل'!$A$6:$A$505,"proposed_name",'أرقام التواصل'!$B$6:$B$505,A175,'أرقام التواصل'!$C$6:$C$505,1))=0,AND(W175="TRUE",X175="")),"REVIEW","READY")))</x:f>
      </x:c>
      <x:c r="AE175" s="255" t="str">
        <x:f>IF(AD175="","",IF(AD175="READY","",IF(AD175="SKIP","Skipped by candidate_import_action",TRIM(IF(A175="","missing proposed_name_key; ","")&amp;IF(AND(A175&lt;&gt;"",COUNTIF($A$6:$A$505,A175)&gt;1),"duplicate proposed_name_key; ","")&amp;IF(C175="","missing candidate_import_action; ","")&amp;IF(D175="","missing move_reason; ","")&amp;IF(I175="","missing branch_id; ","")&amp;IF(L175="","missing first_name; ","")&amp;IF(M175="","missing last_name; ","")&amp;IF(U175="","missing status; ","")&amp;IF(AND(B175&lt;&gt;"",COUNTIF('الزبائن'!$A$6:$A$505,B175)=0),"source key not found; ","")&amp;IF((COUNTIFS('أرقام التواصل'!$A$6:$A$505,"proposed_name",'أرقام التواصل'!$B$6:$B$505,A175,'أرقام التواصل'!$I$6:$I$505,"TRUE")+COUNTIFS('أرقام التواصل'!$A$6:$A$505,"proposed_name",'أرقام التواصل'!$B$6:$B$505,A175,'أرقام التواصل'!$C$6:$C$505,1))=0,"missing primary contact in أرقام التواصل; ","")&amp;IF(AND(W175="TRUE",X175=""),"duplicate_type required when duplicate_flag TRUE; ","")))))</x:f>
      </x:c>
    </x:row>
    <x:row r="176">
      <x:c r="A176" s="302"/>
      <x:c r="B176" s="252"/>
      <x:c r="C176" s="253"/>
      <x:c r="D176" s="253"/>
      <x:c r="E176" s="253"/>
      <x:c r="F176" s="252"/>
      <x:c r="G176" s="253"/>
      <x:c r="H176" s="272"/>
      <x:c r="I176" s="253"/>
      <x:c r="J176" s="253"/>
      <x:c r="K176" s="253"/>
      <x:c r="L176" s="253"/>
      <x:c r="M176" s="253"/>
      <x:c r="N176" s="253"/>
      <x:c r="O176" s="253" t="str">
        <x:f>IF(TRIM(L176&amp;" "&amp;M176&amp;IF(N176&lt;&gt;""," ("&amp;N176&amp;")",""))="","",TRIM(L176&amp;" "&amp;M176&amp;IF(N176&lt;&gt;""," ("&amp;N176&amp;")","")))</x:f>
      </x:c>
      <x:c r="P176" s="253"/>
      <x:c r="Q176" s="252"/>
      <x:c r="R176" s="253"/>
      <x:c r="S176" s="253"/>
      <x:c r="T176" s="253"/>
      <x:c r="U176" s="253"/>
      <x:c r="V176" s="253"/>
      <x:c r="W176" s="253"/>
      <x:c r="X176" s="253"/>
      <x:c r="Y176" s="252"/>
      <x:c r="Z176" s="252"/>
      <x:c r="AA176" s="253"/>
      <x:c r="AB176" s="253" t="str">
        <x:f>IF(B176="","",IFERROR(INDEX('الزبائن'!$BA$6:$BA$505,MATCH(B176,'الزبائن'!$A$6:$A$505,0)),"source key not found"))</x:f>
      </x:c>
      <x:c r="AC176" s="253" t="str">
        <x:f>IF(B176="","",IFERROR(INDEX('الزبائن'!$BB$6:$BB$505,MATCH(B176,'الزبائن'!$A$6:$A$505,0)),"source key not found"))</x:f>
      </x:c>
      <x:c r="AD176" s="253" t="str">
        <x:f>IF(AND(A176="",C176="",D176="",I176="",L176="",M176=""),"",IF(C176="skip","SKIP",IF(OR(A176="",C176="",D176="",I176="",L176="",M176="",U176="",COUNTIF($A$6:$A$505,A176)&gt;1,AND(B176&lt;&gt;"",COUNTIF('الزبائن'!$A$6:$A$505,B176)=0),(COUNTIFS('أرقام التواصل'!$A$6:$A$505,"proposed_name",'أرقام التواصل'!$B$6:$B$505,A176,'أرقام التواصل'!$I$6:$I$505,"TRUE")+COUNTIFS('أرقام التواصل'!$A$6:$A$505,"proposed_name",'أرقام التواصل'!$B$6:$B$505,A176,'أرقام التواصل'!$C$6:$C$505,1))=0,AND(W176="TRUE",X176="")),"REVIEW","READY")))</x:f>
      </x:c>
      <x:c r="AE176" s="255" t="str">
        <x:f>IF(AD176="","",IF(AD176="READY","",IF(AD176="SKIP","Skipped by candidate_import_action",TRIM(IF(A176="","missing proposed_name_key; ","")&amp;IF(AND(A176&lt;&gt;"",COUNTIF($A$6:$A$505,A176)&gt;1),"duplicate proposed_name_key; ","")&amp;IF(C176="","missing candidate_import_action; ","")&amp;IF(D176="","missing move_reason; ","")&amp;IF(I176="","missing branch_id; ","")&amp;IF(L176="","missing first_name; ","")&amp;IF(M176="","missing last_name; ","")&amp;IF(U176="","missing status; ","")&amp;IF(AND(B176&lt;&gt;"",COUNTIF('الزبائن'!$A$6:$A$505,B176)=0),"source key not found; ","")&amp;IF((COUNTIFS('أرقام التواصل'!$A$6:$A$505,"proposed_name",'أرقام التواصل'!$B$6:$B$505,A176,'أرقام التواصل'!$I$6:$I$505,"TRUE")+COUNTIFS('أرقام التواصل'!$A$6:$A$505,"proposed_name",'أرقام التواصل'!$B$6:$B$505,A176,'أرقام التواصل'!$C$6:$C$505,1))=0,"missing primary contact in أرقام التواصل; ","")&amp;IF(AND(W176="TRUE",X176=""),"duplicate_type required when duplicate_flag TRUE; ","")))))</x:f>
      </x:c>
    </x:row>
    <x:row r="177">
      <x:c r="A177" s="302"/>
      <x:c r="B177" s="252"/>
      <x:c r="C177" s="253"/>
      <x:c r="D177" s="253"/>
      <x:c r="E177" s="253"/>
      <x:c r="F177" s="252"/>
      <x:c r="G177" s="253"/>
      <x:c r="H177" s="272"/>
      <x:c r="I177" s="253"/>
      <x:c r="J177" s="253"/>
      <x:c r="K177" s="253"/>
      <x:c r="L177" s="253"/>
      <x:c r="M177" s="253"/>
      <x:c r="N177" s="253"/>
      <x:c r="O177" s="253" t="str">
        <x:f>IF(TRIM(L177&amp;" "&amp;M177&amp;IF(N177&lt;&gt;""," ("&amp;N177&amp;")",""))="","",TRIM(L177&amp;" "&amp;M177&amp;IF(N177&lt;&gt;""," ("&amp;N177&amp;")","")))</x:f>
      </x:c>
      <x:c r="P177" s="253"/>
      <x:c r="Q177" s="252"/>
      <x:c r="R177" s="253"/>
      <x:c r="S177" s="253"/>
      <x:c r="T177" s="253"/>
      <x:c r="U177" s="253"/>
      <x:c r="V177" s="253"/>
      <x:c r="W177" s="253"/>
      <x:c r="X177" s="253"/>
      <x:c r="Y177" s="252"/>
      <x:c r="Z177" s="252"/>
      <x:c r="AA177" s="253"/>
      <x:c r="AB177" s="253" t="str">
        <x:f>IF(B177="","",IFERROR(INDEX('الزبائن'!$BA$6:$BA$505,MATCH(B177,'الزبائن'!$A$6:$A$505,0)),"source key not found"))</x:f>
      </x:c>
      <x:c r="AC177" s="253" t="str">
        <x:f>IF(B177="","",IFERROR(INDEX('الزبائن'!$BB$6:$BB$505,MATCH(B177,'الزبائن'!$A$6:$A$505,0)),"source key not found"))</x:f>
      </x:c>
      <x:c r="AD177" s="253" t="str">
        <x:f>IF(AND(A177="",C177="",D177="",I177="",L177="",M177=""),"",IF(C177="skip","SKIP",IF(OR(A177="",C177="",D177="",I177="",L177="",M177="",U177="",COUNTIF($A$6:$A$505,A177)&gt;1,AND(B177&lt;&gt;"",COUNTIF('الزبائن'!$A$6:$A$505,B177)=0),(COUNTIFS('أرقام التواصل'!$A$6:$A$505,"proposed_name",'أرقام التواصل'!$B$6:$B$505,A177,'أرقام التواصل'!$I$6:$I$505,"TRUE")+COUNTIFS('أرقام التواصل'!$A$6:$A$505,"proposed_name",'أرقام التواصل'!$B$6:$B$505,A177,'أرقام التواصل'!$C$6:$C$505,1))=0,AND(W177="TRUE",X177="")),"REVIEW","READY")))</x:f>
      </x:c>
      <x:c r="AE177" s="255" t="str">
        <x:f>IF(AD177="","",IF(AD177="READY","",IF(AD177="SKIP","Skipped by candidate_import_action",TRIM(IF(A177="","missing proposed_name_key; ","")&amp;IF(AND(A177&lt;&gt;"",COUNTIF($A$6:$A$505,A177)&gt;1),"duplicate proposed_name_key; ","")&amp;IF(C177="","missing candidate_import_action; ","")&amp;IF(D177="","missing move_reason; ","")&amp;IF(I177="","missing branch_id; ","")&amp;IF(L177="","missing first_name; ","")&amp;IF(M177="","missing last_name; ","")&amp;IF(U177="","missing status; ","")&amp;IF(AND(B177&lt;&gt;"",COUNTIF('الزبائن'!$A$6:$A$505,B177)=0),"source key not found; ","")&amp;IF((COUNTIFS('أرقام التواصل'!$A$6:$A$505,"proposed_name",'أرقام التواصل'!$B$6:$B$505,A177,'أرقام التواصل'!$I$6:$I$505,"TRUE")+COUNTIFS('أرقام التواصل'!$A$6:$A$505,"proposed_name",'أرقام التواصل'!$B$6:$B$505,A177,'أرقام التواصل'!$C$6:$C$505,1))=0,"missing primary contact in أرقام التواصل; ","")&amp;IF(AND(W177="TRUE",X177=""),"duplicate_type required when duplicate_flag TRUE; ","")))))</x:f>
      </x:c>
    </x:row>
    <x:row r="178">
      <x:c r="A178" s="302"/>
      <x:c r="B178" s="252"/>
      <x:c r="C178" s="253"/>
      <x:c r="D178" s="253"/>
      <x:c r="E178" s="253"/>
      <x:c r="F178" s="252"/>
      <x:c r="G178" s="253"/>
      <x:c r="H178" s="272"/>
      <x:c r="I178" s="253"/>
      <x:c r="J178" s="253"/>
      <x:c r="K178" s="253"/>
      <x:c r="L178" s="253"/>
      <x:c r="M178" s="253"/>
      <x:c r="N178" s="253"/>
      <x:c r="O178" s="253" t="str">
        <x:f>IF(TRIM(L178&amp;" "&amp;M178&amp;IF(N178&lt;&gt;""," ("&amp;N178&amp;")",""))="","",TRIM(L178&amp;" "&amp;M178&amp;IF(N178&lt;&gt;""," ("&amp;N178&amp;")","")))</x:f>
      </x:c>
      <x:c r="P178" s="253"/>
      <x:c r="Q178" s="252"/>
      <x:c r="R178" s="253"/>
      <x:c r="S178" s="253"/>
      <x:c r="T178" s="253"/>
      <x:c r="U178" s="253"/>
      <x:c r="V178" s="253"/>
      <x:c r="W178" s="253"/>
      <x:c r="X178" s="253"/>
      <x:c r="Y178" s="252"/>
      <x:c r="Z178" s="252"/>
      <x:c r="AA178" s="253"/>
      <x:c r="AB178" s="253" t="str">
        <x:f>IF(B178="","",IFERROR(INDEX('الزبائن'!$BA$6:$BA$505,MATCH(B178,'الزبائن'!$A$6:$A$505,0)),"source key not found"))</x:f>
      </x:c>
      <x:c r="AC178" s="253" t="str">
        <x:f>IF(B178="","",IFERROR(INDEX('الزبائن'!$BB$6:$BB$505,MATCH(B178,'الزبائن'!$A$6:$A$505,0)),"source key not found"))</x:f>
      </x:c>
      <x:c r="AD178" s="253" t="str">
        <x:f>IF(AND(A178="",C178="",D178="",I178="",L178="",M178=""),"",IF(C178="skip","SKIP",IF(OR(A178="",C178="",D178="",I178="",L178="",M178="",U178="",COUNTIF($A$6:$A$505,A178)&gt;1,AND(B178&lt;&gt;"",COUNTIF('الزبائن'!$A$6:$A$505,B178)=0),(COUNTIFS('أرقام التواصل'!$A$6:$A$505,"proposed_name",'أرقام التواصل'!$B$6:$B$505,A178,'أرقام التواصل'!$I$6:$I$505,"TRUE")+COUNTIFS('أرقام التواصل'!$A$6:$A$505,"proposed_name",'أرقام التواصل'!$B$6:$B$505,A178,'أرقام التواصل'!$C$6:$C$505,1))=0,AND(W178="TRUE",X178="")),"REVIEW","READY")))</x:f>
      </x:c>
      <x:c r="AE178" s="255" t="str">
        <x:f>IF(AD178="","",IF(AD178="READY","",IF(AD178="SKIP","Skipped by candidate_import_action",TRIM(IF(A178="","missing proposed_name_key; ","")&amp;IF(AND(A178&lt;&gt;"",COUNTIF($A$6:$A$505,A178)&gt;1),"duplicate proposed_name_key; ","")&amp;IF(C178="","missing candidate_import_action; ","")&amp;IF(D178="","missing move_reason; ","")&amp;IF(I178="","missing branch_id; ","")&amp;IF(L178="","missing first_name; ","")&amp;IF(M178="","missing last_name; ","")&amp;IF(U178="","missing status; ","")&amp;IF(AND(B178&lt;&gt;"",COUNTIF('الزبائن'!$A$6:$A$505,B178)=0),"source key not found; ","")&amp;IF((COUNTIFS('أرقام التواصل'!$A$6:$A$505,"proposed_name",'أرقام التواصل'!$B$6:$B$505,A178,'أرقام التواصل'!$I$6:$I$505,"TRUE")+COUNTIFS('أرقام التواصل'!$A$6:$A$505,"proposed_name",'أرقام التواصل'!$B$6:$B$505,A178,'أرقام التواصل'!$C$6:$C$505,1))=0,"missing primary contact in أرقام التواصل; ","")&amp;IF(AND(W178="TRUE",X178=""),"duplicate_type required when duplicate_flag TRUE; ","")))))</x:f>
      </x:c>
    </x:row>
    <x:row r="179">
      <x:c r="A179" s="302"/>
      <x:c r="B179" s="252"/>
      <x:c r="C179" s="253"/>
      <x:c r="D179" s="253"/>
      <x:c r="E179" s="253"/>
      <x:c r="F179" s="252"/>
      <x:c r="G179" s="253"/>
      <x:c r="H179" s="272"/>
      <x:c r="I179" s="253"/>
      <x:c r="J179" s="253"/>
      <x:c r="K179" s="253"/>
      <x:c r="L179" s="253"/>
      <x:c r="M179" s="253"/>
      <x:c r="N179" s="253"/>
      <x:c r="O179" s="253" t="str">
        <x:f>IF(TRIM(L179&amp;" "&amp;M179&amp;IF(N179&lt;&gt;""," ("&amp;N179&amp;")",""))="","",TRIM(L179&amp;" "&amp;M179&amp;IF(N179&lt;&gt;""," ("&amp;N179&amp;")","")))</x:f>
      </x:c>
      <x:c r="P179" s="253"/>
      <x:c r="Q179" s="252"/>
      <x:c r="R179" s="253"/>
      <x:c r="S179" s="253"/>
      <x:c r="T179" s="253"/>
      <x:c r="U179" s="253"/>
      <x:c r="V179" s="253"/>
      <x:c r="W179" s="253"/>
      <x:c r="X179" s="253"/>
      <x:c r="Y179" s="252"/>
      <x:c r="Z179" s="252"/>
      <x:c r="AA179" s="253"/>
      <x:c r="AB179" s="253" t="str">
        <x:f>IF(B179="","",IFERROR(INDEX('الزبائن'!$BA$6:$BA$505,MATCH(B179,'الزبائن'!$A$6:$A$505,0)),"source key not found"))</x:f>
      </x:c>
      <x:c r="AC179" s="253" t="str">
        <x:f>IF(B179="","",IFERROR(INDEX('الزبائن'!$BB$6:$BB$505,MATCH(B179,'الزبائن'!$A$6:$A$505,0)),"source key not found"))</x:f>
      </x:c>
      <x:c r="AD179" s="253" t="str">
        <x:f>IF(AND(A179="",C179="",D179="",I179="",L179="",M179=""),"",IF(C179="skip","SKIP",IF(OR(A179="",C179="",D179="",I179="",L179="",M179="",U179="",COUNTIF($A$6:$A$505,A179)&gt;1,AND(B179&lt;&gt;"",COUNTIF('الزبائن'!$A$6:$A$505,B179)=0),(COUNTIFS('أرقام التواصل'!$A$6:$A$505,"proposed_name",'أرقام التواصل'!$B$6:$B$505,A179,'أرقام التواصل'!$I$6:$I$505,"TRUE")+COUNTIFS('أرقام التواصل'!$A$6:$A$505,"proposed_name",'أرقام التواصل'!$B$6:$B$505,A179,'أرقام التواصل'!$C$6:$C$505,1))=0,AND(W179="TRUE",X179="")),"REVIEW","READY")))</x:f>
      </x:c>
      <x:c r="AE179" s="255" t="str">
        <x:f>IF(AD179="","",IF(AD179="READY","",IF(AD179="SKIP","Skipped by candidate_import_action",TRIM(IF(A179="","missing proposed_name_key; ","")&amp;IF(AND(A179&lt;&gt;"",COUNTIF($A$6:$A$505,A179)&gt;1),"duplicate proposed_name_key; ","")&amp;IF(C179="","missing candidate_import_action; ","")&amp;IF(D179="","missing move_reason; ","")&amp;IF(I179="","missing branch_id; ","")&amp;IF(L179="","missing first_name; ","")&amp;IF(M179="","missing last_name; ","")&amp;IF(U179="","missing status; ","")&amp;IF(AND(B179&lt;&gt;"",COUNTIF('الزبائن'!$A$6:$A$505,B179)=0),"source key not found; ","")&amp;IF((COUNTIFS('أرقام التواصل'!$A$6:$A$505,"proposed_name",'أرقام التواصل'!$B$6:$B$505,A179,'أرقام التواصل'!$I$6:$I$505,"TRUE")+COUNTIFS('أرقام التواصل'!$A$6:$A$505,"proposed_name",'أرقام التواصل'!$B$6:$B$505,A179,'أرقام التواصل'!$C$6:$C$505,1))=0,"missing primary contact in أرقام التواصل; ","")&amp;IF(AND(W179="TRUE",X179=""),"duplicate_type required when duplicate_flag TRUE; ","")))))</x:f>
      </x:c>
    </x:row>
    <x:row r="180">
      <x:c r="A180" s="302"/>
      <x:c r="B180" s="252"/>
      <x:c r="C180" s="253"/>
      <x:c r="D180" s="253"/>
      <x:c r="E180" s="253"/>
      <x:c r="F180" s="252"/>
      <x:c r="G180" s="253"/>
      <x:c r="H180" s="272"/>
      <x:c r="I180" s="253"/>
      <x:c r="J180" s="253"/>
      <x:c r="K180" s="253"/>
      <x:c r="L180" s="253"/>
      <x:c r="M180" s="253"/>
      <x:c r="N180" s="253"/>
      <x:c r="O180" s="253" t="str">
        <x:f>IF(TRIM(L180&amp;" "&amp;M180&amp;IF(N180&lt;&gt;""," ("&amp;N180&amp;")",""))="","",TRIM(L180&amp;" "&amp;M180&amp;IF(N180&lt;&gt;""," ("&amp;N180&amp;")","")))</x:f>
      </x:c>
      <x:c r="P180" s="253"/>
      <x:c r="Q180" s="252"/>
      <x:c r="R180" s="253"/>
      <x:c r="S180" s="253"/>
      <x:c r="T180" s="253"/>
      <x:c r="U180" s="253"/>
      <x:c r="V180" s="253"/>
      <x:c r="W180" s="253"/>
      <x:c r="X180" s="253"/>
      <x:c r="Y180" s="252"/>
      <x:c r="Z180" s="252"/>
      <x:c r="AA180" s="253"/>
      <x:c r="AB180" s="253" t="str">
        <x:f>IF(B180="","",IFERROR(INDEX('الزبائن'!$BA$6:$BA$505,MATCH(B180,'الزبائن'!$A$6:$A$505,0)),"source key not found"))</x:f>
      </x:c>
      <x:c r="AC180" s="253" t="str">
        <x:f>IF(B180="","",IFERROR(INDEX('الزبائن'!$BB$6:$BB$505,MATCH(B180,'الزبائن'!$A$6:$A$505,0)),"source key not found"))</x:f>
      </x:c>
      <x:c r="AD180" s="253" t="str">
        <x:f>IF(AND(A180="",C180="",D180="",I180="",L180="",M180=""),"",IF(C180="skip","SKIP",IF(OR(A180="",C180="",D180="",I180="",L180="",M180="",U180="",COUNTIF($A$6:$A$505,A180)&gt;1,AND(B180&lt;&gt;"",COUNTIF('الزبائن'!$A$6:$A$505,B180)=0),(COUNTIFS('أرقام التواصل'!$A$6:$A$505,"proposed_name",'أرقام التواصل'!$B$6:$B$505,A180,'أرقام التواصل'!$I$6:$I$505,"TRUE")+COUNTIFS('أرقام التواصل'!$A$6:$A$505,"proposed_name",'أرقام التواصل'!$B$6:$B$505,A180,'أرقام التواصل'!$C$6:$C$505,1))=0,AND(W180="TRUE",X180="")),"REVIEW","READY")))</x:f>
      </x:c>
      <x:c r="AE180" s="255" t="str">
        <x:f>IF(AD180="","",IF(AD180="READY","",IF(AD180="SKIP","Skipped by candidate_import_action",TRIM(IF(A180="","missing proposed_name_key; ","")&amp;IF(AND(A180&lt;&gt;"",COUNTIF($A$6:$A$505,A180)&gt;1),"duplicate proposed_name_key; ","")&amp;IF(C180="","missing candidate_import_action; ","")&amp;IF(D180="","missing move_reason; ","")&amp;IF(I180="","missing branch_id; ","")&amp;IF(L180="","missing first_name; ","")&amp;IF(M180="","missing last_name; ","")&amp;IF(U180="","missing status; ","")&amp;IF(AND(B180&lt;&gt;"",COUNTIF('الزبائن'!$A$6:$A$505,B180)=0),"source key not found; ","")&amp;IF((COUNTIFS('أرقام التواصل'!$A$6:$A$505,"proposed_name",'أرقام التواصل'!$B$6:$B$505,A180,'أرقام التواصل'!$I$6:$I$505,"TRUE")+COUNTIFS('أرقام التواصل'!$A$6:$A$505,"proposed_name",'أرقام التواصل'!$B$6:$B$505,A180,'أرقام التواصل'!$C$6:$C$505,1))=0,"missing primary contact in أرقام التواصل; ","")&amp;IF(AND(W180="TRUE",X180=""),"duplicate_type required when duplicate_flag TRUE; ","")))))</x:f>
      </x:c>
    </x:row>
    <x:row r="181">
      <x:c r="A181" s="302"/>
      <x:c r="B181" s="252"/>
      <x:c r="C181" s="253"/>
      <x:c r="D181" s="253"/>
      <x:c r="E181" s="253"/>
      <x:c r="F181" s="252"/>
      <x:c r="G181" s="253"/>
      <x:c r="H181" s="272"/>
      <x:c r="I181" s="253"/>
      <x:c r="J181" s="253"/>
      <x:c r="K181" s="253"/>
      <x:c r="L181" s="253"/>
      <x:c r="M181" s="253"/>
      <x:c r="N181" s="253"/>
      <x:c r="O181" s="253" t="str">
        <x:f>IF(TRIM(L181&amp;" "&amp;M181&amp;IF(N181&lt;&gt;""," ("&amp;N181&amp;")",""))="","",TRIM(L181&amp;" "&amp;M181&amp;IF(N181&lt;&gt;""," ("&amp;N181&amp;")","")))</x:f>
      </x:c>
      <x:c r="P181" s="253"/>
      <x:c r="Q181" s="252"/>
      <x:c r="R181" s="253"/>
      <x:c r="S181" s="253"/>
      <x:c r="T181" s="253"/>
      <x:c r="U181" s="253"/>
      <x:c r="V181" s="253"/>
      <x:c r="W181" s="253"/>
      <x:c r="X181" s="253"/>
      <x:c r="Y181" s="252"/>
      <x:c r="Z181" s="252"/>
      <x:c r="AA181" s="253"/>
      <x:c r="AB181" s="253" t="str">
        <x:f>IF(B181="","",IFERROR(INDEX('الزبائن'!$BA$6:$BA$505,MATCH(B181,'الزبائن'!$A$6:$A$505,0)),"source key not found"))</x:f>
      </x:c>
      <x:c r="AC181" s="253" t="str">
        <x:f>IF(B181="","",IFERROR(INDEX('الزبائن'!$BB$6:$BB$505,MATCH(B181,'الزبائن'!$A$6:$A$505,0)),"source key not found"))</x:f>
      </x:c>
      <x:c r="AD181" s="253" t="str">
        <x:f>IF(AND(A181="",C181="",D181="",I181="",L181="",M181=""),"",IF(C181="skip","SKIP",IF(OR(A181="",C181="",D181="",I181="",L181="",M181="",U181="",COUNTIF($A$6:$A$505,A181)&gt;1,AND(B181&lt;&gt;"",COUNTIF('الزبائن'!$A$6:$A$505,B181)=0),(COUNTIFS('أرقام التواصل'!$A$6:$A$505,"proposed_name",'أرقام التواصل'!$B$6:$B$505,A181,'أرقام التواصل'!$I$6:$I$505,"TRUE")+COUNTIFS('أرقام التواصل'!$A$6:$A$505,"proposed_name",'أرقام التواصل'!$B$6:$B$505,A181,'أرقام التواصل'!$C$6:$C$505,1))=0,AND(W181="TRUE",X181="")),"REVIEW","READY")))</x:f>
      </x:c>
      <x:c r="AE181" s="255" t="str">
        <x:f>IF(AD181="","",IF(AD181="READY","",IF(AD181="SKIP","Skipped by candidate_import_action",TRIM(IF(A181="","missing proposed_name_key; ","")&amp;IF(AND(A181&lt;&gt;"",COUNTIF($A$6:$A$505,A181)&gt;1),"duplicate proposed_name_key; ","")&amp;IF(C181="","missing candidate_import_action; ","")&amp;IF(D181="","missing move_reason; ","")&amp;IF(I181="","missing branch_id; ","")&amp;IF(L181="","missing first_name; ","")&amp;IF(M181="","missing last_name; ","")&amp;IF(U181="","missing status; ","")&amp;IF(AND(B181&lt;&gt;"",COUNTIF('الزبائن'!$A$6:$A$505,B181)=0),"source key not found; ","")&amp;IF((COUNTIFS('أرقام التواصل'!$A$6:$A$505,"proposed_name",'أرقام التواصل'!$B$6:$B$505,A181,'أرقام التواصل'!$I$6:$I$505,"TRUE")+COUNTIFS('أرقام التواصل'!$A$6:$A$505,"proposed_name",'أرقام التواصل'!$B$6:$B$505,A181,'أرقام التواصل'!$C$6:$C$505,1))=0,"missing primary contact in أرقام التواصل; ","")&amp;IF(AND(W181="TRUE",X181=""),"duplicate_type required when duplicate_flag TRUE; ","")))))</x:f>
      </x:c>
    </x:row>
    <x:row r="182">
      <x:c r="A182" s="302"/>
      <x:c r="B182" s="252"/>
      <x:c r="C182" s="253"/>
      <x:c r="D182" s="253"/>
      <x:c r="E182" s="253"/>
      <x:c r="F182" s="252"/>
      <x:c r="G182" s="253"/>
      <x:c r="H182" s="272"/>
      <x:c r="I182" s="253"/>
      <x:c r="J182" s="253"/>
      <x:c r="K182" s="253"/>
      <x:c r="L182" s="253"/>
      <x:c r="M182" s="253"/>
      <x:c r="N182" s="253"/>
      <x:c r="O182" s="253" t="str">
        <x:f>IF(TRIM(L182&amp;" "&amp;M182&amp;IF(N182&lt;&gt;""," ("&amp;N182&amp;")",""))="","",TRIM(L182&amp;" "&amp;M182&amp;IF(N182&lt;&gt;""," ("&amp;N182&amp;")","")))</x:f>
      </x:c>
      <x:c r="P182" s="253"/>
      <x:c r="Q182" s="252"/>
      <x:c r="R182" s="253"/>
      <x:c r="S182" s="253"/>
      <x:c r="T182" s="253"/>
      <x:c r="U182" s="253"/>
      <x:c r="V182" s="253"/>
      <x:c r="W182" s="253"/>
      <x:c r="X182" s="253"/>
      <x:c r="Y182" s="252"/>
      <x:c r="Z182" s="252"/>
      <x:c r="AA182" s="253"/>
      <x:c r="AB182" s="253" t="str">
        <x:f>IF(B182="","",IFERROR(INDEX('الزبائن'!$BA$6:$BA$505,MATCH(B182,'الزبائن'!$A$6:$A$505,0)),"source key not found"))</x:f>
      </x:c>
      <x:c r="AC182" s="253" t="str">
        <x:f>IF(B182="","",IFERROR(INDEX('الزبائن'!$BB$6:$BB$505,MATCH(B182,'الزبائن'!$A$6:$A$505,0)),"source key not found"))</x:f>
      </x:c>
      <x:c r="AD182" s="253" t="str">
        <x:f>IF(AND(A182="",C182="",D182="",I182="",L182="",M182=""),"",IF(C182="skip","SKIP",IF(OR(A182="",C182="",D182="",I182="",L182="",M182="",U182="",COUNTIF($A$6:$A$505,A182)&gt;1,AND(B182&lt;&gt;"",COUNTIF('الزبائن'!$A$6:$A$505,B182)=0),(COUNTIFS('أرقام التواصل'!$A$6:$A$505,"proposed_name",'أرقام التواصل'!$B$6:$B$505,A182,'أرقام التواصل'!$I$6:$I$505,"TRUE")+COUNTIFS('أرقام التواصل'!$A$6:$A$505,"proposed_name",'أرقام التواصل'!$B$6:$B$505,A182,'أرقام التواصل'!$C$6:$C$505,1))=0,AND(W182="TRUE",X182="")),"REVIEW","READY")))</x:f>
      </x:c>
      <x:c r="AE182" s="255" t="str">
        <x:f>IF(AD182="","",IF(AD182="READY","",IF(AD182="SKIP","Skipped by candidate_import_action",TRIM(IF(A182="","missing proposed_name_key; ","")&amp;IF(AND(A182&lt;&gt;"",COUNTIF($A$6:$A$505,A182)&gt;1),"duplicate proposed_name_key; ","")&amp;IF(C182="","missing candidate_import_action; ","")&amp;IF(D182="","missing move_reason; ","")&amp;IF(I182="","missing branch_id; ","")&amp;IF(L182="","missing first_name; ","")&amp;IF(M182="","missing last_name; ","")&amp;IF(U182="","missing status; ","")&amp;IF(AND(B182&lt;&gt;"",COUNTIF('الزبائن'!$A$6:$A$505,B182)=0),"source key not found; ","")&amp;IF((COUNTIFS('أرقام التواصل'!$A$6:$A$505,"proposed_name",'أرقام التواصل'!$B$6:$B$505,A182,'أرقام التواصل'!$I$6:$I$505,"TRUE")+COUNTIFS('أرقام التواصل'!$A$6:$A$505,"proposed_name",'أرقام التواصل'!$B$6:$B$505,A182,'أرقام التواصل'!$C$6:$C$505,1))=0,"missing primary contact in أرقام التواصل; ","")&amp;IF(AND(W182="TRUE",X182=""),"duplicate_type required when duplicate_flag TRUE; ","")))))</x:f>
      </x:c>
    </x:row>
    <x:row r="183">
      <x:c r="A183" s="302"/>
      <x:c r="B183" s="252"/>
      <x:c r="C183" s="253"/>
      <x:c r="D183" s="253"/>
      <x:c r="E183" s="253"/>
      <x:c r="F183" s="252"/>
      <x:c r="G183" s="253"/>
      <x:c r="H183" s="272"/>
      <x:c r="I183" s="253"/>
      <x:c r="J183" s="253"/>
      <x:c r="K183" s="253"/>
      <x:c r="L183" s="253"/>
      <x:c r="M183" s="253"/>
      <x:c r="N183" s="253"/>
      <x:c r="O183" s="253" t="str">
        <x:f>IF(TRIM(L183&amp;" "&amp;M183&amp;IF(N183&lt;&gt;""," ("&amp;N183&amp;")",""))="","",TRIM(L183&amp;" "&amp;M183&amp;IF(N183&lt;&gt;""," ("&amp;N183&amp;")","")))</x:f>
      </x:c>
      <x:c r="P183" s="253"/>
      <x:c r="Q183" s="252"/>
      <x:c r="R183" s="253"/>
      <x:c r="S183" s="253"/>
      <x:c r="T183" s="253"/>
      <x:c r="U183" s="253"/>
      <x:c r="V183" s="253"/>
      <x:c r="W183" s="253"/>
      <x:c r="X183" s="253"/>
      <x:c r="Y183" s="252"/>
      <x:c r="Z183" s="252"/>
      <x:c r="AA183" s="253"/>
      <x:c r="AB183" s="253" t="str">
        <x:f>IF(B183="","",IFERROR(INDEX('الزبائن'!$BA$6:$BA$505,MATCH(B183,'الزبائن'!$A$6:$A$505,0)),"source key not found"))</x:f>
      </x:c>
      <x:c r="AC183" s="253" t="str">
        <x:f>IF(B183="","",IFERROR(INDEX('الزبائن'!$BB$6:$BB$505,MATCH(B183,'الزبائن'!$A$6:$A$505,0)),"source key not found"))</x:f>
      </x:c>
      <x:c r="AD183" s="253" t="str">
        <x:f>IF(AND(A183="",C183="",D183="",I183="",L183="",M183=""),"",IF(C183="skip","SKIP",IF(OR(A183="",C183="",D183="",I183="",L183="",M183="",U183="",COUNTIF($A$6:$A$505,A183)&gt;1,AND(B183&lt;&gt;"",COUNTIF('الزبائن'!$A$6:$A$505,B183)=0),(COUNTIFS('أرقام التواصل'!$A$6:$A$505,"proposed_name",'أرقام التواصل'!$B$6:$B$505,A183,'أرقام التواصل'!$I$6:$I$505,"TRUE")+COUNTIFS('أرقام التواصل'!$A$6:$A$505,"proposed_name",'أرقام التواصل'!$B$6:$B$505,A183,'أرقام التواصل'!$C$6:$C$505,1))=0,AND(W183="TRUE",X183="")),"REVIEW","READY")))</x:f>
      </x:c>
      <x:c r="AE183" s="255" t="str">
        <x:f>IF(AD183="","",IF(AD183="READY","",IF(AD183="SKIP","Skipped by candidate_import_action",TRIM(IF(A183="","missing proposed_name_key; ","")&amp;IF(AND(A183&lt;&gt;"",COUNTIF($A$6:$A$505,A183)&gt;1),"duplicate proposed_name_key; ","")&amp;IF(C183="","missing candidate_import_action; ","")&amp;IF(D183="","missing move_reason; ","")&amp;IF(I183="","missing branch_id; ","")&amp;IF(L183="","missing first_name; ","")&amp;IF(M183="","missing last_name; ","")&amp;IF(U183="","missing status; ","")&amp;IF(AND(B183&lt;&gt;"",COUNTIF('الزبائن'!$A$6:$A$505,B183)=0),"source key not found; ","")&amp;IF((COUNTIFS('أرقام التواصل'!$A$6:$A$505,"proposed_name",'أرقام التواصل'!$B$6:$B$505,A183,'أرقام التواصل'!$I$6:$I$505,"TRUE")+COUNTIFS('أرقام التواصل'!$A$6:$A$505,"proposed_name",'أرقام التواصل'!$B$6:$B$505,A183,'أرقام التواصل'!$C$6:$C$505,1))=0,"missing primary contact in أرقام التواصل; ","")&amp;IF(AND(W183="TRUE",X183=""),"duplicate_type required when duplicate_flag TRUE; ","")))))</x:f>
      </x:c>
    </x:row>
    <x:row r="184">
      <x:c r="A184" s="302"/>
      <x:c r="B184" s="252"/>
      <x:c r="C184" s="253"/>
      <x:c r="D184" s="253"/>
      <x:c r="E184" s="253"/>
      <x:c r="F184" s="252"/>
      <x:c r="G184" s="253"/>
      <x:c r="H184" s="272"/>
      <x:c r="I184" s="253"/>
      <x:c r="J184" s="253"/>
      <x:c r="K184" s="253"/>
      <x:c r="L184" s="253"/>
      <x:c r="M184" s="253"/>
      <x:c r="N184" s="253"/>
      <x:c r="O184" s="253" t="str">
        <x:f>IF(TRIM(L184&amp;" "&amp;M184&amp;IF(N184&lt;&gt;""," ("&amp;N184&amp;")",""))="","",TRIM(L184&amp;" "&amp;M184&amp;IF(N184&lt;&gt;""," ("&amp;N184&amp;")","")))</x:f>
      </x:c>
      <x:c r="P184" s="253"/>
      <x:c r="Q184" s="252"/>
      <x:c r="R184" s="253"/>
      <x:c r="S184" s="253"/>
      <x:c r="T184" s="253"/>
      <x:c r="U184" s="253"/>
      <x:c r="V184" s="253"/>
      <x:c r="W184" s="253"/>
      <x:c r="X184" s="253"/>
      <x:c r="Y184" s="252"/>
      <x:c r="Z184" s="252"/>
      <x:c r="AA184" s="253"/>
      <x:c r="AB184" s="253" t="str">
        <x:f>IF(B184="","",IFERROR(INDEX('الزبائن'!$BA$6:$BA$505,MATCH(B184,'الزبائن'!$A$6:$A$505,0)),"source key not found"))</x:f>
      </x:c>
      <x:c r="AC184" s="253" t="str">
        <x:f>IF(B184="","",IFERROR(INDEX('الزبائن'!$BB$6:$BB$505,MATCH(B184,'الزبائن'!$A$6:$A$505,0)),"source key not found"))</x:f>
      </x:c>
      <x:c r="AD184" s="253" t="str">
        <x:f>IF(AND(A184="",C184="",D184="",I184="",L184="",M184=""),"",IF(C184="skip","SKIP",IF(OR(A184="",C184="",D184="",I184="",L184="",M184="",U184="",COUNTIF($A$6:$A$505,A184)&gt;1,AND(B184&lt;&gt;"",COUNTIF('الزبائن'!$A$6:$A$505,B184)=0),(COUNTIFS('أرقام التواصل'!$A$6:$A$505,"proposed_name",'أرقام التواصل'!$B$6:$B$505,A184,'أرقام التواصل'!$I$6:$I$505,"TRUE")+COUNTIFS('أرقام التواصل'!$A$6:$A$505,"proposed_name",'أرقام التواصل'!$B$6:$B$505,A184,'أرقام التواصل'!$C$6:$C$505,1))=0,AND(W184="TRUE",X184="")),"REVIEW","READY")))</x:f>
      </x:c>
      <x:c r="AE184" s="255" t="str">
        <x:f>IF(AD184="","",IF(AD184="READY","",IF(AD184="SKIP","Skipped by candidate_import_action",TRIM(IF(A184="","missing proposed_name_key; ","")&amp;IF(AND(A184&lt;&gt;"",COUNTIF($A$6:$A$505,A184)&gt;1),"duplicate proposed_name_key; ","")&amp;IF(C184="","missing candidate_import_action; ","")&amp;IF(D184="","missing move_reason; ","")&amp;IF(I184="","missing branch_id; ","")&amp;IF(L184="","missing first_name; ","")&amp;IF(M184="","missing last_name; ","")&amp;IF(U184="","missing status; ","")&amp;IF(AND(B184&lt;&gt;"",COUNTIF('الزبائن'!$A$6:$A$505,B184)=0),"source key not found; ","")&amp;IF((COUNTIFS('أرقام التواصل'!$A$6:$A$505,"proposed_name",'أرقام التواصل'!$B$6:$B$505,A184,'أرقام التواصل'!$I$6:$I$505,"TRUE")+COUNTIFS('أرقام التواصل'!$A$6:$A$505,"proposed_name",'أرقام التواصل'!$B$6:$B$505,A184,'أرقام التواصل'!$C$6:$C$505,1))=0,"missing primary contact in أرقام التواصل; ","")&amp;IF(AND(W184="TRUE",X184=""),"duplicate_type required when duplicate_flag TRUE; ","")))))</x:f>
      </x:c>
    </x:row>
    <x:row r="185">
      <x:c r="A185" s="302"/>
      <x:c r="B185" s="252"/>
      <x:c r="C185" s="253"/>
      <x:c r="D185" s="253"/>
      <x:c r="E185" s="253"/>
      <x:c r="F185" s="252"/>
      <x:c r="G185" s="253"/>
      <x:c r="H185" s="272"/>
      <x:c r="I185" s="253"/>
      <x:c r="J185" s="253"/>
      <x:c r="K185" s="253"/>
      <x:c r="L185" s="253"/>
      <x:c r="M185" s="253"/>
      <x:c r="N185" s="253"/>
      <x:c r="O185" s="253" t="str">
        <x:f>IF(TRIM(L185&amp;" "&amp;M185&amp;IF(N185&lt;&gt;""," ("&amp;N185&amp;")",""))="","",TRIM(L185&amp;" "&amp;M185&amp;IF(N185&lt;&gt;""," ("&amp;N185&amp;")","")))</x:f>
      </x:c>
      <x:c r="P185" s="253"/>
      <x:c r="Q185" s="252"/>
      <x:c r="R185" s="253"/>
      <x:c r="S185" s="253"/>
      <x:c r="T185" s="253"/>
      <x:c r="U185" s="253"/>
      <x:c r="V185" s="253"/>
      <x:c r="W185" s="253"/>
      <x:c r="X185" s="253"/>
      <x:c r="Y185" s="252"/>
      <x:c r="Z185" s="252"/>
      <x:c r="AA185" s="253"/>
      <x:c r="AB185" s="253" t="str">
        <x:f>IF(B185="","",IFERROR(INDEX('الزبائن'!$BA$6:$BA$505,MATCH(B185,'الزبائن'!$A$6:$A$505,0)),"source key not found"))</x:f>
      </x:c>
      <x:c r="AC185" s="253" t="str">
        <x:f>IF(B185="","",IFERROR(INDEX('الزبائن'!$BB$6:$BB$505,MATCH(B185,'الزبائن'!$A$6:$A$505,0)),"source key not found"))</x:f>
      </x:c>
      <x:c r="AD185" s="253" t="str">
        <x:f>IF(AND(A185="",C185="",D185="",I185="",L185="",M185=""),"",IF(C185="skip","SKIP",IF(OR(A185="",C185="",D185="",I185="",L185="",M185="",U185="",COUNTIF($A$6:$A$505,A185)&gt;1,AND(B185&lt;&gt;"",COUNTIF('الزبائن'!$A$6:$A$505,B185)=0),(COUNTIFS('أرقام التواصل'!$A$6:$A$505,"proposed_name",'أرقام التواصل'!$B$6:$B$505,A185,'أرقام التواصل'!$I$6:$I$505,"TRUE")+COUNTIFS('أرقام التواصل'!$A$6:$A$505,"proposed_name",'أرقام التواصل'!$B$6:$B$505,A185,'أرقام التواصل'!$C$6:$C$505,1))=0,AND(W185="TRUE",X185="")),"REVIEW","READY")))</x:f>
      </x:c>
      <x:c r="AE185" s="255" t="str">
        <x:f>IF(AD185="","",IF(AD185="READY","",IF(AD185="SKIP","Skipped by candidate_import_action",TRIM(IF(A185="","missing proposed_name_key; ","")&amp;IF(AND(A185&lt;&gt;"",COUNTIF($A$6:$A$505,A185)&gt;1),"duplicate proposed_name_key; ","")&amp;IF(C185="","missing candidate_import_action; ","")&amp;IF(D185="","missing move_reason; ","")&amp;IF(I185="","missing branch_id; ","")&amp;IF(L185="","missing first_name; ","")&amp;IF(M185="","missing last_name; ","")&amp;IF(U185="","missing status; ","")&amp;IF(AND(B185&lt;&gt;"",COUNTIF('الزبائن'!$A$6:$A$505,B185)=0),"source key not found; ","")&amp;IF((COUNTIFS('أرقام التواصل'!$A$6:$A$505,"proposed_name",'أرقام التواصل'!$B$6:$B$505,A185,'أرقام التواصل'!$I$6:$I$505,"TRUE")+COUNTIFS('أرقام التواصل'!$A$6:$A$505,"proposed_name",'أرقام التواصل'!$B$6:$B$505,A185,'أرقام التواصل'!$C$6:$C$505,1))=0,"missing primary contact in أرقام التواصل; ","")&amp;IF(AND(W185="TRUE",X185=""),"duplicate_type required when duplicate_flag TRUE; ","")))))</x:f>
      </x:c>
    </x:row>
    <x:row r="186">
      <x:c r="A186" s="302"/>
      <x:c r="B186" s="252"/>
      <x:c r="C186" s="253"/>
      <x:c r="D186" s="253"/>
      <x:c r="E186" s="253"/>
      <x:c r="F186" s="252"/>
      <x:c r="G186" s="253"/>
      <x:c r="H186" s="272"/>
      <x:c r="I186" s="253"/>
      <x:c r="J186" s="253"/>
      <x:c r="K186" s="253"/>
      <x:c r="L186" s="253"/>
      <x:c r="M186" s="253"/>
      <x:c r="N186" s="253"/>
      <x:c r="O186" s="253" t="str">
        <x:f>IF(TRIM(L186&amp;" "&amp;M186&amp;IF(N186&lt;&gt;""," ("&amp;N186&amp;")",""))="","",TRIM(L186&amp;" "&amp;M186&amp;IF(N186&lt;&gt;""," ("&amp;N186&amp;")","")))</x:f>
      </x:c>
      <x:c r="P186" s="253"/>
      <x:c r="Q186" s="252"/>
      <x:c r="R186" s="253"/>
      <x:c r="S186" s="253"/>
      <x:c r="T186" s="253"/>
      <x:c r="U186" s="253"/>
      <x:c r="V186" s="253"/>
      <x:c r="W186" s="253"/>
      <x:c r="X186" s="253"/>
      <x:c r="Y186" s="252"/>
      <x:c r="Z186" s="252"/>
      <x:c r="AA186" s="253"/>
      <x:c r="AB186" s="253" t="str">
        <x:f>IF(B186="","",IFERROR(INDEX('الزبائن'!$BA$6:$BA$505,MATCH(B186,'الزبائن'!$A$6:$A$505,0)),"source key not found"))</x:f>
      </x:c>
      <x:c r="AC186" s="253" t="str">
        <x:f>IF(B186="","",IFERROR(INDEX('الزبائن'!$BB$6:$BB$505,MATCH(B186,'الزبائن'!$A$6:$A$505,0)),"source key not found"))</x:f>
      </x:c>
      <x:c r="AD186" s="253" t="str">
        <x:f>IF(AND(A186="",C186="",D186="",I186="",L186="",M186=""),"",IF(C186="skip","SKIP",IF(OR(A186="",C186="",D186="",I186="",L186="",M186="",U186="",COUNTIF($A$6:$A$505,A186)&gt;1,AND(B186&lt;&gt;"",COUNTIF('الزبائن'!$A$6:$A$505,B186)=0),(COUNTIFS('أرقام التواصل'!$A$6:$A$505,"proposed_name",'أرقام التواصل'!$B$6:$B$505,A186,'أرقام التواصل'!$I$6:$I$505,"TRUE")+COUNTIFS('أرقام التواصل'!$A$6:$A$505,"proposed_name",'أرقام التواصل'!$B$6:$B$505,A186,'أرقام التواصل'!$C$6:$C$505,1))=0,AND(W186="TRUE",X186="")),"REVIEW","READY")))</x:f>
      </x:c>
      <x:c r="AE186" s="255" t="str">
        <x:f>IF(AD186="","",IF(AD186="READY","",IF(AD186="SKIP","Skipped by candidate_import_action",TRIM(IF(A186="","missing proposed_name_key; ","")&amp;IF(AND(A186&lt;&gt;"",COUNTIF($A$6:$A$505,A186)&gt;1),"duplicate proposed_name_key; ","")&amp;IF(C186="","missing candidate_import_action; ","")&amp;IF(D186="","missing move_reason; ","")&amp;IF(I186="","missing branch_id; ","")&amp;IF(L186="","missing first_name; ","")&amp;IF(M186="","missing last_name; ","")&amp;IF(U186="","missing status; ","")&amp;IF(AND(B186&lt;&gt;"",COUNTIF('الزبائن'!$A$6:$A$505,B186)=0),"source key not found; ","")&amp;IF((COUNTIFS('أرقام التواصل'!$A$6:$A$505,"proposed_name",'أرقام التواصل'!$B$6:$B$505,A186,'أرقام التواصل'!$I$6:$I$505,"TRUE")+COUNTIFS('أرقام التواصل'!$A$6:$A$505,"proposed_name",'أرقام التواصل'!$B$6:$B$505,A186,'أرقام التواصل'!$C$6:$C$505,1))=0,"missing primary contact in أرقام التواصل; ","")&amp;IF(AND(W186="TRUE",X186=""),"duplicate_type required when duplicate_flag TRUE; ","")))))</x:f>
      </x:c>
    </x:row>
    <x:row r="187">
      <x:c r="A187" s="302"/>
      <x:c r="B187" s="252"/>
      <x:c r="C187" s="253"/>
      <x:c r="D187" s="253"/>
      <x:c r="E187" s="253"/>
      <x:c r="F187" s="252"/>
      <x:c r="G187" s="253"/>
      <x:c r="H187" s="272"/>
      <x:c r="I187" s="253"/>
      <x:c r="J187" s="253"/>
      <x:c r="K187" s="253"/>
      <x:c r="L187" s="253"/>
      <x:c r="M187" s="253"/>
      <x:c r="N187" s="253"/>
      <x:c r="O187" s="253" t="str">
        <x:f>IF(TRIM(L187&amp;" "&amp;M187&amp;IF(N187&lt;&gt;""," ("&amp;N187&amp;")",""))="","",TRIM(L187&amp;" "&amp;M187&amp;IF(N187&lt;&gt;""," ("&amp;N187&amp;")","")))</x:f>
      </x:c>
      <x:c r="P187" s="253"/>
      <x:c r="Q187" s="252"/>
      <x:c r="R187" s="253"/>
      <x:c r="S187" s="253"/>
      <x:c r="T187" s="253"/>
      <x:c r="U187" s="253"/>
      <x:c r="V187" s="253"/>
      <x:c r="W187" s="253"/>
      <x:c r="X187" s="253"/>
      <x:c r="Y187" s="252"/>
      <x:c r="Z187" s="252"/>
      <x:c r="AA187" s="253"/>
      <x:c r="AB187" s="253" t="str">
        <x:f>IF(B187="","",IFERROR(INDEX('الزبائن'!$BA$6:$BA$505,MATCH(B187,'الزبائن'!$A$6:$A$505,0)),"source key not found"))</x:f>
      </x:c>
      <x:c r="AC187" s="253" t="str">
        <x:f>IF(B187="","",IFERROR(INDEX('الزبائن'!$BB$6:$BB$505,MATCH(B187,'الزبائن'!$A$6:$A$505,0)),"source key not found"))</x:f>
      </x:c>
      <x:c r="AD187" s="253" t="str">
        <x:f>IF(AND(A187="",C187="",D187="",I187="",L187="",M187=""),"",IF(C187="skip","SKIP",IF(OR(A187="",C187="",D187="",I187="",L187="",M187="",U187="",COUNTIF($A$6:$A$505,A187)&gt;1,AND(B187&lt;&gt;"",COUNTIF('الزبائن'!$A$6:$A$505,B187)=0),(COUNTIFS('أرقام التواصل'!$A$6:$A$505,"proposed_name",'أرقام التواصل'!$B$6:$B$505,A187,'أرقام التواصل'!$I$6:$I$505,"TRUE")+COUNTIFS('أرقام التواصل'!$A$6:$A$505,"proposed_name",'أرقام التواصل'!$B$6:$B$505,A187,'أرقام التواصل'!$C$6:$C$505,1))=0,AND(W187="TRUE",X187="")),"REVIEW","READY")))</x:f>
      </x:c>
      <x:c r="AE187" s="255" t="str">
        <x:f>IF(AD187="","",IF(AD187="READY","",IF(AD187="SKIP","Skipped by candidate_import_action",TRIM(IF(A187="","missing proposed_name_key; ","")&amp;IF(AND(A187&lt;&gt;"",COUNTIF($A$6:$A$505,A187)&gt;1),"duplicate proposed_name_key; ","")&amp;IF(C187="","missing candidate_import_action; ","")&amp;IF(D187="","missing move_reason; ","")&amp;IF(I187="","missing branch_id; ","")&amp;IF(L187="","missing first_name; ","")&amp;IF(M187="","missing last_name; ","")&amp;IF(U187="","missing status; ","")&amp;IF(AND(B187&lt;&gt;"",COUNTIF('الزبائن'!$A$6:$A$505,B187)=0),"source key not found; ","")&amp;IF((COUNTIFS('أرقام التواصل'!$A$6:$A$505,"proposed_name",'أرقام التواصل'!$B$6:$B$505,A187,'أرقام التواصل'!$I$6:$I$505,"TRUE")+COUNTIFS('أرقام التواصل'!$A$6:$A$505,"proposed_name",'أرقام التواصل'!$B$6:$B$505,A187,'أرقام التواصل'!$C$6:$C$505,1))=0,"missing primary contact in أرقام التواصل; ","")&amp;IF(AND(W187="TRUE",X187=""),"duplicate_type required when duplicate_flag TRUE; ","")))))</x:f>
      </x:c>
    </x:row>
    <x:row r="188">
      <x:c r="A188" s="302"/>
      <x:c r="B188" s="252"/>
      <x:c r="C188" s="253"/>
      <x:c r="D188" s="253"/>
      <x:c r="E188" s="253"/>
      <x:c r="F188" s="252"/>
      <x:c r="G188" s="253"/>
      <x:c r="H188" s="272"/>
      <x:c r="I188" s="253"/>
      <x:c r="J188" s="253"/>
      <x:c r="K188" s="253"/>
      <x:c r="L188" s="253"/>
      <x:c r="M188" s="253"/>
      <x:c r="N188" s="253"/>
      <x:c r="O188" s="253" t="str">
        <x:f>IF(TRIM(L188&amp;" "&amp;M188&amp;IF(N188&lt;&gt;""," ("&amp;N188&amp;")",""))="","",TRIM(L188&amp;" "&amp;M188&amp;IF(N188&lt;&gt;""," ("&amp;N188&amp;")","")))</x:f>
      </x:c>
      <x:c r="P188" s="253"/>
      <x:c r="Q188" s="252"/>
      <x:c r="R188" s="253"/>
      <x:c r="S188" s="253"/>
      <x:c r="T188" s="253"/>
      <x:c r="U188" s="253"/>
      <x:c r="V188" s="253"/>
      <x:c r="W188" s="253"/>
      <x:c r="X188" s="253"/>
      <x:c r="Y188" s="252"/>
      <x:c r="Z188" s="252"/>
      <x:c r="AA188" s="253"/>
      <x:c r="AB188" s="253" t="str">
        <x:f>IF(B188="","",IFERROR(INDEX('الزبائن'!$BA$6:$BA$505,MATCH(B188,'الزبائن'!$A$6:$A$505,0)),"source key not found"))</x:f>
      </x:c>
      <x:c r="AC188" s="253" t="str">
        <x:f>IF(B188="","",IFERROR(INDEX('الزبائن'!$BB$6:$BB$505,MATCH(B188,'الزبائن'!$A$6:$A$505,0)),"source key not found"))</x:f>
      </x:c>
      <x:c r="AD188" s="253" t="str">
        <x:f>IF(AND(A188="",C188="",D188="",I188="",L188="",M188=""),"",IF(C188="skip","SKIP",IF(OR(A188="",C188="",D188="",I188="",L188="",M188="",U188="",COUNTIF($A$6:$A$505,A188)&gt;1,AND(B188&lt;&gt;"",COUNTIF('الزبائن'!$A$6:$A$505,B188)=0),(COUNTIFS('أرقام التواصل'!$A$6:$A$505,"proposed_name",'أرقام التواصل'!$B$6:$B$505,A188,'أرقام التواصل'!$I$6:$I$505,"TRUE")+COUNTIFS('أرقام التواصل'!$A$6:$A$505,"proposed_name",'أرقام التواصل'!$B$6:$B$505,A188,'أرقام التواصل'!$C$6:$C$505,1))=0,AND(W188="TRUE",X188="")),"REVIEW","READY")))</x:f>
      </x:c>
      <x:c r="AE188" s="255" t="str">
        <x:f>IF(AD188="","",IF(AD188="READY","",IF(AD188="SKIP","Skipped by candidate_import_action",TRIM(IF(A188="","missing proposed_name_key; ","")&amp;IF(AND(A188&lt;&gt;"",COUNTIF($A$6:$A$505,A188)&gt;1),"duplicate proposed_name_key; ","")&amp;IF(C188="","missing candidate_import_action; ","")&amp;IF(D188="","missing move_reason; ","")&amp;IF(I188="","missing branch_id; ","")&amp;IF(L188="","missing first_name; ","")&amp;IF(M188="","missing last_name; ","")&amp;IF(U188="","missing status; ","")&amp;IF(AND(B188&lt;&gt;"",COUNTIF('الزبائن'!$A$6:$A$505,B188)=0),"source key not found; ","")&amp;IF((COUNTIFS('أرقام التواصل'!$A$6:$A$505,"proposed_name",'أرقام التواصل'!$B$6:$B$505,A188,'أرقام التواصل'!$I$6:$I$505,"TRUE")+COUNTIFS('أرقام التواصل'!$A$6:$A$505,"proposed_name",'أرقام التواصل'!$B$6:$B$505,A188,'أرقام التواصل'!$C$6:$C$505,1))=0,"missing primary contact in أرقام التواصل; ","")&amp;IF(AND(W188="TRUE",X188=""),"duplicate_type required when duplicate_flag TRUE; ","")))))</x:f>
      </x:c>
    </x:row>
    <x:row r="189">
      <x:c r="A189" s="302"/>
      <x:c r="B189" s="252"/>
      <x:c r="C189" s="253"/>
      <x:c r="D189" s="253"/>
      <x:c r="E189" s="253"/>
      <x:c r="F189" s="252"/>
      <x:c r="G189" s="253"/>
      <x:c r="H189" s="272"/>
      <x:c r="I189" s="253"/>
      <x:c r="J189" s="253"/>
      <x:c r="K189" s="253"/>
      <x:c r="L189" s="253"/>
      <x:c r="M189" s="253"/>
      <x:c r="N189" s="253"/>
      <x:c r="O189" s="253" t="str">
        <x:f>IF(TRIM(L189&amp;" "&amp;M189&amp;IF(N189&lt;&gt;""," ("&amp;N189&amp;")",""))="","",TRIM(L189&amp;" "&amp;M189&amp;IF(N189&lt;&gt;""," ("&amp;N189&amp;")","")))</x:f>
      </x:c>
      <x:c r="P189" s="253"/>
      <x:c r="Q189" s="252"/>
      <x:c r="R189" s="253"/>
      <x:c r="S189" s="253"/>
      <x:c r="T189" s="253"/>
      <x:c r="U189" s="253"/>
      <x:c r="V189" s="253"/>
      <x:c r="W189" s="253"/>
      <x:c r="X189" s="253"/>
      <x:c r="Y189" s="252"/>
      <x:c r="Z189" s="252"/>
      <x:c r="AA189" s="253"/>
      <x:c r="AB189" s="253" t="str">
        <x:f>IF(B189="","",IFERROR(INDEX('الزبائن'!$BA$6:$BA$505,MATCH(B189,'الزبائن'!$A$6:$A$505,0)),"source key not found"))</x:f>
      </x:c>
      <x:c r="AC189" s="253" t="str">
        <x:f>IF(B189="","",IFERROR(INDEX('الزبائن'!$BB$6:$BB$505,MATCH(B189,'الزبائن'!$A$6:$A$505,0)),"source key not found"))</x:f>
      </x:c>
      <x:c r="AD189" s="253" t="str">
        <x:f>IF(AND(A189="",C189="",D189="",I189="",L189="",M189=""),"",IF(C189="skip","SKIP",IF(OR(A189="",C189="",D189="",I189="",L189="",M189="",U189="",COUNTIF($A$6:$A$505,A189)&gt;1,AND(B189&lt;&gt;"",COUNTIF('الزبائن'!$A$6:$A$505,B189)=0),(COUNTIFS('أرقام التواصل'!$A$6:$A$505,"proposed_name",'أرقام التواصل'!$B$6:$B$505,A189,'أرقام التواصل'!$I$6:$I$505,"TRUE")+COUNTIFS('أرقام التواصل'!$A$6:$A$505,"proposed_name",'أرقام التواصل'!$B$6:$B$505,A189,'أرقام التواصل'!$C$6:$C$505,1))=0,AND(W189="TRUE",X189="")),"REVIEW","READY")))</x:f>
      </x:c>
      <x:c r="AE189" s="255" t="str">
        <x:f>IF(AD189="","",IF(AD189="READY","",IF(AD189="SKIP","Skipped by candidate_import_action",TRIM(IF(A189="","missing proposed_name_key; ","")&amp;IF(AND(A189&lt;&gt;"",COUNTIF($A$6:$A$505,A189)&gt;1),"duplicate proposed_name_key; ","")&amp;IF(C189="","missing candidate_import_action; ","")&amp;IF(D189="","missing move_reason; ","")&amp;IF(I189="","missing branch_id; ","")&amp;IF(L189="","missing first_name; ","")&amp;IF(M189="","missing last_name; ","")&amp;IF(U189="","missing status; ","")&amp;IF(AND(B189&lt;&gt;"",COUNTIF('الزبائن'!$A$6:$A$505,B189)=0),"source key not found; ","")&amp;IF((COUNTIFS('أرقام التواصل'!$A$6:$A$505,"proposed_name",'أرقام التواصل'!$B$6:$B$505,A189,'أرقام التواصل'!$I$6:$I$505,"TRUE")+COUNTIFS('أرقام التواصل'!$A$6:$A$505,"proposed_name",'أرقام التواصل'!$B$6:$B$505,A189,'أرقام التواصل'!$C$6:$C$505,1))=0,"missing primary contact in أرقام التواصل; ","")&amp;IF(AND(W189="TRUE",X189=""),"duplicate_type required when duplicate_flag TRUE; ","")))))</x:f>
      </x:c>
    </x:row>
    <x:row r="190">
      <x:c r="A190" s="302"/>
      <x:c r="B190" s="252"/>
      <x:c r="C190" s="253"/>
      <x:c r="D190" s="253"/>
      <x:c r="E190" s="253"/>
      <x:c r="F190" s="252"/>
      <x:c r="G190" s="253"/>
      <x:c r="H190" s="272"/>
      <x:c r="I190" s="253"/>
      <x:c r="J190" s="253"/>
      <x:c r="K190" s="253"/>
      <x:c r="L190" s="253"/>
      <x:c r="M190" s="253"/>
      <x:c r="N190" s="253"/>
      <x:c r="O190" s="253" t="str">
        <x:f>IF(TRIM(L190&amp;" "&amp;M190&amp;IF(N190&lt;&gt;""," ("&amp;N190&amp;")",""))="","",TRIM(L190&amp;" "&amp;M190&amp;IF(N190&lt;&gt;""," ("&amp;N190&amp;")","")))</x:f>
      </x:c>
      <x:c r="P190" s="253"/>
      <x:c r="Q190" s="252"/>
      <x:c r="R190" s="253"/>
      <x:c r="S190" s="253"/>
      <x:c r="T190" s="253"/>
      <x:c r="U190" s="253"/>
      <x:c r="V190" s="253"/>
      <x:c r="W190" s="253"/>
      <x:c r="X190" s="253"/>
      <x:c r="Y190" s="252"/>
      <x:c r="Z190" s="252"/>
      <x:c r="AA190" s="253"/>
      <x:c r="AB190" s="253" t="str">
        <x:f>IF(B190="","",IFERROR(INDEX('الزبائن'!$BA$6:$BA$505,MATCH(B190,'الزبائن'!$A$6:$A$505,0)),"source key not found"))</x:f>
      </x:c>
      <x:c r="AC190" s="253" t="str">
        <x:f>IF(B190="","",IFERROR(INDEX('الزبائن'!$BB$6:$BB$505,MATCH(B190,'الزبائن'!$A$6:$A$505,0)),"source key not found"))</x:f>
      </x:c>
      <x:c r="AD190" s="253" t="str">
        <x:f>IF(AND(A190="",C190="",D190="",I190="",L190="",M190=""),"",IF(C190="skip","SKIP",IF(OR(A190="",C190="",D190="",I190="",L190="",M190="",U190="",COUNTIF($A$6:$A$505,A190)&gt;1,AND(B190&lt;&gt;"",COUNTIF('الزبائن'!$A$6:$A$505,B190)=0),(COUNTIFS('أرقام التواصل'!$A$6:$A$505,"proposed_name",'أرقام التواصل'!$B$6:$B$505,A190,'أرقام التواصل'!$I$6:$I$505,"TRUE")+COUNTIFS('أرقام التواصل'!$A$6:$A$505,"proposed_name",'أرقام التواصل'!$B$6:$B$505,A190,'أرقام التواصل'!$C$6:$C$505,1))=0,AND(W190="TRUE",X190="")),"REVIEW","READY")))</x:f>
      </x:c>
      <x:c r="AE190" s="255" t="str">
        <x:f>IF(AD190="","",IF(AD190="READY","",IF(AD190="SKIP","Skipped by candidate_import_action",TRIM(IF(A190="","missing proposed_name_key; ","")&amp;IF(AND(A190&lt;&gt;"",COUNTIF($A$6:$A$505,A190)&gt;1),"duplicate proposed_name_key; ","")&amp;IF(C190="","missing candidate_import_action; ","")&amp;IF(D190="","missing move_reason; ","")&amp;IF(I190="","missing branch_id; ","")&amp;IF(L190="","missing first_name; ","")&amp;IF(M190="","missing last_name; ","")&amp;IF(U190="","missing status; ","")&amp;IF(AND(B190&lt;&gt;"",COUNTIF('الزبائن'!$A$6:$A$505,B190)=0),"source key not found; ","")&amp;IF((COUNTIFS('أرقام التواصل'!$A$6:$A$505,"proposed_name",'أرقام التواصل'!$B$6:$B$505,A190,'أرقام التواصل'!$I$6:$I$505,"TRUE")+COUNTIFS('أرقام التواصل'!$A$6:$A$505,"proposed_name",'أرقام التواصل'!$B$6:$B$505,A190,'أرقام التواصل'!$C$6:$C$505,1))=0,"missing primary contact in أرقام التواصل; ","")&amp;IF(AND(W190="TRUE",X190=""),"duplicate_type required when duplicate_flag TRUE; ","")))))</x:f>
      </x:c>
    </x:row>
    <x:row r="191">
      <x:c r="A191" s="302"/>
      <x:c r="B191" s="252"/>
      <x:c r="C191" s="253"/>
      <x:c r="D191" s="253"/>
      <x:c r="E191" s="253"/>
      <x:c r="F191" s="252"/>
      <x:c r="G191" s="253"/>
      <x:c r="H191" s="272"/>
      <x:c r="I191" s="253"/>
      <x:c r="J191" s="253"/>
      <x:c r="K191" s="253"/>
      <x:c r="L191" s="253"/>
      <x:c r="M191" s="253"/>
      <x:c r="N191" s="253"/>
      <x:c r="O191" s="253" t="str">
        <x:f>IF(TRIM(L191&amp;" "&amp;M191&amp;IF(N191&lt;&gt;""," ("&amp;N191&amp;")",""))="","",TRIM(L191&amp;" "&amp;M191&amp;IF(N191&lt;&gt;""," ("&amp;N191&amp;")","")))</x:f>
      </x:c>
      <x:c r="P191" s="253"/>
      <x:c r="Q191" s="252"/>
      <x:c r="R191" s="253"/>
      <x:c r="S191" s="253"/>
      <x:c r="T191" s="253"/>
      <x:c r="U191" s="253"/>
      <x:c r="V191" s="253"/>
      <x:c r="W191" s="253"/>
      <x:c r="X191" s="253"/>
      <x:c r="Y191" s="252"/>
      <x:c r="Z191" s="252"/>
      <x:c r="AA191" s="253"/>
      <x:c r="AB191" s="253" t="str">
        <x:f>IF(B191="","",IFERROR(INDEX('الزبائن'!$BA$6:$BA$505,MATCH(B191,'الزبائن'!$A$6:$A$505,0)),"source key not found"))</x:f>
      </x:c>
      <x:c r="AC191" s="253" t="str">
        <x:f>IF(B191="","",IFERROR(INDEX('الزبائن'!$BB$6:$BB$505,MATCH(B191,'الزبائن'!$A$6:$A$505,0)),"source key not found"))</x:f>
      </x:c>
      <x:c r="AD191" s="253" t="str">
        <x:f>IF(AND(A191="",C191="",D191="",I191="",L191="",M191=""),"",IF(C191="skip","SKIP",IF(OR(A191="",C191="",D191="",I191="",L191="",M191="",U191="",COUNTIF($A$6:$A$505,A191)&gt;1,AND(B191&lt;&gt;"",COUNTIF('الزبائن'!$A$6:$A$505,B191)=0),(COUNTIFS('أرقام التواصل'!$A$6:$A$505,"proposed_name",'أرقام التواصل'!$B$6:$B$505,A191,'أرقام التواصل'!$I$6:$I$505,"TRUE")+COUNTIFS('أرقام التواصل'!$A$6:$A$505,"proposed_name",'أرقام التواصل'!$B$6:$B$505,A191,'أرقام التواصل'!$C$6:$C$505,1))=0,AND(W191="TRUE",X191="")),"REVIEW","READY")))</x:f>
      </x:c>
      <x:c r="AE191" s="255" t="str">
        <x:f>IF(AD191="","",IF(AD191="READY","",IF(AD191="SKIP","Skipped by candidate_import_action",TRIM(IF(A191="","missing proposed_name_key; ","")&amp;IF(AND(A191&lt;&gt;"",COUNTIF($A$6:$A$505,A191)&gt;1),"duplicate proposed_name_key; ","")&amp;IF(C191="","missing candidate_import_action; ","")&amp;IF(D191="","missing move_reason; ","")&amp;IF(I191="","missing branch_id; ","")&amp;IF(L191="","missing first_name; ","")&amp;IF(M191="","missing last_name; ","")&amp;IF(U191="","missing status; ","")&amp;IF(AND(B191&lt;&gt;"",COUNTIF('الزبائن'!$A$6:$A$505,B191)=0),"source key not found; ","")&amp;IF((COUNTIFS('أرقام التواصل'!$A$6:$A$505,"proposed_name",'أرقام التواصل'!$B$6:$B$505,A191,'أرقام التواصل'!$I$6:$I$505,"TRUE")+COUNTIFS('أرقام التواصل'!$A$6:$A$505,"proposed_name",'أرقام التواصل'!$B$6:$B$505,A191,'أرقام التواصل'!$C$6:$C$505,1))=0,"missing primary contact in أرقام التواصل; ","")&amp;IF(AND(W191="TRUE",X191=""),"duplicate_type required when duplicate_flag TRUE; ","")))))</x:f>
      </x:c>
    </x:row>
    <x:row r="192">
      <x:c r="A192" s="302"/>
      <x:c r="B192" s="252"/>
      <x:c r="C192" s="253"/>
      <x:c r="D192" s="253"/>
      <x:c r="E192" s="253"/>
      <x:c r="F192" s="252"/>
      <x:c r="G192" s="253"/>
      <x:c r="H192" s="272"/>
      <x:c r="I192" s="253"/>
      <x:c r="J192" s="253"/>
      <x:c r="K192" s="253"/>
      <x:c r="L192" s="253"/>
      <x:c r="M192" s="253"/>
      <x:c r="N192" s="253"/>
      <x:c r="O192" s="253" t="str">
        <x:f>IF(TRIM(L192&amp;" "&amp;M192&amp;IF(N192&lt;&gt;""," ("&amp;N192&amp;")",""))="","",TRIM(L192&amp;" "&amp;M192&amp;IF(N192&lt;&gt;""," ("&amp;N192&amp;")","")))</x:f>
      </x:c>
      <x:c r="P192" s="253"/>
      <x:c r="Q192" s="252"/>
      <x:c r="R192" s="253"/>
      <x:c r="S192" s="253"/>
      <x:c r="T192" s="253"/>
      <x:c r="U192" s="253"/>
      <x:c r="V192" s="253"/>
      <x:c r="W192" s="253"/>
      <x:c r="X192" s="253"/>
      <x:c r="Y192" s="252"/>
      <x:c r="Z192" s="252"/>
      <x:c r="AA192" s="253"/>
      <x:c r="AB192" s="253" t="str">
        <x:f>IF(B192="","",IFERROR(INDEX('الزبائن'!$BA$6:$BA$505,MATCH(B192,'الزبائن'!$A$6:$A$505,0)),"source key not found"))</x:f>
      </x:c>
      <x:c r="AC192" s="253" t="str">
        <x:f>IF(B192="","",IFERROR(INDEX('الزبائن'!$BB$6:$BB$505,MATCH(B192,'الزبائن'!$A$6:$A$505,0)),"source key not found"))</x:f>
      </x:c>
      <x:c r="AD192" s="253" t="str">
        <x:f>IF(AND(A192="",C192="",D192="",I192="",L192="",M192=""),"",IF(C192="skip","SKIP",IF(OR(A192="",C192="",D192="",I192="",L192="",M192="",U192="",COUNTIF($A$6:$A$505,A192)&gt;1,AND(B192&lt;&gt;"",COUNTIF('الزبائن'!$A$6:$A$505,B192)=0),(COUNTIFS('أرقام التواصل'!$A$6:$A$505,"proposed_name",'أرقام التواصل'!$B$6:$B$505,A192,'أرقام التواصل'!$I$6:$I$505,"TRUE")+COUNTIFS('أرقام التواصل'!$A$6:$A$505,"proposed_name",'أرقام التواصل'!$B$6:$B$505,A192,'أرقام التواصل'!$C$6:$C$505,1))=0,AND(W192="TRUE",X192="")),"REVIEW","READY")))</x:f>
      </x:c>
      <x:c r="AE192" s="255" t="str">
        <x:f>IF(AD192="","",IF(AD192="READY","",IF(AD192="SKIP","Skipped by candidate_import_action",TRIM(IF(A192="","missing proposed_name_key; ","")&amp;IF(AND(A192&lt;&gt;"",COUNTIF($A$6:$A$505,A192)&gt;1),"duplicate proposed_name_key; ","")&amp;IF(C192="","missing candidate_import_action; ","")&amp;IF(D192="","missing move_reason; ","")&amp;IF(I192="","missing branch_id; ","")&amp;IF(L192="","missing first_name; ","")&amp;IF(M192="","missing last_name; ","")&amp;IF(U192="","missing status; ","")&amp;IF(AND(B192&lt;&gt;"",COUNTIF('الزبائن'!$A$6:$A$505,B192)=0),"source key not found; ","")&amp;IF((COUNTIFS('أرقام التواصل'!$A$6:$A$505,"proposed_name",'أرقام التواصل'!$B$6:$B$505,A192,'أرقام التواصل'!$I$6:$I$505,"TRUE")+COUNTIFS('أرقام التواصل'!$A$6:$A$505,"proposed_name",'أرقام التواصل'!$B$6:$B$505,A192,'أرقام التواصل'!$C$6:$C$505,1))=0,"missing primary contact in أرقام التواصل; ","")&amp;IF(AND(W192="TRUE",X192=""),"duplicate_type required when duplicate_flag TRUE; ","")))))</x:f>
      </x:c>
    </x:row>
    <x:row r="193">
      <x:c r="A193" s="302"/>
      <x:c r="B193" s="252"/>
      <x:c r="C193" s="253"/>
      <x:c r="D193" s="253"/>
      <x:c r="E193" s="253"/>
      <x:c r="F193" s="252"/>
      <x:c r="G193" s="253"/>
      <x:c r="H193" s="272"/>
      <x:c r="I193" s="253"/>
      <x:c r="J193" s="253"/>
      <x:c r="K193" s="253"/>
      <x:c r="L193" s="253"/>
      <x:c r="M193" s="253"/>
      <x:c r="N193" s="253"/>
      <x:c r="O193" s="253" t="str">
        <x:f>IF(TRIM(L193&amp;" "&amp;M193&amp;IF(N193&lt;&gt;""," ("&amp;N193&amp;")",""))="","",TRIM(L193&amp;" "&amp;M193&amp;IF(N193&lt;&gt;""," ("&amp;N193&amp;")","")))</x:f>
      </x:c>
      <x:c r="P193" s="253"/>
      <x:c r="Q193" s="252"/>
      <x:c r="R193" s="253"/>
      <x:c r="S193" s="253"/>
      <x:c r="T193" s="253"/>
      <x:c r="U193" s="253"/>
      <x:c r="V193" s="253"/>
      <x:c r="W193" s="253"/>
      <x:c r="X193" s="253"/>
      <x:c r="Y193" s="252"/>
      <x:c r="Z193" s="252"/>
      <x:c r="AA193" s="253"/>
      <x:c r="AB193" s="253" t="str">
        <x:f>IF(B193="","",IFERROR(INDEX('الزبائن'!$BA$6:$BA$505,MATCH(B193,'الزبائن'!$A$6:$A$505,0)),"source key not found"))</x:f>
      </x:c>
      <x:c r="AC193" s="253" t="str">
        <x:f>IF(B193="","",IFERROR(INDEX('الزبائن'!$BB$6:$BB$505,MATCH(B193,'الزبائن'!$A$6:$A$505,0)),"source key not found"))</x:f>
      </x:c>
      <x:c r="AD193" s="253" t="str">
        <x:f>IF(AND(A193="",C193="",D193="",I193="",L193="",M193=""),"",IF(C193="skip","SKIP",IF(OR(A193="",C193="",D193="",I193="",L193="",M193="",U193="",COUNTIF($A$6:$A$505,A193)&gt;1,AND(B193&lt;&gt;"",COUNTIF('الزبائن'!$A$6:$A$505,B193)=0),(COUNTIFS('أرقام التواصل'!$A$6:$A$505,"proposed_name",'أرقام التواصل'!$B$6:$B$505,A193,'أرقام التواصل'!$I$6:$I$505,"TRUE")+COUNTIFS('أرقام التواصل'!$A$6:$A$505,"proposed_name",'أرقام التواصل'!$B$6:$B$505,A193,'أرقام التواصل'!$C$6:$C$505,1))=0,AND(W193="TRUE",X193="")),"REVIEW","READY")))</x:f>
      </x:c>
      <x:c r="AE193" s="255" t="str">
        <x:f>IF(AD193="","",IF(AD193="READY","",IF(AD193="SKIP","Skipped by candidate_import_action",TRIM(IF(A193="","missing proposed_name_key; ","")&amp;IF(AND(A193&lt;&gt;"",COUNTIF($A$6:$A$505,A193)&gt;1),"duplicate proposed_name_key; ","")&amp;IF(C193="","missing candidate_import_action; ","")&amp;IF(D193="","missing move_reason; ","")&amp;IF(I193="","missing branch_id; ","")&amp;IF(L193="","missing first_name; ","")&amp;IF(M193="","missing last_name; ","")&amp;IF(U193="","missing status; ","")&amp;IF(AND(B193&lt;&gt;"",COUNTIF('الزبائن'!$A$6:$A$505,B193)=0),"source key not found; ","")&amp;IF((COUNTIFS('أرقام التواصل'!$A$6:$A$505,"proposed_name",'أرقام التواصل'!$B$6:$B$505,A193,'أرقام التواصل'!$I$6:$I$505,"TRUE")+COUNTIFS('أرقام التواصل'!$A$6:$A$505,"proposed_name",'أرقام التواصل'!$B$6:$B$505,A193,'أرقام التواصل'!$C$6:$C$505,1))=0,"missing primary contact in أرقام التواصل; ","")&amp;IF(AND(W193="TRUE",X193=""),"duplicate_type required when duplicate_flag TRUE; ","")))))</x:f>
      </x:c>
    </x:row>
    <x:row r="194">
      <x:c r="A194" s="302"/>
      <x:c r="B194" s="252"/>
      <x:c r="C194" s="253"/>
      <x:c r="D194" s="253"/>
      <x:c r="E194" s="253"/>
      <x:c r="F194" s="252"/>
      <x:c r="G194" s="253"/>
      <x:c r="H194" s="272"/>
      <x:c r="I194" s="253"/>
      <x:c r="J194" s="253"/>
      <x:c r="K194" s="253"/>
      <x:c r="L194" s="253"/>
      <x:c r="M194" s="253"/>
      <x:c r="N194" s="253"/>
      <x:c r="O194" s="253" t="str">
        <x:f>IF(TRIM(L194&amp;" "&amp;M194&amp;IF(N194&lt;&gt;""," ("&amp;N194&amp;")",""))="","",TRIM(L194&amp;" "&amp;M194&amp;IF(N194&lt;&gt;""," ("&amp;N194&amp;")","")))</x:f>
      </x:c>
      <x:c r="P194" s="253"/>
      <x:c r="Q194" s="252"/>
      <x:c r="R194" s="253"/>
      <x:c r="S194" s="253"/>
      <x:c r="T194" s="253"/>
      <x:c r="U194" s="253"/>
      <x:c r="V194" s="253"/>
      <x:c r="W194" s="253"/>
      <x:c r="X194" s="253"/>
      <x:c r="Y194" s="252"/>
      <x:c r="Z194" s="252"/>
      <x:c r="AA194" s="253"/>
      <x:c r="AB194" s="253" t="str">
        <x:f>IF(B194="","",IFERROR(INDEX('الزبائن'!$BA$6:$BA$505,MATCH(B194,'الزبائن'!$A$6:$A$505,0)),"source key not found"))</x:f>
      </x:c>
      <x:c r="AC194" s="253" t="str">
        <x:f>IF(B194="","",IFERROR(INDEX('الزبائن'!$BB$6:$BB$505,MATCH(B194,'الزبائن'!$A$6:$A$505,0)),"source key not found"))</x:f>
      </x:c>
      <x:c r="AD194" s="253" t="str">
        <x:f>IF(AND(A194="",C194="",D194="",I194="",L194="",M194=""),"",IF(C194="skip","SKIP",IF(OR(A194="",C194="",D194="",I194="",L194="",M194="",U194="",COUNTIF($A$6:$A$505,A194)&gt;1,AND(B194&lt;&gt;"",COUNTIF('الزبائن'!$A$6:$A$505,B194)=0),(COUNTIFS('أرقام التواصل'!$A$6:$A$505,"proposed_name",'أرقام التواصل'!$B$6:$B$505,A194,'أرقام التواصل'!$I$6:$I$505,"TRUE")+COUNTIFS('أرقام التواصل'!$A$6:$A$505,"proposed_name",'أرقام التواصل'!$B$6:$B$505,A194,'أرقام التواصل'!$C$6:$C$505,1))=0,AND(W194="TRUE",X194="")),"REVIEW","READY")))</x:f>
      </x:c>
      <x:c r="AE194" s="255" t="str">
        <x:f>IF(AD194="","",IF(AD194="READY","",IF(AD194="SKIP","Skipped by candidate_import_action",TRIM(IF(A194="","missing proposed_name_key; ","")&amp;IF(AND(A194&lt;&gt;"",COUNTIF($A$6:$A$505,A194)&gt;1),"duplicate proposed_name_key; ","")&amp;IF(C194="","missing candidate_import_action; ","")&amp;IF(D194="","missing move_reason; ","")&amp;IF(I194="","missing branch_id; ","")&amp;IF(L194="","missing first_name; ","")&amp;IF(M194="","missing last_name; ","")&amp;IF(U194="","missing status; ","")&amp;IF(AND(B194&lt;&gt;"",COUNTIF('الزبائن'!$A$6:$A$505,B194)=0),"source key not found; ","")&amp;IF((COUNTIFS('أرقام التواصل'!$A$6:$A$505,"proposed_name",'أرقام التواصل'!$B$6:$B$505,A194,'أرقام التواصل'!$I$6:$I$505,"TRUE")+COUNTIFS('أرقام التواصل'!$A$6:$A$505,"proposed_name",'أرقام التواصل'!$B$6:$B$505,A194,'أرقام التواصل'!$C$6:$C$505,1))=0,"missing primary contact in أرقام التواصل; ","")&amp;IF(AND(W194="TRUE",X194=""),"duplicate_type required when duplicate_flag TRUE; ","")))))</x:f>
      </x:c>
    </x:row>
    <x:row r="195">
      <x:c r="A195" s="302"/>
      <x:c r="B195" s="252"/>
      <x:c r="C195" s="253"/>
      <x:c r="D195" s="253"/>
      <x:c r="E195" s="253"/>
      <x:c r="F195" s="252"/>
      <x:c r="G195" s="253"/>
      <x:c r="H195" s="272"/>
      <x:c r="I195" s="253"/>
      <x:c r="J195" s="253"/>
      <x:c r="K195" s="253"/>
      <x:c r="L195" s="253"/>
      <x:c r="M195" s="253"/>
      <x:c r="N195" s="253"/>
      <x:c r="O195" s="253" t="str">
        <x:f>IF(TRIM(L195&amp;" "&amp;M195&amp;IF(N195&lt;&gt;""," ("&amp;N195&amp;")",""))="","",TRIM(L195&amp;" "&amp;M195&amp;IF(N195&lt;&gt;""," ("&amp;N195&amp;")","")))</x:f>
      </x:c>
      <x:c r="P195" s="253"/>
      <x:c r="Q195" s="252"/>
      <x:c r="R195" s="253"/>
      <x:c r="S195" s="253"/>
      <x:c r="T195" s="253"/>
      <x:c r="U195" s="253"/>
      <x:c r="V195" s="253"/>
      <x:c r="W195" s="253"/>
      <x:c r="X195" s="253"/>
      <x:c r="Y195" s="252"/>
      <x:c r="Z195" s="252"/>
      <x:c r="AA195" s="253"/>
      <x:c r="AB195" s="253" t="str">
        <x:f>IF(B195="","",IFERROR(INDEX('الزبائن'!$BA$6:$BA$505,MATCH(B195,'الزبائن'!$A$6:$A$505,0)),"source key not found"))</x:f>
      </x:c>
      <x:c r="AC195" s="253" t="str">
        <x:f>IF(B195="","",IFERROR(INDEX('الزبائن'!$BB$6:$BB$505,MATCH(B195,'الزبائن'!$A$6:$A$505,0)),"source key not found"))</x:f>
      </x:c>
      <x:c r="AD195" s="253" t="str">
        <x:f>IF(AND(A195="",C195="",D195="",I195="",L195="",M195=""),"",IF(C195="skip","SKIP",IF(OR(A195="",C195="",D195="",I195="",L195="",M195="",U195="",COUNTIF($A$6:$A$505,A195)&gt;1,AND(B195&lt;&gt;"",COUNTIF('الزبائن'!$A$6:$A$505,B195)=0),(COUNTIFS('أرقام التواصل'!$A$6:$A$505,"proposed_name",'أرقام التواصل'!$B$6:$B$505,A195,'أرقام التواصل'!$I$6:$I$505,"TRUE")+COUNTIFS('أرقام التواصل'!$A$6:$A$505,"proposed_name",'أرقام التواصل'!$B$6:$B$505,A195,'أرقام التواصل'!$C$6:$C$505,1))=0,AND(W195="TRUE",X195="")),"REVIEW","READY")))</x:f>
      </x:c>
      <x:c r="AE195" s="255" t="str">
        <x:f>IF(AD195="","",IF(AD195="READY","",IF(AD195="SKIP","Skipped by candidate_import_action",TRIM(IF(A195="","missing proposed_name_key; ","")&amp;IF(AND(A195&lt;&gt;"",COUNTIF($A$6:$A$505,A195)&gt;1),"duplicate proposed_name_key; ","")&amp;IF(C195="","missing candidate_import_action; ","")&amp;IF(D195="","missing move_reason; ","")&amp;IF(I195="","missing branch_id; ","")&amp;IF(L195="","missing first_name; ","")&amp;IF(M195="","missing last_name; ","")&amp;IF(U195="","missing status; ","")&amp;IF(AND(B195&lt;&gt;"",COUNTIF('الزبائن'!$A$6:$A$505,B195)=0),"source key not found; ","")&amp;IF((COUNTIFS('أرقام التواصل'!$A$6:$A$505,"proposed_name",'أرقام التواصل'!$B$6:$B$505,A195,'أرقام التواصل'!$I$6:$I$505,"TRUE")+COUNTIFS('أرقام التواصل'!$A$6:$A$505,"proposed_name",'أرقام التواصل'!$B$6:$B$505,A195,'أرقام التواصل'!$C$6:$C$505,1))=0,"missing primary contact in أرقام التواصل; ","")&amp;IF(AND(W195="TRUE",X195=""),"duplicate_type required when duplicate_flag TRUE; ","")))))</x:f>
      </x:c>
    </x:row>
    <x:row r="196">
      <x:c r="A196" s="302"/>
      <x:c r="B196" s="252"/>
      <x:c r="C196" s="253"/>
      <x:c r="D196" s="253"/>
      <x:c r="E196" s="253"/>
      <x:c r="F196" s="252"/>
      <x:c r="G196" s="253"/>
      <x:c r="H196" s="272"/>
      <x:c r="I196" s="253"/>
      <x:c r="J196" s="253"/>
      <x:c r="K196" s="253"/>
      <x:c r="L196" s="253"/>
      <x:c r="M196" s="253"/>
      <x:c r="N196" s="253"/>
      <x:c r="O196" s="253" t="str">
        <x:f>IF(TRIM(L196&amp;" "&amp;M196&amp;IF(N196&lt;&gt;""," ("&amp;N196&amp;")",""))="","",TRIM(L196&amp;" "&amp;M196&amp;IF(N196&lt;&gt;""," ("&amp;N196&amp;")","")))</x:f>
      </x:c>
      <x:c r="P196" s="253"/>
      <x:c r="Q196" s="252"/>
      <x:c r="R196" s="253"/>
      <x:c r="S196" s="253"/>
      <x:c r="T196" s="253"/>
      <x:c r="U196" s="253"/>
      <x:c r="V196" s="253"/>
      <x:c r="W196" s="253"/>
      <x:c r="X196" s="253"/>
      <x:c r="Y196" s="252"/>
      <x:c r="Z196" s="252"/>
      <x:c r="AA196" s="253"/>
      <x:c r="AB196" s="253" t="str">
        <x:f>IF(B196="","",IFERROR(INDEX('الزبائن'!$BA$6:$BA$505,MATCH(B196,'الزبائن'!$A$6:$A$505,0)),"source key not found"))</x:f>
      </x:c>
      <x:c r="AC196" s="253" t="str">
        <x:f>IF(B196="","",IFERROR(INDEX('الزبائن'!$BB$6:$BB$505,MATCH(B196,'الزبائن'!$A$6:$A$505,0)),"source key not found"))</x:f>
      </x:c>
      <x:c r="AD196" s="253" t="str">
        <x:f>IF(AND(A196="",C196="",D196="",I196="",L196="",M196=""),"",IF(C196="skip","SKIP",IF(OR(A196="",C196="",D196="",I196="",L196="",M196="",U196="",COUNTIF($A$6:$A$505,A196)&gt;1,AND(B196&lt;&gt;"",COUNTIF('الزبائن'!$A$6:$A$505,B196)=0),(COUNTIFS('أرقام التواصل'!$A$6:$A$505,"proposed_name",'أرقام التواصل'!$B$6:$B$505,A196,'أرقام التواصل'!$I$6:$I$505,"TRUE")+COUNTIFS('أرقام التواصل'!$A$6:$A$505,"proposed_name",'أرقام التواصل'!$B$6:$B$505,A196,'أرقام التواصل'!$C$6:$C$505,1))=0,AND(W196="TRUE",X196="")),"REVIEW","READY")))</x:f>
      </x:c>
      <x:c r="AE196" s="255" t="str">
        <x:f>IF(AD196="","",IF(AD196="READY","",IF(AD196="SKIP","Skipped by candidate_import_action",TRIM(IF(A196="","missing proposed_name_key; ","")&amp;IF(AND(A196&lt;&gt;"",COUNTIF($A$6:$A$505,A196)&gt;1),"duplicate proposed_name_key; ","")&amp;IF(C196="","missing candidate_import_action; ","")&amp;IF(D196="","missing move_reason; ","")&amp;IF(I196="","missing branch_id; ","")&amp;IF(L196="","missing first_name; ","")&amp;IF(M196="","missing last_name; ","")&amp;IF(U196="","missing status; ","")&amp;IF(AND(B196&lt;&gt;"",COUNTIF('الزبائن'!$A$6:$A$505,B196)=0),"source key not found; ","")&amp;IF((COUNTIFS('أرقام التواصل'!$A$6:$A$505,"proposed_name",'أرقام التواصل'!$B$6:$B$505,A196,'أرقام التواصل'!$I$6:$I$505,"TRUE")+COUNTIFS('أرقام التواصل'!$A$6:$A$505,"proposed_name",'أرقام التواصل'!$B$6:$B$505,A196,'أرقام التواصل'!$C$6:$C$505,1))=0,"missing primary contact in أرقام التواصل; ","")&amp;IF(AND(W196="TRUE",X196=""),"duplicate_type required when duplicate_flag TRUE; ","")))))</x:f>
      </x:c>
    </x:row>
    <x:row r="197">
      <x:c r="A197" s="302"/>
      <x:c r="B197" s="252"/>
      <x:c r="C197" s="253"/>
      <x:c r="D197" s="253"/>
      <x:c r="E197" s="253"/>
      <x:c r="F197" s="252"/>
      <x:c r="G197" s="253"/>
      <x:c r="H197" s="272"/>
      <x:c r="I197" s="253"/>
      <x:c r="J197" s="253"/>
      <x:c r="K197" s="253"/>
      <x:c r="L197" s="253"/>
      <x:c r="M197" s="253"/>
      <x:c r="N197" s="253"/>
      <x:c r="O197" s="253" t="str">
        <x:f>IF(TRIM(L197&amp;" "&amp;M197&amp;IF(N197&lt;&gt;""," ("&amp;N197&amp;")",""))="","",TRIM(L197&amp;" "&amp;M197&amp;IF(N197&lt;&gt;""," ("&amp;N197&amp;")","")))</x:f>
      </x:c>
      <x:c r="P197" s="253"/>
      <x:c r="Q197" s="252"/>
      <x:c r="R197" s="253"/>
      <x:c r="S197" s="253"/>
      <x:c r="T197" s="253"/>
      <x:c r="U197" s="253"/>
      <x:c r="V197" s="253"/>
      <x:c r="W197" s="253"/>
      <x:c r="X197" s="253"/>
      <x:c r="Y197" s="252"/>
      <x:c r="Z197" s="252"/>
      <x:c r="AA197" s="253"/>
      <x:c r="AB197" s="253" t="str">
        <x:f>IF(B197="","",IFERROR(INDEX('الزبائن'!$BA$6:$BA$505,MATCH(B197,'الزبائن'!$A$6:$A$505,0)),"source key not found"))</x:f>
      </x:c>
      <x:c r="AC197" s="253" t="str">
        <x:f>IF(B197="","",IFERROR(INDEX('الزبائن'!$BB$6:$BB$505,MATCH(B197,'الزبائن'!$A$6:$A$505,0)),"source key not found"))</x:f>
      </x:c>
      <x:c r="AD197" s="253" t="str">
        <x:f>IF(AND(A197="",C197="",D197="",I197="",L197="",M197=""),"",IF(C197="skip","SKIP",IF(OR(A197="",C197="",D197="",I197="",L197="",M197="",U197="",COUNTIF($A$6:$A$505,A197)&gt;1,AND(B197&lt;&gt;"",COUNTIF('الزبائن'!$A$6:$A$505,B197)=0),(COUNTIFS('أرقام التواصل'!$A$6:$A$505,"proposed_name",'أرقام التواصل'!$B$6:$B$505,A197,'أرقام التواصل'!$I$6:$I$505,"TRUE")+COUNTIFS('أرقام التواصل'!$A$6:$A$505,"proposed_name",'أرقام التواصل'!$B$6:$B$505,A197,'أرقام التواصل'!$C$6:$C$505,1))=0,AND(W197="TRUE",X197="")),"REVIEW","READY")))</x:f>
      </x:c>
      <x:c r="AE197" s="255" t="str">
        <x:f>IF(AD197="","",IF(AD197="READY","",IF(AD197="SKIP","Skipped by candidate_import_action",TRIM(IF(A197="","missing proposed_name_key; ","")&amp;IF(AND(A197&lt;&gt;"",COUNTIF($A$6:$A$505,A197)&gt;1),"duplicate proposed_name_key; ","")&amp;IF(C197="","missing candidate_import_action; ","")&amp;IF(D197="","missing move_reason; ","")&amp;IF(I197="","missing branch_id; ","")&amp;IF(L197="","missing first_name; ","")&amp;IF(M197="","missing last_name; ","")&amp;IF(U197="","missing status; ","")&amp;IF(AND(B197&lt;&gt;"",COUNTIF('الزبائن'!$A$6:$A$505,B197)=0),"source key not found; ","")&amp;IF((COUNTIFS('أرقام التواصل'!$A$6:$A$505,"proposed_name",'أرقام التواصل'!$B$6:$B$505,A197,'أرقام التواصل'!$I$6:$I$505,"TRUE")+COUNTIFS('أرقام التواصل'!$A$6:$A$505,"proposed_name",'أرقام التواصل'!$B$6:$B$505,A197,'أرقام التواصل'!$C$6:$C$505,1))=0,"missing primary contact in أرقام التواصل; ","")&amp;IF(AND(W197="TRUE",X197=""),"duplicate_type required when duplicate_flag TRUE; ","")))))</x:f>
      </x:c>
    </x:row>
    <x:row r="198">
      <x:c r="A198" s="302"/>
      <x:c r="B198" s="252"/>
      <x:c r="C198" s="253"/>
      <x:c r="D198" s="253"/>
      <x:c r="E198" s="253"/>
      <x:c r="F198" s="252"/>
      <x:c r="G198" s="253"/>
      <x:c r="H198" s="272"/>
      <x:c r="I198" s="253"/>
      <x:c r="J198" s="253"/>
      <x:c r="K198" s="253"/>
      <x:c r="L198" s="253"/>
      <x:c r="M198" s="253"/>
      <x:c r="N198" s="253"/>
      <x:c r="O198" s="253" t="str">
        <x:f>IF(TRIM(L198&amp;" "&amp;M198&amp;IF(N198&lt;&gt;""," ("&amp;N198&amp;")",""))="","",TRIM(L198&amp;" "&amp;M198&amp;IF(N198&lt;&gt;""," ("&amp;N198&amp;")","")))</x:f>
      </x:c>
      <x:c r="P198" s="253"/>
      <x:c r="Q198" s="252"/>
      <x:c r="R198" s="253"/>
      <x:c r="S198" s="253"/>
      <x:c r="T198" s="253"/>
      <x:c r="U198" s="253"/>
      <x:c r="V198" s="253"/>
      <x:c r="W198" s="253"/>
      <x:c r="X198" s="253"/>
      <x:c r="Y198" s="252"/>
      <x:c r="Z198" s="252"/>
      <x:c r="AA198" s="253"/>
      <x:c r="AB198" s="253" t="str">
        <x:f>IF(B198="","",IFERROR(INDEX('الزبائن'!$BA$6:$BA$505,MATCH(B198,'الزبائن'!$A$6:$A$505,0)),"source key not found"))</x:f>
      </x:c>
      <x:c r="AC198" s="253" t="str">
        <x:f>IF(B198="","",IFERROR(INDEX('الزبائن'!$BB$6:$BB$505,MATCH(B198,'الزبائن'!$A$6:$A$505,0)),"source key not found"))</x:f>
      </x:c>
      <x:c r="AD198" s="253" t="str">
        <x:f>IF(AND(A198="",C198="",D198="",I198="",L198="",M198=""),"",IF(C198="skip","SKIP",IF(OR(A198="",C198="",D198="",I198="",L198="",M198="",U198="",COUNTIF($A$6:$A$505,A198)&gt;1,AND(B198&lt;&gt;"",COUNTIF('الزبائن'!$A$6:$A$505,B198)=0),(COUNTIFS('أرقام التواصل'!$A$6:$A$505,"proposed_name",'أرقام التواصل'!$B$6:$B$505,A198,'أرقام التواصل'!$I$6:$I$505,"TRUE")+COUNTIFS('أرقام التواصل'!$A$6:$A$505,"proposed_name",'أرقام التواصل'!$B$6:$B$505,A198,'أرقام التواصل'!$C$6:$C$505,1))=0,AND(W198="TRUE",X198="")),"REVIEW","READY")))</x:f>
      </x:c>
      <x:c r="AE198" s="255" t="str">
        <x:f>IF(AD198="","",IF(AD198="READY","",IF(AD198="SKIP","Skipped by candidate_import_action",TRIM(IF(A198="","missing proposed_name_key; ","")&amp;IF(AND(A198&lt;&gt;"",COUNTIF($A$6:$A$505,A198)&gt;1),"duplicate proposed_name_key; ","")&amp;IF(C198="","missing candidate_import_action; ","")&amp;IF(D198="","missing move_reason; ","")&amp;IF(I198="","missing branch_id; ","")&amp;IF(L198="","missing first_name; ","")&amp;IF(M198="","missing last_name; ","")&amp;IF(U198="","missing status; ","")&amp;IF(AND(B198&lt;&gt;"",COUNTIF('الزبائن'!$A$6:$A$505,B198)=0),"source key not found; ","")&amp;IF((COUNTIFS('أرقام التواصل'!$A$6:$A$505,"proposed_name",'أرقام التواصل'!$B$6:$B$505,A198,'أرقام التواصل'!$I$6:$I$505,"TRUE")+COUNTIFS('أرقام التواصل'!$A$6:$A$505,"proposed_name",'أرقام التواصل'!$B$6:$B$505,A198,'أرقام التواصل'!$C$6:$C$505,1))=0,"missing primary contact in أرقام التواصل; ","")&amp;IF(AND(W198="TRUE",X198=""),"duplicate_type required when duplicate_flag TRUE; ","")))))</x:f>
      </x:c>
    </x:row>
    <x:row r="199">
      <x:c r="A199" s="302"/>
      <x:c r="B199" s="252"/>
      <x:c r="C199" s="253"/>
      <x:c r="D199" s="253"/>
      <x:c r="E199" s="253"/>
      <x:c r="F199" s="252"/>
      <x:c r="G199" s="253"/>
      <x:c r="H199" s="272"/>
      <x:c r="I199" s="253"/>
      <x:c r="J199" s="253"/>
      <x:c r="K199" s="253"/>
      <x:c r="L199" s="253"/>
      <x:c r="M199" s="253"/>
      <x:c r="N199" s="253"/>
      <x:c r="O199" s="253" t="str">
        <x:f>IF(TRIM(L199&amp;" "&amp;M199&amp;IF(N199&lt;&gt;""," ("&amp;N199&amp;")",""))="","",TRIM(L199&amp;" "&amp;M199&amp;IF(N199&lt;&gt;""," ("&amp;N199&amp;")","")))</x:f>
      </x:c>
      <x:c r="P199" s="253"/>
      <x:c r="Q199" s="252"/>
      <x:c r="R199" s="253"/>
      <x:c r="S199" s="253"/>
      <x:c r="T199" s="253"/>
      <x:c r="U199" s="253"/>
      <x:c r="V199" s="253"/>
      <x:c r="W199" s="253"/>
      <x:c r="X199" s="253"/>
      <x:c r="Y199" s="252"/>
      <x:c r="Z199" s="252"/>
      <x:c r="AA199" s="253"/>
      <x:c r="AB199" s="253" t="str">
        <x:f>IF(B199="","",IFERROR(INDEX('الزبائن'!$BA$6:$BA$505,MATCH(B199,'الزبائن'!$A$6:$A$505,0)),"source key not found"))</x:f>
      </x:c>
      <x:c r="AC199" s="253" t="str">
        <x:f>IF(B199="","",IFERROR(INDEX('الزبائن'!$BB$6:$BB$505,MATCH(B199,'الزبائن'!$A$6:$A$505,0)),"source key not found"))</x:f>
      </x:c>
      <x:c r="AD199" s="253" t="str">
        <x:f>IF(AND(A199="",C199="",D199="",I199="",L199="",M199=""),"",IF(C199="skip","SKIP",IF(OR(A199="",C199="",D199="",I199="",L199="",M199="",U199="",COUNTIF($A$6:$A$505,A199)&gt;1,AND(B199&lt;&gt;"",COUNTIF('الزبائن'!$A$6:$A$505,B199)=0),(COUNTIFS('أرقام التواصل'!$A$6:$A$505,"proposed_name",'أرقام التواصل'!$B$6:$B$505,A199,'أرقام التواصل'!$I$6:$I$505,"TRUE")+COUNTIFS('أرقام التواصل'!$A$6:$A$505,"proposed_name",'أرقام التواصل'!$B$6:$B$505,A199,'أرقام التواصل'!$C$6:$C$505,1))=0,AND(W199="TRUE",X199="")),"REVIEW","READY")))</x:f>
      </x:c>
      <x:c r="AE199" s="255" t="str">
        <x:f>IF(AD199="","",IF(AD199="READY","",IF(AD199="SKIP","Skipped by candidate_import_action",TRIM(IF(A199="","missing proposed_name_key; ","")&amp;IF(AND(A199&lt;&gt;"",COUNTIF($A$6:$A$505,A199)&gt;1),"duplicate proposed_name_key; ","")&amp;IF(C199="","missing candidate_import_action; ","")&amp;IF(D199="","missing move_reason; ","")&amp;IF(I199="","missing branch_id; ","")&amp;IF(L199="","missing first_name; ","")&amp;IF(M199="","missing last_name; ","")&amp;IF(U199="","missing status; ","")&amp;IF(AND(B199&lt;&gt;"",COUNTIF('الزبائن'!$A$6:$A$505,B199)=0),"source key not found; ","")&amp;IF((COUNTIFS('أرقام التواصل'!$A$6:$A$505,"proposed_name",'أرقام التواصل'!$B$6:$B$505,A199,'أرقام التواصل'!$I$6:$I$505,"TRUE")+COUNTIFS('أرقام التواصل'!$A$6:$A$505,"proposed_name",'أرقام التواصل'!$B$6:$B$505,A199,'أرقام التواصل'!$C$6:$C$505,1))=0,"missing primary contact in أرقام التواصل; ","")&amp;IF(AND(W199="TRUE",X199=""),"duplicate_type required when duplicate_flag TRUE; ","")))))</x:f>
      </x:c>
    </x:row>
    <x:row r="200">
      <x:c r="A200" s="302"/>
      <x:c r="B200" s="252"/>
      <x:c r="C200" s="253"/>
      <x:c r="D200" s="253"/>
      <x:c r="E200" s="253"/>
      <x:c r="F200" s="252"/>
      <x:c r="G200" s="253"/>
      <x:c r="H200" s="272"/>
      <x:c r="I200" s="253"/>
      <x:c r="J200" s="253"/>
      <x:c r="K200" s="253"/>
      <x:c r="L200" s="253"/>
      <x:c r="M200" s="253"/>
      <x:c r="N200" s="253"/>
      <x:c r="O200" s="253" t="str">
        <x:f>IF(TRIM(L200&amp;" "&amp;M200&amp;IF(N200&lt;&gt;""," ("&amp;N200&amp;")",""))="","",TRIM(L200&amp;" "&amp;M200&amp;IF(N200&lt;&gt;""," ("&amp;N200&amp;")","")))</x:f>
      </x:c>
      <x:c r="P200" s="253"/>
      <x:c r="Q200" s="252"/>
      <x:c r="R200" s="253"/>
      <x:c r="S200" s="253"/>
      <x:c r="T200" s="253"/>
      <x:c r="U200" s="253"/>
      <x:c r="V200" s="253"/>
      <x:c r="W200" s="253"/>
      <x:c r="X200" s="253"/>
      <x:c r="Y200" s="252"/>
      <x:c r="Z200" s="252"/>
      <x:c r="AA200" s="253"/>
      <x:c r="AB200" s="253" t="str">
        <x:f>IF(B200="","",IFERROR(INDEX('الزبائن'!$BA$6:$BA$505,MATCH(B200,'الزبائن'!$A$6:$A$505,0)),"source key not found"))</x:f>
      </x:c>
      <x:c r="AC200" s="253" t="str">
        <x:f>IF(B200="","",IFERROR(INDEX('الزبائن'!$BB$6:$BB$505,MATCH(B200,'الزبائن'!$A$6:$A$505,0)),"source key not found"))</x:f>
      </x:c>
      <x:c r="AD200" s="253" t="str">
        <x:f>IF(AND(A200="",C200="",D200="",I200="",L200="",M200=""),"",IF(C200="skip","SKIP",IF(OR(A200="",C200="",D200="",I200="",L200="",M200="",U200="",COUNTIF($A$6:$A$505,A200)&gt;1,AND(B200&lt;&gt;"",COUNTIF('الزبائن'!$A$6:$A$505,B200)=0),(COUNTIFS('أرقام التواصل'!$A$6:$A$505,"proposed_name",'أرقام التواصل'!$B$6:$B$505,A200,'أرقام التواصل'!$I$6:$I$505,"TRUE")+COUNTIFS('أرقام التواصل'!$A$6:$A$505,"proposed_name",'أرقام التواصل'!$B$6:$B$505,A200,'أرقام التواصل'!$C$6:$C$505,1))=0,AND(W200="TRUE",X200="")),"REVIEW","READY")))</x:f>
      </x:c>
      <x:c r="AE200" s="255" t="str">
        <x:f>IF(AD200="","",IF(AD200="READY","",IF(AD200="SKIP","Skipped by candidate_import_action",TRIM(IF(A200="","missing proposed_name_key; ","")&amp;IF(AND(A200&lt;&gt;"",COUNTIF($A$6:$A$505,A200)&gt;1),"duplicate proposed_name_key; ","")&amp;IF(C200="","missing candidate_import_action; ","")&amp;IF(D200="","missing move_reason; ","")&amp;IF(I200="","missing branch_id; ","")&amp;IF(L200="","missing first_name; ","")&amp;IF(M200="","missing last_name; ","")&amp;IF(U200="","missing status; ","")&amp;IF(AND(B200&lt;&gt;"",COUNTIF('الزبائن'!$A$6:$A$505,B200)=0),"source key not found; ","")&amp;IF((COUNTIFS('أرقام التواصل'!$A$6:$A$505,"proposed_name",'أرقام التواصل'!$B$6:$B$505,A200,'أرقام التواصل'!$I$6:$I$505,"TRUE")+COUNTIFS('أرقام التواصل'!$A$6:$A$505,"proposed_name",'أرقام التواصل'!$B$6:$B$505,A200,'أرقام التواصل'!$C$6:$C$505,1))=0,"missing primary contact in أرقام التواصل; ","")&amp;IF(AND(W200="TRUE",X200=""),"duplicate_type required when duplicate_flag TRUE; ","")))))</x:f>
      </x:c>
    </x:row>
    <x:row r="201">
      <x:c r="A201" s="302"/>
      <x:c r="B201" s="252"/>
      <x:c r="C201" s="253"/>
      <x:c r="D201" s="253"/>
      <x:c r="E201" s="253"/>
      <x:c r="F201" s="252"/>
      <x:c r="G201" s="253"/>
      <x:c r="H201" s="272"/>
      <x:c r="I201" s="253"/>
      <x:c r="J201" s="253"/>
      <x:c r="K201" s="253"/>
      <x:c r="L201" s="253"/>
      <x:c r="M201" s="253"/>
      <x:c r="N201" s="253"/>
      <x:c r="O201" s="253" t="str">
        <x:f>IF(TRIM(L201&amp;" "&amp;M201&amp;IF(N201&lt;&gt;""," ("&amp;N201&amp;")",""))="","",TRIM(L201&amp;" "&amp;M201&amp;IF(N201&lt;&gt;""," ("&amp;N201&amp;")","")))</x:f>
      </x:c>
      <x:c r="P201" s="253"/>
      <x:c r="Q201" s="252"/>
      <x:c r="R201" s="253"/>
      <x:c r="S201" s="253"/>
      <x:c r="T201" s="253"/>
      <x:c r="U201" s="253"/>
      <x:c r="V201" s="253"/>
      <x:c r="W201" s="253"/>
      <x:c r="X201" s="253"/>
      <x:c r="Y201" s="252"/>
      <x:c r="Z201" s="252"/>
      <x:c r="AA201" s="253"/>
      <x:c r="AB201" s="253" t="str">
        <x:f>IF(B201="","",IFERROR(INDEX('الزبائن'!$BA$6:$BA$505,MATCH(B201,'الزبائن'!$A$6:$A$505,0)),"source key not found"))</x:f>
      </x:c>
      <x:c r="AC201" s="253" t="str">
        <x:f>IF(B201="","",IFERROR(INDEX('الزبائن'!$BB$6:$BB$505,MATCH(B201,'الزبائن'!$A$6:$A$505,0)),"source key not found"))</x:f>
      </x:c>
      <x:c r="AD201" s="253" t="str">
        <x:f>IF(AND(A201="",C201="",D201="",I201="",L201="",M201=""),"",IF(C201="skip","SKIP",IF(OR(A201="",C201="",D201="",I201="",L201="",M201="",U201="",COUNTIF($A$6:$A$505,A201)&gt;1,AND(B201&lt;&gt;"",COUNTIF('الزبائن'!$A$6:$A$505,B201)=0),(COUNTIFS('أرقام التواصل'!$A$6:$A$505,"proposed_name",'أرقام التواصل'!$B$6:$B$505,A201,'أرقام التواصل'!$I$6:$I$505,"TRUE")+COUNTIFS('أرقام التواصل'!$A$6:$A$505,"proposed_name",'أرقام التواصل'!$B$6:$B$505,A201,'أرقام التواصل'!$C$6:$C$505,1))=0,AND(W201="TRUE",X201="")),"REVIEW","READY")))</x:f>
      </x:c>
      <x:c r="AE201" s="255" t="str">
        <x:f>IF(AD201="","",IF(AD201="READY","",IF(AD201="SKIP","Skipped by candidate_import_action",TRIM(IF(A201="","missing proposed_name_key; ","")&amp;IF(AND(A201&lt;&gt;"",COUNTIF($A$6:$A$505,A201)&gt;1),"duplicate proposed_name_key; ","")&amp;IF(C201="","missing candidate_import_action; ","")&amp;IF(D201="","missing move_reason; ","")&amp;IF(I201="","missing branch_id; ","")&amp;IF(L201="","missing first_name; ","")&amp;IF(M201="","missing last_name; ","")&amp;IF(U201="","missing status; ","")&amp;IF(AND(B201&lt;&gt;"",COUNTIF('الزبائن'!$A$6:$A$505,B201)=0),"source key not found; ","")&amp;IF((COUNTIFS('أرقام التواصل'!$A$6:$A$505,"proposed_name",'أرقام التواصل'!$B$6:$B$505,A201,'أرقام التواصل'!$I$6:$I$505,"TRUE")+COUNTIFS('أرقام التواصل'!$A$6:$A$505,"proposed_name",'أرقام التواصل'!$B$6:$B$505,A201,'أرقام التواصل'!$C$6:$C$505,1))=0,"missing primary contact in أرقام التواصل; ","")&amp;IF(AND(W201="TRUE",X201=""),"duplicate_type required when duplicate_flag TRUE; ","")))))</x:f>
      </x:c>
    </x:row>
    <x:row r="202">
      <x:c r="A202" s="302"/>
      <x:c r="B202" s="252"/>
      <x:c r="C202" s="253"/>
      <x:c r="D202" s="253"/>
      <x:c r="E202" s="253"/>
      <x:c r="F202" s="252"/>
      <x:c r="G202" s="253"/>
      <x:c r="H202" s="272"/>
      <x:c r="I202" s="253"/>
      <x:c r="J202" s="253"/>
      <x:c r="K202" s="253"/>
      <x:c r="L202" s="253"/>
      <x:c r="M202" s="253"/>
      <x:c r="N202" s="253"/>
      <x:c r="O202" s="253" t="str">
        <x:f>IF(TRIM(L202&amp;" "&amp;M202&amp;IF(N202&lt;&gt;""," ("&amp;N202&amp;")",""))="","",TRIM(L202&amp;" "&amp;M202&amp;IF(N202&lt;&gt;""," ("&amp;N202&amp;")","")))</x:f>
      </x:c>
      <x:c r="P202" s="253"/>
      <x:c r="Q202" s="252"/>
      <x:c r="R202" s="253"/>
      <x:c r="S202" s="253"/>
      <x:c r="T202" s="253"/>
      <x:c r="U202" s="253"/>
      <x:c r="V202" s="253"/>
      <x:c r="W202" s="253"/>
      <x:c r="X202" s="253"/>
      <x:c r="Y202" s="252"/>
      <x:c r="Z202" s="252"/>
      <x:c r="AA202" s="253"/>
      <x:c r="AB202" s="253" t="str">
        <x:f>IF(B202="","",IFERROR(INDEX('الزبائن'!$BA$6:$BA$505,MATCH(B202,'الزبائن'!$A$6:$A$505,0)),"source key not found"))</x:f>
      </x:c>
      <x:c r="AC202" s="253" t="str">
        <x:f>IF(B202="","",IFERROR(INDEX('الزبائن'!$BB$6:$BB$505,MATCH(B202,'الزبائن'!$A$6:$A$505,0)),"source key not found"))</x:f>
      </x:c>
      <x:c r="AD202" s="253" t="str">
        <x:f>IF(AND(A202="",C202="",D202="",I202="",L202="",M202=""),"",IF(C202="skip","SKIP",IF(OR(A202="",C202="",D202="",I202="",L202="",M202="",U202="",COUNTIF($A$6:$A$505,A202)&gt;1,AND(B202&lt;&gt;"",COUNTIF('الزبائن'!$A$6:$A$505,B202)=0),(COUNTIFS('أرقام التواصل'!$A$6:$A$505,"proposed_name",'أرقام التواصل'!$B$6:$B$505,A202,'أرقام التواصل'!$I$6:$I$505,"TRUE")+COUNTIFS('أرقام التواصل'!$A$6:$A$505,"proposed_name",'أرقام التواصل'!$B$6:$B$505,A202,'أرقام التواصل'!$C$6:$C$505,1))=0,AND(W202="TRUE",X202="")),"REVIEW","READY")))</x:f>
      </x:c>
      <x:c r="AE202" s="255" t="str">
        <x:f>IF(AD202="","",IF(AD202="READY","",IF(AD202="SKIP","Skipped by candidate_import_action",TRIM(IF(A202="","missing proposed_name_key; ","")&amp;IF(AND(A202&lt;&gt;"",COUNTIF($A$6:$A$505,A202)&gt;1),"duplicate proposed_name_key; ","")&amp;IF(C202="","missing candidate_import_action; ","")&amp;IF(D202="","missing move_reason; ","")&amp;IF(I202="","missing branch_id; ","")&amp;IF(L202="","missing first_name; ","")&amp;IF(M202="","missing last_name; ","")&amp;IF(U202="","missing status; ","")&amp;IF(AND(B202&lt;&gt;"",COUNTIF('الزبائن'!$A$6:$A$505,B202)=0),"source key not found; ","")&amp;IF((COUNTIFS('أرقام التواصل'!$A$6:$A$505,"proposed_name",'أرقام التواصل'!$B$6:$B$505,A202,'أرقام التواصل'!$I$6:$I$505,"TRUE")+COUNTIFS('أرقام التواصل'!$A$6:$A$505,"proposed_name",'أرقام التواصل'!$B$6:$B$505,A202,'أرقام التواصل'!$C$6:$C$505,1))=0,"missing primary contact in أرقام التواصل; ","")&amp;IF(AND(W202="TRUE",X202=""),"duplicate_type required when duplicate_flag TRUE; ","")))))</x:f>
      </x:c>
    </x:row>
    <x:row r="203">
      <x:c r="A203" s="302"/>
      <x:c r="B203" s="252"/>
      <x:c r="C203" s="253"/>
      <x:c r="D203" s="253"/>
      <x:c r="E203" s="253"/>
      <x:c r="F203" s="252"/>
      <x:c r="G203" s="253"/>
      <x:c r="H203" s="272"/>
      <x:c r="I203" s="253"/>
      <x:c r="J203" s="253"/>
      <x:c r="K203" s="253"/>
      <x:c r="L203" s="253"/>
      <x:c r="M203" s="253"/>
      <x:c r="N203" s="253"/>
      <x:c r="O203" s="253" t="str">
        <x:f>IF(TRIM(L203&amp;" "&amp;M203&amp;IF(N203&lt;&gt;""," ("&amp;N203&amp;")",""))="","",TRIM(L203&amp;" "&amp;M203&amp;IF(N203&lt;&gt;""," ("&amp;N203&amp;")","")))</x:f>
      </x:c>
      <x:c r="P203" s="253"/>
      <x:c r="Q203" s="252"/>
      <x:c r="R203" s="253"/>
      <x:c r="S203" s="253"/>
      <x:c r="T203" s="253"/>
      <x:c r="U203" s="253"/>
      <x:c r="V203" s="253"/>
      <x:c r="W203" s="253"/>
      <x:c r="X203" s="253"/>
      <x:c r="Y203" s="252"/>
      <x:c r="Z203" s="252"/>
      <x:c r="AA203" s="253"/>
      <x:c r="AB203" s="253" t="str">
        <x:f>IF(B203="","",IFERROR(INDEX('الزبائن'!$BA$6:$BA$505,MATCH(B203,'الزبائن'!$A$6:$A$505,0)),"source key not found"))</x:f>
      </x:c>
      <x:c r="AC203" s="253" t="str">
        <x:f>IF(B203="","",IFERROR(INDEX('الزبائن'!$BB$6:$BB$505,MATCH(B203,'الزبائن'!$A$6:$A$505,0)),"source key not found"))</x:f>
      </x:c>
      <x:c r="AD203" s="253" t="str">
        <x:f>IF(AND(A203="",C203="",D203="",I203="",L203="",M203=""),"",IF(C203="skip","SKIP",IF(OR(A203="",C203="",D203="",I203="",L203="",M203="",U203="",COUNTIF($A$6:$A$505,A203)&gt;1,AND(B203&lt;&gt;"",COUNTIF('الزبائن'!$A$6:$A$505,B203)=0),(COUNTIFS('أرقام التواصل'!$A$6:$A$505,"proposed_name",'أرقام التواصل'!$B$6:$B$505,A203,'أرقام التواصل'!$I$6:$I$505,"TRUE")+COUNTIFS('أرقام التواصل'!$A$6:$A$505,"proposed_name",'أرقام التواصل'!$B$6:$B$505,A203,'أرقام التواصل'!$C$6:$C$505,1))=0,AND(W203="TRUE",X203="")),"REVIEW","READY")))</x:f>
      </x:c>
      <x:c r="AE203" s="255" t="str">
        <x:f>IF(AD203="","",IF(AD203="READY","",IF(AD203="SKIP","Skipped by candidate_import_action",TRIM(IF(A203="","missing proposed_name_key; ","")&amp;IF(AND(A203&lt;&gt;"",COUNTIF($A$6:$A$505,A203)&gt;1),"duplicate proposed_name_key; ","")&amp;IF(C203="","missing candidate_import_action; ","")&amp;IF(D203="","missing move_reason; ","")&amp;IF(I203="","missing branch_id; ","")&amp;IF(L203="","missing first_name; ","")&amp;IF(M203="","missing last_name; ","")&amp;IF(U203="","missing status; ","")&amp;IF(AND(B203&lt;&gt;"",COUNTIF('الزبائن'!$A$6:$A$505,B203)=0),"source key not found; ","")&amp;IF((COUNTIFS('أرقام التواصل'!$A$6:$A$505,"proposed_name",'أرقام التواصل'!$B$6:$B$505,A203,'أرقام التواصل'!$I$6:$I$505,"TRUE")+COUNTIFS('أرقام التواصل'!$A$6:$A$505,"proposed_name",'أرقام التواصل'!$B$6:$B$505,A203,'أرقام التواصل'!$C$6:$C$505,1))=0,"missing primary contact in أرقام التواصل; ","")&amp;IF(AND(W203="TRUE",X203=""),"duplicate_type required when duplicate_flag TRUE; ","")))))</x:f>
      </x:c>
    </x:row>
    <x:row r="204">
      <x:c r="A204" s="302"/>
      <x:c r="B204" s="252"/>
      <x:c r="C204" s="253"/>
      <x:c r="D204" s="253"/>
      <x:c r="E204" s="253"/>
      <x:c r="F204" s="252"/>
      <x:c r="G204" s="253"/>
      <x:c r="H204" s="272"/>
      <x:c r="I204" s="253"/>
      <x:c r="J204" s="253"/>
      <x:c r="K204" s="253"/>
      <x:c r="L204" s="253"/>
      <x:c r="M204" s="253"/>
      <x:c r="N204" s="253"/>
      <x:c r="O204" s="253" t="str">
        <x:f>IF(TRIM(L204&amp;" "&amp;M204&amp;IF(N204&lt;&gt;""," ("&amp;N204&amp;")",""))="","",TRIM(L204&amp;" "&amp;M204&amp;IF(N204&lt;&gt;""," ("&amp;N204&amp;")","")))</x:f>
      </x:c>
      <x:c r="P204" s="253"/>
      <x:c r="Q204" s="252"/>
      <x:c r="R204" s="253"/>
      <x:c r="S204" s="253"/>
      <x:c r="T204" s="253"/>
      <x:c r="U204" s="253"/>
      <x:c r="V204" s="253"/>
      <x:c r="W204" s="253"/>
      <x:c r="X204" s="253"/>
      <x:c r="Y204" s="252"/>
      <x:c r="Z204" s="252"/>
      <x:c r="AA204" s="253"/>
      <x:c r="AB204" s="253" t="str">
        <x:f>IF(B204="","",IFERROR(INDEX('الزبائن'!$BA$6:$BA$505,MATCH(B204,'الزبائن'!$A$6:$A$505,0)),"source key not found"))</x:f>
      </x:c>
      <x:c r="AC204" s="253" t="str">
        <x:f>IF(B204="","",IFERROR(INDEX('الزبائن'!$BB$6:$BB$505,MATCH(B204,'الزبائن'!$A$6:$A$505,0)),"source key not found"))</x:f>
      </x:c>
      <x:c r="AD204" s="253" t="str">
        <x:f>IF(AND(A204="",C204="",D204="",I204="",L204="",M204=""),"",IF(C204="skip","SKIP",IF(OR(A204="",C204="",D204="",I204="",L204="",M204="",U204="",COUNTIF($A$6:$A$505,A204)&gt;1,AND(B204&lt;&gt;"",COUNTIF('الزبائن'!$A$6:$A$505,B204)=0),(COUNTIFS('أرقام التواصل'!$A$6:$A$505,"proposed_name",'أرقام التواصل'!$B$6:$B$505,A204,'أرقام التواصل'!$I$6:$I$505,"TRUE")+COUNTIFS('أرقام التواصل'!$A$6:$A$505,"proposed_name",'أرقام التواصل'!$B$6:$B$505,A204,'أرقام التواصل'!$C$6:$C$505,1))=0,AND(W204="TRUE",X204="")),"REVIEW","READY")))</x:f>
      </x:c>
      <x:c r="AE204" s="255" t="str">
        <x:f>IF(AD204="","",IF(AD204="READY","",IF(AD204="SKIP","Skipped by candidate_import_action",TRIM(IF(A204="","missing proposed_name_key; ","")&amp;IF(AND(A204&lt;&gt;"",COUNTIF($A$6:$A$505,A204)&gt;1),"duplicate proposed_name_key; ","")&amp;IF(C204="","missing candidate_import_action; ","")&amp;IF(D204="","missing move_reason; ","")&amp;IF(I204="","missing branch_id; ","")&amp;IF(L204="","missing first_name; ","")&amp;IF(M204="","missing last_name; ","")&amp;IF(U204="","missing status; ","")&amp;IF(AND(B204&lt;&gt;"",COUNTIF('الزبائن'!$A$6:$A$505,B204)=0),"source key not found; ","")&amp;IF((COUNTIFS('أرقام التواصل'!$A$6:$A$505,"proposed_name",'أرقام التواصل'!$B$6:$B$505,A204,'أرقام التواصل'!$I$6:$I$505,"TRUE")+COUNTIFS('أرقام التواصل'!$A$6:$A$505,"proposed_name",'أرقام التواصل'!$B$6:$B$505,A204,'أرقام التواصل'!$C$6:$C$505,1))=0,"missing primary contact in أرقام التواصل; ","")&amp;IF(AND(W204="TRUE",X204=""),"duplicate_type required when duplicate_flag TRUE; ","")))))</x:f>
      </x:c>
    </x:row>
    <x:row r="205">
      <x:c r="A205" s="302"/>
      <x:c r="B205" s="252"/>
      <x:c r="C205" s="253"/>
      <x:c r="D205" s="253"/>
      <x:c r="E205" s="253"/>
      <x:c r="F205" s="252"/>
      <x:c r="G205" s="253"/>
      <x:c r="H205" s="272"/>
      <x:c r="I205" s="253"/>
      <x:c r="J205" s="253"/>
      <x:c r="K205" s="253"/>
      <x:c r="L205" s="253"/>
      <x:c r="M205" s="253"/>
      <x:c r="N205" s="253"/>
      <x:c r="O205" s="253" t="str">
        <x:f>IF(TRIM(L205&amp;" "&amp;M205&amp;IF(N205&lt;&gt;""," ("&amp;N205&amp;")",""))="","",TRIM(L205&amp;" "&amp;M205&amp;IF(N205&lt;&gt;""," ("&amp;N205&amp;")","")))</x:f>
      </x:c>
      <x:c r="P205" s="253"/>
      <x:c r="Q205" s="252"/>
      <x:c r="R205" s="253"/>
      <x:c r="S205" s="253"/>
      <x:c r="T205" s="253"/>
      <x:c r="U205" s="253"/>
      <x:c r="V205" s="253"/>
      <x:c r="W205" s="253"/>
      <x:c r="X205" s="253"/>
      <x:c r="Y205" s="252"/>
      <x:c r="Z205" s="252"/>
      <x:c r="AA205" s="253"/>
      <x:c r="AB205" s="253" t="str">
        <x:f>IF(B205="","",IFERROR(INDEX('الزبائن'!$BA$6:$BA$505,MATCH(B205,'الزبائن'!$A$6:$A$505,0)),"source key not found"))</x:f>
      </x:c>
      <x:c r="AC205" s="253" t="str">
        <x:f>IF(B205="","",IFERROR(INDEX('الزبائن'!$BB$6:$BB$505,MATCH(B205,'الزبائن'!$A$6:$A$505,0)),"source key not found"))</x:f>
      </x:c>
      <x:c r="AD205" s="253" t="str">
        <x:f>IF(AND(A205="",C205="",D205="",I205="",L205="",M205=""),"",IF(C205="skip","SKIP",IF(OR(A205="",C205="",D205="",I205="",L205="",M205="",U205="",COUNTIF($A$6:$A$505,A205)&gt;1,AND(B205&lt;&gt;"",COUNTIF('الزبائن'!$A$6:$A$505,B205)=0),(COUNTIFS('أرقام التواصل'!$A$6:$A$505,"proposed_name",'أرقام التواصل'!$B$6:$B$505,A205,'أرقام التواصل'!$I$6:$I$505,"TRUE")+COUNTIFS('أرقام التواصل'!$A$6:$A$505,"proposed_name",'أرقام التواصل'!$B$6:$B$505,A205,'أرقام التواصل'!$C$6:$C$505,1))=0,AND(W205="TRUE",X205="")),"REVIEW","READY")))</x:f>
      </x:c>
      <x:c r="AE205" s="255" t="str">
        <x:f>IF(AD205="","",IF(AD205="READY","",IF(AD205="SKIP","Skipped by candidate_import_action",TRIM(IF(A205="","missing proposed_name_key; ","")&amp;IF(AND(A205&lt;&gt;"",COUNTIF($A$6:$A$505,A205)&gt;1),"duplicate proposed_name_key; ","")&amp;IF(C205="","missing candidate_import_action; ","")&amp;IF(D205="","missing move_reason; ","")&amp;IF(I205="","missing branch_id; ","")&amp;IF(L205="","missing first_name; ","")&amp;IF(M205="","missing last_name; ","")&amp;IF(U205="","missing status; ","")&amp;IF(AND(B205&lt;&gt;"",COUNTIF('الزبائن'!$A$6:$A$505,B205)=0),"source key not found; ","")&amp;IF((COUNTIFS('أرقام التواصل'!$A$6:$A$505,"proposed_name",'أرقام التواصل'!$B$6:$B$505,A205,'أرقام التواصل'!$I$6:$I$505,"TRUE")+COUNTIFS('أرقام التواصل'!$A$6:$A$505,"proposed_name",'أرقام التواصل'!$B$6:$B$505,A205,'أرقام التواصل'!$C$6:$C$505,1))=0,"missing primary contact in أرقام التواصل; ","")&amp;IF(AND(W205="TRUE",X205=""),"duplicate_type required when duplicate_flag TRUE; ","")))))</x:f>
      </x:c>
    </x:row>
    <x:row r="206">
      <x:c r="A206" s="302"/>
      <x:c r="B206" s="252"/>
      <x:c r="C206" s="253"/>
      <x:c r="D206" s="253"/>
      <x:c r="E206" s="253"/>
      <x:c r="F206" s="252"/>
      <x:c r="G206" s="253"/>
      <x:c r="H206" s="272"/>
      <x:c r="I206" s="253"/>
      <x:c r="J206" s="253"/>
      <x:c r="K206" s="253"/>
      <x:c r="L206" s="253"/>
      <x:c r="M206" s="253"/>
      <x:c r="N206" s="253"/>
      <x:c r="O206" s="253" t="str">
        <x:f>IF(TRIM(L206&amp;" "&amp;M206&amp;IF(N206&lt;&gt;""," ("&amp;N206&amp;")",""))="","",TRIM(L206&amp;" "&amp;M206&amp;IF(N206&lt;&gt;""," ("&amp;N206&amp;")","")))</x:f>
      </x:c>
      <x:c r="P206" s="253"/>
      <x:c r="Q206" s="252"/>
      <x:c r="R206" s="253"/>
      <x:c r="S206" s="253"/>
      <x:c r="T206" s="253"/>
      <x:c r="U206" s="253"/>
      <x:c r="V206" s="253"/>
      <x:c r="W206" s="253"/>
      <x:c r="X206" s="253"/>
      <x:c r="Y206" s="252"/>
      <x:c r="Z206" s="252"/>
      <x:c r="AA206" s="253"/>
      <x:c r="AB206" s="253" t="str">
        <x:f>IF(B206="","",IFERROR(INDEX('الزبائن'!$BA$6:$BA$505,MATCH(B206,'الزبائن'!$A$6:$A$505,0)),"source key not found"))</x:f>
      </x:c>
      <x:c r="AC206" s="253" t="str">
        <x:f>IF(B206="","",IFERROR(INDEX('الزبائن'!$BB$6:$BB$505,MATCH(B206,'الزبائن'!$A$6:$A$505,0)),"source key not found"))</x:f>
      </x:c>
      <x:c r="AD206" s="253" t="str">
        <x:f>IF(AND(A206="",C206="",D206="",I206="",L206="",M206=""),"",IF(C206="skip","SKIP",IF(OR(A206="",C206="",D206="",I206="",L206="",M206="",U206="",COUNTIF($A$6:$A$505,A206)&gt;1,AND(B206&lt;&gt;"",COUNTIF('الزبائن'!$A$6:$A$505,B206)=0),(COUNTIFS('أرقام التواصل'!$A$6:$A$505,"proposed_name",'أرقام التواصل'!$B$6:$B$505,A206,'أرقام التواصل'!$I$6:$I$505,"TRUE")+COUNTIFS('أرقام التواصل'!$A$6:$A$505,"proposed_name",'أرقام التواصل'!$B$6:$B$505,A206,'أرقام التواصل'!$C$6:$C$505,1))=0,AND(W206="TRUE",X206="")),"REVIEW","READY")))</x:f>
      </x:c>
      <x:c r="AE206" s="255" t="str">
        <x:f>IF(AD206="","",IF(AD206="READY","",IF(AD206="SKIP","Skipped by candidate_import_action",TRIM(IF(A206="","missing proposed_name_key; ","")&amp;IF(AND(A206&lt;&gt;"",COUNTIF($A$6:$A$505,A206)&gt;1),"duplicate proposed_name_key; ","")&amp;IF(C206="","missing candidate_import_action; ","")&amp;IF(D206="","missing move_reason; ","")&amp;IF(I206="","missing branch_id; ","")&amp;IF(L206="","missing first_name; ","")&amp;IF(M206="","missing last_name; ","")&amp;IF(U206="","missing status; ","")&amp;IF(AND(B206&lt;&gt;"",COUNTIF('الزبائن'!$A$6:$A$505,B206)=0),"source key not found; ","")&amp;IF((COUNTIFS('أرقام التواصل'!$A$6:$A$505,"proposed_name",'أرقام التواصل'!$B$6:$B$505,A206,'أرقام التواصل'!$I$6:$I$505,"TRUE")+COUNTIFS('أرقام التواصل'!$A$6:$A$505,"proposed_name",'أرقام التواصل'!$B$6:$B$505,A206,'أرقام التواصل'!$C$6:$C$505,1))=0,"missing primary contact in أرقام التواصل; ","")&amp;IF(AND(W206="TRUE",X206=""),"duplicate_type required when duplicate_flag TRUE; ","")))))</x:f>
      </x:c>
    </x:row>
    <x:row r="207">
      <x:c r="A207" s="302"/>
      <x:c r="B207" s="252"/>
      <x:c r="C207" s="253"/>
      <x:c r="D207" s="253"/>
      <x:c r="E207" s="253"/>
      <x:c r="F207" s="252"/>
      <x:c r="G207" s="253"/>
      <x:c r="H207" s="272"/>
      <x:c r="I207" s="253"/>
      <x:c r="J207" s="253"/>
      <x:c r="K207" s="253"/>
      <x:c r="L207" s="253"/>
      <x:c r="M207" s="253"/>
      <x:c r="N207" s="253"/>
      <x:c r="O207" s="253" t="str">
        <x:f>IF(TRIM(L207&amp;" "&amp;M207&amp;IF(N207&lt;&gt;""," ("&amp;N207&amp;")",""))="","",TRIM(L207&amp;" "&amp;M207&amp;IF(N207&lt;&gt;""," ("&amp;N207&amp;")","")))</x:f>
      </x:c>
      <x:c r="P207" s="253"/>
      <x:c r="Q207" s="252"/>
      <x:c r="R207" s="253"/>
      <x:c r="S207" s="253"/>
      <x:c r="T207" s="253"/>
      <x:c r="U207" s="253"/>
      <x:c r="V207" s="253"/>
      <x:c r="W207" s="253"/>
      <x:c r="X207" s="253"/>
      <x:c r="Y207" s="252"/>
      <x:c r="Z207" s="252"/>
      <x:c r="AA207" s="253"/>
      <x:c r="AB207" s="253" t="str">
        <x:f>IF(B207="","",IFERROR(INDEX('الزبائن'!$BA$6:$BA$505,MATCH(B207,'الزبائن'!$A$6:$A$505,0)),"source key not found"))</x:f>
      </x:c>
      <x:c r="AC207" s="253" t="str">
        <x:f>IF(B207="","",IFERROR(INDEX('الزبائن'!$BB$6:$BB$505,MATCH(B207,'الزبائن'!$A$6:$A$505,0)),"source key not found"))</x:f>
      </x:c>
      <x:c r="AD207" s="253" t="str">
        <x:f>IF(AND(A207="",C207="",D207="",I207="",L207="",M207=""),"",IF(C207="skip","SKIP",IF(OR(A207="",C207="",D207="",I207="",L207="",M207="",U207="",COUNTIF($A$6:$A$505,A207)&gt;1,AND(B207&lt;&gt;"",COUNTIF('الزبائن'!$A$6:$A$505,B207)=0),(COUNTIFS('أرقام التواصل'!$A$6:$A$505,"proposed_name",'أرقام التواصل'!$B$6:$B$505,A207,'أرقام التواصل'!$I$6:$I$505,"TRUE")+COUNTIFS('أرقام التواصل'!$A$6:$A$505,"proposed_name",'أرقام التواصل'!$B$6:$B$505,A207,'أرقام التواصل'!$C$6:$C$505,1))=0,AND(W207="TRUE",X207="")),"REVIEW","READY")))</x:f>
      </x:c>
      <x:c r="AE207" s="255" t="str">
        <x:f>IF(AD207="","",IF(AD207="READY","",IF(AD207="SKIP","Skipped by candidate_import_action",TRIM(IF(A207="","missing proposed_name_key; ","")&amp;IF(AND(A207&lt;&gt;"",COUNTIF($A$6:$A$505,A207)&gt;1),"duplicate proposed_name_key; ","")&amp;IF(C207="","missing candidate_import_action; ","")&amp;IF(D207="","missing move_reason; ","")&amp;IF(I207="","missing branch_id; ","")&amp;IF(L207="","missing first_name; ","")&amp;IF(M207="","missing last_name; ","")&amp;IF(U207="","missing status; ","")&amp;IF(AND(B207&lt;&gt;"",COUNTIF('الزبائن'!$A$6:$A$505,B207)=0),"source key not found; ","")&amp;IF((COUNTIFS('أرقام التواصل'!$A$6:$A$505,"proposed_name",'أرقام التواصل'!$B$6:$B$505,A207,'أرقام التواصل'!$I$6:$I$505,"TRUE")+COUNTIFS('أرقام التواصل'!$A$6:$A$505,"proposed_name",'أرقام التواصل'!$B$6:$B$505,A207,'أرقام التواصل'!$C$6:$C$505,1))=0,"missing primary contact in أرقام التواصل; ","")&amp;IF(AND(W207="TRUE",X207=""),"duplicate_type required when duplicate_flag TRUE; ","")))))</x:f>
      </x:c>
    </x:row>
    <x:row r="208">
      <x:c r="A208" s="302"/>
      <x:c r="B208" s="252"/>
      <x:c r="C208" s="253"/>
      <x:c r="D208" s="253"/>
      <x:c r="E208" s="253"/>
      <x:c r="F208" s="252"/>
      <x:c r="G208" s="253"/>
      <x:c r="H208" s="272"/>
      <x:c r="I208" s="253"/>
      <x:c r="J208" s="253"/>
      <x:c r="K208" s="253"/>
      <x:c r="L208" s="253"/>
      <x:c r="M208" s="253"/>
      <x:c r="N208" s="253"/>
      <x:c r="O208" s="253" t="str">
        <x:f>IF(TRIM(L208&amp;" "&amp;M208&amp;IF(N208&lt;&gt;""," ("&amp;N208&amp;")",""))="","",TRIM(L208&amp;" "&amp;M208&amp;IF(N208&lt;&gt;""," ("&amp;N208&amp;")","")))</x:f>
      </x:c>
      <x:c r="P208" s="253"/>
      <x:c r="Q208" s="252"/>
      <x:c r="R208" s="253"/>
      <x:c r="S208" s="253"/>
      <x:c r="T208" s="253"/>
      <x:c r="U208" s="253"/>
      <x:c r="V208" s="253"/>
      <x:c r="W208" s="253"/>
      <x:c r="X208" s="253"/>
      <x:c r="Y208" s="252"/>
      <x:c r="Z208" s="252"/>
      <x:c r="AA208" s="253"/>
      <x:c r="AB208" s="253" t="str">
        <x:f>IF(B208="","",IFERROR(INDEX('الزبائن'!$BA$6:$BA$505,MATCH(B208,'الزبائن'!$A$6:$A$505,0)),"source key not found"))</x:f>
      </x:c>
      <x:c r="AC208" s="253" t="str">
        <x:f>IF(B208="","",IFERROR(INDEX('الزبائن'!$BB$6:$BB$505,MATCH(B208,'الزبائن'!$A$6:$A$505,0)),"source key not found"))</x:f>
      </x:c>
      <x:c r="AD208" s="253" t="str">
        <x:f>IF(AND(A208="",C208="",D208="",I208="",L208="",M208=""),"",IF(C208="skip","SKIP",IF(OR(A208="",C208="",D208="",I208="",L208="",M208="",U208="",COUNTIF($A$6:$A$505,A208)&gt;1,AND(B208&lt;&gt;"",COUNTIF('الزبائن'!$A$6:$A$505,B208)=0),(COUNTIFS('أرقام التواصل'!$A$6:$A$505,"proposed_name",'أرقام التواصل'!$B$6:$B$505,A208,'أرقام التواصل'!$I$6:$I$505,"TRUE")+COUNTIFS('أرقام التواصل'!$A$6:$A$505,"proposed_name",'أرقام التواصل'!$B$6:$B$505,A208,'أرقام التواصل'!$C$6:$C$505,1))=0,AND(W208="TRUE",X208="")),"REVIEW","READY")))</x:f>
      </x:c>
      <x:c r="AE208" s="255" t="str">
        <x:f>IF(AD208="","",IF(AD208="READY","",IF(AD208="SKIP","Skipped by candidate_import_action",TRIM(IF(A208="","missing proposed_name_key; ","")&amp;IF(AND(A208&lt;&gt;"",COUNTIF($A$6:$A$505,A208)&gt;1),"duplicate proposed_name_key; ","")&amp;IF(C208="","missing candidate_import_action; ","")&amp;IF(D208="","missing move_reason; ","")&amp;IF(I208="","missing branch_id; ","")&amp;IF(L208="","missing first_name; ","")&amp;IF(M208="","missing last_name; ","")&amp;IF(U208="","missing status; ","")&amp;IF(AND(B208&lt;&gt;"",COUNTIF('الزبائن'!$A$6:$A$505,B208)=0),"source key not found; ","")&amp;IF((COUNTIFS('أرقام التواصل'!$A$6:$A$505,"proposed_name",'أرقام التواصل'!$B$6:$B$505,A208,'أرقام التواصل'!$I$6:$I$505,"TRUE")+COUNTIFS('أرقام التواصل'!$A$6:$A$505,"proposed_name",'أرقام التواصل'!$B$6:$B$505,A208,'أرقام التواصل'!$C$6:$C$505,1))=0,"missing primary contact in أرقام التواصل; ","")&amp;IF(AND(W208="TRUE",X208=""),"duplicate_type required when duplicate_flag TRUE; ","")))))</x:f>
      </x:c>
    </x:row>
    <x:row r="209">
      <x:c r="A209" s="302"/>
      <x:c r="B209" s="252"/>
      <x:c r="C209" s="253"/>
      <x:c r="D209" s="253"/>
      <x:c r="E209" s="253"/>
      <x:c r="F209" s="252"/>
      <x:c r="G209" s="253"/>
      <x:c r="H209" s="272"/>
      <x:c r="I209" s="253"/>
      <x:c r="J209" s="253"/>
      <x:c r="K209" s="253"/>
      <x:c r="L209" s="253"/>
      <x:c r="M209" s="253"/>
      <x:c r="N209" s="253"/>
      <x:c r="O209" s="253" t="str">
        <x:f>IF(TRIM(L209&amp;" "&amp;M209&amp;IF(N209&lt;&gt;""," ("&amp;N209&amp;")",""))="","",TRIM(L209&amp;" "&amp;M209&amp;IF(N209&lt;&gt;""," ("&amp;N209&amp;")","")))</x:f>
      </x:c>
      <x:c r="P209" s="253"/>
      <x:c r="Q209" s="252"/>
      <x:c r="R209" s="253"/>
      <x:c r="S209" s="253"/>
      <x:c r="T209" s="253"/>
      <x:c r="U209" s="253"/>
      <x:c r="V209" s="253"/>
      <x:c r="W209" s="253"/>
      <x:c r="X209" s="253"/>
      <x:c r="Y209" s="252"/>
      <x:c r="Z209" s="252"/>
      <x:c r="AA209" s="253"/>
      <x:c r="AB209" s="253" t="str">
        <x:f>IF(B209="","",IFERROR(INDEX('الزبائن'!$BA$6:$BA$505,MATCH(B209,'الزبائن'!$A$6:$A$505,0)),"source key not found"))</x:f>
      </x:c>
      <x:c r="AC209" s="253" t="str">
        <x:f>IF(B209="","",IFERROR(INDEX('الزبائن'!$BB$6:$BB$505,MATCH(B209,'الزبائن'!$A$6:$A$505,0)),"source key not found"))</x:f>
      </x:c>
      <x:c r="AD209" s="253" t="str">
        <x:f>IF(AND(A209="",C209="",D209="",I209="",L209="",M209=""),"",IF(C209="skip","SKIP",IF(OR(A209="",C209="",D209="",I209="",L209="",M209="",U209="",COUNTIF($A$6:$A$505,A209)&gt;1,AND(B209&lt;&gt;"",COUNTIF('الزبائن'!$A$6:$A$505,B209)=0),(COUNTIFS('أرقام التواصل'!$A$6:$A$505,"proposed_name",'أرقام التواصل'!$B$6:$B$505,A209,'أرقام التواصل'!$I$6:$I$505,"TRUE")+COUNTIFS('أرقام التواصل'!$A$6:$A$505,"proposed_name",'أرقام التواصل'!$B$6:$B$505,A209,'أرقام التواصل'!$C$6:$C$505,1))=0,AND(W209="TRUE",X209="")),"REVIEW","READY")))</x:f>
      </x:c>
      <x:c r="AE209" s="255" t="str">
        <x:f>IF(AD209="","",IF(AD209="READY","",IF(AD209="SKIP","Skipped by candidate_import_action",TRIM(IF(A209="","missing proposed_name_key; ","")&amp;IF(AND(A209&lt;&gt;"",COUNTIF($A$6:$A$505,A209)&gt;1),"duplicate proposed_name_key; ","")&amp;IF(C209="","missing candidate_import_action; ","")&amp;IF(D209="","missing move_reason; ","")&amp;IF(I209="","missing branch_id; ","")&amp;IF(L209="","missing first_name; ","")&amp;IF(M209="","missing last_name; ","")&amp;IF(U209="","missing status; ","")&amp;IF(AND(B209&lt;&gt;"",COUNTIF('الزبائن'!$A$6:$A$505,B209)=0),"source key not found; ","")&amp;IF((COUNTIFS('أرقام التواصل'!$A$6:$A$505,"proposed_name",'أرقام التواصل'!$B$6:$B$505,A209,'أرقام التواصل'!$I$6:$I$505,"TRUE")+COUNTIFS('أرقام التواصل'!$A$6:$A$505,"proposed_name",'أرقام التواصل'!$B$6:$B$505,A209,'أرقام التواصل'!$C$6:$C$505,1))=0,"missing primary contact in أرقام التواصل; ","")&amp;IF(AND(W209="TRUE",X209=""),"duplicate_type required when duplicate_flag TRUE; ","")))))</x:f>
      </x:c>
    </x:row>
    <x:row r="210">
      <x:c r="A210" s="302"/>
      <x:c r="B210" s="252"/>
      <x:c r="C210" s="253"/>
      <x:c r="D210" s="253"/>
      <x:c r="E210" s="253"/>
      <x:c r="F210" s="252"/>
      <x:c r="G210" s="253"/>
      <x:c r="H210" s="272"/>
      <x:c r="I210" s="253"/>
      <x:c r="J210" s="253"/>
      <x:c r="K210" s="253"/>
      <x:c r="L210" s="253"/>
      <x:c r="M210" s="253"/>
      <x:c r="N210" s="253"/>
      <x:c r="O210" s="253" t="str">
        <x:f>IF(TRIM(L210&amp;" "&amp;M210&amp;IF(N210&lt;&gt;""," ("&amp;N210&amp;")",""))="","",TRIM(L210&amp;" "&amp;M210&amp;IF(N210&lt;&gt;""," ("&amp;N210&amp;")","")))</x:f>
      </x:c>
      <x:c r="P210" s="253"/>
      <x:c r="Q210" s="252"/>
      <x:c r="R210" s="253"/>
      <x:c r="S210" s="253"/>
      <x:c r="T210" s="253"/>
      <x:c r="U210" s="253"/>
      <x:c r="V210" s="253"/>
      <x:c r="W210" s="253"/>
      <x:c r="X210" s="253"/>
      <x:c r="Y210" s="252"/>
      <x:c r="Z210" s="252"/>
      <x:c r="AA210" s="253"/>
      <x:c r="AB210" s="253" t="str">
        <x:f>IF(B210="","",IFERROR(INDEX('الزبائن'!$BA$6:$BA$505,MATCH(B210,'الزبائن'!$A$6:$A$505,0)),"source key not found"))</x:f>
      </x:c>
      <x:c r="AC210" s="253" t="str">
        <x:f>IF(B210="","",IFERROR(INDEX('الزبائن'!$BB$6:$BB$505,MATCH(B210,'الزبائن'!$A$6:$A$505,0)),"source key not found"))</x:f>
      </x:c>
      <x:c r="AD210" s="253" t="str">
        <x:f>IF(AND(A210="",C210="",D210="",I210="",L210="",M210=""),"",IF(C210="skip","SKIP",IF(OR(A210="",C210="",D210="",I210="",L210="",M210="",U210="",COUNTIF($A$6:$A$505,A210)&gt;1,AND(B210&lt;&gt;"",COUNTIF('الزبائن'!$A$6:$A$505,B210)=0),(COUNTIFS('أرقام التواصل'!$A$6:$A$505,"proposed_name",'أرقام التواصل'!$B$6:$B$505,A210,'أرقام التواصل'!$I$6:$I$505,"TRUE")+COUNTIFS('أرقام التواصل'!$A$6:$A$505,"proposed_name",'أرقام التواصل'!$B$6:$B$505,A210,'أرقام التواصل'!$C$6:$C$505,1))=0,AND(W210="TRUE",X210="")),"REVIEW","READY")))</x:f>
      </x:c>
      <x:c r="AE210" s="255" t="str">
        <x:f>IF(AD210="","",IF(AD210="READY","",IF(AD210="SKIP","Skipped by candidate_import_action",TRIM(IF(A210="","missing proposed_name_key; ","")&amp;IF(AND(A210&lt;&gt;"",COUNTIF($A$6:$A$505,A210)&gt;1),"duplicate proposed_name_key; ","")&amp;IF(C210="","missing candidate_import_action; ","")&amp;IF(D210="","missing move_reason; ","")&amp;IF(I210="","missing branch_id; ","")&amp;IF(L210="","missing first_name; ","")&amp;IF(M210="","missing last_name; ","")&amp;IF(U210="","missing status; ","")&amp;IF(AND(B210&lt;&gt;"",COUNTIF('الزبائن'!$A$6:$A$505,B210)=0),"source key not found; ","")&amp;IF((COUNTIFS('أرقام التواصل'!$A$6:$A$505,"proposed_name",'أرقام التواصل'!$B$6:$B$505,A210,'أرقام التواصل'!$I$6:$I$505,"TRUE")+COUNTIFS('أرقام التواصل'!$A$6:$A$505,"proposed_name",'أرقام التواصل'!$B$6:$B$505,A210,'أرقام التواصل'!$C$6:$C$505,1))=0,"missing primary contact in أرقام التواصل; ","")&amp;IF(AND(W210="TRUE",X210=""),"duplicate_type required when duplicate_flag TRUE; ","")))))</x:f>
      </x:c>
    </x:row>
    <x:row r="211">
      <x:c r="A211" s="302"/>
      <x:c r="B211" s="252"/>
      <x:c r="C211" s="253"/>
      <x:c r="D211" s="253"/>
      <x:c r="E211" s="253"/>
      <x:c r="F211" s="252"/>
      <x:c r="G211" s="253"/>
      <x:c r="H211" s="272"/>
      <x:c r="I211" s="253"/>
      <x:c r="J211" s="253"/>
      <x:c r="K211" s="253"/>
      <x:c r="L211" s="253"/>
      <x:c r="M211" s="253"/>
      <x:c r="N211" s="253"/>
      <x:c r="O211" s="253" t="str">
        <x:f>IF(TRIM(L211&amp;" "&amp;M211&amp;IF(N211&lt;&gt;""," ("&amp;N211&amp;")",""))="","",TRIM(L211&amp;" "&amp;M211&amp;IF(N211&lt;&gt;""," ("&amp;N211&amp;")","")))</x:f>
      </x:c>
      <x:c r="P211" s="253"/>
      <x:c r="Q211" s="252"/>
      <x:c r="R211" s="253"/>
      <x:c r="S211" s="253"/>
      <x:c r="T211" s="253"/>
      <x:c r="U211" s="253"/>
      <x:c r="V211" s="253"/>
      <x:c r="W211" s="253"/>
      <x:c r="X211" s="253"/>
      <x:c r="Y211" s="252"/>
      <x:c r="Z211" s="252"/>
      <x:c r="AA211" s="253"/>
      <x:c r="AB211" s="253" t="str">
        <x:f>IF(B211="","",IFERROR(INDEX('الزبائن'!$BA$6:$BA$505,MATCH(B211,'الزبائن'!$A$6:$A$505,0)),"source key not found"))</x:f>
      </x:c>
      <x:c r="AC211" s="253" t="str">
        <x:f>IF(B211="","",IFERROR(INDEX('الزبائن'!$BB$6:$BB$505,MATCH(B211,'الزبائن'!$A$6:$A$505,0)),"source key not found"))</x:f>
      </x:c>
      <x:c r="AD211" s="253" t="str">
        <x:f>IF(AND(A211="",C211="",D211="",I211="",L211="",M211=""),"",IF(C211="skip","SKIP",IF(OR(A211="",C211="",D211="",I211="",L211="",M211="",U211="",COUNTIF($A$6:$A$505,A211)&gt;1,AND(B211&lt;&gt;"",COUNTIF('الزبائن'!$A$6:$A$505,B211)=0),(COUNTIFS('أرقام التواصل'!$A$6:$A$505,"proposed_name",'أرقام التواصل'!$B$6:$B$505,A211,'أرقام التواصل'!$I$6:$I$505,"TRUE")+COUNTIFS('أرقام التواصل'!$A$6:$A$505,"proposed_name",'أرقام التواصل'!$B$6:$B$505,A211,'أرقام التواصل'!$C$6:$C$505,1))=0,AND(W211="TRUE",X211="")),"REVIEW","READY")))</x:f>
      </x:c>
      <x:c r="AE211" s="255" t="str">
        <x:f>IF(AD211="","",IF(AD211="READY","",IF(AD211="SKIP","Skipped by candidate_import_action",TRIM(IF(A211="","missing proposed_name_key; ","")&amp;IF(AND(A211&lt;&gt;"",COUNTIF($A$6:$A$505,A211)&gt;1),"duplicate proposed_name_key; ","")&amp;IF(C211="","missing candidate_import_action; ","")&amp;IF(D211="","missing move_reason; ","")&amp;IF(I211="","missing branch_id; ","")&amp;IF(L211="","missing first_name; ","")&amp;IF(M211="","missing last_name; ","")&amp;IF(U211="","missing status; ","")&amp;IF(AND(B211&lt;&gt;"",COUNTIF('الزبائن'!$A$6:$A$505,B211)=0),"source key not found; ","")&amp;IF((COUNTIFS('أرقام التواصل'!$A$6:$A$505,"proposed_name",'أرقام التواصل'!$B$6:$B$505,A211,'أرقام التواصل'!$I$6:$I$505,"TRUE")+COUNTIFS('أرقام التواصل'!$A$6:$A$505,"proposed_name",'أرقام التواصل'!$B$6:$B$505,A211,'أرقام التواصل'!$C$6:$C$505,1))=0,"missing primary contact in أرقام التواصل; ","")&amp;IF(AND(W211="TRUE",X211=""),"duplicate_type required when duplicate_flag TRUE; ","")))))</x:f>
      </x:c>
    </x:row>
    <x:row r="212">
      <x:c r="A212" s="302"/>
      <x:c r="B212" s="252"/>
      <x:c r="C212" s="253"/>
      <x:c r="D212" s="253"/>
      <x:c r="E212" s="253"/>
      <x:c r="F212" s="252"/>
      <x:c r="G212" s="253"/>
      <x:c r="H212" s="272"/>
      <x:c r="I212" s="253"/>
      <x:c r="J212" s="253"/>
      <x:c r="K212" s="253"/>
      <x:c r="L212" s="253"/>
      <x:c r="M212" s="253"/>
      <x:c r="N212" s="253"/>
      <x:c r="O212" s="253" t="str">
        <x:f>IF(TRIM(L212&amp;" "&amp;M212&amp;IF(N212&lt;&gt;""," ("&amp;N212&amp;")",""))="","",TRIM(L212&amp;" "&amp;M212&amp;IF(N212&lt;&gt;""," ("&amp;N212&amp;")","")))</x:f>
      </x:c>
      <x:c r="P212" s="253"/>
      <x:c r="Q212" s="252"/>
      <x:c r="R212" s="253"/>
      <x:c r="S212" s="253"/>
      <x:c r="T212" s="253"/>
      <x:c r="U212" s="253"/>
      <x:c r="V212" s="253"/>
      <x:c r="W212" s="253"/>
      <x:c r="X212" s="253"/>
      <x:c r="Y212" s="252"/>
      <x:c r="Z212" s="252"/>
      <x:c r="AA212" s="253"/>
      <x:c r="AB212" s="253" t="str">
        <x:f>IF(B212="","",IFERROR(INDEX('الزبائن'!$BA$6:$BA$505,MATCH(B212,'الزبائن'!$A$6:$A$505,0)),"source key not found"))</x:f>
      </x:c>
      <x:c r="AC212" s="253" t="str">
        <x:f>IF(B212="","",IFERROR(INDEX('الزبائن'!$BB$6:$BB$505,MATCH(B212,'الزبائن'!$A$6:$A$505,0)),"source key not found"))</x:f>
      </x:c>
      <x:c r="AD212" s="253" t="str">
        <x:f>IF(AND(A212="",C212="",D212="",I212="",L212="",M212=""),"",IF(C212="skip","SKIP",IF(OR(A212="",C212="",D212="",I212="",L212="",M212="",U212="",COUNTIF($A$6:$A$505,A212)&gt;1,AND(B212&lt;&gt;"",COUNTIF('الزبائن'!$A$6:$A$505,B212)=0),(COUNTIFS('أرقام التواصل'!$A$6:$A$505,"proposed_name",'أرقام التواصل'!$B$6:$B$505,A212,'أرقام التواصل'!$I$6:$I$505,"TRUE")+COUNTIFS('أرقام التواصل'!$A$6:$A$505,"proposed_name",'أرقام التواصل'!$B$6:$B$505,A212,'أرقام التواصل'!$C$6:$C$505,1))=0,AND(W212="TRUE",X212="")),"REVIEW","READY")))</x:f>
      </x:c>
      <x:c r="AE212" s="255" t="str">
        <x:f>IF(AD212="","",IF(AD212="READY","",IF(AD212="SKIP","Skipped by candidate_import_action",TRIM(IF(A212="","missing proposed_name_key; ","")&amp;IF(AND(A212&lt;&gt;"",COUNTIF($A$6:$A$505,A212)&gt;1),"duplicate proposed_name_key; ","")&amp;IF(C212="","missing candidate_import_action; ","")&amp;IF(D212="","missing move_reason; ","")&amp;IF(I212="","missing branch_id; ","")&amp;IF(L212="","missing first_name; ","")&amp;IF(M212="","missing last_name; ","")&amp;IF(U212="","missing status; ","")&amp;IF(AND(B212&lt;&gt;"",COUNTIF('الزبائن'!$A$6:$A$505,B212)=0),"source key not found; ","")&amp;IF((COUNTIFS('أرقام التواصل'!$A$6:$A$505,"proposed_name",'أرقام التواصل'!$B$6:$B$505,A212,'أرقام التواصل'!$I$6:$I$505,"TRUE")+COUNTIFS('أرقام التواصل'!$A$6:$A$505,"proposed_name",'أرقام التواصل'!$B$6:$B$505,A212,'أرقام التواصل'!$C$6:$C$505,1))=0,"missing primary contact in أرقام التواصل; ","")&amp;IF(AND(W212="TRUE",X212=""),"duplicate_type required when duplicate_flag TRUE; ","")))))</x:f>
      </x:c>
    </x:row>
    <x:row r="213">
      <x:c r="A213" s="302"/>
      <x:c r="B213" s="252"/>
      <x:c r="C213" s="253"/>
      <x:c r="D213" s="253"/>
      <x:c r="E213" s="253"/>
      <x:c r="F213" s="252"/>
      <x:c r="G213" s="253"/>
      <x:c r="H213" s="272"/>
      <x:c r="I213" s="253"/>
      <x:c r="J213" s="253"/>
      <x:c r="K213" s="253"/>
      <x:c r="L213" s="253"/>
      <x:c r="M213" s="253"/>
      <x:c r="N213" s="253"/>
      <x:c r="O213" s="253" t="str">
        <x:f>IF(TRIM(L213&amp;" "&amp;M213&amp;IF(N213&lt;&gt;""," ("&amp;N213&amp;")",""))="","",TRIM(L213&amp;" "&amp;M213&amp;IF(N213&lt;&gt;""," ("&amp;N213&amp;")","")))</x:f>
      </x:c>
      <x:c r="P213" s="253"/>
      <x:c r="Q213" s="252"/>
      <x:c r="R213" s="253"/>
      <x:c r="S213" s="253"/>
      <x:c r="T213" s="253"/>
      <x:c r="U213" s="253"/>
      <x:c r="V213" s="253"/>
      <x:c r="W213" s="253"/>
      <x:c r="X213" s="253"/>
      <x:c r="Y213" s="252"/>
      <x:c r="Z213" s="252"/>
      <x:c r="AA213" s="253"/>
      <x:c r="AB213" s="253" t="str">
        <x:f>IF(B213="","",IFERROR(INDEX('الزبائن'!$BA$6:$BA$505,MATCH(B213,'الزبائن'!$A$6:$A$505,0)),"source key not found"))</x:f>
      </x:c>
      <x:c r="AC213" s="253" t="str">
        <x:f>IF(B213="","",IFERROR(INDEX('الزبائن'!$BB$6:$BB$505,MATCH(B213,'الزبائن'!$A$6:$A$505,0)),"source key not found"))</x:f>
      </x:c>
      <x:c r="AD213" s="253" t="str">
        <x:f>IF(AND(A213="",C213="",D213="",I213="",L213="",M213=""),"",IF(C213="skip","SKIP",IF(OR(A213="",C213="",D213="",I213="",L213="",M213="",U213="",COUNTIF($A$6:$A$505,A213)&gt;1,AND(B213&lt;&gt;"",COUNTIF('الزبائن'!$A$6:$A$505,B213)=0),(COUNTIFS('أرقام التواصل'!$A$6:$A$505,"proposed_name",'أرقام التواصل'!$B$6:$B$505,A213,'أرقام التواصل'!$I$6:$I$505,"TRUE")+COUNTIFS('أرقام التواصل'!$A$6:$A$505,"proposed_name",'أرقام التواصل'!$B$6:$B$505,A213,'أرقام التواصل'!$C$6:$C$505,1))=0,AND(W213="TRUE",X213="")),"REVIEW","READY")))</x:f>
      </x:c>
      <x:c r="AE213" s="255" t="str">
        <x:f>IF(AD213="","",IF(AD213="READY","",IF(AD213="SKIP","Skipped by candidate_import_action",TRIM(IF(A213="","missing proposed_name_key; ","")&amp;IF(AND(A213&lt;&gt;"",COUNTIF($A$6:$A$505,A213)&gt;1),"duplicate proposed_name_key; ","")&amp;IF(C213="","missing candidate_import_action; ","")&amp;IF(D213="","missing move_reason; ","")&amp;IF(I213="","missing branch_id; ","")&amp;IF(L213="","missing first_name; ","")&amp;IF(M213="","missing last_name; ","")&amp;IF(U213="","missing status; ","")&amp;IF(AND(B213&lt;&gt;"",COUNTIF('الزبائن'!$A$6:$A$505,B213)=0),"source key not found; ","")&amp;IF((COUNTIFS('أرقام التواصل'!$A$6:$A$505,"proposed_name",'أرقام التواصل'!$B$6:$B$505,A213,'أرقام التواصل'!$I$6:$I$505,"TRUE")+COUNTIFS('أرقام التواصل'!$A$6:$A$505,"proposed_name",'أرقام التواصل'!$B$6:$B$505,A213,'أرقام التواصل'!$C$6:$C$505,1))=0,"missing primary contact in أرقام التواصل; ","")&amp;IF(AND(W213="TRUE",X213=""),"duplicate_type required when duplicate_flag TRUE; ","")))))</x:f>
      </x:c>
    </x:row>
    <x:row r="214">
      <x:c r="A214" s="302"/>
      <x:c r="B214" s="252"/>
      <x:c r="C214" s="253"/>
      <x:c r="D214" s="253"/>
      <x:c r="E214" s="253"/>
      <x:c r="F214" s="252"/>
      <x:c r="G214" s="253"/>
      <x:c r="H214" s="272"/>
      <x:c r="I214" s="253"/>
      <x:c r="J214" s="253"/>
      <x:c r="K214" s="253"/>
      <x:c r="L214" s="253"/>
      <x:c r="M214" s="253"/>
      <x:c r="N214" s="253"/>
      <x:c r="O214" s="253" t="str">
        <x:f>IF(TRIM(L214&amp;" "&amp;M214&amp;IF(N214&lt;&gt;""," ("&amp;N214&amp;")",""))="","",TRIM(L214&amp;" "&amp;M214&amp;IF(N214&lt;&gt;""," ("&amp;N214&amp;")","")))</x:f>
      </x:c>
      <x:c r="P214" s="253"/>
      <x:c r="Q214" s="252"/>
      <x:c r="R214" s="253"/>
      <x:c r="S214" s="253"/>
      <x:c r="T214" s="253"/>
      <x:c r="U214" s="253"/>
      <x:c r="V214" s="253"/>
      <x:c r="W214" s="253"/>
      <x:c r="X214" s="253"/>
      <x:c r="Y214" s="252"/>
      <x:c r="Z214" s="252"/>
      <x:c r="AA214" s="253"/>
      <x:c r="AB214" s="253" t="str">
        <x:f>IF(B214="","",IFERROR(INDEX('الزبائن'!$BA$6:$BA$505,MATCH(B214,'الزبائن'!$A$6:$A$505,0)),"source key not found"))</x:f>
      </x:c>
      <x:c r="AC214" s="253" t="str">
        <x:f>IF(B214="","",IFERROR(INDEX('الزبائن'!$BB$6:$BB$505,MATCH(B214,'الزبائن'!$A$6:$A$505,0)),"source key not found"))</x:f>
      </x:c>
      <x:c r="AD214" s="253" t="str">
        <x:f>IF(AND(A214="",C214="",D214="",I214="",L214="",M214=""),"",IF(C214="skip","SKIP",IF(OR(A214="",C214="",D214="",I214="",L214="",M214="",U214="",COUNTIF($A$6:$A$505,A214)&gt;1,AND(B214&lt;&gt;"",COUNTIF('الزبائن'!$A$6:$A$505,B214)=0),(COUNTIFS('أرقام التواصل'!$A$6:$A$505,"proposed_name",'أرقام التواصل'!$B$6:$B$505,A214,'أرقام التواصل'!$I$6:$I$505,"TRUE")+COUNTIFS('أرقام التواصل'!$A$6:$A$505,"proposed_name",'أرقام التواصل'!$B$6:$B$505,A214,'أرقام التواصل'!$C$6:$C$505,1))=0,AND(W214="TRUE",X214="")),"REVIEW","READY")))</x:f>
      </x:c>
      <x:c r="AE214" s="255" t="str">
        <x:f>IF(AD214="","",IF(AD214="READY","",IF(AD214="SKIP","Skipped by candidate_import_action",TRIM(IF(A214="","missing proposed_name_key; ","")&amp;IF(AND(A214&lt;&gt;"",COUNTIF($A$6:$A$505,A214)&gt;1),"duplicate proposed_name_key; ","")&amp;IF(C214="","missing candidate_import_action; ","")&amp;IF(D214="","missing move_reason; ","")&amp;IF(I214="","missing branch_id; ","")&amp;IF(L214="","missing first_name; ","")&amp;IF(M214="","missing last_name; ","")&amp;IF(U214="","missing status; ","")&amp;IF(AND(B214&lt;&gt;"",COUNTIF('الزبائن'!$A$6:$A$505,B214)=0),"source key not found; ","")&amp;IF((COUNTIFS('أرقام التواصل'!$A$6:$A$505,"proposed_name",'أرقام التواصل'!$B$6:$B$505,A214,'أرقام التواصل'!$I$6:$I$505,"TRUE")+COUNTIFS('أرقام التواصل'!$A$6:$A$505,"proposed_name",'أرقام التواصل'!$B$6:$B$505,A214,'أرقام التواصل'!$C$6:$C$505,1))=0,"missing primary contact in أرقام التواصل; ","")&amp;IF(AND(W214="TRUE",X214=""),"duplicate_type required when duplicate_flag TRUE; ","")))))</x:f>
      </x:c>
    </x:row>
    <x:row r="215">
      <x:c r="A215" s="302"/>
      <x:c r="B215" s="252"/>
      <x:c r="C215" s="253"/>
      <x:c r="D215" s="253"/>
      <x:c r="E215" s="253"/>
      <x:c r="F215" s="252"/>
      <x:c r="G215" s="253"/>
      <x:c r="H215" s="272"/>
      <x:c r="I215" s="253"/>
      <x:c r="J215" s="253"/>
      <x:c r="K215" s="253"/>
      <x:c r="L215" s="253"/>
      <x:c r="M215" s="253"/>
      <x:c r="N215" s="253"/>
      <x:c r="O215" s="253" t="str">
        <x:f>IF(TRIM(L215&amp;" "&amp;M215&amp;IF(N215&lt;&gt;""," ("&amp;N215&amp;")",""))="","",TRIM(L215&amp;" "&amp;M215&amp;IF(N215&lt;&gt;""," ("&amp;N215&amp;")","")))</x:f>
      </x:c>
      <x:c r="P215" s="253"/>
      <x:c r="Q215" s="252"/>
      <x:c r="R215" s="253"/>
      <x:c r="S215" s="253"/>
      <x:c r="T215" s="253"/>
      <x:c r="U215" s="253"/>
      <x:c r="V215" s="253"/>
      <x:c r="W215" s="253"/>
      <x:c r="X215" s="253"/>
      <x:c r="Y215" s="252"/>
      <x:c r="Z215" s="252"/>
      <x:c r="AA215" s="253"/>
      <x:c r="AB215" s="253" t="str">
        <x:f>IF(B215="","",IFERROR(INDEX('الزبائن'!$BA$6:$BA$505,MATCH(B215,'الزبائن'!$A$6:$A$505,0)),"source key not found"))</x:f>
      </x:c>
      <x:c r="AC215" s="253" t="str">
        <x:f>IF(B215="","",IFERROR(INDEX('الزبائن'!$BB$6:$BB$505,MATCH(B215,'الزبائن'!$A$6:$A$505,0)),"source key not found"))</x:f>
      </x:c>
      <x:c r="AD215" s="253" t="str">
        <x:f>IF(AND(A215="",C215="",D215="",I215="",L215="",M215=""),"",IF(C215="skip","SKIP",IF(OR(A215="",C215="",D215="",I215="",L215="",M215="",U215="",COUNTIF($A$6:$A$505,A215)&gt;1,AND(B215&lt;&gt;"",COUNTIF('الزبائن'!$A$6:$A$505,B215)=0),(COUNTIFS('أرقام التواصل'!$A$6:$A$505,"proposed_name",'أرقام التواصل'!$B$6:$B$505,A215,'أرقام التواصل'!$I$6:$I$505,"TRUE")+COUNTIFS('أرقام التواصل'!$A$6:$A$505,"proposed_name",'أرقام التواصل'!$B$6:$B$505,A215,'أرقام التواصل'!$C$6:$C$505,1))=0,AND(W215="TRUE",X215="")),"REVIEW","READY")))</x:f>
      </x:c>
      <x:c r="AE215" s="255" t="str">
        <x:f>IF(AD215="","",IF(AD215="READY","",IF(AD215="SKIP","Skipped by candidate_import_action",TRIM(IF(A215="","missing proposed_name_key; ","")&amp;IF(AND(A215&lt;&gt;"",COUNTIF($A$6:$A$505,A215)&gt;1),"duplicate proposed_name_key; ","")&amp;IF(C215="","missing candidate_import_action; ","")&amp;IF(D215="","missing move_reason; ","")&amp;IF(I215="","missing branch_id; ","")&amp;IF(L215="","missing first_name; ","")&amp;IF(M215="","missing last_name; ","")&amp;IF(U215="","missing status; ","")&amp;IF(AND(B215&lt;&gt;"",COUNTIF('الزبائن'!$A$6:$A$505,B215)=0),"source key not found; ","")&amp;IF((COUNTIFS('أرقام التواصل'!$A$6:$A$505,"proposed_name",'أرقام التواصل'!$B$6:$B$505,A215,'أرقام التواصل'!$I$6:$I$505,"TRUE")+COUNTIFS('أرقام التواصل'!$A$6:$A$505,"proposed_name",'أرقام التواصل'!$B$6:$B$505,A215,'أرقام التواصل'!$C$6:$C$505,1))=0,"missing primary contact in أرقام التواصل; ","")&amp;IF(AND(W215="TRUE",X215=""),"duplicate_type required when duplicate_flag TRUE; ","")))))</x:f>
      </x:c>
    </x:row>
    <x:row r="216">
      <x:c r="A216" s="302"/>
      <x:c r="B216" s="252"/>
      <x:c r="C216" s="253"/>
      <x:c r="D216" s="253"/>
      <x:c r="E216" s="253"/>
      <x:c r="F216" s="252"/>
      <x:c r="G216" s="253"/>
      <x:c r="H216" s="272"/>
      <x:c r="I216" s="253"/>
      <x:c r="J216" s="253"/>
      <x:c r="K216" s="253"/>
      <x:c r="L216" s="253"/>
      <x:c r="M216" s="253"/>
      <x:c r="N216" s="253"/>
      <x:c r="O216" s="253" t="str">
        <x:f>IF(TRIM(L216&amp;" "&amp;M216&amp;IF(N216&lt;&gt;""," ("&amp;N216&amp;")",""))="","",TRIM(L216&amp;" "&amp;M216&amp;IF(N216&lt;&gt;""," ("&amp;N216&amp;")","")))</x:f>
      </x:c>
      <x:c r="P216" s="253"/>
      <x:c r="Q216" s="252"/>
      <x:c r="R216" s="253"/>
      <x:c r="S216" s="253"/>
      <x:c r="T216" s="253"/>
      <x:c r="U216" s="253"/>
      <x:c r="V216" s="253"/>
      <x:c r="W216" s="253"/>
      <x:c r="X216" s="253"/>
      <x:c r="Y216" s="252"/>
      <x:c r="Z216" s="252"/>
      <x:c r="AA216" s="253"/>
      <x:c r="AB216" s="253" t="str">
        <x:f>IF(B216="","",IFERROR(INDEX('الزبائن'!$BA$6:$BA$505,MATCH(B216,'الزبائن'!$A$6:$A$505,0)),"source key not found"))</x:f>
      </x:c>
      <x:c r="AC216" s="253" t="str">
        <x:f>IF(B216="","",IFERROR(INDEX('الزبائن'!$BB$6:$BB$505,MATCH(B216,'الزبائن'!$A$6:$A$505,0)),"source key not found"))</x:f>
      </x:c>
      <x:c r="AD216" s="253" t="str">
        <x:f>IF(AND(A216="",C216="",D216="",I216="",L216="",M216=""),"",IF(C216="skip","SKIP",IF(OR(A216="",C216="",D216="",I216="",L216="",M216="",U216="",COUNTIF($A$6:$A$505,A216)&gt;1,AND(B216&lt;&gt;"",COUNTIF('الزبائن'!$A$6:$A$505,B216)=0),(COUNTIFS('أرقام التواصل'!$A$6:$A$505,"proposed_name",'أرقام التواصل'!$B$6:$B$505,A216,'أرقام التواصل'!$I$6:$I$505,"TRUE")+COUNTIFS('أرقام التواصل'!$A$6:$A$505,"proposed_name",'أرقام التواصل'!$B$6:$B$505,A216,'أرقام التواصل'!$C$6:$C$505,1))=0,AND(W216="TRUE",X216="")),"REVIEW","READY")))</x:f>
      </x:c>
      <x:c r="AE216" s="255" t="str">
        <x:f>IF(AD216="","",IF(AD216="READY","",IF(AD216="SKIP","Skipped by candidate_import_action",TRIM(IF(A216="","missing proposed_name_key; ","")&amp;IF(AND(A216&lt;&gt;"",COUNTIF($A$6:$A$505,A216)&gt;1),"duplicate proposed_name_key; ","")&amp;IF(C216="","missing candidate_import_action; ","")&amp;IF(D216="","missing move_reason; ","")&amp;IF(I216="","missing branch_id; ","")&amp;IF(L216="","missing first_name; ","")&amp;IF(M216="","missing last_name; ","")&amp;IF(U216="","missing status; ","")&amp;IF(AND(B216&lt;&gt;"",COUNTIF('الزبائن'!$A$6:$A$505,B216)=0),"source key not found; ","")&amp;IF((COUNTIFS('أرقام التواصل'!$A$6:$A$505,"proposed_name",'أرقام التواصل'!$B$6:$B$505,A216,'أرقام التواصل'!$I$6:$I$505,"TRUE")+COUNTIFS('أرقام التواصل'!$A$6:$A$505,"proposed_name",'أرقام التواصل'!$B$6:$B$505,A216,'أرقام التواصل'!$C$6:$C$505,1))=0,"missing primary contact in أرقام التواصل; ","")&amp;IF(AND(W216="TRUE",X216=""),"duplicate_type required when duplicate_flag TRUE; ","")))))</x:f>
      </x:c>
    </x:row>
    <x:row r="217">
      <x:c r="A217" s="302"/>
      <x:c r="B217" s="252"/>
      <x:c r="C217" s="253"/>
      <x:c r="D217" s="253"/>
      <x:c r="E217" s="253"/>
      <x:c r="F217" s="252"/>
      <x:c r="G217" s="253"/>
      <x:c r="H217" s="272"/>
      <x:c r="I217" s="253"/>
      <x:c r="J217" s="253"/>
      <x:c r="K217" s="253"/>
      <x:c r="L217" s="253"/>
      <x:c r="M217" s="253"/>
      <x:c r="N217" s="253"/>
      <x:c r="O217" s="253" t="str">
        <x:f>IF(TRIM(L217&amp;" "&amp;M217&amp;IF(N217&lt;&gt;""," ("&amp;N217&amp;")",""))="","",TRIM(L217&amp;" "&amp;M217&amp;IF(N217&lt;&gt;""," ("&amp;N217&amp;")","")))</x:f>
      </x:c>
      <x:c r="P217" s="253"/>
      <x:c r="Q217" s="252"/>
      <x:c r="R217" s="253"/>
      <x:c r="S217" s="253"/>
      <x:c r="T217" s="253"/>
      <x:c r="U217" s="253"/>
      <x:c r="V217" s="253"/>
      <x:c r="W217" s="253"/>
      <x:c r="X217" s="253"/>
      <x:c r="Y217" s="252"/>
      <x:c r="Z217" s="252"/>
      <x:c r="AA217" s="253"/>
      <x:c r="AB217" s="253" t="str">
        <x:f>IF(B217="","",IFERROR(INDEX('الزبائن'!$BA$6:$BA$505,MATCH(B217,'الزبائن'!$A$6:$A$505,0)),"source key not found"))</x:f>
      </x:c>
      <x:c r="AC217" s="253" t="str">
        <x:f>IF(B217="","",IFERROR(INDEX('الزبائن'!$BB$6:$BB$505,MATCH(B217,'الزبائن'!$A$6:$A$505,0)),"source key not found"))</x:f>
      </x:c>
      <x:c r="AD217" s="253" t="str">
        <x:f>IF(AND(A217="",C217="",D217="",I217="",L217="",M217=""),"",IF(C217="skip","SKIP",IF(OR(A217="",C217="",D217="",I217="",L217="",M217="",U217="",COUNTIF($A$6:$A$505,A217)&gt;1,AND(B217&lt;&gt;"",COUNTIF('الزبائن'!$A$6:$A$505,B217)=0),(COUNTIFS('أرقام التواصل'!$A$6:$A$505,"proposed_name",'أرقام التواصل'!$B$6:$B$505,A217,'أرقام التواصل'!$I$6:$I$505,"TRUE")+COUNTIFS('أرقام التواصل'!$A$6:$A$505,"proposed_name",'أرقام التواصل'!$B$6:$B$505,A217,'أرقام التواصل'!$C$6:$C$505,1))=0,AND(W217="TRUE",X217="")),"REVIEW","READY")))</x:f>
      </x:c>
      <x:c r="AE217" s="255" t="str">
        <x:f>IF(AD217="","",IF(AD217="READY","",IF(AD217="SKIP","Skipped by candidate_import_action",TRIM(IF(A217="","missing proposed_name_key; ","")&amp;IF(AND(A217&lt;&gt;"",COUNTIF($A$6:$A$505,A217)&gt;1),"duplicate proposed_name_key; ","")&amp;IF(C217="","missing candidate_import_action; ","")&amp;IF(D217="","missing move_reason; ","")&amp;IF(I217="","missing branch_id; ","")&amp;IF(L217="","missing first_name; ","")&amp;IF(M217="","missing last_name; ","")&amp;IF(U217="","missing status; ","")&amp;IF(AND(B217&lt;&gt;"",COUNTIF('الزبائن'!$A$6:$A$505,B217)=0),"source key not found; ","")&amp;IF((COUNTIFS('أرقام التواصل'!$A$6:$A$505,"proposed_name",'أرقام التواصل'!$B$6:$B$505,A217,'أرقام التواصل'!$I$6:$I$505,"TRUE")+COUNTIFS('أرقام التواصل'!$A$6:$A$505,"proposed_name",'أرقام التواصل'!$B$6:$B$505,A217,'أرقام التواصل'!$C$6:$C$505,1))=0,"missing primary contact in أرقام التواصل; ","")&amp;IF(AND(W217="TRUE",X217=""),"duplicate_type required when duplicate_flag TRUE; ","")))))</x:f>
      </x:c>
    </x:row>
    <x:row r="218">
      <x:c r="A218" s="302"/>
      <x:c r="B218" s="252"/>
      <x:c r="C218" s="253"/>
      <x:c r="D218" s="253"/>
      <x:c r="E218" s="253"/>
      <x:c r="F218" s="252"/>
      <x:c r="G218" s="253"/>
      <x:c r="H218" s="272"/>
      <x:c r="I218" s="253"/>
      <x:c r="J218" s="253"/>
      <x:c r="K218" s="253"/>
      <x:c r="L218" s="253"/>
      <x:c r="M218" s="253"/>
      <x:c r="N218" s="253"/>
      <x:c r="O218" s="253" t="str">
        <x:f>IF(TRIM(L218&amp;" "&amp;M218&amp;IF(N218&lt;&gt;""," ("&amp;N218&amp;")",""))="","",TRIM(L218&amp;" "&amp;M218&amp;IF(N218&lt;&gt;""," ("&amp;N218&amp;")","")))</x:f>
      </x:c>
      <x:c r="P218" s="253"/>
      <x:c r="Q218" s="252"/>
      <x:c r="R218" s="253"/>
      <x:c r="S218" s="253"/>
      <x:c r="T218" s="253"/>
      <x:c r="U218" s="253"/>
      <x:c r="V218" s="253"/>
      <x:c r="W218" s="253"/>
      <x:c r="X218" s="253"/>
      <x:c r="Y218" s="252"/>
      <x:c r="Z218" s="252"/>
      <x:c r="AA218" s="253"/>
      <x:c r="AB218" s="253" t="str">
        <x:f>IF(B218="","",IFERROR(INDEX('الزبائن'!$BA$6:$BA$505,MATCH(B218,'الزبائن'!$A$6:$A$505,0)),"source key not found"))</x:f>
      </x:c>
      <x:c r="AC218" s="253" t="str">
        <x:f>IF(B218="","",IFERROR(INDEX('الزبائن'!$BB$6:$BB$505,MATCH(B218,'الزبائن'!$A$6:$A$505,0)),"source key not found"))</x:f>
      </x:c>
      <x:c r="AD218" s="253" t="str">
        <x:f>IF(AND(A218="",C218="",D218="",I218="",L218="",M218=""),"",IF(C218="skip","SKIP",IF(OR(A218="",C218="",D218="",I218="",L218="",M218="",U218="",COUNTIF($A$6:$A$505,A218)&gt;1,AND(B218&lt;&gt;"",COUNTIF('الزبائن'!$A$6:$A$505,B218)=0),(COUNTIFS('أرقام التواصل'!$A$6:$A$505,"proposed_name",'أرقام التواصل'!$B$6:$B$505,A218,'أرقام التواصل'!$I$6:$I$505,"TRUE")+COUNTIFS('أرقام التواصل'!$A$6:$A$505,"proposed_name",'أرقام التواصل'!$B$6:$B$505,A218,'أرقام التواصل'!$C$6:$C$505,1))=0,AND(W218="TRUE",X218="")),"REVIEW","READY")))</x:f>
      </x:c>
      <x:c r="AE218" s="255" t="str">
        <x:f>IF(AD218="","",IF(AD218="READY","",IF(AD218="SKIP","Skipped by candidate_import_action",TRIM(IF(A218="","missing proposed_name_key; ","")&amp;IF(AND(A218&lt;&gt;"",COUNTIF($A$6:$A$505,A218)&gt;1),"duplicate proposed_name_key; ","")&amp;IF(C218="","missing candidate_import_action; ","")&amp;IF(D218="","missing move_reason; ","")&amp;IF(I218="","missing branch_id; ","")&amp;IF(L218="","missing first_name; ","")&amp;IF(M218="","missing last_name; ","")&amp;IF(U218="","missing status; ","")&amp;IF(AND(B218&lt;&gt;"",COUNTIF('الزبائن'!$A$6:$A$505,B218)=0),"source key not found; ","")&amp;IF((COUNTIFS('أرقام التواصل'!$A$6:$A$505,"proposed_name",'أرقام التواصل'!$B$6:$B$505,A218,'أرقام التواصل'!$I$6:$I$505,"TRUE")+COUNTIFS('أرقام التواصل'!$A$6:$A$505,"proposed_name",'أرقام التواصل'!$B$6:$B$505,A218,'أرقام التواصل'!$C$6:$C$505,1))=0,"missing primary contact in أرقام التواصل; ","")&amp;IF(AND(W218="TRUE",X218=""),"duplicate_type required when duplicate_flag TRUE; ","")))))</x:f>
      </x:c>
    </x:row>
    <x:row r="219">
      <x:c r="A219" s="302"/>
      <x:c r="B219" s="252"/>
      <x:c r="C219" s="253"/>
      <x:c r="D219" s="253"/>
      <x:c r="E219" s="253"/>
      <x:c r="F219" s="252"/>
      <x:c r="G219" s="253"/>
      <x:c r="H219" s="272"/>
      <x:c r="I219" s="253"/>
      <x:c r="J219" s="253"/>
      <x:c r="K219" s="253"/>
      <x:c r="L219" s="253"/>
      <x:c r="M219" s="253"/>
      <x:c r="N219" s="253"/>
      <x:c r="O219" s="253" t="str">
        <x:f>IF(TRIM(L219&amp;" "&amp;M219&amp;IF(N219&lt;&gt;""," ("&amp;N219&amp;")",""))="","",TRIM(L219&amp;" "&amp;M219&amp;IF(N219&lt;&gt;""," ("&amp;N219&amp;")","")))</x:f>
      </x:c>
      <x:c r="P219" s="253"/>
      <x:c r="Q219" s="252"/>
      <x:c r="R219" s="253"/>
      <x:c r="S219" s="253"/>
      <x:c r="T219" s="253"/>
      <x:c r="U219" s="253"/>
      <x:c r="V219" s="253"/>
      <x:c r="W219" s="253"/>
      <x:c r="X219" s="253"/>
      <x:c r="Y219" s="252"/>
      <x:c r="Z219" s="252"/>
      <x:c r="AA219" s="253"/>
      <x:c r="AB219" s="253" t="str">
        <x:f>IF(B219="","",IFERROR(INDEX('الزبائن'!$BA$6:$BA$505,MATCH(B219,'الزبائن'!$A$6:$A$505,0)),"source key not found"))</x:f>
      </x:c>
      <x:c r="AC219" s="253" t="str">
        <x:f>IF(B219="","",IFERROR(INDEX('الزبائن'!$BB$6:$BB$505,MATCH(B219,'الزبائن'!$A$6:$A$505,0)),"source key not found"))</x:f>
      </x:c>
      <x:c r="AD219" s="253" t="str">
        <x:f>IF(AND(A219="",C219="",D219="",I219="",L219="",M219=""),"",IF(C219="skip","SKIP",IF(OR(A219="",C219="",D219="",I219="",L219="",M219="",U219="",COUNTIF($A$6:$A$505,A219)&gt;1,AND(B219&lt;&gt;"",COUNTIF('الزبائن'!$A$6:$A$505,B219)=0),(COUNTIFS('أرقام التواصل'!$A$6:$A$505,"proposed_name",'أرقام التواصل'!$B$6:$B$505,A219,'أرقام التواصل'!$I$6:$I$505,"TRUE")+COUNTIFS('أرقام التواصل'!$A$6:$A$505,"proposed_name",'أرقام التواصل'!$B$6:$B$505,A219,'أرقام التواصل'!$C$6:$C$505,1))=0,AND(W219="TRUE",X219="")),"REVIEW","READY")))</x:f>
      </x:c>
      <x:c r="AE219" s="255" t="str">
        <x:f>IF(AD219="","",IF(AD219="READY","",IF(AD219="SKIP","Skipped by candidate_import_action",TRIM(IF(A219="","missing proposed_name_key; ","")&amp;IF(AND(A219&lt;&gt;"",COUNTIF($A$6:$A$505,A219)&gt;1),"duplicate proposed_name_key; ","")&amp;IF(C219="","missing candidate_import_action; ","")&amp;IF(D219="","missing move_reason; ","")&amp;IF(I219="","missing branch_id; ","")&amp;IF(L219="","missing first_name; ","")&amp;IF(M219="","missing last_name; ","")&amp;IF(U219="","missing status; ","")&amp;IF(AND(B219&lt;&gt;"",COUNTIF('الزبائن'!$A$6:$A$505,B219)=0),"source key not found; ","")&amp;IF((COUNTIFS('أرقام التواصل'!$A$6:$A$505,"proposed_name",'أرقام التواصل'!$B$6:$B$505,A219,'أرقام التواصل'!$I$6:$I$505,"TRUE")+COUNTIFS('أرقام التواصل'!$A$6:$A$505,"proposed_name",'أرقام التواصل'!$B$6:$B$505,A219,'أرقام التواصل'!$C$6:$C$505,1))=0,"missing primary contact in أرقام التواصل; ","")&amp;IF(AND(W219="TRUE",X219=""),"duplicate_type required when duplicate_flag TRUE; ","")))))</x:f>
      </x:c>
    </x:row>
    <x:row r="220">
      <x:c r="A220" s="302"/>
      <x:c r="B220" s="252"/>
      <x:c r="C220" s="253"/>
      <x:c r="D220" s="253"/>
      <x:c r="E220" s="253"/>
      <x:c r="F220" s="252"/>
      <x:c r="G220" s="253"/>
      <x:c r="H220" s="272"/>
      <x:c r="I220" s="253"/>
      <x:c r="J220" s="253"/>
      <x:c r="K220" s="253"/>
      <x:c r="L220" s="253"/>
      <x:c r="M220" s="253"/>
      <x:c r="N220" s="253"/>
      <x:c r="O220" s="253" t="str">
        <x:f>IF(TRIM(L220&amp;" "&amp;M220&amp;IF(N220&lt;&gt;""," ("&amp;N220&amp;")",""))="","",TRIM(L220&amp;" "&amp;M220&amp;IF(N220&lt;&gt;""," ("&amp;N220&amp;")","")))</x:f>
      </x:c>
      <x:c r="P220" s="253"/>
      <x:c r="Q220" s="252"/>
      <x:c r="R220" s="253"/>
      <x:c r="S220" s="253"/>
      <x:c r="T220" s="253"/>
      <x:c r="U220" s="253"/>
      <x:c r="V220" s="253"/>
      <x:c r="W220" s="253"/>
      <x:c r="X220" s="253"/>
      <x:c r="Y220" s="252"/>
      <x:c r="Z220" s="252"/>
      <x:c r="AA220" s="253"/>
      <x:c r="AB220" s="253" t="str">
        <x:f>IF(B220="","",IFERROR(INDEX('الزبائن'!$BA$6:$BA$505,MATCH(B220,'الزبائن'!$A$6:$A$505,0)),"source key not found"))</x:f>
      </x:c>
      <x:c r="AC220" s="253" t="str">
        <x:f>IF(B220="","",IFERROR(INDEX('الزبائن'!$BB$6:$BB$505,MATCH(B220,'الزبائن'!$A$6:$A$505,0)),"source key not found"))</x:f>
      </x:c>
      <x:c r="AD220" s="253" t="str">
        <x:f>IF(AND(A220="",C220="",D220="",I220="",L220="",M220=""),"",IF(C220="skip","SKIP",IF(OR(A220="",C220="",D220="",I220="",L220="",M220="",U220="",COUNTIF($A$6:$A$505,A220)&gt;1,AND(B220&lt;&gt;"",COUNTIF('الزبائن'!$A$6:$A$505,B220)=0),(COUNTIFS('أرقام التواصل'!$A$6:$A$505,"proposed_name",'أرقام التواصل'!$B$6:$B$505,A220,'أرقام التواصل'!$I$6:$I$505,"TRUE")+COUNTIFS('أرقام التواصل'!$A$6:$A$505,"proposed_name",'أرقام التواصل'!$B$6:$B$505,A220,'أرقام التواصل'!$C$6:$C$505,1))=0,AND(W220="TRUE",X220="")),"REVIEW","READY")))</x:f>
      </x:c>
      <x:c r="AE220" s="255" t="str">
        <x:f>IF(AD220="","",IF(AD220="READY","",IF(AD220="SKIP","Skipped by candidate_import_action",TRIM(IF(A220="","missing proposed_name_key; ","")&amp;IF(AND(A220&lt;&gt;"",COUNTIF($A$6:$A$505,A220)&gt;1),"duplicate proposed_name_key; ","")&amp;IF(C220="","missing candidate_import_action; ","")&amp;IF(D220="","missing move_reason; ","")&amp;IF(I220="","missing branch_id; ","")&amp;IF(L220="","missing first_name; ","")&amp;IF(M220="","missing last_name; ","")&amp;IF(U220="","missing status; ","")&amp;IF(AND(B220&lt;&gt;"",COUNTIF('الزبائن'!$A$6:$A$505,B220)=0),"source key not found; ","")&amp;IF((COUNTIFS('أرقام التواصل'!$A$6:$A$505,"proposed_name",'أرقام التواصل'!$B$6:$B$505,A220,'أرقام التواصل'!$I$6:$I$505,"TRUE")+COUNTIFS('أرقام التواصل'!$A$6:$A$505,"proposed_name",'أرقام التواصل'!$B$6:$B$505,A220,'أرقام التواصل'!$C$6:$C$505,1))=0,"missing primary contact in أرقام التواصل; ","")&amp;IF(AND(W220="TRUE",X220=""),"duplicate_type required when duplicate_flag TRUE; ","")))))</x:f>
      </x:c>
    </x:row>
    <x:row r="221">
      <x:c r="A221" s="302"/>
      <x:c r="B221" s="252"/>
      <x:c r="C221" s="253"/>
      <x:c r="D221" s="253"/>
      <x:c r="E221" s="253"/>
      <x:c r="F221" s="252"/>
      <x:c r="G221" s="253"/>
      <x:c r="H221" s="272"/>
      <x:c r="I221" s="253"/>
      <x:c r="J221" s="253"/>
      <x:c r="K221" s="253"/>
      <x:c r="L221" s="253"/>
      <x:c r="M221" s="253"/>
      <x:c r="N221" s="253"/>
      <x:c r="O221" s="253" t="str">
        <x:f>IF(TRIM(L221&amp;" "&amp;M221&amp;IF(N221&lt;&gt;""," ("&amp;N221&amp;")",""))="","",TRIM(L221&amp;" "&amp;M221&amp;IF(N221&lt;&gt;""," ("&amp;N221&amp;")","")))</x:f>
      </x:c>
      <x:c r="P221" s="253"/>
      <x:c r="Q221" s="252"/>
      <x:c r="R221" s="253"/>
      <x:c r="S221" s="253"/>
      <x:c r="T221" s="253"/>
      <x:c r="U221" s="253"/>
      <x:c r="V221" s="253"/>
      <x:c r="W221" s="253"/>
      <x:c r="X221" s="253"/>
      <x:c r="Y221" s="252"/>
      <x:c r="Z221" s="252"/>
      <x:c r="AA221" s="253"/>
      <x:c r="AB221" s="253" t="str">
        <x:f>IF(B221="","",IFERROR(INDEX('الزبائن'!$BA$6:$BA$505,MATCH(B221,'الزبائن'!$A$6:$A$505,0)),"source key not found"))</x:f>
      </x:c>
      <x:c r="AC221" s="253" t="str">
        <x:f>IF(B221="","",IFERROR(INDEX('الزبائن'!$BB$6:$BB$505,MATCH(B221,'الزبائن'!$A$6:$A$505,0)),"source key not found"))</x:f>
      </x:c>
      <x:c r="AD221" s="253" t="str">
        <x:f>IF(AND(A221="",C221="",D221="",I221="",L221="",M221=""),"",IF(C221="skip","SKIP",IF(OR(A221="",C221="",D221="",I221="",L221="",M221="",U221="",COUNTIF($A$6:$A$505,A221)&gt;1,AND(B221&lt;&gt;"",COUNTIF('الزبائن'!$A$6:$A$505,B221)=0),(COUNTIFS('أرقام التواصل'!$A$6:$A$505,"proposed_name",'أرقام التواصل'!$B$6:$B$505,A221,'أرقام التواصل'!$I$6:$I$505,"TRUE")+COUNTIFS('أرقام التواصل'!$A$6:$A$505,"proposed_name",'أرقام التواصل'!$B$6:$B$505,A221,'أرقام التواصل'!$C$6:$C$505,1))=0,AND(W221="TRUE",X221="")),"REVIEW","READY")))</x:f>
      </x:c>
      <x:c r="AE221" s="255" t="str">
        <x:f>IF(AD221="","",IF(AD221="READY","",IF(AD221="SKIP","Skipped by candidate_import_action",TRIM(IF(A221="","missing proposed_name_key; ","")&amp;IF(AND(A221&lt;&gt;"",COUNTIF($A$6:$A$505,A221)&gt;1),"duplicate proposed_name_key; ","")&amp;IF(C221="","missing candidate_import_action; ","")&amp;IF(D221="","missing move_reason; ","")&amp;IF(I221="","missing branch_id; ","")&amp;IF(L221="","missing first_name; ","")&amp;IF(M221="","missing last_name; ","")&amp;IF(U221="","missing status; ","")&amp;IF(AND(B221&lt;&gt;"",COUNTIF('الزبائن'!$A$6:$A$505,B221)=0),"source key not found; ","")&amp;IF((COUNTIFS('أرقام التواصل'!$A$6:$A$505,"proposed_name",'أرقام التواصل'!$B$6:$B$505,A221,'أرقام التواصل'!$I$6:$I$505,"TRUE")+COUNTIFS('أرقام التواصل'!$A$6:$A$505,"proposed_name",'أرقام التواصل'!$B$6:$B$505,A221,'أرقام التواصل'!$C$6:$C$505,1))=0,"missing primary contact in أرقام التواصل; ","")&amp;IF(AND(W221="TRUE",X221=""),"duplicate_type required when duplicate_flag TRUE; ","")))))</x:f>
      </x:c>
    </x:row>
    <x:row r="222">
      <x:c r="A222" s="302"/>
      <x:c r="B222" s="252"/>
      <x:c r="C222" s="253"/>
      <x:c r="D222" s="253"/>
      <x:c r="E222" s="253"/>
      <x:c r="F222" s="252"/>
      <x:c r="G222" s="253"/>
      <x:c r="H222" s="272"/>
      <x:c r="I222" s="253"/>
      <x:c r="J222" s="253"/>
      <x:c r="K222" s="253"/>
      <x:c r="L222" s="253"/>
      <x:c r="M222" s="253"/>
      <x:c r="N222" s="253"/>
      <x:c r="O222" s="253" t="str">
        <x:f>IF(TRIM(L222&amp;" "&amp;M222&amp;IF(N222&lt;&gt;""," ("&amp;N222&amp;")",""))="","",TRIM(L222&amp;" "&amp;M222&amp;IF(N222&lt;&gt;""," ("&amp;N222&amp;")","")))</x:f>
      </x:c>
      <x:c r="P222" s="253"/>
      <x:c r="Q222" s="252"/>
      <x:c r="R222" s="253"/>
      <x:c r="S222" s="253"/>
      <x:c r="T222" s="253"/>
      <x:c r="U222" s="253"/>
      <x:c r="V222" s="253"/>
      <x:c r="W222" s="253"/>
      <x:c r="X222" s="253"/>
      <x:c r="Y222" s="252"/>
      <x:c r="Z222" s="252"/>
      <x:c r="AA222" s="253"/>
      <x:c r="AB222" s="253" t="str">
        <x:f>IF(B222="","",IFERROR(INDEX('الزبائن'!$BA$6:$BA$505,MATCH(B222,'الزبائن'!$A$6:$A$505,0)),"source key not found"))</x:f>
      </x:c>
      <x:c r="AC222" s="253" t="str">
        <x:f>IF(B222="","",IFERROR(INDEX('الزبائن'!$BB$6:$BB$505,MATCH(B222,'الزبائن'!$A$6:$A$505,0)),"source key not found"))</x:f>
      </x:c>
      <x:c r="AD222" s="253" t="str">
        <x:f>IF(AND(A222="",C222="",D222="",I222="",L222="",M222=""),"",IF(C222="skip","SKIP",IF(OR(A222="",C222="",D222="",I222="",L222="",M222="",U222="",COUNTIF($A$6:$A$505,A222)&gt;1,AND(B222&lt;&gt;"",COUNTIF('الزبائن'!$A$6:$A$505,B222)=0),(COUNTIFS('أرقام التواصل'!$A$6:$A$505,"proposed_name",'أرقام التواصل'!$B$6:$B$505,A222,'أرقام التواصل'!$I$6:$I$505,"TRUE")+COUNTIFS('أرقام التواصل'!$A$6:$A$505,"proposed_name",'أرقام التواصل'!$B$6:$B$505,A222,'أرقام التواصل'!$C$6:$C$505,1))=0,AND(W222="TRUE",X222="")),"REVIEW","READY")))</x:f>
      </x:c>
      <x:c r="AE222" s="255" t="str">
        <x:f>IF(AD222="","",IF(AD222="READY","",IF(AD222="SKIP","Skipped by candidate_import_action",TRIM(IF(A222="","missing proposed_name_key; ","")&amp;IF(AND(A222&lt;&gt;"",COUNTIF($A$6:$A$505,A222)&gt;1),"duplicate proposed_name_key; ","")&amp;IF(C222="","missing candidate_import_action; ","")&amp;IF(D222="","missing move_reason; ","")&amp;IF(I222="","missing branch_id; ","")&amp;IF(L222="","missing first_name; ","")&amp;IF(M222="","missing last_name; ","")&amp;IF(U222="","missing status; ","")&amp;IF(AND(B222&lt;&gt;"",COUNTIF('الزبائن'!$A$6:$A$505,B222)=0),"source key not found; ","")&amp;IF((COUNTIFS('أرقام التواصل'!$A$6:$A$505,"proposed_name",'أرقام التواصل'!$B$6:$B$505,A222,'أرقام التواصل'!$I$6:$I$505,"TRUE")+COUNTIFS('أرقام التواصل'!$A$6:$A$505,"proposed_name",'أرقام التواصل'!$B$6:$B$505,A222,'أرقام التواصل'!$C$6:$C$505,1))=0,"missing primary contact in أرقام التواصل; ","")&amp;IF(AND(W222="TRUE",X222=""),"duplicate_type required when duplicate_flag TRUE; ","")))))</x:f>
      </x:c>
    </x:row>
    <x:row r="223">
      <x:c r="A223" s="302"/>
      <x:c r="B223" s="252"/>
      <x:c r="C223" s="253"/>
      <x:c r="D223" s="253"/>
      <x:c r="E223" s="253"/>
      <x:c r="F223" s="252"/>
      <x:c r="G223" s="253"/>
      <x:c r="H223" s="272"/>
      <x:c r="I223" s="253"/>
      <x:c r="J223" s="253"/>
      <x:c r="K223" s="253"/>
      <x:c r="L223" s="253"/>
      <x:c r="M223" s="253"/>
      <x:c r="N223" s="253"/>
      <x:c r="O223" s="253" t="str">
        <x:f>IF(TRIM(L223&amp;" "&amp;M223&amp;IF(N223&lt;&gt;""," ("&amp;N223&amp;")",""))="","",TRIM(L223&amp;" "&amp;M223&amp;IF(N223&lt;&gt;""," ("&amp;N223&amp;")","")))</x:f>
      </x:c>
      <x:c r="P223" s="253"/>
      <x:c r="Q223" s="252"/>
      <x:c r="R223" s="253"/>
      <x:c r="S223" s="253"/>
      <x:c r="T223" s="253"/>
      <x:c r="U223" s="253"/>
      <x:c r="V223" s="253"/>
      <x:c r="W223" s="253"/>
      <x:c r="X223" s="253"/>
      <x:c r="Y223" s="252"/>
      <x:c r="Z223" s="252"/>
      <x:c r="AA223" s="253"/>
      <x:c r="AB223" s="253" t="str">
        <x:f>IF(B223="","",IFERROR(INDEX('الزبائن'!$BA$6:$BA$505,MATCH(B223,'الزبائن'!$A$6:$A$505,0)),"source key not found"))</x:f>
      </x:c>
      <x:c r="AC223" s="253" t="str">
        <x:f>IF(B223="","",IFERROR(INDEX('الزبائن'!$BB$6:$BB$505,MATCH(B223,'الزبائن'!$A$6:$A$505,0)),"source key not found"))</x:f>
      </x:c>
      <x:c r="AD223" s="253" t="str">
        <x:f>IF(AND(A223="",C223="",D223="",I223="",L223="",M223=""),"",IF(C223="skip","SKIP",IF(OR(A223="",C223="",D223="",I223="",L223="",M223="",U223="",COUNTIF($A$6:$A$505,A223)&gt;1,AND(B223&lt;&gt;"",COUNTIF('الزبائن'!$A$6:$A$505,B223)=0),(COUNTIFS('أرقام التواصل'!$A$6:$A$505,"proposed_name",'أرقام التواصل'!$B$6:$B$505,A223,'أرقام التواصل'!$I$6:$I$505,"TRUE")+COUNTIFS('أرقام التواصل'!$A$6:$A$505,"proposed_name",'أرقام التواصل'!$B$6:$B$505,A223,'أرقام التواصل'!$C$6:$C$505,1))=0,AND(W223="TRUE",X223="")),"REVIEW","READY")))</x:f>
      </x:c>
      <x:c r="AE223" s="255" t="str">
        <x:f>IF(AD223="","",IF(AD223="READY","",IF(AD223="SKIP","Skipped by candidate_import_action",TRIM(IF(A223="","missing proposed_name_key; ","")&amp;IF(AND(A223&lt;&gt;"",COUNTIF($A$6:$A$505,A223)&gt;1),"duplicate proposed_name_key; ","")&amp;IF(C223="","missing candidate_import_action; ","")&amp;IF(D223="","missing move_reason; ","")&amp;IF(I223="","missing branch_id; ","")&amp;IF(L223="","missing first_name; ","")&amp;IF(M223="","missing last_name; ","")&amp;IF(U223="","missing status; ","")&amp;IF(AND(B223&lt;&gt;"",COUNTIF('الزبائن'!$A$6:$A$505,B223)=0),"source key not found; ","")&amp;IF((COUNTIFS('أرقام التواصل'!$A$6:$A$505,"proposed_name",'أرقام التواصل'!$B$6:$B$505,A223,'أرقام التواصل'!$I$6:$I$505,"TRUE")+COUNTIFS('أرقام التواصل'!$A$6:$A$505,"proposed_name",'أرقام التواصل'!$B$6:$B$505,A223,'أرقام التواصل'!$C$6:$C$505,1))=0,"missing primary contact in أرقام التواصل; ","")&amp;IF(AND(W223="TRUE",X223=""),"duplicate_type required when duplicate_flag TRUE; ","")))))</x:f>
      </x:c>
    </x:row>
    <x:row r="224">
      <x:c r="A224" s="302"/>
      <x:c r="B224" s="252"/>
      <x:c r="C224" s="253"/>
      <x:c r="D224" s="253"/>
      <x:c r="E224" s="253"/>
      <x:c r="F224" s="252"/>
      <x:c r="G224" s="253"/>
      <x:c r="H224" s="272"/>
      <x:c r="I224" s="253"/>
      <x:c r="J224" s="253"/>
      <x:c r="K224" s="253"/>
      <x:c r="L224" s="253"/>
      <x:c r="M224" s="253"/>
      <x:c r="N224" s="253"/>
      <x:c r="O224" s="253" t="str">
        <x:f>IF(TRIM(L224&amp;" "&amp;M224&amp;IF(N224&lt;&gt;""," ("&amp;N224&amp;")",""))="","",TRIM(L224&amp;" "&amp;M224&amp;IF(N224&lt;&gt;""," ("&amp;N224&amp;")","")))</x:f>
      </x:c>
      <x:c r="P224" s="253"/>
      <x:c r="Q224" s="252"/>
      <x:c r="R224" s="253"/>
      <x:c r="S224" s="253"/>
      <x:c r="T224" s="253"/>
      <x:c r="U224" s="253"/>
      <x:c r="V224" s="253"/>
      <x:c r="W224" s="253"/>
      <x:c r="X224" s="253"/>
      <x:c r="Y224" s="252"/>
      <x:c r="Z224" s="252"/>
      <x:c r="AA224" s="253"/>
      <x:c r="AB224" s="253" t="str">
        <x:f>IF(B224="","",IFERROR(INDEX('الزبائن'!$BA$6:$BA$505,MATCH(B224,'الزبائن'!$A$6:$A$505,0)),"source key not found"))</x:f>
      </x:c>
      <x:c r="AC224" s="253" t="str">
        <x:f>IF(B224="","",IFERROR(INDEX('الزبائن'!$BB$6:$BB$505,MATCH(B224,'الزبائن'!$A$6:$A$505,0)),"source key not found"))</x:f>
      </x:c>
      <x:c r="AD224" s="253" t="str">
        <x:f>IF(AND(A224="",C224="",D224="",I224="",L224="",M224=""),"",IF(C224="skip","SKIP",IF(OR(A224="",C224="",D224="",I224="",L224="",M224="",U224="",COUNTIF($A$6:$A$505,A224)&gt;1,AND(B224&lt;&gt;"",COUNTIF('الزبائن'!$A$6:$A$505,B224)=0),(COUNTIFS('أرقام التواصل'!$A$6:$A$505,"proposed_name",'أرقام التواصل'!$B$6:$B$505,A224,'أرقام التواصل'!$I$6:$I$505,"TRUE")+COUNTIFS('أرقام التواصل'!$A$6:$A$505,"proposed_name",'أرقام التواصل'!$B$6:$B$505,A224,'أرقام التواصل'!$C$6:$C$505,1))=0,AND(W224="TRUE",X224="")),"REVIEW","READY")))</x:f>
      </x:c>
      <x:c r="AE224" s="255" t="str">
        <x:f>IF(AD224="","",IF(AD224="READY","",IF(AD224="SKIP","Skipped by candidate_import_action",TRIM(IF(A224="","missing proposed_name_key; ","")&amp;IF(AND(A224&lt;&gt;"",COUNTIF($A$6:$A$505,A224)&gt;1),"duplicate proposed_name_key; ","")&amp;IF(C224="","missing candidate_import_action; ","")&amp;IF(D224="","missing move_reason; ","")&amp;IF(I224="","missing branch_id; ","")&amp;IF(L224="","missing first_name; ","")&amp;IF(M224="","missing last_name; ","")&amp;IF(U224="","missing status; ","")&amp;IF(AND(B224&lt;&gt;"",COUNTIF('الزبائن'!$A$6:$A$505,B224)=0),"source key not found; ","")&amp;IF((COUNTIFS('أرقام التواصل'!$A$6:$A$505,"proposed_name",'أرقام التواصل'!$B$6:$B$505,A224,'أرقام التواصل'!$I$6:$I$505,"TRUE")+COUNTIFS('أرقام التواصل'!$A$6:$A$505,"proposed_name",'أرقام التواصل'!$B$6:$B$505,A224,'أرقام التواصل'!$C$6:$C$505,1))=0,"missing primary contact in أرقام التواصل; ","")&amp;IF(AND(W224="TRUE",X224=""),"duplicate_type required when duplicate_flag TRUE; ","")))))</x:f>
      </x:c>
    </x:row>
    <x:row r="225">
      <x:c r="A225" s="302"/>
      <x:c r="B225" s="252"/>
      <x:c r="C225" s="253"/>
      <x:c r="D225" s="253"/>
      <x:c r="E225" s="253"/>
      <x:c r="F225" s="252"/>
      <x:c r="G225" s="253"/>
      <x:c r="H225" s="272"/>
      <x:c r="I225" s="253"/>
      <x:c r="J225" s="253"/>
      <x:c r="K225" s="253"/>
      <x:c r="L225" s="253"/>
      <x:c r="M225" s="253"/>
      <x:c r="N225" s="253"/>
      <x:c r="O225" s="253" t="str">
        <x:f>IF(TRIM(L225&amp;" "&amp;M225&amp;IF(N225&lt;&gt;""," ("&amp;N225&amp;")",""))="","",TRIM(L225&amp;" "&amp;M225&amp;IF(N225&lt;&gt;""," ("&amp;N225&amp;")","")))</x:f>
      </x:c>
      <x:c r="P225" s="253"/>
      <x:c r="Q225" s="252"/>
      <x:c r="R225" s="253"/>
      <x:c r="S225" s="253"/>
      <x:c r="T225" s="253"/>
      <x:c r="U225" s="253"/>
      <x:c r="V225" s="253"/>
      <x:c r="W225" s="253"/>
      <x:c r="X225" s="253"/>
      <x:c r="Y225" s="252"/>
      <x:c r="Z225" s="252"/>
      <x:c r="AA225" s="253"/>
      <x:c r="AB225" s="253" t="str">
        <x:f>IF(B225="","",IFERROR(INDEX('الزبائن'!$BA$6:$BA$505,MATCH(B225,'الزبائن'!$A$6:$A$505,0)),"source key not found"))</x:f>
      </x:c>
      <x:c r="AC225" s="253" t="str">
        <x:f>IF(B225="","",IFERROR(INDEX('الزبائن'!$BB$6:$BB$505,MATCH(B225,'الزبائن'!$A$6:$A$505,0)),"source key not found"))</x:f>
      </x:c>
      <x:c r="AD225" s="253" t="str">
        <x:f>IF(AND(A225="",C225="",D225="",I225="",L225="",M225=""),"",IF(C225="skip","SKIP",IF(OR(A225="",C225="",D225="",I225="",L225="",M225="",U225="",COUNTIF($A$6:$A$505,A225)&gt;1,AND(B225&lt;&gt;"",COUNTIF('الزبائن'!$A$6:$A$505,B225)=0),(COUNTIFS('أرقام التواصل'!$A$6:$A$505,"proposed_name",'أرقام التواصل'!$B$6:$B$505,A225,'أرقام التواصل'!$I$6:$I$505,"TRUE")+COUNTIFS('أرقام التواصل'!$A$6:$A$505,"proposed_name",'أرقام التواصل'!$B$6:$B$505,A225,'أرقام التواصل'!$C$6:$C$505,1))=0,AND(W225="TRUE",X225="")),"REVIEW","READY")))</x:f>
      </x:c>
      <x:c r="AE225" s="255" t="str">
        <x:f>IF(AD225="","",IF(AD225="READY","",IF(AD225="SKIP","Skipped by candidate_import_action",TRIM(IF(A225="","missing proposed_name_key; ","")&amp;IF(AND(A225&lt;&gt;"",COUNTIF($A$6:$A$505,A225)&gt;1),"duplicate proposed_name_key; ","")&amp;IF(C225="","missing candidate_import_action; ","")&amp;IF(D225="","missing move_reason; ","")&amp;IF(I225="","missing branch_id; ","")&amp;IF(L225="","missing first_name; ","")&amp;IF(M225="","missing last_name; ","")&amp;IF(U225="","missing status; ","")&amp;IF(AND(B225&lt;&gt;"",COUNTIF('الزبائن'!$A$6:$A$505,B225)=0),"source key not found; ","")&amp;IF((COUNTIFS('أرقام التواصل'!$A$6:$A$505,"proposed_name",'أرقام التواصل'!$B$6:$B$505,A225,'أرقام التواصل'!$I$6:$I$505,"TRUE")+COUNTIFS('أرقام التواصل'!$A$6:$A$505,"proposed_name",'أرقام التواصل'!$B$6:$B$505,A225,'أرقام التواصل'!$C$6:$C$505,1))=0,"missing primary contact in أرقام التواصل; ","")&amp;IF(AND(W225="TRUE",X225=""),"duplicate_type required when duplicate_flag TRUE; ","")))))</x:f>
      </x:c>
    </x:row>
    <x:row r="226">
      <x:c r="A226" s="302"/>
      <x:c r="B226" s="252"/>
      <x:c r="C226" s="253"/>
      <x:c r="D226" s="253"/>
      <x:c r="E226" s="253"/>
      <x:c r="F226" s="252"/>
      <x:c r="G226" s="253"/>
      <x:c r="H226" s="272"/>
      <x:c r="I226" s="253"/>
      <x:c r="J226" s="253"/>
      <x:c r="K226" s="253"/>
      <x:c r="L226" s="253"/>
      <x:c r="M226" s="253"/>
      <x:c r="N226" s="253"/>
      <x:c r="O226" s="253" t="str">
        <x:f>IF(TRIM(L226&amp;" "&amp;M226&amp;IF(N226&lt;&gt;""," ("&amp;N226&amp;")",""))="","",TRIM(L226&amp;" "&amp;M226&amp;IF(N226&lt;&gt;""," ("&amp;N226&amp;")","")))</x:f>
      </x:c>
      <x:c r="P226" s="253"/>
      <x:c r="Q226" s="252"/>
      <x:c r="R226" s="253"/>
      <x:c r="S226" s="253"/>
      <x:c r="T226" s="253"/>
      <x:c r="U226" s="253"/>
      <x:c r="V226" s="253"/>
      <x:c r="W226" s="253"/>
      <x:c r="X226" s="253"/>
      <x:c r="Y226" s="252"/>
      <x:c r="Z226" s="252"/>
      <x:c r="AA226" s="253"/>
      <x:c r="AB226" s="253" t="str">
        <x:f>IF(B226="","",IFERROR(INDEX('الزبائن'!$BA$6:$BA$505,MATCH(B226,'الزبائن'!$A$6:$A$505,0)),"source key not found"))</x:f>
      </x:c>
      <x:c r="AC226" s="253" t="str">
        <x:f>IF(B226="","",IFERROR(INDEX('الزبائن'!$BB$6:$BB$505,MATCH(B226,'الزبائن'!$A$6:$A$505,0)),"source key not found"))</x:f>
      </x:c>
      <x:c r="AD226" s="253" t="str">
        <x:f>IF(AND(A226="",C226="",D226="",I226="",L226="",M226=""),"",IF(C226="skip","SKIP",IF(OR(A226="",C226="",D226="",I226="",L226="",M226="",U226="",COUNTIF($A$6:$A$505,A226)&gt;1,AND(B226&lt;&gt;"",COUNTIF('الزبائن'!$A$6:$A$505,B226)=0),(COUNTIFS('أرقام التواصل'!$A$6:$A$505,"proposed_name",'أرقام التواصل'!$B$6:$B$505,A226,'أرقام التواصل'!$I$6:$I$505,"TRUE")+COUNTIFS('أرقام التواصل'!$A$6:$A$505,"proposed_name",'أرقام التواصل'!$B$6:$B$505,A226,'أرقام التواصل'!$C$6:$C$505,1))=0,AND(W226="TRUE",X226="")),"REVIEW","READY")))</x:f>
      </x:c>
      <x:c r="AE226" s="255" t="str">
        <x:f>IF(AD226="","",IF(AD226="READY","",IF(AD226="SKIP","Skipped by candidate_import_action",TRIM(IF(A226="","missing proposed_name_key; ","")&amp;IF(AND(A226&lt;&gt;"",COUNTIF($A$6:$A$505,A226)&gt;1),"duplicate proposed_name_key; ","")&amp;IF(C226="","missing candidate_import_action; ","")&amp;IF(D226="","missing move_reason; ","")&amp;IF(I226="","missing branch_id; ","")&amp;IF(L226="","missing first_name; ","")&amp;IF(M226="","missing last_name; ","")&amp;IF(U226="","missing status; ","")&amp;IF(AND(B226&lt;&gt;"",COUNTIF('الزبائن'!$A$6:$A$505,B226)=0),"source key not found; ","")&amp;IF((COUNTIFS('أرقام التواصل'!$A$6:$A$505,"proposed_name",'أرقام التواصل'!$B$6:$B$505,A226,'أرقام التواصل'!$I$6:$I$505,"TRUE")+COUNTIFS('أرقام التواصل'!$A$6:$A$505,"proposed_name",'أرقام التواصل'!$B$6:$B$505,A226,'أرقام التواصل'!$C$6:$C$505,1))=0,"missing primary contact in أرقام التواصل; ","")&amp;IF(AND(W226="TRUE",X226=""),"duplicate_type required when duplicate_flag TRUE; ","")))))</x:f>
      </x:c>
    </x:row>
    <x:row r="227">
      <x:c r="A227" s="302"/>
      <x:c r="B227" s="252"/>
      <x:c r="C227" s="253"/>
      <x:c r="D227" s="253"/>
      <x:c r="E227" s="253"/>
      <x:c r="F227" s="252"/>
      <x:c r="G227" s="253"/>
      <x:c r="H227" s="272"/>
      <x:c r="I227" s="253"/>
      <x:c r="J227" s="253"/>
      <x:c r="K227" s="253"/>
      <x:c r="L227" s="253"/>
      <x:c r="M227" s="253"/>
      <x:c r="N227" s="253"/>
      <x:c r="O227" s="253" t="str">
        <x:f>IF(TRIM(L227&amp;" "&amp;M227&amp;IF(N227&lt;&gt;""," ("&amp;N227&amp;")",""))="","",TRIM(L227&amp;" "&amp;M227&amp;IF(N227&lt;&gt;""," ("&amp;N227&amp;")","")))</x:f>
      </x:c>
      <x:c r="P227" s="253"/>
      <x:c r="Q227" s="252"/>
      <x:c r="R227" s="253"/>
      <x:c r="S227" s="253"/>
      <x:c r="T227" s="253"/>
      <x:c r="U227" s="253"/>
      <x:c r="V227" s="253"/>
      <x:c r="W227" s="253"/>
      <x:c r="X227" s="253"/>
      <x:c r="Y227" s="252"/>
      <x:c r="Z227" s="252"/>
      <x:c r="AA227" s="253"/>
      <x:c r="AB227" s="253" t="str">
        <x:f>IF(B227="","",IFERROR(INDEX('الزبائن'!$BA$6:$BA$505,MATCH(B227,'الزبائن'!$A$6:$A$505,0)),"source key not found"))</x:f>
      </x:c>
      <x:c r="AC227" s="253" t="str">
        <x:f>IF(B227="","",IFERROR(INDEX('الزبائن'!$BB$6:$BB$505,MATCH(B227,'الزبائن'!$A$6:$A$505,0)),"source key not found"))</x:f>
      </x:c>
      <x:c r="AD227" s="253" t="str">
        <x:f>IF(AND(A227="",C227="",D227="",I227="",L227="",M227=""),"",IF(C227="skip","SKIP",IF(OR(A227="",C227="",D227="",I227="",L227="",M227="",U227="",COUNTIF($A$6:$A$505,A227)&gt;1,AND(B227&lt;&gt;"",COUNTIF('الزبائن'!$A$6:$A$505,B227)=0),(COUNTIFS('أرقام التواصل'!$A$6:$A$505,"proposed_name",'أرقام التواصل'!$B$6:$B$505,A227,'أرقام التواصل'!$I$6:$I$505,"TRUE")+COUNTIFS('أرقام التواصل'!$A$6:$A$505,"proposed_name",'أرقام التواصل'!$B$6:$B$505,A227,'أرقام التواصل'!$C$6:$C$505,1))=0,AND(W227="TRUE",X227="")),"REVIEW","READY")))</x:f>
      </x:c>
      <x:c r="AE227" s="255" t="str">
        <x:f>IF(AD227="","",IF(AD227="READY","",IF(AD227="SKIP","Skipped by candidate_import_action",TRIM(IF(A227="","missing proposed_name_key; ","")&amp;IF(AND(A227&lt;&gt;"",COUNTIF($A$6:$A$505,A227)&gt;1),"duplicate proposed_name_key; ","")&amp;IF(C227="","missing candidate_import_action; ","")&amp;IF(D227="","missing move_reason; ","")&amp;IF(I227="","missing branch_id; ","")&amp;IF(L227="","missing first_name; ","")&amp;IF(M227="","missing last_name; ","")&amp;IF(U227="","missing status; ","")&amp;IF(AND(B227&lt;&gt;"",COUNTIF('الزبائن'!$A$6:$A$505,B227)=0),"source key not found; ","")&amp;IF((COUNTIFS('أرقام التواصل'!$A$6:$A$505,"proposed_name",'أرقام التواصل'!$B$6:$B$505,A227,'أرقام التواصل'!$I$6:$I$505,"TRUE")+COUNTIFS('أرقام التواصل'!$A$6:$A$505,"proposed_name",'أرقام التواصل'!$B$6:$B$505,A227,'أرقام التواصل'!$C$6:$C$505,1))=0,"missing primary contact in أرقام التواصل; ","")&amp;IF(AND(W227="TRUE",X227=""),"duplicate_type required when duplicate_flag TRUE; ","")))))</x:f>
      </x:c>
    </x:row>
    <x:row r="228">
      <x:c r="A228" s="302"/>
      <x:c r="B228" s="252"/>
      <x:c r="C228" s="253"/>
      <x:c r="D228" s="253"/>
      <x:c r="E228" s="253"/>
      <x:c r="F228" s="252"/>
      <x:c r="G228" s="253"/>
      <x:c r="H228" s="272"/>
      <x:c r="I228" s="253"/>
      <x:c r="J228" s="253"/>
      <x:c r="K228" s="253"/>
      <x:c r="L228" s="253"/>
      <x:c r="M228" s="253"/>
      <x:c r="N228" s="253"/>
      <x:c r="O228" s="253" t="str">
        <x:f>IF(TRIM(L228&amp;" "&amp;M228&amp;IF(N228&lt;&gt;""," ("&amp;N228&amp;")",""))="","",TRIM(L228&amp;" "&amp;M228&amp;IF(N228&lt;&gt;""," ("&amp;N228&amp;")","")))</x:f>
      </x:c>
      <x:c r="P228" s="253"/>
      <x:c r="Q228" s="252"/>
      <x:c r="R228" s="253"/>
      <x:c r="S228" s="253"/>
      <x:c r="T228" s="253"/>
      <x:c r="U228" s="253"/>
      <x:c r="V228" s="253"/>
      <x:c r="W228" s="253"/>
      <x:c r="X228" s="253"/>
      <x:c r="Y228" s="252"/>
      <x:c r="Z228" s="252"/>
      <x:c r="AA228" s="253"/>
      <x:c r="AB228" s="253" t="str">
        <x:f>IF(B228="","",IFERROR(INDEX('الزبائن'!$BA$6:$BA$505,MATCH(B228,'الزبائن'!$A$6:$A$505,0)),"source key not found"))</x:f>
      </x:c>
      <x:c r="AC228" s="253" t="str">
        <x:f>IF(B228="","",IFERROR(INDEX('الزبائن'!$BB$6:$BB$505,MATCH(B228,'الزبائن'!$A$6:$A$505,0)),"source key not found"))</x:f>
      </x:c>
      <x:c r="AD228" s="253" t="str">
        <x:f>IF(AND(A228="",C228="",D228="",I228="",L228="",M228=""),"",IF(C228="skip","SKIP",IF(OR(A228="",C228="",D228="",I228="",L228="",M228="",U228="",COUNTIF($A$6:$A$505,A228)&gt;1,AND(B228&lt;&gt;"",COUNTIF('الزبائن'!$A$6:$A$505,B228)=0),(COUNTIFS('أرقام التواصل'!$A$6:$A$505,"proposed_name",'أرقام التواصل'!$B$6:$B$505,A228,'أرقام التواصل'!$I$6:$I$505,"TRUE")+COUNTIFS('أرقام التواصل'!$A$6:$A$505,"proposed_name",'أرقام التواصل'!$B$6:$B$505,A228,'أرقام التواصل'!$C$6:$C$505,1))=0,AND(W228="TRUE",X228="")),"REVIEW","READY")))</x:f>
      </x:c>
      <x:c r="AE228" s="255" t="str">
        <x:f>IF(AD228="","",IF(AD228="READY","",IF(AD228="SKIP","Skipped by candidate_import_action",TRIM(IF(A228="","missing proposed_name_key; ","")&amp;IF(AND(A228&lt;&gt;"",COUNTIF($A$6:$A$505,A228)&gt;1),"duplicate proposed_name_key; ","")&amp;IF(C228="","missing candidate_import_action; ","")&amp;IF(D228="","missing move_reason; ","")&amp;IF(I228="","missing branch_id; ","")&amp;IF(L228="","missing first_name; ","")&amp;IF(M228="","missing last_name; ","")&amp;IF(U228="","missing status; ","")&amp;IF(AND(B228&lt;&gt;"",COUNTIF('الزبائن'!$A$6:$A$505,B228)=0),"source key not found; ","")&amp;IF((COUNTIFS('أرقام التواصل'!$A$6:$A$505,"proposed_name",'أرقام التواصل'!$B$6:$B$505,A228,'أرقام التواصل'!$I$6:$I$505,"TRUE")+COUNTIFS('أرقام التواصل'!$A$6:$A$505,"proposed_name",'أرقام التواصل'!$B$6:$B$505,A228,'أرقام التواصل'!$C$6:$C$505,1))=0,"missing primary contact in أرقام التواصل; ","")&amp;IF(AND(W228="TRUE",X228=""),"duplicate_type required when duplicate_flag TRUE; ","")))))</x:f>
      </x:c>
    </x:row>
    <x:row r="229">
      <x:c r="A229" s="302"/>
      <x:c r="B229" s="252"/>
      <x:c r="C229" s="253"/>
      <x:c r="D229" s="253"/>
      <x:c r="E229" s="253"/>
      <x:c r="F229" s="252"/>
      <x:c r="G229" s="253"/>
      <x:c r="H229" s="272"/>
      <x:c r="I229" s="253"/>
      <x:c r="J229" s="253"/>
      <x:c r="K229" s="253"/>
      <x:c r="L229" s="253"/>
      <x:c r="M229" s="253"/>
      <x:c r="N229" s="253"/>
      <x:c r="O229" s="253" t="str">
        <x:f>IF(TRIM(L229&amp;" "&amp;M229&amp;IF(N229&lt;&gt;""," ("&amp;N229&amp;")",""))="","",TRIM(L229&amp;" "&amp;M229&amp;IF(N229&lt;&gt;""," ("&amp;N229&amp;")","")))</x:f>
      </x:c>
      <x:c r="P229" s="253"/>
      <x:c r="Q229" s="252"/>
      <x:c r="R229" s="253"/>
      <x:c r="S229" s="253"/>
      <x:c r="T229" s="253"/>
      <x:c r="U229" s="253"/>
      <x:c r="V229" s="253"/>
      <x:c r="W229" s="253"/>
      <x:c r="X229" s="253"/>
      <x:c r="Y229" s="252"/>
      <x:c r="Z229" s="252"/>
      <x:c r="AA229" s="253"/>
      <x:c r="AB229" s="253" t="str">
        <x:f>IF(B229="","",IFERROR(INDEX('الزبائن'!$BA$6:$BA$505,MATCH(B229,'الزبائن'!$A$6:$A$505,0)),"source key not found"))</x:f>
      </x:c>
      <x:c r="AC229" s="253" t="str">
        <x:f>IF(B229="","",IFERROR(INDEX('الزبائن'!$BB$6:$BB$505,MATCH(B229,'الزبائن'!$A$6:$A$505,0)),"source key not found"))</x:f>
      </x:c>
      <x:c r="AD229" s="253" t="str">
        <x:f>IF(AND(A229="",C229="",D229="",I229="",L229="",M229=""),"",IF(C229="skip","SKIP",IF(OR(A229="",C229="",D229="",I229="",L229="",M229="",U229="",COUNTIF($A$6:$A$505,A229)&gt;1,AND(B229&lt;&gt;"",COUNTIF('الزبائن'!$A$6:$A$505,B229)=0),(COUNTIFS('أرقام التواصل'!$A$6:$A$505,"proposed_name",'أرقام التواصل'!$B$6:$B$505,A229,'أرقام التواصل'!$I$6:$I$505,"TRUE")+COUNTIFS('أرقام التواصل'!$A$6:$A$505,"proposed_name",'أرقام التواصل'!$B$6:$B$505,A229,'أرقام التواصل'!$C$6:$C$505,1))=0,AND(W229="TRUE",X229="")),"REVIEW","READY")))</x:f>
      </x:c>
      <x:c r="AE229" s="255" t="str">
        <x:f>IF(AD229="","",IF(AD229="READY","",IF(AD229="SKIP","Skipped by candidate_import_action",TRIM(IF(A229="","missing proposed_name_key; ","")&amp;IF(AND(A229&lt;&gt;"",COUNTIF($A$6:$A$505,A229)&gt;1),"duplicate proposed_name_key; ","")&amp;IF(C229="","missing candidate_import_action; ","")&amp;IF(D229="","missing move_reason; ","")&amp;IF(I229="","missing branch_id; ","")&amp;IF(L229="","missing first_name; ","")&amp;IF(M229="","missing last_name; ","")&amp;IF(U229="","missing status; ","")&amp;IF(AND(B229&lt;&gt;"",COUNTIF('الزبائن'!$A$6:$A$505,B229)=0),"source key not found; ","")&amp;IF((COUNTIFS('أرقام التواصل'!$A$6:$A$505,"proposed_name",'أرقام التواصل'!$B$6:$B$505,A229,'أرقام التواصل'!$I$6:$I$505,"TRUE")+COUNTIFS('أرقام التواصل'!$A$6:$A$505,"proposed_name",'أرقام التواصل'!$B$6:$B$505,A229,'أرقام التواصل'!$C$6:$C$505,1))=0,"missing primary contact in أرقام التواصل; ","")&amp;IF(AND(W229="TRUE",X229=""),"duplicate_type required when duplicate_flag TRUE; ","")))))</x:f>
      </x:c>
    </x:row>
    <x:row r="230">
      <x:c r="A230" s="302"/>
      <x:c r="B230" s="252"/>
      <x:c r="C230" s="253"/>
      <x:c r="D230" s="253"/>
      <x:c r="E230" s="253"/>
      <x:c r="F230" s="252"/>
      <x:c r="G230" s="253"/>
      <x:c r="H230" s="272"/>
      <x:c r="I230" s="253"/>
      <x:c r="J230" s="253"/>
      <x:c r="K230" s="253"/>
      <x:c r="L230" s="253"/>
      <x:c r="M230" s="253"/>
      <x:c r="N230" s="253"/>
      <x:c r="O230" s="253" t="str">
        <x:f>IF(TRIM(L230&amp;" "&amp;M230&amp;IF(N230&lt;&gt;""," ("&amp;N230&amp;")",""))="","",TRIM(L230&amp;" "&amp;M230&amp;IF(N230&lt;&gt;""," ("&amp;N230&amp;")","")))</x:f>
      </x:c>
      <x:c r="P230" s="253"/>
      <x:c r="Q230" s="252"/>
      <x:c r="R230" s="253"/>
      <x:c r="S230" s="253"/>
      <x:c r="T230" s="253"/>
      <x:c r="U230" s="253"/>
      <x:c r="V230" s="253"/>
      <x:c r="W230" s="253"/>
      <x:c r="X230" s="253"/>
      <x:c r="Y230" s="252"/>
      <x:c r="Z230" s="252"/>
      <x:c r="AA230" s="253"/>
      <x:c r="AB230" s="253" t="str">
        <x:f>IF(B230="","",IFERROR(INDEX('الزبائن'!$BA$6:$BA$505,MATCH(B230,'الزبائن'!$A$6:$A$505,0)),"source key not found"))</x:f>
      </x:c>
      <x:c r="AC230" s="253" t="str">
        <x:f>IF(B230="","",IFERROR(INDEX('الزبائن'!$BB$6:$BB$505,MATCH(B230,'الزبائن'!$A$6:$A$505,0)),"source key not found"))</x:f>
      </x:c>
      <x:c r="AD230" s="253" t="str">
        <x:f>IF(AND(A230="",C230="",D230="",I230="",L230="",M230=""),"",IF(C230="skip","SKIP",IF(OR(A230="",C230="",D230="",I230="",L230="",M230="",U230="",COUNTIF($A$6:$A$505,A230)&gt;1,AND(B230&lt;&gt;"",COUNTIF('الزبائن'!$A$6:$A$505,B230)=0),(COUNTIFS('أرقام التواصل'!$A$6:$A$505,"proposed_name",'أرقام التواصل'!$B$6:$B$505,A230,'أرقام التواصل'!$I$6:$I$505,"TRUE")+COUNTIFS('أرقام التواصل'!$A$6:$A$505,"proposed_name",'أرقام التواصل'!$B$6:$B$505,A230,'أرقام التواصل'!$C$6:$C$505,1))=0,AND(W230="TRUE",X230="")),"REVIEW","READY")))</x:f>
      </x:c>
      <x:c r="AE230" s="255" t="str">
        <x:f>IF(AD230="","",IF(AD230="READY","",IF(AD230="SKIP","Skipped by candidate_import_action",TRIM(IF(A230="","missing proposed_name_key; ","")&amp;IF(AND(A230&lt;&gt;"",COUNTIF($A$6:$A$505,A230)&gt;1),"duplicate proposed_name_key; ","")&amp;IF(C230="","missing candidate_import_action; ","")&amp;IF(D230="","missing move_reason; ","")&amp;IF(I230="","missing branch_id; ","")&amp;IF(L230="","missing first_name; ","")&amp;IF(M230="","missing last_name; ","")&amp;IF(U230="","missing status; ","")&amp;IF(AND(B230&lt;&gt;"",COUNTIF('الزبائن'!$A$6:$A$505,B230)=0),"source key not found; ","")&amp;IF((COUNTIFS('أرقام التواصل'!$A$6:$A$505,"proposed_name",'أرقام التواصل'!$B$6:$B$505,A230,'أرقام التواصل'!$I$6:$I$505,"TRUE")+COUNTIFS('أرقام التواصل'!$A$6:$A$505,"proposed_name",'أرقام التواصل'!$B$6:$B$505,A230,'أرقام التواصل'!$C$6:$C$505,1))=0,"missing primary contact in أرقام التواصل; ","")&amp;IF(AND(W230="TRUE",X230=""),"duplicate_type required when duplicate_flag TRUE; ","")))))</x:f>
      </x:c>
    </x:row>
    <x:row r="231">
      <x:c r="A231" s="302"/>
      <x:c r="B231" s="252"/>
      <x:c r="C231" s="253"/>
      <x:c r="D231" s="253"/>
      <x:c r="E231" s="253"/>
      <x:c r="F231" s="252"/>
      <x:c r="G231" s="253"/>
      <x:c r="H231" s="272"/>
      <x:c r="I231" s="253"/>
      <x:c r="J231" s="253"/>
      <x:c r="K231" s="253"/>
      <x:c r="L231" s="253"/>
      <x:c r="M231" s="253"/>
      <x:c r="N231" s="253"/>
      <x:c r="O231" s="253" t="str">
        <x:f>IF(TRIM(L231&amp;" "&amp;M231&amp;IF(N231&lt;&gt;""," ("&amp;N231&amp;")",""))="","",TRIM(L231&amp;" "&amp;M231&amp;IF(N231&lt;&gt;""," ("&amp;N231&amp;")","")))</x:f>
      </x:c>
      <x:c r="P231" s="253"/>
      <x:c r="Q231" s="252"/>
      <x:c r="R231" s="253"/>
      <x:c r="S231" s="253"/>
      <x:c r="T231" s="253"/>
      <x:c r="U231" s="253"/>
      <x:c r="V231" s="253"/>
      <x:c r="W231" s="253"/>
      <x:c r="X231" s="253"/>
      <x:c r="Y231" s="252"/>
      <x:c r="Z231" s="252"/>
      <x:c r="AA231" s="253"/>
      <x:c r="AB231" s="253" t="str">
        <x:f>IF(B231="","",IFERROR(INDEX('الزبائن'!$BA$6:$BA$505,MATCH(B231,'الزبائن'!$A$6:$A$505,0)),"source key not found"))</x:f>
      </x:c>
      <x:c r="AC231" s="253" t="str">
        <x:f>IF(B231="","",IFERROR(INDEX('الزبائن'!$BB$6:$BB$505,MATCH(B231,'الزبائن'!$A$6:$A$505,0)),"source key not found"))</x:f>
      </x:c>
      <x:c r="AD231" s="253" t="str">
        <x:f>IF(AND(A231="",C231="",D231="",I231="",L231="",M231=""),"",IF(C231="skip","SKIP",IF(OR(A231="",C231="",D231="",I231="",L231="",M231="",U231="",COUNTIF($A$6:$A$505,A231)&gt;1,AND(B231&lt;&gt;"",COUNTIF('الزبائن'!$A$6:$A$505,B231)=0),(COUNTIFS('أرقام التواصل'!$A$6:$A$505,"proposed_name",'أرقام التواصل'!$B$6:$B$505,A231,'أرقام التواصل'!$I$6:$I$505,"TRUE")+COUNTIFS('أرقام التواصل'!$A$6:$A$505,"proposed_name",'أرقام التواصل'!$B$6:$B$505,A231,'أرقام التواصل'!$C$6:$C$505,1))=0,AND(W231="TRUE",X231="")),"REVIEW","READY")))</x:f>
      </x:c>
      <x:c r="AE231" s="255" t="str">
        <x:f>IF(AD231="","",IF(AD231="READY","",IF(AD231="SKIP","Skipped by candidate_import_action",TRIM(IF(A231="","missing proposed_name_key; ","")&amp;IF(AND(A231&lt;&gt;"",COUNTIF($A$6:$A$505,A231)&gt;1),"duplicate proposed_name_key; ","")&amp;IF(C231="","missing candidate_import_action; ","")&amp;IF(D231="","missing move_reason; ","")&amp;IF(I231="","missing branch_id; ","")&amp;IF(L231="","missing first_name; ","")&amp;IF(M231="","missing last_name; ","")&amp;IF(U231="","missing status; ","")&amp;IF(AND(B231&lt;&gt;"",COUNTIF('الزبائن'!$A$6:$A$505,B231)=0),"source key not found; ","")&amp;IF((COUNTIFS('أرقام التواصل'!$A$6:$A$505,"proposed_name",'أرقام التواصل'!$B$6:$B$505,A231,'أرقام التواصل'!$I$6:$I$505,"TRUE")+COUNTIFS('أرقام التواصل'!$A$6:$A$505,"proposed_name",'أرقام التواصل'!$B$6:$B$505,A231,'أرقام التواصل'!$C$6:$C$505,1))=0,"missing primary contact in أرقام التواصل; ","")&amp;IF(AND(W231="TRUE",X231=""),"duplicate_type required when duplicate_flag TRUE; ","")))))</x:f>
      </x:c>
    </x:row>
    <x:row r="232">
      <x:c r="A232" s="302"/>
      <x:c r="B232" s="252"/>
      <x:c r="C232" s="253"/>
      <x:c r="D232" s="253"/>
      <x:c r="E232" s="253"/>
      <x:c r="F232" s="252"/>
      <x:c r="G232" s="253"/>
      <x:c r="H232" s="272"/>
      <x:c r="I232" s="253"/>
      <x:c r="J232" s="253"/>
      <x:c r="K232" s="253"/>
      <x:c r="L232" s="253"/>
      <x:c r="M232" s="253"/>
      <x:c r="N232" s="253"/>
      <x:c r="O232" s="253" t="str">
        <x:f>IF(TRIM(L232&amp;" "&amp;M232&amp;IF(N232&lt;&gt;""," ("&amp;N232&amp;")",""))="","",TRIM(L232&amp;" "&amp;M232&amp;IF(N232&lt;&gt;""," ("&amp;N232&amp;")","")))</x:f>
      </x:c>
      <x:c r="P232" s="253"/>
      <x:c r="Q232" s="252"/>
      <x:c r="R232" s="253"/>
      <x:c r="S232" s="253"/>
      <x:c r="T232" s="253"/>
      <x:c r="U232" s="253"/>
      <x:c r="V232" s="253"/>
      <x:c r="W232" s="253"/>
      <x:c r="X232" s="253"/>
      <x:c r="Y232" s="252"/>
      <x:c r="Z232" s="252"/>
      <x:c r="AA232" s="253"/>
      <x:c r="AB232" s="253" t="str">
        <x:f>IF(B232="","",IFERROR(INDEX('الزبائن'!$BA$6:$BA$505,MATCH(B232,'الزبائن'!$A$6:$A$505,0)),"source key not found"))</x:f>
      </x:c>
      <x:c r="AC232" s="253" t="str">
        <x:f>IF(B232="","",IFERROR(INDEX('الزبائن'!$BB$6:$BB$505,MATCH(B232,'الزبائن'!$A$6:$A$505,0)),"source key not found"))</x:f>
      </x:c>
      <x:c r="AD232" s="253" t="str">
        <x:f>IF(AND(A232="",C232="",D232="",I232="",L232="",M232=""),"",IF(C232="skip","SKIP",IF(OR(A232="",C232="",D232="",I232="",L232="",M232="",U232="",COUNTIF($A$6:$A$505,A232)&gt;1,AND(B232&lt;&gt;"",COUNTIF('الزبائن'!$A$6:$A$505,B232)=0),(COUNTIFS('أرقام التواصل'!$A$6:$A$505,"proposed_name",'أرقام التواصل'!$B$6:$B$505,A232,'أرقام التواصل'!$I$6:$I$505,"TRUE")+COUNTIFS('أرقام التواصل'!$A$6:$A$505,"proposed_name",'أرقام التواصل'!$B$6:$B$505,A232,'أرقام التواصل'!$C$6:$C$505,1))=0,AND(W232="TRUE",X232="")),"REVIEW","READY")))</x:f>
      </x:c>
      <x:c r="AE232" s="255" t="str">
        <x:f>IF(AD232="","",IF(AD232="READY","",IF(AD232="SKIP","Skipped by candidate_import_action",TRIM(IF(A232="","missing proposed_name_key; ","")&amp;IF(AND(A232&lt;&gt;"",COUNTIF($A$6:$A$505,A232)&gt;1),"duplicate proposed_name_key; ","")&amp;IF(C232="","missing candidate_import_action; ","")&amp;IF(D232="","missing move_reason; ","")&amp;IF(I232="","missing branch_id; ","")&amp;IF(L232="","missing first_name; ","")&amp;IF(M232="","missing last_name; ","")&amp;IF(U232="","missing status; ","")&amp;IF(AND(B232&lt;&gt;"",COUNTIF('الزبائن'!$A$6:$A$505,B232)=0),"source key not found; ","")&amp;IF((COUNTIFS('أرقام التواصل'!$A$6:$A$505,"proposed_name",'أرقام التواصل'!$B$6:$B$505,A232,'أرقام التواصل'!$I$6:$I$505,"TRUE")+COUNTIFS('أرقام التواصل'!$A$6:$A$505,"proposed_name",'أرقام التواصل'!$B$6:$B$505,A232,'أرقام التواصل'!$C$6:$C$505,1))=0,"missing primary contact in أرقام التواصل; ","")&amp;IF(AND(W232="TRUE",X232=""),"duplicate_type required when duplicate_flag TRUE; ","")))))</x:f>
      </x:c>
    </x:row>
    <x:row r="233">
      <x:c r="A233" s="302"/>
      <x:c r="B233" s="252"/>
      <x:c r="C233" s="253"/>
      <x:c r="D233" s="253"/>
      <x:c r="E233" s="253"/>
      <x:c r="F233" s="252"/>
      <x:c r="G233" s="253"/>
      <x:c r="H233" s="272"/>
      <x:c r="I233" s="253"/>
      <x:c r="J233" s="253"/>
      <x:c r="K233" s="253"/>
      <x:c r="L233" s="253"/>
      <x:c r="M233" s="253"/>
      <x:c r="N233" s="253"/>
      <x:c r="O233" s="253" t="str">
        <x:f>IF(TRIM(L233&amp;" "&amp;M233&amp;IF(N233&lt;&gt;""," ("&amp;N233&amp;")",""))="","",TRIM(L233&amp;" "&amp;M233&amp;IF(N233&lt;&gt;""," ("&amp;N233&amp;")","")))</x:f>
      </x:c>
      <x:c r="P233" s="253"/>
      <x:c r="Q233" s="252"/>
      <x:c r="R233" s="253"/>
      <x:c r="S233" s="253"/>
      <x:c r="T233" s="253"/>
      <x:c r="U233" s="253"/>
      <x:c r="V233" s="253"/>
      <x:c r="W233" s="253"/>
      <x:c r="X233" s="253"/>
      <x:c r="Y233" s="252"/>
      <x:c r="Z233" s="252"/>
      <x:c r="AA233" s="253"/>
      <x:c r="AB233" s="253" t="str">
        <x:f>IF(B233="","",IFERROR(INDEX('الزبائن'!$BA$6:$BA$505,MATCH(B233,'الزبائن'!$A$6:$A$505,0)),"source key not found"))</x:f>
      </x:c>
      <x:c r="AC233" s="253" t="str">
        <x:f>IF(B233="","",IFERROR(INDEX('الزبائن'!$BB$6:$BB$505,MATCH(B233,'الزبائن'!$A$6:$A$505,0)),"source key not found"))</x:f>
      </x:c>
      <x:c r="AD233" s="253" t="str">
        <x:f>IF(AND(A233="",C233="",D233="",I233="",L233="",M233=""),"",IF(C233="skip","SKIP",IF(OR(A233="",C233="",D233="",I233="",L233="",M233="",U233="",COUNTIF($A$6:$A$505,A233)&gt;1,AND(B233&lt;&gt;"",COUNTIF('الزبائن'!$A$6:$A$505,B233)=0),(COUNTIFS('أرقام التواصل'!$A$6:$A$505,"proposed_name",'أرقام التواصل'!$B$6:$B$505,A233,'أرقام التواصل'!$I$6:$I$505,"TRUE")+COUNTIFS('أرقام التواصل'!$A$6:$A$505,"proposed_name",'أرقام التواصل'!$B$6:$B$505,A233,'أرقام التواصل'!$C$6:$C$505,1))=0,AND(W233="TRUE",X233="")),"REVIEW","READY")))</x:f>
      </x:c>
      <x:c r="AE233" s="255" t="str">
        <x:f>IF(AD233="","",IF(AD233="READY","",IF(AD233="SKIP","Skipped by candidate_import_action",TRIM(IF(A233="","missing proposed_name_key; ","")&amp;IF(AND(A233&lt;&gt;"",COUNTIF($A$6:$A$505,A233)&gt;1),"duplicate proposed_name_key; ","")&amp;IF(C233="","missing candidate_import_action; ","")&amp;IF(D233="","missing move_reason; ","")&amp;IF(I233="","missing branch_id; ","")&amp;IF(L233="","missing first_name; ","")&amp;IF(M233="","missing last_name; ","")&amp;IF(U233="","missing status; ","")&amp;IF(AND(B233&lt;&gt;"",COUNTIF('الزبائن'!$A$6:$A$505,B233)=0),"source key not found; ","")&amp;IF((COUNTIFS('أرقام التواصل'!$A$6:$A$505,"proposed_name",'أرقام التواصل'!$B$6:$B$505,A233,'أرقام التواصل'!$I$6:$I$505,"TRUE")+COUNTIFS('أرقام التواصل'!$A$6:$A$505,"proposed_name",'أرقام التواصل'!$B$6:$B$505,A233,'أرقام التواصل'!$C$6:$C$505,1))=0,"missing primary contact in أرقام التواصل; ","")&amp;IF(AND(W233="TRUE",X233=""),"duplicate_type required when duplicate_flag TRUE; ","")))))</x:f>
      </x:c>
    </x:row>
    <x:row r="234">
      <x:c r="A234" s="302"/>
      <x:c r="B234" s="252"/>
      <x:c r="C234" s="253"/>
      <x:c r="D234" s="253"/>
      <x:c r="E234" s="253"/>
      <x:c r="F234" s="252"/>
      <x:c r="G234" s="253"/>
      <x:c r="H234" s="272"/>
      <x:c r="I234" s="253"/>
      <x:c r="J234" s="253"/>
      <x:c r="K234" s="253"/>
      <x:c r="L234" s="253"/>
      <x:c r="M234" s="253"/>
      <x:c r="N234" s="253"/>
      <x:c r="O234" s="253" t="str">
        <x:f>IF(TRIM(L234&amp;" "&amp;M234&amp;IF(N234&lt;&gt;""," ("&amp;N234&amp;")",""))="","",TRIM(L234&amp;" "&amp;M234&amp;IF(N234&lt;&gt;""," ("&amp;N234&amp;")","")))</x:f>
      </x:c>
      <x:c r="P234" s="253"/>
      <x:c r="Q234" s="252"/>
      <x:c r="R234" s="253"/>
      <x:c r="S234" s="253"/>
      <x:c r="T234" s="253"/>
      <x:c r="U234" s="253"/>
      <x:c r="V234" s="253"/>
      <x:c r="W234" s="253"/>
      <x:c r="X234" s="253"/>
      <x:c r="Y234" s="252"/>
      <x:c r="Z234" s="252"/>
      <x:c r="AA234" s="253"/>
      <x:c r="AB234" s="253" t="str">
        <x:f>IF(B234="","",IFERROR(INDEX('الزبائن'!$BA$6:$BA$505,MATCH(B234,'الزبائن'!$A$6:$A$505,0)),"source key not found"))</x:f>
      </x:c>
      <x:c r="AC234" s="253" t="str">
        <x:f>IF(B234="","",IFERROR(INDEX('الزبائن'!$BB$6:$BB$505,MATCH(B234,'الزبائن'!$A$6:$A$505,0)),"source key not found"))</x:f>
      </x:c>
      <x:c r="AD234" s="253" t="str">
        <x:f>IF(AND(A234="",C234="",D234="",I234="",L234="",M234=""),"",IF(C234="skip","SKIP",IF(OR(A234="",C234="",D234="",I234="",L234="",M234="",U234="",COUNTIF($A$6:$A$505,A234)&gt;1,AND(B234&lt;&gt;"",COUNTIF('الزبائن'!$A$6:$A$505,B234)=0),(COUNTIFS('أرقام التواصل'!$A$6:$A$505,"proposed_name",'أرقام التواصل'!$B$6:$B$505,A234,'أرقام التواصل'!$I$6:$I$505,"TRUE")+COUNTIFS('أرقام التواصل'!$A$6:$A$505,"proposed_name",'أرقام التواصل'!$B$6:$B$505,A234,'أرقام التواصل'!$C$6:$C$505,1))=0,AND(W234="TRUE",X234="")),"REVIEW","READY")))</x:f>
      </x:c>
      <x:c r="AE234" s="255" t="str">
        <x:f>IF(AD234="","",IF(AD234="READY","",IF(AD234="SKIP","Skipped by candidate_import_action",TRIM(IF(A234="","missing proposed_name_key; ","")&amp;IF(AND(A234&lt;&gt;"",COUNTIF($A$6:$A$505,A234)&gt;1),"duplicate proposed_name_key; ","")&amp;IF(C234="","missing candidate_import_action; ","")&amp;IF(D234="","missing move_reason; ","")&amp;IF(I234="","missing branch_id; ","")&amp;IF(L234="","missing first_name; ","")&amp;IF(M234="","missing last_name; ","")&amp;IF(U234="","missing status; ","")&amp;IF(AND(B234&lt;&gt;"",COUNTIF('الزبائن'!$A$6:$A$505,B234)=0),"source key not found; ","")&amp;IF((COUNTIFS('أرقام التواصل'!$A$6:$A$505,"proposed_name",'أرقام التواصل'!$B$6:$B$505,A234,'أرقام التواصل'!$I$6:$I$505,"TRUE")+COUNTIFS('أرقام التواصل'!$A$6:$A$505,"proposed_name",'أرقام التواصل'!$B$6:$B$505,A234,'أرقام التواصل'!$C$6:$C$505,1))=0,"missing primary contact in أرقام التواصل; ","")&amp;IF(AND(W234="TRUE",X234=""),"duplicate_type required when duplicate_flag TRUE; ","")))))</x:f>
      </x:c>
    </x:row>
    <x:row r="235">
      <x:c r="A235" s="302"/>
      <x:c r="B235" s="252"/>
      <x:c r="C235" s="253"/>
      <x:c r="D235" s="253"/>
      <x:c r="E235" s="253"/>
      <x:c r="F235" s="252"/>
      <x:c r="G235" s="253"/>
      <x:c r="H235" s="272"/>
      <x:c r="I235" s="253"/>
      <x:c r="J235" s="253"/>
      <x:c r="K235" s="253"/>
      <x:c r="L235" s="253"/>
      <x:c r="M235" s="253"/>
      <x:c r="N235" s="253"/>
      <x:c r="O235" s="253" t="str">
        <x:f>IF(TRIM(L235&amp;" "&amp;M235&amp;IF(N235&lt;&gt;""," ("&amp;N235&amp;")",""))="","",TRIM(L235&amp;" "&amp;M235&amp;IF(N235&lt;&gt;""," ("&amp;N235&amp;")","")))</x:f>
      </x:c>
      <x:c r="P235" s="253"/>
      <x:c r="Q235" s="252"/>
      <x:c r="R235" s="253"/>
      <x:c r="S235" s="253"/>
      <x:c r="T235" s="253"/>
      <x:c r="U235" s="253"/>
      <x:c r="V235" s="253"/>
      <x:c r="W235" s="253"/>
      <x:c r="X235" s="253"/>
      <x:c r="Y235" s="252"/>
      <x:c r="Z235" s="252"/>
      <x:c r="AA235" s="253"/>
      <x:c r="AB235" s="253" t="str">
        <x:f>IF(B235="","",IFERROR(INDEX('الزبائن'!$BA$6:$BA$505,MATCH(B235,'الزبائن'!$A$6:$A$505,0)),"source key not found"))</x:f>
      </x:c>
      <x:c r="AC235" s="253" t="str">
        <x:f>IF(B235="","",IFERROR(INDEX('الزبائن'!$BB$6:$BB$505,MATCH(B235,'الزبائن'!$A$6:$A$505,0)),"source key not found"))</x:f>
      </x:c>
      <x:c r="AD235" s="253" t="str">
        <x:f>IF(AND(A235="",C235="",D235="",I235="",L235="",M235=""),"",IF(C235="skip","SKIP",IF(OR(A235="",C235="",D235="",I235="",L235="",M235="",U235="",COUNTIF($A$6:$A$505,A235)&gt;1,AND(B235&lt;&gt;"",COUNTIF('الزبائن'!$A$6:$A$505,B235)=0),(COUNTIFS('أرقام التواصل'!$A$6:$A$505,"proposed_name",'أرقام التواصل'!$B$6:$B$505,A235,'أرقام التواصل'!$I$6:$I$505,"TRUE")+COUNTIFS('أرقام التواصل'!$A$6:$A$505,"proposed_name",'أرقام التواصل'!$B$6:$B$505,A235,'أرقام التواصل'!$C$6:$C$505,1))=0,AND(W235="TRUE",X235="")),"REVIEW","READY")))</x:f>
      </x:c>
      <x:c r="AE235" s="255" t="str">
        <x:f>IF(AD235="","",IF(AD235="READY","",IF(AD235="SKIP","Skipped by candidate_import_action",TRIM(IF(A235="","missing proposed_name_key; ","")&amp;IF(AND(A235&lt;&gt;"",COUNTIF($A$6:$A$505,A235)&gt;1),"duplicate proposed_name_key; ","")&amp;IF(C235="","missing candidate_import_action; ","")&amp;IF(D235="","missing move_reason; ","")&amp;IF(I235="","missing branch_id; ","")&amp;IF(L235="","missing first_name; ","")&amp;IF(M235="","missing last_name; ","")&amp;IF(U235="","missing status; ","")&amp;IF(AND(B235&lt;&gt;"",COUNTIF('الزبائن'!$A$6:$A$505,B235)=0),"source key not found; ","")&amp;IF((COUNTIFS('أرقام التواصل'!$A$6:$A$505,"proposed_name",'أرقام التواصل'!$B$6:$B$505,A235,'أرقام التواصل'!$I$6:$I$505,"TRUE")+COUNTIFS('أرقام التواصل'!$A$6:$A$505,"proposed_name",'أرقام التواصل'!$B$6:$B$505,A235,'أرقام التواصل'!$C$6:$C$505,1))=0,"missing primary contact in أرقام التواصل; ","")&amp;IF(AND(W235="TRUE",X235=""),"duplicate_type required when duplicate_flag TRUE; ","")))))</x:f>
      </x:c>
    </x:row>
    <x:row r="236">
      <x:c r="A236" s="302"/>
      <x:c r="B236" s="252"/>
      <x:c r="C236" s="253"/>
      <x:c r="D236" s="253"/>
      <x:c r="E236" s="253"/>
      <x:c r="F236" s="252"/>
      <x:c r="G236" s="253"/>
      <x:c r="H236" s="272"/>
      <x:c r="I236" s="253"/>
      <x:c r="J236" s="253"/>
      <x:c r="K236" s="253"/>
      <x:c r="L236" s="253"/>
      <x:c r="M236" s="253"/>
      <x:c r="N236" s="253"/>
      <x:c r="O236" s="253" t="str">
        <x:f>IF(TRIM(L236&amp;" "&amp;M236&amp;IF(N236&lt;&gt;""," ("&amp;N236&amp;")",""))="","",TRIM(L236&amp;" "&amp;M236&amp;IF(N236&lt;&gt;""," ("&amp;N236&amp;")","")))</x:f>
      </x:c>
      <x:c r="P236" s="253"/>
      <x:c r="Q236" s="252"/>
      <x:c r="R236" s="253"/>
      <x:c r="S236" s="253"/>
      <x:c r="T236" s="253"/>
      <x:c r="U236" s="253"/>
      <x:c r="V236" s="253"/>
      <x:c r="W236" s="253"/>
      <x:c r="X236" s="253"/>
      <x:c r="Y236" s="252"/>
      <x:c r="Z236" s="252"/>
      <x:c r="AA236" s="253"/>
      <x:c r="AB236" s="253" t="str">
        <x:f>IF(B236="","",IFERROR(INDEX('الزبائن'!$BA$6:$BA$505,MATCH(B236,'الزبائن'!$A$6:$A$505,0)),"source key not found"))</x:f>
      </x:c>
      <x:c r="AC236" s="253" t="str">
        <x:f>IF(B236="","",IFERROR(INDEX('الزبائن'!$BB$6:$BB$505,MATCH(B236,'الزبائن'!$A$6:$A$505,0)),"source key not found"))</x:f>
      </x:c>
      <x:c r="AD236" s="253" t="str">
        <x:f>IF(AND(A236="",C236="",D236="",I236="",L236="",M236=""),"",IF(C236="skip","SKIP",IF(OR(A236="",C236="",D236="",I236="",L236="",M236="",U236="",COUNTIF($A$6:$A$505,A236)&gt;1,AND(B236&lt;&gt;"",COUNTIF('الزبائن'!$A$6:$A$505,B236)=0),(COUNTIFS('أرقام التواصل'!$A$6:$A$505,"proposed_name",'أرقام التواصل'!$B$6:$B$505,A236,'أرقام التواصل'!$I$6:$I$505,"TRUE")+COUNTIFS('أرقام التواصل'!$A$6:$A$505,"proposed_name",'أرقام التواصل'!$B$6:$B$505,A236,'أرقام التواصل'!$C$6:$C$505,1))=0,AND(W236="TRUE",X236="")),"REVIEW","READY")))</x:f>
      </x:c>
      <x:c r="AE236" s="255" t="str">
        <x:f>IF(AD236="","",IF(AD236="READY","",IF(AD236="SKIP","Skipped by candidate_import_action",TRIM(IF(A236="","missing proposed_name_key; ","")&amp;IF(AND(A236&lt;&gt;"",COUNTIF($A$6:$A$505,A236)&gt;1),"duplicate proposed_name_key; ","")&amp;IF(C236="","missing candidate_import_action; ","")&amp;IF(D236="","missing move_reason; ","")&amp;IF(I236="","missing branch_id; ","")&amp;IF(L236="","missing first_name; ","")&amp;IF(M236="","missing last_name; ","")&amp;IF(U236="","missing status; ","")&amp;IF(AND(B236&lt;&gt;"",COUNTIF('الزبائن'!$A$6:$A$505,B236)=0),"source key not found; ","")&amp;IF((COUNTIFS('أرقام التواصل'!$A$6:$A$505,"proposed_name",'أرقام التواصل'!$B$6:$B$505,A236,'أرقام التواصل'!$I$6:$I$505,"TRUE")+COUNTIFS('أرقام التواصل'!$A$6:$A$505,"proposed_name",'أرقام التواصل'!$B$6:$B$505,A236,'أرقام التواصل'!$C$6:$C$505,1))=0,"missing primary contact in أرقام التواصل; ","")&amp;IF(AND(W236="TRUE",X236=""),"duplicate_type required when duplicate_flag TRUE; ","")))))</x:f>
      </x:c>
    </x:row>
    <x:row r="237">
      <x:c r="A237" s="302"/>
      <x:c r="B237" s="252"/>
      <x:c r="C237" s="253"/>
      <x:c r="D237" s="253"/>
      <x:c r="E237" s="253"/>
      <x:c r="F237" s="252"/>
      <x:c r="G237" s="253"/>
      <x:c r="H237" s="272"/>
      <x:c r="I237" s="253"/>
      <x:c r="J237" s="253"/>
      <x:c r="K237" s="253"/>
      <x:c r="L237" s="253"/>
      <x:c r="M237" s="253"/>
      <x:c r="N237" s="253"/>
      <x:c r="O237" s="253" t="str">
        <x:f>IF(TRIM(L237&amp;" "&amp;M237&amp;IF(N237&lt;&gt;""," ("&amp;N237&amp;")",""))="","",TRIM(L237&amp;" "&amp;M237&amp;IF(N237&lt;&gt;""," ("&amp;N237&amp;")","")))</x:f>
      </x:c>
      <x:c r="P237" s="253"/>
      <x:c r="Q237" s="252"/>
      <x:c r="R237" s="253"/>
      <x:c r="S237" s="253"/>
      <x:c r="T237" s="253"/>
      <x:c r="U237" s="253"/>
      <x:c r="V237" s="253"/>
      <x:c r="W237" s="253"/>
      <x:c r="X237" s="253"/>
      <x:c r="Y237" s="252"/>
      <x:c r="Z237" s="252"/>
      <x:c r="AA237" s="253"/>
      <x:c r="AB237" s="253" t="str">
        <x:f>IF(B237="","",IFERROR(INDEX('الزبائن'!$BA$6:$BA$505,MATCH(B237,'الزبائن'!$A$6:$A$505,0)),"source key not found"))</x:f>
      </x:c>
      <x:c r="AC237" s="253" t="str">
        <x:f>IF(B237="","",IFERROR(INDEX('الزبائن'!$BB$6:$BB$505,MATCH(B237,'الزبائن'!$A$6:$A$505,0)),"source key not found"))</x:f>
      </x:c>
      <x:c r="AD237" s="253" t="str">
        <x:f>IF(AND(A237="",C237="",D237="",I237="",L237="",M237=""),"",IF(C237="skip","SKIP",IF(OR(A237="",C237="",D237="",I237="",L237="",M237="",U237="",COUNTIF($A$6:$A$505,A237)&gt;1,AND(B237&lt;&gt;"",COUNTIF('الزبائن'!$A$6:$A$505,B237)=0),(COUNTIFS('أرقام التواصل'!$A$6:$A$505,"proposed_name",'أرقام التواصل'!$B$6:$B$505,A237,'أرقام التواصل'!$I$6:$I$505,"TRUE")+COUNTIFS('أرقام التواصل'!$A$6:$A$505,"proposed_name",'أرقام التواصل'!$B$6:$B$505,A237,'أرقام التواصل'!$C$6:$C$505,1))=0,AND(W237="TRUE",X237="")),"REVIEW","READY")))</x:f>
      </x:c>
      <x:c r="AE237" s="255" t="str">
        <x:f>IF(AD237="","",IF(AD237="READY","",IF(AD237="SKIP","Skipped by candidate_import_action",TRIM(IF(A237="","missing proposed_name_key; ","")&amp;IF(AND(A237&lt;&gt;"",COUNTIF($A$6:$A$505,A237)&gt;1),"duplicate proposed_name_key; ","")&amp;IF(C237="","missing candidate_import_action; ","")&amp;IF(D237="","missing move_reason; ","")&amp;IF(I237="","missing branch_id; ","")&amp;IF(L237="","missing first_name; ","")&amp;IF(M237="","missing last_name; ","")&amp;IF(U237="","missing status; ","")&amp;IF(AND(B237&lt;&gt;"",COUNTIF('الزبائن'!$A$6:$A$505,B237)=0),"source key not found; ","")&amp;IF((COUNTIFS('أرقام التواصل'!$A$6:$A$505,"proposed_name",'أرقام التواصل'!$B$6:$B$505,A237,'أرقام التواصل'!$I$6:$I$505,"TRUE")+COUNTIFS('أرقام التواصل'!$A$6:$A$505,"proposed_name",'أرقام التواصل'!$B$6:$B$505,A237,'أرقام التواصل'!$C$6:$C$505,1))=0,"missing primary contact in أرقام التواصل; ","")&amp;IF(AND(W237="TRUE",X237=""),"duplicate_type required when duplicate_flag TRUE; ","")))))</x:f>
      </x:c>
    </x:row>
    <x:row r="238">
      <x:c r="A238" s="302"/>
      <x:c r="B238" s="252"/>
      <x:c r="C238" s="253"/>
      <x:c r="D238" s="253"/>
      <x:c r="E238" s="253"/>
      <x:c r="F238" s="252"/>
      <x:c r="G238" s="253"/>
      <x:c r="H238" s="272"/>
      <x:c r="I238" s="253"/>
      <x:c r="J238" s="253"/>
      <x:c r="K238" s="253"/>
      <x:c r="L238" s="253"/>
      <x:c r="M238" s="253"/>
      <x:c r="N238" s="253"/>
      <x:c r="O238" s="253" t="str">
        <x:f>IF(TRIM(L238&amp;" "&amp;M238&amp;IF(N238&lt;&gt;""," ("&amp;N238&amp;")",""))="","",TRIM(L238&amp;" "&amp;M238&amp;IF(N238&lt;&gt;""," ("&amp;N238&amp;")","")))</x:f>
      </x:c>
      <x:c r="P238" s="253"/>
      <x:c r="Q238" s="252"/>
      <x:c r="R238" s="253"/>
      <x:c r="S238" s="253"/>
      <x:c r="T238" s="253"/>
      <x:c r="U238" s="253"/>
      <x:c r="V238" s="253"/>
      <x:c r="W238" s="253"/>
      <x:c r="X238" s="253"/>
      <x:c r="Y238" s="252"/>
      <x:c r="Z238" s="252"/>
      <x:c r="AA238" s="253"/>
      <x:c r="AB238" s="253" t="str">
        <x:f>IF(B238="","",IFERROR(INDEX('الزبائن'!$BA$6:$BA$505,MATCH(B238,'الزبائن'!$A$6:$A$505,0)),"source key not found"))</x:f>
      </x:c>
      <x:c r="AC238" s="253" t="str">
        <x:f>IF(B238="","",IFERROR(INDEX('الزبائن'!$BB$6:$BB$505,MATCH(B238,'الزبائن'!$A$6:$A$505,0)),"source key not found"))</x:f>
      </x:c>
      <x:c r="AD238" s="253" t="str">
        <x:f>IF(AND(A238="",C238="",D238="",I238="",L238="",M238=""),"",IF(C238="skip","SKIP",IF(OR(A238="",C238="",D238="",I238="",L238="",M238="",U238="",COUNTIF($A$6:$A$505,A238)&gt;1,AND(B238&lt;&gt;"",COUNTIF('الزبائن'!$A$6:$A$505,B238)=0),(COUNTIFS('أرقام التواصل'!$A$6:$A$505,"proposed_name",'أرقام التواصل'!$B$6:$B$505,A238,'أرقام التواصل'!$I$6:$I$505,"TRUE")+COUNTIFS('أرقام التواصل'!$A$6:$A$505,"proposed_name",'أرقام التواصل'!$B$6:$B$505,A238,'أرقام التواصل'!$C$6:$C$505,1))=0,AND(W238="TRUE",X238="")),"REVIEW","READY")))</x:f>
      </x:c>
      <x:c r="AE238" s="255" t="str">
        <x:f>IF(AD238="","",IF(AD238="READY","",IF(AD238="SKIP","Skipped by candidate_import_action",TRIM(IF(A238="","missing proposed_name_key; ","")&amp;IF(AND(A238&lt;&gt;"",COUNTIF($A$6:$A$505,A238)&gt;1),"duplicate proposed_name_key; ","")&amp;IF(C238="","missing candidate_import_action; ","")&amp;IF(D238="","missing move_reason; ","")&amp;IF(I238="","missing branch_id; ","")&amp;IF(L238="","missing first_name; ","")&amp;IF(M238="","missing last_name; ","")&amp;IF(U238="","missing status; ","")&amp;IF(AND(B238&lt;&gt;"",COUNTIF('الزبائن'!$A$6:$A$505,B238)=0),"source key not found; ","")&amp;IF((COUNTIFS('أرقام التواصل'!$A$6:$A$505,"proposed_name",'أرقام التواصل'!$B$6:$B$505,A238,'أرقام التواصل'!$I$6:$I$505,"TRUE")+COUNTIFS('أرقام التواصل'!$A$6:$A$505,"proposed_name",'أرقام التواصل'!$B$6:$B$505,A238,'أرقام التواصل'!$C$6:$C$505,1))=0,"missing primary contact in أرقام التواصل; ","")&amp;IF(AND(W238="TRUE",X238=""),"duplicate_type required when duplicate_flag TRUE; ","")))))</x:f>
      </x:c>
    </x:row>
    <x:row r="239">
      <x:c r="A239" s="302"/>
      <x:c r="B239" s="252"/>
      <x:c r="C239" s="253"/>
      <x:c r="D239" s="253"/>
      <x:c r="E239" s="253"/>
      <x:c r="F239" s="252"/>
      <x:c r="G239" s="253"/>
      <x:c r="H239" s="272"/>
      <x:c r="I239" s="253"/>
      <x:c r="J239" s="253"/>
      <x:c r="K239" s="253"/>
      <x:c r="L239" s="253"/>
      <x:c r="M239" s="253"/>
      <x:c r="N239" s="253"/>
      <x:c r="O239" s="253" t="str">
        <x:f>IF(TRIM(L239&amp;" "&amp;M239&amp;IF(N239&lt;&gt;""," ("&amp;N239&amp;")",""))="","",TRIM(L239&amp;" "&amp;M239&amp;IF(N239&lt;&gt;""," ("&amp;N239&amp;")","")))</x:f>
      </x:c>
      <x:c r="P239" s="253"/>
      <x:c r="Q239" s="252"/>
      <x:c r="R239" s="253"/>
      <x:c r="S239" s="253"/>
      <x:c r="T239" s="253"/>
      <x:c r="U239" s="253"/>
      <x:c r="V239" s="253"/>
      <x:c r="W239" s="253"/>
      <x:c r="X239" s="253"/>
      <x:c r="Y239" s="252"/>
      <x:c r="Z239" s="252"/>
      <x:c r="AA239" s="253"/>
      <x:c r="AB239" s="253" t="str">
        <x:f>IF(B239="","",IFERROR(INDEX('الزبائن'!$BA$6:$BA$505,MATCH(B239,'الزبائن'!$A$6:$A$505,0)),"source key not found"))</x:f>
      </x:c>
      <x:c r="AC239" s="253" t="str">
        <x:f>IF(B239="","",IFERROR(INDEX('الزبائن'!$BB$6:$BB$505,MATCH(B239,'الزبائن'!$A$6:$A$505,0)),"source key not found"))</x:f>
      </x:c>
      <x:c r="AD239" s="253" t="str">
        <x:f>IF(AND(A239="",C239="",D239="",I239="",L239="",M239=""),"",IF(C239="skip","SKIP",IF(OR(A239="",C239="",D239="",I239="",L239="",M239="",U239="",COUNTIF($A$6:$A$505,A239)&gt;1,AND(B239&lt;&gt;"",COUNTIF('الزبائن'!$A$6:$A$505,B239)=0),(COUNTIFS('أرقام التواصل'!$A$6:$A$505,"proposed_name",'أرقام التواصل'!$B$6:$B$505,A239,'أرقام التواصل'!$I$6:$I$505,"TRUE")+COUNTIFS('أرقام التواصل'!$A$6:$A$505,"proposed_name",'أرقام التواصل'!$B$6:$B$505,A239,'أرقام التواصل'!$C$6:$C$505,1))=0,AND(W239="TRUE",X239="")),"REVIEW","READY")))</x:f>
      </x:c>
      <x:c r="AE239" s="255" t="str">
        <x:f>IF(AD239="","",IF(AD239="READY","",IF(AD239="SKIP","Skipped by candidate_import_action",TRIM(IF(A239="","missing proposed_name_key; ","")&amp;IF(AND(A239&lt;&gt;"",COUNTIF($A$6:$A$505,A239)&gt;1),"duplicate proposed_name_key; ","")&amp;IF(C239="","missing candidate_import_action; ","")&amp;IF(D239="","missing move_reason; ","")&amp;IF(I239="","missing branch_id; ","")&amp;IF(L239="","missing first_name; ","")&amp;IF(M239="","missing last_name; ","")&amp;IF(U239="","missing status; ","")&amp;IF(AND(B239&lt;&gt;"",COUNTIF('الزبائن'!$A$6:$A$505,B239)=0),"source key not found; ","")&amp;IF((COUNTIFS('أرقام التواصل'!$A$6:$A$505,"proposed_name",'أرقام التواصل'!$B$6:$B$505,A239,'أرقام التواصل'!$I$6:$I$505,"TRUE")+COUNTIFS('أرقام التواصل'!$A$6:$A$505,"proposed_name",'أرقام التواصل'!$B$6:$B$505,A239,'أرقام التواصل'!$C$6:$C$505,1))=0,"missing primary contact in أرقام التواصل; ","")&amp;IF(AND(W239="TRUE",X239=""),"duplicate_type required when duplicate_flag TRUE; ","")))))</x:f>
      </x:c>
    </x:row>
    <x:row r="240">
      <x:c r="A240" s="302"/>
      <x:c r="B240" s="252"/>
      <x:c r="C240" s="253"/>
      <x:c r="D240" s="253"/>
      <x:c r="E240" s="253"/>
      <x:c r="F240" s="252"/>
      <x:c r="G240" s="253"/>
      <x:c r="H240" s="272"/>
      <x:c r="I240" s="253"/>
      <x:c r="J240" s="253"/>
      <x:c r="K240" s="253"/>
      <x:c r="L240" s="253"/>
      <x:c r="M240" s="253"/>
      <x:c r="N240" s="253"/>
      <x:c r="O240" s="253" t="str">
        <x:f>IF(TRIM(L240&amp;" "&amp;M240&amp;IF(N240&lt;&gt;""," ("&amp;N240&amp;")",""))="","",TRIM(L240&amp;" "&amp;M240&amp;IF(N240&lt;&gt;""," ("&amp;N240&amp;")","")))</x:f>
      </x:c>
      <x:c r="P240" s="253"/>
      <x:c r="Q240" s="252"/>
      <x:c r="R240" s="253"/>
      <x:c r="S240" s="253"/>
      <x:c r="T240" s="253"/>
      <x:c r="U240" s="253"/>
      <x:c r="V240" s="253"/>
      <x:c r="W240" s="253"/>
      <x:c r="X240" s="253"/>
      <x:c r="Y240" s="252"/>
      <x:c r="Z240" s="252"/>
      <x:c r="AA240" s="253"/>
      <x:c r="AB240" s="253" t="str">
        <x:f>IF(B240="","",IFERROR(INDEX('الزبائن'!$BA$6:$BA$505,MATCH(B240,'الزبائن'!$A$6:$A$505,0)),"source key not found"))</x:f>
      </x:c>
      <x:c r="AC240" s="253" t="str">
        <x:f>IF(B240="","",IFERROR(INDEX('الزبائن'!$BB$6:$BB$505,MATCH(B240,'الزبائن'!$A$6:$A$505,0)),"source key not found"))</x:f>
      </x:c>
      <x:c r="AD240" s="253" t="str">
        <x:f>IF(AND(A240="",C240="",D240="",I240="",L240="",M240=""),"",IF(C240="skip","SKIP",IF(OR(A240="",C240="",D240="",I240="",L240="",M240="",U240="",COUNTIF($A$6:$A$505,A240)&gt;1,AND(B240&lt;&gt;"",COUNTIF('الزبائن'!$A$6:$A$505,B240)=0),(COUNTIFS('أرقام التواصل'!$A$6:$A$505,"proposed_name",'أرقام التواصل'!$B$6:$B$505,A240,'أرقام التواصل'!$I$6:$I$505,"TRUE")+COUNTIFS('أرقام التواصل'!$A$6:$A$505,"proposed_name",'أرقام التواصل'!$B$6:$B$505,A240,'أرقام التواصل'!$C$6:$C$505,1))=0,AND(W240="TRUE",X240="")),"REVIEW","READY")))</x:f>
      </x:c>
      <x:c r="AE240" s="255" t="str">
        <x:f>IF(AD240="","",IF(AD240="READY","",IF(AD240="SKIP","Skipped by candidate_import_action",TRIM(IF(A240="","missing proposed_name_key; ","")&amp;IF(AND(A240&lt;&gt;"",COUNTIF($A$6:$A$505,A240)&gt;1),"duplicate proposed_name_key; ","")&amp;IF(C240="","missing candidate_import_action; ","")&amp;IF(D240="","missing move_reason; ","")&amp;IF(I240="","missing branch_id; ","")&amp;IF(L240="","missing first_name; ","")&amp;IF(M240="","missing last_name; ","")&amp;IF(U240="","missing status; ","")&amp;IF(AND(B240&lt;&gt;"",COUNTIF('الزبائن'!$A$6:$A$505,B240)=0),"source key not found; ","")&amp;IF((COUNTIFS('أرقام التواصل'!$A$6:$A$505,"proposed_name",'أرقام التواصل'!$B$6:$B$505,A240,'أرقام التواصل'!$I$6:$I$505,"TRUE")+COUNTIFS('أرقام التواصل'!$A$6:$A$505,"proposed_name",'أرقام التواصل'!$B$6:$B$505,A240,'أرقام التواصل'!$C$6:$C$505,1))=0,"missing primary contact in أرقام التواصل; ","")&amp;IF(AND(W240="TRUE",X240=""),"duplicate_type required when duplicate_flag TRUE; ","")))))</x:f>
      </x:c>
    </x:row>
    <x:row r="241">
      <x:c r="A241" s="302"/>
      <x:c r="B241" s="252"/>
      <x:c r="C241" s="253"/>
      <x:c r="D241" s="253"/>
      <x:c r="E241" s="253"/>
      <x:c r="F241" s="252"/>
      <x:c r="G241" s="253"/>
      <x:c r="H241" s="272"/>
      <x:c r="I241" s="253"/>
      <x:c r="J241" s="253"/>
      <x:c r="K241" s="253"/>
      <x:c r="L241" s="253"/>
      <x:c r="M241" s="253"/>
      <x:c r="N241" s="253"/>
      <x:c r="O241" s="253" t="str">
        <x:f>IF(TRIM(L241&amp;" "&amp;M241&amp;IF(N241&lt;&gt;""," ("&amp;N241&amp;")",""))="","",TRIM(L241&amp;" "&amp;M241&amp;IF(N241&lt;&gt;""," ("&amp;N241&amp;")","")))</x:f>
      </x:c>
      <x:c r="P241" s="253"/>
      <x:c r="Q241" s="252"/>
      <x:c r="R241" s="253"/>
      <x:c r="S241" s="253"/>
      <x:c r="T241" s="253"/>
      <x:c r="U241" s="253"/>
      <x:c r="V241" s="253"/>
      <x:c r="W241" s="253"/>
      <x:c r="X241" s="253"/>
      <x:c r="Y241" s="252"/>
      <x:c r="Z241" s="252"/>
      <x:c r="AA241" s="253"/>
      <x:c r="AB241" s="253" t="str">
        <x:f>IF(B241="","",IFERROR(INDEX('الزبائن'!$BA$6:$BA$505,MATCH(B241,'الزبائن'!$A$6:$A$505,0)),"source key not found"))</x:f>
      </x:c>
      <x:c r="AC241" s="253" t="str">
        <x:f>IF(B241="","",IFERROR(INDEX('الزبائن'!$BB$6:$BB$505,MATCH(B241,'الزبائن'!$A$6:$A$505,0)),"source key not found"))</x:f>
      </x:c>
      <x:c r="AD241" s="253" t="str">
        <x:f>IF(AND(A241="",C241="",D241="",I241="",L241="",M241=""),"",IF(C241="skip","SKIP",IF(OR(A241="",C241="",D241="",I241="",L241="",M241="",U241="",COUNTIF($A$6:$A$505,A241)&gt;1,AND(B241&lt;&gt;"",COUNTIF('الزبائن'!$A$6:$A$505,B241)=0),(COUNTIFS('أرقام التواصل'!$A$6:$A$505,"proposed_name",'أرقام التواصل'!$B$6:$B$505,A241,'أرقام التواصل'!$I$6:$I$505,"TRUE")+COUNTIFS('أرقام التواصل'!$A$6:$A$505,"proposed_name",'أرقام التواصل'!$B$6:$B$505,A241,'أرقام التواصل'!$C$6:$C$505,1))=0,AND(W241="TRUE",X241="")),"REVIEW","READY")))</x:f>
      </x:c>
      <x:c r="AE241" s="255" t="str">
        <x:f>IF(AD241="","",IF(AD241="READY","",IF(AD241="SKIP","Skipped by candidate_import_action",TRIM(IF(A241="","missing proposed_name_key; ","")&amp;IF(AND(A241&lt;&gt;"",COUNTIF($A$6:$A$505,A241)&gt;1),"duplicate proposed_name_key; ","")&amp;IF(C241="","missing candidate_import_action; ","")&amp;IF(D241="","missing move_reason; ","")&amp;IF(I241="","missing branch_id; ","")&amp;IF(L241="","missing first_name; ","")&amp;IF(M241="","missing last_name; ","")&amp;IF(U241="","missing status; ","")&amp;IF(AND(B241&lt;&gt;"",COUNTIF('الزبائن'!$A$6:$A$505,B241)=0),"source key not found; ","")&amp;IF((COUNTIFS('أرقام التواصل'!$A$6:$A$505,"proposed_name",'أرقام التواصل'!$B$6:$B$505,A241,'أرقام التواصل'!$I$6:$I$505,"TRUE")+COUNTIFS('أرقام التواصل'!$A$6:$A$505,"proposed_name",'أرقام التواصل'!$B$6:$B$505,A241,'أرقام التواصل'!$C$6:$C$505,1))=0,"missing primary contact in أرقام التواصل; ","")&amp;IF(AND(W241="TRUE",X241=""),"duplicate_type required when duplicate_flag TRUE; ","")))))</x:f>
      </x:c>
    </x:row>
    <x:row r="242">
      <x:c r="A242" s="302"/>
      <x:c r="B242" s="252"/>
      <x:c r="C242" s="253"/>
      <x:c r="D242" s="253"/>
      <x:c r="E242" s="253"/>
      <x:c r="F242" s="252"/>
      <x:c r="G242" s="253"/>
      <x:c r="H242" s="272"/>
      <x:c r="I242" s="253"/>
      <x:c r="J242" s="253"/>
      <x:c r="K242" s="253"/>
      <x:c r="L242" s="253"/>
      <x:c r="M242" s="253"/>
      <x:c r="N242" s="253"/>
      <x:c r="O242" s="253" t="str">
        <x:f>IF(TRIM(L242&amp;" "&amp;M242&amp;IF(N242&lt;&gt;""," ("&amp;N242&amp;")",""))="","",TRIM(L242&amp;" "&amp;M242&amp;IF(N242&lt;&gt;""," ("&amp;N242&amp;")","")))</x:f>
      </x:c>
      <x:c r="P242" s="253"/>
      <x:c r="Q242" s="252"/>
      <x:c r="R242" s="253"/>
      <x:c r="S242" s="253"/>
      <x:c r="T242" s="253"/>
      <x:c r="U242" s="253"/>
      <x:c r="V242" s="253"/>
      <x:c r="W242" s="253"/>
      <x:c r="X242" s="253"/>
      <x:c r="Y242" s="252"/>
      <x:c r="Z242" s="252"/>
      <x:c r="AA242" s="253"/>
      <x:c r="AB242" s="253" t="str">
        <x:f>IF(B242="","",IFERROR(INDEX('الزبائن'!$BA$6:$BA$505,MATCH(B242,'الزبائن'!$A$6:$A$505,0)),"source key not found"))</x:f>
      </x:c>
      <x:c r="AC242" s="253" t="str">
        <x:f>IF(B242="","",IFERROR(INDEX('الزبائن'!$BB$6:$BB$505,MATCH(B242,'الزبائن'!$A$6:$A$505,0)),"source key not found"))</x:f>
      </x:c>
      <x:c r="AD242" s="253" t="str">
        <x:f>IF(AND(A242="",C242="",D242="",I242="",L242="",M242=""),"",IF(C242="skip","SKIP",IF(OR(A242="",C242="",D242="",I242="",L242="",M242="",U242="",COUNTIF($A$6:$A$505,A242)&gt;1,AND(B242&lt;&gt;"",COUNTIF('الزبائن'!$A$6:$A$505,B242)=0),(COUNTIFS('أرقام التواصل'!$A$6:$A$505,"proposed_name",'أرقام التواصل'!$B$6:$B$505,A242,'أرقام التواصل'!$I$6:$I$505,"TRUE")+COUNTIFS('أرقام التواصل'!$A$6:$A$505,"proposed_name",'أرقام التواصل'!$B$6:$B$505,A242,'أرقام التواصل'!$C$6:$C$505,1))=0,AND(W242="TRUE",X242="")),"REVIEW","READY")))</x:f>
      </x:c>
      <x:c r="AE242" s="255" t="str">
        <x:f>IF(AD242="","",IF(AD242="READY","",IF(AD242="SKIP","Skipped by candidate_import_action",TRIM(IF(A242="","missing proposed_name_key; ","")&amp;IF(AND(A242&lt;&gt;"",COUNTIF($A$6:$A$505,A242)&gt;1),"duplicate proposed_name_key; ","")&amp;IF(C242="","missing candidate_import_action; ","")&amp;IF(D242="","missing move_reason; ","")&amp;IF(I242="","missing branch_id; ","")&amp;IF(L242="","missing first_name; ","")&amp;IF(M242="","missing last_name; ","")&amp;IF(U242="","missing status; ","")&amp;IF(AND(B242&lt;&gt;"",COUNTIF('الزبائن'!$A$6:$A$505,B242)=0),"source key not found; ","")&amp;IF((COUNTIFS('أرقام التواصل'!$A$6:$A$505,"proposed_name",'أرقام التواصل'!$B$6:$B$505,A242,'أرقام التواصل'!$I$6:$I$505,"TRUE")+COUNTIFS('أرقام التواصل'!$A$6:$A$505,"proposed_name",'أرقام التواصل'!$B$6:$B$505,A242,'أرقام التواصل'!$C$6:$C$505,1))=0,"missing primary contact in أرقام التواصل; ","")&amp;IF(AND(W242="TRUE",X242=""),"duplicate_type required when duplicate_flag TRUE; ","")))))</x:f>
      </x:c>
    </x:row>
    <x:row r="243">
      <x:c r="A243" s="302"/>
      <x:c r="B243" s="252"/>
      <x:c r="C243" s="253"/>
      <x:c r="D243" s="253"/>
      <x:c r="E243" s="253"/>
      <x:c r="F243" s="252"/>
      <x:c r="G243" s="253"/>
      <x:c r="H243" s="272"/>
      <x:c r="I243" s="253"/>
      <x:c r="J243" s="253"/>
      <x:c r="K243" s="253"/>
      <x:c r="L243" s="253"/>
      <x:c r="M243" s="253"/>
      <x:c r="N243" s="253"/>
      <x:c r="O243" s="253" t="str">
        <x:f>IF(TRIM(L243&amp;" "&amp;M243&amp;IF(N243&lt;&gt;""," ("&amp;N243&amp;")",""))="","",TRIM(L243&amp;" "&amp;M243&amp;IF(N243&lt;&gt;""," ("&amp;N243&amp;")","")))</x:f>
      </x:c>
      <x:c r="P243" s="253"/>
      <x:c r="Q243" s="252"/>
      <x:c r="R243" s="253"/>
      <x:c r="S243" s="253"/>
      <x:c r="T243" s="253"/>
      <x:c r="U243" s="253"/>
      <x:c r="V243" s="253"/>
      <x:c r="W243" s="253"/>
      <x:c r="X243" s="253"/>
      <x:c r="Y243" s="252"/>
      <x:c r="Z243" s="252"/>
      <x:c r="AA243" s="253"/>
      <x:c r="AB243" s="253" t="str">
        <x:f>IF(B243="","",IFERROR(INDEX('الزبائن'!$BA$6:$BA$505,MATCH(B243,'الزبائن'!$A$6:$A$505,0)),"source key not found"))</x:f>
      </x:c>
      <x:c r="AC243" s="253" t="str">
        <x:f>IF(B243="","",IFERROR(INDEX('الزبائن'!$BB$6:$BB$505,MATCH(B243,'الزبائن'!$A$6:$A$505,0)),"source key not found"))</x:f>
      </x:c>
      <x:c r="AD243" s="253" t="str">
        <x:f>IF(AND(A243="",C243="",D243="",I243="",L243="",M243=""),"",IF(C243="skip","SKIP",IF(OR(A243="",C243="",D243="",I243="",L243="",M243="",U243="",COUNTIF($A$6:$A$505,A243)&gt;1,AND(B243&lt;&gt;"",COUNTIF('الزبائن'!$A$6:$A$505,B243)=0),(COUNTIFS('أرقام التواصل'!$A$6:$A$505,"proposed_name",'أرقام التواصل'!$B$6:$B$505,A243,'أرقام التواصل'!$I$6:$I$505,"TRUE")+COUNTIFS('أرقام التواصل'!$A$6:$A$505,"proposed_name",'أرقام التواصل'!$B$6:$B$505,A243,'أرقام التواصل'!$C$6:$C$505,1))=0,AND(W243="TRUE",X243="")),"REVIEW","READY")))</x:f>
      </x:c>
      <x:c r="AE243" s="255" t="str">
        <x:f>IF(AD243="","",IF(AD243="READY","",IF(AD243="SKIP","Skipped by candidate_import_action",TRIM(IF(A243="","missing proposed_name_key; ","")&amp;IF(AND(A243&lt;&gt;"",COUNTIF($A$6:$A$505,A243)&gt;1),"duplicate proposed_name_key; ","")&amp;IF(C243="","missing candidate_import_action; ","")&amp;IF(D243="","missing move_reason; ","")&amp;IF(I243="","missing branch_id; ","")&amp;IF(L243="","missing first_name; ","")&amp;IF(M243="","missing last_name; ","")&amp;IF(U243="","missing status; ","")&amp;IF(AND(B243&lt;&gt;"",COUNTIF('الزبائن'!$A$6:$A$505,B243)=0),"source key not found; ","")&amp;IF((COUNTIFS('أرقام التواصل'!$A$6:$A$505,"proposed_name",'أرقام التواصل'!$B$6:$B$505,A243,'أرقام التواصل'!$I$6:$I$505,"TRUE")+COUNTIFS('أرقام التواصل'!$A$6:$A$505,"proposed_name",'أرقام التواصل'!$B$6:$B$505,A243,'أرقام التواصل'!$C$6:$C$505,1))=0,"missing primary contact in أرقام التواصل; ","")&amp;IF(AND(W243="TRUE",X243=""),"duplicate_type required when duplicate_flag TRUE; ","")))))</x:f>
      </x:c>
    </x:row>
    <x:row r="244">
      <x:c r="A244" s="302"/>
      <x:c r="B244" s="252"/>
      <x:c r="C244" s="253"/>
      <x:c r="D244" s="253"/>
      <x:c r="E244" s="253"/>
      <x:c r="F244" s="252"/>
      <x:c r="G244" s="253"/>
      <x:c r="H244" s="272"/>
      <x:c r="I244" s="253"/>
      <x:c r="J244" s="253"/>
      <x:c r="K244" s="253"/>
      <x:c r="L244" s="253"/>
      <x:c r="M244" s="253"/>
      <x:c r="N244" s="253"/>
      <x:c r="O244" s="253" t="str">
        <x:f>IF(TRIM(L244&amp;" "&amp;M244&amp;IF(N244&lt;&gt;""," ("&amp;N244&amp;")",""))="","",TRIM(L244&amp;" "&amp;M244&amp;IF(N244&lt;&gt;""," ("&amp;N244&amp;")","")))</x:f>
      </x:c>
      <x:c r="P244" s="253"/>
      <x:c r="Q244" s="252"/>
      <x:c r="R244" s="253"/>
      <x:c r="S244" s="253"/>
      <x:c r="T244" s="253"/>
      <x:c r="U244" s="253"/>
      <x:c r="V244" s="253"/>
      <x:c r="W244" s="253"/>
      <x:c r="X244" s="253"/>
      <x:c r="Y244" s="252"/>
      <x:c r="Z244" s="252"/>
      <x:c r="AA244" s="253"/>
      <x:c r="AB244" s="253" t="str">
        <x:f>IF(B244="","",IFERROR(INDEX('الزبائن'!$BA$6:$BA$505,MATCH(B244,'الزبائن'!$A$6:$A$505,0)),"source key not found"))</x:f>
      </x:c>
      <x:c r="AC244" s="253" t="str">
        <x:f>IF(B244="","",IFERROR(INDEX('الزبائن'!$BB$6:$BB$505,MATCH(B244,'الزبائن'!$A$6:$A$505,0)),"source key not found"))</x:f>
      </x:c>
      <x:c r="AD244" s="253" t="str">
        <x:f>IF(AND(A244="",C244="",D244="",I244="",L244="",M244=""),"",IF(C244="skip","SKIP",IF(OR(A244="",C244="",D244="",I244="",L244="",M244="",U244="",COUNTIF($A$6:$A$505,A244)&gt;1,AND(B244&lt;&gt;"",COUNTIF('الزبائن'!$A$6:$A$505,B244)=0),(COUNTIFS('أرقام التواصل'!$A$6:$A$505,"proposed_name",'أرقام التواصل'!$B$6:$B$505,A244,'أرقام التواصل'!$I$6:$I$505,"TRUE")+COUNTIFS('أرقام التواصل'!$A$6:$A$505,"proposed_name",'أرقام التواصل'!$B$6:$B$505,A244,'أرقام التواصل'!$C$6:$C$505,1))=0,AND(W244="TRUE",X244="")),"REVIEW","READY")))</x:f>
      </x:c>
      <x:c r="AE244" s="255" t="str">
        <x:f>IF(AD244="","",IF(AD244="READY","",IF(AD244="SKIP","Skipped by candidate_import_action",TRIM(IF(A244="","missing proposed_name_key; ","")&amp;IF(AND(A244&lt;&gt;"",COUNTIF($A$6:$A$505,A244)&gt;1),"duplicate proposed_name_key; ","")&amp;IF(C244="","missing candidate_import_action; ","")&amp;IF(D244="","missing move_reason; ","")&amp;IF(I244="","missing branch_id; ","")&amp;IF(L244="","missing first_name; ","")&amp;IF(M244="","missing last_name; ","")&amp;IF(U244="","missing status; ","")&amp;IF(AND(B244&lt;&gt;"",COUNTIF('الزبائن'!$A$6:$A$505,B244)=0),"source key not found; ","")&amp;IF((COUNTIFS('أرقام التواصل'!$A$6:$A$505,"proposed_name",'أرقام التواصل'!$B$6:$B$505,A244,'أرقام التواصل'!$I$6:$I$505,"TRUE")+COUNTIFS('أرقام التواصل'!$A$6:$A$505,"proposed_name",'أرقام التواصل'!$B$6:$B$505,A244,'أرقام التواصل'!$C$6:$C$505,1))=0,"missing primary contact in أرقام التواصل; ","")&amp;IF(AND(W244="TRUE",X244=""),"duplicate_type required when duplicate_flag TRUE; ","")))))</x:f>
      </x:c>
    </x:row>
    <x:row r="245">
      <x:c r="A245" s="302"/>
      <x:c r="B245" s="252"/>
      <x:c r="C245" s="253"/>
      <x:c r="D245" s="253"/>
      <x:c r="E245" s="253"/>
      <x:c r="F245" s="252"/>
      <x:c r="G245" s="253"/>
      <x:c r="H245" s="272"/>
      <x:c r="I245" s="253"/>
      <x:c r="J245" s="253"/>
      <x:c r="K245" s="253"/>
      <x:c r="L245" s="253"/>
      <x:c r="M245" s="253"/>
      <x:c r="N245" s="253"/>
      <x:c r="O245" s="253" t="str">
        <x:f>IF(TRIM(L245&amp;" "&amp;M245&amp;IF(N245&lt;&gt;""," ("&amp;N245&amp;")",""))="","",TRIM(L245&amp;" "&amp;M245&amp;IF(N245&lt;&gt;""," ("&amp;N245&amp;")","")))</x:f>
      </x:c>
      <x:c r="P245" s="253"/>
      <x:c r="Q245" s="252"/>
      <x:c r="R245" s="253"/>
      <x:c r="S245" s="253"/>
      <x:c r="T245" s="253"/>
      <x:c r="U245" s="253"/>
      <x:c r="V245" s="253"/>
      <x:c r="W245" s="253"/>
      <x:c r="X245" s="253"/>
      <x:c r="Y245" s="252"/>
      <x:c r="Z245" s="252"/>
      <x:c r="AA245" s="253"/>
      <x:c r="AB245" s="253" t="str">
        <x:f>IF(B245="","",IFERROR(INDEX('الزبائن'!$BA$6:$BA$505,MATCH(B245,'الزبائن'!$A$6:$A$505,0)),"source key not found"))</x:f>
      </x:c>
      <x:c r="AC245" s="253" t="str">
        <x:f>IF(B245="","",IFERROR(INDEX('الزبائن'!$BB$6:$BB$505,MATCH(B245,'الزبائن'!$A$6:$A$505,0)),"source key not found"))</x:f>
      </x:c>
      <x:c r="AD245" s="253" t="str">
        <x:f>IF(AND(A245="",C245="",D245="",I245="",L245="",M245=""),"",IF(C245="skip","SKIP",IF(OR(A245="",C245="",D245="",I245="",L245="",M245="",U245="",COUNTIF($A$6:$A$505,A245)&gt;1,AND(B245&lt;&gt;"",COUNTIF('الزبائن'!$A$6:$A$505,B245)=0),(COUNTIFS('أرقام التواصل'!$A$6:$A$505,"proposed_name",'أرقام التواصل'!$B$6:$B$505,A245,'أرقام التواصل'!$I$6:$I$505,"TRUE")+COUNTIFS('أرقام التواصل'!$A$6:$A$505,"proposed_name",'أرقام التواصل'!$B$6:$B$505,A245,'أرقام التواصل'!$C$6:$C$505,1))=0,AND(W245="TRUE",X245="")),"REVIEW","READY")))</x:f>
      </x:c>
      <x:c r="AE245" s="255" t="str">
        <x:f>IF(AD245="","",IF(AD245="READY","",IF(AD245="SKIP","Skipped by candidate_import_action",TRIM(IF(A245="","missing proposed_name_key; ","")&amp;IF(AND(A245&lt;&gt;"",COUNTIF($A$6:$A$505,A245)&gt;1),"duplicate proposed_name_key; ","")&amp;IF(C245="","missing candidate_import_action; ","")&amp;IF(D245="","missing move_reason; ","")&amp;IF(I245="","missing branch_id; ","")&amp;IF(L245="","missing first_name; ","")&amp;IF(M245="","missing last_name; ","")&amp;IF(U245="","missing status; ","")&amp;IF(AND(B245&lt;&gt;"",COUNTIF('الزبائن'!$A$6:$A$505,B245)=0),"source key not found; ","")&amp;IF((COUNTIFS('أرقام التواصل'!$A$6:$A$505,"proposed_name",'أرقام التواصل'!$B$6:$B$505,A245,'أرقام التواصل'!$I$6:$I$505,"TRUE")+COUNTIFS('أرقام التواصل'!$A$6:$A$505,"proposed_name",'أرقام التواصل'!$B$6:$B$505,A245,'أرقام التواصل'!$C$6:$C$505,1))=0,"missing primary contact in أرقام التواصل; ","")&amp;IF(AND(W245="TRUE",X245=""),"duplicate_type required when duplicate_flag TRUE; ","")))))</x:f>
      </x:c>
    </x:row>
    <x:row r="246">
      <x:c r="A246" s="302"/>
      <x:c r="B246" s="252"/>
      <x:c r="C246" s="253"/>
      <x:c r="D246" s="253"/>
      <x:c r="E246" s="253"/>
      <x:c r="F246" s="252"/>
      <x:c r="G246" s="253"/>
      <x:c r="H246" s="272"/>
      <x:c r="I246" s="253"/>
      <x:c r="J246" s="253"/>
      <x:c r="K246" s="253"/>
      <x:c r="L246" s="253"/>
      <x:c r="M246" s="253"/>
      <x:c r="N246" s="253"/>
      <x:c r="O246" s="253" t="str">
        <x:f>IF(TRIM(L246&amp;" "&amp;M246&amp;IF(N246&lt;&gt;""," ("&amp;N246&amp;")",""))="","",TRIM(L246&amp;" "&amp;M246&amp;IF(N246&lt;&gt;""," ("&amp;N246&amp;")","")))</x:f>
      </x:c>
      <x:c r="P246" s="253"/>
      <x:c r="Q246" s="252"/>
      <x:c r="R246" s="253"/>
      <x:c r="S246" s="253"/>
      <x:c r="T246" s="253"/>
      <x:c r="U246" s="253"/>
      <x:c r="V246" s="253"/>
      <x:c r="W246" s="253"/>
      <x:c r="X246" s="253"/>
      <x:c r="Y246" s="252"/>
      <x:c r="Z246" s="252"/>
      <x:c r="AA246" s="253"/>
      <x:c r="AB246" s="253" t="str">
        <x:f>IF(B246="","",IFERROR(INDEX('الزبائن'!$BA$6:$BA$505,MATCH(B246,'الزبائن'!$A$6:$A$505,0)),"source key not found"))</x:f>
      </x:c>
      <x:c r="AC246" s="253" t="str">
        <x:f>IF(B246="","",IFERROR(INDEX('الزبائن'!$BB$6:$BB$505,MATCH(B246,'الزبائن'!$A$6:$A$505,0)),"source key not found"))</x:f>
      </x:c>
      <x:c r="AD246" s="253" t="str">
        <x:f>IF(AND(A246="",C246="",D246="",I246="",L246="",M246=""),"",IF(C246="skip","SKIP",IF(OR(A246="",C246="",D246="",I246="",L246="",M246="",U246="",COUNTIF($A$6:$A$505,A246)&gt;1,AND(B246&lt;&gt;"",COUNTIF('الزبائن'!$A$6:$A$505,B246)=0),(COUNTIFS('أرقام التواصل'!$A$6:$A$505,"proposed_name",'أرقام التواصل'!$B$6:$B$505,A246,'أرقام التواصل'!$I$6:$I$505,"TRUE")+COUNTIFS('أرقام التواصل'!$A$6:$A$505,"proposed_name",'أرقام التواصل'!$B$6:$B$505,A246,'أرقام التواصل'!$C$6:$C$505,1))=0,AND(W246="TRUE",X246="")),"REVIEW","READY")))</x:f>
      </x:c>
      <x:c r="AE246" s="255" t="str">
        <x:f>IF(AD246="","",IF(AD246="READY","",IF(AD246="SKIP","Skipped by candidate_import_action",TRIM(IF(A246="","missing proposed_name_key; ","")&amp;IF(AND(A246&lt;&gt;"",COUNTIF($A$6:$A$505,A246)&gt;1),"duplicate proposed_name_key; ","")&amp;IF(C246="","missing candidate_import_action; ","")&amp;IF(D246="","missing move_reason; ","")&amp;IF(I246="","missing branch_id; ","")&amp;IF(L246="","missing first_name; ","")&amp;IF(M246="","missing last_name; ","")&amp;IF(U246="","missing status; ","")&amp;IF(AND(B246&lt;&gt;"",COUNTIF('الزبائن'!$A$6:$A$505,B246)=0),"source key not found; ","")&amp;IF((COUNTIFS('أرقام التواصل'!$A$6:$A$505,"proposed_name",'أرقام التواصل'!$B$6:$B$505,A246,'أرقام التواصل'!$I$6:$I$505,"TRUE")+COUNTIFS('أرقام التواصل'!$A$6:$A$505,"proposed_name",'أرقام التواصل'!$B$6:$B$505,A246,'أرقام التواصل'!$C$6:$C$505,1))=0,"missing primary contact in أرقام التواصل; ","")&amp;IF(AND(W246="TRUE",X246=""),"duplicate_type required when duplicate_flag TRUE; ","")))))</x:f>
      </x:c>
    </x:row>
    <x:row r="247">
      <x:c r="A247" s="302"/>
      <x:c r="B247" s="252"/>
      <x:c r="C247" s="253"/>
      <x:c r="D247" s="253"/>
      <x:c r="E247" s="253"/>
      <x:c r="F247" s="252"/>
      <x:c r="G247" s="253"/>
      <x:c r="H247" s="272"/>
      <x:c r="I247" s="253"/>
      <x:c r="J247" s="253"/>
      <x:c r="K247" s="253"/>
      <x:c r="L247" s="253"/>
      <x:c r="M247" s="253"/>
      <x:c r="N247" s="253"/>
      <x:c r="O247" s="253" t="str">
        <x:f>IF(TRIM(L247&amp;" "&amp;M247&amp;IF(N247&lt;&gt;""," ("&amp;N247&amp;")",""))="","",TRIM(L247&amp;" "&amp;M247&amp;IF(N247&lt;&gt;""," ("&amp;N247&amp;")","")))</x:f>
      </x:c>
      <x:c r="P247" s="253"/>
      <x:c r="Q247" s="252"/>
      <x:c r="R247" s="253"/>
      <x:c r="S247" s="253"/>
      <x:c r="T247" s="253"/>
      <x:c r="U247" s="253"/>
      <x:c r="V247" s="253"/>
      <x:c r="W247" s="253"/>
      <x:c r="X247" s="253"/>
      <x:c r="Y247" s="252"/>
      <x:c r="Z247" s="252"/>
      <x:c r="AA247" s="253"/>
      <x:c r="AB247" s="253" t="str">
        <x:f>IF(B247="","",IFERROR(INDEX('الزبائن'!$BA$6:$BA$505,MATCH(B247,'الزبائن'!$A$6:$A$505,0)),"source key not found"))</x:f>
      </x:c>
      <x:c r="AC247" s="253" t="str">
        <x:f>IF(B247="","",IFERROR(INDEX('الزبائن'!$BB$6:$BB$505,MATCH(B247,'الزبائن'!$A$6:$A$505,0)),"source key not found"))</x:f>
      </x:c>
      <x:c r="AD247" s="253" t="str">
        <x:f>IF(AND(A247="",C247="",D247="",I247="",L247="",M247=""),"",IF(C247="skip","SKIP",IF(OR(A247="",C247="",D247="",I247="",L247="",M247="",U247="",COUNTIF($A$6:$A$505,A247)&gt;1,AND(B247&lt;&gt;"",COUNTIF('الزبائن'!$A$6:$A$505,B247)=0),(COUNTIFS('أرقام التواصل'!$A$6:$A$505,"proposed_name",'أرقام التواصل'!$B$6:$B$505,A247,'أرقام التواصل'!$I$6:$I$505,"TRUE")+COUNTIFS('أرقام التواصل'!$A$6:$A$505,"proposed_name",'أرقام التواصل'!$B$6:$B$505,A247,'أرقام التواصل'!$C$6:$C$505,1))=0,AND(W247="TRUE",X247="")),"REVIEW","READY")))</x:f>
      </x:c>
      <x:c r="AE247" s="255" t="str">
        <x:f>IF(AD247="","",IF(AD247="READY","",IF(AD247="SKIP","Skipped by candidate_import_action",TRIM(IF(A247="","missing proposed_name_key; ","")&amp;IF(AND(A247&lt;&gt;"",COUNTIF($A$6:$A$505,A247)&gt;1),"duplicate proposed_name_key; ","")&amp;IF(C247="","missing candidate_import_action; ","")&amp;IF(D247="","missing move_reason; ","")&amp;IF(I247="","missing branch_id; ","")&amp;IF(L247="","missing first_name; ","")&amp;IF(M247="","missing last_name; ","")&amp;IF(U247="","missing status; ","")&amp;IF(AND(B247&lt;&gt;"",COUNTIF('الزبائن'!$A$6:$A$505,B247)=0),"source key not found; ","")&amp;IF((COUNTIFS('أرقام التواصل'!$A$6:$A$505,"proposed_name",'أرقام التواصل'!$B$6:$B$505,A247,'أرقام التواصل'!$I$6:$I$505,"TRUE")+COUNTIFS('أرقام التواصل'!$A$6:$A$505,"proposed_name",'أرقام التواصل'!$B$6:$B$505,A247,'أرقام التواصل'!$C$6:$C$505,1))=0,"missing primary contact in أرقام التواصل; ","")&amp;IF(AND(W247="TRUE",X247=""),"duplicate_type required when duplicate_flag TRUE; ","")))))</x:f>
      </x:c>
    </x:row>
    <x:row r="248">
      <x:c r="A248" s="302"/>
      <x:c r="B248" s="252"/>
      <x:c r="C248" s="253"/>
      <x:c r="D248" s="253"/>
      <x:c r="E248" s="253"/>
      <x:c r="F248" s="252"/>
      <x:c r="G248" s="253"/>
      <x:c r="H248" s="272"/>
      <x:c r="I248" s="253"/>
      <x:c r="J248" s="253"/>
      <x:c r="K248" s="253"/>
      <x:c r="L248" s="253"/>
      <x:c r="M248" s="253"/>
      <x:c r="N248" s="253"/>
      <x:c r="O248" s="253" t="str">
        <x:f>IF(TRIM(L248&amp;" "&amp;M248&amp;IF(N248&lt;&gt;""," ("&amp;N248&amp;")",""))="","",TRIM(L248&amp;" "&amp;M248&amp;IF(N248&lt;&gt;""," ("&amp;N248&amp;")","")))</x:f>
      </x:c>
      <x:c r="P248" s="253"/>
      <x:c r="Q248" s="252"/>
      <x:c r="R248" s="253"/>
      <x:c r="S248" s="253"/>
      <x:c r="T248" s="253"/>
      <x:c r="U248" s="253"/>
      <x:c r="V248" s="253"/>
      <x:c r="W248" s="253"/>
      <x:c r="X248" s="253"/>
      <x:c r="Y248" s="252"/>
      <x:c r="Z248" s="252"/>
      <x:c r="AA248" s="253"/>
      <x:c r="AB248" s="253" t="str">
        <x:f>IF(B248="","",IFERROR(INDEX('الزبائن'!$BA$6:$BA$505,MATCH(B248,'الزبائن'!$A$6:$A$505,0)),"source key not found"))</x:f>
      </x:c>
      <x:c r="AC248" s="253" t="str">
        <x:f>IF(B248="","",IFERROR(INDEX('الزبائن'!$BB$6:$BB$505,MATCH(B248,'الزبائن'!$A$6:$A$505,0)),"source key not found"))</x:f>
      </x:c>
      <x:c r="AD248" s="253" t="str">
        <x:f>IF(AND(A248="",C248="",D248="",I248="",L248="",M248=""),"",IF(C248="skip","SKIP",IF(OR(A248="",C248="",D248="",I248="",L248="",M248="",U248="",COUNTIF($A$6:$A$505,A248)&gt;1,AND(B248&lt;&gt;"",COUNTIF('الزبائن'!$A$6:$A$505,B248)=0),(COUNTIFS('أرقام التواصل'!$A$6:$A$505,"proposed_name",'أرقام التواصل'!$B$6:$B$505,A248,'أرقام التواصل'!$I$6:$I$505,"TRUE")+COUNTIFS('أرقام التواصل'!$A$6:$A$505,"proposed_name",'أرقام التواصل'!$B$6:$B$505,A248,'أرقام التواصل'!$C$6:$C$505,1))=0,AND(W248="TRUE",X248="")),"REVIEW","READY")))</x:f>
      </x:c>
      <x:c r="AE248" s="255" t="str">
        <x:f>IF(AD248="","",IF(AD248="READY","",IF(AD248="SKIP","Skipped by candidate_import_action",TRIM(IF(A248="","missing proposed_name_key; ","")&amp;IF(AND(A248&lt;&gt;"",COUNTIF($A$6:$A$505,A248)&gt;1),"duplicate proposed_name_key; ","")&amp;IF(C248="","missing candidate_import_action; ","")&amp;IF(D248="","missing move_reason; ","")&amp;IF(I248="","missing branch_id; ","")&amp;IF(L248="","missing first_name; ","")&amp;IF(M248="","missing last_name; ","")&amp;IF(U248="","missing status; ","")&amp;IF(AND(B248&lt;&gt;"",COUNTIF('الزبائن'!$A$6:$A$505,B248)=0),"source key not found; ","")&amp;IF((COUNTIFS('أرقام التواصل'!$A$6:$A$505,"proposed_name",'أرقام التواصل'!$B$6:$B$505,A248,'أرقام التواصل'!$I$6:$I$505,"TRUE")+COUNTIFS('أرقام التواصل'!$A$6:$A$505,"proposed_name",'أرقام التواصل'!$B$6:$B$505,A248,'أرقام التواصل'!$C$6:$C$505,1))=0,"missing primary contact in أرقام التواصل; ","")&amp;IF(AND(W248="TRUE",X248=""),"duplicate_type required when duplicate_flag TRUE; ","")))))</x:f>
      </x:c>
    </x:row>
    <x:row r="249">
      <x:c r="A249" s="302"/>
      <x:c r="B249" s="252"/>
      <x:c r="C249" s="253"/>
      <x:c r="D249" s="253"/>
      <x:c r="E249" s="253"/>
      <x:c r="F249" s="252"/>
      <x:c r="G249" s="253"/>
      <x:c r="H249" s="272"/>
      <x:c r="I249" s="253"/>
      <x:c r="J249" s="253"/>
      <x:c r="K249" s="253"/>
      <x:c r="L249" s="253"/>
      <x:c r="M249" s="253"/>
      <x:c r="N249" s="253"/>
      <x:c r="O249" s="253" t="str">
        <x:f>IF(TRIM(L249&amp;" "&amp;M249&amp;IF(N249&lt;&gt;""," ("&amp;N249&amp;")",""))="","",TRIM(L249&amp;" "&amp;M249&amp;IF(N249&lt;&gt;""," ("&amp;N249&amp;")","")))</x:f>
      </x:c>
      <x:c r="P249" s="253"/>
      <x:c r="Q249" s="252"/>
      <x:c r="R249" s="253"/>
      <x:c r="S249" s="253"/>
      <x:c r="T249" s="253"/>
      <x:c r="U249" s="253"/>
      <x:c r="V249" s="253"/>
      <x:c r="W249" s="253"/>
      <x:c r="X249" s="253"/>
      <x:c r="Y249" s="252"/>
      <x:c r="Z249" s="252"/>
      <x:c r="AA249" s="253"/>
      <x:c r="AB249" s="253" t="str">
        <x:f>IF(B249="","",IFERROR(INDEX('الزبائن'!$BA$6:$BA$505,MATCH(B249,'الزبائن'!$A$6:$A$505,0)),"source key not found"))</x:f>
      </x:c>
      <x:c r="AC249" s="253" t="str">
        <x:f>IF(B249="","",IFERROR(INDEX('الزبائن'!$BB$6:$BB$505,MATCH(B249,'الزبائن'!$A$6:$A$505,0)),"source key not found"))</x:f>
      </x:c>
      <x:c r="AD249" s="253" t="str">
        <x:f>IF(AND(A249="",C249="",D249="",I249="",L249="",M249=""),"",IF(C249="skip","SKIP",IF(OR(A249="",C249="",D249="",I249="",L249="",M249="",U249="",COUNTIF($A$6:$A$505,A249)&gt;1,AND(B249&lt;&gt;"",COUNTIF('الزبائن'!$A$6:$A$505,B249)=0),(COUNTIFS('أرقام التواصل'!$A$6:$A$505,"proposed_name",'أرقام التواصل'!$B$6:$B$505,A249,'أرقام التواصل'!$I$6:$I$505,"TRUE")+COUNTIFS('أرقام التواصل'!$A$6:$A$505,"proposed_name",'أرقام التواصل'!$B$6:$B$505,A249,'أرقام التواصل'!$C$6:$C$505,1))=0,AND(W249="TRUE",X249="")),"REVIEW","READY")))</x:f>
      </x:c>
      <x:c r="AE249" s="255" t="str">
        <x:f>IF(AD249="","",IF(AD249="READY","",IF(AD249="SKIP","Skipped by candidate_import_action",TRIM(IF(A249="","missing proposed_name_key; ","")&amp;IF(AND(A249&lt;&gt;"",COUNTIF($A$6:$A$505,A249)&gt;1),"duplicate proposed_name_key; ","")&amp;IF(C249="","missing candidate_import_action; ","")&amp;IF(D249="","missing move_reason; ","")&amp;IF(I249="","missing branch_id; ","")&amp;IF(L249="","missing first_name; ","")&amp;IF(M249="","missing last_name; ","")&amp;IF(U249="","missing status; ","")&amp;IF(AND(B249&lt;&gt;"",COUNTIF('الزبائن'!$A$6:$A$505,B249)=0),"source key not found; ","")&amp;IF((COUNTIFS('أرقام التواصل'!$A$6:$A$505,"proposed_name",'أرقام التواصل'!$B$6:$B$505,A249,'أرقام التواصل'!$I$6:$I$505,"TRUE")+COUNTIFS('أرقام التواصل'!$A$6:$A$505,"proposed_name",'أرقام التواصل'!$B$6:$B$505,A249,'أرقام التواصل'!$C$6:$C$505,1))=0,"missing primary contact in أرقام التواصل; ","")&amp;IF(AND(W249="TRUE",X249=""),"duplicate_type required when duplicate_flag TRUE; ","")))))</x:f>
      </x:c>
    </x:row>
    <x:row r="250">
      <x:c r="A250" s="302"/>
      <x:c r="B250" s="252"/>
      <x:c r="C250" s="253"/>
      <x:c r="D250" s="253"/>
      <x:c r="E250" s="253"/>
      <x:c r="F250" s="252"/>
      <x:c r="G250" s="253"/>
      <x:c r="H250" s="272"/>
      <x:c r="I250" s="253"/>
      <x:c r="J250" s="253"/>
      <x:c r="K250" s="253"/>
      <x:c r="L250" s="253"/>
      <x:c r="M250" s="253"/>
      <x:c r="N250" s="253"/>
      <x:c r="O250" s="253" t="str">
        <x:f>IF(TRIM(L250&amp;" "&amp;M250&amp;IF(N250&lt;&gt;""," ("&amp;N250&amp;")",""))="","",TRIM(L250&amp;" "&amp;M250&amp;IF(N250&lt;&gt;""," ("&amp;N250&amp;")","")))</x:f>
      </x:c>
      <x:c r="P250" s="253"/>
      <x:c r="Q250" s="252"/>
      <x:c r="R250" s="253"/>
      <x:c r="S250" s="253"/>
      <x:c r="T250" s="253"/>
      <x:c r="U250" s="253"/>
      <x:c r="V250" s="253"/>
      <x:c r="W250" s="253"/>
      <x:c r="X250" s="253"/>
      <x:c r="Y250" s="252"/>
      <x:c r="Z250" s="252"/>
      <x:c r="AA250" s="253"/>
      <x:c r="AB250" s="253" t="str">
        <x:f>IF(B250="","",IFERROR(INDEX('الزبائن'!$BA$6:$BA$505,MATCH(B250,'الزبائن'!$A$6:$A$505,0)),"source key not found"))</x:f>
      </x:c>
      <x:c r="AC250" s="253" t="str">
        <x:f>IF(B250="","",IFERROR(INDEX('الزبائن'!$BB$6:$BB$505,MATCH(B250,'الزبائن'!$A$6:$A$505,0)),"source key not found"))</x:f>
      </x:c>
      <x:c r="AD250" s="253" t="str">
        <x:f>IF(AND(A250="",C250="",D250="",I250="",L250="",M250=""),"",IF(C250="skip","SKIP",IF(OR(A250="",C250="",D250="",I250="",L250="",M250="",U250="",COUNTIF($A$6:$A$505,A250)&gt;1,AND(B250&lt;&gt;"",COUNTIF('الزبائن'!$A$6:$A$505,B250)=0),(COUNTIFS('أرقام التواصل'!$A$6:$A$505,"proposed_name",'أرقام التواصل'!$B$6:$B$505,A250,'أرقام التواصل'!$I$6:$I$505,"TRUE")+COUNTIFS('أرقام التواصل'!$A$6:$A$505,"proposed_name",'أرقام التواصل'!$B$6:$B$505,A250,'أرقام التواصل'!$C$6:$C$505,1))=0,AND(W250="TRUE",X250="")),"REVIEW","READY")))</x:f>
      </x:c>
      <x:c r="AE250" s="255" t="str">
        <x:f>IF(AD250="","",IF(AD250="READY","",IF(AD250="SKIP","Skipped by candidate_import_action",TRIM(IF(A250="","missing proposed_name_key; ","")&amp;IF(AND(A250&lt;&gt;"",COUNTIF($A$6:$A$505,A250)&gt;1),"duplicate proposed_name_key; ","")&amp;IF(C250="","missing candidate_import_action; ","")&amp;IF(D250="","missing move_reason; ","")&amp;IF(I250="","missing branch_id; ","")&amp;IF(L250="","missing first_name; ","")&amp;IF(M250="","missing last_name; ","")&amp;IF(U250="","missing status; ","")&amp;IF(AND(B250&lt;&gt;"",COUNTIF('الزبائن'!$A$6:$A$505,B250)=0),"source key not found; ","")&amp;IF((COUNTIFS('أرقام التواصل'!$A$6:$A$505,"proposed_name",'أرقام التواصل'!$B$6:$B$505,A250,'أرقام التواصل'!$I$6:$I$505,"TRUE")+COUNTIFS('أرقام التواصل'!$A$6:$A$505,"proposed_name",'أرقام التواصل'!$B$6:$B$505,A250,'أرقام التواصل'!$C$6:$C$505,1))=0,"missing primary contact in أرقام التواصل; ","")&amp;IF(AND(W250="TRUE",X250=""),"duplicate_type required when duplicate_flag TRUE; ","")))))</x:f>
      </x:c>
    </x:row>
    <x:row r="251">
      <x:c r="A251" s="302"/>
      <x:c r="B251" s="252"/>
      <x:c r="C251" s="253"/>
      <x:c r="D251" s="253"/>
      <x:c r="E251" s="253"/>
      <x:c r="F251" s="252"/>
      <x:c r="G251" s="253"/>
      <x:c r="H251" s="272"/>
      <x:c r="I251" s="253"/>
      <x:c r="J251" s="253"/>
      <x:c r="K251" s="253"/>
      <x:c r="L251" s="253"/>
      <x:c r="M251" s="253"/>
      <x:c r="N251" s="253"/>
      <x:c r="O251" s="253" t="str">
        <x:f>IF(TRIM(L251&amp;" "&amp;M251&amp;IF(N251&lt;&gt;""," ("&amp;N251&amp;")",""))="","",TRIM(L251&amp;" "&amp;M251&amp;IF(N251&lt;&gt;""," ("&amp;N251&amp;")","")))</x:f>
      </x:c>
      <x:c r="P251" s="253"/>
      <x:c r="Q251" s="252"/>
      <x:c r="R251" s="253"/>
      <x:c r="S251" s="253"/>
      <x:c r="T251" s="253"/>
      <x:c r="U251" s="253"/>
      <x:c r="V251" s="253"/>
      <x:c r="W251" s="253"/>
      <x:c r="X251" s="253"/>
      <x:c r="Y251" s="252"/>
      <x:c r="Z251" s="252"/>
      <x:c r="AA251" s="253"/>
      <x:c r="AB251" s="253" t="str">
        <x:f>IF(B251="","",IFERROR(INDEX('الزبائن'!$BA$6:$BA$505,MATCH(B251,'الزبائن'!$A$6:$A$505,0)),"source key not found"))</x:f>
      </x:c>
      <x:c r="AC251" s="253" t="str">
        <x:f>IF(B251="","",IFERROR(INDEX('الزبائن'!$BB$6:$BB$505,MATCH(B251,'الزبائن'!$A$6:$A$505,0)),"source key not found"))</x:f>
      </x:c>
      <x:c r="AD251" s="253" t="str">
        <x:f>IF(AND(A251="",C251="",D251="",I251="",L251="",M251=""),"",IF(C251="skip","SKIP",IF(OR(A251="",C251="",D251="",I251="",L251="",M251="",U251="",COUNTIF($A$6:$A$505,A251)&gt;1,AND(B251&lt;&gt;"",COUNTIF('الزبائن'!$A$6:$A$505,B251)=0),(COUNTIFS('أرقام التواصل'!$A$6:$A$505,"proposed_name",'أرقام التواصل'!$B$6:$B$505,A251,'أرقام التواصل'!$I$6:$I$505,"TRUE")+COUNTIFS('أرقام التواصل'!$A$6:$A$505,"proposed_name",'أرقام التواصل'!$B$6:$B$505,A251,'أرقام التواصل'!$C$6:$C$505,1))=0,AND(W251="TRUE",X251="")),"REVIEW","READY")))</x:f>
      </x:c>
      <x:c r="AE251" s="255" t="str">
        <x:f>IF(AD251="","",IF(AD251="READY","",IF(AD251="SKIP","Skipped by candidate_import_action",TRIM(IF(A251="","missing proposed_name_key; ","")&amp;IF(AND(A251&lt;&gt;"",COUNTIF($A$6:$A$505,A251)&gt;1),"duplicate proposed_name_key; ","")&amp;IF(C251="","missing candidate_import_action; ","")&amp;IF(D251="","missing move_reason; ","")&amp;IF(I251="","missing branch_id; ","")&amp;IF(L251="","missing first_name; ","")&amp;IF(M251="","missing last_name; ","")&amp;IF(U251="","missing status; ","")&amp;IF(AND(B251&lt;&gt;"",COUNTIF('الزبائن'!$A$6:$A$505,B251)=0),"source key not found; ","")&amp;IF((COUNTIFS('أرقام التواصل'!$A$6:$A$505,"proposed_name",'أرقام التواصل'!$B$6:$B$505,A251,'أرقام التواصل'!$I$6:$I$505,"TRUE")+COUNTIFS('أرقام التواصل'!$A$6:$A$505,"proposed_name",'أرقام التواصل'!$B$6:$B$505,A251,'أرقام التواصل'!$C$6:$C$505,1))=0,"missing primary contact in أرقام التواصل; ","")&amp;IF(AND(W251="TRUE",X251=""),"duplicate_type required when duplicate_flag TRUE; ","")))))</x:f>
      </x:c>
    </x:row>
    <x:row r="252">
      <x:c r="A252" s="302"/>
      <x:c r="B252" s="252"/>
      <x:c r="C252" s="253"/>
      <x:c r="D252" s="253"/>
      <x:c r="E252" s="253"/>
      <x:c r="F252" s="252"/>
      <x:c r="G252" s="253"/>
      <x:c r="H252" s="272"/>
      <x:c r="I252" s="253"/>
      <x:c r="J252" s="253"/>
      <x:c r="K252" s="253"/>
      <x:c r="L252" s="253"/>
      <x:c r="M252" s="253"/>
      <x:c r="N252" s="253"/>
      <x:c r="O252" s="253" t="str">
        <x:f>IF(TRIM(L252&amp;" "&amp;M252&amp;IF(N252&lt;&gt;""," ("&amp;N252&amp;")",""))="","",TRIM(L252&amp;" "&amp;M252&amp;IF(N252&lt;&gt;""," ("&amp;N252&amp;")","")))</x:f>
      </x:c>
      <x:c r="P252" s="253"/>
      <x:c r="Q252" s="252"/>
      <x:c r="R252" s="253"/>
      <x:c r="S252" s="253"/>
      <x:c r="T252" s="253"/>
      <x:c r="U252" s="253"/>
      <x:c r="V252" s="253"/>
      <x:c r="W252" s="253"/>
      <x:c r="X252" s="253"/>
      <x:c r="Y252" s="252"/>
      <x:c r="Z252" s="252"/>
      <x:c r="AA252" s="253"/>
      <x:c r="AB252" s="253" t="str">
        <x:f>IF(B252="","",IFERROR(INDEX('الزبائن'!$BA$6:$BA$505,MATCH(B252,'الزبائن'!$A$6:$A$505,0)),"source key not found"))</x:f>
      </x:c>
      <x:c r="AC252" s="253" t="str">
        <x:f>IF(B252="","",IFERROR(INDEX('الزبائن'!$BB$6:$BB$505,MATCH(B252,'الزبائن'!$A$6:$A$505,0)),"source key not found"))</x:f>
      </x:c>
      <x:c r="AD252" s="253" t="str">
        <x:f>IF(AND(A252="",C252="",D252="",I252="",L252="",M252=""),"",IF(C252="skip","SKIP",IF(OR(A252="",C252="",D252="",I252="",L252="",M252="",U252="",COUNTIF($A$6:$A$505,A252)&gt;1,AND(B252&lt;&gt;"",COUNTIF('الزبائن'!$A$6:$A$505,B252)=0),(COUNTIFS('أرقام التواصل'!$A$6:$A$505,"proposed_name",'أرقام التواصل'!$B$6:$B$505,A252,'أرقام التواصل'!$I$6:$I$505,"TRUE")+COUNTIFS('أرقام التواصل'!$A$6:$A$505,"proposed_name",'أرقام التواصل'!$B$6:$B$505,A252,'أرقام التواصل'!$C$6:$C$505,1))=0,AND(W252="TRUE",X252="")),"REVIEW","READY")))</x:f>
      </x:c>
      <x:c r="AE252" s="255" t="str">
        <x:f>IF(AD252="","",IF(AD252="READY","",IF(AD252="SKIP","Skipped by candidate_import_action",TRIM(IF(A252="","missing proposed_name_key; ","")&amp;IF(AND(A252&lt;&gt;"",COUNTIF($A$6:$A$505,A252)&gt;1),"duplicate proposed_name_key; ","")&amp;IF(C252="","missing candidate_import_action; ","")&amp;IF(D252="","missing move_reason; ","")&amp;IF(I252="","missing branch_id; ","")&amp;IF(L252="","missing first_name; ","")&amp;IF(M252="","missing last_name; ","")&amp;IF(U252="","missing status; ","")&amp;IF(AND(B252&lt;&gt;"",COUNTIF('الزبائن'!$A$6:$A$505,B252)=0),"source key not found; ","")&amp;IF((COUNTIFS('أرقام التواصل'!$A$6:$A$505,"proposed_name",'أرقام التواصل'!$B$6:$B$505,A252,'أرقام التواصل'!$I$6:$I$505,"TRUE")+COUNTIFS('أرقام التواصل'!$A$6:$A$505,"proposed_name",'أرقام التواصل'!$B$6:$B$505,A252,'أرقام التواصل'!$C$6:$C$505,1))=0,"missing primary contact in أرقام التواصل; ","")&amp;IF(AND(W252="TRUE",X252=""),"duplicate_type required when duplicate_flag TRUE; ","")))))</x:f>
      </x:c>
    </x:row>
    <x:row r="253">
      <x:c r="A253" s="302"/>
      <x:c r="B253" s="252"/>
      <x:c r="C253" s="253"/>
      <x:c r="D253" s="253"/>
      <x:c r="E253" s="253"/>
      <x:c r="F253" s="252"/>
      <x:c r="G253" s="253"/>
      <x:c r="H253" s="272"/>
      <x:c r="I253" s="253"/>
      <x:c r="J253" s="253"/>
      <x:c r="K253" s="253"/>
      <x:c r="L253" s="253"/>
      <x:c r="M253" s="253"/>
      <x:c r="N253" s="253"/>
      <x:c r="O253" s="253" t="str">
        <x:f>IF(TRIM(L253&amp;" "&amp;M253&amp;IF(N253&lt;&gt;""," ("&amp;N253&amp;")",""))="","",TRIM(L253&amp;" "&amp;M253&amp;IF(N253&lt;&gt;""," ("&amp;N253&amp;")","")))</x:f>
      </x:c>
      <x:c r="P253" s="253"/>
      <x:c r="Q253" s="252"/>
      <x:c r="R253" s="253"/>
      <x:c r="S253" s="253"/>
      <x:c r="T253" s="253"/>
      <x:c r="U253" s="253"/>
      <x:c r="V253" s="253"/>
      <x:c r="W253" s="253"/>
      <x:c r="X253" s="253"/>
      <x:c r="Y253" s="252"/>
      <x:c r="Z253" s="252"/>
      <x:c r="AA253" s="253"/>
      <x:c r="AB253" s="253" t="str">
        <x:f>IF(B253="","",IFERROR(INDEX('الزبائن'!$BA$6:$BA$505,MATCH(B253,'الزبائن'!$A$6:$A$505,0)),"source key not found"))</x:f>
      </x:c>
      <x:c r="AC253" s="253" t="str">
        <x:f>IF(B253="","",IFERROR(INDEX('الزبائن'!$BB$6:$BB$505,MATCH(B253,'الزبائن'!$A$6:$A$505,0)),"source key not found"))</x:f>
      </x:c>
      <x:c r="AD253" s="253" t="str">
        <x:f>IF(AND(A253="",C253="",D253="",I253="",L253="",M253=""),"",IF(C253="skip","SKIP",IF(OR(A253="",C253="",D253="",I253="",L253="",M253="",U253="",COUNTIF($A$6:$A$505,A253)&gt;1,AND(B253&lt;&gt;"",COUNTIF('الزبائن'!$A$6:$A$505,B253)=0),(COUNTIFS('أرقام التواصل'!$A$6:$A$505,"proposed_name",'أرقام التواصل'!$B$6:$B$505,A253,'أرقام التواصل'!$I$6:$I$505,"TRUE")+COUNTIFS('أرقام التواصل'!$A$6:$A$505,"proposed_name",'أرقام التواصل'!$B$6:$B$505,A253,'أرقام التواصل'!$C$6:$C$505,1))=0,AND(W253="TRUE",X253="")),"REVIEW","READY")))</x:f>
      </x:c>
      <x:c r="AE253" s="255" t="str">
        <x:f>IF(AD253="","",IF(AD253="READY","",IF(AD253="SKIP","Skipped by candidate_import_action",TRIM(IF(A253="","missing proposed_name_key; ","")&amp;IF(AND(A253&lt;&gt;"",COUNTIF($A$6:$A$505,A253)&gt;1),"duplicate proposed_name_key; ","")&amp;IF(C253="","missing candidate_import_action; ","")&amp;IF(D253="","missing move_reason; ","")&amp;IF(I253="","missing branch_id; ","")&amp;IF(L253="","missing first_name; ","")&amp;IF(M253="","missing last_name; ","")&amp;IF(U253="","missing status; ","")&amp;IF(AND(B253&lt;&gt;"",COUNTIF('الزبائن'!$A$6:$A$505,B253)=0),"source key not found; ","")&amp;IF((COUNTIFS('أرقام التواصل'!$A$6:$A$505,"proposed_name",'أرقام التواصل'!$B$6:$B$505,A253,'أرقام التواصل'!$I$6:$I$505,"TRUE")+COUNTIFS('أرقام التواصل'!$A$6:$A$505,"proposed_name",'أرقام التواصل'!$B$6:$B$505,A253,'أرقام التواصل'!$C$6:$C$505,1))=0,"missing primary contact in أرقام التواصل; ","")&amp;IF(AND(W253="TRUE",X253=""),"duplicate_type required when duplicate_flag TRUE; ","")))))</x:f>
      </x:c>
    </x:row>
    <x:row r="254">
      <x:c r="A254" s="302"/>
      <x:c r="B254" s="252"/>
      <x:c r="C254" s="253"/>
      <x:c r="D254" s="253"/>
      <x:c r="E254" s="253"/>
      <x:c r="F254" s="252"/>
      <x:c r="G254" s="253"/>
      <x:c r="H254" s="272"/>
      <x:c r="I254" s="253"/>
      <x:c r="J254" s="253"/>
      <x:c r="K254" s="253"/>
      <x:c r="L254" s="253"/>
      <x:c r="M254" s="253"/>
      <x:c r="N254" s="253"/>
      <x:c r="O254" s="253" t="str">
        <x:f>IF(TRIM(L254&amp;" "&amp;M254&amp;IF(N254&lt;&gt;""," ("&amp;N254&amp;")",""))="","",TRIM(L254&amp;" "&amp;M254&amp;IF(N254&lt;&gt;""," ("&amp;N254&amp;")","")))</x:f>
      </x:c>
      <x:c r="P254" s="253"/>
      <x:c r="Q254" s="252"/>
      <x:c r="R254" s="253"/>
      <x:c r="S254" s="253"/>
      <x:c r="T254" s="253"/>
      <x:c r="U254" s="253"/>
      <x:c r="V254" s="253"/>
      <x:c r="W254" s="253"/>
      <x:c r="X254" s="253"/>
      <x:c r="Y254" s="252"/>
      <x:c r="Z254" s="252"/>
      <x:c r="AA254" s="253"/>
      <x:c r="AB254" s="253" t="str">
        <x:f>IF(B254="","",IFERROR(INDEX('الزبائن'!$BA$6:$BA$505,MATCH(B254,'الزبائن'!$A$6:$A$505,0)),"source key not found"))</x:f>
      </x:c>
      <x:c r="AC254" s="253" t="str">
        <x:f>IF(B254="","",IFERROR(INDEX('الزبائن'!$BB$6:$BB$505,MATCH(B254,'الزبائن'!$A$6:$A$505,0)),"source key not found"))</x:f>
      </x:c>
      <x:c r="AD254" s="253" t="str">
        <x:f>IF(AND(A254="",C254="",D254="",I254="",L254="",M254=""),"",IF(C254="skip","SKIP",IF(OR(A254="",C254="",D254="",I254="",L254="",M254="",U254="",COUNTIF($A$6:$A$505,A254)&gt;1,AND(B254&lt;&gt;"",COUNTIF('الزبائن'!$A$6:$A$505,B254)=0),(COUNTIFS('أرقام التواصل'!$A$6:$A$505,"proposed_name",'أرقام التواصل'!$B$6:$B$505,A254,'أرقام التواصل'!$I$6:$I$505,"TRUE")+COUNTIFS('أرقام التواصل'!$A$6:$A$505,"proposed_name",'أرقام التواصل'!$B$6:$B$505,A254,'أرقام التواصل'!$C$6:$C$505,1))=0,AND(W254="TRUE",X254="")),"REVIEW","READY")))</x:f>
      </x:c>
      <x:c r="AE254" s="255" t="str">
        <x:f>IF(AD254="","",IF(AD254="READY","",IF(AD254="SKIP","Skipped by candidate_import_action",TRIM(IF(A254="","missing proposed_name_key; ","")&amp;IF(AND(A254&lt;&gt;"",COUNTIF($A$6:$A$505,A254)&gt;1),"duplicate proposed_name_key; ","")&amp;IF(C254="","missing candidate_import_action; ","")&amp;IF(D254="","missing move_reason; ","")&amp;IF(I254="","missing branch_id; ","")&amp;IF(L254="","missing first_name; ","")&amp;IF(M254="","missing last_name; ","")&amp;IF(U254="","missing status; ","")&amp;IF(AND(B254&lt;&gt;"",COUNTIF('الزبائن'!$A$6:$A$505,B254)=0),"source key not found; ","")&amp;IF((COUNTIFS('أرقام التواصل'!$A$6:$A$505,"proposed_name",'أرقام التواصل'!$B$6:$B$505,A254,'أرقام التواصل'!$I$6:$I$505,"TRUE")+COUNTIFS('أرقام التواصل'!$A$6:$A$505,"proposed_name",'أرقام التواصل'!$B$6:$B$505,A254,'أرقام التواصل'!$C$6:$C$505,1))=0,"missing primary contact in أرقام التواصل; ","")&amp;IF(AND(W254="TRUE",X254=""),"duplicate_type required when duplicate_flag TRUE; ","")))))</x:f>
      </x:c>
    </x:row>
    <x:row r="255">
      <x:c r="A255" s="302"/>
      <x:c r="B255" s="252"/>
      <x:c r="C255" s="253"/>
      <x:c r="D255" s="253"/>
      <x:c r="E255" s="253"/>
      <x:c r="F255" s="252"/>
      <x:c r="G255" s="253"/>
      <x:c r="H255" s="272"/>
      <x:c r="I255" s="253"/>
      <x:c r="J255" s="253"/>
      <x:c r="K255" s="253"/>
      <x:c r="L255" s="253"/>
      <x:c r="M255" s="253"/>
      <x:c r="N255" s="253"/>
      <x:c r="O255" s="253" t="str">
        <x:f>IF(TRIM(L255&amp;" "&amp;M255&amp;IF(N255&lt;&gt;""," ("&amp;N255&amp;")",""))="","",TRIM(L255&amp;" "&amp;M255&amp;IF(N255&lt;&gt;""," ("&amp;N255&amp;")","")))</x:f>
      </x:c>
      <x:c r="P255" s="253"/>
      <x:c r="Q255" s="252"/>
      <x:c r="R255" s="253"/>
      <x:c r="S255" s="253"/>
      <x:c r="T255" s="253"/>
      <x:c r="U255" s="253"/>
      <x:c r="V255" s="253"/>
      <x:c r="W255" s="253"/>
      <x:c r="X255" s="253"/>
      <x:c r="Y255" s="252"/>
      <x:c r="Z255" s="252"/>
      <x:c r="AA255" s="253"/>
      <x:c r="AB255" s="253" t="str">
        <x:f>IF(B255="","",IFERROR(INDEX('الزبائن'!$BA$6:$BA$505,MATCH(B255,'الزبائن'!$A$6:$A$505,0)),"source key not found"))</x:f>
      </x:c>
      <x:c r="AC255" s="253" t="str">
        <x:f>IF(B255="","",IFERROR(INDEX('الزبائن'!$BB$6:$BB$505,MATCH(B255,'الزبائن'!$A$6:$A$505,0)),"source key not found"))</x:f>
      </x:c>
      <x:c r="AD255" s="253" t="str">
        <x:f>IF(AND(A255="",C255="",D255="",I255="",L255="",M255=""),"",IF(C255="skip","SKIP",IF(OR(A255="",C255="",D255="",I255="",L255="",M255="",U255="",COUNTIF($A$6:$A$505,A255)&gt;1,AND(B255&lt;&gt;"",COUNTIF('الزبائن'!$A$6:$A$505,B255)=0),(COUNTIFS('أرقام التواصل'!$A$6:$A$505,"proposed_name",'أرقام التواصل'!$B$6:$B$505,A255,'أرقام التواصل'!$I$6:$I$505,"TRUE")+COUNTIFS('أرقام التواصل'!$A$6:$A$505,"proposed_name",'أرقام التواصل'!$B$6:$B$505,A255,'أرقام التواصل'!$C$6:$C$505,1))=0,AND(W255="TRUE",X255="")),"REVIEW","READY")))</x:f>
      </x:c>
      <x:c r="AE255" s="255" t="str">
        <x:f>IF(AD255="","",IF(AD255="READY","",IF(AD255="SKIP","Skipped by candidate_import_action",TRIM(IF(A255="","missing proposed_name_key; ","")&amp;IF(AND(A255&lt;&gt;"",COUNTIF($A$6:$A$505,A255)&gt;1),"duplicate proposed_name_key; ","")&amp;IF(C255="","missing candidate_import_action; ","")&amp;IF(D255="","missing move_reason; ","")&amp;IF(I255="","missing branch_id; ","")&amp;IF(L255="","missing first_name; ","")&amp;IF(M255="","missing last_name; ","")&amp;IF(U255="","missing status; ","")&amp;IF(AND(B255&lt;&gt;"",COUNTIF('الزبائن'!$A$6:$A$505,B255)=0),"source key not found; ","")&amp;IF((COUNTIFS('أرقام التواصل'!$A$6:$A$505,"proposed_name",'أرقام التواصل'!$B$6:$B$505,A255,'أرقام التواصل'!$I$6:$I$505,"TRUE")+COUNTIFS('أرقام التواصل'!$A$6:$A$505,"proposed_name",'أرقام التواصل'!$B$6:$B$505,A255,'أرقام التواصل'!$C$6:$C$505,1))=0,"missing primary contact in أرقام التواصل; ","")&amp;IF(AND(W255="TRUE",X255=""),"duplicate_type required when duplicate_flag TRUE; ","")))))</x:f>
      </x:c>
    </x:row>
    <x:row r="256">
      <x:c r="A256" s="302"/>
      <x:c r="B256" s="252"/>
      <x:c r="C256" s="253"/>
      <x:c r="D256" s="253"/>
      <x:c r="E256" s="253"/>
      <x:c r="F256" s="252"/>
      <x:c r="G256" s="253"/>
      <x:c r="H256" s="272"/>
      <x:c r="I256" s="253"/>
      <x:c r="J256" s="253"/>
      <x:c r="K256" s="253"/>
      <x:c r="L256" s="253"/>
      <x:c r="M256" s="253"/>
      <x:c r="N256" s="253"/>
      <x:c r="O256" s="253" t="str">
        <x:f>IF(TRIM(L256&amp;" "&amp;M256&amp;IF(N256&lt;&gt;""," ("&amp;N256&amp;")",""))="","",TRIM(L256&amp;" "&amp;M256&amp;IF(N256&lt;&gt;""," ("&amp;N256&amp;")","")))</x:f>
      </x:c>
      <x:c r="P256" s="253"/>
      <x:c r="Q256" s="252"/>
      <x:c r="R256" s="253"/>
      <x:c r="S256" s="253"/>
      <x:c r="T256" s="253"/>
      <x:c r="U256" s="253"/>
      <x:c r="V256" s="253"/>
      <x:c r="W256" s="253"/>
      <x:c r="X256" s="253"/>
      <x:c r="Y256" s="252"/>
      <x:c r="Z256" s="252"/>
      <x:c r="AA256" s="253"/>
      <x:c r="AB256" s="253" t="str">
        <x:f>IF(B256="","",IFERROR(INDEX('الزبائن'!$BA$6:$BA$505,MATCH(B256,'الزبائن'!$A$6:$A$505,0)),"source key not found"))</x:f>
      </x:c>
      <x:c r="AC256" s="253" t="str">
        <x:f>IF(B256="","",IFERROR(INDEX('الزبائن'!$BB$6:$BB$505,MATCH(B256,'الزبائن'!$A$6:$A$505,0)),"source key not found"))</x:f>
      </x:c>
      <x:c r="AD256" s="253" t="str">
        <x:f>IF(AND(A256="",C256="",D256="",I256="",L256="",M256=""),"",IF(C256="skip","SKIP",IF(OR(A256="",C256="",D256="",I256="",L256="",M256="",U256="",COUNTIF($A$6:$A$505,A256)&gt;1,AND(B256&lt;&gt;"",COUNTIF('الزبائن'!$A$6:$A$505,B256)=0),(COUNTIFS('أرقام التواصل'!$A$6:$A$505,"proposed_name",'أرقام التواصل'!$B$6:$B$505,A256,'أرقام التواصل'!$I$6:$I$505,"TRUE")+COUNTIFS('أرقام التواصل'!$A$6:$A$505,"proposed_name",'أرقام التواصل'!$B$6:$B$505,A256,'أرقام التواصل'!$C$6:$C$505,1))=0,AND(W256="TRUE",X256="")),"REVIEW","READY")))</x:f>
      </x:c>
      <x:c r="AE256" s="255" t="str">
        <x:f>IF(AD256="","",IF(AD256="READY","",IF(AD256="SKIP","Skipped by candidate_import_action",TRIM(IF(A256="","missing proposed_name_key; ","")&amp;IF(AND(A256&lt;&gt;"",COUNTIF($A$6:$A$505,A256)&gt;1),"duplicate proposed_name_key; ","")&amp;IF(C256="","missing candidate_import_action; ","")&amp;IF(D256="","missing move_reason; ","")&amp;IF(I256="","missing branch_id; ","")&amp;IF(L256="","missing first_name; ","")&amp;IF(M256="","missing last_name; ","")&amp;IF(U256="","missing status; ","")&amp;IF(AND(B256&lt;&gt;"",COUNTIF('الزبائن'!$A$6:$A$505,B256)=0),"source key not found; ","")&amp;IF((COUNTIFS('أرقام التواصل'!$A$6:$A$505,"proposed_name",'أرقام التواصل'!$B$6:$B$505,A256,'أرقام التواصل'!$I$6:$I$505,"TRUE")+COUNTIFS('أرقام التواصل'!$A$6:$A$505,"proposed_name",'أرقام التواصل'!$B$6:$B$505,A256,'أرقام التواصل'!$C$6:$C$505,1))=0,"missing primary contact in أرقام التواصل; ","")&amp;IF(AND(W256="TRUE",X256=""),"duplicate_type required when duplicate_flag TRUE; ","")))))</x:f>
      </x:c>
    </x:row>
    <x:row r="257">
      <x:c r="A257" s="302"/>
      <x:c r="B257" s="252"/>
      <x:c r="C257" s="253"/>
      <x:c r="D257" s="253"/>
      <x:c r="E257" s="253"/>
      <x:c r="F257" s="252"/>
      <x:c r="G257" s="253"/>
      <x:c r="H257" s="272"/>
      <x:c r="I257" s="253"/>
      <x:c r="J257" s="253"/>
      <x:c r="K257" s="253"/>
      <x:c r="L257" s="253"/>
      <x:c r="M257" s="253"/>
      <x:c r="N257" s="253"/>
      <x:c r="O257" s="253" t="str">
        <x:f>IF(TRIM(L257&amp;" "&amp;M257&amp;IF(N257&lt;&gt;""," ("&amp;N257&amp;")",""))="","",TRIM(L257&amp;" "&amp;M257&amp;IF(N257&lt;&gt;""," ("&amp;N257&amp;")","")))</x:f>
      </x:c>
      <x:c r="P257" s="253"/>
      <x:c r="Q257" s="252"/>
      <x:c r="R257" s="253"/>
      <x:c r="S257" s="253"/>
      <x:c r="T257" s="253"/>
      <x:c r="U257" s="253"/>
      <x:c r="V257" s="253"/>
      <x:c r="W257" s="253"/>
      <x:c r="X257" s="253"/>
      <x:c r="Y257" s="252"/>
      <x:c r="Z257" s="252"/>
      <x:c r="AA257" s="253"/>
      <x:c r="AB257" s="253" t="str">
        <x:f>IF(B257="","",IFERROR(INDEX('الزبائن'!$BA$6:$BA$505,MATCH(B257,'الزبائن'!$A$6:$A$505,0)),"source key not found"))</x:f>
      </x:c>
      <x:c r="AC257" s="253" t="str">
        <x:f>IF(B257="","",IFERROR(INDEX('الزبائن'!$BB$6:$BB$505,MATCH(B257,'الزبائن'!$A$6:$A$505,0)),"source key not found"))</x:f>
      </x:c>
      <x:c r="AD257" s="253" t="str">
        <x:f>IF(AND(A257="",C257="",D257="",I257="",L257="",M257=""),"",IF(C257="skip","SKIP",IF(OR(A257="",C257="",D257="",I257="",L257="",M257="",U257="",COUNTIF($A$6:$A$505,A257)&gt;1,AND(B257&lt;&gt;"",COUNTIF('الزبائن'!$A$6:$A$505,B257)=0),(COUNTIFS('أرقام التواصل'!$A$6:$A$505,"proposed_name",'أرقام التواصل'!$B$6:$B$505,A257,'أرقام التواصل'!$I$6:$I$505,"TRUE")+COUNTIFS('أرقام التواصل'!$A$6:$A$505,"proposed_name",'أرقام التواصل'!$B$6:$B$505,A257,'أرقام التواصل'!$C$6:$C$505,1))=0,AND(W257="TRUE",X257="")),"REVIEW","READY")))</x:f>
      </x:c>
      <x:c r="AE257" s="255" t="str">
        <x:f>IF(AD257="","",IF(AD257="READY","",IF(AD257="SKIP","Skipped by candidate_import_action",TRIM(IF(A257="","missing proposed_name_key; ","")&amp;IF(AND(A257&lt;&gt;"",COUNTIF($A$6:$A$505,A257)&gt;1),"duplicate proposed_name_key; ","")&amp;IF(C257="","missing candidate_import_action; ","")&amp;IF(D257="","missing move_reason; ","")&amp;IF(I257="","missing branch_id; ","")&amp;IF(L257="","missing first_name; ","")&amp;IF(M257="","missing last_name; ","")&amp;IF(U257="","missing status; ","")&amp;IF(AND(B257&lt;&gt;"",COUNTIF('الزبائن'!$A$6:$A$505,B257)=0),"source key not found; ","")&amp;IF((COUNTIFS('أرقام التواصل'!$A$6:$A$505,"proposed_name",'أرقام التواصل'!$B$6:$B$505,A257,'أرقام التواصل'!$I$6:$I$505,"TRUE")+COUNTIFS('أرقام التواصل'!$A$6:$A$505,"proposed_name",'أرقام التواصل'!$B$6:$B$505,A257,'أرقام التواصل'!$C$6:$C$505,1))=0,"missing primary contact in أرقام التواصل; ","")&amp;IF(AND(W257="TRUE",X257=""),"duplicate_type required when duplicate_flag TRUE; ","")))))</x:f>
      </x:c>
    </x:row>
    <x:row r="258">
      <x:c r="A258" s="302"/>
      <x:c r="B258" s="252"/>
      <x:c r="C258" s="253"/>
      <x:c r="D258" s="253"/>
      <x:c r="E258" s="253"/>
      <x:c r="F258" s="252"/>
      <x:c r="G258" s="253"/>
      <x:c r="H258" s="272"/>
      <x:c r="I258" s="253"/>
      <x:c r="J258" s="253"/>
      <x:c r="K258" s="253"/>
      <x:c r="L258" s="253"/>
      <x:c r="M258" s="253"/>
      <x:c r="N258" s="253"/>
      <x:c r="O258" s="253" t="str">
        <x:f>IF(TRIM(L258&amp;" "&amp;M258&amp;IF(N258&lt;&gt;""," ("&amp;N258&amp;")",""))="","",TRIM(L258&amp;" "&amp;M258&amp;IF(N258&lt;&gt;""," ("&amp;N258&amp;")","")))</x:f>
      </x:c>
      <x:c r="P258" s="253"/>
      <x:c r="Q258" s="252"/>
      <x:c r="R258" s="253"/>
      <x:c r="S258" s="253"/>
      <x:c r="T258" s="253"/>
      <x:c r="U258" s="253"/>
      <x:c r="V258" s="253"/>
      <x:c r="W258" s="253"/>
      <x:c r="X258" s="253"/>
      <x:c r="Y258" s="252"/>
      <x:c r="Z258" s="252"/>
      <x:c r="AA258" s="253"/>
      <x:c r="AB258" s="253" t="str">
        <x:f>IF(B258="","",IFERROR(INDEX('الزبائن'!$BA$6:$BA$505,MATCH(B258,'الزبائن'!$A$6:$A$505,0)),"source key not found"))</x:f>
      </x:c>
      <x:c r="AC258" s="253" t="str">
        <x:f>IF(B258="","",IFERROR(INDEX('الزبائن'!$BB$6:$BB$505,MATCH(B258,'الزبائن'!$A$6:$A$505,0)),"source key not found"))</x:f>
      </x:c>
      <x:c r="AD258" s="253" t="str">
        <x:f>IF(AND(A258="",C258="",D258="",I258="",L258="",M258=""),"",IF(C258="skip","SKIP",IF(OR(A258="",C258="",D258="",I258="",L258="",M258="",U258="",COUNTIF($A$6:$A$505,A258)&gt;1,AND(B258&lt;&gt;"",COUNTIF('الزبائن'!$A$6:$A$505,B258)=0),(COUNTIFS('أرقام التواصل'!$A$6:$A$505,"proposed_name",'أرقام التواصل'!$B$6:$B$505,A258,'أرقام التواصل'!$I$6:$I$505,"TRUE")+COUNTIFS('أرقام التواصل'!$A$6:$A$505,"proposed_name",'أرقام التواصل'!$B$6:$B$505,A258,'أرقام التواصل'!$C$6:$C$505,1))=0,AND(W258="TRUE",X258="")),"REVIEW","READY")))</x:f>
      </x:c>
      <x:c r="AE258" s="255" t="str">
        <x:f>IF(AD258="","",IF(AD258="READY","",IF(AD258="SKIP","Skipped by candidate_import_action",TRIM(IF(A258="","missing proposed_name_key; ","")&amp;IF(AND(A258&lt;&gt;"",COUNTIF($A$6:$A$505,A258)&gt;1),"duplicate proposed_name_key; ","")&amp;IF(C258="","missing candidate_import_action; ","")&amp;IF(D258="","missing move_reason; ","")&amp;IF(I258="","missing branch_id; ","")&amp;IF(L258="","missing first_name; ","")&amp;IF(M258="","missing last_name; ","")&amp;IF(U258="","missing status; ","")&amp;IF(AND(B258&lt;&gt;"",COUNTIF('الزبائن'!$A$6:$A$505,B258)=0),"source key not found; ","")&amp;IF((COUNTIFS('أرقام التواصل'!$A$6:$A$505,"proposed_name",'أرقام التواصل'!$B$6:$B$505,A258,'أرقام التواصل'!$I$6:$I$505,"TRUE")+COUNTIFS('أرقام التواصل'!$A$6:$A$505,"proposed_name",'أرقام التواصل'!$B$6:$B$505,A258,'أرقام التواصل'!$C$6:$C$505,1))=0,"missing primary contact in أرقام التواصل; ","")&amp;IF(AND(W258="TRUE",X258=""),"duplicate_type required when duplicate_flag TRUE; ","")))))</x:f>
      </x:c>
    </x:row>
    <x:row r="259">
      <x:c r="A259" s="302"/>
      <x:c r="B259" s="252"/>
      <x:c r="C259" s="253"/>
      <x:c r="D259" s="253"/>
      <x:c r="E259" s="253"/>
      <x:c r="F259" s="252"/>
      <x:c r="G259" s="253"/>
      <x:c r="H259" s="272"/>
      <x:c r="I259" s="253"/>
      <x:c r="J259" s="253"/>
      <x:c r="K259" s="253"/>
      <x:c r="L259" s="253"/>
      <x:c r="M259" s="253"/>
      <x:c r="N259" s="253"/>
      <x:c r="O259" s="253" t="str">
        <x:f>IF(TRIM(L259&amp;" "&amp;M259&amp;IF(N259&lt;&gt;""," ("&amp;N259&amp;")",""))="","",TRIM(L259&amp;" "&amp;M259&amp;IF(N259&lt;&gt;""," ("&amp;N259&amp;")","")))</x:f>
      </x:c>
      <x:c r="P259" s="253"/>
      <x:c r="Q259" s="252"/>
      <x:c r="R259" s="253"/>
      <x:c r="S259" s="253"/>
      <x:c r="T259" s="253"/>
      <x:c r="U259" s="253"/>
      <x:c r="V259" s="253"/>
      <x:c r="W259" s="253"/>
      <x:c r="X259" s="253"/>
      <x:c r="Y259" s="252"/>
      <x:c r="Z259" s="252"/>
      <x:c r="AA259" s="253"/>
      <x:c r="AB259" s="253" t="str">
        <x:f>IF(B259="","",IFERROR(INDEX('الزبائن'!$BA$6:$BA$505,MATCH(B259,'الزبائن'!$A$6:$A$505,0)),"source key not found"))</x:f>
      </x:c>
      <x:c r="AC259" s="253" t="str">
        <x:f>IF(B259="","",IFERROR(INDEX('الزبائن'!$BB$6:$BB$505,MATCH(B259,'الزبائن'!$A$6:$A$505,0)),"source key not found"))</x:f>
      </x:c>
      <x:c r="AD259" s="253" t="str">
        <x:f>IF(AND(A259="",C259="",D259="",I259="",L259="",M259=""),"",IF(C259="skip","SKIP",IF(OR(A259="",C259="",D259="",I259="",L259="",M259="",U259="",COUNTIF($A$6:$A$505,A259)&gt;1,AND(B259&lt;&gt;"",COUNTIF('الزبائن'!$A$6:$A$505,B259)=0),(COUNTIFS('أرقام التواصل'!$A$6:$A$505,"proposed_name",'أرقام التواصل'!$B$6:$B$505,A259,'أرقام التواصل'!$I$6:$I$505,"TRUE")+COUNTIFS('أرقام التواصل'!$A$6:$A$505,"proposed_name",'أرقام التواصل'!$B$6:$B$505,A259,'أرقام التواصل'!$C$6:$C$505,1))=0,AND(W259="TRUE",X259="")),"REVIEW","READY")))</x:f>
      </x:c>
      <x:c r="AE259" s="255" t="str">
        <x:f>IF(AD259="","",IF(AD259="READY","",IF(AD259="SKIP","Skipped by candidate_import_action",TRIM(IF(A259="","missing proposed_name_key; ","")&amp;IF(AND(A259&lt;&gt;"",COUNTIF($A$6:$A$505,A259)&gt;1),"duplicate proposed_name_key; ","")&amp;IF(C259="","missing candidate_import_action; ","")&amp;IF(D259="","missing move_reason; ","")&amp;IF(I259="","missing branch_id; ","")&amp;IF(L259="","missing first_name; ","")&amp;IF(M259="","missing last_name; ","")&amp;IF(U259="","missing status; ","")&amp;IF(AND(B259&lt;&gt;"",COUNTIF('الزبائن'!$A$6:$A$505,B259)=0),"source key not found; ","")&amp;IF((COUNTIFS('أرقام التواصل'!$A$6:$A$505,"proposed_name",'أرقام التواصل'!$B$6:$B$505,A259,'أرقام التواصل'!$I$6:$I$505,"TRUE")+COUNTIFS('أرقام التواصل'!$A$6:$A$505,"proposed_name",'أرقام التواصل'!$B$6:$B$505,A259,'أرقام التواصل'!$C$6:$C$505,1))=0,"missing primary contact in أرقام التواصل; ","")&amp;IF(AND(W259="TRUE",X259=""),"duplicate_type required when duplicate_flag TRUE; ","")))))</x:f>
      </x:c>
    </x:row>
    <x:row r="260">
      <x:c r="A260" s="302"/>
      <x:c r="B260" s="252"/>
      <x:c r="C260" s="253"/>
      <x:c r="D260" s="253"/>
      <x:c r="E260" s="253"/>
      <x:c r="F260" s="252"/>
      <x:c r="G260" s="253"/>
      <x:c r="H260" s="272"/>
      <x:c r="I260" s="253"/>
      <x:c r="J260" s="253"/>
      <x:c r="K260" s="253"/>
      <x:c r="L260" s="253"/>
      <x:c r="M260" s="253"/>
      <x:c r="N260" s="253"/>
      <x:c r="O260" s="253" t="str">
        <x:f>IF(TRIM(L260&amp;" "&amp;M260&amp;IF(N260&lt;&gt;""," ("&amp;N260&amp;")",""))="","",TRIM(L260&amp;" "&amp;M260&amp;IF(N260&lt;&gt;""," ("&amp;N260&amp;")","")))</x:f>
      </x:c>
      <x:c r="P260" s="253"/>
      <x:c r="Q260" s="252"/>
      <x:c r="R260" s="253"/>
      <x:c r="S260" s="253"/>
      <x:c r="T260" s="253"/>
      <x:c r="U260" s="253"/>
      <x:c r="V260" s="253"/>
      <x:c r="W260" s="253"/>
      <x:c r="X260" s="253"/>
      <x:c r="Y260" s="252"/>
      <x:c r="Z260" s="252"/>
      <x:c r="AA260" s="253"/>
      <x:c r="AB260" s="253" t="str">
        <x:f>IF(B260="","",IFERROR(INDEX('الزبائن'!$BA$6:$BA$505,MATCH(B260,'الزبائن'!$A$6:$A$505,0)),"source key not found"))</x:f>
      </x:c>
      <x:c r="AC260" s="253" t="str">
        <x:f>IF(B260="","",IFERROR(INDEX('الزبائن'!$BB$6:$BB$505,MATCH(B260,'الزبائن'!$A$6:$A$505,0)),"source key not found"))</x:f>
      </x:c>
      <x:c r="AD260" s="253" t="str">
        <x:f>IF(AND(A260="",C260="",D260="",I260="",L260="",M260=""),"",IF(C260="skip","SKIP",IF(OR(A260="",C260="",D260="",I260="",L260="",M260="",U260="",COUNTIF($A$6:$A$505,A260)&gt;1,AND(B260&lt;&gt;"",COUNTIF('الزبائن'!$A$6:$A$505,B260)=0),(COUNTIFS('أرقام التواصل'!$A$6:$A$505,"proposed_name",'أرقام التواصل'!$B$6:$B$505,A260,'أرقام التواصل'!$I$6:$I$505,"TRUE")+COUNTIFS('أرقام التواصل'!$A$6:$A$505,"proposed_name",'أرقام التواصل'!$B$6:$B$505,A260,'أرقام التواصل'!$C$6:$C$505,1))=0,AND(W260="TRUE",X260="")),"REVIEW","READY")))</x:f>
      </x:c>
      <x:c r="AE260" s="255" t="str">
        <x:f>IF(AD260="","",IF(AD260="READY","",IF(AD260="SKIP","Skipped by candidate_import_action",TRIM(IF(A260="","missing proposed_name_key; ","")&amp;IF(AND(A260&lt;&gt;"",COUNTIF($A$6:$A$505,A260)&gt;1),"duplicate proposed_name_key; ","")&amp;IF(C260="","missing candidate_import_action; ","")&amp;IF(D260="","missing move_reason; ","")&amp;IF(I260="","missing branch_id; ","")&amp;IF(L260="","missing first_name; ","")&amp;IF(M260="","missing last_name; ","")&amp;IF(U260="","missing status; ","")&amp;IF(AND(B260&lt;&gt;"",COUNTIF('الزبائن'!$A$6:$A$505,B260)=0),"source key not found; ","")&amp;IF((COUNTIFS('أرقام التواصل'!$A$6:$A$505,"proposed_name",'أرقام التواصل'!$B$6:$B$505,A260,'أرقام التواصل'!$I$6:$I$505,"TRUE")+COUNTIFS('أرقام التواصل'!$A$6:$A$505,"proposed_name",'أرقام التواصل'!$B$6:$B$505,A260,'أرقام التواصل'!$C$6:$C$505,1))=0,"missing primary contact in أرقام التواصل; ","")&amp;IF(AND(W260="TRUE",X260=""),"duplicate_type required when duplicate_flag TRUE; ","")))))</x:f>
      </x:c>
    </x:row>
    <x:row r="261">
      <x:c r="A261" s="302"/>
      <x:c r="B261" s="252"/>
      <x:c r="C261" s="253"/>
      <x:c r="D261" s="253"/>
      <x:c r="E261" s="253"/>
      <x:c r="F261" s="252"/>
      <x:c r="G261" s="253"/>
      <x:c r="H261" s="272"/>
      <x:c r="I261" s="253"/>
      <x:c r="J261" s="253"/>
      <x:c r="K261" s="253"/>
      <x:c r="L261" s="253"/>
      <x:c r="M261" s="253"/>
      <x:c r="N261" s="253"/>
      <x:c r="O261" s="253" t="str">
        <x:f>IF(TRIM(L261&amp;" "&amp;M261&amp;IF(N261&lt;&gt;""," ("&amp;N261&amp;")",""))="","",TRIM(L261&amp;" "&amp;M261&amp;IF(N261&lt;&gt;""," ("&amp;N261&amp;")","")))</x:f>
      </x:c>
      <x:c r="P261" s="253"/>
      <x:c r="Q261" s="252"/>
      <x:c r="R261" s="253"/>
      <x:c r="S261" s="253"/>
      <x:c r="T261" s="253"/>
      <x:c r="U261" s="253"/>
      <x:c r="V261" s="253"/>
      <x:c r="W261" s="253"/>
      <x:c r="X261" s="253"/>
      <x:c r="Y261" s="252"/>
      <x:c r="Z261" s="252"/>
      <x:c r="AA261" s="253"/>
      <x:c r="AB261" s="253" t="str">
        <x:f>IF(B261="","",IFERROR(INDEX('الزبائن'!$BA$6:$BA$505,MATCH(B261,'الزبائن'!$A$6:$A$505,0)),"source key not found"))</x:f>
      </x:c>
      <x:c r="AC261" s="253" t="str">
        <x:f>IF(B261="","",IFERROR(INDEX('الزبائن'!$BB$6:$BB$505,MATCH(B261,'الزبائن'!$A$6:$A$505,0)),"source key not found"))</x:f>
      </x:c>
      <x:c r="AD261" s="253" t="str">
        <x:f>IF(AND(A261="",C261="",D261="",I261="",L261="",M261=""),"",IF(C261="skip","SKIP",IF(OR(A261="",C261="",D261="",I261="",L261="",M261="",U261="",COUNTIF($A$6:$A$505,A261)&gt;1,AND(B261&lt;&gt;"",COUNTIF('الزبائن'!$A$6:$A$505,B261)=0),(COUNTIFS('أرقام التواصل'!$A$6:$A$505,"proposed_name",'أرقام التواصل'!$B$6:$B$505,A261,'أرقام التواصل'!$I$6:$I$505,"TRUE")+COUNTIFS('أرقام التواصل'!$A$6:$A$505,"proposed_name",'أرقام التواصل'!$B$6:$B$505,A261,'أرقام التواصل'!$C$6:$C$505,1))=0,AND(W261="TRUE",X261="")),"REVIEW","READY")))</x:f>
      </x:c>
      <x:c r="AE261" s="255" t="str">
        <x:f>IF(AD261="","",IF(AD261="READY","",IF(AD261="SKIP","Skipped by candidate_import_action",TRIM(IF(A261="","missing proposed_name_key; ","")&amp;IF(AND(A261&lt;&gt;"",COUNTIF($A$6:$A$505,A261)&gt;1),"duplicate proposed_name_key; ","")&amp;IF(C261="","missing candidate_import_action; ","")&amp;IF(D261="","missing move_reason; ","")&amp;IF(I261="","missing branch_id; ","")&amp;IF(L261="","missing first_name; ","")&amp;IF(M261="","missing last_name; ","")&amp;IF(U261="","missing status; ","")&amp;IF(AND(B261&lt;&gt;"",COUNTIF('الزبائن'!$A$6:$A$505,B261)=0),"source key not found; ","")&amp;IF((COUNTIFS('أرقام التواصل'!$A$6:$A$505,"proposed_name",'أرقام التواصل'!$B$6:$B$505,A261,'أرقام التواصل'!$I$6:$I$505,"TRUE")+COUNTIFS('أرقام التواصل'!$A$6:$A$505,"proposed_name",'أرقام التواصل'!$B$6:$B$505,A261,'أرقام التواصل'!$C$6:$C$505,1))=0,"missing primary contact in أرقام التواصل; ","")&amp;IF(AND(W261="TRUE",X261=""),"duplicate_type required when duplicate_flag TRUE; ","")))))</x:f>
      </x:c>
    </x:row>
    <x:row r="262">
      <x:c r="A262" s="302"/>
      <x:c r="B262" s="252"/>
      <x:c r="C262" s="253"/>
      <x:c r="D262" s="253"/>
      <x:c r="E262" s="253"/>
      <x:c r="F262" s="252"/>
      <x:c r="G262" s="253"/>
      <x:c r="H262" s="272"/>
      <x:c r="I262" s="253"/>
      <x:c r="J262" s="253"/>
      <x:c r="K262" s="253"/>
      <x:c r="L262" s="253"/>
      <x:c r="M262" s="253"/>
      <x:c r="N262" s="253"/>
      <x:c r="O262" s="253" t="str">
        <x:f>IF(TRIM(L262&amp;" "&amp;M262&amp;IF(N262&lt;&gt;""," ("&amp;N262&amp;")",""))="","",TRIM(L262&amp;" "&amp;M262&amp;IF(N262&lt;&gt;""," ("&amp;N262&amp;")","")))</x:f>
      </x:c>
      <x:c r="P262" s="253"/>
      <x:c r="Q262" s="252"/>
      <x:c r="R262" s="253"/>
      <x:c r="S262" s="253"/>
      <x:c r="T262" s="253"/>
      <x:c r="U262" s="253"/>
      <x:c r="V262" s="253"/>
      <x:c r="W262" s="253"/>
      <x:c r="X262" s="253"/>
      <x:c r="Y262" s="252"/>
      <x:c r="Z262" s="252"/>
      <x:c r="AA262" s="253"/>
      <x:c r="AB262" s="253" t="str">
        <x:f>IF(B262="","",IFERROR(INDEX('الزبائن'!$BA$6:$BA$505,MATCH(B262,'الزبائن'!$A$6:$A$505,0)),"source key not found"))</x:f>
      </x:c>
      <x:c r="AC262" s="253" t="str">
        <x:f>IF(B262="","",IFERROR(INDEX('الزبائن'!$BB$6:$BB$505,MATCH(B262,'الزبائن'!$A$6:$A$505,0)),"source key not found"))</x:f>
      </x:c>
      <x:c r="AD262" s="253" t="str">
        <x:f>IF(AND(A262="",C262="",D262="",I262="",L262="",M262=""),"",IF(C262="skip","SKIP",IF(OR(A262="",C262="",D262="",I262="",L262="",M262="",U262="",COUNTIF($A$6:$A$505,A262)&gt;1,AND(B262&lt;&gt;"",COUNTIF('الزبائن'!$A$6:$A$505,B262)=0),(COUNTIFS('أرقام التواصل'!$A$6:$A$505,"proposed_name",'أرقام التواصل'!$B$6:$B$505,A262,'أرقام التواصل'!$I$6:$I$505,"TRUE")+COUNTIFS('أرقام التواصل'!$A$6:$A$505,"proposed_name",'أرقام التواصل'!$B$6:$B$505,A262,'أرقام التواصل'!$C$6:$C$505,1))=0,AND(W262="TRUE",X262="")),"REVIEW","READY")))</x:f>
      </x:c>
      <x:c r="AE262" s="255" t="str">
        <x:f>IF(AD262="","",IF(AD262="READY","",IF(AD262="SKIP","Skipped by candidate_import_action",TRIM(IF(A262="","missing proposed_name_key; ","")&amp;IF(AND(A262&lt;&gt;"",COUNTIF($A$6:$A$505,A262)&gt;1),"duplicate proposed_name_key; ","")&amp;IF(C262="","missing candidate_import_action; ","")&amp;IF(D262="","missing move_reason; ","")&amp;IF(I262="","missing branch_id; ","")&amp;IF(L262="","missing first_name; ","")&amp;IF(M262="","missing last_name; ","")&amp;IF(U262="","missing status; ","")&amp;IF(AND(B262&lt;&gt;"",COUNTIF('الزبائن'!$A$6:$A$505,B262)=0),"source key not found; ","")&amp;IF((COUNTIFS('أرقام التواصل'!$A$6:$A$505,"proposed_name",'أرقام التواصل'!$B$6:$B$505,A262,'أرقام التواصل'!$I$6:$I$505,"TRUE")+COUNTIFS('أرقام التواصل'!$A$6:$A$505,"proposed_name",'أرقام التواصل'!$B$6:$B$505,A262,'أرقام التواصل'!$C$6:$C$505,1))=0,"missing primary contact in أرقام التواصل; ","")&amp;IF(AND(W262="TRUE",X262=""),"duplicate_type required when duplicate_flag TRUE; ","")))))</x:f>
      </x:c>
    </x:row>
    <x:row r="263">
      <x:c r="A263" s="302"/>
      <x:c r="B263" s="252"/>
      <x:c r="C263" s="253"/>
      <x:c r="D263" s="253"/>
      <x:c r="E263" s="253"/>
      <x:c r="F263" s="252"/>
      <x:c r="G263" s="253"/>
      <x:c r="H263" s="272"/>
      <x:c r="I263" s="253"/>
      <x:c r="J263" s="253"/>
      <x:c r="K263" s="253"/>
      <x:c r="L263" s="253"/>
      <x:c r="M263" s="253"/>
      <x:c r="N263" s="253"/>
      <x:c r="O263" s="253" t="str">
        <x:f>IF(TRIM(L263&amp;" "&amp;M263&amp;IF(N263&lt;&gt;""," ("&amp;N263&amp;")",""))="","",TRIM(L263&amp;" "&amp;M263&amp;IF(N263&lt;&gt;""," ("&amp;N263&amp;")","")))</x:f>
      </x:c>
      <x:c r="P263" s="253"/>
      <x:c r="Q263" s="252"/>
      <x:c r="R263" s="253"/>
      <x:c r="S263" s="253"/>
      <x:c r="T263" s="253"/>
      <x:c r="U263" s="253"/>
      <x:c r="V263" s="253"/>
      <x:c r="W263" s="253"/>
      <x:c r="X263" s="253"/>
      <x:c r="Y263" s="252"/>
      <x:c r="Z263" s="252"/>
      <x:c r="AA263" s="253"/>
      <x:c r="AB263" s="253" t="str">
        <x:f>IF(B263="","",IFERROR(INDEX('الزبائن'!$BA$6:$BA$505,MATCH(B263,'الزبائن'!$A$6:$A$505,0)),"source key not found"))</x:f>
      </x:c>
      <x:c r="AC263" s="253" t="str">
        <x:f>IF(B263="","",IFERROR(INDEX('الزبائن'!$BB$6:$BB$505,MATCH(B263,'الزبائن'!$A$6:$A$505,0)),"source key not found"))</x:f>
      </x:c>
      <x:c r="AD263" s="253" t="str">
        <x:f>IF(AND(A263="",C263="",D263="",I263="",L263="",M263=""),"",IF(C263="skip","SKIP",IF(OR(A263="",C263="",D263="",I263="",L263="",M263="",U263="",COUNTIF($A$6:$A$505,A263)&gt;1,AND(B263&lt;&gt;"",COUNTIF('الزبائن'!$A$6:$A$505,B263)=0),(COUNTIFS('أرقام التواصل'!$A$6:$A$505,"proposed_name",'أرقام التواصل'!$B$6:$B$505,A263,'أرقام التواصل'!$I$6:$I$505,"TRUE")+COUNTIFS('أرقام التواصل'!$A$6:$A$505,"proposed_name",'أرقام التواصل'!$B$6:$B$505,A263,'أرقام التواصل'!$C$6:$C$505,1))=0,AND(W263="TRUE",X263="")),"REVIEW","READY")))</x:f>
      </x:c>
      <x:c r="AE263" s="255" t="str">
        <x:f>IF(AD263="","",IF(AD263="READY","",IF(AD263="SKIP","Skipped by candidate_import_action",TRIM(IF(A263="","missing proposed_name_key; ","")&amp;IF(AND(A263&lt;&gt;"",COUNTIF($A$6:$A$505,A263)&gt;1),"duplicate proposed_name_key; ","")&amp;IF(C263="","missing candidate_import_action; ","")&amp;IF(D263="","missing move_reason; ","")&amp;IF(I263="","missing branch_id; ","")&amp;IF(L263="","missing first_name; ","")&amp;IF(M263="","missing last_name; ","")&amp;IF(U263="","missing status; ","")&amp;IF(AND(B263&lt;&gt;"",COUNTIF('الزبائن'!$A$6:$A$505,B263)=0),"source key not found; ","")&amp;IF((COUNTIFS('أرقام التواصل'!$A$6:$A$505,"proposed_name",'أرقام التواصل'!$B$6:$B$505,A263,'أرقام التواصل'!$I$6:$I$505,"TRUE")+COUNTIFS('أرقام التواصل'!$A$6:$A$505,"proposed_name",'أرقام التواصل'!$B$6:$B$505,A263,'أرقام التواصل'!$C$6:$C$505,1))=0,"missing primary contact in أرقام التواصل; ","")&amp;IF(AND(W263="TRUE",X263=""),"duplicate_type required when duplicate_flag TRUE; ","")))))</x:f>
      </x:c>
    </x:row>
    <x:row r="264">
      <x:c r="A264" s="302"/>
      <x:c r="B264" s="252"/>
      <x:c r="C264" s="253"/>
      <x:c r="D264" s="253"/>
      <x:c r="E264" s="253"/>
      <x:c r="F264" s="252"/>
      <x:c r="G264" s="253"/>
      <x:c r="H264" s="272"/>
      <x:c r="I264" s="253"/>
      <x:c r="J264" s="253"/>
      <x:c r="K264" s="253"/>
      <x:c r="L264" s="253"/>
      <x:c r="M264" s="253"/>
      <x:c r="N264" s="253"/>
      <x:c r="O264" s="253" t="str">
        <x:f>IF(TRIM(L264&amp;" "&amp;M264&amp;IF(N264&lt;&gt;""," ("&amp;N264&amp;")",""))="","",TRIM(L264&amp;" "&amp;M264&amp;IF(N264&lt;&gt;""," ("&amp;N264&amp;")","")))</x:f>
      </x:c>
      <x:c r="P264" s="253"/>
      <x:c r="Q264" s="252"/>
      <x:c r="R264" s="253"/>
      <x:c r="S264" s="253"/>
      <x:c r="T264" s="253"/>
      <x:c r="U264" s="253"/>
      <x:c r="V264" s="253"/>
      <x:c r="W264" s="253"/>
      <x:c r="X264" s="253"/>
      <x:c r="Y264" s="252"/>
      <x:c r="Z264" s="252"/>
      <x:c r="AA264" s="253"/>
      <x:c r="AB264" s="253" t="str">
        <x:f>IF(B264="","",IFERROR(INDEX('الزبائن'!$BA$6:$BA$505,MATCH(B264,'الزبائن'!$A$6:$A$505,0)),"source key not found"))</x:f>
      </x:c>
      <x:c r="AC264" s="253" t="str">
        <x:f>IF(B264="","",IFERROR(INDEX('الزبائن'!$BB$6:$BB$505,MATCH(B264,'الزبائن'!$A$6:$A$505,0)),"source key not found"))</x:f>
      </x:c>
      <x:c r="AD264" s="253" t="str">
        <x:f>IF(AND(A264="",C264="",D264="",I264="",L264="",M264=""),"",IF(C264="skip","SKIP",IF(OR(A264="",C264="",D264="",I264="",L264="",M264="",U264="",COUNTIF($A$6:$A$505,A264)&gt;1,AND(B264&lt;&gt;"",COUNTIF('الزبائن'!$A$6:$A$505,B264)=0),(COUNTIFS('أرقام التواصل'!$A$6:$A$505,"proposed_name",'أرقام التواصل'!$B$6:$B$505,A264,'أرقام التواصل'!$I$6:$I$505,"TRUE")+COUNTIFS('أرقام التواصل'!$A$6:$A$505,"proposed_name",'أرقام التواصل'!$B$6:$B$505,A264,'أرقام التواصل'!$C$6:$C$505,1))=0,AND(W264="TRUE",X264="")),"REVIEW","READY")))</x:f>
      </x:c>
      <x:c r="AE264" s="255" t="str">
        <x:f>IF(AD264="","",IF(AD264="READY","",IF(AD264="SKIP","Skipped by candidate_import_action",TRIM(IF(A264="","missing proposed_name_key; ","")&amp;IF(AND(A264&lt;&gt;"",COUNTIF($A$6:$A$505,A264)&gt;1),"duplicate proposed_name_key; ","")&amp;IF(C264="","missing candidate_import_action; ","")&amp;IF(D264="","missing move_reason; ","")&amp;IF(I264="","missing branch_id; ","")&amp;IF(L264="","missing first_name; ","")&amp;IF(M264="","missing last_name; ","")&amp;IF(U264="","missing status; ","")&amp;IF(AND(B264&lt;&gt;"",COUNTIF('الزبائن'!$A$6:$A$505,B264)=0),"source key not found; ","")&amp;IF((COUNTIFS('أرقام التواصل'!$A$6:$A$505,"proposed_name",'أرقام التواصل'!$B$6:$B$505,A264,'أرقام التواصل'!$I$6:$I$505,"TRUE")+COUNTIFS('أرقام التواصل'!$A$6:$A$505,"proposed_name",'أرقام التواصل'!$B$6:$B$505,A264,'أرقام التواصل'!$C$6:$C$505,1))=0,"missing primary contact in أرقام التواصل; ","")&amp;IF(AND(W264="TRUE",X264=""),"duplicate_type required when duplicate_flag TRUE; ","")))))</x:f>
      </x:c>
    </x:row>
    <x:row r="265">
      <x:c r="A265" s="302"/>
      <x:c r="B265" s="252"/>
      <x:c r="C265" s="253"/>
      <x:c r="D265" s="253"/>
      <x:c r="E265" s="253"/>
      <x:c r="F265" s="252"/>
      <x:c r="G265" s="253"/>
      <x:c r="H265" s="272"/>
      <x:c r="I265" s="253"/>
      <x:c r="J265" s="253"/>
      <x:c r="K265" s="253"/>
      <x:c r="L265" s="253"/>
      <x:c r="M265" s="253"/>
      <x:c r="N265" s="253"/>
      <x:c r="O265" s="253" t="str">
        <x:f>IF(TRIM(L265&amp;" "&amp;M265&amp;IF(N265&lt;&gt;""," ("&amp;N265&amp;")",""))="","",TRIM(L265&amp;" "&amp;M265&amp;IF(N265&lt;&gt;""," ("&amp;N265&amp;")","")))</x:f>
      </x:c>
      <x:c r="P265" s="253"/>
      <x:c r="Q265" s="252"/>
      <x:c r="R265" s="253"/>
      <x:c r="S265" s="253"/>
      <x:c r="T265" s="253"/>
      <x:c r="U265" s="253"/>
      <x:c r="V265" s="253"/>
      <x:c r="W265" s="253"/>
      <x:c r="X265" s="253"/>
      <x:c r="Y265" s="252"/>
      <x:c r="Z265" s="252"/>
      <x:c r="AA265" s="253"/>
      <x:c r="AB265" s="253" t="str">
        <x:f>IF(B265="","",IFERROR(INDEX('الزبائن'!$BA$6:$BA$505,MATCH(B265,'الزبائن'!$A$6:$A$505,0)),"source key not found"))</x:f>
      </x:c>
      <x:c r="AC265" s="253" t="str">
        <x:f>IF(B265="","",IFERROR(INDEX('الزبائن'!$BB$6:$BB$505,MATCH(B265,'الزبائن'!$A$6:$A$505,0)),"source key not found"))</x:f>
      </x:c>
      <x:c r="AD265" s="253" t="str">
        <x:f>IF(AND(A265="",C265="",D265="",I265="",L265="",M265=""),"",IF(C265="skip","SKIP",IF(OR(A265="",C265="",D265="",I265="",L265="",M265="",U265="",COUNTIF($A$6:$A$505,A265)&gt;1,AND(B265&lt;&gt;"",COUNTIF('الزبائن'!$A$6:$A$505,B265)=0),(COUNTIFS('أرقام التواصل'!$A$6:$A$505,"proposed_name",'أرقام التواصل'!$B$6:$B$505,A265,'أرقام التواصل'!$I$6:$I$505,"TRUE")+COUNTIFS('أرقام التواصل'!$A$6:$A$505,"proposed_name",'أرقام التواصل'!$B$6:$B$505,A265,'أرقام التواصل'!$C$6:$C$505,1))=0,AND(W265="TRUE",X265="")),"REVIEW","READY")))</x:f>
      </x:c>
      <x:c r="AE265" s="255" t="str">
        <x:f>IF(AD265="","",IF(AD265="READY","",IF(AD265="SKIP","Skipped by candidate_import_action",TRIM(IF(A265="","missing proposed_name_key; ","")&amp;IF(AND(A265&lt;&gt;"",COUNTIF($A$6:$A$505,A265)&gt;1),"duplicate proposed_name_key; ","")&amp;IF(C265="","missing candidate_import_action; ","")&amp;IF(D265="","missing move_reason; ","")&amp;IF(I265="","missing branch_id; ","")&amp;IF(L265="","missing first_name; ","")&amp;IF(M265="","missing last_name; ","")&amp;IF(U265="","missing status; ","")&amp;IF(AND(B265&lt;&gt;"",COUNTIF('الزبائن'!$A$6:$A$505,B265)=0),"source key not found; ","")&amp;IF((COUNTIFS('أرقام التواصل'!$A$6:$A$505,"proposed_name",'أرقام التواصل'!$B$6:$B$505,A265,'أرقام التواصل'!$I$6:$I$505,"TRUE")+COUNTIFS('أرقام التواصل'!$A$6:$A$505,"proposed_name",'أرقام التواصل'!$B$6:$B$505,A265,'أرقام التواصل'!$C$6:$C$505,1))=0,"missing primary contact in أرقام التواصل; ","")&amp;IF(AND(W265="TRUE",X265=""),"duplicate_type required when duplicate_flag TRUE; ","")))))</x:f>
      </x:c>
    </x:row>
    <x:row r="266">
      <x:c r="A266" s="302"/>
      <x:c r="B266" s="252"/>
      <x:c r="C266" s="253"/>
      <x:c r="D266" s="253"/>
      <x:c r="E266" s="253"/>
      <x:c r="F266" s="252"/>
      <x:c r="G266" s="253"/>
      <x:c r="H266" s="272"/>
      <x:c r="I266" s="253"/>
      <x:c r="J266" s="253"/>
      <x:c r="K266" s="253"/>
      <x:c r="L266" s="253"/>
      <x:c r="M266" s="253"/>
      <x:c r="N266" s="253"/>
      <x:c r="O266" s="253" t="str">
        <x:f>IF(TRIM(L266&amp;" "&amp;M266&amp;IF(N266&lt;&gt;""," ("&amp;N266&amp;")",""))="","",TRIM(L266&amp;" "&amp;M266&amp;IF(N266&lt;&gt;""," ("&amp;N266&amp;")","")))</x:f>
      </x:c>
      <x:c r="P266" s="253"/>
      <x:c r="Q266" s="252"/>
      <x:c r="R266" s="253"/>
      <x:c r="S266" s="253"/>
      <x:c r="T266" s="253"/>
      <x:c r="U266" s="253"/>
      <x:c r="V266" s="253"/>
      <x:c r="W266" s="253"/>
      <x:c r="X266" s="253"/>
      <x:c r="Y266" s="252"/>
      <x:c r="Z266" s="252"/>
      <x:c r="AA266" s="253"/>
      <x:c r="AB266" s="253" t="str">
        <x:f>IF(B266="","",IFERROR(INDEX('الزبائن'!$BA$6:$BA$505,MATCH(B266,'الزبائن'!$A$6:$A$505,0)),"source key not found"))</x:f>
      </x:c>
      <x:c r="AC266" s="253" t="str">
        <x:f>IF(B266="","",IFERROR(INDEX('الزبائن'!$BB$6:$BB$505,MATCH(B266,'الزبائن'!$A$6:$A$505,0)),"source key not found"))</x:f>
      </x:c>
      <x:c r="AD266" s="253" t="str">
        <x:f>IF(AND(A266="",C266="",D266="",I266="",L266="",M266=""),"",IF(C266="skip","SKIP",IF(OR(A266="",C266="",D266="",I266="",L266="",M266="",U266="",COUNTIF($A$6:$A$505,A266)&gt;1,AND(B266&lt;&gt;"",COUNTIF('الزبائن'!$A$6:$A$505,B266)=0),(COUNTIFS('أرقام التواصل'!$A$6:$A$505,"proposed_name",'أرقام التواصل'!$B$6:$B$505,A266,'أرقام التواصل'!$I$6:$I$505,"TRUE")+COUNTIFS('أرقام التواصل'!$A$6:$A$505,"proposed_name",'أرقام التواصل'!$B$6:$B$505,A266,'أرقام التواصل'!$C$6:$C$505,1))=0,AND(W266="TRUE",X266="")),"REVIEW","READY")))</x:f>
      </x:c>
      <x:c r="AE266" s="255" t="str">
        <x:f>IF(AD266="","",IF(AD266="READY","",IF(AD266="SKIP","Skipped by candidate_import_action",TRIM(IF(A266="","missing proposed_name_key; ","")&amp;IF(AND(A266&lt;&gt;"",COUNTIF($A$6:$A$505,A266)&gt;1),"duplicate proposed_name_key; ","")&amp;IF(C266="","missing candidate_import_action; ","")&amp;IF(D266="","missing move_reason; ","")&amp;IF(I266="","missing branch_id; ","")&amp;IF(L266="","missing first_name; ","")&amp;IF(M266="","missing last_name; ","")&amp;IF(U266="","missing status; ","")&amp;IF(AND(B266&lt;&gt;"",COUNTIF('الزبائن'!$A$6:$A$505,B266)=0),"source key not found; ","")&amp;IF((COUNTIFS('أرقام التواصل'!$A$6:$A$505,"proposed_name",'أرقام التواصل'!$B$6:$B$505,A266,'أرقام التواصل'!$I$6:$I$505,"TRUE")+COUNTIFS('أرقام التواصل'!$A$6:$A$505,"proposed_name",'أرقام التواصل'!$B$6:$B$505,A266,'أرقام التواصل'!$C$6:$C$505,1))=0,"missing primary contact in أرقام التواصل; ","")&amp;IF(AND(W266="TRUE",X266=""),"duplicate_type required when duplicate_flag TRUE; ","")))))</x:f>
      </x:c>
    </x:row>
    <x:row r="267">
      <x:c r="A267" s="302"/>
      <x:c r="B267" s="252"/>
      <x:c r="C267" s="253"/>
      <x:c r="D267" s="253"/>
      <x:c r="E267" s="253"/>
      <x:c r="F267" s="252"/>
      <x:c r="G267" s="253"/>
      <x:c r="H267" s="272"/>
      <x:c r="I267" s="253"/>
      <x:c r="J267" s="253"/>
      <x:c r="K267" s="253"/>
      <x:c r="L267" s="253"/>
      <x:c r="M267" s="253"/>
      <x:c r="N267" s="253"/>
      <x:c r="O267" s="253" t="str">
        <x:f>IF(TRIM(L267&amp;" "&amp;M267&amp;IF(N267&lt;&gt;""," ("&amp;N267&amp;")",""))="","",TRIM(L267&amp;" "&amp;M267&amp;IF(N267&lt;&gt;""," ("&amp;N267&amp;")","")))</x:f>
      </x:c>
      <x:c r="P267" s="253"/>
      <x:c r="Q267" s="252"/>
      <x:c r="R267" s="253"/>
      <x:c r="S267" s="253"/>
      <x:c r="T267" s="253"/>
      <x:c r="U267" s="253"/>
      <x:c r="V267" s="253"/>
      <x:c r="W267" s="253"/>
      <x:c r="X267" s="253"/>
      <x:c r="Y267" s="252"/>
      <x:c r="Z267" s="252"/>
      <x:c r="AA267" s="253"/>
      <x:c r="AB267" s="253" t="str">
        <x:f>IF(B267="","",IFERROR(INDEX('الزبائن'!$BA$6:$BA$505,MATCH(B267,'الزبائن'!$A$6:$A$505,0)),"source key not found"))</x:f>
      </x:c>
      <x:c r="AC267" s="253" t="str">
        <x:f>IF(B267="","",IFERROR(INDEX('الزبائن'!$BB$6:$BB$505,MATCH(B267,'الزبائن'!$A$6:$A$505,0)),"source key not found"))</x:f>
      </x:c>
      <x:c r="AD267" s="253" t="str">
        <x:f>IF(AND(A267="",C267="",D267="",I267="",L267="",M267=""),"",IF(C267="skip","SKIP",IF(OR(A267="",C267="",D267="",I267="",L267="",M267="",U267="",COUNTIF($A$6:$A$505,A267)&gt;1,AND(B267&lt;&gt;"",COUNTIF('الزبائن'!$A$6:$A$505,B267)=0),(COUNTIFS('أرقام التواصل'!$A$6:$A$505,"proposed_name",'أرقام التواصل'!$B$6:$B$505,A267,'أرقام التواصل'!$I$6:$I$505,"TRUE")+COUNTIFS('أرقام التواصل'!$A$6:$A$505,"proposed_name",'أرقام التواصل'!$B$6:$B$505,A267,'أرقام التواصل'!$C$6:$C$505,1))=0,AND(W267="TRUE",X267="")),"REVIEW","READY")))</x:f>
      </x:c>
      <x:c r="AE267" s="255" t="str">
        <x:f>IF(AD267="","",IF(AD267="READY","",IF(AD267="SKIP","Skipped by candidate_import_action",TRIM(IF(A267="","missing proposed_name_key; ","")&amp;IF(AND(A267&lt;&gt;"",COUNTIF($A$6:$A$505,A267)&gt;1),"duplicate proposed_name_key; ","")&amp;IF(C267="","missing candidate_import_action; ","")&amp;IF(D267="","missing move_reason; ","")&amp;IF(I267="","missing branch_id; ","")&amp;IF(L267="","missing first_name; ","")&amp;IF(M267="","missing last_name; ","")&amp;IF(U267="","missing status; ","")&amp;IF(AND(B267&lt;&gt;"",COUNTIF('الزبائن'!$A$6:$A$505,B267)=0),"source key not found; ","")&amp;IF((COUNTIFS('أرقام التواصل'!$A$6:$A$505,"proposed_name",'أرقام التواصل'!$B$6:$B$505,A267,'أرقام التواصل'!$I$6:$I$505,"TRUE")+COUNTIFS('أرقام التواصل'!$A$6:$A$505,"proposed_name",'أرقام التواصل'!$B$6:$B$505,A267,'أرقام التواصل'!$C$6:$C$505,1))=0,"missing primary contact in أرقام التواصل; ","")&amp;IF(AND(W267="TRUE",X267=""),"duplicate_type required when duplicate_flag TRUE; ","")))))</x:f>
      </x:c>
    </x:row>
    <x:row r="268">
      <x:c r="A268" s="302"/>
      <x:c r="B268" s="252"/>
      <x:c r="C268" s="253"/>
      <x:c r="D268" s="253"/>
      <x:c r="E268" s="253"/>
      <x:c r="F268" s="252"/>
      <x:c r="G268" s="253"/>
      <x:c r="H268" s="272"/>
      <x:c r="I268" s="253"/>
      <x:c r="J268" s="253"/>
      <x:c r="K268" s="253"/>
      <x:c r="L268" s="253"/>
      <x:c r="M268" s="253"/>
      <x:c r="N268" s="253"/>
      <x:c r="O268" s="253" t="str">
        <x:f>IF(TRIM(L268&amp;" "&amp;M268&amp;IF(N268&lt;&gt;""," ("&amp;N268&amp;")",""))="","",TRIM(L268&amp;" "&amp;M268&amp;IF(N268&lt;&gt;""," ("&amp;N268&amp;")","")))</x:f>
      </x:c>
      <x:c r="P268" s="253"/>
      <x:c r="Q268" s="252"/>
      <x:c r="R268" s="253"/>
      <x:c r="S268" s="253"/>
      <x:c r="T268" s="253"/>
      <x:c r="U268" s="253"/>
      <x:c r="V268" s="253"/>
      <x:c r="W268" s="253"/>
      <x:c r="X268" s="253"/>
      <x:c r="Y268" s="252"/>
      <x:c r="Z268" s="252"/>
      <x:c r="AA268" s="253"/>
      <x:c r="AB268" s="253" t="str">
        <x:f>IF(B268="","",IFERROR(INDEX('الزبائن'!$BA$6:$BA$505,MATCH(B268,'الزبائن'!$A$6:$A$505,0)),"source key not found"))</x:f>
      </x:c>
      <x:c r="AC268" s="253" t="str">
        <x:f>IF(B268="","",IFERROR(INDEX('الزبائن'!$BB$6:$BB$505,MATCH(B268,'الزبائن'!$A$6:$A$505,0)),"source key not found"))</x:f>
      </x:c>
      <x:c r="AD268" s="253" t="str">
        <x:f>IF(AND(A268="",C268="",D268="",I268="",L268="",M268=""),"",IF(C268="skip","SKIP",IF(OR(A268="",C268="",D268="",I268="",L268="",M268="",U268="",COUNTIF($A$6:$A$505,A268)&gt;1,AND(B268&lt;&gt;"",COUNTIF('الزبائن'!$A$6:$A$505,B268)=0),(COUNTIFS('أرقام التواصل'!$A$6:$A$505,"proposed_name",'أرقام التواصل'!$B$6:$B$505,A268,'أرقام التواصل'!$I$6:$I$505,"TRUE")+COUNTIFS('أرقام التواصل'!$A$6:$A$505,"proposed_name",'أرقام التواصل'!$B$6:$B$505,A268,'أرقام التواصل'!$C$6:$C$505,1))=0,AND(W268="TRUE",X268="")),"REVIEW","READY")))</x:f>
      </x:c>
      <x:c r="AE268" s="255" t="str">
        <x:f>IF(AD268="","",IF(AD268="READY","",IF(AD268="SKIP","Skipped by candidate_import_action",TRIM(IF(A268="","missing proposed_name_key; ","")&amp;IF(AND(A268&lt;&gt;"",COUNTIF($A$6:$A$505,A268)&gt;1),"duplicate proposed_name_key; ","")&amp;IF(C268="","missing candidate_import_action; ","")&amp;IF(D268="","missing move_reason; ","")&amp;IF(I268="","missing branch_id; ","")&amp;IF(L268="","missing first_name; ","")&amp;IF(M268="","missing last_name; ","")&amp;IF(U268="","missing status; ","")&amp;IF(AND(B268&lt;&gt;"",COUNTIF('الزبائن'!$A$6:$A$505,B268)=0),"source key not found; ","")&amp;IF((COUNTIFS('أرقام التواصل'!$A$6:$A$505,"proposed_name",'أرقام التواصل'!$B$6:$B$505,A268,'أرقام التواصل'!$I$6:$I$505,"TRUE")+COUNTIFS('أرقام التواصل'!$A$6:$A$505,"proposed_name",'أرقام التواصل'!$B$6:$B$505,A268,'أرقام التواصل'!$C$6:$C$505,1))=0,"missing primary contact in أرقام التواصل; ","")&amp;IF(AND(W268="TRUE",X268=""),"duplicate_type required when duplicate_flag TRUE; ","")))))</x:f>
      </x:c>
    </x:row>
    <x:row r="269">
      <x:c r="A269" s="302"/>
      <x:c r="B269" s="252"/>
      <x:c r="C269" s="253"/>
      <x:c r="D269" s="253"/>
      <x:c r="E269" s="253"/>
      <x:c r="F269" s="252"/>
      <x:c r="G269" s="253"/>
      <x:c r="H269" s="272"/>
      <x:c r="I269" s="253"/>
      <x:c r="J269" s="253"/>
      <x:c r="K269" s="253"/>
      <x:c r="L269" s="253"/>
      <x:c r="M269" s="253"/>
      <x:c r="N269" s="253"/>
      <x:c r="O269" s="253" t="str">
        <x:f>IF(TRIM(L269&amp;" "&amp;M269&amp;IF(N269&lt;&gt;""," ("&amp;N269&amp;")",""))="","",TRIM(L269&amp;" "&amp;M269&amp;IF(N269&lt;&gt;""," ("&amp;N269&amp;")","")))</x:f>
      </x:c>
      <x:c r="P269" s="253"/>
      <x:c r="Q269" s="252"/>
      <x:c r="R269" s="253"/>
      <x:c r="S269" s="253"/>
      <x:c r="T269" s="253"/>
      <x:c r="U269" s="253"/>
      <x:c r="V269" s="253"/>
      <x:c r="W269" s="253"/>
      <x:c r="X269" s="253"/>
      <x:c r="Y269" s="252"/>
      <x:c r="Z269" s="252"/>
      <x:c r="AA269" s="253"/>
      <x:c r="AB269" s="253" t="str">
        <x:f>IF(B269="","",IFERROR(INDEX('الزبائن'!$BA$6:$BA$505,MATCH(B269,'الزبائن'!$A$6:$A$505,0)),"source key not found"))</x:f>
      </x:c>
      <x:c r="AC269" s="253" t="str">
        <x:f>IF(B269="","",IFERROR(INDEX('الزبائن'!$BB$6:$BB$505,MATCH(B269,'الزبائن'!$A$6:$A$505,0)),"source key not found"))</x:f>
      </x:c>
      <x:c r="AD269" s="253" t="str">
        <x:f>IF(AND(A269="",C269="",D269="",I269="",L269="",M269=""),"",IF(C269="skip","SKIP",IF(OR(A269="",C269="",D269="",I269="",L269="",M269="",U269="",COUNTIF($A$6:$A$505,A269)&gt;1,AND(B269&lt;&gt;"",COUNTIF('الزبائن'!$A$6:$A$505,B269)=0),(COUNTIFS('أرقام التواصل'!$A$6:$A$505,"proposed_name",'أرقام التواصل'!$B$6:$B$505,A269,'أرقام التواصل'!$I$6:$I$505,"TRUE")+COUNTIFS('أرقام التواصل'!$A$6:$A$505,"proposed_name",'أرقام التواصل'!$B$6:$B$505,A269,'أرقام التواصل'!$C$6:$C$505,1))=0,AND(W269="TRUE",X269="")),"REVIEW","READY")))</x:f>
      </x:c>
      <x:c r="AE269" s="255" t="str">
        <x:f>IF(AD269="","",IF(AD269="READY","",IF(AD269="SKIP","Skipped by candidate_import_action",TRIM(IF(A269="","missing proposed_name_key; ","")&amp;IF(AND(A269&lt;&gt;"",COUNTIF($A$6:$A$505,A269)&gt;1),"duplicate proposed_name_key; ","")&amp;IF(C269="","missing candidate_import_action; ","")&amp;IF(D269="","missing move_reason; ","")&amp;IF(I269="","missing branch_id; ","")&amp;IF(L269="","missing first_name; ","")&amp;IF(M269="","missing last_name; ","")&amp;IF(U269="","missing status; ","")&amp;IF(AND(B269&lt;&gt;"",COUNTIF('الزبائن'!$A$6:$A$505,B269)=0),"source key not found; ","")&amp;IF((COUNTIFS('أرقام التواصل'!$A$6:$A$505,"proposed_name",'أرقام التواصل'!$B$6:$B$505,A269,'أرقام التواصل'!$I$6:$I$505,"TRUE")+COUNTIFS('أرقام التواصل'!$A$6:$A$505,"proposed_name",'أرقام التواصل'!$B$6:$B$505,A269,'أرقام التواصل'!$C$6:$C$505,1))=0,"missing primary contact in أرقام التواصل; ","")&amp;IF(AND(W269="TRUE",X269=""),"duplicate_type required when duplicate_flag TRUE; ","")))))</x:f>
      </x:c>
    </x:row>
    <x:row r="270">
      <x:c r="A270" s="302"/>
      <x:c r="B270" s="252"/>
      <x:c r="C270" s="253"/>
      <x:c r="D270" s="253"/>
      <x:c r="E270" s="253"/>
      <x:c r="F270" s="252"/>
      <x:c r="G270" s="253"/>
      <x:c r="H270" s="272"/>
      <x:c r="I270" s="253"/>
      <x:c r="J270" s="253"/>
      <x:c r="K270" s="253"/>
      <x:c r="L270" s="253"/>
      <x:c r="M270" s="253"/>
      <x:c r="N270" s="253"/>
      <x:c r="O270" s="253" t="str">
        <x:f>IF(TRIM(L270&amp;" "&amp;M270&amp;IF(N270&lt;&gt;""," ("&amp;N270&amp;")",""))="","",TRIM(L270&amp;" "&amp;M270&amp;IF(N270&lt;&gt;""," ("&amp;N270&amp;")","")))</x:f>
      </x:c>
      <x:c r="P270" s="253"/>
      <x:c r="Q270" s="252"/>
      <x:c r="R270" s="253"/>
      <x:c r="S270" s="253"/>
      <x:c r="T270" s="253"/>
      <x:c r="U270" s="253"/>
      <x:c r="V270" s="253"/>
      <x:c r="W270" s="253"/>
      <x:c r="X270" s="253"/>
      <x:c r="Y270" s="252"/>
      <x:c r="Z270" s="252"/>
      <x:c r="AA270" s="253"/>
      <x:c r="AB270" s="253" t="str">
        <x:f>IF(B270="","",IFERROR(INDEX('الزبائن'!$BA$6:$BA$505,MATCH(B270,'الزبائن'!$A$6:$A$505,0)),"source key not found"))</x:f>
      </x:c>
      <x:c r="AC270" s="253" t="str">
        <x:f>IF(B270="","",IFERROR(INDEX('الزبائن'!$BB$6:$BB$505,MATCH(B270,'الزبائن'!$A$6:$A$505,0)),"source key not found"))</x:f>
      </x:c>
      <x:c r="AD270" s="253" t="str">
        <x:f>IF(AND(A270="",C270="",D270="",I270="",L270="",M270=""),"",IF(C270="skip","SKIP",IF(OR(A270="",C270="",D270="",I270="",L270="",M270="",U270="",COUNTIF($A$6:$A$505,A270)&gt;1,AND(B270&lt;&gt;"",COUNTIF('الزبائن'!$A$6:$A$505,B270)=0),(COUNTIFS('أرقام التواصل'!$A$6:$A$505,"proposed_name",'أرقام التواصل'!$B$6:$B$505,A270,'أرقام التواصل'!$I$6:$I$505,"TRUE")+COUNTIFS('أرقام التواصل'!$A$6:$A$505,"proposed_name",'أرقام التواصل'!$B$6:$B$505,A270,'أرقام التواصل'!$C$6:$C$505,1))=0,AND(W270="TRUE",X270="")),"REVIEW","READY")))</x:f>
      </x:c>
      <x:c r="AE270" s="255" t="str">
        <x:f>IF(AD270="","",IF(AD270="READY","",IF(AD270="SKIP","Skipped by candidate_import_action",TRIM(IF(A270="","missing proposed_name_key; ","")&amp;IF(AND(A270&lt;&gt;"",COUNTIF($A$6:$A$505,A270)&gt;1),"duplicate proposed_name_key; ","")&amp;IF(C270="","missing candidate_import_action; ","")&amp;IF(D270="","missing move_reason; ","")&amp;IF(I270="","missing branch_id; ","")&amp;IF(L270="","missing first_name; ","")&amp;IF(M270="","missing last_name; ","")&amp;IF(U270="","missing status; ","")&amp;IF(AND(B270&lt;&gt;"",COUNTIF('الزبائن'!$A$6:$A$505,B270)=0),"source key not found; ","")&amp;IF((COUNTIFS('أرقام التواصل'!$A$6:$A$505,"proposed_name",'أرقام التواصل'!$B$6:$B$505,A270,'أرقام التواصل'!$I$6:$I$505,"TRUE")+COUNTIFS('أرقام التواصل'!$A$6:$A$505,"proposed_name",'أرقام التواصل'!$B$6:$B$505,A270,'أرقام التواصل'!$C$6:$C$505,1))=0,"missing primary contact in أرقام التواصل; ","")&amp;IF(AND(W270="TRUE",X270=""),"duplicate_type required when duplicate_flag TRUE; ","")))))</x:f>
      </x:c>
    </x:row>
    <x:row r="271">
      <x:c r="A271" s="302"/>
      <x:c r="B271" s="252"/>
      <x:c r="C271" s="253"/>
      <x:c r="D271" s="253"/>
      <x:c r="E271" s="253"/>
      <x:c r="F271" s="252"/>
      <x:c r="G271" s="253"/>
      <x:c r="H271" s="272"/>
      <x:c r="I271" s="253"/>
      <x:c r="J271" s="253"/>
      <x:c r="K271" s="253"/>
      <x:c r="L271" s="253"/>
      <x:c r="M271" s="253"/>
      <x:c r="N271" s="253"/>
      <x:c r="O271" s="253" t="str">
        <x:f>IF(TRIM(L271&amp;" "&amp;M271&amp;IF(N271&lt;&gt;""," ("&amp;N271&amp;")",""))="","",TRIM(L271&amp;" "&amp;M271&amp;IF(N271&lt;&gt;""," ("&amp;N271&amp;")","")))</x:f>
      </x:c>
      <x:c r="P271" s="253"/>
      <x:c r="Q271" s="252"/>
      <x:c r="R271" s="253"/>
      <x:c r="S271" s="253"/>
      <x:c r="T271" s="253"/>
      <x:c r="U271" s="253"/>
      <x:c r="V271" s="253"/>
      <x:c r="W271" s="253"/>
      <x:c r="X271" s="253"/>
      <x:c r="Y271" s="252"/>
      <x:c r="Z271" s="252"/>
      <x:c r="AA271" s="253"/>
      <x:c r="AB271" s="253" t="str">
        <x:f>IF(B271="","",IFERROR(INDEX('الزبائن'!$BA$6:$BA$505,MATCH(B271,'الزبائن'!$A$6:$A$505,0)),"source key not found"))</x:f>
      </x:c>
      <x:c r="AC271" s="253" t="str">
        <x:f>IF(B271="","",IFERROR(INDEX('الزبائن'!$BB$6:$BB$505,MATCH(B271,'الزبائن'!$A$6:$A$505,0)),"source key not found"))</x:f>
      </x:c>
      <x:c r="AD271" s="253" t="str">
        <x:f>IF(AND(A271="",C271="",D271="",I271="",L271="",M271=""),"",IF(C271="skip","SKIP",IF(OR(A271="",C271="",D271="",I271="",L271="",M271="",U271="",COUNTIF($A$6:$A$505,A271)&gt;1,AND(B271&lt;&gt;"",COUNTIF('الزبائن'!$A$6:$A$505,B271)=0),(COUNTIFS('أرقام التواصل'!$A$6:$A$505,"proposed_name",'أرقام التواصل'!$B$6:$B$505,A271,'أرقام التواصل'!$I$6:$I$505,"TRUE")+COUNTIFS('أرقام التواصل'!$A$6:$A$505,"proposed_name",'أرقام التواصل'!$B$6:$B$505,A271,'أرقام التواصل'!$C$6:$C$505,1))=0,AND(W271="TRUE",X271="")),"REVIEW","READY")))</x:f>
      </x:c>
      <x:c r="AE271" s="255" t="str">
        <x:f>IF(AD271="","",IF(AD271="READY","",IF(AD271="SKIP","Skipped by candidate_import_action",TRIM(IF(A271="","missing proposed_name_key; ","")&amp;IF(AND(A271&lt;&gt;"",COUNTIF($A$6:$A$505,A271)&gt;1),"duplicate proposed_name_key; ","")&amp;IF(C271="","missing candidate_import_action; ","")&amp;IF(D271="","missing move_reason; ","")&amp;IF(I271="","missing branch_id; ","")&amp;IF(L271="","missing first_name; ","")&amp;IF(M271="","missing last_name; ","")&amp;IF(U271="","missing status; ","")&amp;IF(AND(B271&lt;&gt;"",COUNTIF('الزبائن'!$A$6:$A$505,B271)=0),"source key not found; ","")&amp;IF((COUNTIFS('أرقام التواصل'!$A$6:$A$505,"proposed_name",'أرقام التواصل'!$B$6:$B$505,A271,'أرقام التواصل'!$I$6:$I$505,"TRUE")+COUNTIFS('أرقام التواصل'!$A$6:$A$505,"proposed_name",'أرقام التواصل'!$B$6:$B$505,A271,'أرقام التواصل'!$C$6:$C$505,1))=0,"missing primary contact in أرقام التواصل; ","")&amp;IF(AND(W271="TRUE",X271=""),"duplicate_type required when duplicate_flag TRUE; ","")))))</x:f>
      </x:c>
    </x:row>
    <x:row r="272">
      <x:c r="A272" s="302"/>
      <x:c r="B272" s="252"/>
      <x:c r="C272" s="253"/>
      <x:c r="D272" s="253"/>
      <x:c r="E272" s="253"/>
      <x:c r="F272" s="252"/>
      <x:c r="G272" s="253"/>
      <x:c r="H272" s="272"/>
      <x:c r="I272" s="253"/>
      <x:c r="J272" s="253"/>
      <x:c r="K272" s="253"/>
      <x:c r="L272" s="253"/>
      <x:c r="M272" s="253"/>
      <x:c r="N272" s="253"/>
      <x:c r="O272" s="253" t="str">
        <x:f>IF(TRIM(L272&amp;" "&amp;M272&amp;IF(N272&lt;&gt;""," ("&amp;N272&amp;")",""))="","",TRIM(L272&amp;" "&amp;M272&amp;IF(N272&lt;&gt;""," ("&amp;N272&amp;")","")))</x:f>
      </x:c>
      <x:c r="P272" s="253"/>
      <x:c r="Q272" s="252"/>
      <x:c r="R272" s="253"/>
      <x:c r="S272" s="253"/>
      <x:c r="T272" s="253"/>
      <x:c r="U272" s="253"/>
      <x:c r="V272" s="253"/>
      <x:c r="W272" s="253"/>
      <x:c r="X272" s="253"/>
      <x:c r="Y272" s="252"/>
      <x:c r="Z272" s="252"/>
      <x:c r="AA272" s="253"/>
      <x:c r="AB272" s="253" t="str">
        <x:f>IF(B272="","",IFERROR(INDEX('الزبائن'!$BA$6:$BA$505,MATCH(B272,'الزبائن'!$A$6:$A$505,0)),"source key not found"))</x:f>
      </x:c>
      <x:c r="AC272" s="253" t="str">
        <x:f>IF(B272="","",IFERROR(INDEX('الزبائن'!$BB$6:$BB$505,MATCH(B272,'الزبائن'!$A$6:$A$505,0)),"source key not found"))</x:f>
      </x:c>
      <x:c r="AD272" s="253" t="str">
        <x:f>IF(AND(A272="",C272="",D272="",I272="",L272="",M272=""),"",IF(C272="skip","SKIP",IF(OR(A272="",C272="",D272="",I272="",L272="",M272="",U272="",COUNTIF($A$6:$A$505,A272)&gt;1,AND(B272&lt;&gt;"",COUNTIF('الزبائن'!$A$6:$A$505,B272)=0),(COUNTIFS('أرقام التواصل'!$A$6:$A$505,"proposed_name",'أرقام التواصل'!$B$6:$B$505,A272,'أرقام التواصل'!$I$6:$I$505,"TRUE")+COUNTIFS('أرقام التواصل'!$A$6:$A$505,"proposed_name",'أرقام التواصل'!$B$6:$B$505,A272,'أرقام التواصل'!$C$6:$C$505,1))=0,AND(W272="TRUE",X272="")),"REVIEW","READY")))</x:f>
      </x:c>
      <x:c r="AE272" s="255" t="str">
        <x:f>IF(AD272="","",IF(AD272="READY","",IF(AD272="SKIP","Skipped by candidate_import_action",TRIM(IF(A272="","missing proposed_name_key; ","")&amp;IF(AND(A272&lt;&gt;"",COUNTIF($A$6:$A$505,A272)&gt;1),"duplicate proposed_name_key; ","")&amp;IF(C272="","missing candidate_import_action; ","")&amp;IF(D272="","missing move_reason; ","")&amp;IF(I272="","missing branch_id; ","")&amp;IF(L272="","missing first_name; ","")&amp;IF(M272="","missing last_name; ","")&amp;IF(U272="","missing status; ","")&amp;IF(AND(B272&lt;&gt;"",COUNTIF('الزبائن'!$A$6:$A$505,B272)=0),"source key not found; ","")&amp;IF((COUNTIFS('أرقام التواصل'!$A$6:$A$505,"proposed_name",'أرقام التواصل'!$B$6:$B$505,A272,'أرقام التواصل'!$I$6:$I$505,"TRUE")+COUNTIFS('أرقام التواصل'!$A$6:$A$505,"proposed_name",'أرقام التواصل'!$B$6:$B$505,A272,'أرقام التواصل'!$C$6:$C$505,1))=0,"missing primary contact in أرقام التواصل; ","")&amp;IF(AND(W272="TRUE",X272=""),"duplicate_type required when duplicate_flag TRUE; ","")))))</x:f>
      </x:c>
    </x:row>
    <x:row r="273">
      <x:c r="A273" s="302"/>
      <x:c r="B273" s="252"/>
      <x:c r="C273" s="253"/>
      <x:c r="D273" s="253"/>
      <x:c r="E273" s="253"/>
      <x:c r="F273" s="252"/>
      <x:c r="G273" s="253"/>
      <x:c r="H273" s="272"/>
      <x:c r="I273" s="253"/>
      <x:c r="J273" s="253"/>
      <x:c r="K273" s="253"/>
      <x:c r="L273" s="253"/>
      <x:c r="M273" s="253"/>
      <x:c r="N273" s="253"/>
      <x:c r="O273" s="253" t="str">
        <x:f>IF(TRIM(L273&amp;" "&amp;M273&amp;IF(N273&lt;&gt;""," ("&amp;N273&amp;")",""))="","",TRIM(L273&amp;" "&amp;M273&amp;IF(N273&lt;&gt;""," ("&amp;N273&amp;")","")))</x:f>
      </x:c>
      <x:c r="P273" s="253"/>
      <x:c r="Q273" s="252"/>
      <x:c r="R273" s="253"/>
      <x:c r="S273" s="253"/>
      <x:c r="T273" s="253"/>
      <x:c r="U273" s="253"/>
      <x:c r="V273" s="253"/>
      <x:c r="W273" s="253"/>
      <x:c r="X273" s="253"/>
      <x:c r="Y273" s="252"/>
      <x:c r="Z273" s="252"/>
      <x:c r="AA273" s="253"/>
      <x:c r="AB273" s="253" t="str">
        <x:f>IF(B273="","",IFERROR(INDEX('الزبائن'!$BA$6:$BA$505,MATCH(B273,'الزبائن'!$A$6:$A$505,0)),"source key not found"))</x:f>
      </x:c>
      <x:c r="AC273" s="253" t="str">
        <x:f>IF(B273="","",IFERROR(INDEX('الزبائن'!$BB$6:$BB$505,MATCH(B273,'الزبائن'!$A$6:$A$505,0)),"source key not found"))</x:f>
      </x:c>
      <x:c r="AD273" s="253" t="str">
        <x:f>IF(AND(A273="",C273="",D273="",I273="",L273="",M273=""),"",IF(C273="skip","SKIP",IF(OR(A273="",C273="",D273="",I273="",L273="",M273="",U273="",COUNTIF($A$6:$A$505,A273)&gt;1,AND(B273&lt;&gt;"",COUNTIF('الزبائن'!$A$6:$A$505,B273)=0),(COUNTIFS('أرقام التواصل'!$A$6:$A$505,"proposed_name",'أرقام التواصل'!$B$6:$B$505,A273,'أرقام التواصل'!$I$6:$I$505,"TRUE")+COUNTIFS('أرقام التواصل'!$A$6:$A$505,"proposed_name",'أرقام التواصل'!$B$6:$B$505,A273,'أرقام التواصل'!$C$6:$C$505,1))=0,AND(W273="TRUE",X273="")),"REVIEW","READY")))</x:f>
      </x:c>
      <x:c r="AE273" s="255" t="str">
        <x:f>IF(AD273="","",IF(AD273="READY","",IF(AD273="SKIP","Skipped by candidate_import_action",TRIM(IF(A273="","missing proposed_name_key; ","")&amp;IF(AND(A273&lt;&gt;"",COUNTIF($A$6:$A$505,A273)&gt;1),"duplicate proposed_name_key; ","")&amp;IF(C273="","missing candidate_import_action; ","")&amp;IF(D273="","missing move_reason; ","")&amp;IF(I273="","missing branch_id; ","")&amp;IF(L273="","missing first_name; ","")&amp;IF(M273="","missing last_name; ","")&amp;IF(U273="","missing status; ","")&amp;IF(AND(B273&lt;&gt;"",COUNTIF('الزبائن'!$A$6:$A$505,B273)=0),"source key not found; ","")&amp;IF((COUNTIFS('أرقام التواصل'!$A$6:$A$505,"proposed_name",'أرقام التواصل'!$B$6:$B$505,A273,'أرقام التواصل'!$I$6:$I$505,"TRUE")+COUNTIFS('أرقام التواصل'!$A$6:$A$505,"proposed_name",'أرقام التواصل'!$B$6:$B$505,A273,'أرقام التواصل'!$C$6:$C$505,1))=0,"missing primary contact in أرقام التواصل; ","")&amp;IF(AND(W273="TRUE",X273=""),"duplicate_type required when duplicate_flag TRUE; ","")))))</x:f>
      </x:c>
    </x:row>
    <x:row r="274">
      <x:c r="A274" s="302"/>
      <x:c r="B274" s="252"/>
      <x:c r="C274" s="253"/>
      <x:c r="D274" s="253"/>
      <x:c r="E274" s="253"/>
      <x:c r="F274" s="252"/>
      <x:c r="G274" s="253"/>
      <x:c r="H274" s="272"/>
      <x:c r="I274" s="253"/>
      <x:c r="J274" s="253"/>
      <x:c r="K274" s="253"/>
      <x:c r="L274" s="253"/>
      <x:c r="M274" s="253"/>
      <x:c r="N274" s="253"/>
      <x:c r="O274" s="253" t="str">
        <x:f>IF(TRIM(L274&amp;" "&amp;M274&amp;IF(N274&lt;&gt;""," ("&amp;N274&amp;")",""))="","",TRIM(L274&amp;" "&amp;M274&amp;IF(N274&lt;&gt;""," ("&amp;N274&amp;")","")))</x:f>
      </x:c>
      <x:c r="P274" s="253"/>
      <x:c r="Q274" s="252"/>
      <x:c r="R274" s="253"/>
      <x:c r="S274" s="253"/>
      <x:c r="T274" s="253"/>
      <x:c r="U274" s="253"/>
      <x:c r="V274" s="253"/>
      <x:c r="W274" s="253"/>
      <x:c r="X274" s="253"/>
      <x:c r="Y274" s="252"/>
      <x:c r="Z274" s="252"/>
      <x:c r="AA274" s="253"/>
      <x:c r="AB274" s="253" t="str">
        <x:f>IF(B274="","",IFERROR(INDEX('الزبائن'!$BA$6:$BA$505,MATCH(B274,'الزبائن'!$A$6:$A$505,0)),"source key not found"))</x:f>
      </x:c>
      <x:c r="AC274" s="253" t="str">
        <x:f>IF(B274="","",IFERROR(INDEX('الزبائن'!$BB$6:$BB$505,MATCH(B274,'الزبائن'!$A$6:$A$505,0)),"source key not found"))</x:f>
      </x:c>
      <x:c r="AD274" s="253" t="str">
        <x:f>IF(AND(A274="",C274="",D274="",I274="",L274="",M274=""),"",IF(C274="skip","SKIP",IF(OR(A274="",C274="",D274="",I274="",L274="",M274="",U274="",COUNTIF($A$6:$A$505,A274)&gt;1,AND(B274&lt;&gt;"",COUNTIF('الزبائن'!$A$6:$A$505,B274)=0),(COUNTIFS('أرقام التواصل'!$A$6:$A$505,"proposed_name",'أرقام التواصل'!$B$6:$B$505,A274,'أرقام التواصل'!$I$6:$I$505,"TRUE")+COUNTIFS('أرقام التواصل'!$A$6:$A$505,"proposed_name",'أرقام التواصل'!$B$6:$B$505,A274,'أرقام التواصل'!$C$6:$C$505,1))=0,AND(W274="TRUE",X274="")),"REVIEW","READY")))</x:f>
      </x:c>
      <x:c r="AE274" s="255" t="str">
        <x:f>IF(AD274="","",IF(AD274="READY","",IF(AD274="SKIP","Skipped by candidate_import_action",TRIM(IF(A274="","missing proposed_name_key; ","")&amp;IF(AND(A274&lt;&gt;"",COUNTIF($A$6:$A$505,A274)&gt;1),"duplicate proposed_name_key; ","")&amp;IF(C274="","missing candidate_import_action; ","")&amp;IF(D274="","missing move_reason; ","")&amp;IF(I274="","missing branch_id; ","")&amp;IF(L274="","missing first_name; ","")&amp;IF(M274="","missing last_name; ","")&amp;IF(U274="","missing status; ","")&amp;IF(AND(B274&lt;&gt;"",COUNTIF('الزبائن'!$A$6:$A$505,B274)=0),"source key not found; ","")&amp;IF((COUNTIFS('أرقام التواصل'!$A$6:$A$505,"proposed_name",'أرقام التواصل'!$B$6:$B$505,A274,'أرقام التواصل'!$I$6:$I$505,"TRUE")+COUNTIFS('أرقام التواصل'!$A$6:$A$505,"proposed_name",'أرقام التواصل'!$B$6:$B$505,A274,'أرقام التواصل'!$C$6:$C$505,1))=0,"missing primary contact in أرقام التواصل; ","")&amp;IF(AND(W274="TRUE",X274=""),"duplicate_type required when duplicate_flag TRUE; ","")))))</x:f>
      </x:c>
    </x:row>
    <x:row r="275">
      <x:c r="A275" s="302"/>
      <x:c r="B275" s="252"/>
      <x:c r="C275" s="253"/>
      <x:c r="D275" s="253"/>
      <x:c r="E275" s="253"/>
      <x:c r="F275" s="252"/>
      <x:c r="G275" s="253"/>
      <x:c r="H275" s="272"/>
      <x:c r="I275" s="253"/>
      <x:c r="J275" s="253"/>
      <x:c r="K275" s="253"/>
      <x:c r="L275" s="253"/>
      <x:c r="M275" s="253"/>
      <x:c r="N275" s="253"/>
      <x:c r="O275" s="253" t="str">
        <x:f>IF(TRIM(L275&amp;" "&amp;M275&amp;IF(N275&lt;&gt;""," ("&amp;N275&amp;")",""))="","",TRIM(L275&amp;" "&amp;M275&amp;IF(N275&lt;&gt;""," ("&amp;N275&amp;")","")))</x:f>
      </x:c>
      <x:c r="P275" s="253"/>
      <x:c r="Q275" s="252"/>
      <x:c r="R275" s="253"/>
      <x:c r="S275" s="253"/>
      <x:c r="T275" s="253"/>
      <x:c r="U275" s="253"/>
      <x:c r="V275" s="253"/>
      <x:c r="W275" s="253"/>
      <x:c r="X275" s="253"/>
      <x:c r="Y275" s="252"/>
      <x:c r="Z275" s="252"/>
      <x:c r="AA275" s="253"/>
      <x:c r="AB275" s="253" t="str">
        <x:f>IF(B275="","",IFERROR(INDEX('الزبائن'!$BA$6:$BA$505,MATCH(B275,'الزبائن'!$A$6:$A$505,0)),"source key not found"))</x:f>
      </x:c>
      <x:c r="AC275" s="253" t="str">
        <x:f>IF(B275="","",IFERROR(INDEX('الزبائن'!$BB$6:$BB$505,MATCH(B275,'الزبائن'!$A$6:$A$505,0)),"source key not found"))</x:f>
      </x:c>
      <x:c r="AD275" s="253" t="str">
        <x:f>IF(AND(A275="",C275="",D275="",I275="",L275="",M275=""),"",IF(C275="skip","SKIP",IF(OR(A275="",C275="",D275="",I275="",L275="",M275="",U275="",COUNTIF($A$6:$A$505,A275)&gt;1,AND(B275&lt;&gt;"",COUNTIF('الزبائن'!$A$6:$A$505,B275)=0),(COUNTIFS('أرقام التواصل'!$A$6:$A$505,"proposed_name",'أرقام التواصل'!$B$6:$B$505,A275,'أرقام التواصل'!$I$6:$I$505,"TRUE")+COUNTIFS('أرقام التواصل'!$A$6:$A$505,"proposed_name",'أرقام التواصل'!$B$6:$B$505,A275,'أرقام التواصل'!$C$6:$C$505,1))=0,AND(W275="TRUE",X275="")),"REVIEW","READY")))</x:f>
      </x:c>
      <x:c r="AE275" s="255" t="str">
        <x:f>IF(AD275="","",IF(AD275="READY","",IF(AD275="SKIP","Skipped by candidate_import_action",TRIM(IF(A275="","missing proposed_name_key; ","")&amp;IF(AND(A275&lt;&gt;"",COUNTIF($A$6:$A$505,A275)&gt;1),"duplicate proposed_name_key; ","")&amp;IF(C275="","missing candidate_import_action; ","")&amp;IF(D275="","missing move_reason; ","")&amp;IF(I275="","missing branch_id; ","")&amp;IF(L275="","missing first_name; ","")&amp;IF(M275="","missing last_name; ","")&amp;IF(U275="","missing status; ","")&amp;IF(AND(B275&lt;&gt;"",COUNTIF('الزبائن'!$A$6:$A$505,B275)=0),"source key not found; ","")&amp;IF((COUNTIFS('أرقام التواصل'!$A$6:$A$505,"proposed_name",'أرقام التواصل'!$B$6:$B$505,A275,'أرقام التواصل'!$I$6:$I$505,"TRUE")+COUNTIFS('أرقام التواصل'!$A$6:$A$505,"proposed_name",'أرقام التواصل'!$B$6:$B$505,A275,'أرقام التواصل'!$C$6:$C$505,1))=0,"missing primary contact in أرقام التواصل; ","")&amp;IF(AND(W275="TRUE",X275=""),"duplicate_type required when duplicate_flag TRUE; ","")))))</x:f>
      </x:c>
    </x:row>
    <x:row r="276">
      <x:c r="A276" s="302"/>
      <x:c r="B276" s="252"/>
      <x:c r="C276" s="253"/>
      <x:c r="D276" s="253"/>
      <x:c r="E276" s="253"/>
      <x:c r="F276" s="252"/>
      <x:c r="G276" s="253"/>
      <x:c r="H276" s="272"/>
      <x:c r="I276" s="253"/>
      <x:c r="J276" s="253"/>
      <x:c r="K276" s="253"/>
      <x:c r="L276" s="253"/>
      <x:c r="M276" s="253"/>
      <x:c r="N276" s="253"/>
      <x:c r="O276" s="253" t="str">
        <x:f>IF(TRIM(L276&amp;" "&amp;M276&amp;IF(N276&lt;&gt;""," ("&amp;N276&amp;")",""))="","",TRIM(L276&amp;" "&amp;M276&amp;IF(N276&lt;&gt;""," ("&amp;N276&amp;")","")))</x:f>
      </x:c>
      <x:c r="P276" s="253"/>
      <x:c r="Q276" s="252"/>
      <x:c r="R276" s="253"/>
      <x:c r="S276" s="253"/>
      <x:c r="T276" s="253"/>
      <x:c r="U276" s="253"/>
      <x:c r="V276" s="253"/>
      <x:c r="W276" s="253"/>
      <x:c r="X276" s="253"/>
      <x:c r="Y276" s="252"/>
      <x:c r="Z276" s="252"/>
      <x:c r="AA276" s="253"/>
      <x:c r="AB276" s="253" t="str">
        <x:f>IF(B276="","",IFERROR(INDEX('الزبائن'!$BA$6:$BA$505,MATCH(B276,'الزبائن'!$A$6:$A$505,0)),"source key not found"))</x:f>
      </x:c>
      <x:c r="AC276" s="253" t="str">
        <x:f>IF(B276="","",IFERROR(INDEX('الزبائن'!$BB$6:$BB$505,MATCH(B276,'الزبائن'!$A$6:$A$505,0)),"source key not found"))</x:f>
      </x:c>
      <x:c r="AD276" s="253" t="str">
        <x:f>IF(AND(A276="",C276="",D276="",I276="",L276="",M276=""),"",IF(C276="skip","SKIP",IF(OR(A276="",C276="",D276="",I276="",L276="",M276="",U276="",COUNTIF($A$6:$A$505,A276)&gt;1,AND(B276&lt;&gt;"",COUNTIF('الزبائن'!$A$6:$A$505,B276)=0),(COUNTIFS('أرقام التواصل'!$A$6:$A$505,"proposed_name",'أرقام التواصل'!$B$6:$B$505,A276,'أرقام التواصل'!$I$6:$I$505,"TRUE")+COUNTIFS('أرقام التواصل'!$A$6:$A$505,"proposed_name",'أرقام التواصل'!$B$6:$B$505,A276,'أرقام التواصل'!$C$6:$C$505,1))=0,AND(W276="TRUE",X276="")),"REVIEW","READY")))</x:f>
      </x:c>
      <x:c r="AE276" s="255" t="str">
        <x:f>IF(AD276="","",IF(AD276="READY","",IF(AD276="SKIP","Skipped by candidate_import_action",TRIM(IF(A276="","missing proposed_name_key; ","")&amp;IF(AND(A276&lt;&gt;"",COUNTIF($A$6:$A$505,A276)&gt;1),"duplicate proposed_name_key; ","")&amp;IF(C276="","missing candidate_import_action; ","")&amp;IF(D276="","missing move_reason; ","")&amp;IF(I276="","missing branch_id; ","")&amp;IF(L276="","missing first_name; ","")&amp;IF(M276="","missing last_name; ","")&amp;IF(U276="","missing status; ","")&amp;IF(AND(B276&lt;&gt;"",COUNTIF('الزبائن'!$A$6:$A$505,B276)=0),"source key not found; ","")&amp;IF((COUNTIFS('أرقام التواصل'!$A$6:$A$505,"proposed_name",'أرقام التواصل'!$B$6:$B$505,A276,'أرقام التواصل'!$I$6:$I$505,"TRUE")+COUNTIFS('أرقام التواصل'!$A$6:$A$505,"proposed_name",'أرقام التواصل'!$B$6:$B$505,A276,'أرقام التواصل'!$C$6:$C$505,1))=0,"missing primary contact in أرقام التواصل; ","")&amp;IF(AND(W276="TRUE",X276=""),"duplicate_type required when duplicate_flag TRUE; ","")))))</x:f>
      </x:c>
    </x:row>
    <x:row r="277">
      <x:c r="A277" s="302"/>
      <x:c r="B277" s="252"/>
      <x:c r="C277" s="253"/>
      <x:c r="D277" s="253"/>
      <x:c r="E277" s="253"/>
      <x:c r="F277" s="252"/>
      <x:c r="G277" s="253"/>
      <x:c r="H277" s="272"/>
      <x:c r="I277" s="253"/>
      <x:c r="J277" s="253"/>
      <x:c r="K277" s="253"/>
      <x:c r="L277" s="253"/>
      <x:c r="M277" s="253"/>
      <x:c r="N277" s="253"/>
      <x:c r="O277" s="253" t="str">
        <x:f>IF(TRIM(L277&amp;" "&amp;M277&amp;IF(N277&lt;&gt;""," ("&amp;N277&amp;")",""))="","",TRIM(L277&amp;" "&amp;M277&amp;IF(N277&lt;&gt;""," ("&amp;N277&amp;")","")))</x:f>
      </x:c>
      <x:c r="P277" s="253"/>
      <x:c r="Q277" s="252"/>
      <x:c r="R277" s="253"/>
      <x:c r="S277" s="253"/>
      <x:c r="T277" s="253"/>
      <x:c r="U277" s="253"/>
      <x:c r="V277" s="253"/>
      <x:c r="W277" s="253"/>
      <x:c r="X277" s="253"/>
      <x:c r="Y277" s="252"/>
      <x:c r="Z277" s="252"/>
      <x:c r="AA277" s="253"/>
      <x:c r="AB277" s="253" t="str">
        <x:f>IF(B277="","",IFERROR(INDEX('الزبائن'!$BA$6:$BA$505,MATCH(B277,'الزبائن'!$A$6:$A$505,0)),"source key not found"))</x:f>
      </x:c>
      <x:c r="AC277" s="253" t="str">
        <x:f>IF(B277="","",IFERROR(INDEX('الزبائن'!$BB$6:$BB$505,MATCH(B277,'الزبائن'!$A$6:$A$505,0)),"source key not found"))</x:f>
      </x:c>
      <x:c r="AD277" s="253" t="str">
        <x:f>IF(AND(A277="",C277="",D277="",I277="",L277="",M277=""),"",IF(C277="skip","SKIP",IF(OR(A277="",C277="",D277="",I277="",L277="",M277="",U277="",COUNTIF($A$6:$A$505,A277)&gt;1,AND(B277&lt;&gt;"",COUNTIF('الزبائن'!$A$6:$A$505,B277)=0),(COUNTIFS('أرقام التواصل'!$A$6:$A$505,"proposed_name",'أرقام التواصل'!$B$6:$B$505,A277,'أرقام التواصل'!$I$6:$I$505,"TRUE")+COUNTIFS('أرقام التواصل'!$A$6:$A$505,"proposed_name",'أرقام التواصل'!$B$6:$B$505,A277,'أرقام التواصل'!$C$6:$C$505,1))=0,AND(W277="TRUE",X277="")),"REVIEW","READY")))</x:f>
      </x:c>
      <x:c r="AE277" s="255" t="str">
        <x:f>IF(AD277="","",IF(AD277="READY","",IF(AD277="SKIP","Skipped by candidate_import_action",TRIM(IF(A277="","missing proposed_name_key; ","")&amp;IF(AND(A277&lt;&gt;"",COUNTIF($A$6:$A$505,A277)&gt;1),"duplicate proposed_name_key; ","")&amp;IF(C277="","missing candidate_import_action; ","")&amp;IF(D277="","missing move_reason; ","")&amp;IF(I277="","missing branch_id; ","")&amp;IF(L277="","missing first_name; ","")&amp;IF(M277="","missing last_name; ","")&amp;IF(U277="","missing status; ","")&amp;IF(AND(B277&lt;&gt;"",COUNTIF('الزبائن'!$A$6:$A$505,B277)=0),"source key not found; ","")&amp;IF((COUNTIFS('أرقام التواصل'!$A$6:$A$505,"proposed_name",'أرقام التواصل'!$B$6:$B$505,A277,'أرقام التواصل'!$I$6:$I$505,"TRUE")+COUNTIFS('أرقام التواصل'!$A$6:$A$505,"proposed_name",'أرقام التواصل'!$B$6:$B$505,A277,'أرقام التواصل'!$C$6:$C$505,1))=0,"missing primary contact in أرقام التواصل; ","")&amp;IF(AND(W277="TRUE",X277=""),"duplicate_type required when duplicate_flag TRUE; ","")))))</x:f>
      </x:c>
    </x:row>
    <x:row r="278">
      <x:c r="A278" s="302"/>
      <x:c r="B278" s="252"/>
      <x:c r="C278" s="253"/>
      <x:c r="D278" s="253"/>
      <x:c r="E278" s="253"/>
      <x:c r="F278" s="252"/>
      <x:c r="G278" s="253"/>
      <x:c r="H278" s="272"/>
      <x:c r="I278" s="253"/>
      <x:c r="J278" s="253"/>
      <x:c r="K278" s="253"/>
      <x:c r="L278" s="253"/>
      <x:c r="M278" s="253"/>
      <x:c r="N278" s="253"/>
      <x:c r="O278" s="253" t="str">
        <x:f>IF(TRIM(L278&amp;" "&amp;M278&amp;IF(N278&lt;&gt;""," ("&amp;N278&amp;")",""))="","",TRIM(L278&amp;" "&amp;M278&amp;IF(N278&lt;&gt;""," ("&amp;N278&amp;")","")))</x:f>
      </x:c>
      <x:c r="P278" s="253"/>
      <x:c r="Q278" s="252"/>
      <x:c r="R278" s="253"/>
      <x:c r="S278" s="253"/>
      <x:c r="T278" s="253"/>
      <x:c r="U278" s="253"/>
      <x:c r="V278" s="253"/>
      <x:c r="W278" s="253"/>
      <x:c r="X278" s="253"/>
      <x:c r="Y278" s="252"/>
      <x:c r="Z278" s="252"/>
      <x:c r="AA278" s="253"/>
      <x:c r="AB278" s="253" t="str">
        <x:f>IF(B278="","",IFERROR(INDEX('الزبائن'!$BA$6:$BA$505,MATCH(B278,'الزبائن'!$A$6:$A$505,0)),"source key not found"))</x:f>
      </x:c>
      <x:c r="AC278" s="253" t="str">
        <x:f>IF(B278="","",IFERROR(INDEX('الزبائن'!$BB$6:$BB$505,MATCH(B278,'الزبائن'!$A$6:$A$505,0)),"source key not found"))</x:f>
      </x:c>
      <x:c r="AD278" s="253" t="str">
        <x:f>IF(AND(A278="",C278="",D278="",I278="",L278="",M278=""),"",IF(C278="skip","SKIP",IF(OR(A278="",C278="",D278="",I278="",L278="",M278="",U278="",COUNTIF($A$6:$A$505,A278)&gt;1,AND(B278&lt;&gt;"",COUNTIF('الزبائن'!$A$6:$A$505,B278)=0),(COUNTIFS('أرقام التواصل'!$A$6:$A$505,"proposed_name",'أرقام التواصل'!$B$6:$B$505,A278,'أرقام التواصل'!$I$6:$I$505,"TRUE")+COUNTIFS('أرقام التواصل'!$A$6:$A$505,"proposed_name",'أرقام التواصل'!$B$6:$B$505,A278,'أرقام التواصل'!$C$6:$C$505,1))=0,AND(W278="TRUE",X278="")),"REVIEW","READY")))</x:f>
      </x:c>
      <x:c r="AE278" s="255" t="str">
        <x:f>IF(AD278="","",IF(AD278="READY","",IF(AD278="SKIP","Skipped by candidate_import_action",TRIM(IF(A278="","missing proposed_name_key; ","")&amp;IF(AND(A278&lt;&gt;"",COUNTIF($A$6:$A$505,A278)&gt;1),"duplicate proposed_name_key; ","")&amp;IF(C278="","missing candidate_import_action; ","")&amp;IF(D278="","missing move_reason; ","")&amp;IF(I278="","missing branch_id; ","")&amp;IF(L278="","missing first_name; ","")&amp;IF(M278="","missing last_name; ","")&amp;IF(U278="","missing status; ","")&amp;IF(AND(B278&lt;&gt;"",COUNTIF('الزبائن'!$A$6:$A$505,B278)=0),"source key not found; ","")&amp;IF((COUNTIFS('أرقام التواصل'!$A$6:$A$505,"proposed_name",'أرقام التواصل'!$B$6:$B$505,A278,'أرقام التواصل'!$I$6:$I$505,"TRUE")+COUNTIFS('أرقام التواصل'!$A$6:$A$505,"proposed_name",'أرقام التواصل'!$B$6:$B$505,A278,'أرقام التواصل'!$C$6:$C$505,1))=0,"missing primary contact in أرقام التواصل; ","")&amp;IF(AND(W278="TRUE",X278=""),"duplicate_type required when duplicate_flag TRUE; ","")))))</x:f>
      </x:c>
    </x:row>
    <x:row r="279">
      <x:c r="A279" s="302"/>
      <x:c r="B279" s="252"/>
      <x:c r="C279" s="253"/>
      <x:c r="D279" s="253"/>
      <x:c r="E279" s="253"/>
      <x:c r="F279" s="252"/>
      <x:c r="G279" s="253"/>
      <x:c r="H279" s="272"/>
      <x:c r="I279" s="253"/>
      <x:c r="J279" s="253"/>
      <x:c r="K279" s="253"/>
      <x:c r="L279" s="253"/>
      <x:c r="M279" s="253"/>
      <x:c r="N279" s="253"/>
      <x:c r="O279" s="253" t="str">
        <x:f>IF(TRIM(L279&amp;" "&amp;M279&amp;IF(N279&lt;&gt;""," ("&amp;N279&amp;")",""))="","",TRIM(L279&amp;" "&amp;M279&amp;IF(N279&lt;&gt;""," ("&amp;N279&amp;")","")))</x:f>
      </x:c>
      <x:c r="P279" s="253"/>
      <x:c r="Q279" s="252"/>
      <x:c r="R279" s="253"/>
      <x:c r="S279" s="253"/>
      <x:c r="T279" s="253"/>
      <x:c r="U279" s="253"/>
      <x:c r="V279" s="253"/>
      <x:c r="W279" s="253"/>
      <x:c r="X279" s="253"/>
      <x:c r="Y279" s="252"/>
      <x:c r="Z279" s="252"/>
      <x:c r="AA279" s="253"/>
      <x:c r="AB279" s="253" t="str">
        <x:f>IF(B279="","",IFERROR(INDEX('الزبائن'!$BA$6:$BA$505,MATCH(B279,'الزبائن'!$A$6:$A$505,0)),"source key not found"))</x:f>
      </x:c>
      <x:c r="AC279" s="253" t="str">
        <x:f>IF(B279="","",IFERROR(INDEX('الزبائن'!$BB$6:$BB$505,MATCH(B279,'الزبائن'!$A$6:$A$505,0)),"source key not found"))</x:f>
      </x:c>
      <x:c r="AD279" s="253" t="str">
        <x:f>IF(AND(A279="",C279="",D279="",I279="",L279="",M279=""),"",IF(C279="skip","SKIP",IF(OR(A279="",C279="",D279="",I279="",L279="",M279="",U279="",COUNTIF($A$6:$A$505,A279)&gt;1,AND(B279&lt;&gt;"",COUNTIF('الزبائن'!$A$6:$A$505,B279)=0),(COUNTIFS('أرقام التواصل'!$A$6:$A$505,"proposed_name",'أرقام التواصل'!$B$6:$B$505,A279,'أرقام التواصل'!$I$6:$I$505,"TRUE")+COUNTIFS('أرقام التواصل'!$A$6:$A$505,"proposed_name",'أرقام التواصل'!$B$6:$B$505,A279,'أرقام التواصل'!$C$6:$C$505,1))=0,AND(W279="TRUE",X279="")),"REVIEW","READY")))</x:f>
      </x:c>
      <x:c r="AE279" s="255" t="str">
        <x:f>IF(AD279="","",IF(AD279="READY","",IF(AD279="SKIP","Skipped by candidate_import_action",TRIM(IF(A279="","missing proposed_name_key; ","")&amp;IF(AND(A279&lt;&gt;"",COUNTIF($A$6:$A$505,A279)&gt;1),"duplicate proposed_name_key; ","")&amp;IF(C279="","missing candidate_import_action; ","")&amp;IF(D279="","missing move_reason; ","")&amp;IF(I279="","missing branch_id; ","")&amp;IF(L279="","missing first_name; ","")&amp;IF(M279="","missing last_name; ","")&amp;IF(U279="","missing status; ","")&amp;IF(AND(B279&lt;&gt;"",COUNTIF('الزبائن'!$A$6:$A$505,B279)=0),"source key not found; ","")&amp;IF((COUNTIFS('أرقام التواصل'!$A$6:$A$505,"proposed_name",'أرقام التواصل'!$B$6:$B$505,A279,'أرقام التواصل'!$I$6:$I$505,"TRUE")+COUNTIFS('أرقام التواصل'!$A$6:$A$505,"proposed_name",'أرقام التواصل'!$B$6:$B$505,A279,'أرقام التواصل'!$C$6:$C$505,1))=0,"missing primary contact in أرقام التواصل; ","")&amp;IF(AND(W279="TRUE",X279=""),"duplicate_type required when duplicate_flag TRUE; ","")))))</x:f>
      </x:c>
    </x:row>
    <x:row r="280">
      <x:c r="A280" s="302"/>
      <x:c r="B280" s="252"/>
      <x:c r="C280" s="253"/>
      <x:c r="D280" s="253"/>
      <x:c r="E280" s="253"/>
      <x:c r="F280" s="252"/>
      <x:c r="G280" s="253"/>
      <x:c r="H280" s="272"/>
      <x:c r="I280" s="253"/>
      <x:c r="J280" s="253"/>
      <x:c r="K280" s="253"/>
      <x:c r="L280" s="253"/>
      <x:c r="M280" s="253"/>
      <x:c r="N280" s="253"/>
      <x:c r="O280" s="253" t="str">
        <x:f>IF(TRIM(L280&amp;" "&amp;M280&amp;IF(N280&lt;&gt;""," ("&amp;N280&amp;")",""))="","",TRIM(L280&amp;" "&amp;M280&amp;IF(N280&lt;&gt;""," ("&amp;N280&amp;")","")))</x:f>
      </x:c>
      <x:c r="P280" s="253"/>
      <x:c r="Q280" s="252"/>
      <x:c r="R280" s="253"/>
      <x:c r="S280" s="253"/>
      <x:c r="T280" s="253"/>
      <x:c r="U280" s="253"/>
      <x:c r="V280" s="253"/>
      <x:c r="W280" s="253"/>
      <x:c r="X280" s="253"/>
      <x:c r="Y280" s="252"/>
      <x:c r="Z280" s="252"/>
      <x:c r="AA280" s="253"/>
      <x:c r="AB280" s="253" t="str">
        <x:f>IF(B280="","",IFERROR(INDEX('الزبائن'!$BA$6:$BA$505,MATCH(B280,'الزبائن'!$A$6:$A$505,0)),"source key not found"))</x:f>
      </x:c>
      <x:c r="AC280" s="253" t="str">
        <x:f>IF(B280="","",IFERROR(INDEX('الزبائن'!$BB$6:$BB$505,MATCH(B280,'الزبائن'!$A$6:$A$505,0)),"source key not found"))</x:f>
      </x:c>
      <x:c r="AD280" s="253" t="str">
        <x:f>IF(AND(A280="",C280="",D280="",I280="",L280="",M280=""),"",IF(C280="skip","SKIP",IF(OR(A280="",C280="",D280="",I280="",L280="",M280="",U280="",COUNTIF($A$6:$A$505,A280)&gt;1,AND(B280&lt;&gt;"",COUNTIF('الزبائن'!$A$6:$A$505,B280)=0),(COUNTIFS('أرقام التواصل'!$A$6:$A$505,"proposed_name",'أرقام التواصل'!$B$6:$B$505,A280,'أرقام التواصل'!$I$6:$I$505,"TRUE")+COUNTIFS('أرقام التواصل'!$A$6:$A$505,"proposed_name",'أرقام التواصل'!$B$6:$B$505,A280,'أرقام التواصل'!$C$6:$C$505,1))=0,AND(W280="TRUE",X280="")),"REVIEW","READY")))</x:f>
      </x:c>
      <x:c r="AE280" s="255" t="str">
        <x:f>IF(AD280="","",IF(AD280="READY","",IF(AD280="SKIP","Skipped by candidate_import_action",TRIM(IF(A280="","missing proposed_name_key; ","")&amp;IF(AND(A280&lt;&gt;"",COUNTIF($A$6:$A$505,A280)&gt;1),"duplicate proposed_name_key; ","")&amp;IF(C280="","missing candidate_import_action; ","")&amp;IF(D280="","missing move_reason; ","")&amp;IF(I280="","missing branch_id; ","")&amp;IF(L280="","missing first_name; ","")&amp;IF(M280="","missing last_name; ","")&amp;IF(U280="","missing status; ","")&amp;IF(AND(B280&lt;&gt;"",COUNTIF('الزبائن'!$A$6:$A$505,B280)=0),"source key not found; ","")&amp;IF((COUNTIFS('أرقام التواصل'!$A$6:$A$505,"proposed_name",'أرقام التواصل'!$B$6:$B$505,A280,'أرقام التواصل'!$I$6:$I$505,"TRUE")+COUNTIFS('أرقام التواصل'!$A$6:$A$505,"proposed_name",'أرقام التواصل'!$B$6:$B$505,A280,'أرقام التواصل'!$C$6:$C$505,1))=0,"missing primary contact in أرقام التواصل; ","")&amp;IF(AND(W280="TRUE",X280=""),"duplicate_type required when duplicate_flag TRUE; ","")))))</x:f>
      </x:c>
    </x:row>
    <x:row r="281">
      <x:c r="A281" s="302"/>
      <x:c r="B281" s="252"/>
      <x:c r="C281" s="253"/>
      <x:c r="D281" s="253"/>
      <x:c r="E281" s="253"/>
      <x:c r="F281" s="252"/>
      <x:c r="G281" s="253"/>
      <x:c r="H281" s="272"/>
      <x:c r="I281" s="253"/>
      <x:c r="J281" s="253"/>
      <x:c r="K281" s="253"/>
      <x:c r="L281" s="253"/>
      <x:c r="M281" s="253"/>
      <x:c r="N281" s="253"/>
      <x:c r="O281" s="253" t="str">
        <x:f>IF(TRIM(L281&amp;" "&amp;M281&amp;IF(N281&lt;&gt;""," ("&amp;N281&amp;")",""))="","",TRIM(L281&amp;" "&amp;M281&amp;IF(N281&lt;&gt;""," ("&amp;N281&amp;")","")))</x:f>
      </x:c>
      <x:c r="P281" s="253"/>
      <x:c r="Q281" s="252"/>
      <x:c r="R281" s="253"/>
      <x:c r="S281" s="253"/>
      <x:c r="T281" s="253"/>
      <x:c r="U281" s="253"/>
      <x:c r="V281" s="253"/>
      <x:c r="W281" s="253"/>
      <x:c r="X281" s="253"/>
      <x:c r="Y281" s="252"/>
      <x:c r="Z281" s="252"/>
      <x:c r="AA281" s="253"/>
      <x:c r="AB281" s="253" t="str">
        <x:f>IF(B281="","",IFERROR(INDEX('الزبائن'!$BA$6:$BA$505,MATCH(B281,'الزبائن'!$A$6:$A$505,0)),"source key not found"))</x:f>
      </x:c>
      <x:c r="AC281" s="253" t="str">
        <x:f>IF(B281="","",IFERROR(INDEX('الزبائن'!$BB$6:$BB$505,MATCH(B281,'الزبائن'!$A$6:$A$505,0)),"source key not found"))</x:f>
      </x:c>
      <x:c r="AD281" s="253" t="str">
        <x:f>IF(AND(A281="",C281="",D281="",I281="",L281="",M281=""),"",IF(C281="skip","SKIP",IF(OR(A281="",C281="",D281="",I281="",L281="",M281="",U281="",COUNTIF($A$6:$A$505,A281)&gt;1,AND(B281&lt;&gt;"",COUNTIF('الزبائن'!$A$6:$A$505,B281)=0),(COUNTIFS('أرقام التواصل'!$A$6:$A$505,"proposed_name",'أرقام التواصل'!$B$6:$B$505,A281,'أرقام التواصل'!$I$6:$I$505,"TRUE")+COUNTIFS('أرقام التواصل'!$A$6:$A$505,"proposed_name",'أرقام التواصل'!$B$6:$B$505,A281,'أرقام التواصل'!$C$6:$C$505,1))=0,AND(W281="TRUE",X281="")),"REVIEW","READY")))</x:f>
      </x:c>
      <x:c r="AE281" s="255" t="str">
        <x:f>IF(AD281="","",IF(AD281="READY","",IF(AD281="SKIP","Skipped by candidate_import_action",TRIM(IF(A281="","missing proposed_name_key; ","")&amp;IF(AND(A281&lt;&gt;"",COUNTIF($A$6:$A$505,A281)&gt;1),"duplicate proposed_name_key; ","")&amp;IF(C281="","missing candidate_import_action; ","")&amp;IF(D281="","missing move_reason; ","")&amp;IF(I281="","missing branch_id; ","")&amp;IF(L281="","missing first_name; ","")&amp;IF(M281="","missing last_name; ","")&amp;IF(U281="","missing status; ","")&amp;IF(AND(B281&lt;&gt;"",COUNTIF('الزبائن'!$A$6:$A$505,B281)=0),"source key not found; ","")&amp;IF((COUNTIFS('أرقام التواصل'!$A$6:$A$505,"proposed_name",'أرقام التواصل'!$B$6:$B$505,A281,'أرقام التواصل'!$I$6:$I$505,"TRUE")+COUNTIFS('أرقام التواصل'!$A$6:$A$505,"proposed_name",'أرقام التواصل'!$B$6:$B$505,A281,'أرقام التواصل'!$C$6:$C$505,1))=0,"missing primary contact in أرقام التواصل; ","")&amp;IF(AND(W281="TRUE",X281=""),"duplicate_type required when duplicate_flag TRUE; ","")))))</x:f>
      </x:c>
    </x:row>
    <x:row r="282">
      <x:c r="A282" s="302"/>
      <x:c r="B282" s="252"/>
      <x:c r="C282" s="253"/>
      <x:c r="D282" s="253"/>
      <x:c r="E282" s="253"/>
      <x:c r="F282" s="252"/>
      <x:c r="G282" s="253"/>
      <x:c r="H282" s="272"/>
      <x:c r="I282" s="253"/>
      <x:c r="J282" s="253"/>
      <x:c r="K282" s="253"/>
      <x:c r="L282" s="253"/>
      <x:c r="M282" s="253"/>
      <x:c r="N282" s="253"/>
      <x:c r="O282" s="253" t="str">
        <x:f>IF(TRIM(L282&amp;" "&amp;M282&amp;IF(N282&lt;&gt;""," ("&amp;N282&amp;")",""))="","",TRIM(L282&amp;" "&amp;M282&amp;IF(N282&lt;&gt;""," ("&amp;N282&amp;")","")))</x:f>
      </x:c>
      <x:c r="P282" s="253"/>
      <x:c r="Q282" s="252"/>
      <x:c r="R282" s="253"/>
      <x:c r="S282" s="253"/>
      <x:c r="T282" s="253"/>
      <x:c r="U282" s="253"/>
      <x:c r="V282" s="253"/>
      <x:c r="W282" s="253"/>
      <x:c r="X282" s="253"/>
      <x:c r="Y282" s="252"/>
      <x:c r="Z282" s="252"/>
      <x:c r="AA282" s="253"/>
      <x:c r="AB282" s="253" t="str">
        <x:f>IF(B282="","",IFERROR(INDEX('الزبائن'!$BA$6:$BA$505,MATCH(B282,'الزبائن'!$A$6:$A$505,0)),"source key not found"))</x:f>
      </x:c>
      <x:c r="AC282" s="253" t="str">
        <x:f>IF(B282="","",IFERROR(INDEX('الزبائن'!$BB$6:$BB$505,MATCH(B282,'الزبائن'!$A$6:$A$505,0)),"source key not found"))</x:f>
      </x:c>
      <x:c r="AD282" s="253" t="str">
        <x:f>IF(AND(A282="",C282="",D282="",I282="",L282="",M282=""),"",IF(C282="skip","SKIP",IF(OR(A282="",C282="",D282="",I282="",L282="",M282="",U282="",COUNTIF($A$6:$A$505,A282)&gt;1,AND(B282&lt;&gt;"",COUNTIF('الزبائن'!$A$6:$A$505,B282)=0),(COUNTIFS('أرقام التواصل'!$A$6:$A$505,"proposed_name",'أرقام التواصل'!$B$6:$B$505,A282,'أرقام التواصل'!$I$6:$I$505,"TRUE")+COUNTIFS('أرقام التواصل'!$A$6:$A$505,"proposed_name",'أرقام التواصل'!$B$6:$B$505,A282,'أرقام التواصل'!$C$6:$C$505,1))=0,AND(W282="TRUE",X282="")),"REVIEW","READY")))</x:f>
      </x:c>
      <x:c r="AE282" s="255" t="str">
        <x:f>IF(AD282="","",IF(AD282="READY","",IF(AD282="SKIP","Skipped by candidate_import_action",TRIM(IF(A282="","missing proposed_name_key; ","")&amp;IF(AND(A282&lt;&gt;"",COUNTIF($A$6:$A$505,A282)&gt;1),"duplicate proposed_name_key; ","")&amp;IF(C282="","missing candidate_import_action; ","")&amp;IF(D282="","missing move_reason; ","")&amp;IF(I282="","missing branch_id; ","")&amp;IF(L282="","missing first_name; ","")&amp;IF(M282="","missing last_name; ","")&amp;IF(U282="","missing status; ","")&amp;IF(AND(B282&lt;&gt;"",COUNTIF('الزبائن'!$A$6:$A$505,B282)=0),"source key not found; ","")&amp;IF((COUNTIFS('أرقام التواصل'!$A$6:$A$505,"proposed_name",'أرقام التواصل'!$B$6:$B$505,A282,'أرقام التواصل'!$I$6:$I$505,"TRUE")+COUNTIFS('أرقام التواصل'!$A$6:$A$505,"proposed_name",'أرقام التواصل'!$B$6:$B$505,A282,'أرقام التواصل'!$C$6:$C$505,1))=0,"missing primary contact in أرقام التواصل; ","")&amp;IF(AND(W282="TRUE",X282=""),"duplicate_type required when duplicate_flag TRUE; ","")))))</x:f>
      </x:c>
    </x:row>
    <x:row r="283">
      <x:c r="A283" s="302"/>
      <x:c r="B283" s="252"/>
      <x:c r="C283" s="253"/>
      <x:c r="D283" s="253"/>
      <x:c r="E283" s="253"/>
      <x:c r="F283" s="252"/>
      <x:c r="G283" s="253"/>
      <x:c r="H283" s="272"/>
      <x:c r="I283" s="253"/>
      <x:c r="J283" s="253"/>
      <x:c r="K283" s="253"/>
      <x:c r="L283" s="253"/>
      <x:c r="M283" s="253"/>
      <x:c r="N283" s="253"/>
      <x:c r="O283" s="253" t="str">
        <x:f>IF(TRIM(L283&amp;" "&amp;M283&amp;IF(N283&lt;&gt;""," ("&amp;N283&amp;")",""))="","",TRIM(L283&amp;" "&amp;M283&amp;IF(N283&lt;&gt;""," ("&amp;N283&amp;")","")))</x:f>
      </x:c>
      <x:c r="P283" s="253"/>
      <x:c r="Q283" s="252"/>
      <x:c r="R283" s="253"/>
      <x:c r="S283" s="253"/>
      <x:c r="T283" s="253"/>
      <x:c r="U283" s="253"/>
      <x:c r="V283" s="253"/>
      <x:c r="W283" s="253"/>
      <x:c r="X283" s="253"/>
      <x:c r="Y283" s="252"/>
      <x:c r="Z283" s="252"/>
      <x:c r="AA283" s="253"/>
      <x:c r="AB283" s="253" t="str">
        <x:f>IF(B283="","",IFERROR(INDEX('الزبائن'!$BA$6:$BA$505,MATCH(B283,'الزبائن'!$A$6:$A$505,0)),"source key not found"))</x:f>
      </x:c>
      <x:c r="AC283" s="253" t="str">
        <x:f>IF(B283="","",IFERROR(INDEX('الزبائن'!$BB$6:$BB$505,MATCH(B283,'الزبائن'!$A$6:$A$505,0)),"source key not found"))</x:f>
      </x:c>
      <x:c r="AD283" s="253" t="str">
        <x:f>IF(AND(A283="",C283="",D283="",I283="",L283="",M283=""),"",IF(C283="skip","SKIP",IF(OR(A283="",C283="",D283="",I283="",L283="",M283="",U283="",COUNTIF($A$6:$A$505,A283)&gt;1,AND(B283&lt;&gt;"",COUNTIF('الزبائن'!$A$6:$A$505,B283)=0),(COUNTIFS('أرقام التواصل'!$A$6:$A$505,"proposed_name",'أرقام التواصل'!$B$6:$B$505,A283,'أرقام التواصل'!$I$6:$I$505,"TRUE")+COUNTIFS('أرقام التواصل'!$A$6:$A$505,"proposed_name",'أرقام التواصل'!$B$6:$B$505,A283,'أرقام التواصل'!$C$6:$C$505,1))=0,AND(W283="TRUE",X283="")),"REVIEW","READY")))</x:f>
      </x:c>
      <x:c r="AE283" s="255" t="str">
        <x:f>IF(AD283="","",IF(AD283="READY","",IF(AD283="SKIP","Skipped by candidate_import_action",TRIM(IF(A283="","missing proposed_name_key; ","")&amp;IF(AND(A283&lt;&gt;"",COUNTIF($A$6:$A$505,A283)&gt;1),"duplicate proposed_name_key; ","")&amp;IF(C283="","missing candidate_import_action; ","")&amp;IF(D283="","missing move_reason; ","")&amp;IF(I283="","missing branch_id; ","")&amp;IF(L283="","missing first_name; ","")&amp;IF(M283="","missing last_name; ","")&amp;IF(U283="","missing status; ","")&amp;IF(AND(B283&lt;&gt;"",COUNTIF('الزبائن'!$A$6:$A$505,B283)=0),"source key not found; ","")&amp;IF((COUNTIFS('أرقام التواصل'!$A$6:$A$505,"proposed_name",'أرقام التواصل'!$B$6:$B$505,A283,'أرقام التواصل'!$I$6:$I$505,"TRUE")+COUNTIFS('أرقام التواصل'!$A$6:$A$505,"proposed_name",'أرقام التواصل'!$B$6:$B$505,A283,'أرقام التواصل'!$C$6:$C$505,1))=0,"missing primary contact in أرقام التواصل; ","")&amp;IF(AND(W283="TRUE",X283=""),"duplicate_type required when duplicate_flag TRUE; ","")))))</x:f>
      </x:c>
    </x:row>
    <x:row r="284">
      <x:c r="A284" s="302"/>
      <x:c r="B284" s="252"/>
      <x:c r="C284" s="253"/>
      <x:c r="D284" s="253"/>
      <x:c r="E284" s="253"/>
      <x:c r="F284" s="252"/>
      <x:c r="G284" s="253"/>
      <x:c r="H284" s="272"/>
      <x:c r="I284" s="253"/>
      <x:c r="J284" s="253"/>
      <x:c r="K284" s="253"/>
      <x:c r="L284" s="253"/>
      <x:c r="M284" s="253"/>
      <x:c r="N284" s="253"/>
      <x:c r="O284" s="253" t="str">
        <x:f>IF(TRIM(L284&amp;" "&amp;M284&amp;IF(N284&lt;&gt;""," ("&amp;N284&amp;")",""))="","",TRIM(L284&amp;" "&amp;M284&amp;IF(N284&lt;&gt;""," ("&amp;N284&amp;")","")))</x:f>
      </x:c>
      <x:c r="P284" s="253"/>
      <x:c r="Q284" s="252"/>
      <x:c r="R284" s="253"/>
      <x:c r="S284" s="253"/>
      <x:c r="T284" s="253"/>
      <x:c r="U284" s="253"/>
      <x:c r="V284" s="253"/>
      <x:c r="W284" s="253"/>
      <x:c r="X284" s="253"/>
      <x:c r="Y284" s="252"/>
      <x:c r="Z284" s="252"/>
      <x:c r="AA284" s="253"/>
      <x:c r="AB284" s="253" t="str">
        <x:f>IF(B284="","",IFERROR(INDEX('الزبائن'!$BA$6:$BA$505,MATCH(B284,'الزبائن'!$A$6:$A$505,0)),"source key not found"))</x:f>
      </x:c>
      <x:c r="AC284" s="253" t="str">
        <x:f>IF(B284="","",IFERROR(INDEX('الزبائن'!$BB$6:$BB$505,MATCH(B284,'الزبائن'!$A$6:$A$505,0)),"source key not found"))</x:f>
      </x:c>
      <x:c r="AD284" s="253" t="str">
        <x:f>IF(AND(A284="",C284="",D284="",I284="",L284="",M284=""),"",IF(C284="skip","SKIP",IF(OR(A284="",C284="",D284="",I284="",L284="",M284="",U284="",COUNTIF($A$6:$A$505,A284)&gt;1,AND(B284&lt;&gt;"",COUNTIF('الزبائن'!$A$6:$A$505,B284)=0),(COUNTIFS('أرقام التواصل'!$A$6:$A$505,"proposed_name",'أرقام التواصل'!$B$6:$B$505,A284,'أرقام التواصل'!$I$6:$I$505,"TRUE")+COUNTIFS('أرقام التواصل'!$A$6:$A$505,"proposed_name",'أرقام التواصل'!$B$6:$B$505,A284,'أرقام التواصل'!$C$6:$C$505,1))=0,AND(W284="TRUE",X284="")),"REVIEW","READY")))</x:f>
      </x:c>
      <x:c r="AE284" s="255" t="str">
        <x:f>IF(AD284="","",IF(AD284="READY","",IF(AD284="SKIP","Skipped by candidate_import_action",TRIM(IF(A284="","missing proposed_name_key; ","")&amp;IF(AND(A284&lt;&gt;"",COUNTIF($A$6:$A$505,A284)&gt;1),"duplicate proposed_name_key; ","")&amp;IF(C284="","missing candidate_import_action; ","")&amp;IF(D284="","missing move_reason; ","")&amp;IF(I284="","missing branch_id; ","")&amp;IF(L284="","missing first_name; ","")&amp;IF(M284="","missing last_name; ","")&amp;IF(U284="","missing status; ","")&amp;IF(AND(B284&lt;&gt;"",COUNTIF('الزبائن'!$A$6:$A$505,B284)=0),"source key not found; ","")&amp;IF((COUNTIFS('أرقام التواصل'!$A$6:$A$505,"proposed_name",'أرقام التواصل'!$B$6:$B$505,A284,'أرقام التواصل'!$I$6:$I$505,"TRUE")+COUNTIFS('أرقام التواصل'!$A$6:$A$505,"proposed_name",'أرقام التواصل'!$B$6:$B$505,A284,'أرقام التواصل'!$C$6:$C$505,1))=0,"missing primary contact in أرقام التواصل; ","")&amp;IF(AND(W284="TRUE",X284=""),"duplicate_type required when duplicate_flag TRUE; ","")))))</x:f>
      </x:c>
    </x:row>
    <x:row r="285">
      <x:c r="A285" s="302"/>
      <x:c r="B285" s="252"/>
      <x:c r="C285" s="253"/>
      <x:c r="D285" s="253"/>
      <x:c r="E285" s="253"/>
      <x:c r="F285" s="252"/>
      <x:c r="G285" s="253"/>
      <x:c r="H285" s="272"/>
      <x:c r="I285" s="253"/>
      <x:c r="J285" s="253"/>
      <x:c r="K285" s="253"/>
      <x:c r="L285" s="253"/>
      <x:c r="M285" s="253"/>
      <x:c r="N285" s="253"/>
      <x:c r="O285" s="253" t="str">
        <x:f>IF(TRIM(L285&amp;" "&amp;M285&amp;IF(N285&lt;&gt;""," ("&amp;N285&amp;")",""))="","",TRIM(L285&amp;" "&amp;M285&amp;IF(N285&lt;&gt;""," ("&amp;N285&amp;")","")))</x:f>
      </x:c>
      <x:c r="P285" s="253"/>
      <x:c r="Q285" s="252"/>
      <x:c r="R285" s="253"/>
      <x:c r="S285" s="253"/>
      <x:c r="T285" s="253"/>
      <x:c r="U285" s="253"/>
      <x:c r="V285" s="253"/>
      <x:c r="W285" s="253"/>
      <x:c r="X285" s="253"/>
      <x:c r="Y285" s="252"/>
      <x:c r="Z285" s="252"/>
      <x:c r="AA285" s="253"/>
      <x:c r="AB285" s="253" t="str">
        <x:f>IF(B285="","",IFERROR(INDEX('الزبائن'!$BA$6:$BA$505,MATCH(B285,'الزبائن'!$A$6:$A$505,0)),"source key not found"))</x:f>
      </x:c>
      <x:c r="AC285" s="253" t="str">
        <x:f>IF(B285="","",IFERROR(INDEX('الزبائن'!$BB$6:$BB$505,MATCH(B285,'الزبائن'!$A$6:$A$505,0)),"source key not found"))</x:f>
      </x:c>
      <x:c r="AD285" s="253" t="str">
        <x:f>IF(AND(A285="",C285="",D285="",I285="",L285="",M285=""),"",IF(C285="skip","SKIP",IF(OR(A285="",C285="",D285="",I285="",L285="",M285="",U285="",COUNTIF($A$6:$A$505,A285)&gt;1,AND(B285&lt;&gt;"",COUNTIF('الزبائن'!$A$6:$A$505,B285)=0),(COUNTIFS('أرقام التواصل'!$A$6:$A$505,"proposed_name",'أرقام التواصل'!$B$6:$B$505,A285,'أرقام التواصل'!$I$6:$I$505,"TRUE")+COUNTIFS('أرقام التواصل'!$A$6:$A$505,"proposed_name",'أرقام التواصل'!$B$6:$B$505,A285,'أرقام التواصل'!$C$6:$C$505,1))=0,AND(W285="TRUE",X285="")),"REVIEW","READY")))</x:f>
      </x:c>
      <x:c r="AE285" s="255" t="str">
        <x:f>IF(AD285="","",IF(AD285="READY","",IF(AD285="SKIP","Skipped by candidate_import_action",TRIM(IF(A285="","missing proposed_name_key; ","")&amp;IF(AND(A285&lt;&gt;"",COUNTIF($A$6:$A$505,A285)&gt;1),"duplicate proposed_name_key; ","")&amp;IF(C285="","missing candidate_import_action; ","")&amp;IF(D285="","missing move_reason; ","")&amp;IF(I285="","missing branch_id; ","")&amp;IF(L285="","missing first_name; ","")&amp;IF(M285="","missing last_name; ","")&amp;IF(U285="","missing status; ","")&amp;IF(AND(B285&lt;&gt;"",COUNTIF('الزبائن'!$A$6:$A$505,B285)=0),"source key not found; ","")&amp;IF((COUNTIFS('أرقام التواصل'!$A$6:$A$505,"proposed_name",'أرقام التواصل'!$B$6:$B$505,A285,'أرقام التواصل'!$I$6:$I$505,"TRUE")+COUNTIFS('أرقام التواصل'!$A$6:$A$505,"proposed_name",'أرقام التواصل'!$B$6:$B$505,A285,'أرقام التواصل'!$C$6:$C$505,1))=0,"missing primary contact in أرقام التواصل; ","")&amp;IF(AND(W285="TRUE",X285=""),"duplicate_type required when duplicate_flag TRUE; ","")))))</x:f>
      </x:c>
    </x:row>
    <x:row r="286">
      <x:c r="A286" s="302"/>
      <x:c r="B286" s="252"/>
      <x:c r="C286" s="253"/>
      <x:c r="D286" s="253"/>
      <x:c r="E286" s="253"/>
      <x:c r="F286" s="252"/>
      <x:c r="G286" s="253"/>
      <x:c r="H286" s="272"/>
      <x:c r="I286" s="253"/>
      <x:c r="J286" s="253"/>
      <x:c r="K286" s="253"/>
      <x:c r="L286" s="253"/>
      <x:c r="M286" s="253"/>
      <x:c r="N286" s="253"/>
      <x:c r="O286" s="253" t="str">
        <x:f>IF(TRIM(L286&amp;" "&amp;M286&amp;IF(N286&lt;&gt;""," ("&amp;N286&amp;")",""))="","",TRIM(L286&amp;" "&amp;M286&amp;IF(N286&lt;&gt;""," ("&amp;N286&amp;")","")))</x:f>
      </x:c>
      <x:c r="P286" s="253"/>
      <x:c r="Q286" s="252"/>
      <x:c r="R286" s="253"/>
      <x:c r="S286" s="253"/>
      <x:c r="T286" s="253"/>
      <x:c r="U286" s="253"/>
      <x:c r="V286" s="253"/>
      <x:c r="W286" s="253"/>
      <x:c r="X286" s="253"/>
      <x:c r="Y286" s="252"/>
      <x:c r="Z286" s="252"/>
      <x:c r="AA286" s="253"/>
      <x:c r="AB286" s="253" t="str">
        <x:f>IF(B286="","",IFERROR(INDEX('الزبائن'!$BA$6:$BA$505,MATCH(B286,'الزبائن'!$A$6:$A$505,0)),"source key not found"))</x:f>
      </x:c>
      <x:c r="AC286" s="253" t="str">
        <x:f>IF(B286="","",IFERROR(INDEX('الزبائن'!$BB$6:$BB$505,MATCH(B286,'الزبائن'!$A$6:$A$505,0)),"source key not found"))</x:f>
      </x:c>
      <x:c r="AD286" s="253" t="str">
        <x:f>IF(AND(A286="",C286="",D286="",I286="",L286="",M286=""),"",IF(C286="skip","SKIP",IF(OR(A286="",C286="",D286="",I286="",L286="",M286="",U286="",COUNTIF($A$6:$A$505,A286)&gt;1,AND(B286&lt;&gt;"",COUNTIF('الزبائن'!$A$6:$A$505,B286)=0),(COUNTIFS('أرقام التواصل'!$A$6:$A$505,"proposed_name",'أرقام التواصل'!$B$6:$B$505,A286,'أرقام التواصل'!$I$6:$I$505,"TRUE")+COUNTIFS('أرقام التواصل'!$A$6:$A$505,"proposed_name",'أرقام التواصل'!$B$6:$B$505,A286,'أرقام التواصل'!$C$6:$C$505,1))=0,AND(W286="TRUE",X286="")),"REVIEW","READY")))</x:f>
      </x:c>
      <x:c r="AE286" s="255" t="str">
        <x:f>IF(AD286="","",IF(AD286="READY","",IF(AD286="SKIP","Skipped by candidate_import_action",TRIM(IF(A286="","missing proposed_name_key; ","")&amp;IF(AND(A286&lt;&gt;"",COUNTIF($A$6:$A$505,A286)&gt;1),"duplicate proposed_name_key; ","")&amp;IF(C286="","missing candidate_import_action; ","")&amp;IF(D286="","missing move_reason; ","")&amp;IF(I286="","missing branch_id; ","")&amp;IF(L286="","missing first_name; ","")&amp;IF(M286="","missing last_name; ","")&amp;IF(U286="","missing status; ","")&amp;IF(AND(B286&lt;&gt;"",COUNTIF('الزبائن'!$A$6:$A$505,B286)=0),"source key not found; ","")&amp;IF((COUNTIFS('أرقام التواصل'!$A$6:$A$505,"proposed_name",'أرقام التواصل'!$B$6:$B$505,A286,'أرقام التواصل'!$I$6:$I$505,"TRUE")+COUNTIFS('أرقام التواصل'!$A$6:$A$505,"proposed_name",'أرقام التواصل'!$B$6:$B$505,A286,'أرقام التواصل'!$C$6:$C$505,1))=0,"missing primary contact in أرقام التواصل; ","")&amp;IF(AND(W286="TRUE",X286=""),"duplicate_type required when duplicate_flag TRUE; ","")))))</x:f>
      </x:c>
    </x:row>
    <x:row r="287">
      <x:c r="A287" s="302"/>
      <x:c r="B287" s="252"/>
      <x:c r="C287" s="253"/>
      <x:c r="D287" s="253"/>
      <x:c r="E287" s="253"/>
      <x:c r="F287" s="252"/>
      <x:c r="G287" s="253"/>
      <x:c r="H287" s="272"/>
      <x:c r="I287" s="253"/>
      <x:c r="J287" s="253"/>
      <x:c r="K287" s="253"/>
      <x:c r="L287" s="253"/>
      <x:c r="M287" s="253"/>
      <x:c r="N287" s="253"/>
      <x:c r="O287" s="253" t="str">
        <x:f>IF(TRIM(L287&amp;" "&amp;M287&amp;IF(N287&lt;&gt;""," ("&amp;N287&amp;")",""))="","",TRIM(L287&amp;" "&amp;M287&amp;IF(N287&lt;&gt;""," ("&amp;N287&amp;")","")))</x:f>
      </x:c>
      <x:c r="P287" s="253"/>
      <x:c r="Q287" s="252"/>
      <x:c r="R287" s="253"/>
      <x:c r="S287" s="253"/>
      <x:c r="T287" s="253"/>
      <x:c r="U287" s="253"/>
      <x:c r="V287" s="253"/>
      <x:c r="W287" s="253"/>
      <x:c r="X287" s="253"/>
      <x:c r="Y287" s="252"/>
      <x:c r="Z287" s="252"/>
      <x:c r="AA287" s="253"/>
      <x:c r="AB287" s="253" t="str">
        <x:f>IF(B287="","",IFERROR(INDEX('الزبائن'!$BA$6:$BA$505,MATCH(B287,'الزبائن'!$A$6:$A$505,0)),"source key not found"))</x:f>
      </x:c>
      <x:c r="AC287" s="253" t="str">
        <x:f>IF(B287="","",IFERROR(INDEX('الزبائن'!$BB$6:$BB$505,MATCH(B287,'الزبائن'!$A$6:$A$505,0)),"source key not found"))</x:f>
      </x:c>
      <x:c r="AD287" s="253" t="str">
        <x:f>IF(AND(A287="",C287="",D287="",I287="",L287="",M287=""),"",IF(C287="skip","SKIP",IF(OR(A287="",C287="",D287="",I287="",L287="",M287="",U287="",COUNTIF($A$6:$A$505,A287)&gt;1,AND(B287&lt;&gt;"",COUNTIF('الزبائن'!$A$6:$A$505,B287)=0),(COUNTIFS('أرقام التواصل'!$A$6:$A$505,"proposed_name",'أرقام التواصل'!$B$6:$B$505,A287,'أرقام التواصل'!$I$6:$I$505,"TRUE")+COUNTIFS('أرقام التواصل'!$A$6:$A$505,"proposed_name",'أرقام التواصل'!$B$6:$B$505,A287,'أرقام التواصل'!$C$6:$C$505,1))=0,AND(W287="TRUE",X287="")),"REVIEW","READY")))</x:f>
      </x:c>
      <x:c r="AE287" s="255" t="str">
        <x:f>IF(AD287="","",IF(AD287="READY","",IF(AD287="SKIP","Skipped by candidate_import_action",TRIM(IF(A287="","missing proposed_name_key; ","")&amp;IF(AND(A287&lt;&gt;"",COUNTIF($A$6:$A$505,A287)&gt;1),"duplicate proposed_name_key; ","")&amp;IF(C287="","missing candidate_import_action; ","")&amp;IF(D287="","missing move_reason; ","")&amp;IF(I287="","missing branch_id; ","")&amp;IF(L287="","missing first_name; ","")&amp;IF(M287="","missing last_name; ","")&amp;IF(U287="","missing status; ","")&amp;IF(AND(B287&lt;&gt;"",COUNTIF('الزبائن'!$A$6:$A$505,B287)=0),"source key not found; ","")&amp;IF((COUNTIFS('أرقام التواصل'!$A$6:$A$505,"proposed_name",'أرقام التواصل'!$B$6:$B$505,A287,'أرقام التواصل'!$I$6:$I$505,"TRUE")+COUNTIFS('أرقام التواصل'!$A$6:$A$505,"proposed_name",'أرقام التواصل'!$B$6:$B$505,A287,'أرقام التواصل'!$C$6:$C$505,1))=0,"missing primary contact in أرقام التواصل; ","")&amp;IF(AND(W287="TRUE",X287=""),"duplicate_type required when duplicate_flag TRUE; ","")))))</x:f>
      </x:c>
    </x:row>
    <x:row r="288">
      <x:c r="A288" s="302"/>
      <x:c r="B288" s="252"/>
      <x:c r="C288" s="253"/>
      <x:c r="D288" s="253"/>
      <x:c r="E288" s="253"/>
      <x:c r="F288" s="252"/>
      <x:c r="G288" s="253"/>
      <x:c r="H288" s="272"/>
      <x:c r="I288" s="253"/>
      <x:c r="J288" s="253"/>
      <x:c r="K288" s="253"/>
      <x:c r="L288" s="253"/>
      <x:c r="M288" s="253"/>
      <x:c r="N288" s="253"/>
      <x:c r="O288" s="253" t="str">
        <x:f>IF(TRIM(L288&amp;" "&amp;M288&amp;IF(N288&lt;&gt;""," ("&amp;N288&amp;")",""))="","",TRIM(L288&amp;" "&amp;M288&amp;IF(N288&lt;&gt;""," ("&amp;N288&amp;")","")))</x:f>
      </x:c>
      <x:c r="P288" s="253"/>
      <x:c r="Q288" s="252"/>
      <x:c r="R288" s="253"/>
      <x:c r="S288" s="253"/>
      <x:c r="T288" s="253"/>
      <x:c r="U288" s="253"/>
      <x:c r="V288" s="253"/>
      <x:c r="W288" s="253"/>
      <x:c r="X288" s="253"/>
      <x:c r="Y288" s="252"/>
      <x:c r="Z288" s="252"/>
      <x:c r="AA288" s="253"/>
      <x:c r="AB288" s="253" t="str">
        <x:f>IF(B288="","",IFERROR(INDEX('الزبائن'!$BA$6:$BA$505,MATCH(B288,'الزبائن'!$A$6:$A$505,0)),"source key not found"))</x:f>
      </x:c>
      <x:c r="AC288" s="253" t="str">
        <x:f>IF(B288="","",IFERROR(INDEX('الزبائن'!$BB$6:$BB$505,MATCH(B288,'الزبائن'!$A$6:$A$505,0)),"source key not found"))</x:f>
      </x:c>
      <x:c r="AD288" s="253" t="str">
        <x:f>IF(AND(A288="",C288="",D288="",I288="",L288="",M288=""),"",IF(C288="skip","SKIP",IF(OR(A288="",C288="",D288="",I288="",L288="",M288="",U288="",COUNTIF($A$6:$A$505,A288)&gt;1,AND(B288&lt;&gt;"",COUNTIF('الزبائن'!$A$6:$A$505,B288)=0),(COUNTIFS('أرقام التواصل'!$A$6:$A$505,"proposed_name",'أرقام التواصل'!$B$6:$B$505,A288,'أرقام التواصل'!$I$6:$I$505,"TRUE")+COUNTIFS('أرقام التواصل'!$A$6:$A$505,"proposed_name",'أرقام التواصل'!$B$6:$B$505,A288,'أرقام التواصل'!$C$6:$C$505,1))=0,AND(W288="TRUE",X288="")),"REVIEW","READY")))</x:f>
      </x:c>
      <x:c r="AE288" s="255" t="str">
        <x:f>IF(AD288="","",IF(AD288="READY","",IF(AD288="SKIP","Skipped by candidate_import_action",TRIM(IF(A288="","missing proposed_name_key; ","")&amp;IF(AND(A288&lt;&gt;"",COUNTIF($A$6:$A$505,A288)&gt;1),"duplicate proposed_name_key; ","")&amp;IF(C288="","missing candidate_import_action; ","")&amp;IF(D288="","missing move_reason; ","")&amp;IF(I288="","missing branch_id; ","")&amp;IF(L288="","missing first_name; ","")&amp;IF(M288="","missing last_name; ","")&amp;IF(U288="","missing status; ","")&amp;IF(AND(B288&lt;&gt;"",COUNTIF('الزبائن'!$A$6:$A$505,B288)=0),"source key not found; ","")&amp;IF((COUNTIFS('أرقام التواصل'!$A$6:$A$505,"proposed_name",'أرقام التواصل'!$B$6:$B$505,A288,'أرقام التواصل'!$I$6:$I$505,"TRUE")+COUNTIFS('أرقام التواصل'!$A$6:$A$505,"proposed_name",'أرقام التواصل'!$B$6:$B$505,A288,'أرقام التواصل'!$C$6:$C$505,1))=0,"missing primary contact in أرقام التواصل; ","")&amp;IF(AND(W288="TRUE",X288=""),"duplicate_type required when duplicate_flag TRUE; ","")))))</x:f>
      </x:c>
    </x:row>
    <x:row r="289">
      <x:c r="A289" s="302"/>
      <x:c r="B289" s="252"/>
      <x:c r="C289" s="253"/>
      <x:c r="D289" s="253"/>
      <x:c r="E289" s="253"/>
      <x:c r="F289" s="252"/>
      <x:c r="G289" s="253"/>
      <x:c r="H289" s="272"/>
      <x:c r="I289" s="253"/>
      <x:c r="J289" s="253"/>
      <x:c r="K289" s="253"/>
      <x:c r="L289" s="253"/>
      <x:c r="M289" s="253"/>
      <x:c r="N289" s="253"/>
      <x:c r="O289" s="253" t="str">
        <x:f>IF(TRIM(L289&amp;" "&amp;M289&amp;IF(N289&lt;&gt;""," ("&amp;N289&amp;")",""))="","",TRIM(L289&amp;" "&amp;M289&amp;IF(N289&lt;&gt;""," ("&amp;N289&amp;")","")))</x:f>
      </x:c>
      <x:c r="P289" s="253"/>
      <x:c r="Q289" s="252"/>
      <x:c r="R289" s="253"/>
      <x:c r="S289" s="253"/>
      <x:c r="T289" s="253"/>
      <x:c r="U289" s="253"/>
      <x:c r="V289" s="253"/>
      <x:c r="W289" s="253"/>
      <x:c r="X289" s="253"/>
      <x:c r="Y289" s="252"/>
      <x:c r="Z289" s="252"/>
      <x:c r="AA289" s="253"/>
      <x:c r="AB289" s="253" t="str">
        <x:f>IF(B289="","",IFERROR(INDEX('الزبائن'!$BA$6:$BA$505,MATCH(B289,'الزبائن'!$A$6:$A$505,0)),"source key not found"))</x:f>
      </x:c>
      <x:c r="AC289" s="253" t="str">
        <x:f>IF(B289="","",IFERROR(INDEX('الزبائن'!$BB$6:$BB$505,MATCH(B289,'الزبائن'!$A$6:$A$505,0)),"source key not found"))</x:f>
      </x:c>
      <x:c r="AD289" s="253" t="str">
        <x:f>IF(AND(A289="",C289="",D289="",I289="",L289="",M289=""),"",IF(C289="skip","SKIP",IF(OR(A289="",C289="",D289="",I289="",L289="",M289="",U289="",COUNTIF($A$6:$A$505,A289)&gt;1,AND(B289&lt;&gt;"",COUNTIF('الزبائن'!$A$6:$A$505,B289)=0),(COUNTIFS('أرقام التواصل'!$A$6:$A$505,"proposed_name",'أرقام التواصل'!$B$6:$B$505,A289,'أرقام التواصل'!$I$6:$I$505,"TRUE")+COUNTIFS('أرقام التواصل'!$A$6:$A$505,"proposed_name",'أرقام التواصل'!$B$6:$B$505,A289,'أرقام التواصل'!$C$6:$C$505,1))=0,AND(W289="TRUE",X289="")),"REVIEW","READY")))</x:f>
      </x:c>
      <x:c r="AE289" s="255" t="str">
        <x:f>IF(AD289="","",IF(AD289="READY","",IF(AD289="SKIP","Skipped by candidate_import_action",TRIM(IF(A289="","missing proposed_name_key; ","")&amp;IF(AND(A289&lt;&gt;"",COUNTIF($A$6:$A$505,A289)&gt;1),"duplicate proposed_name_key; ","")&amp;IF(C289="","missing candidate_import_action; ","")&amp;IF(D289="","missing move_reason; ","")&amp;IF(I289="","missing branch_id; ","")&amp;IF(L289="","missing first_name; ","")&amp;IF(M289="","missing last_name; ","")&amp;IF(U289="","missing status; ","")&amp;IF(AND(B289&lt;&gt;"",COUNTIF('الزبائن'!$A$6:$A$505,B289)=0),"source key not found; ","")&amp;IF((COUNTIFS('أرقام التواصل'!$A$6:$A$505,"proposed_name",'أرقام التواصل'!$B$6:$B$505,A289,'أرقام التواصل'!$I$6:$I$505,"TRUE")+COUNTIFS('أرقام التواصل'!$A$6:$A$505,"proposed_name",'أرقام التواصل'!$B$6:$B$505,A289,'أرقام التواصل'!$C$6:$C$505,1))=0,"missing primary contact in أرقام التواصل; ","")&amp;IF(AND(W289="TRUE",X289=""),"duplicate_type required when duplicate_flag TRUE; ","")))))</x:f>
      </x:c>
    </x:row>
    <x:row r="290">
      <x:c r="A290" s="302"/>
      <x:c r="B290" s="252"/>
      <x:c r="C290" s="253"/>
      <x:c r="D290" s="253"/>
      <x:c r="E290" s="253"/>
      <x:c r="F290" s="252"/>
      <x:c r="G290" s="253"/>
      <x:c r="H290" s="272"/>
      <x:c r="I290" s="253"/>
      <x:c r="J290" s="253"/>
      <x:c r="K290" s="253"/>
      <x:c r="L290" s="253"/>
      <x:c r="M290" s="253"/>
      <x:c r="N290" s="253"/>
      <x:c r="O290" s="253" t="str">
        <x:f>IF(TRIM(L290&amp;" "&amp;M290&amp;IF(N290&lt;&gt;""," ("&amp;N290&amp;")",""))="","",TRIM(L290&amp;" "&amp;M290&amp;IF(N290&lt;&gt;""," ("&amp;N290&amp;")","")))</x:f>
      </x:c>
      <x:c r="P290" s="253"/>
      <x:c r="Q290" s="252"/>
      <x:c r="R290" s="253"/>
      <x:c r="S290" s="253"/>
      <x:c r="T290" s="253"/>
      <x:c r="U290" s="253"/>
      <x:c r="V290" s="253"/>
      <x:c r="W290" s="253"/>
      <x:c r="X290" s="253"/>
      <x:c r="Y290" s="252"/>
      <x:c r="Z290" s="252"/>
      <x:c r="AA290" s="253"/>
      <x:c r="AB290" s="253" t="str">
        <x:f>IF(B290="","",IFERROR(INDEX('الزبائن'!$BA$6:$BA$505,MATCH(B290,'الزبائن'!$A$6:$A$505,0)),"source key not found"))</x:f>
      </x:c>
      <x:c r="AC290" s="253" t="str">
        <x:f>IF(B290="","",IFERROR(INDEX('الزبائن'!$BB$6:$BB$505,MATCH(B290,'الزبائن'!$A$6:$A$505,0)),"source key not found"))</x:f>
      </x:c>
      <x:c r="AD290" s="253" t="str">
        <x:f>IF(AND(A290="",C290="",D290="",I290="",L290="",M290=""),"",IF(C290="skip","SKIP",IF(OR(A290="",C290="",D290="",I290="",L290="",M290="",U290="",COUNTIF($A$6:$A$505,A290)&gt;1,AND(B290&lt;&gt;"",COUNTIF('الزبائن'!$A$6:$A$505,B290)=0),(COUNTIFS('أرقام التواصل'!$A$6:$A$505,"proposed_name",'أرقام التواصل'!$B$6:$B$505,A290,'أرقام التواصل'!$I$6:$I$505,"TRUE")+COUNTIFS('أرقام التواصل'!$A$6:$A$505,"proposed_name",'أرقام التواصل'!$B$6:$B$505,A290,'أرقام التواصل'!$C$6:$C$505,1))=0,AND(W290="TRUE",X290="")),"REVIEW","READY")))</x:f>
      </x:c>
      <x:c r="AE290" s="255" t="str">
        <x:f>IF(AD290="","",IF(AD290="READY","",IF(AD290="SKIP","Skipped by candidate_import_action",TRIM(IF(A290="","missing proposed_name_key; ","")&amp;IF(AND(A290&lt;&gt;"",COUNTIF($A$6:$A$505,A290)&gt;1),"duplicate proposed_name_key; ","")&amp;IF(C290="","missing candidate_import_action; ","")&amp;IF(D290="","missing move_reason; ","")&amp;IF(I290="","missing branch_id; ","")&amp;IF(L290="","missing first_name; ","")&amp;IF(M290="","missing last_name; ","")&amp;IF(U290="","missing status; ","")&amp;IF(AND(B290&lt;&gt;"",COUNTIF('الزبائن'!$A$6:$A$505,B290)=0),"source key not found; ","")&amp;IF((COUNTIFS('أرقام التواصل'!$A$6:$A$505,"proposed_name",'أرقام التواصل'!$B$6:$B$505,A290,'أرقام التواصل'!$I$6:$I$505,"TRUE")+COUNTIFS('أرقام التواصل'!$A$6:$A$505,"proposed_name",'أرقام التواصل'!$B$6:$B$505,A290,'أرقام التواصل'!$C$6:$C$505,1))=0,"missing primary contact in أرقام التواصل; ","")&amp;IF(AND(W290="TRUE",X290=""),"duplicate_type required when duplicate_flag TRUE; ","")))))</x:f>
      </x:c>
    </x:row>
    <x:row r="291">
      <x:c r="A291" s="302"/>
      <x:c r="B291" s="252"/>
      <x:c r="C291" s="253"/>
      <x:c r="D291" s="253"/>
      <x:c r="E291" s="253"/>
      <x:c r="F291" s="252"/>
      <x:c r="G291" s="253"/>
      <x:c r="H291" s="272"/>
      <x:c r="I291" s="253"/>
      <x:c r="J291" s="253"/>
      <x:c r="K291" s="253"/>
      <x:c r="L291" s="253"/>
      <x:c r="M291" s="253"/>
      <x:c r="N291" s="253"/>
      <x:c r="O291" s="253" t="str">
        <x:f>IF(TRIM(L291&amp;" "&amp;M291&amp;IF(N291&lt;&gt;""," ("&amp;N291&amp;")",""))="","",TRIM(L291&amp;" "&amp;M291&amp;IF(N291&lt;&gt;""," ("&amp;N291&amp;")","")))</x:f>
      </x:c>
      <x:c r="P291" s="253"/>
      <x:c r="Q291" s="252"/>
      <x:c r="R291" s="253"/>
      <x:c r="S291" s="253"/>
      <x:c r="T291" s="253"/>
      <x:c r="U291" s="253"/>
      <x:c r="V291" s="253"/>
      <x:c r="W291" s="253"/>
      <x:c r="X291" s="253"/>
      <x:c r="Y291" s="252"/>
      <x:c r="Z291" s="252"/>
      <x:c r="AA291" s="253"/>
      <x:c r="AB291" s="253" t="str">
        <x:f>IF(B291="","",IFERROR(INDEX('الزبائن'!$BA$6:$BA$505,MATCH(B291,'الزبائن'!$A$6:$A$505,0)),"source key not found"))</x:f>
      </x:c>
      <x:c r="AC291" s="253" t="str">
        <x:f>IF(B291="","",IFERROR(INDEX('الزبائن'!$BB$6:$BB$505,MATCH(B291,'الزبائن'!$A$6:$A$505,0)),"source key not found"))</x:f>
      </x:c>
      <x:c r="AD291" s="253" t="str">
        <x:f>IF(AND(A291="",C291="",D291="",I291="",L291="",M291=""),"",IF(C291="skip","SKIP",IF(OR(A291="",C291="",D291="",I291="",L291="",M291="",U291="",COUNTIF($A$6:$A$505,A291)&gt;1,AND(B291&lt;&gt;"",COUNTIF('الزبائن'!$A$6:$A$505,B291)=0),(COUNTIFS('أرقام التواصل'!$A$6:$A$505,"proposed_name",'أرقام التواصل'!$B$6:$B$505,A291,'أرقام التواصل'!$I$6:$I$505,"TRUE")+COUNTIFS('أرقام التواصل'!$A$6:$A$505,"proposed_name",'أرقام التواصل'!$B$6:$B$505,A291,'أرقام التواصل'!$C$6:$C$505,1))=0,AND(W291="TRUE",X291="")),"REVIEW","READY")))</x:f>
      </x:c>
      <x:c r="AE291" s="255" t="str">
        <x:f>IF(AD291="","",IF(AD291="READY","",IF(AD291="SKIP","Skipped by candidate_import_action",TRIM(IF(A291="","missing proposed_name_key; ","")&amp;IF(AND(A291&lt;&gt;"",COUNTIF($A$6:$A$505,A291)&gt;1),"duplicate proposed_name_key; ","")&amp;IF(C291="","missing candidate_import_action; ","")&amp;IF(D291="","missing move_reason; ","")&amp;IF(I291="","missing branch_id; ","")&amp;IF(L291="","missing first_name; ","")&amp;IF(M291="","missing last_name; ","")&amp;IF(U291="","missing status; ","")&amp;IF(AND(B291&lt;&gt;"",COUNTIF('الزبائن'!$A$6:$A$505,B291)=0),"source key not found; ","")&amp;IF((COUNTIFS('أرقام التواصل'!$A$6:$A$505,"proposed_name",'أرقام التواصل'!$B$6:$B$505,A291,'أرقام التواصل'!$I$6:$I$505,"TRUE")+COUNTIFS('أرقام التواصل'!$A$6:$A$505,"proposed_name",'أرقام التواصل'!$B$6:$B$505,A291,'أرقام التواصل'!$C$6:$C$505,1))=0,"missing primary contact in أرقام التواصل; ","")&amp;IF(AND(W291="TRUE",X291=""),"duplicate_type required when duplicate_flag TRUE; ","")))))</x:f>
      </x:c>
    </x:row>
    <x:row r="292">
      <x:c r="A292" s="302"/>
      <x:c r="B292" s="252"/>
      <x:c r="C292" s="253"/>
      <x:c r="D292" s="253"/>
      <x:c r="E292" s="253"/>
      <x:c r="F292" s="252"/>
      <x:c r="G292" s="253"/>
      <x:c r="H292" s="272"/>
      <x:c r="I292" s="253"/>
      <x:c r="J292" s="253"/>
      <x:c r="K292" s="253"/>
      <x:c r="L292" s="253"/>
      <x:c r="M292" s="253"/>
      <x:c r="N292" s="253"/>
      <x:c r="O292" s="253" t="str">
        <x:f>IF(TRIM(L292&amp;" "&amp;M292&amp;IF(N292&lt;&gt;""," ("&amp;N292&amp;")",""))="","",TRIM(L292&amp;" "&amp;M292&amp;IF(N292&lt;&gt;""," ("&amp;N292&amp;")","")))</x:f>
      </x:c>
      <x:c r="P292" s="253"/>
      <x:c r="Q292" s="252"/>
      <x:c r="R292" s="253"/>
      <x:c r="S292" s="253"/>
      <x:c r="T292" s="253"/>
      <x:c r="U292" s="253"/>
      <x:c r="V292" s="253"/>
      <x:c r="W292" s="253"/>
      <x:c r="X292" s="253"/>
      <x:c r="Y292" s="252"/>
      <x:c r="Z292" s="252"/>
      <x:c r="AA292" s="253"/>
      <x:c r="AB292" s="253" t="str">
        <x:f>IF(B292="","",IFERROR(INDEX('الزبائن'!$BA$6:$BA$505,MATCH(B292,'الزبائن'!$A$6:$A$505,0)),"source key not found"))</x:f>
      </x:c>
      <x:c r="AC292" s="253" t="str">
        <x:f>IF(B292="","",IFERROR(INDEX('الزبائن'!$BB$6:$BB$505,MATCH(B292,'الزبائن'!$A$6:$A$505,0)),"source key not found"))</x:f>
      </x:c>
      <x:c r="AD292" s="253" t="str">
        <x:f>IF(AND(A292="",C292="",D292="",I292="",L292="",M292=""),"",IF(C292="skip","SKIP",IF(OR(A292="",C292="",D292="",I292="",L292="",M292="",U292="",COUNTIF($A$6:$A$505,A292)&gt;1,AND(B292&lt;&gt;"",COUNTIF('الزبائن'!$A$6:$A$505,B292)=0),(COUNTIFS('أرقام التواصل'!$A$6:$A$505,"proposed_name",'أرقام التواصل'!$B$6:$B$505,A292,'أرقام التواصل'!$I$6:$I$505,"TRUE")+COUNTIFS('أرقام التواصل'!$A$6:$A$505,"proposed_name",'أرقام التواصل'!$B$6:$B$505,A292,'أرقام التواصل'!$C$6:$C$505,1))=0,AND(W292="TRUE",X292="")),"REVIEW","READY")))</x:f>
      </x:c>
      <x:c r="AE292" s="255" t="str">
        <x:f>IF(AD292="","",IF(AD292="READY","",IF(AD292="SKIP","Skipped by candidate_import_action",TRIM(IF(A292="","missing proposed_name_key; ","")&amp;IF(AND(A292&lt;&gt;"",COUNTIF($A$6:$A$505,A292)&gt;1),"duplicate proposed_name_key; ","")&amp;IF(C292="","missing candidate_import_action; ","")&amp;IF(D292="","missing move_reason; ","")&amp;IF(I292="","missing branch_id; ","")&amp;IF(L292="","missing first_name; ","")&amp;IF(M292="","missing last_name; ","")&amp;IF(U292="","missing status; ","")&amp;IF(AND(B292&lt;&gt;"",COUNTIF('الزبائن'!$A$6:$A$505,B292)=0),"source key not found; ","")&amp;IF((COUNTIFS('أرقام التواصل'!$A$6:$A$505,"proposed_name",'أرقام التواصل'!$B$6:$B$505,A292,'أرقام التواصل'!$I$6:$I$505,"TRUE")+COUNTIFS('أرقام التواصل'!$A$6:$A$505,"proposed_name",'أرقام التواصل'!$B$6:$B$505,A292,'أرقام التواصل'!$C$6:$C$505,1))=0,"missing primary contact in أرقام التواصل; ","")&amp;IF(AND(W292="TRUE",X292=""),"duplicate_type required when duplicate_flag TRUE; ","")))))</x:f>
      </x:c>
    </x:row>
    <x:row r="293">
      <x:c r="A293" s="302"/>
      <x:c r="B293" s="252"/>
      <x:c r="C293" s="253"/>
      <x:c r="D293" s="253"/>
      <x:c r="E293" s="253"/>
      <x:c r="F293" s="252"/>
      <x:c r="G293" s="253"/>
      <x:c r="H293" s="272"/>
      <x:c r="I293" s="253"/>
      <x:c r="J293" s="253"/>
      <x:c r="K293" s="253"/>
      <x:c r="L293" s="253"/>
      <x:c r="M293" s="253"/>
      <x:c r="N293" s="253"/>
      <x:c r="O293" s="253" t="str">
        <x:f>IF(TRIM(L293&amp;" "&amp;M293&amp;IF(N293&lt;&gt;""," ("&amp;N293&amp;")",""))="","",TRIM(L293&amp;" "&amp;M293&amp;IF(N293&lt;&gt;""," ("&amp;N293&amp;")","")))</x:f>
      </x:c>
      <x:c r="P293" s="253"/>
      <x:c r="Q293" s="252"/>
      <x:c r="R293" s="253"/>
      <x:c r="S293" s="253"/>
      <x:c r="T293" s="253"/>
      <x:c r="U293" s="253"/>
      <x:c r="V293" s="253"/>
      <x:c r="W293" s="253"/>
      <x:c r="X293" s="253"/>
      <x:c r="Y293" s="252"/>
      <x:c r="Z293" s="252"/>
      <x:c r="AA293" s="253"/>
      <x:c r="AB293" s="253" t="str">
        <x:f>IF(B293="","",IFERROR(INDEX('الزبائن'!$BA$6:$BA$505,MATCH(B293,'الزبائن'!$A$6:$A$505,0)),"source key not found"))</x:f>
      </x:c>
      <x:c r="AC293" s="253" t="str">
        <x:f>IF(B293="","",IFERROR(INDEX('الزبائن'!$BB$6:$BB$505,MATCH(B293,'الزبائن'!$A$6:$A$505,0)),"source key not found"))</x:f>
      </x:c>
      <x:c r="AD293" s="253" t="str">
        <x:f>IF(AND(A293="",C293="",D293="",I293="",L293="",M293=""),"",IF(C293="skip","SKIP",IF(OR(A293="",C293="",D293="",I293="",L293="",M293="",U293="",COUNTIF($A$6:$A$505,A293)&gt;1,AND(B293&lt;&gt;"",COUNTIF('الزبائن'!$A$6:$A$505,B293)=0),(COUNTIFS('أرقام التواصل'!$A$6:$A$505,"proposed_name",'أرقام التواصل'!$B$6:$B$505,A293,'أرقام التواصل'!$I$6:$I$505,"TRUE")+COUNTIFS('أرقام التواصل'!$A$6:$A$505,"proposed_name",'أرقام التواصل'!$B$6:$B$505,A293,'أرقام التواصل'!$C$6:$C$505,1))=0,AND(W293="TRUE",X293="")),"REVIEW","READY")))</x:f>
      </x:c>
      <x:c r="AE293" s="255" t="str">
        <x:f>IF(AD293="","",IF(AD293="READY","",IF(AD293="SKIP","Skipped by candidate_import_action",TRIM(IF(A293="","missing proposed_name_key; ","")&amp;IF(AND(A293&lt;&gt;"",COUNTIF($A$6:$A$505,A293)&gt;1),"duplicate proposed_name_key; ","")&amp;IF(C293="","missing candidate_import_action; ","")&amp;IF(D293="","missing move_reason; ","")&amp;IF(I293="","missing branch_id; ","")&amp;IF(L293="","missing first_name; ","")&amp;IF(M293="","missing last_name; ","")&amp;IF(U293="","missing status; ","")&amp;IF(AND(B293&lt;&gt;"",COUNTIF('الزبائن'!$A$6:$A$505,B293)=0),"source key not found; ","")&amp;IF((COUNTIFS('أرقام التواصل'!$A$6:$A$505,"proposed_name",'أرقام التواصل'!$B$6:$B$505,A293,'أرقام التواصل'!$I$6:$I$505,"TRUE")+COUNTIFS('أرقام التواصل'!$A$6:$A$505,"proposed_name",'أرقام التواصل'!$B$6:$B$505,A293,'أرقام التواصل'!$C$6:$C$505,1))=0,"missing primary contact in أرقام التواصل; ","")&amp;IF(AND(W293="TRUE",X293=""),"duplicate_type required when duplicate_flag TRUE; ","")))))</x:f>
      </x:c>
    </x:row>
    <x:row r="294">
      <x:c r="A294" s="302"/>
      <x:c r="B294" s="252"/>
      <x:c r="C294" s="253"/>
      <x:c r="D294" s="253"/>
      <x:c r="E294" s="253"/>
      <x:c r="F294" s="252"/>
      <x:c r="G294" s="253"/>
      <x:c r="H294" s="272"/>
      <x:c r="I294" s="253"/>
      <x:c r="J294" s="253"/>
      <x:c r="K294" s="253"/>
      <x:c r="L294" s="253"/>
      <x:c r="M294" s="253"/>
      <x:c r="N294" s="253"/>
      <x:c r="O294" s="253" t="str">
        <x:f>IF(TRIM(L294&amp;" "&amp;M294&amp;IF(N294&lt;&gt;""," ("&amp;N294&amp;")",""))="","",TRIM(L294&amp;" "&amp;M294&amp;IF(N294&lt;&gt;""," ("&amp;N294&amp;")","")))</x:f>
      </x:c>
      <x:c r="P294" s="253"/>
      <x:c r="Q294" s="252"/>
      <x:c r="R294" s="253"/>
      <x:c r="S294" s="253"/>
      <x:c r="T294" s="253"/>
      <x:c r="U294" s="253"/>
      <x:c r="V294" s="253"/>
      <x:c r="W294" s="253"/>
      <x:c r="X294" s="253"/>
      <x:c r="Y294" s="252"/>
      <x:c r="Z294" s="252"/>
      <x:c r="AA294" s="253"/>
      <x:c r="AB294" s="253" t="str">
        <x:f>IF(B294="","",IFERROR(INDEX('الزبائن'!$BA$6:$BA$505,MATCH(B294,'الزبائن'!$A$6:$A$505,0)),"source key not found"))</x:f>
      </x:c>
      <x:c r="AC294" s="253" t="str">
        <x:f>IF(B294="","",IFERROR(INDEX('الزبائن'!$BB$6:$BB$505,MATCH(B294,'الزبائن'!$A$6:$A$505,0)),"source key not found"))</x:f>
      </x:c>
      <x:c r="AD294" s="253" t="str">
        <x:f>IF(AND(A294="",C294="",D294="",I294="",L294="",M294=""),"",IF(C294="skip","SKIP",IF(OR(A294="",C294="",D294="",I294="",L294="",M294="",U294="",COUNTIF($A$6:$A$505,A294)&gt;1,AND(B294&lt;&gt;"",COUNTIF('الزبائن'!$A$6:$A$505,B294)=0),(COUNTIFS('أرقام التواصل'!$A$6:$A$505,"proposed_name",'أرقام التواصل'!$B$6:$B$505,A294,'أرقام التواصل'!$I$6:$I$505,"TRUE")+COUNTIFS('أرقام التواصل'!$A$6:$A$505,"proposed_name",'أرقام التواصل'!$B$6:$B$505,A294,'أرقام التواصل'!$C$6:$C$505,1))=0,AND(W294="TRUE",X294="")),"REVIEW","READY")))</x:f>
      </x:c>
      <x:c r="AE294" s="255" t="str">
        <x:f>IF(AD294="","",IF(AD294="READY","",IF(AD294="SKIP","Skipped by candidate_import_action",TRIM(IF(A294="","missing proposed_name_key; ","")&amp;IF(AND(A294&lt;&gt;"",COUNTIF($A$6:$A$505,A294)&gt;1),"duplicate proposed_name_key; ","")&amp;IF(C294="","missing candidate_import_action; ","")&amp;IF(D294="","missing move_reason; ","")&amp;IF(I294="","missing branch_id; ","")&amp;IF(L294="","missing first_name; ","")&amp;IF(M294="","missing last_name; ","")&amp;IF(U294="","missing status; ","")&amp;IF(AND(B294&lt;&gt;"",COUNTIF('الزبائن'!$A$6:$A$505,B294)=0),"source key not found; ","")&amp;IF((COUNTIFS('أرقام التواصل'!$A$6:$A$505,"proposed_name",'أرقام التواصل'!$B$6:$B$505,A294,'أرقام التواصل'!$I$6:$I$505,"TRUE")+COUNTIFS('أرقام التواصل'!$A$6:$A$505,"proposed_name",'أرقام التواصل'!$B$6:$B$505,A294,'أرقام التواصل'!$C$6:$C$505,1))=0,"missing primary contact in أرقام التواصل; ","")&amp;IF(AND(W294="TRUE",X294=""),"duplicate_type required when duplicate_flag TRUE; ","")))))</x:f>
      </x:c>
    </x:row>
    <x:row r="295">
      <x:c r="A295" s="302"/>
      <x:c r="B295" s="252"/>
      <x:c r="C295" s="253"/>
      <x:c r="D295" s="253"/>
      <x:c r="E295" s="253"/>
      <x:c r="F295" s="252"/>
      <x:c r="G295" s="253"/>
      <x:c r="H295" s="272"/>
      <x:c r="I295" s="253"/>
      <x:c r="J295" s="253"/>
      <x:c r="K295" s="253"/>
      <x:c r="L295" s="253"/>
      <x:c r="M295" s="253"/>
      <x:c r="N295" s="253"/>
      <x:c r="O295" s="253" t="str">
        <x:f>IF(TRIM(L295&amp;" "&amp;M295&amp;IF(N295&lt;&gt;""," ("&amp;N295&amp;")",""))="","",TRIM(L295&amp;" "&amp;M295&amp;IF(N295&lt;&gt;""," ("&amp;N295&amp;")","")))</x:f>
      </x:c>
      <x:c r="P295" s="253"/>
      <x:c r="Q295" s="252"/>
      <x:c r="R295" s="253"/>
      <x:c r="S295" s="253"/>
      <x:c r="T295" s="253"/>
      <x:c r="U295" s="253"/>
      <x:c r="V295" s="253"/>
      <x:c r="W295" s="253"/>
      <x:c r="X295" s="253"/>
      <x:c r="Y295" s="252"/>
      <x:c r="Z295" s="252"/>
      <x:c r="AA295" s="253"/>
      <x:c r="AB295" s="253" t="str">
        <x:f>IF(B295="","",IFERROR(INDEX('الزبائن'!$BA$6:$BA$505,MATCH(B295,'الزبائن'!$A$6:$A$505,0)),"source key not found"))</x:f>
      </x:c>
      <x:c r="AC295" s="253" t="str">
        <x:f>IF(B295="","",IFERROR(INDEX('الزبائن'!$BB$6:$BB$505,MATCH(B295,'الزبائن'!$A$6:$A$505,0)),"source key not found"))</x:f>
      </x:c>
      <x:c r="AD295" s="253" t="str">
        <x:f>IF(AND(A295="",C295="",D295="",I295="",L295="",M295=""),"",IF(C295="skip","SKIP",IF(OR(A295="",C295="",D295="",I295="",L295="",M295="",U295="",COUNTIF($A$6:$A$505,A295)&gt;1,AND(B295&lt;&gt;"",COUNTIF('الزبائن'!$A$6:$A$505,B295)=0),(COUNTIFS('أرقام التواصل'!$A$6:$A$505,"proposed_name",'أرقام التواصل'!$B$6:$B$505,A295,'أرقام التواصل'!$I$6:$I$505,"TRUE")+COUNTIFS('أرقام التواصل'!$A$6:$A$505,"proposed_name",'أرقام التواصل'!$B$6:$B$505,A295,'أرقام التواصل'!$C$6:$C$505,1))=0,AND(W295="TRUE",X295="")),"REVIEW","READY")))</x:f>
      </x:c>
      <x:c r="AE295" s="255" t="str">
        <x:f>IF(AD295="","",IF(AD295="READY","",IF(AD295="SKIP","Skipped by candidate_import_action",TRIM(IF(A295="","missing proposed_name_key; ","")&amp;IF(AND(A295&lt;&gt;"",COUNTIF($A$6:$A$505,A295)&gt;1),"duplicate proposed_name_key; ","")&amp;IF(C295="","missing candidate_import_action; ","")&amp;IF(D295="","missing move_reason; ","")&amp;IF(I295="","missing branch_id; ","")&amp;IF(L295="","missing first_name; ","")&amp;IF(M295="","missing last_name; ","")&amp;IF(U295="","missing status; ","")&amp;IF(AND(B295&lt;&gt;"",COUNTIF('الزبائن'!$A$6:$A$505,B295)=0),"source key not found; ","")&amp;IF((COUNTIFS('أرقام التواصل'!$A$6:$A$505,"proposed_name",'أرقام التواصل'!$B$6:$B$505,A295,'أرقام التواصل'!$I$6:$I$505,"TRUE")+COUNTIFS('أرقام التواصل'!$A$6:$A$505,"proposed_name",'أرقام التواصل'!$B$6:$B$505,A295,'أرقام التواصل'!$C$6:$C$505,1))=0,"missing primary contact in أرقام التواصل; ","")&amp;IF(AND(W295="TRUE",X295=""),"duplicate_type required when duplicate_flag TRUE; ","")))))</x:f>
      </x:c>
    </x:row>
    <x:row r="296">
      <x:c r="A296" s="302"/>
      <x:c r="B296" s="252"/>
      <x:c r="C296" s="253"/>
      <x:c r="D296" s="253"/>
      <x:c r="E296" s="253"/>
      <x:c r="F296" s="252"/>
      <x:c r="G296" s="253"/>
      <x:c r="H296" s="272"/>
      <x:c r="I296" s="253"/>
      <x:c r="J296" s="253"/>
      <x:c r="K296" s="253"/>
      <x:c r="L296" s="253"/>
      <x:c r="M296" s="253"/>
      <x:c r="N296" s="253"/>
      <x:c r="O296" s="253" t="str">
        <x:f>IF(TRIM(L296&amp;" "&amp;M296&amp;IF(N296&lt;&gt;""," ("&amp;N296&amp;")",""))="","",TRIM(L296&amp;" "&amp;M296&amp;IF(N296&lt;&gt;""," ("&amp;N296&amp;")","")))</x:f>
      </x:c>
      <x:c r="P296" s="253"/>
      <x:c r="Q296" s="252"/>
      <x:c r="R296" s="253"/>
      <x:c r="S296" s="253"/>
      <x:c r="T296" s="253"/>
      <x:c r="U296" s="253"/>
      <x:c r="V296" s="253"/>
      <x:c r="W296" s="253"/>
      <x:c r="X296" s="253"/>
      <x:c r="Y296" s="252"/>
      <x:c r="Z296" s="252"/>
      <x:c r="AA296" s="253"/>
      <x:c r="AB296" s="253" t="str">
        <x:f>IF(B296="","",IFERROR(INDEX('الزبائن'!$BA$6:$BA$505,MATCH(B296,'الزبائن'!$A$6:$A$505,0)),"source key not found"))</x:f>
      </x:c>
      <x:c r="AC296" s="253" t="str">
        <x:f>IF(B296="","",IFERROR(INDEX('الزبائن'!$BB$6:$BB$505,MATCH(B296,'الزبائن'!$A$6:$A$505,0)),"source key not found"))</x:f>
      </x:c>
      <x:c r="AD296" s="253" t="str">
        <x:f>IF(AND(A296="",C296="",D296="",I296="",L296="",M296=""),"",IF(C296="skip","SKIP",IF(OR(A296="",C296="",D296="",I296="",L296="",M296="",U296="",COUNTIF($A$6:$A$505,A296)&gt;1,AND(B296&lt;&gt;"",COUNTIF('الزبائن'!$A$6:$A$505,B296)=0),(COUNTIFS('أرقام التواصل'!$A$6:$A$505,"proposed_name",'أرقام التواصل'!$B$6:$B$505,A296,'أرقام التواصل'!$I$6:$I$505,"TRUE")+COUNTIFS('أرقام التواصل'!$A$6:$A$505,"proposed_name",'أرقام التواصل'!$B$6:$B$505,A296,'أرقام التواصل'!$C$6:$C$505,1))=0,AND(W296="TRUE",X296="")),"REVIEW","READY")))</x:f>
      </x:c>
      <x:c r="AE296" s="255" t="str">
        <x:f>IF(AD296="","",IF(AD296="READY","",IF(AD296="SKIP","Skipped by candidate_import_action",TRIM(IF(A296="","missing proposed_name_key; ","")&amp;IF(AND(A296&lt;&gt;"",COUNTIF($A$6:$A$505,A296)&gt;1),"duplicate proposed_name_key; ","")&amp;IF(C296="","missing candidate_import_action; ","")&amp;IF(D296="","missing move_reason; ","")&amp;IF(I296="","missing branch_id; ","")&amp;IF(L296="","missing first_name; ","")&amp;IF(M296="","missing last_name; ","")&amp;IF(U296="","missing status; ","")&amp;IF(AND(B296&lt;&gt;"",COUNTIF('الزبائن'!$A$6:$A$505,B296)=0),"source key not found; ","")&amp;IF((COUNTIFS('أرقام التواصل'!$A$6:$A$505,"proposed_name",'أرقام التواصل'!$B$6:$B$505,A296,'أرقام التواصل'!$I$6:$I$505,"TRUE")+COUNTIFS('أرقام التواصل'!$A$6:$A$505,"proposed_name",'أرقام التواصل'!$B$6:$B$505,A296,'أرقام التواصل'!$C$6:$C$505,1))=0,"missing primary contact in أرقام التواصل; ","")&amp;IF(AND(W296="TRUE",X296=""),"duplicate_type required when duplicate_flag TRUE; ","")))))</x:f>
      </x:c>
    </x:row>
    <x:row r="297">
      <x:c r="A297" s="302"/>
      <x:c r="B297" s="252"/>
      <x:c r="C297" s="253"/>
      <x:c r="D297" s="253"/>
      <x:c r="E297" s="253"/>
      <x:c r="F297" s="252"/>
      <x:c r="G297" s="253"/>
      <x:c r="H297" s="272"/>
      <x:c r="I297" s="253"/>
      <x:c r="J297" s="253"/>
      <x:c r="K297" s="253"/>
      <x:c r="L297" s="253"/>
      <x:c r="M297" s="253"/>
      <x:c r="N297" s="253"/>
      <x:c r="O297" s="253" t="str">
        <x:f>IF(TRIM(L297&amp;" "&amp;M297&amp;IF(N297&lt;&gt;""," ("&amp;N297&amp;")",""))="","",TRIM(L297&amp;" "&amp;M297&amp;IF(N297&lt;&gt;""," ("&amp;N297&amp;")","")))</x:f>
      </x:c>
      <x:c r="P297" s="253"/>
      <x:c r="Q297" s="252"/>
      <x:c r="R297" s="253"/>
      <x:c r="S297" s="253"/>
      <x:c r="T297" s="253"/>
      <x:c r="U297" s="253"/>
      <x:c r="V297" s="253"/>
      <x:c r="W297" s="253"/>
      <x:c r="X297" s="253"/>
      <x:c r="Y297" s="252"/>
      <x:c r="Z297" s="252"/>
      <x:c r="AA297" s="253"/>
      <x:c r="AB297" s="253" t="str">
        <x:f>IF(B297="","",IFERROR(INDEX('الزبائن'!$BA$6:$BA$505,MATCH(B297,'الزبائن'!$A$6:$A$505,0)),"source key not found"))</x:f>
      </x:c>
      <x:c r="AC297" s="253" t="str">
        <x:f>IF(B297="","",IFERROR(INDEX('الزبائن'!$BB$6:$BB$505,MATCH(B297,'الزبائن'!$A$6:$A$505,0)),"source key not found"))</x:f>
      </x:c>
      <x:c r="AD297" s="253" t="str">
        <x:f>IF(AND(A297="",C297="",D297="",I297="",L297="",M297=""),"",IF(C297="skip","SKIP",IF(OR(A297="",C297="",D297="",I297="",L297="",M297="",U297="",COUNTIF($A$6:$A$505,A297)&gt;1,AND(B297&lt;&gt;"",COUNTIF('الزبائن'!$A$6:$A$505,B297)=0),(COUNTIFS('أرقام التواصل'!$A$6:$A$505,"proposed_name",'أرقام التواصل'!$B$6:$B$505,A297,'أرقام التواصل'!$I$6:$I$505,"TRUE")+COUNTIFS('أرقام التواصل'!$A$6:$A$505,"proposed_name",'أرقام التواصل'!$B$6:$B$505,A297,'أرقام التواصل'!$C$6:$C$505,1))=0,AND(W297="TRUE",X297="")),"REVIEW","READY")))</x:f>
      </x:c>
      <x:c r="AE297" s="255" t="str">
        <x:f>IF(AD297="","",IF(AD297="READY","",IF(AD297="SKIP","Skipped by candidate_import_action",TRIM(IF(A297="","missing proposed_name_key; ","")&amp;IF(AND(A297&lt;&gt;"",COUNTIF($A$6:$A$505,A297)&gt;1),"duplicate proposed_name_key; ","")&amp;IF(C297="","missing candidate_import_action; ","")&amp;IF(D297="","missing move_reason; ","")&amp;IF(I297="","missing branch_id; ","")&amp;IF(L297="","missing first_name; ","")&amp;IF(M297="","missing last_name; ","")&amp;IF(U297="","missing status; ","")&amp;IF(AND(B297&lt;&gt;"",COUNTIF('الزبائن'!$A$6:$A$505,B297)=0),"source key not found; ","")&amp;IF((COUNTIFS('أرقام التواصل'!$A$6:$A$505,"proposed_name",'أرقام التواصل'!$B$6:$B$505,A297,'أرقام التواصل'!$I$6:$I$505,"TRUE")+COUNTIFS('أرقام التواصل'!$A$6:$A$505,"proposed_name",'أرقام التواصل'!$B$6:$B$505,A297,'أرقام التواصل'!$C$6:$C$505,1))=0,"missing primary contact in أرقام التواصل; ","")&amp;IF(AND(W297="TRUE",X297=""),"duplicate_type required when duplicate_flag TRUE; ","")))))</x:f>
      </x:c>
    </x:row>
    <x:row r="298">
      <x:c r="A298" s="302"/>
      <x:c r="B298" s="252"/>
      <x:c r="C298" s="253"/>
      <x:c r="D298" s="253"/>
      <x:c r="E298" s="253"/>
      <x:c r="F298" s="252"/>
      <x:c r="G298" s="253"/>
      <x:c r="H298" s="272"/>
      <x:c r="I298" s="253"/>
      <x:c r="J298" s="253"/>
      <x:c r="K298" s="253"/>
      <x:c r="L298" s="253"/>
      <x:c r="M298" s="253"/>
      <x:c r="N298" s="253"/>
      <x:c r="O298" s="253" t="str">
        <x:f>IF(TRIM(L298&amp;" "&amp;M298&amp;IF(N298&lt;&gt;""," ("&amp;N298&amp;")",""))="","",TRIM(L298&amp;" "&amp;M298&amp;IF(N298&lt;&gt;""," ("&amp;N298&amp;")","")))</x:f>
      </x:c>
      <x:c r="P298" s="253"/>
      <x:c r="Q298" s="252"/>
      <x:c r="R298" s="253"/>
      <x:c r="S298" s="253"/>
      <x:c r="T298" s="253"/>
      <x:c r="U298" s="253"/>
      <x:c r="V298" s="253"/>
      <x:c r="W298" s="253"/>
      <x:c r="X298" s="253"/>
      <x:c r="Y298" s="252"/>
      <x:c r="Z298" s="252"/>
      <x:c r="AA298" s="253"/>
      <x:c r="AB298" s="253" t="str">
        <x:f>IF(B298="","",IFERROR(INDEX('الزبائن'!$BA$6:$BA$505,MATCH(B298,'الزبائن'!$A$6:$A$505,0)),"source key not found"))</x:f>
      </x:c>
      <x:c r="AC298" s="253" t="str">
        <x:f>IF(B298="","",IFERROR(INDEX('الزبائن'!$BB$6:$BB$505,MATCH(B298,'الزبائن'!$A$6:$A$505,0)),"source key not found"))</x:f>
      </x:c>
      <x:c r="AD298" s="253" t="str">
        <x:f>IF(AND(A298="",C298="",D298="",I298="",L298="",M298=""),"",IF(C298="skip","SKIP",IF(OR(A298="",C298="",D298="",I298="",L298="",M298="",U298="",COUNTIF($A$6:$A$505,A298)&gt;1,AND(B298&lt;&gt;"",COUNTIF('الزبائن'!$A$6:$A$505,B298)=0),(COUNTIFS('أرقام التواصل'!$A$6:$A$505,"proposed_name",'أرقام التواصل'!$B$6:$B$505,A298,'أرقام التواصل'!$I$6:$I$505,"TRUE")+COUNTIFS('أرقام التواصل'!$A$6:$A$505,"proposed_name",'أرقام التواصل'!$B$6:$B$505,A298,'أرقام التواصل'!$C$6:$C$505,1))=0,AND(W298="TRUE",X298="")),"REVIEW","READY")))</x:f>
      </x:c>
      <x:c r="AE298" s="255" t="str">
        <x:f>IF(AD298="","",IF(AD298="READY","",IF(AD298="SKIP","Skipped by candidate_import_action",TRIM(IF(A298="","missing proposed_name_key; ","")&amp;IF(AND(A298&lt;&gt;"",COUNTIF($A$6:$A$505,A298)&gt;1),"duplicate proposed_name_key; ","")&amp;IF(C298="","missing candidate_import_action; ","")&amp;IF(D298="","missing move_reason; ","")&amp;IF(I298="","missing branch_id; ","")&amp;IF(L298="","missing first_name; ","")&amp;IF(M298="","missing last_name; ","")&amp;IF(U298="","missing status; ","")&amp;IF(AND(B298&lt;&gt;"",COUNTIF('الزبائن'!$A$6:$A$505,B298)=0),"source key not found; ","")&amp;IF((COUNTIFS('أرقام التواصل'!$A$6:$A$505,"proposed_name",'أرقام التواصل'!$B$6:$B$505,A298,'أرقام التواصل'!$I$6:$I$505,"TRUE")+COUNTIFS('أرقام التواصل'!$A$6:$A$505,"proposed_name",'أرقام التواصل'!$B$6:$B$505,A298,'أرقام التواصل'!$C$6:$C$505,1))=0,"missing primary contact in أرقام التواصل; ","")&amp;IF(AND(W298="TRUE",X298=""),"duplicate_type required when duplicate_flag TRUE; ","")))))</x:f>
      </x:c>
    </x:row>
    <x:row r="299">
      <x:c r="A299" s="302"/>
      <x:c r="B299" s="252"/>
      <x:c r="C299" s="253"/>
      <x:c r="D299" s="253"/>
      <x:c r="E299" s="253"/>
      <x:c r="F299" s="252"/>
      <x:c r="G299" s="253"/>
      <x:c r="H299" s="272"/>
      <x:c r="I299" s="253"/>
      <x:c r="J299" s="253"/>
      <x:c r="K299" s="253"/>
      <x:c r="L299" s="253"/>
      <x:c r="M299" s="253"/>
      <x:c r="N299" s="253"/>
      <x:c r="O299" s="253" t="str">
        <x:f>IF(TRIM(L299&amp;" "&amp;M299&amp;IF(N299&lt;&gt;""," ("&amp;N299&amp;")",""))="","",TRIM(L299&amp;" "&amp;M299&amp;IF(N299&lt;&gt;""," ("&amp;N299&amp;")","")))</x:f>
      </x:c>
      <x:c r="P299" s="253"/>
      <x:c r="Q299" s="252"/>
      <x:c r="R299" s="253"/>
      <x:c r="S299" s="253"/>
      <x:c r="T299" s="253"/>
      <x:c r="U299" s="253"/>
      <x:c r="V299" s="253"/>
      <x:c r="W299" s="253"/>
      <x:c r="X299" s="253"/>
      <x:c r="Y299" s="252"/>
      <x:c r="Z299" s="252"/>
      <x:c r="AA299" s="253"/>
      <x:c r="AB299" s="253" t="str">
        <x:f>IF(B299="","",IFERROR(INDEX('الزبائن'!$BA$6:$BA$505,MATCH(B299,'الزبائن'!$A$6:$A$505,0)),"source key not found"))</x:f>
      </x:c>
      <x:c r="AC299" s="253" t="str">
        <x:f>IF(B299="","",IFERROR(INDEX('الزبائن'!$BB$6:$BB$505,MATCH(B299,'الزبائن'!$A$6:$A$505,0)),"source key not found"))</x:f>
      </x:c>
      <x:c r="AD299" s="253" t="str">
        <x:f>IF(AND(A299="",C299="",D299="",I299="",L299="",M299=""),"",IF(C299="skip","SKIP",IF(OR(A299="",C299="",D299="",I299="",L299="",M299="",U299="",COUNTIF($A$6:$A$505,A299)&gt;1,AND(B299&lt;&gt;"",COUNTIF('الزبائن'!$A$6:$A$505,B299)=0),(COUNTIFS('أرقام التواصل'!$A$6:$A$505,"proposed_name",'أرقام التواصل'!$B$6:$B$505,A299,'أرقام التواصل'!$I$6:$I$505,"TRUE")+COUNTIFS('أرقام التواصل'!$A$6:$A$505,"proposed_name",'أرقام التواصل'!$B$6:$B$505,A299,'أرقام التواصل'!$C$6:$C$505,1))=0,AND(W299="TRUE",X299="")),"REVIEW","READY")))</x:f>
      </x:c>
      <x:c r="AE299" s="255" t="str">
        <x:f>IF(AD299="","",IF(AD299="READY","",IF(AD299="SKIP","Skipped by candidate_import_action",TRIM(IF(A299="","missing proposed_name_key; ","")&amp;IF(AND(A299&lt;&gt;"",COUNTIF($A$6:$A$505,A299)&gt;1),"duplicate proposed_name_key; ","")&amp;IF(C299="","missing candidate_import_action; ","")&amp;IF(D299="","missing move_reason; ","")&amp;IF(I299="","missing branch_id; ","")&amp;IF(L299="","missing first_name; ","")&amp;IF(M299="","missing last_name; ","")&amp;IF(U299="","missing status; ","")&amp;IF(AND(B299&lt;&gt;"",COUNTIF('الزبائن'!$A$6:$A$505,B299)=0),"source key not found; ","")&amp;IF((COUNTIFS('أرقام التواصل'!$A$6:$A$505,"proposed_name",'أرقام التواصل'!$B$6:$B$505,A299,'أرقام التواصل'!$I$6:$I$505,"TRUE")+COUNTIFS('أرقام التواصل'!$A$6:$A$505,"proposed_name",'أرقام التواصل'!$B$6:$B$505,A299,'أرقام التواصل'!$C$6:$C$505,1))=0,"missing primary contact in أرقام التواصل; ","")&amp;IF(AND(W299="TRUE",X299=""),"duplicate_type required when duplicate_flag TRUE; ","")))))</x:f>
      </x:c>
    </x:row>
    <x:row r="300">
      <x:c r="A300" s="302"/>
      <x:c r="B300" s="252"/>
      <x:c r="C300" s="253"/>
      <x:c r="D300" s="253"/>
      <x:c r="E300" s="253"/>
      <x:c r="F300" s="252"/>
      <x:c r="G300" s="253"/>
      <x:c r="H300" s="272"/>
      <x:c r="I300" s="253"/>
      <x:c r="J300" s="253"/>
      <x:c r="K300" s="253"/>
      <x:c r="L300" s="253"/>
      <x:c r="M300" s="253"/>
      <x:c r="N300" s="253"/>
      <x:c r="O300" s="253" t="str">
        <x:f>IF(TRIM(L300&amp;" "&amp;M300&amp;IF(N300&lt;&gt;""," ("&amp;N300&amp;")",""))="","",TRIM(L300&amp;" "&amp;M300&amp;IF(N300&lt;&gt;""," ("&amp;N300&amp;")","")))</x:f>
      </x:c>
      <x:c r="P300" s="253"/>
      <x:c r="Q300" s="252"/>
      <x:c r="R300" s="253"/>
      <x:c r="S300" s="253"/>
      <x:c r="T300" s="253"/>
      <x:c r="U300" s="253"/>
      <x:c r="V300" s="253"/>
      <x:c r="W300" s="253"/>
      <x:c r="X300" s="253"/>
      <x:c r="Y300" s="252"/>
      <x:c r="Z300" s="252"/>
      <x:c r="AA300" s="253"/>
      <x:c r="AB300" s="253" t="str">
        <x:f>IF(B300="","",IFERROR(INDEX('الزبائن'!$BA$6:$BA$505,MATCH(B300,'الزبائن'!$A$6:$A$505,0)),"source key not found"))</x:f>
      </x:c>
      <x:c r="AC300" s="253" t="str">
        <x:f>IF(B300="","",IFERROR(INDEX('الزبائن'!$BB$6:$BB$505,MATCH(B300,'الزبائن'!$A$6:$A$505,0)),"source key not found"))</x:f>
      </x:c>
      <x:c r="AD300" s="253" t="str">
        <x:f>IF(AND(A300="",C300="",D300="",I300="",L300="",M300=""),"",IF(C300="skip","SKIP",IF(OR(A300="",C300="",D300="",I300="",L300="",M300="",U300="",COUNTIF($A$6:$A$505,A300)&gt;1,AND(B300&lt;&gt;"",COUNTIF('الزبائن'!$A$6:$A$505,B300)=0),(COUNTIFS('أرقام التواصل'!$A$6:$A$505,"proposed_name",'أرقام التواصل'!$B$6:$B$505,A300,'أرقام التواصل'!$I$6:$I$505,"TRUE")+COUNTIFS('أرقام التواصل'!$A$6:$A$505,"proposed_name",'أرقام التواصل'!$B$6:$B$505,A300,'أرقام التواصل'!$C$6:$C$505,1))=0,AND(W300="TRUE",X300="")),"REVIEW","READY")))</x:f>
      </x:c>
      <x:c r="AE300" s="255" t="str">
        <x:f>IF(AD300="","",IF(AD300="READY","",IF(AD300="SKIP","Skipped by candidate_import_action",TRIM(IF(A300="","missing proposed_name_key; ","")&amp;IF(AND(A300&lt;&gt;"",COUNTIF($A$6:$A$505,A300)&gt;1),"duplicate proposed_name_key; ","")&amp;IF(C300="","missing candidate_import_action; ","")&amp;IF(D300="","missing move_reason; ","")&amp;IF(I300="","missing branch_id; ","")&amp;IF(L300="","missing first_name; ","")&amp;IF(M300="","missing last_name; ","")&amp;IF(U300="","missing status; ","")&amp;IF(AND(B300&lt;&gt;"",COUNTIF('الزبائن'!$A$6:$A$505,B300)=0),"source key not found; ","")&amp;IF((COUNTIFS('أرقام التواصل'!$A$6:$A$505,"proposed_name",'أرقام التواصل'!$B$6:$B$505,A300,'أرقام التواصل'!$I$6:$I$505,"TRUE")+COUNTIFS('أرقام التواصل'!$A$6:$A$505,"proposed_name",'أرقام التواصل'!$B$6:$B$505,A300,'أرقام التواصل'!$C$6:$C$505,1))=0,"missing primary contact in أرقام التواصل; ","")&amp;IF(AND(W300="TRUE",X300=""),"duplicate_type required when duplicate_flag TRUE; ","")))))</x:f>
      </x:c>
    </x:row>
    <x:row r="301">
      <x:c r="A301" s="302"/>
      <x:c r="B301" s="252"/>
      <x:c r="C301" s="253"/>
      <x:c r="D301" s="253"/>
      <x:c r="E301" s="253"/>
      <x:c r="F301" s="252"/>
      <x:c r="G301" s="253"/>
      <x:c r="H301" s="272"/>
      <x:c r="I301" s="253"/>
      <x:c r="J301" s="253"/>
      <x:c r="K301" s="253"/>
      <x:c r="L301" s="253"/>
      <x:c r="M301" s="253"/>
      <x:c r="N301" s="253"/>
      <x:c r="O301" s="253" t="str">
        <x:f>IF(TRIM(L301&amp;" "&amp;M301&amp;IF(N301&lt;&gt;""," ("&amp;N301&amp;")",""))="","",TRIM(L301&amp;" "&amp;M301&amp;IF(N301&lt;&gt;""," ("&amp;N301&amp;")","")))</x:f>
      </x:c>
      <x:c r="P301" s="253"/>
      <x:c r="Q301" s="252"/>
      <x:c r="R301" s="253"/>
      <x:c r="S301" s="253"/>
      <x:c r="T301" s="253"/>
      <x:c r="U301" s="253"/>
      <x:c r="V301" s="253"/>
      <x:c r="W301" s="253"/>
      <x:c r="X301" s="253"/>
      <x:c r="Y301" s="252"/>
      <x:c r="Z301" s="252"/>
      <x:c r="AA301" s="253"/>
      <x:c r="AB301" s="253" t="str">
        <x:f>IF(B301="","",IFERROR(INDEX('الزبائن'!$BA$6:$BA$505,MATCH(B301,'الزبائن'!$A$6:$A$505,0)),"source key not found"))</x:f>
      </x:c>
      <x:c r="AC301" s="253" t="str">
        <x:f>IF(B301="","",IFERROR(INDEX('الزبائن'!$BB$6:$BB$505,MATCH(B301,'الزبائن'!$A$6:$A$505,0)),"source key not found"))</x:f>
      </x:c>
      <x:c r="AD301" s="253" t="str">
        <x:f>IF(AND(A301="",C301="",D301="",I301="",L301="",M301=""),"",IF(C301="skip","SKIP",IF(OR(A301="",C301="",D301="",I301="",L301="",M301="",U301="",COUNTIF($A$6:$A$505,A301)&gt;1,AND(B301&lt;&gt;"",COUNTIF('الزبائن'!$A$6:$A$505,B301)=0),(COUNTIFS('أرقام التواصل'!$A$6:$A$505,"proposed_name",'أرقام التواصل'!$B$6:$B$505,A301,'أرقام التواصل'!$I$6:$I$505,"TRUE")+COUNTIFS('أرقام التواصل'!$A$6:$A$505,"proposed_name",'أرقام التواصل'!$B$6:$B$505,A301,'أرقام التواصل'!$C$6:$C$505,1))=0,AND(W301="TRUE",X301="")),"REVIEW","READY")))</x:f>
      </x:c>
      <x:c r="AE301" s="255" t="str">
        <x:f>IF(AD301="","",IF(AD301="READY","",IF(AD301="SKIP","Skipped by candidate_import_action",TRIM(IF(A301="","missing proposed_name_key; ","")&amp;IF(AND(A301&lt;&gt;"",COUNTIF($A$6:$A$505,A301)&gt;1),"duplicate proposed_name_key; ","")&amp;IF(C301="","missing candidate_import_action; ","")&amp;IF(D301="","missing move_reason; ","")&amp;IF(I301="","missing branch_id; ","")&amp;IF(L301="","missing first_name; ","")&amp;IF(M301="","missing last_name; ","")&amp;IF(U301="","missing status; ","")&amp;IF(AND(B301&lt;&gt;"",COUNTIF('الزبائن'!$A$6:$A$505,B301)=0),"source key not found; ","")&amp;IF((COUNTIFS('أرقام التواصل'!$A$6:$A$505,"proposed_name",'أرقام التواصل'!$B$6:$B$505,A301,'أرقام التواصل'!$I$6:$I$505,"TRUE")+COUNTIFS('أرقام التواصل'!$A$6:$A$505,"proposed_name",'أرقام التواصل'!$B$6:$B$505,A301,'أرقام التواصل'!$C$6:$C$505,1))=0,"missing primary contact in أرقام التواصل; ","")&amp;IF(AND(W301="TRUE",X301=""),"duplicate_type required when duplicate_flag TRUE; ","")))))</x:f>
      </x:c>
    </x:row>
    <x:row r="302">
      <x:c r="A302" s="302"/>
      <x:c r="B302" s="252"/>
      <x:c r="C302" s="253"/>
      <x:c r="D302" s="253"/>
      <x:c r="E302" s="253"/>
      <x:c r="F302" s="252"/>
      <x:c r="G302" s="253"/>
      <x:c r="H302" s="272"/>
      <x:c r="I302" s="253"/>
      <x:c r="J302" s="253"/>
      <x:c r="K302" s="253"/>
      <x:c r="L302" s="253"/>
      <x:c r="M302" s="253"/>
      <x:c r="N302" s="253"/>
      <x:c r="O302" s="253" t="str">
        <x:f>IF(TRIM(L302&amp;" "&amp;M302&amp;IF(N302&lt;&gt;""," ("&amp;N302&amp;")",""))="","",TRIM(L302&amp;" "&amp;M302&amp;IF(N302&lt;&gt;""," ("&amp;N302&amp;")","")))</x:f>
      </x:c>
      <x:c r="P302" s="253"/>
      <x:c r="Q302" s="252"/>
      <x:c r="R302" s="253"/>
      <x:c r="S302" s="253"/>
      <x:c r="T302" s="253"/>
      <x:c r="U302" s="253"/>
      <x:c r="V302" s="253"/>
      <x:c r="W302" s="253"/>
      <x:c r="X302" s="253"/>
      <x:c r="Y302" s="252"/>
      <x:c r="Z302" s="252"/>
      <x:c r="AA302" s="253"/>
      <x:c r="AB302" s="253" t="str">
        <x:f>IF(B302="","",IFERROR(INDEX('الزبائن'!$BA$6:$BA$505,MATCH(B302,'الزبائن'!$A$6:$A$505,0)),"source key not found"))</x:f>
      </x:c>
      <x:c r="AC302" s="253" t="str">
        <x:f>IF(B302="","",IFERROR(INDEX('الزبائن'!$BB$6:$BB$505,MATCH(B302,'الزبائن'!$A$6:$A$505,0)),"source key not found"))</x:f>
      </x:c>
      <x:c r="AD302" s="253" t="str">
        <x:f>IF(AND(A302="",C302="",D302="",I302="",L302="",M302=""),"",IF(C302="skip","SKIP",IF(OR(A302="",C302="",D302="",I302="",L302="",M302="",U302="",COUNTIF($A$6:$A$505,A302)&gt;1,AND(B302&lt;&gt;"",COUNTIF('الزبائن'!$A$6:$A$505,B302)=0),(COUNTIFS('أرقام التواصل'!$A$6:$A$505,"proposed_name",'أرقام التواصل'!$B$6:$B$505,A302,'أرقام التواصل'!$I$6:$I$505,"TRUE")+COUNTIFS('أرقام التواصل'!$A$6:$A$505,"proposed_name",'أرقام التواصل'!$B$6:$B$505,A302,'أرقام التواصل'!$C$6:$C$505,1))=0,AND(W302="TRUE",X302="")),"REVIEW","READY")))</x:f>
      </x:c>
      <x:c r="AE302" s="255" t="str">
        <x:f>IF(AD302="","",IF(AD302="READY","",IF(AD302="SKIP","Skipped by candidate_import_action",TRIM(IF(A302="","missing proposed_name_key; ","")&amp;IF(AND(A302&lt;&gt;"",COUNTIF($A$6:$A$505,A302)&gt;1),"duplicate proposed_name_key; ","")&amp;IF(C302="","missing candidate_import_action; ","")&amp;IF(D302="","missing move_reason; ","")&amp;IF(I302="","missing branch_id; ","")&amp;IF(L302="","missing first_name; ","")&amp;IF(M302="","missing last_name; ","")&amp;IF(U302="","missing status; ","")&amp;IF(AND(B302&lt;&gt;"",COUNTIF('الزبائن'!$A$6:$A$505,B302)=0),"source key not found; ","")&amp;IF((COUNTIFS('أرقام التواصل'!$A$6:$A$505,"proposed_name",'أرقام التواصل'!$B$6:$B$505,A302,'أرقام التواصل'!$I$6:$I$505,"TRUE")+COUNTIFS('أرقام التواصل'!$A$6:$A$505,"proposed_name",'أرقام التواصل'!$B$6:$B$505,A302,'أرقام التواصل'!$C$6:$C$505,1))=0,"missing primary contact in أرقام التواصل; ","")&amp;IF(AND(W302="TRUE",X302=""),"duplicate_type required when duplicate_flag TRUE; ","")))))</x:f>
      </x:c>
    </x:row>
    <x:row r="303">
      <x:c r="A303" s="302"/>
      <x:c r="B303" s="252"/>
      <x:c r="C303" s="253"/>
      <x:c r="D303" s="253"/>
      <x:c r="E303" s="253"/>
      <x:c r="F303" s="252"/>
      <x:c r="G303" s="253"/>
      <x:c r="H303" s="272"/>
      <x:c r="I303" s="253"/>
      <x:c r="J303" s="253"/>
      <x:c r="K303" s="253"/>
      <x:c r="L303" s="253"/>
      <x:c r="M303" s="253"/>
      <x:c r="N303" s="253"/>
      <x:c r="O303" s="253" t="str">
        <x:f>IF(TRIM(L303&amp;" "&amp;M303&amp;IF(N303&lt;&gt;""," ("&amp;N303&amp;")",""))="","",TRIM(L303&amp;" "&amp;M303&amp;IF(N303&lt;&gt;""," ("&amp;N303&amp;")","")))</x:f>
      </x:c>
      <x:c r="P303" s="253"/>
      <x:c r="Q303" s="252"/>
      <x:c r="R303" s="253"/>
      <x:c r="S303" s="253"/>
      <x:c r="T303" s="253"/>
      <x:c r="U303" s="253"/>
      <x:c r="V303" s="253"/>
      <x:c r="W303" s="253"/>
      <x:c r="X303" s="253"/>
      <x:c r="Y303" s="252"/>
      <x:c r="Z303" s="252"/>
      <x:c r="AA303" s="253"/>
      <x:c r="AB303" s="253" t="str">
        <x:f>IF(B303="","",IFERROR(INDEX('الزبائن'!$BA$6:$BA$505,MATCH(B303,'الزبائن'!$A$6:$A$505,0)),"source key not found"))</x:f>
      </x:c>
      <x:c r="AC303" s="253" t="str">
        <x:f>IF(B303="","",IFERROR(INDEX('الزبائن'!$BB$6:$BB$505,MATCH(B303,'الزبائن'!$A$6:$A$505,0)),"source key not found"))</x:f>
      </x:c>
      <x:c r="AD303" s="253" t="str">
        <x:f>IF(AND(A303="",C303="",D303="",I303="",L303="",M303=""),"",IF(C303="skip","SKIP",IF(OR(A303="",C303="",D303="",I303="",L303="",M303="",U303="",COUNTIF($A$6:$A$505,A303)&gt;1,AND(B303&lt;&gt;"",COUNTIF('الزبائن'!$A$6:$A$505,B303)=0),(COUNTIFS('أرقام التواصل'!$A$6:$A$505,"proposed_name",'أرقام التواصل'!$B$6:$B$505,A303,'أرقام التواصل'!$I$6:$I$505,"TRUE")+COUNTIFS('أرقام التواصل'!$A$6:$A$505,"proposed_name",'أرقام التواصل'!$B$6:$B$505,A303,'أرقام التواصل'!$C$6:$C$505,1))=0,AND(W303="TRUE",X303="")),"REVIEW","READY")))</x:f>
      </x:c>
      <x:c r="AE303" s="255" t="str">
        <x:f>IF(AD303="","",IF(AD303="READY","",IF(AD303="SKIP","Skipped by candidate_import_action",TRIM(IF(A303="","missing proposed_name_key; ","")&amp;IF(AND(A303&lt;&gt;"",COUNTIF($A$6:$A$505,A303)&gt;1),"duplicate proposed_name_key; ","")&amp;IF(C303="","missing candidate_import_action; ","")&amp;IF(D303="","missing move_reason; ","")&amp;IF(I303="","missing branch_id; ","")&amp;IF(L303="","missing first_name; ","")&amp;IF(M303="","missing last_name; ","")&amp;IF(U303="","missing status; ","")&amp;IF(AND(B303&lt;&gt;"",COUNTIF('الزبائن'!$A$6:$A$505,B303)=0),"source key not found; ","")&amp;IF((COUNTIFS('أرقام التواصل'!$A$6:$A$505,"proposed_name",'أرقام التواصل'!$B$6:$B$505,A303,'أرقام التواصل'!$I$6:$I$505,"TRUE")+COUNTIFS('أرقام التواصل'!$A$6:$A$505,"proposed_name",'أرقام التواصل'!$B$6:$B$505,A303,'أرقام التواصل'!$C$6:$C$505,1))=0,"missing primary contact in أرقام التواصل; ","")&amp;IF(AND(W303="TRUE",X303=""),"duplicate_type required when duplicate_flag TRUE; ","")))))</x:f>
      </x:c>
    </x:row>
    <x:row r="304">
      <x:c r="A304" s="302"/>
      <x:c r="B304" s="252"/>
      <x:c r="C304" s="253"/>
      <x:c r="D304" s="253"/>
      <x:c r="E304" s="253"/>
      <x:c r="F304" s="252"/>
      <x:c r="G304" s="253"/>
      <x:c r="H304" s="272"/>
      <x:c r="I304" s="253"/>
      <x:c r="J304" s="253"/>
      <x:c r="K304" s="253"/>
      <x:c r="L304" s="253"/>
      <x:c r="M304" s="253"/>
      <x:c r="N304" s="253"/>
      <x:c r="O304" s="253" t="str">
        <x:f>IF(TRIM(L304&amp;" "&amp;M304&amp;IF(N304&lt;&gt;""," ("&amp;N304&amp;")",""))="","",TRIM(L304&amp;" "&amp;M304&amp;IF(N304&lt;&gt;""," ("&amp;N304&amp;")","")))</x:f>
      </x:c>
      <x:c r="P304" s="253"/>
      <x:c r="Q304" s="252"/>
      <x:c r="R304" s="253"/>
      <x:c r="S304" s="253"/>
      <x:c r="T304" s="253"/>
      <x:c r="U304" s="253"/>
      <x:c r="V304" s="253"/>
      <x:c r="W304" s="253"/>
      <x:c r="X304" s="253"/>
      <x:c r="Y304" s="252"/>
      <x:c r="Z304" s="252"/>
      <x:c r="AA304" s="253"/>
      <x:c r="AB304" s="253" t="str">
        <x:f>IF(B304="","",IFERROR(INDEX('الزبائن'!$BA$6:$BA$505,MATCH(B304,'الزبائن'!$A$6:$A$505,0)),"source key not found"))</x:f>
      </x:c>
      <x:c r="AC304" s="253" t="str">
        <x:f>IF(B304="","",IFERROR(INDEX('الزبائن'!$BB$6:$BB$505,MATCH(B304,'الزبائن'!$A$6:$A$505,0)),"source key not found"))</x:f>
      </x:c>
      <x:c r="AD304" s="253" t="str">
        <x:f>IF(AND(A304="",C304="",D304="",I304="",L304="",M304=""),"",IF(C304="skip","SKIP",IF(OR(A304="",C304="",D304="",I304="",L304="",M304="",U304="",COUNTIF($A$6:$A$505,A304)&gt;1,AND(B304&lt;&gt;"",COUNTIF('الزبائن'!$A$6:$A$505,B304)=0),(COUNTIFS('أرقام التواصل'!$A$6:$A$505,"proposed_name",'أرقام التواصل'!$B$6:$B$505,A304,'أرقام التواصل'!$I$6:$I$505,"TRUE")+COUNTIFS('أرقام التواصل'!$A$6:$A$505,"proposed_name",'أرقام التواصل'!$B$6:$B$505,A304,'أرقام التواصل'!$C$6:$C$505,1))=0,AND(W304="TRUE",X304="")),"REVIEW","READY")))</x:f>
      </x:c>
      <x:c r="AE304" s="255" t="str">
        <x:f>IF(AD304="","",IF(AD304="READY","",IF(AD304="SKIP","Skipped by candidate_import_action",TRIM(IF(A304="","missing proposed_name_key; ","")&amp;IF(AND(A304&lt;&gt;"",COUNTIF($A$6:$A$505,A304)&gt;1),"duplicate proposed_name_key; ","")&amp;IF(C304="","missing candidate_import_action; ","")&amp;IF(D304="","missing move_reason; ","")&amp;IF(I304="","missing branch_id; ","")&amp;IF(L304="","missing first_name; ","")&amp;IF(M304="","missing last_name; ","")&amp;IF(U304="","missing status; ","")&amp;IF(AND(B304&lt;&gt;"",COUNTIF('الزبائن'!$A$6:$A$505,B304)=0),"source key not found; ","")&amp;IF((COUNTIFS('أرقام التواصل'!$A$6:$A$505,"proposed_name",'أرقام التواصل'!$B$6:$B$505,A304,'أرقام التواصل'!$I$6:$I$505,"TRUE")+COUNTIFS('أرقام التواصل'!$A$6:$A$505,"proposed_name",'أرقام التواصل'!$B$6:$B$505,A304,'أرقام التواصل'!$C$6:$C$505,1))=0,"missing primary contact in أرقام التواصل; ","")&amp;IF(AND(W304="TRUE",X304=""),"duplicate_type required when duplicate_flag TRUE; ","")))))</x:f>
      </x:c>
    </x:row>
    <x:row r="305">
      <x:c r="A305" s="302"/>
      <x:c r="B305" s="252"/>
      <x:c r="C305" s="253"/>
      <x:c r="D305" s="253"/>
      <x:c r="E305" s="253"/>
      <x:c r="F305" s="252"/>
      <x:c r="G305" s="253"/>
      <x:c r="H305" s="272"/>
      <x:c r="I305" s="253"/>
      <x:c r="J305" s="253"/>
      <x:c r="K305" s="253"/>
      <x:c r="L305" s="253"/>
      <x:c r="M305" s="253"/>
      <x:c r="N305" s="253"/>
      <x:c r="O305" s="253" t="str">
        <x:f>IF(TRIM(L305&amp;" "&amp;M305&amp;IF(N305&lt;&gt;""," ("&amp;N305&amp;")",""))="","",TRIM(L305&amp;" "&amp;M305&amp;IF(N305&lt;&gt;""," ("&amp;N305&amp;")","")))</x:f>
      </x:c>
      <x:c r="P305" s="253"/>
      <x:c r="Q305" s="252"/>
      <x:c r="R305" s="253"/>
      <x:c r="S305" s="253"/>
      <x:c r="T305" s="253"/>
      <x:c r="U305" s="253"/>
      <x:c r="V305" s="253"/>
      <x:c r="W305" s="253"/>
      <x:c r="X305" s="253"/>
      <x:c r="Y305" s="252"/>
      <x:c r="Z305" s="252"/>
      <x:c r="AA305" s="253"/>
      <x:c r="AB305" s="253" t="str">
        <x:f>IF(B305="","",IFERROR(INDEX('الزبائن'!$BA$6:$BA$505,MATCH(B305,'الزبائن'!$A$6:$A$505,0)),"source key not found"))</x:f>
      </x:c>
      <x:c r="AC305" s="253" t="str">
        <x:f>IF(B305="","",IFERROR(INDEX('الزبائن'!$BB$6:$BB$505,MATCH(B305,'الزبائن'!$A$6:$A$505,0)),"source key not found"))</x:f>
      </x:c>
      <x:c r="AD305" s="253" t="str">
        <x:f>IF(AND(A305="",C305="",D305="",I305="",L305="",M305=""),"",IF(C305="skip","SKIP",IF(OR(A305="",C305="",D305="",I305="",L305="",M305="",U305="",COUNTIF($A$6:$A$505,A305)&gt;1,AND(B305&lt;&gt;"",COUNTIF('الزبائن'!$A$6:$A$505,B305)=0),(COUNTIFS('أرقام التواصل'!$A$6:$A$505,"proposed_name",'أرقام التواصل'!$B$6:$B$505,A305,'أرقام التواصل'!$I$6:$I$505,"TRUE")+COUNTIFS('أرقام التواصل'!$A$6:$A$505,"proposed_name",'أرقام التواصل'!$B$6:$B$505,A305,'أرقام التواصل'!$C$6:$C$505,1))=0,AND(W305="TRUE",X305="")),"REVIEW","READY")))</x:f>
      </x:c>
      <x:c r="AE305" s="255" t="str">
        <x:f>IF(AD305="","",IF(AD305="READY","",IF(AD305="SKIP","Skipped by candidate_import_action",TRIM(IF(A305="","missing proposed_name_key; ","")&amp;IF(AND(A305&lt;&gt;"",COUNTIF($A$6:$A$505,A305)&gt;1),"duplicate proposed_name_key; ","")&amp;IF(C305="","missing candidate_import_action; ","")&amp;IF(D305="","missing move_reason; ","")&amp;IF(I305="","missing branch_id; ","")&amp;IF(L305="","missing first_name; ","")&amp;IF(M305="","missing last_name; ","")&amp;IF(U305="","missing status; ","")&amp;IF(AND(B305&lt;&gt;"",COUNTIF('الزبائن'!$A$6:$A$505,B305)=0),"source key not found; ","")&amp;IF((COUNTIFS('أرقام التواصل'!$A$6:$A$505,"proposed_name",'أرقام التواصل'!$B$6:$B$505,A305,'أرقام التواصل'!$I$6:$I$505,"TRUE")+COUNTIFS('أرقام التواصل'!$A$6:$A$505,"proposed_name",'أرقام التواصل'!$B$6:$B$505,A305,'أرقام التواصل'!$C$6:$C$505,1))=0,"missing primary contact in أرقام التواصل; ","")&amp;IF(AND(W305="TRUE",X305=""),"duplicate_type required when duplicate_flag TRUE; ","")))))</x:f>
      </x:c>
    </x:row>
    <x:row r="306">
      <x:c r="A306" s="302"/>
      <x:c r="B306" s="252"/>
      <x:c r="C306" s="253"/>
      <x:c r="D306" s="253"/>
      <x:c r="E306" s="253"/>
      <x:c r="F306" s="252"/>
      <x:c r="G306" s="253"/>
      <x:c r="H306" s="272"/>
      <x:c r="I306" s="253"/>
      <x:c r="J306" s="253"/>
      <x:c r="K306" s="253"/>
      <x:c r="L306" s="253"/>
      <x:c r="M306" s="253"/>
      <x:c r="N306" s="253"/>
      <x:c r="O306" s="253" t="str">
        <x:f>IF(TRIM(L306&amp;" "&amp;M306&amp;IF(N306&lt;&gt;""," ("&amp;N306&amp;")",""))="","",TRIM(L306&amp;" "&amp;M306&amp;IF(N306&lt;&gt;""," ("&amp;N306&amp;")","")))</x:f>
      </x:c>
      <x:c r="P306" s="253"/>
      <x:c r="Q306" s="252"/>
      <x:c r="R306" s="253"/>
      <x:c r="S306" s="253"/>
      <x:c r="T306" s="253"/>
      <x:c r="U306" s="253"/>
      <x:c r="V306" s="253"/>
      <x:c r="W306" s="253"/>
      <x:c r="X306" s="253"/>
      <x:c r="Y306" s="252"/>
      <x:c r="Z306" s="252"/>
      <x:c r="AA306" s="253"/>
      <x:c r="AB306" s="253" t="str">
        <x:f>IF(B306="","",IFERROR(INDEX('الزبائن'!$BA$6:$BA$505,MATCH(B306,'الزبائن'!$A$6:$A$505,0)),"source key not found"))</x:f>
      </x:c>
      <x:c r="AC306" s="253" t="str">
        <x:f>IF(B306="","",IFERROR(INDEX('الزبائن'!$BB$6:$BB$505,MATCH(B306,'الزبائن'!$A$6:$A$505,0)),"source key not found"))</x:f>
      </x:c>
      <x:c r="AD306" s="253" t="str">
        <x:f>IF(AND(A306="",C306="",D306="",I306="",L306="",M306=""),"",IF(C306="skip","SKIP",IF(OR(A306="",C306="",D306="",I306="",L306="",M306="",U306="",COUNTIF($A$6:$A$505,A306)&gt;1,AND(B306&lt;&gt;"",COUNTIF('الزبائن'!$A$6:$A$505,B306)=0),(COUNTIFS('أرقام التواصل'!$A$6:$A$505,"proposed_name",'أرقام التواصل'!$B$6:$B$505,A306,'أرقام التواصل'!$I$6:$I$505,"TRUE")+COUNTIFS('أرقام التواصل'!$A$6:$A$505,"proposed_name",'أرقام التواصل'!$B$6:$B$505,A306,'أرقام التواصل'!$C$6:$C$505,1))=0,AND(W306="TRUE",X306="")),"REVIEW","READY")))</x:f>
      </x:c>
      <x:c r="AE306" s="255" t="str">
        <x:f>IF(AD306="","",IF(AD306="READY","",IF(AD306="SKIP","Skipped by candidate_import_action",TRIM(IF(A306="","missing proposed_name_key; ","")&amp;IF(AND(A306&lt;&gt;"",COUNTIF($A$6:$A$505,A306)&gt;1),"duplicate proposed_name_key; ","")&amp;IF(C306="","missing candidate_import_action; ","")&amp;IF(D306="","missing move_reason; ","")&amp;IF(I306="","missing branch_id; ","")&amp;IF(L306="","missing first_name; ","")&amp;IF(M306="","missing last_name; ","")&amp;IF(U306="","missing status; ","")&amp;IF(AND(B306&lt;&gt;"",COUNTIF('الزبائن'!$A$6:$A$505,B306)=0),"source key not found; ","")&amp;IF((COUNTIFS('أرقام التواصل'!$A$6:$A$505,"proposed_name",'أرقام التواصل'!$B$6:$B$505,A306,'أرقام التواصل'!$I$6:$I$505,"TRUE")+COUNTIFS('أرقام التواصل'!$A$6:$A$505,"proposed_name",'أرقام التواصل'!$B$6:$B$505,A306,'أرقام التواصل'!$C$6:$C$505,1))=0,"missing primary contact in أرقام التواصل; ","")&amp;IF(AND(W306="TRUE",X306=""),"duplicate_type required when duplicate_flag TRUE; ","")))))</x:f>
      </x:c>
    </x:row>
    <x:row r="307">
      <x:c r="A307" s="302"/>
      <x:c r="B307" s="252"/>
      <x:c r="C307" s="253"/>
      <x:c r="D307" s="253"/>
      <x:c r="E307" s="253"/>
      <x:c r="F307" s="252"/>
      <x:c r="G307" s="253"/>
      <x:c r="H307" s="272"/>
      <x:c r="I307" s="253"/>
      <x:c r="J307" s="253"/>
      <x:c r="K307" s="253"/>
      <x:c r="L307" s="253"/>
      <x:c r="M307" s="253"/>
      <x:c r="N307" s="253"/>
      <x:c r="O307" s="253" t="str">
        <x:f>IF(TRIM(L307&amp;" "&amp;M307&amp;IF(N307&lt;&gt;""," ("&amp;N307&amp;")",""))="","",TRIM(L307&amp;" "&amp;M307&amp;IF(N307&lt;&gt;""," ("&amp;N307&amp;")","")))</x:f>
      </x:c>
      <x:c r="P307" s="253"/>
      <x:c r="Q307" s="252"/>
      <x:c r="R307" s="253"/>
      <x:c r="S307" s="253"/>
      <x:c r="T307" s="253"/>
      <x:c r="U307" s="253"/>
      <x:c r="V307" s="253"/>
      <x:c r="W307" s="253"/>
      <x:c r="X307" s="253"/>
      <x:c r="Y307" s="252"/>
      <x:c r="Z307" s="252"/>
      <x:c r="AA307" s="253"/>
      <x:c r="AB307" s="253" t="str">
        <x:f>IF(B307="","",IFERROR(INDEX('الزبائن'!$BA$6:$BA$505,MATCH(B307,'الزبائن'!$A$6:$A$505,0)),"source key not found"))</x:f>
      </x:c>
      <x:c r="AC307" s="253" t="str">
        <x:f>IF(B307="","",IFERROR(INDEX('الزبائن'!$BB$6:$BB$505,MATCH(B307,'الزبائن'!$A$6:$A$505,0)),"source key not found"))</x:f>
      </x:c>
      <x:c r="AD307" s="253" t="str">
        <x:f>IF(AND(A307="",C307="",D307="",I307="",L307="",M307=""),"",IF(C307="skip","SKIP",IF(OR(A307="",C307="",D307="",I307="",L307="",M307="",U307="",COUNTIF($A$6:$A$505,A307)&gt;1,AND(B307&lt;&gt;"",COUNTIF('الزبائن'!$A$6:$A$505,B307)=0),(COUNTIFS('أرقام التواصل'!$A$6:$A$505,"proposed_name",'أرقام التواصل'!$B$6:$B$505,A307,'أرقام التواصل'!$I$6:$I$505,"TRUE")+COUNTIFS('أرقام التواصل'!$A$6:$A$505,"proposed_name",'أرقام التواصل'!$B$6:$B$505,A307,'أرقام التواصل'!$C$6:$C$505,1))=0,AND(W307="TRUE",X307="")),"REVIEW","READY")))</x:f>
      </x:c>
      <x:c r="AE307" s="255" t="str">
        <x:f>IF(AD307="","",IF(AD307="READY","",IF(AD307="SKIP","Skipped by candidate_import_action",TRIM(IF(A307="","missing proposed_name_key; ","")&amp;IF(AND(A307&lt;&gt;"",COUNTIF($A$6:$A$505,A307)&gt;1),"duplicate proposed_name_key; ","")&amp;IF(C307="","missing candidate_import_action; ","")&amp;IF(D307="","missing move_reason; ","")&amp;IF(I307="","missing branch_id; ","")&amp;IF(L307="","missing first_name; ","")&amp;IF(M307="","missing last_name; ","")&amp;IF(U307="","missing status; ","")&amp;IF(AND(B307&lt;&gt;"",COUNTIF('الزبائن'!$A$6:$A$505,B307)=0),"source key not found; ","")&amp;IF((COUNTIFS('أرقام التواصل'!$A$6:$A$505,"proposed_name",'أرقام التواصل'!$B$6:$B$505,A307,'أرقام التواصل'!$I$6:$I$505,"TRUE")+COUNTIFS('أرقام التواصل'!$A$6:$A$505,"proposed_name",'أرقام التواصل'!$B$6:$B$505,A307,'أرقام التواصل'!$C$6:$C$505,1))=0,"missing primary contact in أرقام التواصل; ","")&amp;IF(AND(W307="TRUE",X307=""),"duplicate_type required when duplicate_flag TRUE; ","")))))</x:f>
      </x:c>
    </x:row>
    <x:row r="308">
      <x:c r="A308" s="302"/>
      <x:c r="B308" s="252"/>
      <x:c r="C308" s="253"/>
      <x:c r="D308" s="253"/>
      <x:c r="E308" s="253"/>
      <x:c r="F308" s="252"/>
      <x:c r="G308" s="253"/>
      <x:c r="H308" s="272"/>
      <x:c r="I308" s="253"/>
      <x:c r="J308" s="253"/>
      <x:c r="K308" s="253"/>
      <x:c r="L308" s="253"/>
      <x:c r="M308" s="253"/>
      <x:c r="N308" s="253"/>
      <x:c r="O308" s="253" t="str">
        <x:f>IF(TRIM(L308&amp;" "&amp;M308&amp;IF(N308&lt;&gt;""," ("&amp;N308&amp;")",""))="","",TRIM(L308&amp;" "&amp;M308&amp;IF(N308&lt;&gt;""," ("&amp;N308&amp;")","")))</x:f>
      </x:c>
      <x:c r="P308" s="253"/>
      <x:c r="Q308" s="252"/>
      <x:c r="R308" s="253"/>
      <x:c r="S308" s="253"/>
      <x:c r="T308" s="253"/>
      <x:c r="U308" s="253"/>
      <x:c r="V308" s="253"/>
      <x:c r="W308" s="253"/>
      <x:c r="X308" s="253"/>
      <x:c r="Y308" s="252"/>
      <x:c r="Z308" s="252"/>
      <x:c r="AA308" s="253"/>
      <x:c r="AB308" s="253" t="str">
        <x:f>IF(B308="","",IFERROR(INDEX('الزبائن'!$BA$6:$BA$505,MATCH(B308,'الزبائن'!$A$6:$A$505,0)),"source key not found"))</x:f>
      </x:c>
      <x:c r="AC308" s="253" t="str">
        <x:f>IF(B308="","",IFERROR(INDEX('الزبائن'!$BB$6:$BB$505,MATCH(B308,'الزبائن'!$A$6:$A$505,0)),"source key not found"))</x:f>
      </x:c>
      <x:c r="AD308" s="253" t="str">
        <x:f>IF(AND(A308="",C308="",D308="",I308="",L308="",M308=""),"",IF(C308="skip","SKIP",IF(OR(A308="",C308="",D308="",I308="",L308="",M308="",U308="",COUNTIF($A$6:$A$505,A308)&gt;1,AND(B308&lt;&gt;"",COUNTIF('الزبائن'!$A$6:$A$505,B308)=0),(COUNTIFS('أرقام التواصل'!$A$6:$A$505,"proposed_name",'أرقام التواصل'!$B$6:$B$505,A308,'أرقام التواصل'!$I$6:$I$505,"TRUE")+COUNTIFS('أرقام التواصل'!$A$6:$A$505,"proposed_name",'أرقام التواصل'!$B$6:$B$505,A308,'أرقام التواصل'!$C$6:$C$505,1))=0,AND(W308="TRUE",X308="")),"REVIEW","READY")))</x:f>
      </x:c>
      <x:c r="AE308" s="255" t="str">
        <x:f>IF(AD308="","",IF(AD308="READY","",IF(AD308="SKIP","Skipped by candidate_import_action",TRIM(IF(A308="","missing proposed_name_key; ","")&amp;IF(AND(A308&lt;&gt;"",COUNTIF($A$6:$A$505,A308)&gt;1),"duplicate proposed_name_key; ","")&amp;IF(C308="","missing candidate_import_action; ","")&amp;IF(D308="","missing move_reason; ","")&amp;IF(I308="","missing branch_id; ","")&amp;IF(L308="","missing first_name; ","")&amp;IF(M308="","missing last_name; ","")&amp;IF(U308="","missing status; ","")&amp;IF(AND(B308&lt;&gt;"",COUNTIF('الزبائن'!$A$6:$A$505,B308)=0),"source key not found; ","")&amp;IF((COUNTIFS('أرقام التواصل'!$A$6:$A$505,"proposed_name",'أرقام التواصل'!$B$6:$B$505,A308,'أرقام التواصل'!$I$6:$I$505,"TRUE")+COUNTIFS('أرقام التواصل'!$A$6:$A$505,"proposed_name",'أرقام التواصل'!$B$6:$B$505,A308,'أرقام التواصل'!$C$6:$C$505,1))=0,"missing primary contact in أرقام التواصل; ","")&amp;IF(AND(W308="TRUE",X308=""),"duplicate_type required when duplicate_flag TRUE; ","")))))</x:f>
      </x:c>
    </x:row>
    <x:row r="309">
      <x:c r="A309" s="302"/>
      <x:c r="B309" s="252"/>
      <x:c r="C309" s="253"/>
      <x:c r="D309" s="253"/>
      <x:c r="E309" s="253"/>
      <x:c r="F309" s="252"/>
      <x:c r="G309" s="253"/>
      <x:c r="H309" s="272"/>
      <x:c r="I309" s="253"/>
      <x:c r="J309" s="253"/>
      <x:c r="K309" s="253"/>
      <x:c r="L309" s="253"/>
      <x:c r="M309" s="253"/>
      <x:c r="N309" s="253"/>
      <x:c r="O309" s="253" t="str">
        <x:f>IF(TRIM(L309&amp;" "&amp;M309&amp;IF(N309&lt;&gt;""," ("&amp;N309&amp;")",""))="","",TRIM(L309&amp;" "&amp;M309&amp;IF(N309&lt;&gt;""," ("&amp;N309&amp;")","")))</x:f>
      </x:c>
      <x:c r="P309" s="253"/>
      <x:c r="Q309" s="252"/>
      <x:c r="R309" s="253"/>
      <x:c r="S309" s="253"/>
      <x:c r="T309" s="253"/>
      <x:c r="U309" s="253"/>
      <x:c r="V309" s="253"/>
      <x:c r="W309" s="253"/>
      <x:c r="X309" s="253"/>
      <x:c r="Y309" s="252"/>
      <x:c r="Z309" s="252"/>
      <x:c r="AA309" s="253"/>
      <x:c r="AB309" s="253" t="str">
        <x:f>IF(B309="","",IFERROR(INDEX('الزبائن'!$BA$6:$BA$505,MATCH(B309,'الزبائن'!$A$6:$A$505,0)),"source key not found"))</x:f>
      </x:c>
      <x:c r="AC309" s="253" t="str">
        <x:f>IF(B309="","",IFERROR(INDEX('الزبائن'!$BB$6:$BB$505,MATCH(B309,'الزبائن'!$A$6:$A$505,0)),"source key not found"))</x:f>
      </x:c>
      <x:c r="AD309" s="253" t="str">
        <x:f>IF(AND(A309="",C309="",D309="",I309="",L309="",M309=""),"",IF(C309="skip","SKIP",IF(OR(A309="",C309="",D309="",I309="",L309="",M309="",U309="",COUNTIF($A$6:$A$505,A309)&gt;1,AND(B309&lt;&gt;"",COUNTIF('الزبائن'!$A$6:$A$505,B309)=0),(COUNTIFS('أرقام التواصل'!$A$6:$A$505,"proposed_name",'أرقام التواصل'!$B$6:$B$505,A309,'أرقام التواصل'!$I$6:$I$505,"TRUE")+COUNTIFS('أرقام التواصل'!$A$6:$A$505,"proposed_name",'أرقام التواصل'!$B$6:$B$505,A309,'أرقام التواصل'!$C$6:$C$505,1))=0,AND(W309="TRUE",X309="")),"REVIEW","READY")))</x:f>
      </x:c>
      <x:c r="AE309" s="255" t="str">
        <x:f>IF(AD309="","",IF(AD309="READY","",IF(AD309="SKIP","Skipped by candidate_import_action",TRIM(IF(A309="","missing proposed_name_key; ","")&amp;IF(AND(A309&lt;&gt;"",COUNTIF($A$6:$A$505,A309)&gt;1),"duplicate proposed_name_key; ","")&amp;IF(C309="","missing candidate_import_action; ","")&amp;IF(D309="","missing move_reason; ","")&amp;IF(I309="","missing branch_id; ","")&amp;IF(L309="","missing first_name; ","")&amp;IF(M309="","missing last_name; ","")&amp;IF(U309="","missing status; ","")&amp;IF(AND(B309&lt;&gt;"",COUNTIF('الزبائن'!$A$6:$A$505,B309)=0),"source key not found; ","")&amp;IF((COUNTIFS('أرقام التواصل'!$A$6:$A$505,"proposed_name",'أرقام التواصل'!$B$6:$B$505,A309,'أرقام التواصل'!$I$6:$I$505,"TRUE")+COUNTIFS('أرقام التواصل'!$A$6:$A$505,"proposed_name",'أرقام التواصل'!$B$6:$B$505,A309,'أرقام التواصل'!$C$6:$C$505,1))=0,"missing primary contact in أرقام التواصل; ","")&amp;IF(AND(W309="TRUE",X309=""),"duplicate_type required when duplicate_flag TRUE; ","")))))</x:f>
      </x:c>
    </x:row>
    <x:row r="310">
      <x:c r="A310" s="302"/>
      <x:c r="B310" s="252"/>
      <x:c r="C310" s="253"/>
      <x:c r="D310" s="253"/>
      <x:c r="E310" s="253"/>
      <x:c r="F310" s="252"/>
      <x:c r="G310" s="253"/>
      <x:c r="H310" s="272"/>
      <x:c r="I310" s="253"/>
      <x:c r="J310" s="253"/>
      <x:c r="K310" s="253"/>
      <x:c r="L310" s="253"/>
      <x:c r="M310" s="253"/>
      <x:c r="N310" s="253"/>
      <x:c r="O310" s="253" t="str">
        <x:f>IF(TRIM(L310&amp;" "&amp;M310&amp;IF(N310&lt;&gt;""," ("&amp;N310&amp;")",""))="","",TRIM(L310&amp;" "&amp;M310&amp;IF(N310&lt;&gt;""," ("&amp;N310&amp;")","")))</x:f>
      </x:c>
      <x:c r="P310" s="253"/>
      <x:c r="Q310" s="252"/>
      <x:c r="R310" s="253"/>
      <x:c r="S310" s="253"/>
      <x:c r="T310" s="253"/>
      <x:c r="U310" s="253"/>
      <x:c r="V310" s="253"/>
      <x:c r="W310" s="253"/>
      <x:c r="X310" s="253"/>
      <x:c r="Y310" s="252"/>
      <x:c r="Z310" s="252"/>
      <x:c r="AA310" s="253"/>
      <x:c r="AB310" s="253" t="str">
        <x:f>IF(B310="","",IFERROR(INDEX('الزبائن'!$BA$6:$BA$505,MATCH(B310,'الزبائن'!$A$6:$A$505,0)),"source key not found"))</x:f>
      </x:c>
      <x:c r="AC310" s="253" t="str">
        <x:f>IF(B310="","",IFERROR(INDEX('الزبائن'!$BB$6:$BB$505,MATCH(B310,'الزبائن'!$A$6:$A$505,0)),"source key not found"))</x:f>
      </x:c>
      <x:c r="AD310" s="253" t="str">
        <x:f>IF(AND(A310="",C310="",D310="",I310="",L310="",M310=""),"",IF(C310="skip","SKIP",IF(OR(A310="",C310="",D310="",I310="",L310="",M310="",U310="",COUNTIF($A$6:$A$505,A310)&gt;1,AND(B310&lt;&gt;"",COUNTIF('الزبائن'!$A$6:$A$505,B310)=0),(COUNTIFS('أرقام التواصل'!$A$6:$A$505,"proposed_name",'أرقام التواصل'!$B$6:$B$505,A310,'أرقام التواصل'!$I$6:$I$505,"TRUE")+COUNTIFS('أرقام التواصل'!$A$6:$A$505,"proposed_name",'أرقام التواصل'!$B$6:$B$505,A310,'أرقام التواصل'!$C$6:$C$505,1))=0,AND(W310="TRUE",X310="")),"REVIEW","READY")))</x:f>
      </x:c>
      <x:c r="AE310" s="255" t="str">
        <x:f>IF(AD310="","",IF(AD310="READY","",IF(AD310="SKIP","Skipped by candidate_import_action",TRIM(IF(A310="","missing proposed_name_key; ","")&amp;IF(AND(A310&lt;&gt;"",COUNTIF($A$6:$A$505,A310)&gt;1),"duplicate proposed_name_key; ","")&amp;IF(C310="","missing candidate_import_action; ","")&amp;IF(D310="","missing move_reason; ","")&amp;IF(I310="","missing branch_id; ","")&amp;IF(L310="","missing first_name; ","")&amp;IF(M310="","missing last_name; ","")&amp;IF(U310="","missing status; ","")&amp;IF(AND(B310&lt;&gt;"",COUNTIF('الزبائن'!$A$6:$A$505,B310)=0),"source key not found; ","")&amp;IF((COUNTIFS('أرقام التواصل'!$A$6:$A$505,"proposed_name",'أرقام التواصل'!$B$6:$B$505,A310,'أرقام التواصل'!$I$6:$I$505,"TRUE")+COUNTIFS('أرقام التواصل'!$A$6:$A$505,"proposed_name",'أرقام التواصل'!$B$6:$B$505,A310,'أرقام التواصل'!$C$6:$C$505,1))=0,"missing primary contact in أرقام التواصل; ","")&amp;IF(AND(W310="TRUE",X310=""),"duplicate_type required when duplicate_flag TRUE; ","")))))</x:f>
      </x:c>
    </x:row>
    <x:row r="311">
      <x:c r="A311" s="302"/>
      <x:c r="B311" s="252"/>
      <x:c r="C311" s="253"/>
      <x:c r="D311" s="253"/>
      <x:c r="E311" s="253"/>
      <x:c r="F311" s="252"/>
      <x:c r="G311" s="253"/>
      <x:c r="H311" s="272"/>
      <x:c r="I311" s="253"/>
      <x:c r="J311" s="253"/>
      <x:c r="K311" s="253"/>
      <x:c r="L311" s="253"/>
      <x:c r="M311" s="253"/>
      <x:c r="N311" s="253"/>
      <x:c r="O311" s="253" t="str">
        <x:f>IF(TRIM(L311&amp;" "&amp;M311&amp;IF(N311&lt;&gt;""," ("&amp;N311&amp;")",""))="","",TRIM(L311&amp;" "&amp;M311&amp;IF(N311&lt;&gt;""," ("&amp;N311&amp;")","")))</x:f>
      </x:c>
      <x:c r="P311" s="253"/>
      <x:c r="Q311" s="252"/>
      <x:c r="R311" s="253"/>
      <x:c r="S311" s="253"/>
      <x:c r="T311" s="253"/>
      <x:c r="U311" s="253"/>
      <x:c r="V311" s="253"/>
      <x:c r="W311" s="253"/>
      <x:c r="X311" s="253"/>
      <x:c r="Y311" s="252"/>
      <x:c r="Z311" s="252"/>
      <x:c r="AA311" s="253"/>
      <x:c r="AB311" s="253" t="str">
        <x:f>IF(B311="","",IFERROR(INDEX('الزبائن'!$BA$6:$BA$505,MATCH(B311,'الزبائن'!$A$6:$A$505,0)),"source key not found"))</x:f>
      </x:c>
      <x:c r="AC311" s="253" t="str">
        <x:f>IF(B311="","",IFERROR(INDEX('الزبائن'!$BB$6:$BB$505,MATCH(B311,'الزبائن'!$A$6:$A$505,0)),"source key not found"))</x:f>
      </x:c>
      <x:c r="AD311" s="253" t="str">
        <x:f>IF(AND(A311="",C311="",D311="",I311="",L311="",M311=""),"",IF(C311="skip","SKIP",IF(OR(A311="",C311="",D311="",I311="",L311="",M311="",U311="",COUNTIF($A$6:$A$505,A311)&gt;1,AND(B311&lt;&gt;"",COUNTIF('الزبائن'!$A$6:$A$505,B311)=0),(COUNTIFS('أرقام التواصل'!$A$6:$A$505,"proposed_name",'أرقام التواصل'!$B$6:$B$505,A311,'أرقام التواصل'!$I$6:$I$505,"TRUE")+COUNTIFS('أرقام التواصل'!$A$6:$A$505,"proposed_name",'أرقام التواصل'!$B$6:$B$505,A311,'أرقام التواصل'!$C$6:$C$505,1))=0,AND(W311="TRUE",X311="")),"REVIEW","READY")))</x:f>
      </x:c>
      <x:c r="AE311" s="255" t="str">
        <x:f>IF(AD311="","",IF(AD311="READY","",IF(AD311="SKIP","Skipped by candidate_import_action",TRIM(IF(A311="","missing proposed_name_key; ","")&amp;IF(AND(A311&lt;&gt;"",COUNTIF($A$6:$A$505,A311)&gt;1),"duplicate proposed_name_key; ","")&amp;IF(C311="","missing candidate_import_action; ","")&amp;IF(D311="","missing move_reason; ","")&amp;IF(I311="","missing branch_id; ","")&amp;IF(L311="","missing first_name; ","")&amp;IF(M311="","missing last_name; ","")&amp;IF(U311="","missing status; ","")&amp;IF(AND(B311&lt;&gt;"",COUNTIF('الزبائن'!$A$6:$A$505,B311)=0),"source key not found; ","")&amp;IF((COUNTIFS('أرقام التواصل'!$A$6:$A$505,"proposed_name",'أرقام التواصل'!$B$6:$B$505,A311,'أرقام التواصل'!$I$6:$I$505,"TRUE")+COUNTIFS('أرقام التواصل'!$A$6:$A$505,"proposed_name",'أرقام التواصل'!$B$6:$B$505,A311,'أرقام التواصل'!$C$6:$C$505,1))=0,"missing primary contact in أرقام التواصل; ","")&amp;IF(AND(W311="TRUE",X311=""),"duplicate_type required when duplicate_flag TRUE; ","")))))</x:f>
      </x:c>
    </x:row>
    <x:row r="312">
      <x:c r="A312" s="302"/>
      <x:c r="B312" s="252"/>
      <x:c r="C312" s="253"/>
      <x:c r="D312" s="253"/>
      <x:c r="E312" s="253"/>
      <x:c r="F312" s="252"/>
      <x:c r="G312" s="253"/>
      <x:c r="H312" s="272"/>
      <x:c r="I312" s="253"/>
      <x:c r="J312" s="253"/>
      <x:c r="K312" s="253"/>
      <x:c r="L312" s="253"/>
      <x:c r="M312" s="253"/>
      <x:c r="N312" s="253"/>
      <x:c r="O312" s="253" t="str">
        <x:f>IF(TRIM(L312&amp;" "&amp;M312&amp;IF(N312&lt;&gt;""," ("&amp;N312&amp;")",""))="","",TRIM(L312&amp;" "&amp;M312&amp;IF(N312&lt;&gt;""," ("&amp;N312&amp;")","")))</x:f>
      </x:c>
      <x:c r="P312" s="253"/>
      <x:c r="Q312" s="252"/>
      <x:c r="R312" s="253"/>
      <x:c r="S312" s="253"/>
      <x:c r="T312" s="253"/>
      <x:c r="U312" s="253"/>
      <x:c r="V312" s="253"/>
      <x:c r="W312" s="253"/>
      <x:c r="X312" s="253"/>
      <x:c r="Y312" s="252"/>
      <x:c r="Z312" s="252"/>
      <x:c r="AA312" s="253"/>
      <x:c r="AB312" s="253" t="str">
        <x:f>IF(B312="","",IFERROR(INDEX('الزبائن'!$BA$6:$BA$505,MATCH(B312,'الزبائن'!$A$6:$A$505,0)),"source key not found"))</x:f>
      </x:c>
      <x:c r="AC312" s="253" t="str">
        <x:f>IF(B312="","",IFERROR(INDEX('الزبائن'!$BB$6:$BB$505,MATCH(B312,'الزبائن'!$A$6:$A$505,0)),"source key not found"))</x:f>
      </x:c>
      <x:c r="AD312" s="253" t="str">
        <x:f>IF(AND(A312="",C312="",D312="",I312="",L312="",M312=""),"",IF(C312="skip","SKIP",IF(OR(A312="",C312="",D312="",I312="",L312="",M312="",U312="",COUNTIF($A$6:$A$505,A312)&gt;1,AND(B312&lt;&gt;"",COUNTIF('الزبائن'!$A$6:$A$505,B312)=0),(COUNTIFS('أرقام التواصل'!$A$6:$A$505,"proposed_name",'أرقام التواصل'!$B$6:$B$505,A312,'أرقام التواصل'!$I$6:$I$505,"TRUE")+COUNTIFS('أرقام التواصل'!$A$6:$A$505,"proposed_name",'أرقام التواصل'!$B$6:$B$505,A312,'أرقام التواصل'!$C$6:$C$505,1))=0,AND(W312="TRUE",X312="")),"REVIEW","READY")))</x:f>
      </x:c>
      <x:c r="AE312" s="255" t="str">
        <x:f>IF(AD312="","",IF(AD312="READY","",IF(AD312="SKIP","Skipped by candidate_import_action",TRIM(IF(A312="","missing proposed_name_key; ","")&amp;IF(AND(A312&lt;&gt;"",COUNTIF($A$6:$A$505,A312)&gt;1),"duplicate proposed_name_key; ","")&amp;IF(C312="","missing candidate_import_action; ","")&amp;IF(D312="","missing move_reason; ","")&amp;IF(I312="","missing branch_id; ","")&amp;IF(L312="","missing first_name; ","")&amp;IF(M312="","missing last_name; ","")&amp;IF(U312="","missing status; ","")&amp;IF(AND(B312&lt;&gt;"",COUNTIF('الزبائن'!$A$6:$A$505,B312)=0),"source key not found; ","")&amp;IF((COUNTIFS('أرقام التواصل'!$A$6:$A$505,"proposed_name",'أرقام التواصل'!$B$6:$B$505,A312,'أرقام التواصل'!$I$6:$I$505,"TRUE")+COUNTIFS('أرقام التواصل'!$A$6:$A$505,"proposed_name",'أرقام التواصل'!$B$6:$B$505,A312,'أرقام التواصل'!$C$6:$C$505,1))=0,"missing primary contact in أرقام التواصل; ","")&amp;IF(AND(W312="TRUE",X312=""),"duplicate_type required when duplicate_flag TRUE; ","")))))</x:f>
      </x:c>
    </x:row>
    <x:row r="313">
      <x:c r="A313" s="302"/>
      <x:c r="B313" s="252"/>
      <x:c r="C313" s="253"/>
      <x:c r="D313" s="253"/>
      <x:c r="E313" s="253"/>
      <x:c r="F313" s="252"/>
      <x:c r="G313" s="253"/>
      <x:c r="H313" s="272"/>
      <x:c r="I313" s="253"/>
      <x:c r="J313" s="253"/>
      <x:c r="K313" s="253"/>
      <x:c r="L313" s="253"/>
      <x:c r="M313" s="253"/>
      <x:c r="N313" s="253"/>
      <x:c r="O313" s="253" t="str">
        <x:f>IF(TRIM(L313&amp;" "&amp;M313&amp;IF(N313&lt;&gt;""," ("&amp;N313&amp;")",""))="","",TRIM(L313&amp;" "&amp;M313&amp;IF(N313&lt;&gt;""," ("&amp;N313&amp;")","")))</x:f>
      </x:c>
      <x:c r="P313" s="253"/>
      <x:c r="Q313" s="252"/>
      <x:c r="R313" s="253"/>
      <x:c r="S313" s="253"/>
      <x:c r="T313" s="253"/>
      <x:c r="U313" s="253"/>
      <x:c r="V313" s="253"/>
      <x:c r="W313" s="253"/>
      <x:c r="X313" s="253"/>
      <x:c r="Y313" s="252"/>
      <x:c r="Z313" s="252"/>
      <x:c r="AA313" s="253"/>
      <x:c r="AB313" s="253" t="str">
        <x:f>IF(B313="","",IFERROR(INDEX('الزبائن'!$BA$6:$BA$505,MATCH(B313,'الزبائن'!$A$6:$A$505,0)),"source key not found"))</x:f>
      </x:c>
      <x:c r="AC313" s="253" t="str">
        <x:f>IF(B313="","",IFERROR(INDEX('الزبائن'!$BB$6:$BB$505,MATCH(B313,'الزبائن'!$A$6:$A$505,0)),"source key not found"))</x:f>
      </x:c>
      <x:c r="AD313" s="253" t="str">
        <x:f>IF(AND(A313="",C313="",D313="",I313="",L313="",M313=""),"",IF(C313="skip","SKIP",IF(OR(A313="",C313="",D313="",I313="",L313="",M313="",U313="",COUNTIF($A$6:$A$505,A313)&gt;1,AND(B313&lt;&gt;"",COUNTIF('الزبائن'!$A$6:$A$505,B313)=0),(COUNTIFS('أرقام التواصل'!$A$6:$A$505,"proposed_name",'أرقام التواصل'!$B$6:$B$505,A313,'أرقام التواصل'!$I$6:$I$505,"TRUE")+COUNTIFS('أرقام التواصل'!$A$6:$A$505,"proposed_name",'أرقام التواصل'!$B$6:$B$505,A313,'أرقام التواصل'!$C$6:$C$505,1))=0,AND(W313="TRUE",X313="")),"REVIEW","READY")))</x:f>
      </x:c>
      <x:c r="AE313" s="255" t="str">
        <x:f>IF(AD313="","",IF(AD313="READY","",IF(AD313="SKIP","Skipped by candidate_import_action",TRIM(IF(A313="","missing proposed_name_key; ","")&amp;IF(AND(A313&lt;&gt;"",COUNTIF($A$6:$A$505,A313)&gt;1),"duplicate proposed_name_key; ","")&amp;IF(C313="","missing candidate_import_action; ","")&amp;IF(D313="","missing move_reason; ","")&amp;IF(I313="","missing branch_id; ","")&amp;IF(L313="","missing first_name; ","")&amp;IF(M313="","missing last_name; ","")&amp;IF(U313="","missing status; ","")&amp;IF(AND(B313&lt;&gt;"",COUNTIF('الزبائن'!$A$6:$A$505,B313)=0),"source key not found; ","")&amp;IF((COUNTIFS('أرقام التواصل'!$A$6:$A$505,"proposed_name",'أرقام التواصل'!$B$6:$B$505,A313,'أرقام التواصل'!$I$6:$I$505,"TRUE")+COUNTIFS('أرقام التواصل'!$A$6:$A$505,"proposed_name",'أرقام التواصل'!$B$6:$B$505,A313,'أرقام التواصل'!$C$6:$C$505,1))=0,"missing primary contact in أرقام التواصل; ","")&amp;IF(AND(W313="TRUE",X313=""),"duplicate_type required when duplicate_flag TRUE; ","")))))</x:f>
      </x:c>
    </x:row>
    <x:row r="314">
      <x:c r="A314" s="302"/>
      <x:c r="B314" s="252"/>
      <x:c r="C314" s="253"/>
      <x:c r="D314" s="253"/>
      <x:c r="E314" s="253"/>
      <x:c r="F314" s="252"/>
      <x:c r="G314" s="253"/>
      <x:c r="H314" s="272"/>
      <x:c r="I314" s="253"/>
      <x:c r="J314" s="253"/>
      <x:c r="K314" s="253"/>
      <x:c r="L314" s="253"/>
      <x:c r="M314" s="253"/>
      <x:c r="N314" s="253"/>
      <x:c r="O314" s="253" t="str">
        <x:f>IF(TRIM(L314&amp;" "&amp;M314&amp;IF(N314&lt;&gt;""," ("&amp;N314&amp;")",""))="","",TRIM(L314&amp;" "&amp;M314&amp;IF(N314&lt;&gt;""," ("&amp;N314&amp;")","")))</x:f>
      </x:c>
      <x:c r="P314" s="253"/>
      <x:c r="Q314" s="252"/>
      <x:c r="R314" s="253"/>
      <x:c r="S314" s="253"/>
      <x:c r="T314" s="253"/>
      <x:c r="U314" s="253"/>
      <x:c r="V314" s="253"/>
      <x:c r="W314" s="253"/>
      <x:c r="X314" s="253"/>
      <x:c r="Y314" s="252"/>
      <x:c r="Z314" s="252"/>
      <x:c r="AA314" s="253"/>
      <x:c r="AB314" s="253" t="str">
        <x:f>IF(B314="","",IFERROR(INDEX('الزبائن'!$BA$6:$BA$505,MATCH(B314,'الزبائن'!$A$6:$A$505,0)),"source key not found"))</x:f>
      </x:c>
      <x:c r="AC314" s="253" t="str">
        <x:f>IF(B314="","",IFERROR(INDEX('الزبائن'!$BB$6:$BB$505,MATCH(B314,'الزبائن'!$A$6:$A$505,0)),"source key not found"))</x:f>
      </x:c>
      <x:c r="AD314" s="253" t="str">
        <x:f>IF(AND(A314="",C314="",D314="",I314="",L314="",M314=""),"",IF(C314="skip","SKIP",IF(OR(A314="",C314="",D314="",I314="",L314="",M314="",U314="",COUNTIF($A$6:$A$505,A314)&gt;1,AND(B314&lt;&gt;"",COUNTIF('الزبائن'!$A$6:$A$505,B314)=0),(COUNTIFS('أرقام التواصل'!$A$6:$A$505,"proposed_name",'أرقام التواصل'!$B$6:$B$505,A314,'أرقام التواصل'!$I$6:$I$505,"TRUE")+COUNTIFS('أرقام التواصل'!$A$6:$A$505,"proposed_name",'أرقام التواصل'!$B$6:$B$505,A314,'أرقام التواصل'!$C$6:$C$505,1))=0,AND(W314="TRUE",X314="")),"REVIEW","READY")))</x:f>
      </x:c>
      <x:c r="AE314" s="255" t="str">
        <x:f>IF(AD314="","",IF(AD314="READY","",IF(AD314="SKIP","Skipped by candidate_import_action",TRIM(IF(A314="","missing proposed_name_key; ","")&amp;IF(AND(A314&lt;&gt;"",COUNTIF($A$6:$A$505,A314)&gt;1),"duplicate proposed_name_key; ","")&amp;IF(C314="","missing candidate_import_action; ","")&amp;IF(D314="","missing move_reason; ","")&amp;IF(I314="","missing branch_id; ","")&amp;IF(L314="","missing first_name; ","")&amp;IF(M314="","missing last_name; ","")&amp;IF(U314="","missing status; ","")&amp;IF(AND(B314&lt;&gt;"",COUNTIF('الزبائن'!$A$6:$A$505,B314)=0),"source key not found; ","")&amp;IF((COUNTIFS('أرقام التواصل'!$A$6:$A$505,"proposed_name",'أرقام التواصل'!$B$6:$B$505,A314,'أرقام التواصل'!$I$6:$I$505,"TRUE")+COUNTIFS('أرقام التواصل'!$A$6:$A$505,"proposed_name",'أرقام التواصل'!$B$6:$B$505,A314,'أرقام التواصل'!$C$6:$C$505,1))=0,"missing primary contact in أرقام التواصل; ","")&amp;IF(AND(W314="TRUE",X314=""),"duplicate_type required when duplicate_flag TRUE; ","")))))</x:f>
      </x:c>
    </x:row>
    <x:row r="315">
      <x:c r="A315" s="302"/>
      <x:c r="B315" s="252"/>
      <x:c r="C315" s="253"/>
      <x:c r="D315" s="253"/>
      <x:c r="E315" s="253"/>
      <x:c r="F315" s="252"/>
      <x:c r="G315" s="253"/>
      <x:c r="H315" s="272"/>
      <x:c r="I315" s="253"/>
      <x:c r="J315" s="253"/>
      <x:c r="K315" s="253"/>
      <x:c r="L315" s="253"/>
      <x:c r="M315" s="253"/>
      <x:c r="N315" s="253"/>
      <x:c r="O315" s="253" t="str">
        <x:f>IF(TRIM(L315&amp;" "&amp;M315&amp;IF(N315&lt;&gt;""," ("&amp;N315&amp;")",""))="","",TRIM(L315&amp;" "&amp;M315&amp;IF(N315&lt;&gt;""," ("&amp;N315&amp;")","")))</x:f>
      </x:c>
      <x:c r="P315" s="253"/>
      <x:c r="Q315" s="252"/>
      <x:c r="R315" s="253"/>
      <x:c r="S315" s="253"/>
      <x:c r="T315" s="253"/>
      <x:c r="U315" s="253"/>
      <x:c r="V315" s="253"/>
      <x:c r="W315" s="253"/>
      <x:c r="X315" s="253"/>
      <x:c r="Y315" s="252"/>
      <x:c r="Z315" s="252"/>
      <x:c r="AA315" s="253"/>
      <x:c r="AB315" s="253" t="str">
        <x:f>IF(B315="","",IFERROR(INDEX('الزبائن'!$BA$6:$BA$505,MATCH(B315,'الزبائن'!$A$6:$A$505,0)),"source key not found"))</x:f>
      </x:c>
      <x:c r="AC315" s="253" t="str">
        <x:f>IF(B315="","",IFERROR(INDEX('الزبائن'!$BB$6:$BB$505,MATCH(B315,'الزبائن'!$A$6:$A$505,0)),"source key not found"))</x:f>
      </x:c>
      <x:c r="AD315" s="253" t="str">
        <x:f>IF(AND(A315="",C315="",D315="",I315="",L315="",M315=""),"",IF(C315="skip","SKIP",IF(OR(A315="",C315="",D315="",I315="",L315="",M315="",U315="",COUNTIF($A$6:$A$505,A315)&gt;1,AND(B315&lt;&gt;"",COUNTIF('الزبائن'!$A$6:$A$505,B315)=0),(COUNTIFS('أرقام التواصل'!$A$6:$A$505,"proposed_name",'أرقام التواصل'!$B$6:$B$505,A315,'أرقام التواصل'!$I$6:$I$505,"TRUE")+COUNTIFS('أرقام التواصل'!$A$6:$A$505,"proposed_name",'أرقام التواصل'!$B$6:$B$505,A315,'أرقام التواصل'!$C$6:$C$505,1))=0,AND(W315="TRUE",X315="")),"REVIEW","READY")))</x:f>
      </x:c>
      <x:c r="AE315" s="255" t="str">
        <x:f>IF(AD315="","",IF(AD315="READY","",IF(AD315="SKIP","Skipped by candidate_import_action",TRIM(IF(A315="","missing proposed_name_key; ","")&amp;IF(AND(A315&lt;&gt;"",COUNTIF($A$6:$A$505,A315)&gt;1),"duplicate proposed_name_key; ","")&amp;IF(C315="","missing candidate_import_action; ","")&amp;IF(D315="","missing move_reason; ","")&amp;IF(I315="","missing branch_id; ","")&amp;IF(L315="","missing first_name; ","")&amp;IF(M315="","missing last_name; ","")&amp;IF(U315="","missing status; ","")&amp;IF(AND(B315&lt;&gt;"",COUNTIF('الزبائن'!$A$6:$A$505,B315)=0),"source key not found; ","")&amp;IF((COUNTIFS('أرقام التواصل'!$A$6:$A$505,"proposed_name",'أرقام التواصل'!$B$6:$B$505,A315,'أرقام التواصل'!$I$6:$I$505,"TRUE")+COUNTIFS('أرقام التواصل'!$A$6:$A$505,"proposed_name",'أرقام التواصل'!$B$6:$B$505,A315,'أرقام التواصل'!$C$6:$C$505,1))=0,"missing primary contact in أرقام التواصل; ","")&amp;IF(AND(W315="TRUE",X315=""),"duplicate_type required when duplicate_flag TRUE; ","")))))</x:f>
      </x:c>
    </x:row>
    <x:row r="316">
      <x:c r="A316" s="302"/>
      <x:c r="B316" s="252"/>
      <x:c r="C316" s="253"/>
      <x:c r="D316" s="253"/>
      <x:c r="E316" s="253"/>
      <x:c r="F316" s="252"/>
      <x:c r="G316" s="253"/>
      <x:c r="H316" s="272"/>
      <x:c r="I316" s="253"/>
      <x:c r="J316" s="253"/>
      <x:c r="K316" s="253"/>
      <x:c r="L316" s="253"/>
      <x:c r="M316" s="253"/>
      <x:c r="N316" s="253"/>
      <x:c r="O316" s="253" t="str">
        <x:f>IF(TRIM(L316&amp;" "&amp;M316&amp;IF(N316&lt;&gt;""," ("&amp;N316&amp;")",""))="","",TRIM(L316&amp;" "&amp;M316&amp;IF(N316&lt;&gt;""," ("&amp;N316&amp;")","")))</x:f>
      </x:c>
      <x:c r="P316" s="253"/>
      <x:c r="Q316" s="252"/>
      <x:c r="R316" s="253"/>
      <x:c r="S316" s="253"/>
      <x:c r="T316" s="253"/>
      <x:c r="U316" s="253"/>
      <x:c r="V316" s="253"/>
      <x:c r="W316" s="253"/>
      <x:c r="X316" s="253"/>
      <x:c r="Y316" s="252"/>
      <x:c r="Z316" s="252"/>
      <x:c r="AA316" s="253"/>
      <x:c r="AB316" s="253" t="str">
        <x:f>IF(B316="","",IFERROR(INDEX('الزبائن'!$BA$6:$BA$505,MATCH(B316,'الزبائن'!$A$6:$A$505,0)),"source key not found"))</x:f>
      </x:c>
      <x:c r="AC316" s="253" t="str">
        <x:f>IF(B316="","",IFERROR(INDEX('الزبائن'!$BB$6:$BB$505,MATCH(B316,'الزبائن'!$A$6:$A$505,0)),"source key not found"))</x:f>
      </x:c>
      <x:c r="AD316" s="253" t="str">
        <x:f>IF(AND(A316="",C316="",D316="",I316="",L316="",M316=""),"",IF(C316="skip","SKIP",IF(OR(A316="",C316="",D316="",I316="",L316="",M316="",U316="",COUNTIF($A$6:$A$505,A316)&gt;1,AND(B316&lt;&gt;"",COUNTIF('الزبائن'!$A$6:$A$505,B316)=0),(COUNTIFS('أرقام التواصل'!$A$6:$A$505,"proposed_name",'أرقام التواصل'!$B$6:$B$505,A316,'أرقام التواصل'!$I$6:$I$505,"TRUE")+COUNTIFS('أرقام التواصل'!$A$6:$A$505,"proposed_name",'أرقام التواصل'!$B$6:$B$505,A316,'أرقام التواصل'!$C$6:$C$505,1))=0,AND(W316="TRUE",X316="")),"REVIEW","READY")))</x:f>
      </x:c>
      <x:c r="AE316" s="255" t="str">
        <x:f>IF(AD316="","",IF(AD316="READY","",IF(AD316="SKIP","Skipped by candidate_import_action",TRIM(IF(A316="","missing proposed_name_key; ","")&amp;IF(AND(A316&lt;&gt;"",COUNTIF($A$6:$A$505,A316)&gt;1),"duplicate proposed_name_key; ","")&amp;IF(C316="","missing candidate_import_action; ","")&amp;IF(D316="","missing move_reason; ","")&amp;IF(I316="","missing branch_id; ","")&amp;IF(L316="","missing first_name; ","")&amp;IF(M316="","missing last_name; ","")&amp;IF(U316="","missing status; ","")&amp;IF(AND(B316&lt;&gt;"",COUNTIF('الزبائن'!$A$6:$A$505,B316)=0),"source key not found; ","")&amp;IF((COUNTIFS('أرقام التواصل'!$A$6:$A$505,"proposed_name",'أرقام التواصل'!$B$6:$B$505,A316,'أرقام التواصل'!$I$6:$I$505,"TRUE")+COUNTIFS('أرقام التواصل'!$A$6:$A$505,"proposed_name",'أرقام التواصل'!$B$6:$B$505,A316,'أرقام التواصل'!$C$6:$C$505,1))=0,"missing primary contact in أرقام التواصل; ","")&amp;IF(AND(W316="TRUE",X316=""),"duplicate_type required when duplicate_flag TRUE; ","")))))</x:f>
      </x:c>
    </x:row>
    <x:row r="317">
      <x:c r="A317" s="302"/>
      <x:c r="B317" s="252"/>
      <x:c r="C317" s="253"/>
      <x:c r="D317" s="253"/>
      <x:c r="E317" s="253"/>
      <x:c r="F317" s="252"/>
      <x:c r="G317" s="253"/>
      <x:c r="H317" s="272"/>
      <x:c r="I317" s="253"/>
      <x:c r="J317" s="253"/>
      <x:c r="K317" s="253"/>
      <x:c r="L317" s="253"/>
      <x:c r="M317" s="253"/>
      <x:c r="N317" s="253"/>
      <x:c r="O317" s="253" t="str">
        <x:f>IF(TRIM(L317&amp;" "&amp;M317&amp;IF(N317&lt;&gt;""," ("&amp;N317&amp;")",""))="","",TRIM(L317&amp;" "&amp;M317&amp;IF(N317&lt;&gt;""," ("&amp;N317&amp;")","")))</x:f>
      </x:c>
      <x:c r="P317" s="253"/>
      <x:c r="Q317" s="252"/>
      <x:c r="R317" s="253"/>
      <x:c r="S317" s="253"/>
      <x:c r="T317" s="253"/>
      <x:c r="U317" s="253"/>
      <x:c r="V317" s="253"/>
      <x:c r="W317" s="253"/>
      <x:c r="X317" s="253"/>
      <x:c r="Y317" s="252"/>
      <x:c r="Z317" s="252"/>
      <x:c r="AA317" s="253"/>
      <x:c r="AB317" s="253" t="str">
        <x:f>IF(B317="","",IFERROR(INDEX('الزبائن'!$BA$6:$BA$505,MATCH(B317,'الزبائن'!$A$6:$A$505,0)),"source key not found"))</x:f>
      </x:c>
      <x:c r="AC317" s="253" t="str">
        <x:f>IF(B317="","",IFERROR(INDEX('الزبائن'!$BB$6:$BB$505,MATCH(B317,'الزبائن'!$A$6:$A$505,0)),"source key not found"))</x:f>
      </x:c>
      <x:c r="AD317" s="253" t="str">
        <x:f>IF(AND(A317="",C317="",D317="",I317="",L317="",M317=""),"",IF(C317="skip","SKIP",IF(OR(A317="",C317="",D317="",I317="",L317="",M317="",U317="",COUNTIF($A$6:$A$505,A317)&gt;1,AND(B317&lt;&gt;"",COUNTIF('الزبائن'!$A$6:$A$505,B317)=0),(COUNTIFS('أرقام التواصل'!$A$6:$A$505,"proposed_name",'أرقام التواصل'!$B$6:$B$505,A317,'أرقام التواصل'!$I$6:$I$505,"TRUE")+COUNTIFS('أرقام التواصل'!$A$6:$A$505,"proposed_name",'أرقام التواصل'!$B$6:$B$505,A317,'أرقام التواصل'!$C$6:$C$505,1))=0,AND(W317="TRUE",X317="")),"REVIEW","READY")))</x:f>
      </x:c>
      <x:c r="AE317" s="255" t="str">
        <x:f>IF(AD317="","",IF(AD317="READY","",IF(AD317="SKIP","Skipped by candidate_import_action",TRIM(IF(A317="","missing proposed_name_key; ","")&amp;IF(AND(A317&lt;&gt;"",COUNTIF($A$6:$A$505,A317)&gt;1),"duplicate proposed_name_key; ","")&amp;IF(C317="","missing candidate_import_action; ","")&amp;IF(D317="","missing move_reason; ","")&amp;IF(I317="","missing branch_id; ","")&amp;IF(L317="","missing first_name; ","")&amp;IF(M317="","missing last_name; ","")&amp;IF(U317="","missing status; ","")&amp;IF(AND(B317&lt;&gt;"",COUNTIF('الزبائن'!$A$6:$A$505,B317)=0),"source key not found; ","")&amp;IF((COUNTIFS('أرقام التواصل'!$A$6:$A$505,"proposed_name",'أرقام التواصل'!$B$6:$B$505,A317,'أرقام التواصل'!$I$6:$I$505,"TRUE")+COUNTIFS('أرقام التواصل'!$A$6:$A$505,"proposed_name",'أرقام التواصل'!$B$6:$B$505,A317,'أرقام التواصل'!$C$6:$C$505,1))=0,"missing primary contact in أرقام التواصل; ","")&amp;IF(AND(W317="TRUE",X317=""),"duplicate_type required when duplicate_flag TRUE; ","")))))</x:f>
      </x:c>
    </x:row>
    <x:row r="318">
      <x:c r="A318" s="302"/>
      <x:c r="B318" s="252"/>
      <x:c r="C318" s="253"/>
      <x:c r="D318" s="253"/>
      <x:c r="E318" s="253"/>
      <x:c r="F318" s="252"/>
      <x:c r="G318" s="253"/>
      <x:c r="H318" s="272"/>
      <x:c r="I318" s="253"/>
      <x:c r="J318" s="253"/>
      <x:c r="K318" s="253"/>
      <x:c r="L318" s="253"/>
      <x:c r="M318" s="253"/>
      <x:c r="N318" s="253"/>
      <x:c r="O318" s="253" t="str">
        <x:f>IF(TRIM(L318&amp;" "&amp;M318&amp;IF(N318&lt;&gt;""," ("&amp;N318&amp;")",""))="","",TRIM(L318&amp;" "&amp;M318&amp;IF(N318&lt;&gt;""," ("&amp;N318&amp;")","")))</x:f>
      </x:c>
      <x:c r="P318" s="253"/>
      <x:c r="Q318" s="252"/>
      <x:c r="R318" s="253"/>
      <x:c r="S318" s="253"/>
      <x:c r="T318" s="253"/>
      <x:c r="U318" s="253"/>
      <x:c r="V318" s="253"/>
      <x:c r="W318" s="253"/>
      <x:c r="X318" s="253"/>
      <x:c r="Y318" s="252"/>
      <x:c r="Z318" s="252"/>
      <x:c r="AA318" s="253"/>
      <x:c r="AB318" s="253" t="str">
        <x:f>IF(B318="","",IFERROR(INDEX('الزبائن'!$BA$6:$BA$505,MATCH(B318,'الزبائن'!$A$6:$A$505,0)),"source key not found"))</x:f>
      </x:c>
      <x:c r="AC318" s="253" t="str">
        <x:f>IF(B318="","",IFERROR(INDEX('الزبائن'!$BB$6:$BB$505,MATCH(B318,'الزبائن'!$A$6:$A$505,0)),"source key not found"))</x:f>
      </x:c>
      <x:c r="AD318" s="253" t="str">
        <x:f>IF(AND(A318="",C318="",D318="",I318="",L318="",M318=""),"",IF(C318="skip","SKIP",IF(OR(A318="",C318="",D318="",I318="",L318="",M318="",U318="",COUNTIF($A$6:$A$505,A318)&gt;1,AND(B318&lt;&gt;"",COUNTIF('الزبائن'!$A$6:$A$505,B318)=0),(COUNTIFS('أرقام التواصل'!$A$6:$A$505,"proposed_name",'أرقام التواصل'!$B$6:$B$505,A318,'أرقام التواصل'!$I$6:$I$505,"TRUE")+COUNTIFS('أرقام التواصل'!$A$6:$A$505,"proposed_name",'أرقام التواصل'!$B$6:$B$505,A318,'أرقام التواصل'!$C$6:$C$505,1))=0,AND(W318="TRUE",X318="")),"REVIEW","READY")))</x:f>
      </x:c>
      <x:c r="AE318" s="255" t="str">
        <x:f>IF(AD318="","",IF(AD318="READY","",IF(AD318="SKIP","Skipped by candidate_import_action",TRIM(IF(A318="","missing proposed_name_key; ","")&amp;IF(AND(A318&lt;&gt;"",COUNTIF($A$6:$A$505,A318)&gt;1),"duplicate proposed_name_key; ","")&amp;IF(C318="","missing candidate_import_action; ","")&amp;IF(D318="","missing move_reason; ","")&amp;IF(I318="","missing branch_id; ","")&amp;IF(L318="","missing first_name; ","")&amp;IF(M318="","missing last_name; ","")&amp;IF(U318="","missing status; ","")&amp;IF(AND(B318&lt;&gt;"",COUNTIF('الزبائن'!$A$6:$A$505,B318)=0),"source key not found; ","")&amp;IF((COUNTIFS('أرقام التواصل'!$A$6:$A$505,"proposed_name",'أرقام التواصل'!$B$6:$B$505,A318,'أرقام التواصل'!$I$6:$I$505,"TRUE")+COUNTIFS('أرقام التواصل'!$A$6:$A$505,"proposed_name",'أرقام التواصل'!$B$6:$B$505,A318,'أرقام التواصل'!$C$6:$C$505,1))=0,"missing primary contact in أرقام التواصل; ","")&amp;IF(AND(W318="TRUE",X318=""),"duplicate_type required when duplicate_flag TRUE; ","")))))</x:f>
      </x:c>
    </x:row>
    <x:row r="319">
      <x:c r="A319" s="302"/>
      <x:c r="B319" s="252"/>
      <x:c r="C319" s="253"/>
      <x:c r="D319" s="253"/>
      <x:c r="E319" s="253"/>
      <x:c r="F319" s="252"/>
      <x:c r="G319" s="253"/>
      <x:c r="H319" s="272"/>
      <x:c r="I319" s="253"/>
      <x:c r="J319" s="253"/>
      <x:c r="K319" s="253"/>
      <x:c r="L319" s="253"/>
      <x:c r="M319" s="253"/>
      <x:c r="N319" s="253"/>
      <x:c r="O319" s="253" t="str">
        <x:f>IF(TRIM(L319&amp;" "&amp;M319&amp;IF(N319&lt;&gt;""," ("&amp;N319&amp;")",""))="","",TRIM(L319&amp;" "&amp;M319&amp;IF(N319&lt;&gt;""," ("&amp;N319&amp;")","")))</x:f>
      </x:c>
      <x:c r="P319" s="253"/>
      <x:c r="Q319" s="252"/>
      <x:c r="R319" s="253"/>
      <x:c r="S319" s="253"/>
      <x:c r="T319" s="253"/>
      <x:c r="U319" s="253"/>
      <x:c r="V319" s="253"/>
      <x:c r="W319" s="253"/>
      <x:c r="X319" s="253"/>
      <x:c r="Y319" s="252"/>
      <x:c r="Z319" s="252"/>
      <x:c r="AA319" s="253"/>
      <x:c r="AB319" s="253" t="str">
        <x:f>IF(B319="","",IFERROR(INDEX('الزبائن'!$BA$6:$BA$505,MATCH(B319,'الزبائن'!$A$6:$A$505,0)),"source key not found"))</x:f>
      </x:c>
      <x:c r="AC319" s="253" t="str">
        <x:f>IF(B319="","",IFERROR(INDEX('الزبائن'!$BB$6:$BB$505,MATCH(B319,'الزبائن'!$A$6:$A$505,0)),"source key not found"))</x:f>
      </x:c>
      <x:c r="AD319" s="253" t="str">
        <x:f>IF(AND(A319="",C319="",D319="",I319="",L319="",M319=""),"",IF(C319="skip","SKIP",IF(OR(A319="",C319="",D319="",I319="",L319="",M319="",U319="",COUNTIF($A$6:$A$505,A319)&gt;1,AND(B319&lt;&gt;"",COUNTIF('الزبائن'!$A$6:$A$505,B319)=0),(COUNTIFS('أرقام التواصل'!$A$6:$A$505,"proposed_name",'أرقام التواصل'!$B$6:$B$505,A319,'أرقام التواصل'!$I$6:$I$505,"TRUE")+COUNTIFS('أرقام التواصل'!$A$6:$A$505,"proposed_name",'أرقام التواصل'!$B$6:$B$505,A319,'أرقام التواصل'!$C$6:$C$505,1))=0,AND(W319="TRUE",X319="")),"REVIEW","READY")))</x:f>
      </x:c>
      <x:c r="AE319" s="255" t="str">
        <x:f>IF(AD319="","",IF(AD319="READY","",IF(AD319="SKIP","Skipped by candidate_import_action",TRIM(IF(A319="","missing proposed_name_key; ","")&amp;IF(AND(A319&lt;&gt;"",COUNTIF($A$6:$A$505,A319)&gt;1),"duplicate proposed_name_key; ","")&amp;IF(C319="","missing candidate_import_action; ","")&amp;IF(D319="","missing move_reason; ","")&amp;IF(I319="","missing branch_id; ","")&amp;IF(L319="","missing first_name; ","")&amp;IF(M319="","missing last_name; ","")&amp;IF(U319="","missing status; ","")&amp;IF(AND(B319&lt;&gt;"",COUNTIF('الزبائن'!$A$6:$A$505,B319)=0),"source key not found; ","")&amp;IF((COUNTIFS('أرقام التواصل'!$A$6:$A$505,"proposed_name",'أرقام التواصل'!$B$6:$B$505,A319,'أرقام التواصل'!$I$6:$I$505,"TRUE")+COUNTIFS('أرقام التواصل'!$A$6:$A$505,"proposed_name",'أرقام التواصل'!$B$6:$B$505,A319,'أرقام التواصل'!$C$6:$C$505,1))=0,"missing primary contact in أرقام التواصل; ","")&amp;IF(AND(W319="TRUE",X319=""),"duplicate_type required when duplicate_flag TRUE; ","")))))</x:f>
      </x:c>
    </x:row>
    <x:row r="320">
      <x:c r="A320" s="302"/>
      <x:c r="B320" s="252"/>
      <x:c r="C320" s="253"/>
      <x:c r="D320" s="253"/>
      <x:c r="E320" s="253"/>
      <x:c r="F320" s="252"/>
      <x:c r="G320" s="253"/>
      <x:c r="H320" s="272"/>
      <x:c r="I320" s="253"/>
      <x:c r="J320" s="253"/>
      <x:c r="K320" s="253"/>
      <x:c r="L320" s="253"/>
      <x:c r="M320" s="253"/>
      <x:c r="N320" s="253"/>
      <x:c r="O320" s="253" t="str">
        <x:f>IF(TRIM(L320&amp;" "&amp;M320&amp;IF(N320&lt;&gt;""," ("&amp;N320&amp;")",""))="","",TRIM(L320&amp;" "&amp;M320&amp;IF(N320&lt;&gt;""," ("&amp;N320&amp;")","")))</x:f>
      </x:c>
      <x:c r="P320" s="253"/>
      <x:c r="Q320" s="252"/>
      <x:c r="R320" s="253"/>
      <x:c r="S320" s="253"/>
      <x:c r="T320" s="253"/>
      <x:c r="U320" s="253"/>
      <x:c r="V320" s="253"/>
      <x:c r="W320" s="253"/>
      <x:c r="X320" s="253"/>
      <x:c r="Y320" s="252"/>
      <x:c r="Z320" s="252"/>
      <x:c r="AA320" s="253"/>
      <x:c r="AB320" s="253" t="str">
        <x:f>IF(B320="","",IFERROR(INDEX('الزبائن'!$BA$6:$BA$505,MATCH(B320,'الزبائن'!$A$6:$A$505,0)),"source key not found"))</x:f>
      </x:c>
      <x:c r="AC320" s="253" t="str">
        <x:f>IF(B320="","",IFERROR(INDEX('الزبائن'!$BB$6:$BB$505,MATCH(B320,'الزبائن'!$A$6:$A$505,0)),"source key not found"))</x:f>
      </x:c>
      <x:c r="AD320" s="253" t="str">
        <x:f>IF(AND(A320="",C320="",D320="",I320="",L320="",M320=""),"",IF(C320="skip","SKIP",IF(OR(A320="",C320="",D320="",I320="",L320="",M320="",U320="",COUNTIF($A$6:$A$505,A320)&gt;1,AND(B320&lt;&gt;"",COUNTIF('الزبائن'!$A$6:$A$505,B320)=0),(COUNTIFS('أرقام التواصل'!$A$6:$A$505,"proposed_name",'أرقام التواصل'!$B$6:$B$505,A320,'أرقام التواصل'!$I$6:$I$505,"TRUE")+COUNTIFS('أرقام التواصل'!$A$6:$A$505,"proposed_name",'أرقام التواصل'!$B$6:$B$505,A320,'أرقام التواصل'!$C$6:$C$505,1))=0,AND(W320="TRUE",X320="")),"REVIEW","READY")))</x:f>
      </x:c>
      <x:c r="AE320" s="255" t="str">
        <x:f>IF(AD320="","",IF(AD320="READY","",IF(AD320="SKIP","Skipped by candidate_import_action",TRIM(IF(A320="","missing proposed_name_key; ","")&amp;IF(AND(A320&lt;&gt;"",COUNTIF($A$6:$A$505,A320)&gt;1),"duplicate proposed_name_key; ","")&amp;IF(C320="","missing candidate_import_action; ","")&amp;IF(D320="","missing move_reason; ","")&amp;IF(I320="","missing branch_id; ","")&amp;IF(L320="","missing first_name; ","")&amp;IF(M320="","missing last_name; ","")&amp;IF(U320="","missing status; ","")&amp;IF(AND(B320&lt;&gt;"",COUNTIF('الزبائن'!$A$6:$A$505,B320)=0),"source key not found; ","")&amp;IF((COUNTIFS('أرقام التواصل'!$A$6:$A$505,"proposed_name",'أرقام التواصل'!$B$6:$B$505,A320,'أرقام التواصل'!$I$6:$I$505,"TRUE")+COUNTIFS('أرقام التواصل'!$A$6:$A$505,"proposed_name",'أرقام التواصل'!$B$6:$B$505,A320,'أرقام التواصل'!$C$6:$C$505,1))=0,"missing primary contact in أرقام التواصل; ","")&amp;IF(AND(W320="TRUE",X320=""),"duplicate_type required when duplicate_flag TRUE; ","")))))</x:f>
      </x:c>
    </x:row>
    <x:row r="321">
      <x:c r="A321" s="302"/>
      <x:c r="B321" s="252"/>
      <x:c r="C321" s="253"/>
      <x:c r="D321" s="253"/>
      <x:c r="E321" s="253"/>
      <x:c r="F321" s="252"/>
      <x:c r="G321" s="253"/>
      <x:c r="H321" s="272"/>
      <x:c r="I321" s="253"/>
      <x:c r="J321" s="253"/>
      <x:c r="K321" s="253"/>
      <x:c r="L321" s="253"/>
      <x:c r="M321" s="253"/>
      <x:c r="N321" s="253"/>
      <x:c r="O321" s="253" t="str">
        <x:f>IF(TRIM(L321&amp;" "&amp;M321&amp;IF(N321&lt;&gt;""," ("&amp;N321&amp;")",""))="","",TRIM(L321&amp;" "&amp;M321&amp;IF(N321&lt;&gt;""," ("&amp;N321&amp;")","")))</x:f>
      </x:c>
      <x:c r="P321" s="253"/>
      <x:c r="Q321" s="252"/>
      <x:c r="R321" s="253"/>
      <x:c r="S321" s="253"/>
      <x:c r="T321" s="253"/>
      <x:c r="U321" s="253"/>
      <x:c r="V321" s="253"/>
      <x:c r="W321" s="253"/>
      <x:c r="X321" s="253"/>
      <x:c r="Y321" s="252"/>
      <x:c r="Z321" s="252"/>
      <x:c r="AA321" s="253"/>
      <x:c r="AB321" s="253" t="str">
        <x:f>IF(B321="","",IFERROR(INDEX('الزبائن'!$BA$6:$BA$505,MATCH(B321,'الزبائن'!$A$6:$A$505,0)),"source key not found"))</x:f>
      </x:c>
      <x:c r="AC321" s="253" t="str">
        <x:f>IF(B321="","",IFERROR(INDEX('الزبائن'!$BB$6:$BB$505,MATCH(B321,'الزبائن'!$A$6:$A$505,0)),"source key not found"))</x:f>
      </x:c>
      <x:c r="AD321" s="253" t="str">
        <x:f>IF(AND(A321="",C321="",D321="",I321="",L321="",M321=""),"",IF(C321="skip","SKIP",IF(OR(A321="",C321="",D321="",I321="",L321="",M321="",U321="",COUNTIF($A$6:$A$505,A321)&gt;1,AND(B321&lt;&gt;"",COUNTIF('الزبائن'!$A$6:$A$505,B321)=0),(COUNTIFS('أرقام التواصل'!$A$6:$A$505,"proposed_name",'أرقام التواصل'!$B$6:$B$505,A321,'أرقام التواصل'!$I$6:$I$505,"TRUE")+COUNTIFS('أرقام التواصل'!$A$6:$A$505,"proposed_name",'أرقام التواصل'!$B$6:$B$505,A321,'أرقام التواصل'!$C$6:$C$505,1))=0,AND(W321="TRUE",X321="")),"REVIEW","READY")))</x:f>
      </x:c>
      <x:c r="AE321" s="255" t="str">
        <x:f>IF(AD321="","",IF(AD321="READY","",IF(AD321="SKIP","Skipped by candidate_import_action",TRIM(IF(A321="","missing proposed_name_key; ","")&amp;IF(AND(A321&lt;&gt;"",COUNTIF($A$6:$A$505,A321)&gt;1),"duplicate proposed_name_key; ","")&amp;IF(C321="","missing candidate_import_action; ","")&amp;IF(D321="","missing move_reason; ","")&amp;IF(I321="","missing branch_id; ","")&amp;IF(L321="","missing first_name; ","")&amp;IF(M321="","missing last_name; ","")&amp;IF(U321="","missing status; ","")&amp;IF(AND(B321&lt;&gt;"",COUNTIF('الزبائن'!$A$6:$A$505,B321)=0),"source key not found; ","")&amp;IF((COUNTIFS('أرقام التواصل'!$A$6:$A$505,"proposed_name",'أرقام التواصل'!$B$6:$B$505,A321,'أرقام التواصل'!$I$6:$I$505,"TRUE")+COUNTIFS('أرقام التواصل'!$A$6:$A$505,"proposed_name",'أرقام التواصل'!$B$6:$B$505,A321,'أرقام التواصل'!$C$6:$C$505,1))=0,"missing primary contact in أرقام التواصل; ","")&amp;IF(AND(W321="TRUE",X321=""),"duplicate_type required when duplicate_flag TRUE; ","")))))</x:f>
      </x:c>
    </x:row>
    <x:row r="322">
      <x:c r="A322" s="302"/>
      <x:c r="B322" s="252"/>
      <x:c r="C322" s="253"/>
      <x:c r="D322" s="253"/>
      <x:c r="E322" s="253"/>
      <x:c r="F322" s="252"/>
      <x:c r="G322" s="253"/>
      <x:c r="H322" s="272"/>
      <x:c r="I322" s="253"/>
      <x:c r="J322" s="253"/>
      <x:c r="K322" s="253"/>
      <x:c r="L322" s="253"/>
      <x:c r="M322" s="253"/>
      <x:c r="N322" s="253"/>
      <x:c r="O322" s="253" t="str">
        <x:f>IF(TRIM(L322&amp;" "&amp;M322&amp;IF(N322&lt;&gt;""," ("&amp;N322&amp;")",""))="","",TRIM(L322&amp;" "&amp;M322&amp;IF(N322&lt;&gt;""," ("&amp;N322&amp;")","")))</x:f>
      </x:c>
      <x:c r="P322" s="253"/>
      <x:c r="Q322" s="252"/>
      <x:c r="R322" s="253"/>
      <x:c r="S322" s="253"/>
      <x:c r="T322" s="253"/>
      <x:c r="U322" s="253"/>
      <x:c r="V322" s="253"/>
      <x:c r="W322" s="253"/>
      <x:c r="X322" s="253"/>
      <x:c r="Y322" s="252"/>
      <x:c r="Z322" s="252"/>
      <x:c r="AA322" s="253"/>
      <x:c r="AB322" s="253" t="str">
        <x:f>IF(B322="","",IFERROR(INDEX('الزبائن'!$BA$6:$BA$505,MATCH(B322,'الزبائن'!$A$6:$A$505,0)),"source key not found"))</x:f>
      </x:c>
      <x:c r="AC322" s="253" t="str">
        <x:f>IF(B322="","",IFERROR(INDEX('الزبائن'!$BB$6:$BB$505,MATCH(B322,'الزبائن'!$A$6:$A$505,0)),"source key not found"))</x:f>
      </x:c>
      <x:c r="AD322" s="253" t="str">
        <x:f>IF(AND(A322="",C322="",D322="",I322="",L322="",M322=""),"",IF(C322="skip","SKIP",IF(OR(A322="",C322="",D322="",I322="",L322="",M322="",U322="",COUNTIF($A$6:$A$505,A322)&gt;1,AND(B322&lt;&gt;"",COUNTIF('الزبائن'!$A$6:$A$505,B322)=0),(COUNTIFS('أرقام التواصل'!$A$6:$A$505,"proposed_name",'أرقام التواصل'!$B$6:$B$505,A322,'أرقام التواصل'!$I$6:$I$505,"TRUE")+COUNTIFS('أرقام التواصل'!$A$6:$A$505,"proposed_name",'أرقام التواصل'!$B$6:$B$505,A322,'أرقام التواصل'!$C$6:$C$505,1))=0,AND(W322="TRUE",X322="")),"REVIEW","READY")))</x:f>
      </x:c>
      <x:c r="AE322" s="255" t="str">
        <x:f>IF(AD322="","",IF(AD322="READY","",IF(AD322="SKIP","Skipped by candidate_import_action",TRIM(IF(A322="","missing proposed_name_key; ","")&amp;IF(AND(A322&lt;&gt;"",COUNTIF($A$6:$A$505,A322)&gt;1),"duplicate proposed_name_key; ","")&amp;IF(C322="","missing candidate_import_action; ","")&amp;IF(D322="","missing move_reason; ","")&amp;IF(I322="","missing branch_id; ","")&amp;IF(L322="","missing first_name; ","")&amp;IF(M322="","missing last_name; ","")&amp;IF(U322="","missing status; ","")&amp;IF(AND(B322&lt;&gt;"",COUNTIF('الزبائن'!$A$6:$A$505,B322)=0),"source key not found; ","")&amp;IF((COUNTIFS('أرقام التواصل'!$A$6:$A$505,"proposed_name",'أرقام التواصل'!$B$6:$B$505,A322,'أرقام التواصل'!$I$6:$I$505,"TRUE")+COUNTIFS('أرقام التواصل'!$A$6:$A$505,"proposed_name",'أرقام التواصل'!$B$6:$B$505,A322,'أرقام التواصل'!$C$6:$C$505,1))=0,"missing primary contact in أرقام التواصل; ","")&amp;IF(AND(W322="TRUE",X322=""),"duplicate_type required when duplicate_flag TRUE; ","")))))</x:f>
      </x:c>
    </x:row>
    <x:row r="323">
      <x:c r="A323" s="302"/>
      <x:c r="B323" s="252"/>
      <x:c r="C323" s="253"/>
      <x:c r="D323" s="253"/>
      <x:c r="E323" s="253"/>
      <x:c r="F323" s="252"/>
      <x:c r="G323" s="253"/>
      <x:c r="H323" s="272"/>
      <x:c r="I323" s="253"/>
      <x:c r="J323" s="253"/>
      <x:c r="K323" s="253"/>
      <x:c r="L323" s="253"/>
      <x:c r="M323" s="253"/>
      <x:c r="N323" s="253"/>
      <x:c r="O323" s="253" t="str">
        <x:f>IF(TRIM(L323&amp;" "&amp;M323&amp;IF(N323&lt;&gt;""," ("&amp;N323&amp;")",""))="","",TRIM(L323&amp;" "&amp;M323&amp;IF(N323&lt;&gt;""," ("&amp;N323&amp;")","")))</x:f>
      </x:c>
      <x:c r="P323" s="253"/>
      <x:c r="Q323" s="252"/>
      <x:c r="R323" s="253"/>
      <x:c r="S323" s="253"/>
      <x:c r="T323" s="253"/>
      <x:c r="U323" s="253"/>
      <x:c r="V323" s="253"/>
      <x:c r="W323" s="253"/>
      <x:c r="X323" s="253"/>
      <x:c r="Y323" s="252"/>
      <x:c r="Z323" s="252"/>
      <x:c r="AA323" s="253"/>
      <x:c r="AB323" s="253" t="str">
        <x:f>IF(B323="","",IFERROR(INDEX('الزبائن'!$BA$6:$BA$505,MATCH(B323,'الزبائن'!$A$6:$A$505,0)),"source key not found"))</x:f>
      </x:c>
      <x:c r="AC323" s="253" t="str">
        <x:f>IF(B323="","",IFERROR(INDEX('الزبائن'!$BB$6:$BB$505,MATCH(B323,'الزبائن'!$A$6:$A$505,0)),"source key not found"))</x:f>
      </x:c>
      <x:c r="AD323" s="253" t="str">
        <x:f>IF(AND(A323="",C323="",D323="",I323="",L323="",M323=""),"",IF(C323="skip","SKIP",IF(OR(A323="",C323="",D323="",I323="",L323="",M323="",U323="",COUNTIF($A$6:$A$505,A323)&gt;1,AND(B323&lt;&gt;"",COUNTIF('الزبائن'!$A$6:$A$505,B323)=0),(COUNTIFS('أرقام التواصل'!$A$6:$A$505,"proposed_name",'أرقام التواصل'!$B$6:$B$505,A323,'أرقام التواصل'!$I$6:$I$505,"TRUE")+COUNTIFS('أرقام التواصل'!$A$6:$A$505,"proposed_name",'أرقام التواصل'!$B$6:$B$505,A323,'أرقام التواصل'!$C$6:$C$505,1))=0,AND(W323="TRUE",X323="")),"REVIEW","READY")))</x:f>
      </x:c>
      <x:c r="AE323" s="255" t="str">
        <x:f>IF(AD323="","",IF(AD323="READY","",IF(AD323="SKIP","Skipped by candidate_import_action",TRIM(IF(A323="","missing proposed_name_key; ","")&amp;IF(AND(A323&lt;&gt;"",COUNTIF($A$6:$A$505,A323)&gt;1),"duplicate proposed_name_key; ","")&amp;IF(C323="","missing candidate_import_action; ","")&amp;IF(D323="","missing move_reason; ","")&amp;IF(I323="","missing branch_id; ","")&amp;IF(L323="","missing first_name; ","")&amp;IF(M323="","missing last_name; ","")&amp;IF(U323="","missing status; ","")&amp;IF(AND(B323&lt;&gt;"",COUNTIF('الزبائن'!$A$6:$A$505,B323)=0),"source key not found; ","")&amp;IF((COUNTIFS('أرقام التواصل'!$A$6:$A$505,"proposed_name",'أرقام التواصل'!$B$6:$B$505,A323,'أرقام التواصل'!$I$6:$I$505,"TRUE")+COUNTIFS('أرقام التواصل'!$A$6:$A$505,"proposed_name",'أرقام التواصل'!$B$6:$B$505,A323,'أرقام التواصل'!$C$6:$C$505,1))=0,"missing primary contact in أرقام التواصل; ","")&amp;IF(AND(W323="TRUE",X323=""),"duplicate_type required when duplicate_flag TRUE; ","")))))</x:f>
      </x:c>
    </x:row>
    <x:row r="324">
      <x:c r="A324" s="302"/>
      <x:c r="B324" s="252"/>
      <x:c r="C324" s="253"/>
      <x:c r="D324" s="253"/>
      <x:c r="E324" s="253"/>
      <x:c r="F324" s="252"/>
      <x:c r="G324" s="253"/>
      <x:c r="H324" s="272"/>
      <x:c r="I324" s="253"/>
      <x:c r="J324" s="253"/>
      <x:c r="K324" s="253"/>
      <x:c r="L324" s="253"/>
      <x:c r="M324" s="253"/>
      <x:c r="N324" s="253"/>
      <x:c r="O324" s="253" t="str">
        <x:f>IF(TRIM(L324&amp;" "&amp;M324&amp;IF(N324&lt;&gt;""," ("&amp;N324&amp;")",""))="","",TRIM(L324&amp;" "&amp;M324&amp;IF(N324&lt;&gt;""," ("&amp;N324&amp;")","")))</x:f>
      </x:c>
      <x:c r="P324" s="253"/>
      <x:c r="Q324" s="252"/>
      <x:c r="R324" s="253"/>
      <x:c r="S324" s="253"/>
      <x:c r="T324" s="253"/>
      <x:c r="U324" s="253"/>
      <x:c r="V324" s="253"/>
      <x:c r="W324" s="253"/>
      <x:c r="X324" s="253"/>
      <x:c r="Y324" s="252"/>
      <x:c r="Z324" s="252"/>
      <x:c r="AA324" s="253"/>
      <x:c r="AB324" s="253" t="str">
        <x:f>IF(B324="","",IFERROR(INDEX('الزبائن'!$BA$6:$BA$505,MATCH(B324,'الزبائن'!$A$6:$A$505,0)),"source key not found"))</x:f>
      </x:c>
      <x:c r="AC324" s="253" t="str">
        <x:f>IF(B324="","",IFERROR(INDEX('الزبائن'!$BB$6:$BB$505,MATCH(B324,'الزبائن'!$A$6:$A$505,0)),"source key not found"))</x:f>
      </x:c>
      <x:c r="AD324" s="253" t="str">
        <x:f>IF(AND(A324="",C324="",D324="",I324="",L324="",M324=""),"",IF(C324="skip","SKIP",IF(OR(A324="",C324="",D324="",I324="",L324="",M324="",U324="",COUNTIF($A$6:$A$505,A324)&gt;1,AND(B324&lt;&gt;"",COUNTIF('الزبائن'!$A$6:$A$505,B324)=0),(COUNTIFS('أرقام التواصل'!$A$6:$A$505,"proposed_name",'أرقام التواصل'!$B$6:$B$505,A324,'أرقام التواصل'!$I$6:$I$505,"TRUE")+COUNTIFS('أرقام التواصل'!$A$6:$A$505,"proposed_name",'أرقام التواصل'!$B$6:$B$505,A324,'أرقام التواصل'!$C$6:$C$505,1))=0,AND(W324="TRUE",X324="")),"REVIEW","READY")))</x:f>
      </x:c>
      <x:c r="AE324" s="255" t="str">
        <x:f>IF(AD324="","",IF(AD324="READY","",IF(AD324="SKIP","Skipped by candidate_import_action",TRIM(IF(A324="","missing proposed_name_key; ","")&amp;IF(AND(A324&lt;&gt;"",COUNTIF($A$6:$A$505,A324)&gt;1),"duplicate proposed_name_key; ","")&amp;IF(C324="","missing candidate_import_action; ","")&amp;IF(D324="","missing move_reason; ","")&amp;IF(I324="","missing branch_id; ","")&amp;IF(L324="","missing first_name; ","")&amp;IF(M324="","missing last_name; ","")&amp;IF(U324="","missing status; ","")&amp;IF(AND(B324&lt;&gt;"",COUNTIF('الزبائن'!$A$6:$A$505,B324)=0),"source key not found; ","")&amp;IF((COUNTIFS('أرقام التواصل'!$A$6:$A$505,"proposed_name",'أرقام التواصل'!$B$6:$B$505,A324,'أرقام التواصل'!$I$6:$I$505,"TRUE")+COUNTIFS('أرقام التواصل'!$A$6:$A$505,"proposed_name",'أرقام التواصل'!$B$6:$B$505,A324,'أرقام التواصل'!$C$6:$C$505,1))=0,"missing primary contact in أرقام التواصل; ","")&amp;IF(AND(W324="TRUE",X324=""),"duplicate_type required when duplicate_flag TRUE; ","")))))</x:f>
      </x:c>
    </x:row>
    <x:row r="325">
      <x:c r="A325" s="302"/>
      <x:c r="B325" s="252"/>
      <x:c r="C325" s="253"/>
      <x:c r="D325" s="253"/>
      <x:c r="E325" s="253"/>
      <x:c r="F325" s="252"/>
      <x:c r="G325" s="253"/>
      <x:c r="H325" s="272"/>
      <x:c r="I325" s="253"/>
      <x:c r="J325" s="253"/>
      <x:c r="K325" s="253"/>
      <x:c r="L325" s="253"/>
      <x:c r="M325" s="253"/>
      <x:c r="N325" s="253"/>
      <x:c r="O325" s="253" t="str">
        <x:f>IF(TRIM(L325&amp;" "&amp;M325&amp;IF(N325&lt;&gt;""," ("&amp;N325&amp;")",""))="","",TRIM(L325&amp;" "&amp;M325&amp;IF(N325&lt;&gt;""," ("&amp;N325&amp;")","")))</x:f>
      </x:c>
      <x:c r="P325" s="253"/>
      <x:c r="Q325" s="252"/>
      <x:c r="R325" s="253"/>
      <x:c r="S325" s="253"/>
      <x:c r="T325" s="253"/>
      <x:c r="U325" s="253"/>
      <x:c r="V325" s="253"/>
      <x:c r="W325" s="253"/>
      <x:c r="X325" s="253"/>
      <x:c r="Y325" s="252"/>
      <x:c r="Z325" s="252"/>
      <x:c r="AA325" s="253"/>
      <x:c r="AB325" s="253" t="str">
        <x:f>IF(B325="","",IFERROR(INDEX('الزبائن'!$BA$6:$BA$505,MATCH(B325,'الزبائن'!$A$6:$A$505,0)),"source key not found"))</x:f>
      </x:c>
      <x:c r="AC325" s="253" t="str">
        <x:f>IF(B325="","",IFERROR(INDEX('الزبائن'!$BB$6:$BB$505,MATCH(B325,'الزبائن'!$A$6:$A$505,0)),"source key not found"))</x:f>
      </x:c>
      <x:c r="AD325" s="253" t="str">
        <x:f>IF(AND(A325="",C325="",D325="",I325="",L325="",M325=""),"",IF(C325="skip","SKIP",IF(OR(A325="",C325="",D325="",I325="",L325="",M325="",U325="",COUNTIF($A$6:$A$505,A325)&gt;1,AND(B325&lt;&gt;"",COUNTIF('الزبائن'!$A$6:$A$505,B325)=0),(COUNTIFS('أرقام التواصل'!$A$6:$A$505,"proposed_name",'أرقام التواصل'!$B$6:$B$505,A325,'أرقام التواصل'!$I$6:$I$505,"TRUE")+COUNTIFS('أرقام التواصل'!$A$6:$A$505,"proposed_name",'أرقام التواصل'!$B$6:$B$505,A325,'أرقام التواصل'!$C$6:$C$505,1))=0,AND(W325="TRUE",X325="")),"REVIEW","READY")))</x:f>
      </x:c>
      <x:c r="AE325" s="255" t="str">
        <x:f>IF(AD325="","",IF(AD325="READY","",IF(AD325="SKIP","Skipped by candidate_import_action",TRIM(IF(A325="","missing proposed_name_key; ","")&amp;IF(AND(A325&lt;&gt;"",COUNTIF($A$6:$A$505,A325)&gt;1),"duplicate proposed_name_key; ","")&amp;IF(C325="","missing candidate_import_action; ","")&amp;IF(D325="","missing move_reason; ","")&amp;IF(I325="","missing branch_id; ","")&amp;IF(L325="","missing first_name; ","")&amp;IF(M325="","missing last_name; ","")&amp;IF(U325="","missing status; ","")&amp;IF(AND(B325&lt;&gt;"",COUNTIF('الزبائن'!$A$6:$A$505,B325)=0),"source key not found; ","")&amp;IF((COUNTIFS('أرقام التواصل'!$A$6:$A$505,"proposed_name",'أرقام التواصل'!$B$6:$B$505,A325,'أرقام التواصل'!$I$6:$I$505,"TRUE")+COUNTIFS('أرقام التواصل'!$A$6:$A$505,"proposed_name",'أرقام التواصل'!$B$6:$B$505,A325,'أرقام التواصل'!$C$6:$C$505,1))=0,"missing primary contact in أرقام التواصل; ","")&amp;IF(AND(W325="TRUE",X325=""),"duplicate_type required when duplicate_flag TRUE; ","")))))</x:f>
      </x:c>
    </x:row>
    <x:row r="326">
      <x:c r="A326" s="302"/>
      <x:c r="B326" s="252"/>
      <x:c r="C326" s="253"/>
      <x:c r="D326" s="253"/>
      <x:c r="E326" s="253"/>
      <x:c r="F326" s="252"/>
      <x:c r="G326" s="253"/>
      <x:c r="H326" s="272"/>
      <x:c r="I326" s="253"/>
      <x:c r="J326" s="253"/>
      <x:c r="K326" s="253"/>
      <x:c r="L326" s="253"/>
      <x:c r="M326" s="253"/>
      <x:c r="N326" s="253"/>
      <x:c r="O326" s="253" t="str">
        <x:f>IF(TRIM(L326&amp;" "&amp;M326&amp;IF(N326&lt;&gt;""," ("&amp;N326&amp;")",""))="","",TRIM(L326&amp;" "&amp;M326&amp;IF(N326&lt;&gt;""," ("&amp;N326&amp;")","")))</x:f>
      </x:c>
      <x:c r="P326" s="253"/>
      <x:c r="Q326" s="252"/>
      <x:c r="R326" s="253"/>
      <x:c r="S326" s="253"/>
      <x:c r="T326" s="253"/>
      <x:c r="U326" s="253"/>
      <x:c r="V326" s="253"/>
      <x:c r="W326" s="253"/>
      <x:c r="X326" s="253"/>
      <x:c r="Y326" s="252"/>
      <x:c r="Z326" s="252"/>
      <x:c r="AA326" s="253"/>
      <x:c r="AB326" s="253" t="str">
        <x:f>IF(B326="","",IFERROR(INDEX('الزبائن'!$BA$6:$BA$505,MATCH(B326,'الزبائن'!$A$6:$A$505,0)),"source key not found"))</x:f>
      </x:c>
      <x:c r="AC326" s="253" t="str">
        <x:f>IF(B326="","",IFERROR(INDEX('الزبائن'!$BB$6:$BB$505,MATCH(B326,'الزبائن'!$A$6:$A$505,0)),"source key not found"))</x:f>
      </x:c>
      <x:c r="AD326" s="253" t="str">
        <x:f>IF(AND(A326="",C326="",D326="",I326="",L326="",M326=""),"",IF(C326="skip","SKIP",IF(OR(A326="",C326="",D326="",I326="",L326="",M326="",U326="",COUNTIF($A$6:$A$505,A326)&gt;1,AND(B326&lt;&gt;"",COUNTIF('الزبائن'!$A$6:$A$505,B326)=0),(COUNTIFS('أرقام التواصل'!$A$6:$A$505,"proposed_name",'أرقام التواصل'!$B$6:$B$505,A326,'أرقام التواصل'!$I$6:$I$505,"TRUE")+COUNTIFS('أرقام التواصل'!$A$6:$A$505,"proposed_name",'أرقام التواصل'!$B$6:$B$505,A326,'أرقام التواصل'!$C$6:$C$505,1))=0,AND(W326="TRUE",X326="")),"REVIEW","READY")))</x:f>
      </x:c>
      <x:c r="AE326" s="255" t="str">
        <x:f>IF(AD326="","",IF(AD326="READY","",IF(AD326="SKIP","Skipped by candidate_import_action",TRIM(IF(A326="","missing proposed_name_key; ","")&amp;IF(AND(A326&lt;&gt;"",COUNTIF($A$6:$A$505,A326)&gt;1),"duplicate proposed_name_key; ","")&amp;IF(C326="","missing candidate_import_action; ","")&amp;IF(D326="","missing move_reason; ","")&amp;IF(I326="","missing branch_id; ","")&amp;IF(L326="","missing first_name; ","")&amp;IF(M326="","missing last_name; ","")&amp;IF(U326="","missing status; ","")&amp;IF(AND(B326&lt;&gt;"",COUNTIF('الزبائن'!$A$6:$A$505,B326)=0),"source key not found; ","")&amp;IF((COUNTIFS('أرقام التواصل'!$A$6:$A$505,"proposed_name",'أرقام التواصل'!$B$6:$B$505,A326,'أرقام التواصل'!$I$6:$I$505,"TRUE")+COUNTIFS('أرقام التواصل'!$A$6:$A$505,"proposed_name",'أرقام التواصل'!$B$6:$B$505,A326,'أرقام التواصل'!$C$6:$C$505,1))=0,"missing primary contact in أرقام التواصل; ","")&amp;IF(AND(W326="TRUE",X326=""),"duplicate_type required when duplicate_flag TRUE; ","")))))</x:f>
      </x:c>
    </x:row>
    <x:row r="327">
      <x:c r="A327" s="302"/>
      <x:c r="B327" s="252"/>
      <x:c r="C327" s="253"/>
      <x:c r="D327" s="253"/>
      <x:c r="E327" s="253"/>
      <x:c r="F327" s="252"/>
      <x:c r="G327" s="253"/>
      <x:c r="H327" s="272"/>
      <x:c r="I327" s="253"/>
      <x:c r="J327" s="253"/>
      <x:c r="K327" s="253"/>
      <x:c r="L327" s="253"/>
      <x:c r="M327" s="253"/>
      <x:c r="N327" s="253"/>
      <x:c r="O327" s="253" t="str">
        <x:f>IF(TRIM(L327&amp;" "&amp;M327&amp;IF(N327&lt;&gt;""," ("&amp;N327&amp;")",""))="","",TRIM(L327&amp;" "&amp;M327&amp;IF(N327&lt;&gt;""," ("&amp;N327&amp;")","")))</x:f>
      </x:c>
      <x:c r="P327" s="253"/>
      <x:c r="Q327" s="252"/>
      <x:c r="R327" s="253"/>
      <x:c r="S327" s="253"/>
      <x:c r="T327" s="253"/>
      <x:c r="U327" s="253"/>
      <x:c r="V327" s="253"/>
      <x:c r="W327" s="253"/>
      <x:c r="X327" s="253"/>
      <x:c r="Y327" s="252"/>
      <x:c r="Z327" s="252"/>
      <x:c r="AA327" s="253"/>
      <x:c r="AB327" s="253" t="str">
        <x:f>IF(B327="","",IFERROR(INDEX('الزبائن'!$BA$6:$BA$505,MATCH(B327,'الزبائن'!$A$6:$A$505,0)),"source key not found"))</x:f>
      </x:c>
      <x:c r="AC327" s="253" t="str">
        <x:f>IF(B327="","",IFERROR(INDEX('الزبائن'!$BB$6:$BB$505,MATCH(B327,'الزبائن'!$A$6:$A$505,0)),"source key not found"))</x:f>
      </x:c>
      <x:c r="AD327" s="253" t="str">
        <x:f>IF(AND(A327="",C327="",D327="",I327="",L327="",M327=""),"",IF(C327="skip","SKIP",IF(OR(A327="",C327="",D327="",I327="",L327="",M327="",U327="",COUNTIF($A$6:$A$505,A327)&gt;1,AND(B327&lt;&gt;"",COUNTIF('الزبائن'!$A$6:$A$505,B327)=0),(COUNTIFS('أرقام التواصل'!$A$6:$A$505,"proposed_name",'أرقام التواصل'!$B$6:$B$505,A327,'أرقام التواصل'!$I$6:$I$505,"TRUE")+COUNTIFS('أرقام التواصل'!$A$6:$A$505,"proposed_name",'أرقام التواصل'!$B$6:$B$505,A327,'أرقام التواصل'!$C$6:$C$505,1))=0,AND(W327="TRUE",X327="")),"REVIEW","READY")))</x:f>
      </x:c>
      <x:c r="AE327" s="255" t="str">
        <x:f>IF(AD327="","",IF(AD327="READY","",IF(AD327="SKIP","Skipped by candidate_import_action",TRIM(IF(A327="","missing proposed_name_key; ","")&amp;IF(AND(A327&lt;&gt;"",COUNTIF($A$6:$A$505,A327)&gt;1),"duplicate proposed_name_key; ","")&amp;IF(C327="","missing candidate_import_action; ","")&amp;IF(D327="","missing move_reason; ","")&amp;IF(I327="","missing branch_id; ","")&amp;IF(L327="","missing first_name; ","")&amp;IF(M327="","missing last_name; ","")&amp;IF(U327="","missing status; ","")&amp;IF(AND(B327&lt;&gt;"",COUNTIF('الزبائن'!$A$6:$A$505,B327)=0),"source key not found; ","")&amp;IF((COUNTIFS('أرقام التواصل'!$A$6:$A$505,"proposed_name",'أرقام التواصل'!$B$6:$B$505,A327,'أرقام التواصل'!$I$6:$I$505,"TRUE")+COUNTIFS('أرقام التواصل'!$A$6:$A$505,"proposed_name",'أرقام التواصل'!$B$6:$B$505,A327,'أرقام التواصل'!$C$6:$C$505,1))=0,"missing primary contact in أرقام التواصل; ","")&amp;IF(AND(W327="TRUE",X327=""),"duplicate_type required when duplicate_flag TRUE; ","")))))</x:f>
      </x:c>
    </x:row>
    <x:row r="328">
      <x:c r="A328" s="302"/>
      <x:c r="B328" s="252"/>
      <x:c r="C328" s="253"/>
      <x:c r="D328" s="253"/>
      <x:c r="E328" s="253"/>
      <x:c r="F328" s="252"/>
      <x:c r="G328" s="253"/>
      <x:c r="H328" s="272"/>
      <x:c r="I328" s="253"/>
      <x:c r="J328" s="253"/>
      <x:c r="K328" s="253"/>
      <x:c r="L328" s="253"/>
      <x:c r="M328" s="253"/>
      <x:c r="N328" s="253"/>
      <x:c r="O328" s="253" t="str">
        <x:f>IF(TRIM(L328&amp;" "&amp;M328&amp;IF(N328&lt;&gt;""," ("&amp;N328&amp;")",""))="","",TRIM(L328&amp;" "&amp;M328&amp;IF(N328&lt;&gt;""," ("&amp;N328&amp;")","")))</x:f>
      </x:c>
      <x:c r="P328" s="253"/>
      <x:c r="Q328" s="252"/>
      <x:c r="R328" s="253"/>
      <x:c r="S328" s="253"/>
      <x:c r="T328" s="253"/>
      <x:c r="U328" s="253"/>
      <x:c r="V328" s="253"/>
      <x:c r="W328" s="253"/>
      <x:c r="X328" s="253"/>
      <x:c r="Y328" s="252"/>
      <x:c r="Z328" s="252"/>
      <x:c r="AA328" s="253"/>
      <x:c r="AB328" s="253" t="str">
        <x:f>IF(B328="","",IFERROR(INDEX('الزبائن'!$BA$6:$BA$505,MATCH(B328,'الزبائن'!$A$6:$A$505,0)),"source key not found"))</x:f>
      </x:c>
      <x:c r="AC328" s="253" t="str">
        <x:f>IF(B328="","",IFERROR(INDEX('الزبائن'!$BB$6:$BB$505,MATCH(B328,'الزبائن'!$A$6:$A$505,0)),"source key not found"))</x:f>
      </x:c>
      <x:c r="AD328" s="253" t="str">
        <x:f>IF(AND(A328="",C328="",D328="",I328="",L328="",M328=""),"",IF(C328="skip","SKIP",IF(OR(A328="",C328="",D328="",I328="",L328="",M328="",U328="",COUNTIF($A$6:$A$505,A328)&gt;1,AND(B328&lt;&gt;"",COUNTIF('الزبائن'!$A$6:$A$505,B328)=0),(COUNTIFS('أرقام التواصل'!$A$6:$A$505,"proposed_name",'أرقام التواصل'!$B$6:$B$505,A328,'أرقام التواصل'!$I$6:$I$505,"TRUE")+COUNTIFS('أرقام التواصل'!$A$6:$A$505,"proposed_name",'أرقام التواصل'!$B$6:$B$505,A328,'أرقام التواصل'!$C$6:$C$505,1))=0,AND(W328="TRUE",X328="")),"REVIEW","READY")))</x:f>
      </x:c>
      <x:c r="AE328" s="255" t="str">
        <x:f>IF(AD328="","",IF(AD328="READY","",IF(AD328="SKIP","Skipped by candidate_import_action",TRIM(IF(A328="","missing proposed_name_key; ","")&amp;IF(AND(A328&lt;&gt;"",COUNTIF($A$6:$A$505,A328)&gt;1),"duplicate proposed_name_key; ","")&amp;IF(C328="","missing candidate_import_action; ","")&amp;IF(D328="","missing move_reason; ","")&amp;IF(I328="","missing branch_id; ","")&amp;IF(L328="","missing first_name; ","")&amp;IF(M328="","missing last_name; ","")&amp;IF(U328="","missing status; ","")&amp;IF(AND(B328&lt;&gt;"",COUNTIF('الزبائن'!$A$6:$A$505,B328)=0),"source key not found; ","")&amp;IF((COUNTIFS('أرقام التواصل'!$A$6:$A$505,"proposed_name",'أرقام التواصل'!$B$6:$B$505,A328,'أرقام التواصل'!$I$6:$I$505,"TRUE")+COUNTIFS('أرقام التواصل'!$A$6:$A$505,"proposed_name",'أرقام التواصل'!$B$6:$B$505,A328,'أرقام التواصل'!$C$6:$C$505,1))=0,"missing primary contact in أرقام التواصل; ","")&amp;IF(AND(W328="TRUE",X328=""),"duplicate_type required when duplicate_flag TRUE; ","")))))</x:f>
      </x:c>
    </x:row>
    <x:row r="329">
      <x:c r="A329" s="302"/>
      <x:c r="B329" s="252"/>
      <x:c r="C329" s="253"/>
      <x:c r="D329" s="253"/>
      <x:c r="E329" s="253"/>
      <x:c r="F329" s="252"/>
      <x:c r="G329" s="253"/>
      <x:c r="H329" s="272"/>
      <x:c r="I329" s="253"/>
      <x:c r="J329" s="253"/>
      <x:c r="K329" s="253"/>
      <x:c r="L329" s="253"/>
      <x:c r="M329" s="253"/>
      <x:c r="N329" s="253"/>
      <x:c r="O329" s="253" t="str">
        <x:f>IF(TRIM(L329&amp;" "&amp;M329&amp;IF(N329&lt;&gt;""," ("&amp;N329&amp;")",""))="","",TRIM(L329&amp;" "&amp;M329&amp;IF(N329&lt;&gt;""," ("&amp;N329&amp;")","")))</x:f>
      </x:c>
      <x:c r="P329" s="253"/>
      <x:c r="Q329" s="252"/>
      <x:c r="R329" s="253"/>
      <x:c r="S329" s="253"/>
      <x:c r="T329" s="253"/>
      <x:c r="U329" s="253"/>
      <x:c r="V329" s="253"/>
      <x:c r="W329" s="253"/>
      <x:c r="X329" s="253"/>
      <x:c r="Y329" s="252"/>
      <x:c r="Z329" s="252"/>
      <x:c r="AA329" s="253"/>
      <x:c r="AB329" s="253" t="str">
        <x:f>IF(B329="","",IFERROR(INDEX('الزبائن'!$BA$6:$BA$505,MATCH(B329,'الزبائن'!$A$6:$A$505,0)),"source key not found"))</x:f>
      </x:c>
      <x:c r="AC329" s="253" t="str">
        <x:f>IF(B329="","",IFERROR(INDEX('الزبائن'!$BB$6:$BB$505,MATCH(B329,'الزبائن'!$A$6:$A$505,0)),"source key not found"))</x:f>
      </x:c>
      <x:c r="AD329" s="253" t="str">
        <x:f>IF(AND(A329="",C329="",D329="",I329="",L329="",M329=""),"",IF(C329="skip","SKIP",IF(OR(A329="",C329="",D329="",I329="",L329="",M329="",U329="",COUNTIF($A$6:$A$505,A329)&gt;1,AND(B329&lt;&gt;"",COUNTIF('الزبائن'!$A$6:$A$505,B329)=0),(COUNTIFS('أرقام التواصل'!$A$6:$A$505,"proposed_name",'أرقام التواصل'!$B$6:$B$505,A329,'أرقام التواصل'!$I$6:$I$505,"TRUE")+COUNTIFS('أرقام التواصل'!$A$6:$A$505,"proposed_name",'أرقام التواصل'!$B$6:$B$505,A329,'أرقام التواصل'!$C$6:$C$505,1))=0,AND(W329="TRUE",X329="")),"REVIEW","READY")))</x:f>
      </x:c>
      <x:c r="AE329" s="255" t="str">
        <x:f>IF(AD329="","",IF(AD329="READY","",IF(AD329="SKIP","Skipped by candidate_import_action",TRIM(IF(A329="","missing proposed_name_key; ","")&amp;IF(AND(A329&lt;&gt;"",COUNTIF($A$6:$A$505,A329)&gt;1),"duplicate proposed_name_key; ","")&amp;IF(C329="","missing candidate_import_action; ","")&amp;IF(D329="","missing move_reason; ","")&amp;IF(I329="","missing branch_id; ","")&amp;IF(L329="","missing first_name; ","")&amp;IF(M329="","missing last_name; ","")&amp;IF(U329="","missing status; ","")&amp;IF(AND(B329&lt;&gt;"",COUNTIF('الزبائن'!$A$6:$A$505,B329)=0),"source key not found; ","")&amp;IF((COUNTIFS('أرقام التواصل'!$A$6:$A$505,"proposed_name",'أرقام التواصل'!$B$6:$B$505,A329,'أرقام التواصل'!$I$6:$I$505,"TRUE")+COUNTIFS('أرقام التواصل'!$A$6:$A$505,"proposed_name",'أرقام التواصل'!$B$6:$B$505,A329,'أرقام التواصل'!$C$6:$C$505,1))=0,"missing primary contact in أرقام التواصل; ","")&amp;IF(AND(W329="TRUE",X329=""),"duplicate_type required when duplicate_flag TRUE; ","")))))</x:f>
      </x:c>
    </x:row>
    <x:row r="330">
      <x:c r="A330" s="302"/>
      <x:c r="B330" s="252"/>
      <x:c r="C330" s="253"/>
      <x:c r="D330" s="253"/>
      <x:c r="E330" s="253"/>
      <x:c r="F330" s="252"/>
      <x:c r="G330" s="253"/>
      <x:c r="H330" s="272"/>
      <x:c r="I330" s="253"/>
      <x:c r="J330" s="253"/>
      <x:c r="K330" s="253"/>
      <x:c r="L330" s="253"/>
      <x:c r="M330" s="253"/>
      <x:c r="N330" s="253"/>
      <x:c r="O330" s="253" t="str">
        <x:f>IF(TRIM(L330&amp;" "&amp;M330&amp;IF(N330&lt;&gt;""," ("&amp;N330&amp;")",""))="","",TRIM(L330&amp;" "&amp;M330&amp;IF(N330&lt;&gt;""," ("&amp;N330&amp;")","")))</x:f>
      </x:c>
      <x:c r="P330" s="253"/>
      <x:c r="Q330" s="252"/>
      <x:c r="R330" s="253"/>
      <x:c r="S330" s="253"/>
      <x:c r="T330" s="253"/>
      <x:c r="U330" s="253"/>
      <x:c r="V330" s="253"/>
      <x:c r="W330" s="253"/>
      <x:c r="X330" s="253"/>
      <x:c r="Y330" s="252"/>
      <x:c r="Z330" s="252"/>
      <x:c r="AA330" s="253"/>
      <x:c r="AB330" s="253" t="str">
        <x:f>IF(B330="","",IFERROR(INDEX('الزبائن'!$BA$6:$BA$505,MATCH(B330,'الزبائن'!$A$6:$A$505,0)),"source key not found"))</x:f>
      </x:c>
      <x:c r="AC330" s="253" t="str">
        <x:f>IF(B330="","",IFERROR(INDEX('الزبائن'!$BB$6:$BB$505,MATCH(B330,'الزبائن'!$A$6:$A$505,0)),"source key not found"))</x:f>
      </x:c>
      <x:c r="AD330" s="253" t="str">
        <x:f>IF(AND(A330="",C330="",D330="",I330="",L330="",M330=""),"",IF(C330="skip","SKIP",IF(OR(A330="",C330="",D330="",I330="",L330="",M330="",U330="",COUNTIF($A$6:$A$505,A330)&gt;1,AND(B330&lt;&gt;"",COUNTIF('الزبائن'!$A$6:$A$505,B330)=0),(COUNTIFS('أرقام التواصل'!$A$6:$A$505,"proposed_name",'أرقام التواصل'!$B$6:$B$505,A330,'أرقام التواصل'!$I$6:$I$505,"TRUE")+COUNTIFS('أرقام التواصل'!$A$6:$A$505,"proposed_name",'أرقام التواصل'!$B$6:$B$505,A330,'أرقام التواصل'!$C$6:$C$505,1))=0,AND(W330="TRUE",X330="")),"REVIEW","READY")))</x:f>
      </x:c>
      <x:c r="AE330" s="255" t="str">
        <x:f>IF(AD330="","",IF(AD330="READY","",IF(AD330="SKIP","Skipped by candidate_import_action",TRIM(IF(A330="","missing proposed_name_key; ","")&amp;IF(AND(A330&lt;&gt;"",COUNTIF($A$6:$A$505,A330)&gt;1),"duplicate proposed_name_key; ","")&amp;IF(C330="","missing candidate_import_action; ","")&amp;IF(D330="","missing move_reason; ","")&amp;IF(I330="","missing branch_id; ","")&amp;IF(L330="","missing first_name; ","")&amp;IF(M330="","missing last_name; ","")&amp;IF(U330="","missing status; ","")&amp;IF(AND(B330&lt;&gt;"",COUNTIF('الزبائن'!$A$6:$A$505,B330)=0),"source key not found; ","")&amp;IF((COUNTIFS('أرقام التواصل'!$A$6:$A$505,"proposed_name",'أرقام التواصل'!$B$6:$B$505,A330,'أرقام التواصل'!$I$6:$I$505,"TRUE")+COUNTIFS('أرقام التواصل'!$A$6:$A$505,"proposed_name",'أرقام التواصل'!$B$6:$B$505,A330,'أرقام التواصل'!$C$6:$C$505,1))=0,"missing primary contact in أرقام التواصل; ","")&amp;IF(AND(W330="TRUE",X330=""),"duplicate_type required when duplicate_flag TRUE; ","")))))</x:f>
      </x:c>
    </x:row>
    <x:row r="331">
      <x:c r="A331" s="302"/>
      <x:c r="B331" s="252"/>
      <x:c r="C331" s="253"/>
      <x:c r="D331" s="253"/>
      <x:c r="E331" s="253"/>
      <x:c r="F331" s="252"/>
      <x:c r="G331" s="253"/>
      <x:c r="H331" s="272"/>
      <x:c r="I331" s="253"/>
      <x:c r="J331" s="253"/>
      <x:c r="K331" s="253"/>
      <x:c r="L331" s="253"/>
      <x:c r="M331" s="253"/>
      <x:c r="N331" s="253"/>
      <x:c r="O331" s="253" t="str">
        <x:f>IF(TRIM(L331&amp;" "&amp;M331&amp;IF(N331&lt;&gt;""," ("&amp;N331&amp;")",""))="","",TRIM(L331&amp;" "&amp;M331&amp;IF(N331&lt;&gt;""," ("&amp;N331&amp;")","")))</x:f>
      </x:c>
      <x:c r="P331" s="253"/>
      <x:c r="Q331" s="252"/>
      <x:c r="R331" s="253"/>
      <x:c r="S331" s="253"/>
      <x:c r="T331" s="253"/>
      <x:c r="U331" s="253"/>
      <x:c r="V331" s="253"/>
      <x:c r="W331" s="253"/>
      <x:c r="X331" s="253"/>
      <x:c r="Y331" s="252"/>
      <x:c r="Z331" s="252"/>
      <x:c r="AA331" s="253"/>
      <x:c r="AB331" s="253" t="str">
        <x:f>IF(B331="","",IFERROR(INDEX('الزبائن'!$BA$6:$BA$505,MATCH(B331,'الزبائن'!$A$6:$A$505,0)),"source key not found"))</x:f>
      </x:c>
      <x:c r="AC331" s="253" t="str">
        <x:f>IF(B331="","",IFERROR(INDEX('الزبائن'!$BB$6:$BB$505,MATCH(B331,'الزبائن'!$A$6:$A$505,0)),"source key not found"))</x:f>
      </x:c>
      <x:c r="AD331" s="253" t="str">
        <x:f>IF(AND(A331="",C331="",D331="",I331="",L331="",M331=""),"",IF(C331="skip","SKIP",IF(OR(A331="",C331="",D331="",I331="",L331="",M331="",U331="",COUNTIF($A$6:$A$505,A331)&gt;1,AND(B331&lt;&gt;"",COUNTIF('الزبائن'!$A$6:$A$505,B331)=0),(COUNTIFS('أرقام التواصل'!$A$6:$A$505,"proposed_name",'أرقام التواصل'!$B$6:$B$505,A331,'أرقام التواصل'!$I$6:$I$505,"TRUE")+COUNTIFS('أرقام التواصل'!$A$6:$A$505,"proposed_name",'أرقام التواصل'!$B$6:$B$505,A331,'أرقام التواصل'!$C$6:$C$505,1))=0,AND(W331="TRUE",X331="")),"REVIEW","READY")))</x:f>
      </x:c>
      <x:c r="AE331" s="255" t="str">
        <x:f>IF(AD331="","",IF(AD331="READY","",IF(AD331="SKIP","Skipped by candidate_import_action",TRIM(IF(A331="","missing proposed_name_key; ","")&amp;IF(AND(A331&lt;&gt;"",COUNTIF($A$6:$A$505,A331)&gt;1),"duplicate proposed_name_key; ","")&amp;IF(C331="","missing candidate_import_action; ","")&amp;IF(D331="","missing move_reason; ","")&amp;IF(I331="","missing branch_id; ","")&amp;IF(L331="","missing first_name; ","")&amp;IF(M331="","missing last_name; ","")&amp;IF(U331="","missing status; ","")&amp;IF(AND(B331&lt;&gt;"",COUNTIF('الزبائن'!$A$6:$A$505,B331)=0),"source key not found; ","")&amp;IF((COUNTIFS('أرقام التواصل'!$A$6:$A$505,"proposed_name",'أرقام التواصل'!$B$6:$B$505,A331,'أرقام التواصل'!$I$6:$I$505,"TRUE")+COUNTIFS('أرقام التواصل'!$A$6:$A$505,"proposed_name",'أرقام التواصل'!$B$6:$B$505,A331,'أرقام التواصل'!$C$6:$C$505,1))=0,"missing primary contact in أرقام التواصل; ","")&amp;IF(AND(W331="TRUE",X331=""),"duplicate_type required when duplicate_flag TRUE; ","")))))</x:f>
      </x:c>
    </x:row>
    <x:row r="332">
      <x:c r="A332" s="302"/>
      <x:c r="B332" s="252"/>
      <x:c r="C332" s="253"/>
      <x:c r="D332" s="253"/>
      <x:c r="E332" s="253"/>
      <x:c r="F332" s="252"/>
      <x:c r="G332" s="253"/>
      <x:c r="H332" s="272"/>
      <x:c r="I332" s="253"/>
      <x:c r="J332" s="253"/>
      <x:c r="K332" s="253"/>
      <x:c r="L332" s="253"/>
      <x:c r="M332" s="253"/>
      <x:c r="N332" s="253"/>
      <x:c r="O332" s="253" t="str">
        <x:f>IF(TRIM(L332&amp;" "&amp;M332&amp;IF(N332&lt;&gt;""," ("&amp;N332&amp;")",""))="","",TRIM(L332&amp;" "&amp;M332&amp;IF(N332&lt;&gt;""," ("&amp;N332&amp;")","")))</x:f>
      </x:c>
      <x:c r="P332" s="253"/>
      <x:c r="Q332" s="252"/>
      <x:c r="R332" s="253"/>
      <x:c r="S332" s="253"/>
      <x:c r="T332" s="253"/>
      <x:c r="U332" s="253"/>
      <x:c r="V332" s="253"/>
      <x:c r="W332" s="253"/>
      <x:c r="X332" s="253"/>
      <x:c r="Y332" s="252"/>
      <x:c r="Z332" s="252"/>
      <x:c r="AA332" s="253"/>
      <x:c r="AB332" s="253" t="str">
        <x:f>IF(B332="","",IFERROR(INDEX('الزبائن'!$BA$6:$BA$505,MATCH(B332,'الزبائن'!$A$6:$A$505,0)),"source key not found"))</x:f>
      </x:c>
      <x:c r="AC332" s="253" t="str">
        <x:f>IF(B332="","",IFERROR(INDEX('الزبائن'!$BB$6:$BB$505,MATCH(B332,'الزبائن'!$A$6:$A$505,0)),"source key not found"))</x:f>
      </x:c>
      <x:c r="AD332" s="253" t="str">
        <x:f>IF(AND(A332="",C332="",D332="",I332="",L332="",M332=""),"",IF(C332="skip","SKIP",IF(OR(A332="",C332="",D332="",I332="",L332="",M332="",U332="",COUNTIF($A$6:$A$505,A332)&gt;1,AND(B332&lt;&gt;"",COUNTIF('الزبائن'!$A$6:$A$505,B332)=0),(COUNTIFS('أرقام التواصل'!$A$6:$A$505,"proposed_name",'أرقام التواصل'!$B$6:$B$505,A332,'أرقام التواصل'!$I$6:$I$505,"TRUE")+COUNTIFS('أرقام التواصل'!$A$6:$A$505,"proposed_name",'أرقام التواصل'!$B$6:$B$505,A332,'أرقام التواصل'!$C$6:$C$505,1))=0,AND(W332="TRUE",X332="")),"REVIEW","READY")))</x:f>
      </x:c>
      <x:c r="AE332" s="255" t="str">
        <x:f>IF(AD332="","",IF(AD332="READY","",IF(AD332="SKIP","Skipped by candidate_import_action",TRIM(IF(A332="","missing proposed_name_key; ","")&amp;IF(AND(A332&lt;&gt;"",COUNTIF($A$6:$A$505,A332)&gt;1),"duplicate proposed_name_key; ","")&amp;IF(C332="","missing candidate_import_action; ","")&amp;IF(D332="","missing move_reason; ","")&amp;IF(I332="","missing branch_id; ","")&amp;IF(L332="","missing first_name; ","")&amp;IF(M332="","missing last_name; ","")&amp;IF(U332="","missing status; ","")&amp;IF(AND(B332&lt;&gt;"",COUNTIF('الزبائن'!$A$6:$A$505,B332)=0),"source key not found; ","")&amp;IF((COUNTIFS('أرقام التواصل'!$A$6:$A$505,"proposed_name",'أرقام التواصل'!$B$6:$B$505,A332,'أرقام التواصل'!$I$6:$I$505,"TRUE")+COUNTIFS('أرقام التواصل'!$A$6:$A$505,"proposed_name",'أرقام التواصل'!$B$6:$B$505,A332,'أرقام التواصل'!$C$6:$C$505,1))=0,"missing primary contact in أرقام التواصل; ","")&amp;IF(AND(W332="TRUE",X332=""),"duplicate_type required when duplicate_flag TRUE; ","")))))</x:f>
      </x:c>
    </x:row>
    <x:row r="333">
      <x:c r="A333" s="302"/>
      <x:c r="B333" s="252"/>
      <x:c r="C333" s="253"/>
      <x:c r="D333" s="253"/>
      <x:c r="E333" s="253"/>
      <x:c r="F333" s="252"/>
      <x:c r="G333" s="253"/>
      <x:c r="H333" s="272"/>
      <x:c r="I333" s="253"/>
      <x:c r="J333" s="253"/>
      <x:c r="K333" s="253"/>
      <x:c r="L333" s="253"/>
      <x:c r="M333" s="253"/>
      <x:c r="N333" s="253"/>
      <x:c r="O333" s="253" t="str">
        <x:f>IF(TRIM(L333&amp;" "&amp;M333&amp;IF(N333&lt;&gt;""," ("&amp;N333&amp;")",""))="","",TRIM(L333&amp;" "&amp;M333&amp;IF(N333&lt;&gt;""," ("&amp;N333&amp;")","")))</x:f>
      </x:c>
      <x:c r="P333" s="253"/>
      <x:c r="Q333" s="252"/>
      <x:c r="R333" s="253"/>
      <x:c r="S333" s="253"/>
      <x:c r="T333" s="253"/>
      <x:c r="U333" s="253"/>
      <x:c r="V333" s="253"/>
      <x:c r="W333" s="253"/>
      <x:c r="X333" s="253"/>
      <x:c r="Y333" s="252"/>
      <x:c r="Z333" s="252"/>
      <x:c r="AA333" s="253"/>
      <x:c r="AB333" s="253" t="str">
        <x:f>IF(B333="","",IFERROR(INDEX('الزبائن'!$BA$6:$BA$505,MATCH(B333,'الزبائن'!$A$6:$A$505,0)),"source key not found"))</x:f>
      </x:c>
      <x:c r="AC333" s="253" t="str">
        <x:f>IF(B333="","",IFERROR(INDEX('الزبائن'!$BB$6:$BB$505,MATCH(B333,'الزبائن'!$A$6:$A$505,0)),"source key not found"))</x:f>
      </x:c>
      <x:c r="AD333" s="253" t="str">
        <x:f>IF(AND(A333="",C333="",D333="",I333="",L333="",M333=""),"",IF(C333="skip","SKIP",IF(OR(A333="",C333="",D333="",I333="",L333="",M333="",U333="",COUNTIF($A$6:$A$505,A333)&gt;1,AND(B333&lt;&gt;"",COUNTIF('الزبائن'!$A$6:$A$505,B333)=0),(COUNTIFS('أرقام التواصل'!$A$6:$A$505,"proposed_name",'أرقام التواصل'!$B$6:$B$505,A333,'أرقام التواصل'!$I$6:$I$505,"TRUE")+COUNTIFS('أرقام التواصل'!$A$6:$A$505,"proposed_name",'أرقام التواصل'!$B$6:$B$505,A333,'أرقام التواصل'!$C$6:$C$505,1))=0,AND(W333="TRUE",X333="")),"REVIEW","READY")))</x:f>
      </x:c>
      <x:c r="AE333" s="255" t="str">
        <x:f>IF(AD333="","",IF(AD333="READY","",IF(AD333="SKIP","Skipped by candidate_import_action",TRIM(IF(A333="","missing proposed_name_key; ","")&amp;IF(AND(A333&lt;&gt;"",COUNTIF($A$6:$A$505,A333)&gt;1),"duplicate proposed_name_key; ","")&amp;IF(C333="","missing candidate_import_action; ","")&amp;IF(D333="","missing move_reason; ","")&amp;IF(I333="","missing branch_id; ","")&amp;IF(L333="","missing first_name; ","")&amp;IF(M333="","missing last_name; ","")&amp;IF(U333="","missing status; ","")&amp;IF(AND(B333&lt;&gt;"",COUNTIF('الزبائن'!$A$6:$A$505,B333)=0),"source key not found; ","")&amp;IF((COUNTIFS('أرقام التواصل'!$A$6:$A$505,"proposed_name",'أرقام التواصل'!$B$6:$B$505,A333,'أرقام التواصل'!$I$6:$I$505,"TRUE")+COUNTIFS('أرقام التواصل'!$A$6:$A$505,"proposed_name",'أرقام التواصل'!$B$6:$B$505,A333,'أرقام التواصل'!$C$6:$C$505,1))=0,"missing primary contact in أرقام التواصل; ","")&amp;IF(AND(W333="TRUE",X333=""),"duplicate_type required when duplicate_flag TRUE; ","")))))</x:f>
      </x:c>
    </x:row>
    <x:row r="334">
      <x:c r="A334" s="302"/>
      <x:c r="B334" s="252"/>
      <x:c r="C334" s="253"/>
      <x:c r="D334" s="253"/>
      <x:c r="E334" s="253"/>
      <x:c r="F334" s="252"/>
      <x:c r="G334" s="253"/>
      <x:c r="H334" s="272"/>
      <x:c r="I334" s="253"/>
      <x:c r="J334" s="253"/>
      <x:c r="K334" s="253"/>
      <x:c r="L334" s="253"/>
      <x:c r="M334" s="253"/>
      <x:c r="N334" s="253"/>
      <x:c r="O334" s="253" t="str">
        <x:f>IF(TRIM(L334&amp;" "&amp;M334&amp;IF(N334&lt;&gt;""," ("&amp;N334&amp;")",""))="","",TRIM(L334&amp;" "&amp;M334&amp;IF(N334&lt;&gt;""," ("&amp;N334&amp;")","")))</x:f>
      </x:c>
      <x:c r="P334" s="253"/>
      <x:c r="Q334" s="252"/>
      <x:c r="R334" s="253"/>
      <x:c r="S334" s="253"/>
      <x:c r="T334" s="253"/>
      <x:c r="U334" s="253"/>
      <x:c r="V334" s="253"/>
      <x:c r="W334" s="253"/>
      <x:c r="X334" s="253"/>
      <x:c r="Y334" s="252"/>
      <x:c r="Z334" s="252"/>
      <x:c r="AA334" s="253"/>
      <x:c r="AB334" s="253" t="str">
        <x:f>IF(B334="","",IFERROR(INDEX('الزبائن'!$BA$6:$BA$505,MATCH(B334,'الزبائن'!$A$6:$A$505,0)),"source key not found"))</x:f>
      </x:c>
      <x:c r="AC334" s="253" t="str">
        <x:f>IF(B334="","",IFERROR(INDEX('الزبائن'!$BB$6:$BB$505,MATCH(B334,'الزبائن'!$A$6:$A$505,0)),"source key not found"))</x:f>
      </x:c>
      <x:c r="AD334" s="253" t="str">
        <x:f>IF(AND(A334="",C334="",D334="",I334="",L334="",M334=""),"",IF(C334="skip","SKIP",IF(OR(A334="",C334="",D334="",I334="",L334="",M334="",U334="",COUNTIF($A$6:$A$505,A334)&gt;1,AND(B334&lt;&gt;"",COUNTIF('الزبائن'!$A$6:$A$505,B334)=0),(COUNTIFS('أرقام التواصل'!$A$6:$A$505,"proposed_name",'أرقام التواصل'!$B$6:$B$505,A334,'أرقام التواصل'!$I$6:$I$505,"TRUE")+COUNTIFS('أرقام التواصل'!$A$6:$A$505,"proposed_name",'أرقام التواصل'!$B$6:$B$505,A334,'أرقام التواصل'!$C$6:$C$505,1))=0,AND(W334="TRUE",X334="")),"REVIEW","READY")))</x:f>
      </x:c>
      <x:c r="AE334" s="255" t="str">
        <x:f>IF(AD334="","",IF(AD334="READY","",IF(AD334="SKIP","Skipped by candidate_import_action",TRIM(IF(A334="","missing proposed_name_key; ","")&amp;IF(AND(A334&lt;&gt;"",COUNTIF($A$6:$A$505,A334)&gt;1),"duplicate proposed_name_key; ","")&amp;IF(C334="","missing candidate_import_action; ","")&amp;IF(D334="","missing move_reason; ","")&amp;IF(I334="","missing branch_id; ","")&amp;IF(L334="","missing first_name; ","")&amp;IF(M334="","missing last_name; ","")&amp;IF(U334="","missing status; ","")&amp;IF(AND(B334&lt;&gt;"",COUNTIF('الزبائن'!$A$6:$A$505,B334)=0),"source key not found; ","")&amp;IF((COUNTIFS('أرقام التواصل'!$A$6:$A$505,"proposed_name",'أرقام التواصل'!$B$6:$B$505,A334,'أرقام التواصل'!$I$6:$I$505,"TRUE")+COUNTIFS('أرقام التواصل'!$A$6:$A$505,"proposed_name",'أرقام التواصل'!$B$6:$B$505,A334,'أرقام التواصل'!$C$6:$C$505,1))=0,"missing primary contact in أرقام التواصل; ","")&amp;IF(AND(W334="TRUE",X334=""),"duplicate_type required when duplicate_flag TRUE; ","")))))</x:f>
      </x:c>
    </x:row>
    <x:row r="335">
      <x:c r="A335" s="302"/>
      <x:c r="B335" s="252"/>
      <x:c r="C335" s="253"/>
      <x:c r="D335" s="253"/>
      <x:c r="E335" s="253"/>
      <x:c r="F335" s="252"/>
      <x:c r="G335" s="253"/>
      <x:c r="H335" s="272"/>
      <x:c r="I335" s="253"/>
      <x:c r="J335" s="253"/>
      <x:c r="K335" s="253"/>
      <x:c r="L335" s="253"/>
      <x:c r="M335" s="253"/>
      <x:c r="N335" s="253"/>
      <x:c r="O335" s="253" t="str">
        <x:f>IF(TRIM(L335&amp;" "&amp;M335&amp;IF(N335&lt;&gt;""," ("&amp;N335&amp;")",""))="","",TRIM(L335&amp;" "&amp;M335&amp;IF(N335&lt;&gt;""," ("&amp;N335&amp;")","")))</x:f>
      </x:c>
      <x:c r="P335" s="253"/>
      <x:c r="Q335" s="252"/>
      <x:c r="R335" s="253"/>
      <x:c r="S335" s="253"/>
      <x:c r="T335" s="253"/>
      <x:c r="U335" s="253"/>
      <x:c r="V335" s="253"/>
      <x:c r="W335" s="253"/>
      <x:c r="X335" s="253"/>
      <x:c r="Y335" s="252"/>
      <x:c r="Z335" s="252"/>
      <x:c r="AA335" s="253"/>
      <x:c r="AB335" s="253" t="str">
        <x:f>IF(B335="","",IFERROR(INDEX('الزبائن'!$BA$6:$BA$505,MATCH(B335,'الزبائن'!$A$6:$A$505,0)),"source key not found"))</x:f>
      </x:c>
      <x:c r="AC335" s="253" t="str">
        <x:f>IF(B335="","",IFERROR(INDEX('الزبائن'!$BB$6:$BB$505,MATCH(B335,'الزبائن'!$A$6:$A$505,0)),"source key not found"))</x:f>
      </x:c>
      <x:c r="AD335" s="253" t="str">
        <x:f>IF(AND(A335="",C335="",D335="",I335="",L335="",M335=""),"",IF(C335="skip","SKIP",IF(OR(A335="",C335="",D335="",I335="",L335="",M335="",U335="",COUNTIF($A$6:$A$505,A335)&gt;1,AND(B335&lt;&gt;"",COUNTIF('الزبائن'!$A$6:$A$505,B335)=0),(COUNTIFS('أرقام التواصل'!$A$6:$A$505,"proposed_name",'أرقام التواصل'!$B$6:$B$505,A335,'أرقام التواصل'!$I$6:$I$505,"TRUE")+COUNTIFS('أرقام التواصل'!$A$6:$A$505,"proposed_name",'أرقام التواصل'!$B$6:$B$505,A335,'أرقام التواصل'!$C$6:$C$505,1))=0,AND(W335="TRUE",X335="")),"REVIEW","READY")))</x:f>
      </x:c>
      <x:c r="AE335" s="255" t="str">
        <x:f>IF(AD335="","",IF(AD335="READY","",IF(AD335="SKIP","Skipped by candidate_import_action",TRIM(IF(A335="","missing proposed_name_key; ","")&amp;IF(AND(A335&lt;&gt;"",COUNTIF($A$6:$A$505,A335)&gt;1),"duplicate proposed_name_key; ","")&amp;IF(C335="","missing candidate_import_action; ","")&amp;IF(D335="","missing move_reason; ","")&amp;IF(I335="","missing branch_id; ","")&amp;IF(L335="","missing first_name; ","")&amp;IF(M335="","missing last_name; ","")&amp;IF(U335="","missing status; ","")&amp;IF(AND(B335&lt;&gt;"",COUNTIF('الزبائن'!$A$6:$A$505,B335)=0),"source key not found; ","")&amp;IF((COUNTIFS('أرقام التواصل'!$A$6:$A$505,"proposed_name",'أرقام التواصل'!$B$6:$B$505,A335,'أرقام التواصل'!$I$6:$I$505,"TRUE")+COUNTIFS('أرقام التواصل'!$A$6:$A$505,"proposed_name",'أرقام التواصل'!$B$6:$B$505,A335,'أرقام التواصل'!$C$6:$C$505,1))=0,"missing primary contact in أرقام التواصل; ","")&amp;IF(AND(W335="TRUE",X335=""),"duplicate_type required when duplicate_flag TRUE; ","")))))</x:f>
      </x:c>
    </x:row>
    <x:row r="336">
      <x:c r="A336" s="302"/>
      <x:c r="B336" s="252"/>
      <x:c r="C336" s="253"/>
      <x:c r="D336" s="253"/>
      <x:c r="E336" s="253"/>
      <x:c r="F336" s="252"/>
      <x:c r="G336" s="253"/>
      <x:c r="H336" s="272"/>
      <x:c r="I336" s="253"/>
      <x:c r="J336" s="253"/>
      <x:c r="K336" s="253"/>
      <x:c r="L336" s="253"/>
      <x:c r="M336" s="253"/>
      <x:c r="N336" s="253"/>
      <x:c r="O336" s="253" t="str">
        <x:f>IF(TRIM(L336&amp;" "&amp;M336&amp;IF(N336&lt;&gt;""," ("&amp;N336&amp;")",""))="","",TRIM(L336&amp;" "&amp;M336&amp;IF(N336&lt;&gt;""," ("&amp;N336&amp;")","")))</x:f>
      </x:c>
      <x:c r="P336" s="253"/>
      <x:c r="Q336" s="252"/>
      <x:c r="R336" s="253"/>
      <x:c r="S336" s="253"/>
      <x:c r="T336" s="253"/>
      <x:c r="U336" s="253"/>
      <x:c r="V336" s="253"/>
      <x:c r="W336" s="253"/>
      <x:c r="X336" s="253"/>
      <x:c r="Y336" s="252"/>
      <x:c r="Z336" s="252"/>
      <x:c r="AA336" s="253"/>
      <x:c r="AB336" s="253" t="str">
        <x:f>IF(B336="","",IFERROR(INDEX('الزبائن'!$BA$6:$BA$505,MATCH(B336,'الزبائن'!$A$6:$A$505,0)),"source key not found"))</x:f>
      </x:c>
      <x:c r="AC336" s="253" t="str">
        <x:f>IF(B336="","",IFERROR(INDEX('الزبائن'!$BB$6:$BB$505,MATCH(B336,'الزبائن'!$A$6:$A$505,0)),"source key not found"))</x:f>
      </x:c>
      <x:c r="AD336" s="253" t="str">
        <x:f>IF(AND(A336="",C336="",D336="",I336="",L336="",M336=""),"",IF(C336="skip","SKIP",IF(OR(A336="",C336="",D336="",I336="",L336="",M336="",U336="",COUNTIF($A$6:$A$505,A336)&gt;1,AND(B336&lt;&gt;"",COUNTIF('الزبائن'!$A$6:$A$505,B336)=0),(COUNTIFS('أرقام التواصل'!$A$6:$A$505,"proposed_name",'أرقام التواصل'!$B$6:$B$505,A336,'أرقام التواصل'!$I$6:$I$505,"TRUE")+COUNTIFS('أرقام التواصل'!$A$6:$A$505,"proposed_name",'أرقام التواصل'!$B$6:$B$505,A336,'أرقام التواصل'!$C$6:$C$505,1))=0,AND(W336="TRUE",X336="")),"REVIEW","READY")))</x:f>
      </x:c>
      <x:c r="AE336" s="255" t="str">
        <x:f>IF(AD336="","",IF(AD336="READY","",IF(AD336="SKIP","Skipped by candidate_import_action",TRIM(IF(A336="","missing proposed_name_key; ","")&amp;IF(AND(A336&lt;&gt;"",COUNTIF($A$6:$A$505,A336)&gt;1),"duplicate proposed_name_key; ","")&amp;IF(C336="","missing candidate_import_action; ","")&amp;IF(D336="","missing move_reason; ","")&amp;IF(I336="","missing branch_id; ","")&amp;IF(L336="","missing first_name; ","")&amp;IF(M336="","missing last_name; ","")&amp;IF(U336="","missing status; ","")&amp;IF(AND(B336&lt;&gt;"",COUNTIF('الزبائن'!$A$6:$A$505,B336)=0),"source key not found; ","")&amp;IF((COUNTIFS('أرقام التواصل'!$A$6:$A$505,"proposed_name",'أرقام التواصل'!$B$6:$B$505,A336,'أرقام التواصل'!$I$6:$I$505,"TRUE")+COUNTIFS('أرقام التواصل'!$A$6:$A$505,"proposed_name",'أرقام التواصل'!$B$6:$B$505,A336,'أرقام التواصل'!$C$6:$C$505,1))=0,"missing primary contact in أرقام التواصل; ","")&amp;IF(AND(W336="TRUE",X336=""),"duplicate_type required when duplicate_flag TRUE; ","")))))</x:f>
      </x:c>
    </x:row>
    <x:row r="337">
      <x:c r="A337" s="302"/>
      <x:c r="B337" s="252"/>
      <x:c r="C337" s="253"/>
      <x:c r="D337" s="253"/>
      <x:c r="E337" s="253"/>
      <x:c r="F337" s="252"/>
      <x:c r="G337" s="253"/>
      <x:c r="H337" s="272"/>
      <x:c r="I337" s="253"/>
      <x:c r="J337" s="253"/>
      <x:c r="K337" s="253"/>
      <x:c r="L337" s="253"/>
      <x:c r="M337" s="253"/>
      <x:c r="N337" s="253"/>
      <x:c r="O337" s="253" t="str">
        <x:f>IF(TRIM(L337&amp;" "&amp;M337&amp;IF(N337&lt;&gt;""," ("&amp;N337&amp;")",""))="","",TRIM(L337&amp;" "&amp;M337&amp;IF(N337&lt;&gt;""," ("&amp;N337&amp;")","")))</x:f>
      </x:c>
      <x:c r="P337" s="253"/>
      <x:c r="Q337" s="252"/>
      <x:c r="R337" s="253"/>
      <x:c r="S337" s="253"/>
      <x:c r="T337" s="253"/>
      <x:c r="U337" s="253"/>
      <x:c r="V337" s="253"/>
      <x:c r="W337" s="253"/>
      <x:c r="X337" s="253"/>
      <x:c r="Y337" s="252"/>
      <x:c r="Z337" s="252"/>
      <x:c r="AA337" s="253"/>
      <x:c r="AB337" s="253" t="str">
        <x:f>IF(B337="","",IFERROR(INDEX('الزبائن'!$BA$6:$BA$505,MATCH(B337,'الزبائن'!$A$6:$A$505,0)),"source key not found"))</x:f>
      </x:c>
      <x:c r="AC337" s="253" t="str">
        <x:f>IF(B337="","",IFERROR(INDEX('الزبائن'!$BB$6:$BB$505,MATCH(B337,'الزبائن'!$A$6:$A$505,0)),"source key not found"))</x:f>
      </x:c>
      <x:c r="AD337" s="253" t="str">
        <x:f>IF(AND(A337="",C337="",D337="",I337="",L337="",M337=""),"",IF(C337="skip","SKIP",IF(OR(A337="",C337="",D337="",I337="",L337="",M337="",U337="",COUNTIF($A$6:$A$505,A337)&gt;1,AND(B337&lt;&gt;"",COUNTIF('الزبائن'!$A$6:$A$505,B337)=0),(COUNTIFS('أرقام التواصل'!$A$6:$A$505,"proposed_name",'أرقام التواصل'!$B$6:$B$505,A337,'أرقام التواصل'!$I$6:$I$505,"TRUE")+COUNTIFS('أرقام التواصل'!$A$6:$A$505,"proposed_name",'أرقام التواصل'!$B$6:$B$505,A337,'أرقام التواصل'!$C$6:$C$505,1))=0,AND(W337="TRUE",X337="")),"REVIEW","READY")))</x:f>
      </x:c>
      <x:c r="AE337" s="255" t="str">
        <x:f>IF(AD337="","",IF(AD337="READY","",IF(AD337="SKIP","Skipped by candidate_import_action",TRIM(IF(A337="","missing proposed_name_key; ","")&amp;IF(AND(A337&lt;&gt;"",COUNTIF($A$6:$A$505,A337)&gt;1),"duplicate proposed_name_key; ","")&amp;IF(C337="","missing candidate_import_action; ","")&amp;IF(D337="","missing move_reason; ","")&amp;IF(I337="","missing branch_id; ","")&amp;IF(L337="","missing first_name; ","")&amp;IF(M337="","missing last_name; ","")&amp;IF(U337="","missing status; ","")&amp;IF(AND(B337&lt;&gt;"",COUNTIF('الزبائن'!$A$6:$A$505,B337)=0),"source key not found; ","")&amp;IF((COUNTIFS('أرقام التواصل'!$A$6:$A$505,"proposed_name",'أرقام التواصل'!$B$6:$B$505,A337,'أرقام التواصل'!$I$6:$I$505,"TRUE")+COUNTIFS('أرقام التواصل'!$A$6:$A$505,"proposed_name",'أرقام التواصل'!$B$6:$B$505,A337,'أرقام التواصل'!$C$6:$C$505,1))=0,"missing primary contact in أرقام التواصل; ","")&amp;IF(AND(W337="TRUE",X337=""),"duplicate_type required when duplicate_flag TRUE; ","")))))</x:f>
      </x:c>
    </x:row>
    <x:row r="338">
      <x:c r="A338" s="302"/>
      <x:c r="B338" s="252"/>
      <x:c r="C338" s="253"/>
      <x:c r="D338" s="253"/>
      <x:c r="E338" s="253"/>
      <x:c r="F338" s="252"/>
      <x:c r="G338" s="253"/>
      <x:c r="H338" s="272"/>
      <x:c r="I338" s="253"/>
      <x:c r="J338" s="253"/>
      <x:c r="K338" s="253"/>
      <x:c r="L338" s="253"/>
      <x:c r="M338" s="253"/>
      <x:c r="N338" s="253"/>
      <x:c r="O338" s="253" t="str">
        <x:f>IF(TRIM(L338&amp;" "&amp;M338&amp;IF(N338&lt;&gt;""," ("&amp;N338&amp;")",""))="","",TRIM(L338&amp;" "&amp;M338&amp;IF(N338&lt;&gt;""," ("&amp;N338&amp;")","")))</x:f>
      </x:c>
      <x:c r="P338" s="253"/>
      <x:c r="Q338" s="252"/>
      <x:c r="R338" s="253"/>
      <x:c r="S338" s="253"/>
      <x:c r="T338" s="253"/>
      <x:c r="U338" s="253"/>
      <x:c r="V338" s="253"/>
      <x:c r="W338" s="253"/>
      <x:c r="X338" s="253"/>
      <x:c r="Y338" s="252"/>
      <x:c r="Z338" s="252"/>
      <x:c r="AA338" s="253"/>
      <x:c r="AB338" s="253" t="str">
        <x:f>IF(B338="","",IFERROR(INDEX('الزبائن'!$BA$6:$BA$505,MATCH(B338,'الزبائن'!$A$6:$A$505,0)),"source key not found"))</x:f>
      </x:c>
      <x:c r="AC338" s="253" t="str">
        <x:f>IF(B338="","",IFERROR(INDEX('الزبائن'!$BB$6:$BB$505,MATCH(B338,'الزبائن'!$A$6:$A$505,0)),"source key not found"))</x:f>
      </x:c>
      <x:c r="AD338" s="253" t="str">
        <x:f>IF(AND(A338="",C338="",D338="",I338="",L338="",M338=""),"",IF(C338="skip","SKIP",IF(OR(A338="",C338="",D338="",I338="",L338="",M338="",U338="",COUNTIF($A$6:$A$505,A338)&gt;1,AND(B338&lt;&gt;"",COUNTIF('الزبائن'!$A$6:$A$505,B338)=0),(COUNTIFS('أرقام التواصل'!$A$6:$A$505,"proposed_name",'أرقام التواصل'!$B$6:$B$505,A338,'أرقام التواصل'!$I$6:$I$505,"TRUE")+COUNTIFS('أرقام التواصل'!$A$6:$A$505,"proposed_name",'أرقام التواصل'!$B$6:$B$505,A338,'أرقام التواصل'!$C$6:$C$505,1))=0,AND(W338="TRUE",X338="")),"REVIEW","READY")))</x:f>
      </x:c>
      <x:c r="AE338" s="255" t="str">
        <x:f>IF(AD338="","",IF(AD338="READY","",IF(AD338="SKIP","Skipped by candidate_import_action",TRIM(IF(A338="","missing proposed_name_key; ","")&amp;IF(AND(A338&lt;&gt;"",COUNTIF($A$6:$A$505,A338)&gt;1),"duplicate proposed_name_key; ","")&amp;IF(C338="","missing candidate_import_action; ","")&amp;IF(D338="","missing move_reason; ","")&amp;IF(I338="","missing branch_id; ","")&amp;IF(L338="","missing first_name; ","")&amp;IF(M338="","missing last_name; ","")&amp;IF(U338="","missing status; ","")&amp;IF(AND(B338&lt;&gt;"",COUNTIF('الزبائن'!$A$6:$A$505,B338)=0),"source key not found; ","")&amp;IF((COUNTIFS('أرقام التواصل'!$A$6:$A$505,"proposed_name",'أرقام التواصل'!$B$6:$B$505,A338,'أرقام التواصل'!$I$6:$I$505,"TRUE")+COUNTIFS('أرقام التواصل'!$A$6:$A$505,"proposed_name",'أرقام التواصل'!$B$6:$B$505,A338,'أرقام التواصل'!$C$6:$C$505,1))=0,"missing primary contact in أرقام التواصل; ","")&amp;IF(AND(W338="TRUE",X338=""),"duplicate_type required when duplicate_flag TRUE; ","")))))</x:f>
      </x:c>
    </x:row>
    <x:row r="339">
      <x:c r="A339" s="302"/>
      <x:c r="B339" s="252"/>
      <x:c r="C339" s="253"/>
      <x:c r="D339" s="253"/>
      <x:c r="E339" s="253"/>
      <x:c r="F339" s="252"/>
      <x:c r="G339" s="253"/>
      <x:c r="H339" s="272"/>
      <x:c r="I339" s="253"/>
      <x:c r="J339" s="253"/>
      <x:c r="K339" s="253"/>
      <x:c r="L339" s="253"/>
      <x:c r="M339" s="253"/>
      <x:c r="N339" s="253"/>
      <x:c r="O339" s="253" t="str">
        <x:f>IF(TRIM(L339&amp;" "&amp;M339&amp;IF(N339&lt;&gt;""," ("&amp;N339&amp;")",""))="","",TRIM(L339&amp;" "&amp;M339&amp;IF(N339&lt;&gt;""," ("&amp;N339&amp;")","")))</x:f>
      </x:c>
      <x:c r="P339" s="253"/>
      <x:c r="Q339" s="252"/>
      <x:c r="R339" s="253"/>
      <x:c r="S339" s="253"/>
      <x:c r="T339" s="253"/>
      <x:c r="U339" s="253"/>
      <x:c r="V339" s="253"/>
      <x:c r="W339" s="253"/>
      <x:c r="X339" s="253"/>
      <x:c r="Y339" s="252"/>
      <x:c r="Z339" s="252"/>
      <x:c r="AA339" s="253"/>
      <x:c r="AB339" s="253" t="str">
        <x:f>IF(B339="","",IFERROR(INDEX('الزبائن'!$BA$6:$BA$505,MATCH(B339,'الزبائن'!$A$6:$A$505,0)),"source key not found"))</x:f>
      </x:c>
      <x:c r="AC339" s="253" t="str">
        <x:f>IF(B339="","",IFERROR(INDEX('الزبائن'!$BB$6:$BB$505,MATCH(B339,'الزبائن'!$A$6:$A$505,0)),"source key not found"))</x:f>
      </x:c>
      <x:c r="AD339" s="253" t="str">
        <x:f>IF(AND(A339="",C339="",D339="",I339="",L339="",M339=""),"",IF(C339="skip","SKIP",IF(OR(A339="",C339="",D339="",I339="",L339="",M339="",U339="",COUNTIF($A$6:$A$505,A339)&gt;1,AND(B339&lt;&gt;"",COUNTIF('الزبائن'!$A$6:$A$505,B339)=0),(COUNTIFS('أرقام التواصل'!$A$6:$A$505,"proposed_name",'أرقام التواصل'!$B$6:$B$505,A339,'أرقام التواصل'!$I$6:$I$505,"TRUE")+COUNTIFS('أرقام التواصل'!$A$6:$A$505,"proposed_name",'أرقام التواصل'!$B$6:$B$505,A339,'أرقام التواصل'!$C$6:$C$505,1))=0,AND(W339="TRUE",X339="")),"REVIEW","READY")))</x:f>
      </x:c>
      <x:c r="AE339" s="255" t="str">
        <x:f>IF(AD339="","",IF(AD339="READY","",IF(AD339="SKIP","Skipped by candidate_import_action",TRIM(IF(A339="","missing proposed_name_key; ","")&amp;IF(AND(A339&lt;&gt;"",COUNTIF($A$6:$A$505,A339)&gt;1),"duplicate proposed_name_key; ","")&amp;IF(C339="","missing candidate_import_action; ","")&amp;IF(D339="","missing move_reason; ","")&amp;IF(I339="","missing branch_id; ","")&amp;IF(L339="","missing first_name; ","")&amp;IF(M339="","missing last_name; ","")&amp;IF(U339="","missing status; ","")&amp;IF(AND(B339&lt;&gt;"",COUNTIF('الزبائن'!$A$6:$A$505,B339)=0),"source key not found; ","")&amp;IF((COUNTIFS('أرقام التواصل'!$A$6:$A$505,"proposed_name",'أرقام التواصل'!$B$6:$B$505,A339,'أرقام التواصل'!$I$6:$I$505,"TRUE")+COUNTIFS('أرقام التواصل'!$A$6:$A$505,"proposed_name",'أرقام التواصل'!$B$6:$B$505,A339,'أرقام التواصل'!$C$6:$C$505,1))=0,"missing primary contact in أرقام التواصل; ","")&amp;IF(AND(W339="TRUE",X339=""),"duplicate_type required when duplicate_flag TRUE; ","")))))</x:f>
      </x:c>
    </x:row>
    <x:row r="340">
      <x:c r="A340" s="302"/>
      <x:c r="B340" s="252"/>
      <x:c r="C340" s="253"/>
      <x:c r="D340" s="253"/>
      <x:c r="E340" s="253"/>
      <x:c r="F340" s="252"/>
      <x:c r="G340" s="253"/>
      <x:c r="H340" s="272"/>
      <x:c r="I340" s="253"/>
      <x:c r="J340" s="253"/>
      <x:c r="K340" s="253"/>
      <x:c r="L340" s="253"/>
      <x:c r="M340" s="253"/>
      <x:c r="N340" s="253"/>
      <x:c r="O340" s="253" t="str">
        <x:f>IF(TRIM(L340&amp;" "&amp;M340&amp;IF(N340&lt;&gt;""," ("&amp;N340&amp;")",""))="","",TRIM(L340&amp;" "&amp;M340&amp;IF(N340&lt;&gt;""," ("&amp;N340&amp;")","")))</x:f>
      </x:c>
      <x:c r="P340" s="253"/>
      <x:c r="Q340" s="252"/>
      <x:c r="R340" s="253"/>
      <x:c r="S340" s="253"/>
      <x:c r="T340" s="253"/>
      <x:c r="U340" s="253"/>
      <x:c r="V340" s="253"/>
      <x:c r="W340" s="253"/>
      <x:c r="X340" s="253"/>
      <x:c r="Y340" s="252"/>
      <x:c r="Z340" s="252"/>
      <x:c r="AA340" s="253"/>
      <x:c r="AB340" s="253" t="str">
        <x:f>IF(B340="","",IFERROR(INDEX('الزبائن'!$BA$6:$BA$505,MATCH(B340,'الزبائن'!$A$6:$A$505,0)),"source key not found"))</x:f>
      </x:c>
      <x:c r="AC340" s="253" t="str">
        <x:f>IF(B340="","",IFERROR(INDEX('الزبائن'!$BB$6:$BB$505,MATCH(B340,'الزبائن'!$A$6:$A$505,0)),"source key not found"))</x:f>
      </x:c>
      <x:c r="AD340" s="253" t="str">
        <x:f>IF(AND(A340="",C340="",D340="",I340="",L340="",M340=""),"",IF(C340="skip","SKIP",IF(OR(A340="",C340="",D340="",I340="",L340="",M340="",U340="",COUNTIF($A$6:$A$505,A340)&gt;1,AND(B340&lt;&gt;"",COUNTIF('الزبائن'!$A$6:$A$505,B340)=0),(COUNTIFS('أرقام التواصل'!$A$6:$A$505,"proposed_name",'أرقام التواصل'!$B$6:$B$505,A340,'أرقام التواصل'!$I$6:$I$505,"TRUE")+COUNTIFS('أرقام التواصل'!$A$6:$A$505,"proposed_name",'أرقام التواصل'!$B$6:$B$505,A340,'أرقام التواصل'!$C$6:$C$505,1))=0,AND(W340="TRUE",X340="")),"REVIEW","READY")))</x:f>
      </x:c>
      <x:c r="AE340" s="255" t="str">
        <x:f>IF(AD340="","",IF(AD340="READY","",IF(AD340="SKIP","Skipped by candidate_import_action",TRIM(IF(A340="","missing proposed_name_key; ","")&amp;IF(AND(A340&lt;&gt;"",COUNTIF($A$6:$A$505,A340)&gt;1),"duplicate proposed_name_key; ","")&amp;IF(C340="","missing candidate_import_action; ","")&amp;IF(D340="","missing move_reason; ","")&amp;IF(I340="","missing branch_id; ","")&amp;IF(L340="","missing first_name; ","")&amp;IF(M340="","missing last_name; ","")&amp;IF(U340="","missing status; ","")&amp;IF(AND(B340&lt;&gt;"",COUNTIF('الزبائن'!$A$6:$A$505,B340)=0),"source key not found; ","")&amp;IF((COUNTIFS('أرقام التواصل'!$A$6:$A$505,"proposed_name",'أرقام التواصل'!$B$6:$B$505,A340,'أرقام التواصل'!$I$6:$I$505,"TRUE")+COUNTIFS('أرقام التواصل'!$A$6:$A$505,"proposed_name",'أرقام التواصل'!$B$6:$B$505,A340,'أرقام التواصل'!$C$6:$C$505,1))=0,"missing primary contact in أرقام التواصل; ","")&amp;IF(AND(W340="TRUE",X340=""),"duplicate_type required when duplicate_flag TRUE; ","")))))</x:f>
      </x:c>
    </x:row>
    <x:row r="341">
      <x:c r="A341" s="302"/>
      <x:c r="B341" s="252"/>
      <x:c r="C341" s="253"/>
      <x:c r="D341" s="253"/>
      <x:c r="E341" s="253"/>
      <x:c r="F341" s="252"/>
      <x:c r="G341" s="253"/>
      <x:c r="H341" s="272"/>
      <x:c r="I341" s="253"/>
      <x:c r="J341" s="253"/>
      <x:c r="K341" s="253"/>
      <x:c r="L341" s="253"/>
      <x:c r="M341" s="253"/>
      <x:c r="N341" s="253"/>
      <x:c r="O341" s="253" t="str">
        <x:f>IF(TRIM(L341&amp;" "&amp;M341&amp;IF(N341&lt;&gt;""," ("&amp;N341&amp;")",""))="","",TRIM(L341&amp;" "&amp;M341&amp;IF(N341&lt;&gt;""," ("&amp;N341&amp;")","")))</x:f>
      </x:c>
      <x:c r="P341" s="253"/>
      <x:c r="Q341" s="252"/>
      <x:c r="R341" s="253"/>
      <x:c r="S341" s="253"/>
      <x:c r="T341" s="253"/>
      <x:c r="U341" s="253"/>
      <x:c r="V341" s="253"/>
      <x:c r="W341" s="253"/>
      <x:c r="X341" s="253"/>
      <x:c r="Y341" s="252"/>
      <x:c r="Z341" s="252"/>
      <x:c r="AA341" s="253"/>
      <x:c r="AB341" s="253" t="str">
        <x:f>IF(B341="","",IFERROR(INDEX('الزبائن'!$BA$6:$BA$505,MATCH(B341,'الزبائن'!$A$6:$A$505,0)),"source key not found"))</x:f>
      </x:c>
      <x:c r="AC341" s="253" t="str">
        <x:f>IF(B341="","",IFERROR(INDEX('الزبائن'!$BB$6:$BB$505,MATCH(B341,'الزبائن'!$A$6:$A$505,0)),"source key not found"))</x:f>
      </x:c>
      <x:c r="AD341" s="253" t="str">
        <x:f>IF(AND(A341="",C341="",D341="",I341="",L341="",M341=""),"",IF(C341="skip","SKIP",IF(OR(A341="",C341="",D341="",I341="",L341="",M341="",U341="",COUNTIF($A$6:$A$505,A341)&gt;1,AND(B341&lt;&gt;"",COUNTIF('الزبائن'!$A$6:$A$505,B341)=0),(COUNTIFS('أرقام التواصل'!$A$6:$A$505,"proposed_name",'أرقام التواصل'!$B$6:$B$505,A341,'أرقام التواصل'!$I$6:$I$505,"TRUE")+COUNTIFS('أرقام التواصل'!$A$6:$A$505,"proposed_name",'أرقام التواصل'!$B$6:$B$505,A341,'أرقام التواصل'!$C$6:$C$505,1))=0,AND(W341="TRUE",X341="")),"REVIEW","READY")))</x:f>
      </x:c>
      <x:c r="AE341" s="255" t="str">
        <x:f>IF(AD341="","",IF(AD341="READY","",IF(AD341="SKIP","Skipped by candidate_import_action",TRIM(IF(A341="","missing proposed_name_key; ","")&amp;IF(AND(A341&lt;&gt;"",COUNTIF($A$6:$A$505,A341)&gt;1),"duplicate proposed_name_key; ","")&amp;IF(C341="","missing candidate_import_action; ","")&amp;IF(D341="","missing move_reason; ","")&amp;IF(I341="","missing branch_id; ","")&amp;IF(L341="","missing first_name; ","")&amp;IF(M341="","missing last_name; ","")&amp;IF(U341="","missing status; ","")&amp;IF(AND(B341&lt;&gt;"",COUNTIF('الزبائن'!$A$6:$A$505,B341)=0),"source key not found; ","")&amp;IF((COUNTIFS('أرقام التواصل'!$A$6:$A$505,"proposed_name",'أرقام التواصل'!$B$6:$B$505,A341,'أرقام التواصل'!$I$6:$I$505,"TRUE")+COUNTIFS('أرقام التواصل'!$A$6:$A$505,"proposed_name",'أرقام التواصل'!$B$6:$B$505,A341,'أرقام التواصل'!$C$6:$C$505,1))=0,"missing primary contact in أرقام التواصل; ","")&amp;IF(AND(W341="TRUE",X341=""),"duplicate_type required when duplicate_flag TRUE; ","")))))</x:f>
      </x:c>
    </x:row>
    <x:row r="342">
      <x:c r="A342" s="302"/>
      <x:c r="B342" s="252"/>
      <x:c r="C342" s="253"/>
      <x:c r="D342" s="253"/>
      <x:c r="E342" s="253"/>
      <x:c r="F342" s="252"/>
      <x:c r="G342" s="253"/>
      <x:c r="H342" s="272"/>
      <x:c r="I342" s="253"/>
      <x:c r="J342" s="253"/>
      <x:c r="K342" s="253"/>
      <x:c r="L342" s="253"/>
      <x:c r="M342" s="253"/>
      <x:c r="N342" s="253"/>
      <x:c r="O342" s="253" t="str">
        <x:f>IF(TRIM(L342&amp;" "&amp;M342&amp;IF(N342&lt;&gt;""," ("&amp;N342&amp;")",""))="","",TRIM(L342&amp;" "&amp;M342&amp;IF(N342&lt;&gt;""," ("&amp;N342&amp;")","")))</x:f>
      </x:c>
      <x:c r="P342" s="253"/>
      <x:c r="Q342" s="252"/>
      <x:c r="R342" s="253"/>
      <x:c r="S342" s="253"/>
      <x:c r="T342" s="253"/>
      <x:c r="U342" s="253"/>
      <x:c r="V342" s="253"/>
      <x:c r="W342" s="253"/>
      <x:c r="X342" s="253"/>
      <x:c r="Y342" s="252"/>
      <x:c r="Z342" s="252"/>
      <x:c r="AA342" s="253"/>
      <x:c r="AB342" s="253" t="str">
        <x:f>IF(B342="","",IFERROR(INDEX('الزبائن'!$BA$6:$BA$505,MATCH(B342,'الزبائن'!$A$6:$A$505,0)),"source key not found"))</x:f>
      </x:c>
      <x:c r="AC342" s="253" t="str">
        <x:f>IF(B342="","",IFERROR(INDEX('الزبائن'!$BB$6:$BB$505,MATCH(B342,'الزبائن'!$A$6:$A$505,0)),"source key not found"))</x:f>
      </x:c>
      <x:c r="AD342" s="253" t="str">
        <x:f>IF(AND(A342="",C342="",D342="",I342="",L342="",M342=""),"",IF(C342="skip","SKIP",IF(OR(A342="",C342="",D342="",I342="",L342="",M342="",U342="",COUNTIF($A$6:$A$505,A342)&gt;1,AND(B342&lt;&gt;"",COUNTIF('الزبائن'!$A$6:$A$505,B342)=0),(COUNTIFS('أرقام التواصل'!$A$6:$A$505,"proposed_name",'أرقام التواصل'!$B$6:$B$505,A342,'أرقام التواصل'!$I$6:$I$505,"TRUE")+COUNTIFS('أرقام التواصل'!$A$6:$A$505,"proposed_name",'أرقام التواصل'!$B$6:$B$505,A342,'أرقام التواصل'!$C$6:$C$505,1))=0,AND(W342="TRUE",X342="")),"REVIEW","READY")))</x:f>
      </x:c>
      <x:c r="AE342" s="255" t="str">
        <x:f>IF(AD342="","",IF(AD342="READY","",IF(AD342="SKIP","Skipped by candidate_import_action",TRIM(IF(A342="","missing proposed_name_key; ","")&amp;IF(AND(A342&lt;&gt;"",COUNTIF($A$6:$A$505,A342)&gt;1),"duplicate proposed_name_key; ","")&amp;IF(C342="","missing candidate_import_action; ","")&amp;IF(D342="","missing move_reason; ","")&amp;IF(I342="","missing branch_id; ","")&amp;IF(L342="","missing first_name; ","")&amp;IF(M342="","missing last_name; ","")&amp;IF(U342="","missing status; ","")&amp;IF(AND(B342&lt;&gt;"",COUNTIF('الزبائن'!$A$6:$A$505,B342)=0),"source key not found; ","")&amp;IF((COUNTIFS('أرقام التواصل'!$A$6:$A$505,"proposed_name",'أرقام التواصل'!$B$6:$B$505,A342,'أرقام التواصل'!$I$6:$I$505,"TRUE")+COUNTIFS('أرقام التواصل'!$A$6:$A$505,"proposed_name",'أرقام التواصل'!$B$6:$B$505,A342,'أرقام التواصل'!$C$6:$C$505,1))=0,"missing primary contact in أرقام التواصل; ","")&amp;IF(AND(W342="TRUE",X342=""),"duplicate_type required when duplicate_flag TRUE; ","")))))</x:f>
      </x:c>
    </x:row>
    <x:row r="343">
      <x:c r="A343" s="302"/>
      <x:c r="B343" s="252"/>
      <x:c r="C343" s="253"/>
      <x:c r="D343" s="253"/>
      <x:c r="E343" s="253"/>
      <x:c r="F343" s="252"/>
      <x:c r="G343" s="253"/>
      <x:c r="H343" s="272"/>
      <x:c r="I343" s="253"/>
      <x:c r="J343" s="253"/>
      <x:c r="K343" s="253"/>
      <x:c r="L343" s="253"/>
      <x:c r="M343" s="253"/>
      <x:c r="N343" s="253"/>
      <x:c r="O343" s="253" t="str">
        <x:f>IF(TRIM(L343&amp;" "&amp;M343&amp;IF(N343&lt;&gt;""," ("&amp;N343&amp;")",""))="","",TRIM(L343&amp;" "&amp;M343&amp;IF(N343&lt;&gt;""," ("&amp;N343&amp;")","")))</x:f>
      </x:c>
      <x:c r="P343" s="253"/>
      <x:c r="Q343" s="252"/>
      <x:c r="R343" s="253"/>
      <x:c r="S343" s="253"/>
      <x:c r="T343" s="253"/>
      <x:c r="U343" s="253"/>
      <x:c r="V343" s="253"/>
      <x:c r="W343" s="253"/>
      <x:c r="X343" s="253"/>
      <x:c r="Y343" s="252"/>
      <x:c r="Z343" s="252"/>
      <x:c r="AA343" s="253"/>
      <x:c r="AB343" s="253" t="str">
        <x:f>IF(B343="","",IFERROR(INDEX('الزبائن'!$BA$6:$BA$505,MATCH(B343,'الزبائن'!$A$6:$A$505,0)),"source key not found"))</x:f>
      </x:c>
      <x:c r="AC343" s="253" t="str">
        <x:f>IF(B343="","",IFERROR(INDEX('الزبائن'!$BB$6:$BB$505,MATCH(B343,'الزبائن'!$A$6:$A$505,0)),"source key not found"))</x:f>
      </x:c>
      <x:c r="AD343" s="253" t="str">
        <x:f>IF(AND(A343="",C343="",D343="",I343="",L343="",M343=""),"",IF(C343="skip","SKIP",IF(OR(A343="",C343="",D343="",I343="",L343="",M343="",U343="",COUNTIF($A$6:$A$505,A343)&gt;1,AND(B343&lt;&gt;"",COUNTIF('الزبائن'!$A$6:$A$505,B343)=0),(COUNTIFS('أرقام التواصل'!$A$6:$A$505,"proposed_name",'أرقام التواصل'!$B$6:$B$505,A343,'أرقام التواصل'!$I$6:$I$505,"TRUE")+COUNTIFS('أرقام التواصل'!$A$6:$A$505,"proposed_name",'أرقام التواصل'!$B$6:$B$505,A343,'أرقام التواصل'!$C$6:$C$505,1))=0,AND(W343="TRUE",X343="")),"REVIEW","READY")))</x:f>
      </x:c>
      <x:c r="AE343" s="255" t="str">
        <x:f>IF(AD343="","",IF(AD343="READY","",IF(AD343="SKIP","Skipped by candidate_import_action",TRIM(IF(A343="","missing proposed_name_key; ","")&amp;IF(AND(A343&lt;&gt;"",COUNTIF($A$6:$A$505,A343)&gt;1),"duplicate proposed_name_key; ","")&amp;IF(C343="","missing candidate_import_action; ","")&amp;IF(D343="","missing move_reason; ","")&amp;IF(I343="","missing branch_id; ","")&amp;IF(L343="","missing first_name; ","")&amp;IF(M343="","missing last_name; ","")&amp;IF(U343="","missing status; ","")&amp;IF(AND(B343&lt;&gt;"",COUNTIF('الزبائن'!$A$6:$A$505,B343)=0),"source key not found; ","")&amp;IF((COUNTIFS('أرقام التواصل'!$A$6:$A$505,"proposed_name",'أرقام التواصل'!$B$6:$B$505,A343,'أرقام التواصل'!$I$6:$I$505,"TRUE")+COUNTIFS('أرقام التواصل'!$A$6:$A$505,"proposed_name",'أرقام التواصل'!$B$6:$B$505,A343,'أرقام التواصل'!$C$6:$C$505,1))=0,"missing primary contact in أرقام التواصل; ","")&amp;IF(AND(W343="TRUE",X343=""),"duplicate_type required when duplicate_flag TRUE; ","")))))</x:f>
      </x:c>
    </x:row>
    <x:row r="344">
      <x:c r="A344" s="302"/>
      <x:c r="B344" s="252"/>
      <x:c r="C344" s="253"/>
      <x:c r="D344" s="253"/>
      <x:c r="E344" s="253"/>
      <x:c r="F344" s="252"/>
      <x:c r="G344" s="253"/>
      <x:c r="H344" s="272"/>
      <x:c r="I344" s="253"/>
      <x:c r="J344" s="253"/>
      <x:c r="K344" s="253"/>
      <x:c r="L344" s="253"/>
      <x:c r="M344" s="253"/>
      <x:c r="N344" s="253"/>
      <x:c r="O344" s="253" t="str">
        <x:f>IF(TRIM(L344&amp;" "&amp;M344&amp;IF(N344&lt;&gt;""," ("&amp;N344&amp;")",""))="","",TRIM(L344&amp;" "&amp;M344&amp;IF(N344&lt;&gt;""," ("&amp;N344&amp;")","")))</x:f>
      </x:c>
      <x:c r="P344" s="253"/>
      <x:c r="Q344" s="252"/>
      <x:c r="R344" s="253"/>
      <x:c r="S344" s="253"/>
      <x:c r="T344" s="253"/>
      <x:c r="U344" s="253"/>
      <x:c r="V344" s="253"/>
      <x:c r="W344" s="253"/>
      <x:c r="X344" s="253"/>
      <x:c r="Y344" s="252"/>
      <x:c r="Z344" s="252"/>
      <x:c r="AA344" s="253"/>
      <x:c r="AB344" s="253" t="str">
        <x:f>IF(B344="","",IFERROR(INDEX('الزبائن'!$BA$6:$BA$505,MATCH(B344,'الزبائن'!$A$6:$A$505,0)),"source key not found"))</x:f>
      </x:c>
      <x:c r="AC344" s="253" t="str">
        <x:f>IF(B344="","",IFERROR(INDEX('الزبائن'!$BB$6:$BB$505,MATCH(B344,'الزبائن'!$A$6:$A$505,0)),"source key not found"))</x:f>
      </x:c>
      <x:c r="AD344" s="253" t="str">
        <x:f>IF(AND(A344="",C344="",D344="",I344="",L344="",M344=""),"",IF(C344="skip","SKIP",IF(OR(A344="",C344="",D344="",I344="",L344="",M344="",U344="",COUNTIF($A$6:$A$505,A344)&gt;1,AND(B344&lt;&gt;"",COUNTIF('الزبائن'!$A$6:$A$505,B344)=0),(COUNTIFS('أرقام التواصل'!$A$6:$A$505,"proposed_name",'أرقام التواصل'!$B$6:$B$505,A344,'أرقام التواصل'!$I$6:$I$505,"TRUE")+COUNTIFS('أرقام التواصل'!$A$6:$A$505,"proposed_name",'أرقام التواصل'!$B$6:$B$505,A344,'أرقام التواصل'!$C$6:$C$505,1))=0,AND(W344="TRUE",X344="")),"REVIEW","READY")))</x:f>
      </x:c>
      <x:c r="AE344" s="255" t="str">
        <x:f>IF(AD344="","",IF(AD344="READY","",IF(AD344="SKIP","Skipped by candidate_import_action",TRIM(IF(A344="","missing proposed_name_key; ","")&amp;IF(AND(A344&lt;&gt;"",COUNTIF($A$6:$A$505,A344)&gt;1),"duplicate proposed_name_key; ","")&amp;IF(C344="","missing candidate_import_action; ","")&amp;IF(D344="","missing move_reason; ","")&amp;IF(I344="","missing branch_id; ","")&amp;IF(L344="","missing first_name; ","")&amp;IF(M344="","missing last_name; ","")&amp;IF(U344="","missing status; ","")&amp;IF(AND(B344&lt;&gt;"",COUNTIF('الزبائن'!$A$6:$A$505,B344)=0),"source key not found; ","")&amp;IF((COUNTIFS('أرقام التواصل'!$A$6:$A$505,"proposed_name",'أرقام التواصل'!$B$6:$B$505,A344,'أرقام التواصل'!$I$6:$I$505,"TRUE")+COUNTIFS('أرقام التواصل'!$A$6:$A$505,"proposed_name",'أرقام التواصل'!$B$6:$B$505,A344,'أرقام التواصل'!$C$6:$C$505,1))=0,"missing primary contact in أرقام التواصل; ","")&amp;IF(AND(W344="TRUE",X344=""),"duplicate_type required when duplicate_flag TRUE; ","")))))</x:f>
      </x:c>
    </x:row>
    <x:row r="345">
      <x:c r="A345" s="302"/>
      <x:c r="B345" s="252"/>
      <x:c r="C345" s="253"/>
      <x:c r="D345" s="253"/>
      <x:c r="E345" s="253"/>
      <x:c r="F345" s="252"/>
      <x:c r="G345" s="253"/>
      <x:c r="H345" s="272"/>
      <x:c r="I345" s="253"/>
      <x:c r="J345" s="253"/>
      <x:c r="K345" s="253"/>
      <x:c r="L345" s="253"/>
      <x:c r="M345" s="253"/>
      <x:c r="N345" s="253"/>
      <x:c r="O345" s="253" t="str">
        <x:f>IF(TRIM(L345&amp;" "&amp;M345&amp;IF(N345&lt;&gt;""," ("&amp;N345&amp;")",""))="","",TRIM(L345&amp;" "&amp;M345&amp;IF(N345&lt;&gt;""," ("&amp;N345&amp;")","")))</x:f>
      </x:c>
      <x:c r="P345" s="253"/>
      <x:c r="Q345" s="252"/>
      <x:c r="R345" s="253"/>
      <x:c r="S345" s="253"/>
      <x:c r="T345" s="253"/>
      <x:c r="U345" s="253"/>
      <x:c r="V345" s="253"/>
      <x:c r="W345" s="253"/>
      <x:c r="X345" s="253"/>
      <x:c r="Y345" s="252"/>
      <x:c r="Z345" s="252"/>
      <x:c r="AA345" s="253"/>
      <x:c r="AB345" s="253" t="str">
        <x:f>IF(B345="","",IFERROR(INDEX('الزبائن'!$BA$6:$BA$505,MATCH(B345,'الزبائن'!$A$6:$A$505,0)),"source key not found"))</x:f>
      </x:c>
      <x:c r="AC345" s="253" t="str">
        <x:f>IF(B345="","",IFERROR(INDEX('الزبائن'!$BB$6:$BB$505,MATCH(B345,'الزبائن'!$A$6:$A$505,0)),"source key not found"))</x:f>
      </x:c>
      <x:c r="AD345" s="253" t="str">
        <x:f>IF(AND(A345="",C345="",D345="",I345="",L345="",M345=""),"",IF(C345="skip","SKIP",IF(OR(A345="",C345="",D345="",I345="",L345="",M345="",U345="",COUNTIF($A$6:$A$505,A345)&gt;1,AND(B345&lt;&gt;"",COUNTIF('الزبائن'!$A$6:$A$505,B345)=0),(COUNTIFS('أرقام التواصل'!$A$6:$A$505,"proposed_name",'أرقام التواصل'!$B$6:$B$505,A345,'أرقام التواصل'!$I$6:$I$505,"TRUE")+COUNTIFS('أرقام التواصل'!$A$6:$A$505,"proposed_name",'أرقام التواصل'!$B$6:$B$505,A345,'أرقام التواصل'!$C$6:$C$505,1))=0,AND(W345="TRUE",X345="")),"REVIEW","READY")))</x:f>
      </x:c>
      <x:c r="AE345" s="255" t="str">
        <x:f>IF(AD345="","",IF(AD345="READY","",IF(AD345="SKIP","Skipped by candidate_import_action",TRIM(IF(A345="","missing proposed_name_key; ","")&amp;IF(AND(A345&lt;&gt;"",COUNTIF($A$6:$A$505,A345)&gt;1),"duplicate proposed_name_key; ","")&amp;IF(C345="","missing candidate_import_action; ","")&amp;IF(D345="","missing move_reason; ","")&amp;IF(I345="","missing branch_id; ","")&amp;IF(L345="","missing first_name; ","")&amp;IF(M345="","missing last_name; ","")&amp;IF(U345="","missing status; ","")&amp;IF(AND(B345&lt;&gt;"",COUNTIF('الزبائن'!$A$6:$A$505,B345)=0),"source key not found; ","")&amp;IF((COUNTIFS('أرقام التواصل'!$A$6:$A$505,"proposed_name",'أرقام التواصل'!$B$6:$B$505,A345,'أرقام التواصل'!$I$6:$I$505,"TRUE")+COUNTIFS('أرقام التواصل'!$A$6:$A$505,"proposed_name",'أرقام التواصل'!$B$6:$B$505,A345,'أرقام التواصل'!$C$6:$C$505,1))=0,"missing primary contact in أرقام التواصل; ","")&amp;IF(AND(W345="TRUE",X345=""),"duplicate_type required when duplicate_flag TRUE; ","")))))</x:f>
      </x:c>
    </x:row>
    <x:row r="346">
      <x:c r="A346" s="302"/>
      <x:c r="B346" s="252"/>
      <x:c r="C346" s="253"/>
      <x:c r="D346" s="253"/>
      <x:c r="E346" s="253"/>
      <x:c r="F346" s="252"/>
      <x:c r="G346" s="253"/>
      <x:c r="H346" s="272"/>
      <x:c r="I346" s="253"/>
      <x:c r="J346" s="253"/>
      <x:c r="K346" s="253"/>
      <x:c r="L346" s="253"/>
      <x:c r="M346" s="253"/>
      <x:c r="N346" s="253"/>
      <x:c r="O346" s="253" t="str">
        <x:f>IF(TRIM(L346&amp;" "&amp;M346&amp;IF(N346&lt;&gt;""," ("&amp;N346&amp;")",""))="","",TRIM(L346&amp;" "&amp;M346&amp;IF(N346&lt;&gt;""," ("&amp;N346&amp;")","")))</x:f>
      </x:c>
      <x:c r="P346" s="253"/>
      <x:c r="Q346" s="252"/>
      <x:c r="R346" s="253"/>
      <x:c r="S346" s="253"/>
      <x:c r="T346" s="253"/>
      <x:c r="U346" s="253"/>
      <x:c r="V346" s="253"/>
      <x:c r="W346" s="253"/>
      <x:c r="X346" s="253"/>
      <x:c r="Y346" s="252"/>
      <x:c r="Z346" s="252"/>
      <x:c r="AA346" s="253"/>
      <x:c r="AB346" s="253" t="str">
        <x:f>IF(B346="","",IFERROR(INDEX('الزبائن'!$BA$6:$BA$505,MATCH(B346,'الزبائن'!$A$6:$A$505,0)),"source key not found"))</x:f>
      </x:c>
      <x:c r="AC346" s="253" t="str">
        <x:f>IF(B346="","",IFERROR(INDEX('الزبائن'!$BB$6:$BB$505,MATCH(B346,'الزبائن'!$A$6:$A$505,0)),"source key not found"))</x:f>
      </x:c>
      <x:c r="AD346" s="253" t="str">
        <x:f>IF(AND(A346="",C346="",D346="",I346="",L346="",M346=""),"",IF(C346="skip","SKIP",IF(OR(A346="",C346="",D346="",I346="",L346="",M346="",U346="",COUNTIF($A$6:$A$505,A346)&gt;1,AND(B346&lt;&gt;"",COUNTIF('الزبائن'!$A$6:$A$505,B346)=0),(COUNTIFS('أرقام التواصل'!$A$6:$A$505,"proposed_name",'أرقام التواصل'!$B$6:$B$505,A346,'أرقام التواصل'!$I$6:$I$505,"TRUE")+COUNTIFS('أرقام التواصل'!$A$6:$A$505,"proposed_name",'أرقام التواصل'!$B$6:$B$505,A346,'أرقام التواصل'!$C$6:$C$505,1))=0,AND(W346="TRUE",X346="")),"REVIEW","READY")))</x:f>
      </x:c>
      <x:c r="AE346" s="255" t="str">
        <x:f>IF(AD346="","",IF(AD346="READY","",IF(AD346="SKIP","Skipped by candidate_import_action",TRIM(IF(A346="","missing proposed_name_key; ","")&amp;IF(AND(A346&lt;&gt;"",COUNTIF($A$6:$A$505,A346)&gt;1),"duplicate proposed_name_key; ","")&amp;IF(C346="","missing candidate_import_action; ","")&amp;IF(D346="","missing move_reason; ","")&amp;IF(I346="","missing branch_id; ","")&amp;IF(L346="","missing first_name; ","")&amp;IF(M346="","missing last_name; ","")&amp;IF(U346="","missing status; ","")&amp;IF(AND(B346&lt;&gt;"",COUNTIF('الزبائن'!$A$6:$A$505,B346)=0),"source key not found; ","")&amp;IF((COUNTIFS('أرقام التواصل'!$A$6:$A$505,"proposed_name",'أرقام التواصل'!$B$6:$B$505,A346,'أرقام التواصل'!$I$6:$I$505,"TRUE")+COUNTIFS('أرقام التواصل'!$A$6:$A$505,"proposed_name",'أرقام التواصل'!$B$6:$B$505,A346,'أرقام التواصل'!$C$6:$C$505,1))=0,"missing primary contact in أرقام التواصل; ","")&amp;IF(AND(W346="TRUE",X346=""),"duplicate_type required when duplicate_flag TRUE; ","")))))</x:f>
      </x:c>
    </x:row>
    <x:row r="347">
      <x:c r="A347" s="302"/>
      <x:c r="B347" s="252"/>
      <x:c r="C347" s="253"/>
      <x:c r="D347" s="253"/>
      <x:c r="E347" s="253"/>
      <x:c r="F347" s="252"/>
      <x:c r="G347" s="253"/>
      <x:c r="H347" s="272"/>
      <x:c r="I347" s="253"/>
      <x:c r="J347" s="253"/>
      <x:c r="K347" s="253"/>
      <x:c r="L347" s="253"/>
      <x:c r="M347" s="253"/>
      <x:c r="N347" s="253"/>
      <x:c r="O347" s="253" t="str">
        <x:f>IF(TRIM(L347&amp;" "&amp;M347&amp;IF(N347&lt;&gt;""," ("&amp;N347&amp;")",""))="","",TRIM(L347&amp;" "&amp;M347&amp;IF(N347&lt;&gt;""," ("&amp;N347&amp;")","")))</x:f>
      </x:c>
      <x:c r="P347" s="253"/>
      <x:c r="Q347" s="252"/>
      <x:c r="R347" s="253"/>
      <x:c r="S347" s="253"/>
      <x:c r="T347" s="253"/>
      <x:c r="U347" s="253"/>
      <x:c r="V347" s="253"/>
      <x:c r="W347" s="253"/>
      <x:c r="X347" s="253"/>
      <x:c r="Y347" s="252"/>
      <x:c r="Z347" s="252"/>
      <x:c r="AA347" s="253"/>
      <x:c r="AB347" s="253" t="str">
        <x:f>IF(B347="","",IFERROR(INDEX('الزبائن'!$BA$6:$BA$505,MATCH(B347,'الزبائن'!$A$6:$A$505,0)),"source key not found"))</x:f>
      </x:c>
      <x:c r="AC347" s="253" t="str">
        <x:f>IF(B347="","",IFERROR(INDEX('الزبائن'!$BB$6:$BB$505,MATCH(B347,'الزبائن'!$A$6:$A$505,0)),"source key not found"))</x:f>
      </x:c>
      <x:c r="AD347" s="253" t="str">
        <x:f>IF(AND(A347="",C347="",D347="",I347="",L347="",M347=""),"",IF(C347="skip","SKIP",IF(OR(A347="",C347="",D347="",I347="",L347="",M347="",U347="",COUNTIF($A$6:$A$505,A347)&gt;1,AND(B347&lt;&gt;"",COUNTIF('الزبائن'!$A$6:$A$505,B347)=0),(COUNTIFS('أرقام التواصل'!$A$6:$A$505,"proposed_name",'أرقام التواصل'!$B$6:$B$505,A347,'أرقام التواصل'!$I$6:$I$505,"TRUE")+COUNTIFS('أرقام التواصل'!$A$6:$A$505,"proposed_name",'أرقام التواصل'!$B$6:$B$505,A347,'أرقام التواصل'!$C$6:$C$505,1))=0,AND(W347="TRUE",X347="")),"REVIEW","READY")))</x:f>
      </x:c>
      <x:c r="AE347" s="255" t="str">
        <x:f>IF(AD347="","",IF(AD347="READY","",IF(AD347="SKIP","Skipped by candidate_import_action",TRIM(IF(A347="","missing proposed_name_key; ","")&amp;IF(AND(A347&lt;&gt;"",COUNTIF($A$6:$A$505,A347)&gt;1),"duplicate proposed_name_key; ","")&amp;IF(C347="","missing candidate_import_action; ","")&amp;IF(D347="","missing move_reason; ","")&amp;IF(I347="","missing branch_id; ","")&amp;IF(L347="","missing first_name; ","")&amp;IF(M347="","missing last_name; ","")&amp;IF(U347="","missing status; ","")&amp;IF(AND(B347&lt;&gt;"",COUNTIF('الزبائن'!$A$6:$A$505,B347)=0),"source key not found; ","")&amp;IF((COUNTIFS('أرقام التواصل'!$A$6:$A$505,"proposed_name",'أرقام التواصل'!$B$6:$B$505,A347,'أرقام التواصل'!$I$6:$I$505,"TRUE")+COUNTIFS('أرقام التواصل'!$A$6:$A$505,"proposed_name",'أرقام التواصل'!$B$6:$B$505,A347,'أرقام التواصل'!$C$6:$C$505,1))=0,"missing primary contact in أرقام التواصل; ","")&amp;IF(AND(W347="TRUE",X347=""),"duplicate_type required when duplicate_flag TRUE; ","")))))</x:f>
      </x:c>
    </x:row>
    <x:row r="348">
      <x:c r="A348" s="302"/>
      <x:c r="B348" s="252"/>
      <x:c r="C348" s="253"/>
      <x:c r="D348" s="253"/>
      <x:c r="E348" s="253"/>
      <x:c r="F348" s="252"/>
      <x:c r="G348" s="253"/>
      <x:c r="H348" s="272"/>
      <x:c r="I348" s="253"/>
      <x:c r="J348" s="253"/>
      <x:c r="K348" s="253"/>
      <x:c r="L348" s="253"/>
      <x:c r="M348" s="253"/>
      <x:c r="N348" s="253"/>
      <x:c r="O348" s="253" t="str">
        <x:f>IF(TRIM(L348&amp;" "&amp;M348&amp;IF(N348&lt;&gt;""," ("&amp;N348&amp;")",""))="","",TRIM(L348&amp;" "&amp;M348&amp;IF(N348&lt;&gt;""," ("&amp;N348&amp;")","")))</x:f>
      </x:c>
      <x:c r="P348" s="253"/>
      <x:c r="Q348" s="252"/>
      <x:c r="R348" s="253"/>
      <x:c r="S348" s="253"/>
      <x:c r="T348" s="253"/>
      <x:c r="U348" s="253"/>
      <x:c r="V348" s="253"/>
      <x:c r="W348" s="253"/>
      <x:c r="X348" s="253"/>
      <x:c r="Y348" s="252"/>
      <x:c r="Z348" s="252"/>
      <x:c r="AA348" s="253"/>
      <x:c r="AB348" s="253" t="str">
        <x:f>IF(B348="","",IFERROR(INDEX('الزبائن'!$BA$6:$BA$505,MATCH(B348,'الزبائن'!$A$6:$A$505,0)),"source key not found"))</x:f>
      </x:c>
      <x:c r="AC348" s="253" t="str">
        <x:f>IF(B348="","",IFERROR(INDEX('الزبائن'!$BB$6:$BB$505,MATCH(B348,'الزبائن'!$A$6:$A$505,0)),"source key not found"))</x:f>
      </x:c>
      <x:c r="AD348" s="253" t="str">
        <x:f>IF(AND(A348="",C348="",D348="",I348="",L348="",M348=""),"",IF(C348="skip","SKIP",IF(OR(A348="",C348="",D348="",I348="",L348="",M348="",U348="",COUNTIF($A$6:$A$505,A348)&gt;1,AND(B348&lt;&gt;"",COUNTIF('الزبائن'!$A$6:$A$505,B348)=0),(COUNTIFS('أرقام التواصل'!$A$6:$A$505,"proposed_name",'أرقام التواصل'!$B$6:$B$505,A348,'أرقام التواصل'!$I$6:$I$505,"TRUE")+COUNTIFS('أرقام التواصل'!$A$6:$A$505,"proposed_name",'أرقام التواصل'!$B$6:$B$505,A348,'أرقام التواصل'!$C$6:$C$505,1))=0,AND(W348="TRUE",X348="")),"REVIEW","READY")))</x:f>
      </x:c>
      <x:c r="AE348" s="255" t="str">
        <x:f>IF(AD348="","",IF(AD348="READY","",IF(AD348="SKIP","Skipped by candidate_import_action",TRIM(IF(A348="","missing proposed_name_key; ","")&amp;IF(AND(A348&lt;&gt;"",COUNTIF($A$6:$A$505,A348)&gt;1),"duplicate proposed_name_key; ","")&amp;IF(C348="","missing candidate_import_action; ","")&amp;IF(D348="","missing move_reason; ","")&amp;IF(I348="","missing branch_id; ","")&amp;IF(L348="","missing first_name; ","")&amp;IF(M348="","missing last_name; ","")&amp;IF(U348="","missing status; ","")&amp;IF(AND(B348&lt;&gt;"",COUNTIF('الزبائن'!$A$6:$A$505,B348)=0),"source key not found; ","")&amp;IF((COUNTIFS('أرقام التواصل'!$A$6:$A$505,"proposed_name",'أرقام التواصل'!$B$6:$B$505,A348,'أرقام التواصل'!$I$6:$I$505,"TRUE")+COUNTIFS('أرقام التواصل'!$A$6:$A$505,"proposed_name",'أرقام التواصل'!$B$6:$B$505,A348,'أرقام التواصل'!$C$6:$C$505,1))=0,"missing primary contact in أرقام التواصل; ","")&amp;IF(AND(W348="TRUE",X348=""),"duplicate_type required when duplicate_flag TRUE; ","")))))</x:f>
      </x:c>
    </x:row>
    <x:row r="349">
      <x:c r="A349" s="302"/>
      <x:c r="B349" s="252"/>
      <x:c r="C349" s="253"/>
      <x:c r="D349" s="253"/>
      <x:c r="E349" s="253"/>
      <x:c r="F349" s="252"/>
      <x:c r="G349" s="253"/>
      <x:c r="H349" s="272"/>
      <x:c r="I349" s="253"/>
      <x:c r="J349" s="253"/>
      <x:c r="K349" s="253"/>
      <x:c r="L349" s="253"/>
      <x:c r="M349" s="253"/>
      <x:c r="N349" s="253"/>
      <x:c r="O349" s="253" t="str">
        <x:f>IF(TRIM(L349&amp;" "&amp;M349&amp;IF(N349&lt;&gt;""," ("&amp;N349&amp;")",""))="","",TRIM(L349&amp;" "&amp;M349&amp;IF(N349&lt;&gt;""," ("&amp;N349&amp;")","")))</x:f>
      </x:c>
      <x:c r="P349" s="253"/>
      <x:c r="Q349" s="252"/>
      <x:c r="R349" s="253"/>
      <x:c r="S349" s="253"/>
      <x:c r="T349" s="253"/>
      <x:c r="U349" s="253"/>
      <x:c r="V349" s="253"/>
      <x:c r="W349" s="253"/>
      <x:c r="X349" s="253"/>
      <x:c r="Y349" s="252"/>
      <x:c r="Z349" s="252"/>
      <x:c r="AA349" s="253"/>
      <x:c r="AB349" s="253" t="str">
        <x:f>IF(B349="","",IFERROR(INDEX('الزبائن'!$BA$6:$BA$505,MATCH(B349,'الزبائن'!$A$6:$A$505,0)),"source key not found"))</x:f>
      </x:c>
      <x:c r="AC349" s="253" t="str">
        <x:f>IF(B349="","",IFERROR(INDEX('الزبائن'!$BB$6:$BB$505,MATCH(B349,'الزبائن'!$A$6:$A$505,0)),"source key not found"))</x:f>
      </x:c>
      <x:c r="AD349" s="253" t="str">
        <x:f>IF(AND(A349="",C349="",D349="",I349="",L349="",M349=""),"",IF(C349="skip","SKIP",IF(OR(A349="",C349="",D349="",I349="",L349="",M349="",U349="",COUNTIF($A$6:$A$505,A349)&gt;1,AND(B349&lt;&gt;"",COUNTIF('الزبائن'!$A$6:$A$505,B349)=0),(COUNTIFS('أرقام التواصل'!$A$6:$A$505,"proposed_name",'أرقام التواصل'!$B$6:$B$505,A349,'أرقام التواصل'!$I$6:$I$505,"TRUE")+COUNTIFS('أرقام التواصل'!$A$6:$A$505,"proposed_name",'أرقام التواصل'!$B$6:$B$505,A349,'أرقام التواصل'!$C$6:$C$505,1))=0,AND(W349="TRUE",X349="")),"REVIEW","READY")))</x:f>
      </x:c>
      <x:c r="AE349" s="255" t="str">
        <x:f>IF(AD349="","",IF(AD349="READY","",IF(AD349="SKIP","Skipped by candidate_import_action",TRIM(IF(A349="","missing proposed_name_key; ","")&amp;IF(AND(A349&lt;&gt;"",COUNTIF($A$6:$A$505,A349)&gt;1),"duplicate proposed_name_key; ","")&amp;IF(C349="","missing candidate_import_action; ","")&amp;IF(D349="","missing move_reason; ","")&amp;IF(I349="","missing branch_id; ","")&amp;IF(L349="","missing first_name; ","")&amp;IF(M349="","missing last_name; ","")&amp;IF(U349="","missing status; ","")&amp;IF(AND(B349&lt;&gt;"",COUNTIF('الزبائن'!$A$6:$A$505,B349)=0),"source key not found; ","")&amp;IF((COUNTIFS('أرقام التواصل'!$A$6:$A$505,"proposed_name",'أرقام التواصل'!$B$6:$B$505,A349,'أرقام التواصل'!$I$6:$I$505,"TRUE")+COUNTIFS('أرقام التواصل'!$A$6:$A$505,"proposed_name",'أرقام التواصل'!$B$6:$B$505,A349,'أرقام التواصل'!$C$6:$C$505,1))=0,"missing primary contact in أرقام التواصل; ","")&amp;IF(AND(W349="TRUE",X349=""),"duplicate_type required when duplicate_flag TRUE; ","")))))</x:f>
      </x:c>
    </x:row>
    <x:row r="350">
      <x:c r="A350" s="302"/>
      <x:c r="B350" s="252"/>
      <x:c r="C350" s="253"/>
      <x:c r="D350" s="253"/>
      <x:c r="E350" s="253"/>
      <x:c r="F350" s="252"/>
      <x:c r="G350" s="253"/>
      <x:c r="H350" s="272"/>
      <x:c r="I350" s="253"/>
      <x:c r="J350" s="253"/>
      <x:c r="K350" s="253"/>
      <x:c r="L350" s="253"/>
      <x:c r="M350" s="253"/>
      <x:c r="N350" s="253"/>
      <x:c r="O350" s="253" t="str">
        <x:f>IF(TRIM(L350&amp;" "&amp;M350&amp;IF(N350&lt;&gt;""," ("&amp;N350&amp;")",""))="","",TRIM(L350&amp;" "&amp;M350&amp;IF(N350&lt;&gt;""," ("&amp;N350&amp;")","")))</x:f>
      </x:c>
      <x:c r="P350" s="253"/>
      <x:c r="Q350" s="252"/>
      <x:c r="R350" s="253"/>
      <x:c r="S350" s="253"/>
      <x:c r="T350" s="253"/>
      <x:c r="U350" s="253"/>
      <x:c r="V350" s="253"/>
      <x:c r="W350" s="253"/>
      <x:c r="X350" s="253"/>
      <x:c r="Y350" s="252"/>
      <x:c r="Z350" s="252"/>
      <x:c r="AA350" s="253"/>
      <x:c r="AB350" s="253" t="str">
        <x:f>IF(B350="","",IFERROR(INDEX('الزبائن'!$BA$6:$BA$505,MATCH(B350,'الزبائن'!$A$6:$A$505,0)),"source key not found"))</x:f>
      </x:c>
      <x:c r="AC350" s="253" t="str">
        <x:f>IF(B350="","",IFERROR(INDEX('الزبائن'!$BB$6:$BB$505,MATCH(B350,'الزبائن'!$A$6:$A$505,0)),"source key not found"))</x:f>
      </x:c>
      <x:c r="AD350" s="253" t="str">
        <x:f>IF(AND(A350="",C350="",D350="",I350="",L350="",M350=""),"",IF(C350="skip","SKIP",IF(OR(A350="",C350="",D350="",I350="",L350="",M350="",U350="",COUNTIF($A$6:$A$505,A350)&gt;1,AND(B350&lt;&gt;"",COUNTIF('الزبائن'!$A$6:$A$505,B350)=0),(COUNTIFS('أرقام التواصل'!$A$6:$A$505,"proposed_name",'أرقام التواصل'!$B$6:$B$505,A350,'أرقام التواصل'!$I$6:$I$505,"TRUE")+COUNTIFS('أرقام التواصل'!$A$6:$A$505,"proposed_name",'أرقام التواصل'!$B$6:$B$505,A350,'أرقام التواصل'!$C$6:$C$505,1))=0,AND(W350="TRUE",X350="")),"REVIEW","READY")))</x:f>
      </x:c>
      <x:c r="AE350" s="255" t="str">
        <x:f>IF(AD350="","",IF(AD350="READY","",IF(AD350="SKIP","Skipped by candidate_import_action",TRIM(IF(A350="","missing proposed_name_key; ","")&amp;IF(AND(A350&lt;&gt;"",COUNTIF($A$6:$A$505,A350)&gt;1),"duplicate proposed_name_key; ","")&amp;IF(C350="","missing candidate_import_action; ","")&amp;IF(D350="","missing move_reason; ","")&amp;IF(I350="","missing branch_id; ","")&amp;IF(L350="","missing first_name; ","")&amp;IF(M350="","missing last_name; ","")&amp;IF(U350="","missing status; ","")&amp;IF(AND(B350&lt;&gt;"",COUNTIF('الزبائن'!$A$6:$A$505,B350)=0),"source key not found; ","")&amp;IF((COUNTIFS('أرقام التواصل'!$A$6:$A$505,"proposed_name",'أرقام التواصل'!$B$6:$B$505,A350,'أرقام التواصل'!$I$6:$I$505,"TRUE")+COUNTIFS('أرقام التواصل'!$A$6:$A$505,"proposed_name",'أرقام التواصل'!$B$6:$B$505,A350,'أرقام التواصل'!$C$6:$C$505,1))=0,"missing primary contact in أرقام التواصل; ","")&amp;IF(AND(W350="TRUE",X350=""),"duplicate_type required when duplicate_flag TRUE; ","")))))</x:f>
      </x:c>
    </x:row>
    <x:row r="351">
      <x:c r="A351" s="302"/>
      <x:c r="B351" s="252"/>
      <x:c r="C351" s="253"/>
      <x:c r="D351" s="253"/>
      <x:c r="E351" s="253"/>
      <x:c r="F351" s="252"/>
      <x:c r="G351" s="253"/>
      <x:c r="H351" s="272"/>
      <x:c r="I351" s="253"/>
      <x:c r="J351" s="253"/>
      <x:c r="K351" s="253"/>
      <x:c r="L351" s="253"/>
      <x:c r="M351" s="253"/>
      <x:c r="N351" s="253"/>
      <x:c r="O351" s="253" t="str">
        <x:f>IF(TRIM(L351&amp;" "&amp;M351&amp;IF(N351&lt;&gt;""," ("&amp;N351&amp;")",""))="","",TRIM(L351&amp;" "&amp;M351&amp;IF(N351&lt;&gt;""," ("&amp;N351&amp;")","")))</x:f>
      </x:c>
      <x:c r="P351" s="253"/>
      <x:c r="Q351" s="252"/>
      <x:c r="R351" s="253"/>
      <x:c r="S351" s="253"/>
      <x:c r="T351" s="253"/>
      <x:c r="U351" s="253"/>
      <x:c r="V351" s="253"/>
      <x:c r="W351" s="253"/>
      <x:c r="X351" s="253"/>
      <x:c r="Y351" s="252"/>
      <x:c r="Z351" s="252"/>
      <x:c r="AA351" s="253"/>
      <x:c r="AB351" s="253" t="str">
        <x:f>IF(B351="","",IFERROR(INDEX('الزبائن'!$BA$6:$BA$505,MATCH(B351,'الزبائن'!$A$6:$A$505,0)),"source key not found"))</x:f>
      </x:c>
      <x:c r="AC351" s="253" t="str">
        <x:f>IF(B351="","",IFERROR(INDEX('الزبائن'!$BB$6:$BB$505,MATCH(B351,'الزبائن'!$A$6:$A$505,0)),"source key not found"))</x:f>
      </x:c>
      <x:c r="AD351" s="253" t="str">
        <x:f>IF(AND(A351="",C351="",D351="",I351="",L351="",M351=""),"",IF(C351="skip","SKIP",IF(OR(A351="",C351="",D351="",I351="",L351="",M351="",U351="",COUNTIF($A$6:$A$505,A351)&gt;1,AND(B351&lt;&gt;"",COUNTIF('الزبائن'!$A$6:$A$505,B351)=0),(COUNTIFS('أرقام التواصل'!$A$6:$A$505,"proposed_name",'أرقام التواصل'!$B$6:$B$505,A351,'أرقام التواصل'!$I$6:$I$505,"TRUE")+COUNTIFS('أرقام التواصل'!$A$6:$A$505,"proposed_name",'أرقام التواصل'!$B$6:$B$505,A351,'أرقام التواصل'!$C$6:$C$505,1))=0,AND(W351="TRUE",X351="")),"REVIEW","READY")))</x:f>
      </x:c>
      <x:c r="AE351" s="255" t="str">
        <x:f>IF(AD351="","",IF(AD351="READY","",IF(AD351="SKIP","Skipped by candidate_import_action",TRIM(IF(A351="","missing proposed_name_key; ","")&amp;IF(AND(A351&lt;&gt;"",COUNTIF($A$6:$A$505,A351)&gt;1),"duplicate proposed_name_key; ","")&amp;IF(C351="","missing candidate_import_action; ","")&amp;IF(D351="","missing move_reason; ","")&amp;IF(I351="","missing branch_id; ","")&amp;IF(L351="","missing first_name; ","")&amp;IF(M351="","missing last_name; ","")&amp;IF(U351="","missing status; ","")&amp;IF(AND(B351&lt;&gt;"",COUNTIF('الزبائن'!$A$6:$A$505,B351)=0),"source key not found; ","")&amp;IF((COUNTIFS('أرقام التواصل'!$A$6:$A$505,"proposed_name",'أرقام التواصل'!$B$6:$B$505,A351,'أرقام التواصل'!$I$6:$I$505,"TRUE")+COUNTIFS('أرقام التواصل'!$A$6:$A$505,"proposed_name",'أرقام التواصل'!$B$6:$B$505,A351,'أرقام التواصل'!$C$6:$C$505,1))=0,"missing primary contact in أرقام التواصل; ","")&amp;IF(AND(W351="TRUE",X351=""),"duplicate_type required when duplicate_flag TRUE; ","")))))</x:f>
      </x:c>
    </x:row>
    <x:row r="352">
      <x:c r="A352" s="302"/>
      <x:c r="B352" s="252"/>
      <x:c r="C352" s="253"/>
      <x:c r="D352" s="253"/>
      <x:c r="E352" s="253"/>
      <x:c r="F352" s="252"/>
      <x:c r="G352" s="253"/>
      <x:c r="H352" s="272"/>
      <x:c r="I352" s="253"/>
      <x:c r="J352" s="253"/>
      <x:c r="K352" s="253"/>
      <x:c r="L352" s="253"/>
      <x:c r="M352" s="253"/>
      <x:c r="N352" s="253"/>
      <x:c r="O352" s="253" t="str">
        <x:f>IF(TRIM(L352&amp;" "&amp;M352&amp;IF(N352&lt;&gt;""," ("&amp;N352&amp;")",""))="","",TRIM(L352&amp;" "&amp;M352&amp;IF(N352&lt;&gt;""," ("&amp;N352&amp;")","")))</x:f>
      </x:c>
      <x:c r="P352" s="253"/>
      <x:c r="Q352" s="252"/>
      <x:c r="R352" s="253"/>
      <x:c r="S352" s="253"/>
      <x:c r="T352" s="253"/>
      <x:c r="U352" s="253"/>
      <x:c r="V352" s="253"/>
      <x:c r="W352" s="253"/>
      <x:c r="X352" s="253"/>
      <x:c r="Y352" s="252"/>
      <x:c r="Z352" s="252"/>
      <x:c r="AA352" s="253"/>
      <x:c r="AB352" s="253" t="str">
        <x:f>IF(B352="","",IFERROR(INDEX('الزبائن'!$BA$6:$BA$505,MATCH(B352,'الزبائن'!$A$6:$A$505,0)),"source key not found"))</x:f>
      </x:c>
      <x:c r="AC352" s="253" t="str">
        <x:f>IF(B352="","",IFERROR(INDEX('الزبائن'!$BB$6:$BB$505,MATCH(B352,'الزبائن'!$A$6:$A$505,0)),"source key not found"))</x:f>
      </x:c>
      <x:c r="AD352" s="253" t="str">
        <x:f>IF(AND(A352="",C352="",D352="",I352="",L352="",M352=""),"",IF(C352="skip","SKIP",IF(OR(A352="",C352="",D352="",I352="",L352="",M352="",U352="",COUNTIF($A$6:$A$505,A352)&gt;1,AND(B352&lt;&gt;"",COUNTIF('الزبائن'!$A$6:$A$505,B352)=0),(COUNTIFS('أرقام التواصل'!$A$6:$A$505,"proposed_name",'أرقام التواصل'!$B$6:$B$505,A352,'أرقام التواصل'!$I$6:$I$505,"TRUE")+COUNTIFS('أرقام التواصل'!$A$6:$A$505,"proposed_name",'أرقام التواصل'!$B$6:$B$505,A352,'أرقام التواصل'!$C$6:$C$505,1))=0,AND(W352="TRUE",X352="")),"REVIEW","READY")))</x:f>
      </x:c>
      <x:c r="AE352" s="255" t="str">
        <x:f>IF(AD352="","",IF(AD352="READY","",IF(AD352="SKIP","Skipped by candidate_import_action",TRIM(IF(A352="","missing proposed_name_key; ","")&amp;IF(AND(A352&lt;&gt;"",COUNTIF($A$6:$A$505,A352)&gt;1),"duplicate proposed_name_key; ","")&amp;IF(C352="","missing candidate_import_action; ","")&amp;IF(D352="","missing move_reason; ","")&amp;IF(I352="","missing branch_id; ","")&amp;IF(L352="","missing first_name; ","")&amp;IF(M352="","missing last_name; ","")&amp;IF(U352="","missing status; ","")&amp;IF(AND(B352&lt;&gt;"",COUNTIF('الزبائن'!$A$6:$A$505,B352)=0),"source key not found; ","")&amp;IF((COUNTIFS('أرقام التواصل'!$A$6:$A$505,"proposed_name",'أرقام التواصل'!$B$6:$B$505,A352,'أرقام التواصل'!$I$6:$I$505,"TRUE")+COUNTIFS('أرقام التواصل'!$A$6:$A$505,"proposed_name",'أرقام التواصل'!$B$6:$B$505,A352,'أرقام التواصل'!$C$6:$C$505,1))=0,"missing primary contact in أرقام التواصل; ","")&amp;IF(AND(W352="TRUE",X352=""),"duplicate_type required when duplicate_flag TRUE; ","")))))</x:f>
      </x:c>
    </x:row>
    <x:row r="353">
      <x:c r="A353" s="302"/>
      <x:c r="B353" s="252"/>
      <x:c r="C353" s="253"/>
      <x:c r="D353" s="253"/>
      <x:c r="E353" s="253"/>
      <x:c r="F353" s="252"/>
      <x:c r="G353" s="253"/>
      <x:c r="H353" s="272"/>
      <x:c r="I353" s="253"/>
      <x:c r="J353" s="253"/>
      <x:c r="K353" s="253"/>
      <x:c r="L353" s="253"/>
      <x:c r="M353" s="253"/>
      <x:c r="N353" s="253"/>
      <x:c r="O353" s="253" t="str">
        <x:f>IF(TRIM(L353&amp;" "&amp;M353&amp;IF(N353&lt;&gt;""," ("&amp;N353&amp;")",""))="","",TRIM(L353&amp;" "&amp;M353&amp;IF(N353&lt;&gt;""," ("&amp;N353&amp;")","")))</x:f>
      </x:c>
      <x:c r="P353" s="253"/>
      <x:c r="Q353" s="252"/>
      <x:c r="R353" s="253"/>
      <x:c r="S353" s="253"/>
      <x:c r="T353" s="253"/>
      <x:c r="U353" s="253"/>
      <x:c r="V353" s="253"/>
      <x:c r="W353" s="253"/>
      <x:c r="X353" s="253"/>
      <x:c r="Y353" s="252"/>
      <x:c r="Z353" s="252"/>
      <x:c r="AA353" s="253"/>
      <x:c r="AB353" s="253" t="str">
        <x:f>IF(B353="","",IFERROR(INDEX('الزبائن'!$BA$6:$BA$505,MATCH(B353,'الزبائن'!$A$6:$A$505,0)),"source key not found"))</x:f>
      </x:c>
      <x:c r="AC353" s="253" t="str">
        <x:f>IF(B353="","",IFERROR(INDEX('الزبائن'!$BB$6:$BB$505,MATCH(B353,'الزبائن'!$A$6:$A$505,0)),"source key not found"))</x:f>
      </x:c>
      <x:c r="AD353" s="253" t="str">
        <x:f>IF(AND(A353="",C353="",D353="",I353="",L353="",M353=""),"",IF(C353="skip","SKIP",IF(OR(A353="",C353="",D353="",I353="",L353="",M353="",U353="",COUNTIF($A$6:$A$505,A353)&gt;1,AND(B353&lt;&gt;"",COUNTIF('الزبائن'!$A$6:$A$505,B353)=0),(COUNTIFS('أرقام التواصل'!$A$6:$A$505,"proposed_name",'أرقام التواصل'!$B$6:$B$505,A353,'أرقام التواصل'!$I$6:$I$505,"TRUE")+COUNTIFS('أرقام التواصل'!$A$6:$A$505,"proposed_name",'أرقام التواصل'!$B$6:$B$505,A353,'أرقام التواصل'!$C$6:$C$505,1))=0,AND(W353="TRUE",X353="")),"REVIEW","READY")))</x:f>
      </x:c>
      <x:c r="AE353" s="255" t="str">
        <x:f>IF(AD353="","",IF(AD353="READY","",IF(AD353="SKIP","Skipped by candidate_import_action",TRIM(IF(A353="","missing proposed_name_key; ","")&amp;IF(AND(A353&lt;&gt;"",COUNTIF($A$6:$A$505,A353)&gt;1),"duplicate proposed_name_key; ","")&amp;IF(C353="","missing candidate_import_action; ","")&amp;IF(D353="","missing move_reason; ","")&amp;IF(I353="","missing branch_id; ","")&amp;IF(L353="","missing first_name; ","")&amp;IF(M353="","missing last_name; ","")&amp;IF(U353="","missing status; ","")&amp;IF(AND(B353&lt;&gt;"",COUNTIF('الزبائن'!$A$6:$A$505,B353)=0),"source key not found; ","")&amp;IF((COUNTIFS('أرقام التواصل'!$A$6:$A$505,"proposed_name",'أرقام التواصل'!$B$6:$B$505,A353,'أرقام التواصل'!$I$6:$I$505,"TRUE")+COUNTIFS('أرقام التواصل'!$A$6:$A$505,"proposed_name",'أرقام التواصل'!$B$6:$B$505,A353,'أرقام التواصل'!$C$6:$C$505,1))=0,"missing primary contact in أرقام التواصل; ","")&amp;IF(AND(W353="TRUE",X353=""),"duplicate_type required when duplicate_flag TRUE; ","")))))</x:f>
      </x:c>
    </x:row>
    <x:row r="354">
      <x:c r="A354" s="302"/>
      <x:c r="B354" s="252"/>
      <x:c r="C354" s="253"/>
      <x:c r="D354" s="253"/>
      <x:c r="E354" s="253"/>
      <x:c r="F354" s="252"/>
      <x:c r="G354" s="253"/>
      <x:c r="H354" s="272"/>
      <x:c r="I354" s="253"/>
      <x:c r="J354" s="253"/>
      <x:c r="K354" s="253"/>
      <x:c r="L354" s="253"/>
      <x:c r="M354" s="253"/>
      <x:c r="N354" s="253"/>
      <x:c r="O354" s="253" t="str">
        <x:f>IF(TRIM(L354&amp;" "&amp;M354&amp;IF(N354&lt;&gt;""," ("&amp;N354&amp;")",""))="","",TRIM(L354&amp;" "&amp;M354&amp;IF(N354&lt;&gt;""," ("&amp;N354&amp;")","")))</x:f>
      </x:c>
      <x:c r="P354" s="253"/>
      <x:c r="Q354" s="252"/>
      <x:c r="R354" s="253"/>
      <x:c r="S354" s="253"/>
      <x:c r="T354" s="253"/>
      <x:c r="U354" s="253"/>
      <x:c r="V354" s="253"/>
      <x:c r="W354" s="253"/>
      <x:c r="X354" s="253"/>
      <x:c r="Y354" s="252"/>
      <x:c r="Z354" s="252"/>
      <x:c r="AA354" s="253"/>
      <x:c r="AB354" s="253" t="str">
        <x:f>IF(B354="","",IFERROR(INDEX('الزبائن'!$BA$6:$BA$505,MATCH(B354,'الزبائن'!$A$6:$A$505,0)),"source key not found"))</x:f>
      </x:c>
      <x:c r="AC354" s="253" t="str">
        <x:f>IF(B354="","",IFERROR(INDEX('الزبائن'!$BB$6:$BB$505,MATCH(B354,'الزبائن'!$A$6:$A$505,0)),"source key not found"))</x:f>
      </x:c>
      <x:c r="AD354" s="253" t="str">
        <x:f>IF(AND(A354="",C354="",D354="",I354="",L354="",M354=""),"",IF(C354="skip","SKIP",IF(OR(A354="",C354="",D354="",I354="",L354="",M354="",U354="",COUNTIF($A$6:$A$505,A354)&gt;1,AND(B354&lt;&gt;"",COUNTIF('الزبائن'!$A$6:$A$505,B354)=0),(COUNTIFS('أرقام التواصل'!$A$6:$A$505,"proposed_name",'أرقام التواصل'!$B$6:$B$505,A354,'أرقام التواصل'!$I$6:$I$505,"TRUE")+COUNTIFS('أرقام التواصل'!$A$6:$A$505,"proposed_name",'أرقام التواصل'!$B$6:$B$505,A354,'أرقام التواصل'!$C$6:$C$505,1))=0,AND(W354="TRUE",X354="")),"REVIEW","READY")))</x:f>
      </x:c>
      <x:c r="AE354" s="255" t="str">
        <x:f>IF(AD354="","",IF(AD354="READY","",IF(AD354="SKIP","Skipped by candidate_import_action",TRIM(IF(A354="","missing proposed_name_key; ","")&amp;IF(AND(A354&lt;&gt;"",COUNTIF($A$6:$A$505,A354)&gt;1),"duplicate proposed_name_key; ","")&amp;IF(C354="","missing candidate_import_action; ","")&amp;IF(D354="","missing move_reason; ","")&amp;IF(I354="","missing branch_id; ","")&amp;IF(L354="","missing first_name; ","")&amp;IF(M354="","missing last_name; ","")&amp;IF(U354="","missing status; ","")&amp;IF(AND(B354&lt;&gt;"",COUNTIF('الزبائن'!$A$6:$A$505,B354)=0),"source key not found; ","")&amp;IF((COUNTIFS('أرقام التواصل'!$A$6:$A$505,"proposed_name",'أرقام التواصل'!$B$6:$B$505,A354,'أرقام التواصل'!$I$6:$I$505,"TRUE")+COUNTIFS('أرقام التواصل'!$A$6:$A$505,"proposed_name",'أرقام التواصل'!$B$6:$B$505,A354,'أرقام التواصل'!$C$6:$C$505,1))=0,"missing primary contact in أرقام التواصل; ","")&amp;IF(AND(W354="TRUE",X354=""),"duplicate_type required when duplicate_flag TRUE; ","")))))</x:f>
      </x:c>
    </x:row>
    <x:row r="355">
      <x:c r="A355" s="302"/>
      <x:c r="B355" s="252"/>
      <x:c r="C355" s="253"/>
      <x:c r="D355" s="253"/>
      <x:c r="E355" s="253"/>
      <x:c r="F355" s="252"/>
      <x:c r="G355" s="253"/>
      <x:c r="H355" s="272"/>
      <x:c r="I355" s="253"/>
      <x:c r="J355" s="253"/>
      <x:c r="K355" s="253"/>
      <x:c r="L355" s="253"/>
      <x:c r="M355" s="253"/>
      <x:c r="N355" s="253"/>
      <x:c r="O355" s="253" t="str">
        <x:f>IF(TRIM(L355&amp;" "&amp;M355&amp;IF(N355&lt;&gt;""," ("&amp;N355&amp;")",""))="","",TRIM(L355&amp;" "&amp;M355&amp;IF(N355&lt;&gt;""," ("&amp;N355&amp;")","")))</x:f>
      </x:c>
      <x:c r="P355" s="253"/>
      <x:c r="Q355" s="252"/>
      <x:c r="R355" s="253"/>
      <x:c r="S355" s="253"/>
      <x:c r="T355" s="253"/>
      <x:c r="U355" s="253"/>
      <x:c r="V355" s="253"/>
      <x:c r="W355" s="253"/>
      <x:c r="X355" s="253"/>
      <x:c r="Y355" s="252"/>
      <x:c r="Z355" s="252"/>
      <x:c r="AA355" s="253"/>
      <x:c r="AB355" s="253" t="str">
        <x:f>IF(B355="","",IFERROR(INDEX('الزبائن'!$BA$6:$BA$505,MATCH(B355,'الزبائن'!$A$6:$A$505,0)),"source key not found"))</x:f>
      </x:c>
      <x:c r="AC355" s="253" t="str">
        <x:f>IF(B355="","",IFERROR(INDEX('الزبائن'!$BB$6:$BB$505,MATCH(B355,'الزبائن'!$A$6:$A$505,0)),"source key not found"))</x:f>
      </x:c>
      <x:c r="AD355" s="253" t="str">
        <x:f>IF(AND(A355="",C355="",D355="",I355="",L355="",M355=""),"",IF(C355="skip","SKIP",IF(OR(A355="",C355="",D355="",I355="",L355="",M355="",U355="",COUNTIF($A$6:$A$505,A355)&gt;1,AND(B355&lt;&gt;"",COUNTIF('الزبائن'!$A$6:$A$505,B355)=0),(COUNTIFS('أرقام التواصل'!$A$6:$A$505,"proposed_name",'أرقام التواصل'!$B$6:$B$505,A355,'أرقام التواصل'!$I$6:$I$505,"TRUE")+COUNTIFS('أرقام التواصل'!$A$6:$A$505,"proposed_name",'أرقام التواصل'!$B$6:$B$505,A355,'أرقام التواصل'!$C$6:$C$505,1))=0,AND(W355="TRUE",X355="")),"REVIEW","READY")))</x:f>
      </x:c>
      <x:c r="AE355" s="255" t="str">
        <x:f>IF(AD355="","",IF(AD355="READY","",IF(AD355="SKIP","Skipped by candidate_import_action",TRIM(IF(A355="","missing proposed_name_key; ","")&amp;IF(AND(A355&lt;&gt;"",COUNTIF($A$6:$A$505,A355)&gt;1),"duplicate proposed_name_key; ","")&amp;IF(C355="","missing candidate_import_action; ","")&amp;IF(D355="","missing move_reason; ","")&amp;IF(I355="","missing branch_id; ","")&amp;IF(L355="","missing first_name; ","")&amp;IF(M355="","missing last_name; ","")&amp;IF(U355="","missing status; ","")&amp;IF(AND(B355&lt;&gt;"",COUNTIF('الزبائن'!$A$6:$A$505,B355)=0),"source key not found; ","")&amp;IF((COUNTIFS('أرقام التواصل'!$A$6:$A$505,"proposed_name",'أرقام التواصل'!$B$6:$B$505,A355,'أرقام التواصل'!$I$6:$I$505,"TRUE")+COUNTIFS('أرقام التواصل'!$A$6:$A$505,"proposed_name",'أرقام التواصل'!$B$6:$B$505,A355,'أرقام التواصل'!$C$6:$C$505,1))=0,"missing primary contact in أرقام التواصل; ","")&amp;IF(AND(W355="TRUE",X355=""),"duplicate_type required when duplicate_flag TRUE; ","")))))</x:f>
      </x:c>
    </x:row>
    <x:row r="356">
      <x:c r="A356" s="302"/>
      <x:c r="B356" s="252"/>
      <x:c r="C356" s="253"/>
      <x:c r="D356" s="253"/>
      <x:c r="E356" s="253"/>
      <x:c r="F356" s="252"/>
      <x:c r="G356" s="253"/>
      <x:c r="H356" s="272"/>
      <x:c r="I356" s="253"/>
      <x:c r="J356" s="253"/>
      <x:c r="K356" s="253"/>
      <x:c r="L356" s="253"/>
      <x:c r="M356" s="253"/>
      <x:c r="N356" s="253"/>
      <x:c r="O356" s="253" t="str">
        <x:f>IF(TRIM(L356&amp;" "&amp;M356&amp;IF(N356&lt;&gt;""," ("&amp;N356&amp;")",""))="","",TRIM(L356&amp;" "&amp;M356&amp;IF(N356&lt;&gt;""," ("&amp;N356&amp;")","")))</x:f>
      </x:c>
      <x:c r="P356" s="253"/>
      <x:c r="Q356" s="252"/>
      <x:c r="R356" s="253"/>
      <x:c r="S356" s="253"/>
      <x:c r="T356" s="253"/>
      <x:c r="U356" s="253"/>
      <x:c r="V356" s="253"/>
      <x:c r="W356" s="253"/>
      <x:c r="X356" s="253"/>
      <x:c r="Y356" s="252"/>
      <x:c r="Z356" s="252"/>
      <x:c r="AA356" s="253"/>
      <x:c r="AB356" s="253" t="str">
        <x:f>IF(B356="","",IFERROR(INDEX('الزبائن'!$BA$6:$BA$505,MATCH(B356,'الزبائن'!$A$6:$A$505,0)),"source key not found"))</x:f>
      </x:c>
      <x:c r="AC356" s="253" t="str">
        <x:f>IF(B356="","",IFERROR(INDEX('الزبائن'!$BB$6:$BB$505,MATCH(B356,'الزبائن'!$A$6:$A$505,0)),"source key not found"))</x:f>
      </x:c>
      <x:c r="AD356" s="253" t="str">
        <x:f>IF(AND(A356="",C356="",D356="",I356="",L356="",M356=""),"",IF(C356="skip","SKIP",IF(OR(A356="",C356="",D356="",I356="",L356="",M356="",U356="",COUNTIF($A$6:$A$505,A356)&gt;1,AND(B356&lt;&gt;"",COUNTIF('الزبائن'!$A$6:$A$505,B356)=0),(COUNTIFS('أرقام التواصل'!$A$6:$A$505,"proposed_name",'أرقام التواصل'!$B$6:$B$505,A356,'أرقام التواصل'!$I$6:$I$505,"TRUE")+COUNTIFS('أرقام التواصل'!$A$6:$A$505,"proposed_name",'أرقام التواصل'!$B$6:$B$505,A356,'أرقام التواصل'!$C$6:$C$505,1))=0,AND(W356="TRUE",X356="")),"REVIEW","READY")))</x:f>
      </x:c>
      <x:c r="AE356" s="255" t="str">
        <x:f>IF(AD356="","",IF(AD356="READY","",IF(AD356="SKIP","Skipped by candidate_import_action",TRIM(IF(A356="","missing proposed_name_key; ","")&amp;IF(AND(A356&lt;&gt;"",COUNTIF($A$6:$A$505,A356)&gt;1),"duplicate proposed_name_key; ","")&amp;IF(C356="","missing candidate_import_action; ","")&amp;IF(D356="","missing move_reason; ","")&amp;IF(I356="","missing branch_id; ","")&amp;IF(L356="","missing first_name; ","")&amp;IF(M356="","missing last_name; ","")&amp;IF(U356="","missing status; ","")&amp;IF(AND(B356&lt;&gt;"",COUNTIF('الزبائن'!$A$6:$A$505,B356)=0),"source key not found; ","")&amp;IF((COUNTIFS('أرقام التواصل'!$A$6:$A$505,"proposed_name",'أرقام التواصل'!$B$6:$B$505,A356,'أرقام التواصل'!$I$6:$I$505,"TRUE")+COUNTIFS('أرقام التواصل'!$A$6:$A$505,"proposed_name",'أرقام التواصل'!$B$6:$B$505,A356,'أرقام التواصل'!$C$6:$C$505,1))=0,"missing primary contact in أرقام التواصل; ","")&amp;IF(AND(W356="TRUE",X356=""),"duplicate_type required when duplicate_flag TRUE; ","")))))</x:f>
      </x:c>
    </x:row>
    <x:row r="357">
      <x:c r="A357" s="302"/>
      <x:c r="B357" s="252"/>
      <x:c r="C357" s="253"/>
      <x:c r="D357" s="253"/>
      <x:c r="E357" s="253"/>
      <x:c r="F357" s="252"/>
      <x:c r="G357" s="253"/>
      <x:c r="H357" s="272"/>
      <x:c r="I357" s="253"/>
      <x:c r="J357" s="253"/>
      <x:c r="K357" s="253"/>
      <x:c r="L357" s="253"/>
      <x:c r="M357" s="253"/>
      <x:c r="N357" s="253"/>
      <x:c r="O357" s="253" t="str">
        <x:f>IF(TRIM(L357&amp;" "&amp;M357&amp;IF(N357&lt;&gt;""," ("&amp;N357&amp;")",""))="","",TRIM(L357&amp;" "&amp;M357&amp;IF(N357&lt;&gt;""," ("&amp;N357&amp;")","")))</x:f>
      </x:c>
      <x:c r="P357" s="253"/>
      <x:c r="Q357" s="252"/>
      <x:c r="R357" s="253"/>
      <x:c r="S357" s="253"/>
      <x:c r="T357" s="253"/>
      <x:c r="U357" s="253"/>
      <x:c r="V357" s="253"/>
      <x:c r="W357" s="253"/>
      <x:c r="X357" s="253"/>
      <x:c r="Y357" s="252"/>
      <x:c r="Z357" s="252"/>
      <x:c r="AA357" s="253"/>
      <x:c r="AB357" s="253" t="str">
        <x:f>IF(B357="","",IFERROR(INDEX('الزبائن'!$BA$6:$BA$505,MATCH(B357,'الزبائن'!$A$6:$A$505,0)),"source key not found"))</x:f>
      </x:c>
      <x:c r="AC357" s="253" t="str">
        <x:f>IF(B357="","",IFERROR(INDEX('الزبائن'!$BB$6:$BB$505,MATCH(B357,'الزبائن'!$A$6:$A$505,0)),"source key not found"))</x:f>
      </x:c>
      <x:c r="AD357" s="253" t="str">
        <x:f>IF(AND(A357="",C357="",D357="",I357="",L357="",M357=""),"",IF(C357="skip","SKIP",IF(OR(A357="",C357="",D357="",I357="",L357="",M357="",U357="",COUNTIF($A$6:$A$505,A357)&gt;1,AND(B357&lt;&gt;"",COUNTIF('الزبائن'!$A$6:$A$505,B357)=0),(COUNTIFS('أرقام التواصل'!$A$6:$A$505,"proposed_name",'أرقام التواصل'!$B$6:$B$505,A357,'أرقام التواصل'!$I$6:$I$505,"TRUE")+COUNTIFS('أرقام التواصل'!$A$6:$A$505,"proposed_name",'أرقام التواصل'!$B$6:$B$505,A357,'أرقام التواصل'!$C$6:$C$505,1))=0,AND(W357="TRUE",X357="")),"REVIEW","READY")))</x:f>
      </x:c>
      <x:c r="AE357" s="255" t="str">
        <x:f>IF(AD357="","",IF(AD357="READY","",IF(AD357="SKIP","Skipped by candidate_import_action",TRIM(IF(A357="","missing proposed_name_key; ","")&amp;IF(AND(A357&lt;&gt;"",COUNTIF($A$6:$A$505,A357)&gt;1),"duplicate proposed_name_key; ","")&amp;IF(C357="","missing candidate_import_action; ","")&amp;IF(D357="","missing move_reason; ","")&amp;IF(I357="","missing branch_id; ","")&amp;IF(L357="","missing first_name; ","")&amp;IF(M357="","missing last_name; ","")&amp;IF(U357="","missing status; ","")&amp;IF(AND(B357&lt;&gt;"",COUNTIF('الزبائن'!$A$6:$A$505,B357)=0),"source key not found; ","")&amp;IF((COUNTIFS('أرقام التواصل'!$A$6:$A$505,"proposed_name",'أرقام التواصل'!$B$6:$B$505,A357,'أرقام التواصل'!$I$6:$I$505,"TRUE")+COUNTIFS('أرقام التواصل'!$A$6:$A$505,"proposed_name",'أرقام التواصل'!$B$6:$B$505,A357,'أرقام التواصل'!$C$6:$C$505,1))=0,"missing primary contact in أرقام التواصل; ","")&amp;IF(AND(W357="TRUE",X357=""),"duplicate_type required when duplicate_flag TRUE; ","")))))</x:f>
      </x:c>
    </x:row>
    <x:row r="358">
      <x:c r="A358" s="302"/>
      <x:c r="B358" s="252"/>
      <x:c r="C358" s="253"/>
      <x:c r="D358" s="253"/>
      <x:c r="E358" s="253"/>
      <x:c r="F358" s="252"/>
      <x:c r="G358" s="253"/>
      <x:c r="H358" s="272"/>
      <x:c r="I358" s="253"/>
      <x:c r="J358" s="253"/>
      <x:c r="K358" s="253"/>
      <x:c r="L358" s="253"/>
      <x:c r="M358" s="253"/>
      <x:c r="N358" s="253"/>
      <x:c r="O358" s="253" t="str">
        <x:f>IF(TRIM(L358&amp;" "&amp;M358&amp;IF(N358&lt;&gt;""," ("&amp;N358&amp;")",""))="","",TRIM(L358&amp;" "&amp;M358&amp;IF(N358&lt;&gt;""," ("&amp;N358&amp;")","")))</x:f>
      </x:c>
      <x:c r="P358" s="253"/>
      <x:c r="Q358" s="252"/>
      <x:c r="R358" s="253"/>
      <x:c r="S358" s="253"/>
      <x:c r="T358" s="253"/>
      <x:c r="U358" s="253"/>
      <x:c r="V358" s="253"/>
      <x:c r="W358" s="253"/>
      <x:c r="X358" s="253"/>
      <x:c r="Y358" s="252"/>
      <x:c r="Z358" s="252"/>
      <x:c r="AA358" s="253"/>
      <x:c r="AB358" s="253" t="str">
        <x:f>IF(B358="","",IFERROR(INDEX('الزبائن'!$BA$6:$BA$505,MATCH(B358,'الزبائن'!$A$6:$A$505,0)),"source key not found"))</x:f>
      </x:c>
      <x:c r="AC358" s="253" t="str">
        <x:f>IF(B358="","",IFERROR(INDEX('الزبائن'!$BB$6:$BB$505,MATCH(B358,'الزبائن'!$A$6:$A$505,0)),"source key not found"))</x:f>
      </x:c>
      <x:c r="AD358" s="253" t="str">
        <x:f>IF(AND(A358="",C358="",D358="",I358="",L358="",M358=""),"",IF(C358="skip","SKIP",IF(OR(A358="",C358="",D358="",I358="",L358="",M358="",U358="",COUNTIF($A$6:$A$505,A358)&gt;1,AND(B358&lt;&gt;"",COUNTIF('الزبائن'!$A$6:$A$505,B358)=0),(COUNTIFS('أرقام التواصل'!$A$6:$A$505,"proposed_name",'أرقام التواصل'!$B$6:$B$505,A358,'أرقام التواصل'!$I$6:$I$505,"TRUE")+COUNTIFS('أرقام التواصل'!$A$6:$A$505,"proposed_name",'أرقام التواصل'!$B$6:$B$505,A358,'أرقام التواصل'!$C$6:$C$505,1))=0,AND(W358="TRUE",X358="")),"REVIEW","READY")))</x:f>
      </x:c>
      <x:c r="AE358" s="255" t="str">
        <x:f>IF(AD358="","",IF(AD358="READY","",IF(AD358="SKIP","Skipped by candidate_import_action",TRIM(IF(A358="","missing proposed_name_key; ","")&amp;IF(AND(A358&lt;&gt;"",COUNTIF($A$6:$A$505,A358)&gt;1),"duplicate proposed_name_key; ","")&amp;IF(C358="","missing candidate_import_action; ","")&amp;IF(D358="","missing move_reason; ","")&amp;IF(I358="","missing branch_id; ","")&amp;IF(L358="","missing first_name; ","")&amp;IF(M358="","missing last_name; ","")&amp;IF(U358="","missing status; ","")&amp;IF(AND(B358&lt;&gt;"",COUNTIF('الزبائن'!$A$6:$A$505,B358)=0),"source key not found; ","")&amp;IF((COUNTIFS('أرقام التواصل'!$A$6:$A$505,"proposed_name",'أرقام التواصل'!$B$6:$B$505,A358,'أرقام التواصل'!$I$6:$I$505,"TRUE")+COUNTIFS('أرقام التواصل'!$A$6:$A$505,"proposed_name",'أرقام التواصل'!$B$6:$B$505,A358,'أرقام التواصل'!$C$6:$C$505,1))=0,"missing primary contact in أرقام التواصل; ","")&amp;IF(AND(W358="TRUE",X358=""),"duplicate_type required when duplicate_flag TRUE; ","")))))</x:f>
      </x:c>
    </x:row>
    <x:row r="359">
      <x:c r="A359" s="302"/>
      <x:c r="B359" s="252"/>
      <x:c r="C359" s="253"/>
      <x:c r="D359" s="253"/>
      <x:c r="E359" s="253"/>
      <x:c r="F359" s="252"/>
      <x:c r="G359" s="253"/>
      <x:c r="H359" s="272"/>
      <x:c r="I359" s="253"/>
      <x:c r="J359" s="253"/>
      <x:c r="K359" s="253"/>
      <x:c r="L359" s="253"/>
      <x:c r="M359" s="253"/>
      <x:c r="N359" s="253"/>
      <x:c r="O359" s="253" t="str">
        <x:f>IF(TRIM(L359&amp;" "&amp;M359&amp;IF(N359&lt;&gt;""," ("&amp;N359&amp;")",""))="","",TRIM(L359&amp;" "&amp;M359&amp;IF(N359&lt;&gt;""," ("&amp;N359&amp;")","")))</x:f>
      </x:c>
      <x:c r="P359" s="253"/>
      <x:c r="Q359" s="252"/>
      <x:c r="R359" s="253"/>
      <x:c r="S359" s="253"/>
      <x:c r="T359" s="253"/>
      <x:c r="U359" s="253"/>
      <x:c r="V359" s="253"/>
      <x:c r="W359" s="253"/>
      <x:c r="X359" s="253"/>
      <x:c r="Y359" s="252"/>
      <x:c r="Z359" s="252"/>
      <x:c r="AA359" s="253"/>
      <x:c r="AB359" s="253" t="str">
        <x:f>IF(B359="","",IFERROR(INDEX('الزبائن'!$BA$6:$BA$505,MATCH(B359,'الزبائن'!$A$6:$A$505,0)),"source key not found"))</x:f>
      </x:c>
      <x:c r="AC359" s="253" t="str">
        <x:f>IF(B359="","",IFERROR(INDEX('الزبائن'!$BB$6:$BB$505,MATCH(B359,'الزبائن'!$A$6:$A$505,0)),"source key not found"))</x:f>
      </x:c>
      <x:c r="AD359" s="253" t="str">
        <x:f>IF(AND(A359="",C359="",D359="",I359="",L359="",M359=""),"",IF(C359="skip","SKIP",IF(OR(A359="",C359="",D359="",I359="",L359="",M359="",U359="",COUNTIF($A$6:$A$505,A359)&gt;1,AND(B359&lt;&gt;"",COUNTIF('الزبائن'!$A$6:$A$505,B359)=0),(COUNTIFS('أرقام التواصل'!$A$6:$A$505,"proposed_name",'أرقام التواصل'!$B$6:$B$505,A359,'أرقام التواصل'!$I$6:$I$505,"TRUE")+COUNTIFS('أرقام التواصل'!$A$6:$A$505,"proposed_name",'أرقام التواصل'!$B$6:$B$505,A359,'أرقام التواصل'!$C$6:$C$505,1))=0,AND(W359="TRUE",X359="")),"REVIEW","READY")))</x:f>
      </x:c>
      <x:c r="AE359" s="255" t="str">
        <x:f>IF(AD359="","",IF(AD359="READY","",IF(AD359="SKIP","Skipped by candidate_import_action",TRIM(IF(A359="","missing proposed_name_key; ","")&amp;IF(AND(A359&lt;&gt;"",COUNTIF($A$6:$A$505,A359)&gt;1),"duplicate proposed_name_key; ","")&amp;IF(C359="","missing candidate_import_action; ","")&amp;IF(D359="","missing move_reason; ","")&amp;IF(I359="","missing branch_id; ","")&amp;IF(L359="","missing first_name; ","")&amp;IF(M359="","missing last_name; ","")&amp;IF(U359="","missing status; ","")&amp;IF(AND(B359&lt;&gt;"",COUNTIF('الزبائن'!$A$6:$A$505,B359)=0),"source key not found; ","")&amp;IF((COUNTIFS('أرقام التواصل'!$A$6:$A$505,"proposed_name",'أرقام التواصل'!$B$6:$B$505,A359,'أرقام التواصل'!$I$6:$I$505,"TRUE")+COUNTIFS('أرقام التواصل'!$A$6:$A$505,"proposed_name",'أرقام التواصل'!$B$6:$B$505,A359,'أرقام التواصل'!$C$6:$C$505,1))=0,"missing primary contact in أرقام التواصل; ","")&amp;IF(AND(W359="TRUE",X359=""),"duplicate_type required when duplicate_flag TRUE; ","")))))</x:f>
      </x:c>
    </x:row>
    <x:row r="360">
      <x:c r="A360" s="302"/>
      <x:c r="B360" s="252"/>
      <x:c r="C360" s="253"/>
      <x:c r="D360" s="253"/>
      <x:c r="E360" s="253"/>
      <x:c r="F360" s="252"/>
      <x:c r="G360" s="253"/>
      <x:c r="H360" s="272"/>
      <x:c r="I360" s="253"/>
      <x:c r="J360" s="253"/>
      <x:c r="K360" s="253"/>
      <x:c r="L360" s="253"/>
      <x:c r="M360" s="253"/>
      <x:c r="N360" s="253"/>
      <x:c r="O360" s="253" t="str">
        <x:f>IF(TRIM(L360&amp;" "&amp;M360&amp;IF(N360&lt;&gt;""," ("&amp;N360&amp;")",""))="","",TRIM(L360&amp;" "&amp;M360&amp;IF(N360&lt;&gt;""," ("&amp;N360&amp;")","")))</x:f>
      </x:c>
      <x:c r="P360" s="253"/>
      <x:c r="Q360" s="252"/>
      <x:c r="R360" s="253"/>
      <x:c r="S360" s="253"/>
      <x:c r="T360" s="253"/>
      <x:c r="U360" s="253"/>
      <x:c r="V360" s="253"/>
      <x:c r="W360" s="253"/>
      <x:c r="X360" s="253"/>
      <x:c r="Y360" s="252"/>
      <x:c r="Z360" s="252"/>
      <x:c r="AA360" s="253"/>
      <x:c r="AB360" s="253" t="str">
        <x:f>IF(B360="","",IFERROR(INDEX('الزبائن'!$BA$6:$BA$505,MATCH(B360,'الزبائن'!$A$6:$A$505,0)),"source key not found"))</x:f>
      </x:c>
      <x:c r="AC360" s="253" t="str">
        <x:f>IF(B360="","",IFERROR(INDEX('الزبائن'!$BB$6:$BB$505,MATCH(B360,'الزبائن'!$A$6:$A$505,0)),"source key not found"))</x:f>
      </x:c>
      <x:c r="AD360" s="253" t="str">
        <x:f>IF(AND(A360="",C360="",D360="",I360="",L360="",M360=""),"",IF(C360="skip","SKIP",IF(OR(A360="",C360="",D360="",I360="",L360="",M360="",U360="",COUNTIF($A$6:$A$505,A360)&gt;1,AND(B360&lt;&gt;"",COUNTIF('الزبائن'!$A$6:$A$505,B360)=0),(COUNTIFS('أرقام التواصل'!$A$6:$A$505,"proposed_name",'أرقام التواصل'!$B$6:$B$505,A360,'أرقام التواصل'!$I$6:$I$505,"TRUE")+COUNTIFS('أرقام التواصل'!$A$6:$A$505,"proposed_name",'أرقام التواصل'!$B$6:$B$505,A360,'أرقام التواصل'!$C$6:$C$505,1))=0,AND(W360="TRUE",X360="")),"REVIEW","READY")))</x:f>
      </x:c>
      <x:c r="AE360" s="255" t="str">
        <x:f>IF(AD360="","",IF(AD360="READY","",IF(AD360="SKIP","Skipped by candidate_import_action",TRIM(IF(A360="","missing proposed_name_key; ","")&amp;IF(AND(A360&lt;&gt;"",COUNTIF($A$6:$A$505,A360)&gt;1),"duplicate proposed_name_key; ","")&amp;IF(C360="","missing candidate_import_action; ","")&amp;IF(D360="","missing move_reason; ","")&amp;IF(I360="","missing branch_id; ","")&amp;IF(L360="","missing first_name; ","")&amp;IF(M360="","missing last_name; ","")&amp;IF(U360="","missing status; ","")&amp;IF(AND(B360&lt;&gt;"",COUNTIF('الزبائن'!$A$6:$A$505,B360)=0),"source key not found; ","")&amp;IF((COUNTIFS('أرقام التواصل'!$A$6:$A$505,"proposed_name",'أرقام التواصل'!$B$6:$B$505,A360,'أرقام التواصل'!$I$6:$I$505,"TRUE")+COUNTIFS('أرقام التواصل'!$A$6:$A$505,"proposed_name",'أرقام التواصل'!$B$6:$B$505,A360,'أرقام التواصل'!$C$6:$C$505,1))=0,"missing primary contact in أرقام التواصل; ","")&amp;IF(AND(W360="TRUE",X360=""),"duplicate_type required when duplicate_flag TRUE; ","")))))</x:f>
      </x:c>
    </x:row>
    <x:row r="361">
      <x:c r="A361" s="302"/>
      <x:c r="B361" s="252"/>
      <x:c r="C361" s="253"/>
      <x:c r="D361" s="253"/>
      <x:c r="E361" s="253"/>
      <x:c r="F361" s="252"/>
      <x:c r="G361" s="253"/>
      <x:c r="H361" s="272"/>
      <x:c r="I361" s="253"/>
      <x:c r="J361" s="253"/>
      <x:c r="K361" s="253"/>
      <x:c r="L361" s="253"/>
      <x:c r="M361" s="253"/>
      <x:c r="N361" s="253"/>
      <x:c r="O361" s="253" t="str">
        <x:f>IF(TRIM(L361&amp;" "&amp;M361&amp;IF(N361&lt;&gt;""," ("&amp;N361&amp;")",""))="","",TRIM(L361&amp;" "&amp;M361&amp;IF(N361&lt;&gt;""," ("&amp;N361&amp;")","")))</x:f>
      </x:c>
      <x:c r="P361" s="253"/>
      <x:c r="Q361" s="252"/>
      <x:c r="R361" s="253"/>
      <x:c r="S361" s="253"/>
      <x:c r="T361" s="253"/>
      <x:c r="U361" s="253"/>
      <x:c r="V361" s="253"/>
      <x:c r="W361" s="253"/>
      <x:c r="X361" s="253"/>
      <x:c r="Y361" s="252"/>
      <x:c r="Z361" s="252"/>
      <x:c r="AA361" s="253"/>
      <x:c r="AB361" s="253" t="str">
        <x:f>IF(B361="","",IFERROR(INDEX('الزبائن'!$BA$6:$BA$505,MATCH(B361,'الزبائن'!$A$6:$A$505,0)),"source key not found"))</x:f>
      </x:c>
      <x:c r="AC361" s="253" t="str">
        <x:f>IF(B361="","",IFERROR(INDEX('الزبائن'!$BB$6:$BB$505,MATCH(B361,'الزبائن'!$A$6:$A$505,0)),"source key not found"))</x:f>
      </x:c>
      <x:c r="AD361" s="253" t="str">
        <x:f>IF(AND(A361="",C361="",D361="",I361="",L361="",M361=""),"",IF(C361="skip","SKIP",IF(OR(A361="",C361="",D361="",I361="",L361="",M361="",U361="",COUNTIF($A$6:$A$505,A361)&gt;1,AND(B361&lt;&gt;"",COUNTIF('الزبائن'!$A$6:$A$505,B361)=0),(COUNTIFS('أرقام التواصل'!$A$6:$A$505,"proposed_name",'أرقام التواصل'!$B$6:$B$505,A361,'أرقام التواصل'!$I$6:$I$505,"TRUE")+COUNTIFS('أرقام التواصل'!$A$6:$A$505,"proposed_name",'أرقام التواصل'!$B$6:$B$505,A361,'أرقام التواصل'!$C$6:$C$505,1))=0,AND(W361="TRUE",X361="")),"REVIEW","READY")))</x:f>
      </x:c>
      <x:c r="AE361" s="255" t="str">
        <x:f>IF(AD361="","",IF(AD361="READY","",IF(AD361="SKIP","Skipped by candidate_import_action",TRIM(IF(A361="","missing proposed_name_key; ","")&amp;IF(AND(A361&lt;&gt;"",COUNTIF($A$6:$A$505,A361)&gt;1),"duplicate proposed_name_key; ","")&amp;IF(C361="","missing candidate_import_action; ","")&amp;IF(D361="","missing move_reason; ","")&amp;IF(I361="","missing branch_id; ","")&amp;IF(L361="","missing first_name; ","")&amp;IF(M361="","missing last_name; ","")&amp;IF(U361="","missing status; ","")&amp;IF(AND(B361&lt;&gt;"",COUNTIF('الزبائن'!$A$6:$A$505,B361)=0),"source key not found; ","")&amp;IF((COUNTIFS('أرقام التواصل'!$A$6:$A$505,"proposed_name",'أرقام التواصل'!$B$6:$B$505,A361,'أرقام التواصل'!$I$6:$I$505,"TRUE")+COUNTIFS('أرقام التواصل'!$A$6:$A$505,"proposed_name",'أرقام التواصل'!$B$6:$B$505,A361,'أرقام التواصل'!$C$6:$C$505,1))=0,"missing primary contact in أرقام التواصل; ","")&amp;IF(AND(W361="TRUE",X361=""),"duplicate_type required when duplicate_flag TRUE; ","")))))</x:f>
      </x:c>
    </x:row>
    <x:row r="362">
      <x:c r="A362" s="302"/>
      <x:c r="B362" s="252"/>
      <x:c r="C362" s="253"/>
      <x:c r="D362" s="253"/>
      <x:c r="E362" s="253"/>
      <x:c r="F362" s="252"/>
      <x:c r="G362" s="253"/>
      <x:c r="H362" s="272"/>
      <x:c r="I362" s="253"/>
      <x:c r="J362" s="253"/>
      <x:c r="K362" s="253"/>
      <x:c r="L362" s="253"/>
      <x:c r="M362" s="253"/>
      <x:c r="N362" s="253"/>
      <x:c r="O362" s="253" t="str">
        <x:f>IF(TRIM(L362&amp;" "&amp;M362&amp;IF(N362&lt;&gt;""," ("&amp;N362&amp;")",""))="","",TRIM(L362&amp;" "&amp;M362&amp;IF(N362&lt;&gt;""," ("&amp;N362&amp;")","")))</x:f>
      </x:c>
      <x:c r="P362" s="253"/>
      <x:c r="Q362" s="252"/>
      <x:c r="R362" s="253"/>
      <x:c r="S362" s="253"/>
      <x:c r="T362" s="253"/>
      <x:c r="U362" s="253"/>
      <x:c r="V362" s="253"/>
      <x:c r="W362" s="253"/>
      <x:c r="X362" s="253"/>
      <x:c r="Y362" s="252"/>
      <x:c r="Z362" s="252"/>
      <x:c r="AA362" s="253"/>
      <x:c r="AB362" s="253" t="str">
        <x:f>IF(B362="","",IFERROR(INDEX('الزبائن'!$BA$6:$BA$505,MATCH(B362,'الزبائن'!$A$6:$A$505,0)),"source key not found"))</x:f>
      </x:c>
      <x:c r="AC362" s="253" t="str">
        <x:f>IF(B362="","",IFERROR(INDEX('الزبائن'!$BB$6:$BB$505,MATCH(B362,'الزبائن'!$A$6:$A$505,0)),"source key not found"))</x:f>
      </x:c>
      <x:c r="AD362" s="253" t="str">
        <x:f>IF(AND(A362="",C362="",D362="",I362="",L362="",M362=""),"",IF(C362="skip","SKIP",IF(OR(A362="",C362="",D362="",I362="",L362="",M362="",U362="",COUNTIF($A$6:$A$505,A362)&gt;1,AND(B362&lt;&gt;"",COUNTIF('الزبائن'!$A$6:$A$505,B362)=0),(COUNTIFS('أرقام التواصل'!$A$6:$A$505,"proposed_name",'أرقام التواصل'!$B$6:$B$505,A362,'أرقام التواصل'!$I$6:$I$505,"TRUE")+COUNTIFS('أرقام التواصل'!$A$6:$A$505,"proposed_name",'أرقام التواصل'!$B$6:$B$505,A362,'أرقام التواصل'!$C$6:$C$505,1))=0,AND(W362="TRUE",X362="")),"REVIEW","READY")))</x:f>
      </x:c>
      <x:c r="AE362" s="255" t="str">
        <x:f>IF(AD362="","",IF(AD362="READY","",IF(AD362="SKIP","Skipped by candidate_import_action",TRIM(IF(A362="","missing proposed_name_key; ","")&amp;IF(AND(A362&lt;&gt;"",COUNTIF($A$6:$A$505,A362)&gt;1),"duplicate proposed_name_key; ","")&amp;IF(C362="","missing candidate_import_action; ","")&amp;IF(D362="","missing move_reason; ","")&amp;IF(I362="","missing branch_id; ","")&amp;IF(L362="","missing first_name; ","")&amp;IF(M362="","missing last_name; ","")&amp;IF(U362="","missing status; ","")&amp;IF(AND(B362&lt;&gt;"",COUNTIF('الزبائن'!$A$6:$A$505,B362)=0),"source key not found; ","")&amp;IF((COUNTIFS('أرقام التواصل'!$A$6:$A$505,"proposed_name",'أرقام التواصل'!$B$6:$B$505,A362,'أرقام التواصل'!$I$6:$I$505,"TRUE")+COUNTIFS('أرقام التواصل'!$A$6:$A$505,"proposed_name",'أرقام التواصل'!$B$6:$B$505,A362,'أرقام التواصل'!$C$6:$C$505,1))=0,"missing primary contact in أرقام التواصل; ","")&amp;IF(AND(W362="TRUE",X362=""),"duplicate_type required when duplicate_flag TRUE; ","")))))</x:f>
      </x:c>
    </x:row>
    <x:row r="363">
      <x:c r="A363" s="302"/>
      <x:c r="B363" s="252"/>
      <x:c r="C363" s="253"/>
      <x:c r="D363" s="253"/>
      <x:c r="E363" s="253"/>
      <x:c r="F363" s="252"/>
      <x:c r="G363" s="253"/>
      <x:c r="H363" s="272"/>
      <x:c r="I363" s="253"/>
      <x:c r="J363" s="253"/>
      <x:c r="K363" s="253"/>
      <x:c r="L363" s="253"/>
      <x:c r="M363" s="253"/>
      <x:c r="N363" s="253"/>
      <x:c r="O363" s="253" t="str">
        <x:f>IF(TRIM(L363&amp;" "&amp;M363&amp;IF(N363&lt;&gt;""," ("&amp;N363&amp;")",""))="","",TRIM(L363&amp;" "&amp;M363&amp;IF(N363&lt;&gt;""," ("&amp;N363&amp;")","")))</x:f>
      </x:c>
      <x:c r="P363" s="253"/>
      <x:c r="Q363" s="252"/>
      <x:c r="R363" s="253"/>
      <x:c r="S363" s="253"/>
      <x:c r="T363" s="253"/>
      <x:c r="U363" s="253"/>
      <x:c r="V363" s="253"/>
      <x:c r="W363" s="253"/>
      <x:c r="X363" s="253"/>
      <x:c r="Y363" s="252"/>
      <x:c r="Z363" s="252"/>
      <x:c r="AA363" s="253"/>
      <x:c r="AB363" s="253" t="str">
        <x:f>IF(B363="","",IFERROR(INDEX('الزبائن'!$BA$6:$BA$505,MATCH(B363,'الزبائن'!$A$6:$A$505,0)),"source key not found"))</x:f>
      </x:c>
      <x:c r="AC363" s="253" t="str">
        <x:f>IF(B363="","",IFERROR(INDEX('الزبائن'!$BB$6:$BB$505,MATCH(B363,'الزبائن'!$A$6:$A$505,0)),"source key not found"))</x:f>
      </x:c>
      <x:c r="AD363" s="253" t="str">
        <x:f>IF(AND(A363="",C363="",D363="",I363="",L363="",M363=""),"",IF(C363="skip","SKIP",IF(OR(A363="",C363="",D363="",I363="",L363="",M363="",U363="",COUNTIF($A$6:$A$505,A363)&gt;1,AND(B363&lt;&gt;"",COUNTIF('الزبائن'!$A$6:$A$505,B363)=0),(COUNTIFS('أرقام التواصل'!$A$6:$A$505,"proposed_name",'أرقام التواصل'!$B$6:$B$505,A363,'أرقام التواصل'!$I$6:$I$505,"TRUE")+COUNTIFS('أرقام التواصل'!$A$6:$A$505,"proposed_name",'أرقام التواصل'!$B$6:$B$505,A363,'أرقام التواصل'!$C$6:$C$505,1))=0,AND(W363="TRUE",X363="")),"REVIEW","READY")))</x:f>
      </x:c>
      <x:c r="AE363" s="255" t="str">
        <x:f>IF(AD363="","",IF(AD363="READY","",IF(AD363="SKIP","Skipped by candidate_import_action",TRIM(IF(A363="","missing proposed_name_key; ","")&amp;IF(AND(A363&lt;&gt;"",COUNTIF($A$6:$A$505,A363)&gt;1),"duplicate proposed_name_key; ","")&amp;IF(C363="","missing candidate_import_action; ","")&amp;IF(D363="","missing move_reason; ","")&amp;IF(I363="","missing branch_id; ","")&amp;IF(L363="","missing first_name; ","")&amp;IF(M363="","missing last_name; ","")&amp;IF(U363="","missing status; ","")&amp;IF(AND(B363&lt;&gt;"",COUNTIF('الزبائن'!$A$6:$A$505,B363)=0),"source key not found; ","")&amp;IF((COUNTIFS('أرقام التواصل'!$A$6:$A$505,"proposed_name",'أرقام التواصل'!$B$6:$B$505,A363,'أرقام التواصل'!$I$6:$I$505,"TRUE")+COUNTIFS('أرقام التواصل'!$A$6:$A$505,"proposed_name",'أرقام التواصل'!$B$6:$B$505,A363,'أرقام التواصل'!$C$6:$C$505,1))=0,"missing primary contact in أرقام التواصل; ","")&amp;IF(AND(W363="TRUE",X363=""),"duplicate_type required when duplicate_flag TRUE; ","")))))</x:f>
      </x:c>
    </x:row>
    <x:row r="364">
      <x:c r="A364" s="302"/>
      <x:c r="B364" s="252"/>
      <x:c r="C364" s="253"/>
      <x:c r="D364" s="253"/>
      <x:c r="E364" s="253"/>
      <x:c r="F364" s="252"/>
      <x:c r="G364" s="253"/>
      <x:c r="H364" s="272"/>
      <x:c r="I364" s="253"/>
      <x:c r="J364" s="253"/>
      <x:c r="K364" s="253"/>
      <x:c r="L364" s="253"/>
      <x:c r="M364" s="253"/>
      <x:c r="N364" s="253"/>
      <x:c r="O364" s="253" t="str">
        <x:f>IF(TRIM(L364&amp;" "&amp;M364&amp;IF(N364&lt;&gt;""," ("&amp;N364&amp;")",""))="","",TRIM(L364&amp;" "&amp;M364&amp;IF(N364&lt;&gt;""," ("&amp;N364&amp;")","")))</x:f>
      </x:c>
      <x:c r="P364" s="253"/>
      <x:c r="Q364" s="252"/>
      <x:c r="R364" s="253"/>
      <x:c r="S364" s="253"/>
      <x:c r="T364" s="253"/>
      <x:c r="U364" s="253"/>
      <x:c r="V364" s="253"/>
      <x:c r="W364" s="253"/>
      <x:c r="X364" s="253"/>
      <x:c r="Y364" s="252"/>
      <x:c r="Z364" s="252"/>
      <x:c r="AA364" s="253"/>
      <x:c r="AB364" s="253" t="str">
        <x:f>IF(B364="","",IFERROR(INDEX('الزبائن'!$BA$6:$BA$505,MATCH(B364,'الزبائن'!$A$6:$A$505,0)),"source key not found"))</x:f>
      </x:c>
      <x:c r="AC364" s="253" t="str">
        <x:f>IF(B364="","",IFERROR(INDEX('الزبائن'!$BB$6:$BB$505,MATCH(B364,'الزبائن'!$A$6:$A$505,0)),"source key not found"))</x:f>
      </x:c>
      <x:c r="AD364" s="253" t="str">
        <x:f>IF(AND(A364="",C364="",D364="",I364="",L364="",M364=""),"",IF(C364="skip","SKIP",IF(OR(A364="",C364="",D364="",I364="",L364="",M364="",U364="",COUNTIF($A$6:$A$505,A364)&gt;1,AND(B364&lt;&gt;"",COUNTIF('الزبائن'!$A$6:$A$505,B364)=0),(COUNTIFS('أرقام التواصل'!$A$6:$A$505,"proposed_name",'أرقام التواصل'!$B$6:$B$505,A364,'أرقام التواصل'!$I$6:$I$505,"TRUE")+COUNTIFS('أرقام التواصل'!$A$6:$A$505,"proposed_name",'أرقام التواصل'!$B$6:$B$505,A364,'أرقام التواصل'!$C$6:$C$505,1))=0,AND(W364="TRUE",X364="")),"REVIEW","READY")))</x:f>
      </x:c>
      <x:c r="AE364" s="255" t="str">
        <x:f>IF(AD364="","",IF(AD364="READY","",IF(AD364="SKIP","Skipped by candidate_import_action",TRIM(IF(A364="","missing proposed_name_key; ","")&amp;IF(AND(A364&lt;&gt;"",COUNTIF($A$6:$A$505,A364)&gt;1),"duplicate proposed_name_key; ","")&amp;IF(C364="","missing candidate_import_action; ","")&amp;IF(D364="","missing move_reason; ","")&amp;IF(I364="","missing branch_id; ","")&amp;IF(L364="","missing first_name; ","")&amp;IF(M364="","missing last_name; ","")&amp;IF(U364="","missing status; ","")&amp;IF(AND(B364&lt;&gt;"",COUNTIF('الزبائن'!$A$6:$A$505,B364)=0),"source key not found; ","")&amp;IF((COUNTIFS('أرقام التواصل'!$A$6:$A$505,"proposed_name",'أرقام التواصل'!$B$6:$B$505,A364,'أرقام التواصل'!$I$6:$I$505,"TRUE")+COUNTIFS('أرقام التواصل'!$A$6:$A$505,"proposed_name",'أرقام التواصل'!$B$6:$B$505,A364,'أرقام التواصل'!$C$6:$C$505,1))=0,"missing primary contact in أرقام التواصل; ","")&amp;IF(AND(W364="TRUE",X364=""),"duplicate_type required when duplicate_flag TRUE; ","")))))</x:f>
      </x:c>
    </x:row>
    <x:row r="365">
      <x:c r="A365" s="302"/>
      <x:c r="B365" s="252"/>
      <x:c r="C365" s="253"/>
      <x:c r="D365" s="253"/>
      <x:c r="E365" s="253"/>
      <x:c r="F365" s="252"/>
      <x:c r="G365" s="253"/>
      <x:c r="H365" s="272"/>
      <x:c r="I365" s="253"/>
      <x:c r="J365" s="253"/>
      <x:c r="K365" s="253"/>
      <x:c r="L365" s="253"/>
      <x:c r="M365" s="253"/>
      <x:c r="N365" s="253"/>
      <x:c r="O365" s="253" t="str">
        <x:f>IF(TRIM(L365&amp;" "&amp;M365&amp;IF(N365&lt;&gt;""," ("&amp;N365&amp;")",""))="","",TRIM(L365&amp;" "&amp;M365&amp;IF(N365&lt;&gt;""," ("&amp;N365&amp;")","")))</x:f>
      </x:c>
      <x:c r="P365" s="253"/>
      <x:c r="Q365" s="252"/>
      <x:c r="R365" s="253"/>
      <x:c r="S365" s="253"/>
      <x:c r="T365" s="253"/>
      <x:c r="U365" s="253"/>
      <x:c r="V365" s="253"/>
      <x:c r="W365" s="253"/>
      <x:c r="X365" s="253"/>
      <x:c r="Y365" s="252"/>
      <x:c r="Z365" s="252"/>
      <x:c r="AA365" s="253"/>
      <x:c r="AB365" s="253" t="str">
        <x:f>IF(B365="","",IFERROR(INDEX('الزبائن'!$BA$6:$BA$505,MATCH(B365,'الزبائن'!$A$6:$A$505,0)),"source key not found"))</x:f>
      </x:c>
      <x:c r="AC365" s="253" t="str">
        <x:f>IF(B365="","",IFERROR(INDEX('الزبائن'!$BB$6:$BB$505,MATCH(B365,'الزبائن'!$A$6:$A$505,0)),"source key not found"))</x:f>
      </x:c>
      <x:c r="AD365" s="253" t="str">
        <x:f>IF(AND(A365="",C365="",D365="",I365="",L365="",M365=""),"",IF(C365="skip","SKIP",IF(OR(A365="",C365="",D365="",I365="",L365="",M365="",U365="",COUNTIF($A$6:$A$505,A365)&gt;1,AND(B365&lt;&gt;"",COUNTIF('الزبائن'!$A$6:$A$505,B365)=0),(COUNTIFS('أرقام التواصل'!$A$6:$A$505,"proposed_name",'أرقام التواصل'!$B$6:$B$505,A365,'أرقام التواصل'!$I$6:$I$505,"TRUE")+COUNTIFS('أرقام التواصل'!$A$6:$A$505,"proposed_name",'أرقام التواصل'!$B$6:$B$505,A365,'أرقام التواصل'!$C$6:$C$505,1))=0,AND(W365="TRUE",X365="")),"REVIEW","READY")))</x:f>
      </x:c>
      <x:c r="AE365" s="255" t="str">
        <x:f>IF(AD365="","",IF(AD365="READY","",IF(AD365="SKIP","Skipped by candidate_import_action",TRIM(IF(A365="","missing proposed_name_key; ","")&amp;IF(AND(A365&lt;&gt;"",COUNTIF($A$6:$A$505,A365)&gt;1),"duplicate proposed_name_key; ","")&amp;IF(C365="","missing candidate_import_action; ","")&amp;IF(D365="","missing move_reason; ","")&amp;IF(I365="","missing branch_id; ","")&amp;IF(L365="","missing first_name; ","")&amp;IF(M365="","missing last_name; ","")&amp;IF(U365="","missing status; ","")&amp;IF(AND(B365&lt;&gt;"",COUNTIF('الزبائن'!$A$6:$A$505,B365)=0),"source key not found; ","")&amp;IF((COUNTIFS('أرقام التواصل'!$A$6:$A$505,"proposed_name",'أرقام التواصل'!$B$6:$B$505,A365,'أرقام التواصل'!$I$6:$I$505,"TRUE")+COUNTIFS('أرقام التواصل'!$A$6:$A$505,"proposed_name",'أرقام التواصل'!$B$6:$B$505,A365,'أرقام التواصل'!$C$6:$C$505,1))=0,"missing primary contact in أرقام التواصل; ","")&amp;IF(AND(W365="TRUE",X365=""),"duplicate_type required when duplicate_flag TRUE; ","")))))</x:f>
      </x:c>
    </x:row>
    <x:row r="366">
      <x:c r="A366" s="302"/>
      <x:c r="B366" s="252"/>
      <x:c r="C366" s="253"/>
      <x:c r="D366" s="253"/>
      <x:c r="E366" s="253"/>
      <x:c r="F366" s="252"/>
      <x:c r="G366" s="253"/>
      <x:c r="H366" s="272"/>
      <x:c r="I366" s="253"/>
      <x:c r="J366" s="253"/>
      <x:c r="K366" s="253"/>
      <x:c r="L366" s="253"/>
      <x:c r="M366" s="253"/>
      <x:c r="N366" s="253"/>
      <x:c r="O366" s="253" t="str">
        <x:f>IF(TRIM(L366&amp;" "&amp;M366&amp;IF(N366&lt;&gt;""," ("&amp;N366&amp;")",""))="","",TRIM(L366&amp;" "&amp;M366&amp;IF(N366&lt;&gt;""," ("&amp;N366&amp;")","")))</x:f>
      </x:c>
      <x:c r="P366" s="253"/>
      <x:c r="Q366" s="252"/>
      <x:c r="R366" s="253"/>
      <x:c r="S366" s="253"/>
      <x:c r="T366" s="253"/>
      <x:c r="U366" s="253"/>
      <x:c r="V366" s="253"/>
      <x:c r="W366" s="253"/>
      <x:c r="X366" s="253"/>
      <x:c r="Y366" s="252"/>
      <x:c r="Z366" s="252"/>
      <x:c r="AA366" s="253"/>
      <x:c r="AB366" s="253" t="str">
        <x:f>IF(B366="","",IFERROR(INDEX('الزبائن'!$BA$6:$BA$505,MATCH(B366,'الزبائن'!$A$6:$A$505,0)),"source key not found"))</x:f>
      </x:c>
      <x:c r="AC366" s="253" t="str">
        <x:f>IF(B366="","",IFERROR(INDEX('الزبائن'!$BB$6:$BB$505,MATCH(B366,'الزبائن'!$A$6:$A$505,0)),"source key not found"))</x:f>
      </x:c>
      <x:c r="AD366" s="253" t="str">
        <x:f>IF(AND(A366="",C366="",D366="",I366="",L366="",M366=""),"",IF(C366="skip","SKIP",IF(OR(A366="",C366="",D366="",I366="",L366="",M366="",U366="",COUNTIF($A$6:$A$505,A366)&gt;1,AND(B366&lt;&gt;"",COUNTIF('الزبائن'!$A$6:$A$505,B366)=0),(COUNTIFS('أرقام التواصل'!$A$6:$A$505,"proposed_name",'أرقام التواصل'!$B$6:$B$505,A366,'أرقام التواصل'!$I$6:$I$505,"TRUE")+COUNTIFS('أرقام التواصل'!$A$6:$A$505,"proposed_name",'أرقام التواصل'!$B$6:$B$505,A366,'أرقام التواصل'!$C$6:$C$505,1))=0,AND(W366="TRUE",X366="")),"REVIEW","READY")))</x:f>
      </x:c>
      <x:c r="AE366" s="255" t="str">
        <x:f>IF(AD366="","",IF(AD366="READY","",IF(AD366="SKIP","Skipped by candidate_import_action",TRIM(IF(A366="","missing proposed_name_key; ","")&amp;IF(AND(A366&lt;&gt;"",COUNTIF($A$6:$A$505,A366)&gt;1),"duplicate proposed_name_key; ","")&amp;IF(C366="","missing candidate_import_action; ","")&amp;IF(D366="","missing move_reason; ","")&amp;IF(I366="","missing branch_id; ","")&amp;IF(L366="","missing first_name; ","")&amp;IF(M366="","missing last_name; ","")&amp;IF(U366="","missing status; ","")&amp;IF(AND(B366&lt;&gt;"",COUNTIF('الزبائن'!$A$6:$A$505,B366)=0),"source key not found; ","")&amp;IF((COUNTIFS('أرقام التواصل'!$A$6:$A$505,"proposed_name",'أرقام التواصل'!$B$6:$B$505,A366,'أرقام التواصل'!$I$6:$I$505,"TRUE")+COUNTIFS('أرقام التواصل'!$A$6:$A$505,"proposed_name",'أرقام التواصل'!$B$6:$B$505,A366,'أرقام التواصل'!$C$6:$C$505,1))=0,"missing primary contact in أرقام التواصل; ","")&amp;IF(AND(W366="TRUE",X366=""),"duplicate_type required when duplicate_flag TRUE; ","")))))</x:f>
      </x:c>
    </x:row>
    <x:row r="367">
      <x:c r="A367" s="302"/>
      <x:c r="B367" s="252"/>
      <x:c r="C367" s="253"/>
      <x:c r="D367" s="253"/>
      <x:c r="E367" s="253"/>
      <x:c r="F367" s="252"/>
      <x:c r="G367" s="253"/>
      <x:c r="H367" s="272"/>
      <x:c r="I367" s="253"/>
      <x:c r="J367" s="253"/>
      <x:c r="K367" s="253"/>
      <x:c r="L367" s="253"/>
      <x:c r="M367" s="253"/>
      <x:c r="N367" s="253"/>
      <x:c r="O367" s="253" t="str">
        <x:f>IF(TRIM(L367&amp;" "&amp;M367&amp;IF(N367&lt;&gt;""," ("&amp;N367&amp;")",""))="","",TRIM(L367&amp;" "&amp;M367&amp;IF(N367&lt;&gt;""," ("&amp;N367&amp;")","")))</x:f>
      </x:c>
      <x:c r="P367" s="253"/>
      <x:c r="Q367" s="252"/>
      <x:c r="R367" s="253"/>
      <x:c r="S367" s="253"/>
      <x:c r="T367" s="253"/>
      <x:c r="U367" s="253"/>
      <x:c r="V367" s="253"/>
      <x:c r="W367" s="253"/>
      <x:c r="X367" s="253"/>
      <x:c r="Y367" s="252"/>
      <x:c r="Z367" s="252"/>
      <x:c r="AA367" s="253"/>
      <x:c r="AB367" s="253" t="str">
        <x:f>IF(B367="","",IFERROR(INDEX('الزبائن'!$BA$6:$BA$505,MATCH(B367,'الزبائن'!$A$6:$A$505,0)),"source key not found"))</x:f>
      </x:c>
      <x:c r="AC367" s="253" t="str">
        <x:f>IF(B367="","",IFERROR(INDEX('الزبائن'!$BB$6:$BB$505,MATCH(B367,'الزبائن'!$A$6:$A$505,0)),"source key not found"))</x:f>
      </x:c>
      <x:c r="AD367" s="253" t="str">
        <x:f>IF(AND(A367="",C367="",D367="",I367="",L367="",M367=""),"",IF(C367="skip","SKIP",IF(OR(A367="",C367="",D367="",I367="",L367="",M367="",U367="",COUNTIF($A$6:$A$505,A367)&gt;1,AND(B367&lt;&gt;"",COUNTIF('الزبائن'!$A$6:$A$505,B367)=0),(COUNTIFS('أرقام التواصل'!$A$6:$A$505,"proposed_name",'أرقام التواصل'!$B$6:$B$505,A367,'أرقام التواصل'!$I$6:$I$505,"TRUE")+COUNTIFS('أرقام التواصل'!$A$6:$A$505,"proposed_name",'أرقام التواصل'!$B$6:$B$505,A367,'أرقام التواصل'!$C$6:$C$505,1))=0,AND(W367="TRUE",X367="")),"REVIEW","READY")))</x:f>
      </x:c>
      <x:c r="AE367" s="255" t="str">
        <x:f>IF(AD367="","",IF(AD367="READY","",IF(AD367="SKIP","Skipped by candidate_import_action",TRIM(IF(A367="","missing proposed_name_key; ","")&amp;IF(AND(A367&lt;&gt;"",COUNTIF($A$6:$A$505,A367)&gt;1),"duplicate proposed_name_key; ","")&amp;IF(C367="","missing candidate_import_action; ","")&amp;IF(D367="","missing move_reason; ","")&amp;IF(I367="","missing branch_id; ","")&amp;IF(L367="","missing first_name; ","")&amp;IF(M367="","missing last_name; ","")&amp;IF(U367="","missing status; ","")&amp;IF(AND(B367&lt;&gt;"",COUNTIF('الزبائن'!$A$6:$A$505,B367)=0),"source key not found; ","")&amp;IF((COUNTIFS('أرقام التواصل'!$A$6:$A$505,"proposed_name",'أرقام التواصل'!$B$6:$B$505,A367,'أرقام التواصل'!$I$6:$I$505,"TRUE")+COUNTIFS('أرقام التواصل'!$A$6:$A$505,"proposed_name",'أرقام التواصل'!$B$6:$B$505,A367,'أرقام التواصل'!$C$6:$C$505,1))=0,"missing primary contact in أرقام التواصل; ","")&amp;IF(AND(W367="TRUE",X367=""),"duplicate_type required when duplicate_flag TRUE; ","")))))</x:f>
      </x:c>
    </x:row>
    <x:row r="368">
      <x:c r="A368" s="302"/>
      <x:c r="B368" s="252"/>
      <x:c r="C368" s="253"/>
      <x:c r="D368" s="253"/>
      <x:c r="E368" s="253"/>
      <x:c r="F368" s="252"/>
      <x:c r="G368" s="253"/>
      <x:c r="H368" s="272"/>
      <x:c r="I368" s="253"/>
      <x:c r="J368" s="253"/>
      <x:c r="K368" s="253"/>
      <x:c r="L368" s="253"/>
      <x:c r="M368" s="253"/>
      <x:c r="N368" s="253"/>
      <x:c r="O368" s="253" t="str">
        <x:f>IF(TRIM(L368&amp;" "&amp;M368&amp;IF(N368&lt;&gt;""," ("&amp;N368&amp;")",""))="","",TRIM(L368&amp;" "&amp;M368&amp;IF(N368&lt;&gt;""," ("&amp;N368&amp;")","")))</x:f>
      </x:c>
      <x:c r="P368" s="253"/>
      <x:c r="Q368" s="252"/>
      <x:c r="R368" s="253"/>
      <x:c r="S368" s="253"/>
      <x:c r="T368" s="253"/>
      <x:c r="U368" s="253"/>
      <x:c r="V368" s="253"/>
      <x:c r="W368" s="253"/>
      <x:c r="X368" s="253"/>
      <x:c r="Y368" s="252"/>
      <x:c r="Z368" s="252"/>
      <x:c r="AA368" s="253"/>
      <x:c r="AB368" s="253" t="str">
        <x:f>IF(B368="","",IFERROR(INDEX('الزبائن'!$BA$6:$BA$505,MATCH(B368,'الزبائن'!$A$6:$A$505,0)),"source key not found"))</x:f>
      </x:c>
      <x:c r="AC368" s="253" t="str">
        <x:f>IF(B368="","",IFERROR(INDEX('الزبائن'!$BB$6:$BB$505,MATCH(B368,'الزبائن'!$A$6:$A$505,0)),"source key not found"))</x:f>
      </x:c>
      <x:c r="AD368" s="253" t="str">
        <x:f>IF(AND(A368="",C368="",D368="",I368="",L368="",M368=""),"",IF(C368="skip","SKIP",IF(OR(A368="",C368="",D368="",I368="",L368="",M368="",U368="",COUNTIF($A$6:$A$505,A368)&gt;1,AND(B368&lt;&gt;"",COUNTIF('الزبائن'!$A$6:$A$505,B368)=0),(COUNTIFS('أرقام التواصل'!$A$6:$A$505,"proposed_name",'أرقام التواصل'!$B$6:$B$505,A368,'أرقام التواصل'!$I$6:$I$505,"TRUE")+COUNTIFS('أرقام التواصل'!$A$6:$A$505,"proposed_name",'أرقام التواصل'!$B$6:$B$505,A368,'أرقام التواصل'!$C$6:$C$505,1))=0,AND(W368="TRUE",X368="")),"REVIEW","READY")))</x:f>
      </x:c>
      <x:c r="AE368" s="255" t="str">
        <x:f>IF(AD368="","",IF(AD368="READY","",IF(AD368="SKIP","Skipped by candidate_import_action",TRIM(IF(A368="","missing proposed_name_key; ","")&amp;IF(AND(A368&lt;&gt;"",COUNTIF($A$6:$A$505,A368)&gt;1),"duplicate proposed_name_key; ","")&amp;IF(C368="","missing candidate_import_action; ","")&amp;IF(D368="","missing move_reason; ","")&amp;IF(I368="","missing branch_id; ","")&amp;IF(L368="","missing first_name; ","")&amp;IF(M368="","missing last_name; ","")&amp;IF(U368="","missing status; ","")&amp;IF(AND(B368&lt;&gt;"",COUNTIF('الزبائن'!$A$6:$A$505,B368)=0),"source key not found; ","")&amp;IF((COUNTIFS('أرقام التواصل'!$A$6:$A$505,"proposed_name",'أرقام التواصل'!$B$6:$B$505,A368,'أرقام التواصل'!$I$6:$I$505,"TRUE")+COUNTIFS('أرقام التواصل'!$A$6:$A$505,"proposed_name",'أرقام التواصل'!$B$6:$B$505,A368,'أرقام التواصل'!$C$6:$C$505,1))=0,"missing primary contact in أرقام التواصل; ","")&amp;IF(AND(W368="TRUE",X368=""),"duplicate_type required when duplicate_flag TRUE; ","")))))</x:f>
      </x:c>
    </x:row>
    <x:row r="369">
      <x:c r="A369" s="302"/>
      <x:c r="B369" s="252"/>
      <x:c r="C369" s="253"/>
      <x:c r="D369" s="253"/>
      <x:c r="E369" s="253"/>
      <x:c r="F369" s="252"/>
      <x:c r="G369" s="253"/>
      <x:c r="H369" s="272"/>
      <x:c r="I369" s="253"/>
      <x:c r="J369" s="253"/>
      <x:c r="K369" s="253"/>
      <x:c r="L369" s="253"/>
      <x:c r="M369" s="253"/>
      <x:c r="N369" s="253"/>
      <x:c r="O369" s="253" t="str">
        <x:f>IF(TRIM(L369&amp;" "&amp;M369&amp;IF(N369&lt;&gt;""," ("&amp;N369&amp;")",""))="","",TRIM(L369&amp;" "&amp;M369&amp;IF(N369&lt;&gt;""," ("&amp;N369&amp;")","")))</x:f>
      </x:c>
      <x:c r="P369" s="253"/>
      <x:c r="Q369" s="252"/>
      <x:c r="R369" s="253"/>
      <x:c r="S369" s="253"/>
      <x:c r="T369" s="253"/>
      <x:c r="U369" s="253"/>
      <x:c r="V369" s="253"/>
      <x:c r="W369" s="253"/>
      <x:c r="X369" s="253"/>
      <x:c r="Y369" s="252"/>
      <x:c r="Z369" s="252"/>
      <x:c r="AA369" s="253"/>
      <x:c r="AB369" s="253" t="str">
        <x:f>IF(B369="","",IFERROR(INDEX('الزبائن'!$BA$6:$BA$505,MATCH(B369,'الزبائن'!$A$6:$A$505,0)),"source key not found"))</x:f>
      </x:c>
      <x:c r="AC369" s="253" t="str">
        <x:f>IF(B369="","",IFERROR(INDEX('الزبائن'!$BB$6:$BB$505,MATCH(B369,'الزبائن'!$A$6:$A$505,0)),"source key not found"))</x:f>
      </x:c>
      <x:c r="AD369" s="253" t="str">
        <x:f>IF(AND(A369="",C369="",D369="",I369="",L369="",M369=""),"",IF(C369="skip","SKIP",IF(OR(A369="",C369="",D369="",I369="",L369="",M369="",U369="",COUNTIF($A$6:$A$505,A369)&gt;1,AND(B369&lt;&gt;"",COUNTIF('الزبائن'!$A$6:$A$505,B369)=0),(COUNTIFS('أرقام التواصل'!$A$6:$A$505,"proposed_name",'أرقام التواصل'!$B$6:$B$505,A369,'أرقام التواصل'!$I$6:$I$505,"TRUE")+COUNTIFS('أرقام التواصل'!$A$6:$A$505,"proposed_name",'أرقام التواصل'!$B$6:$B$505,A369,'أرقام التواصل'!$C$6:$C$505,1))=0,AND(W369="TRUE",X369="")),"REVIEW","READY")))</x:f>
      </x:c>
      <x:c r="AE369" s="255" t="str">
        <x:f>IF(AD369="","",IF(AD369="READY","",IF(AD369="SKIP","Skipped by candidate_import_action",TRIM(IF(A369="","missing proposed_name_key; ","")&amp;IF(AND(A369&lt;&gt;"",COUNTIF($A$6:$A$505,A369)&gt;1),"duplicate proposed_name_key; ","")&amp;IF(C369="","missing candidate_import_action; ","")&amp;IF(D369="","missing move_reason; ","")&amp;IF(I369="","missing branch_id; ","")&amp;IF(L369="","missing first_name; ","")&amp;IF(M369="","missing last_name; ","")&amp;IF(U369="","missing status; ","")&amp;IF(AND(B369&lt;&gt;"",COUNTIF('الزبائن'!$A$6:$A$505,B369)=0),"source key not found; ","")&amp;IF((COUNTIFS('أرقام التواصل'!$A$6:$A$505,"proposed_name",'أرقام التواصل'!$B$6:$B$505,A369,'أرقام التواصل'!$I$6:$I$505,"TRUE")+COUNTIFS('أرقام التواصل'!$A$6:$A$505,"proposed_name",'أرقام التواصل'!$B$6:$B$505,A369,'أرقام التواصل'!$C$6:$C$505,1))=0,"missing primary contact in أرقام التواصل; ","")&amp;IF(AND(W369="TRUE",X369=""),"duplicate_type required when duplicate_flag TRUE; ","")))))</x:f>
      </x:c>
    </x:row>
    <x:row r="370">
      <x:c r="A370" s="302"/>
      <x:c r="B370" s="252"/>
      <x:c r="C370" s="253"/>
      <x:c r="D370" s="253"/>
      <x:c r="E370" s="253"/>
      <x:c r="F370" s="252"/>
      <x:c r="G370" s="253"/>
      <x:c r="H370" s="272"/>
      <x:c r="I370" s="253"/>
      <x:c r="J370" s="253"/>
      <x:c r="K370" s="253"/>
      <x:c r="L370" s="253"/>
      <x:c r="M370" s="253"/>
      <x:c r="N370" s="253"/>
      <x:c r="O370" s="253" t="str">
        <x:f>IF(TRIM(L370&amp;" "&amp;M370&amp;IF(N370&lt;&gt;""," ("&amp;N370&amp;")",""))="","",TRIM(L370&amp;" "&amp;M370&amp;IF(N370&lt;&gt;""," ("&amp;N370&amp;")","")))</x:f>
      </x:c>
      <x:c r="P370" s="253"/>
      <x:c r="Q370" s="252"/>
      <x:c r="R370" s="253"/>
      <x:c r="S370" s="253"/>
      <x:c r="T370" s="253"/>
      <x:c r="U370" s="253"/>
      <x:c r="V370" s="253"/>
      <x:c r="W370" s="253"/>
      <x:c r="X370" s="253"/>
      <x:c r="Y370" s="252"/>
      <x:c r="Z370" s="252"/>
      <x:c r="AA370" s="253"/>
      <x:c r="AB370" s="253" t="str">
        <x:f>IF(B370="","",IFERROR(INDEX('الزبائن'!$BA$6:$BA$505,MATCH(B370,'الزبائن'!$A$6:$A$505,0)),"source key not found"))</x:f>
      </x:c>
      <x:c r="AC370" s="253" t="str">
        <x:f>IF(B370="","",IFERROR(INDEX('الزبائن'!$BB$6:$BB$505,MATCH(B370,'الزبائن'!$A$6:$A$505,0)),"source key not found"))</x:f>
      </x:c>
      <x:c r="AD370" s="253" t="str">
        <x:f>IF(AND(A370="",C370="",D370="",I370="",L370="",M370=""),"",IF(C370="skip","SKIP",IF(OR(A370="",C370="",D370="",I370="",L370="",M370="",U370="",COUNTIF($A$6:$A$505,A370)&gt;1,AND(B370&lt;&gt;"",COUNTIF('الزبائن'!$A$6:$A$505,B370)=0),(COUNTIFS('أرقام التواصل'!$A$6:$A$505,"proposed_name",'أرقام التواصل'!$B$6:$B$505,A370,'أرقام التواصل'!$I$6:$I$505,"TRUE")+COUNTIFS('أرقام التواصل'!$A$6:$A$505,"proposed_name",'أرقام التواصل'!$B$6:$B$505,A370,'أرقام التواصل'!$C$6:$C$505,1))=0,AND(W370="TRUE",X370="")),"REVIEW","READY")))</x:f>
      </x:c>
      <x:c r="AE370" s="255" t="str">
        <x:f>IF(AD370="","",IF(AD370="READY","",IF(AD370="SKIP","Skipped by candidate_import_action",TRIM(IF(A370="","missing proposed_name_key; ","")&amp;IF(AND(A370&lt;&gt;"",COUNTIF($A$6:$A$505,A370)&gt;1),"duplicate proposed_name_key; ","")&amp;IF(C370="","missing candidate_import_action; ","")&amp;IF(D370="","missing move_reason; ","")&amp;IF(I370="","missing branch_id; ","")&amp;IF(L370="","missing first_name; ","")&amp;IF(M370="","missing last_name; ","")&amp;IF(U370="","missing status; ","")&amp;IF(AND(B370&lt;&gt;"",COUNTIF('الزبائن'!$A$6:$A$505,B370)=0),"source key not found; ","")&amp;IF((COUNTIFS('أرقام التواصل'!$A$6:$A$505,"proposed_name",'أرقام التواصل'!$B$6:$B$505,A370,'أرقام التواصل'!$I$6:$I$505,"TRUE")+COUNTIFS('أرقام التواصل'!$A$6:$A$505,"proposed_name",'أرقام التواصل'!$B$6:$B$505,A370,'أرقام التواصل'!$C$6:$C$505,1))=0,"missing primary contact in أرقام التواصل; ","")&amp;IF(AND(W370="TRUE",X370=""),"duplicate_type required when duplicate_flag TRUE; ","")))))</x:f>
      </x:c>
    </x:row>
    <x:row r="371">
      <x:c r="A371" s="302"/>
      <x:c r="B371" s="252"/>
      <x:c r="C371" s="253"/>
      <x:c r="D371" s="253"/>
      <x:c r="E371" s="253"/>
      <x:c r="F371" s="252"/>
      <x:c r="G371" s="253"/>
      <x:c r="H371" s="272"/>
      <x:c r="I371" s="253"/>
      <x:c r="J371" s="253"/>
      <x:c r="K371" s="253"/>
      <x:c r="L371" s="253"/>
      <x:c r="M371" s="253"/>
      <x:c r="N371" s="253"/>
      <x:c r="O371" s="253" t="str">
        <x:f>IF(TRIM(L371&amp;" "&amp;M371&amp;IF(N371&lt;&gt;""," ("&amp;N371&amp;")",""))="","",TRIM(L371&amp;" "&amp;M371&amp;IF(N371&lt;&gt;""," ("&amp;N371&amp;")","")))</x:f>
      </x:c>
      <x:c r="P371" s="253"/>
      <x:c r="Q371" s="252"/>
      <x:c r="R371" s="253"/>
      <x:c r="S371" s="253"/>
      <x:c r="T371" s="253"/>
      <x:c r="U371" s="253"/>
      <x:c r="V371" s="253"/>
      <x:c r="W371" s="253"/>
      <x:c r="X371" s="253"/>
      <x:c r="Y371" s="252"/>
      <x:c r="Z371" s="252"/>
      <x:c r="AA371" s="253"/>
      <x:c r="AB371" s="253" t="str">
        <x:f>IF(B371="","",IFERROR(INDEX('الزبائن'!$BA$6:$BA$505,MATCH(B371,'الزبائن'!$A$6:$A$505,0)),"source key not found"))</x:f>
      </x:c>
      <x:c r="AC371" s="253" t="str">
        <x:f>IF(B371="","",IFERROR(INDEX('الزبائن'!$BB$6:$BB$505,MATCH(B371,'الزبائن'!$A$6:$A$505,0)),"source key not found"))</x:f>
      </x:c>
      <x:c r="AD371" s="253" t="str">
        <x:f>IF(AND(A371="",C371="",D371="",I371="",L371="",M371=""),"",IF(C371="skip","SKIP",IF(OR(A371="",C371="",D371="",I371="",L371="",M371="",U371="",COUNTIF($A$6:$A$505,A371)&gt;1,AND(B371&lt;&gt;"",COUNTIF('الزبائن'!$A$6:$A$505,B371)=0),(COUNTIFS('أرقام التواصل'!$A$6:$A$505,"proposed_name",'أرقام التواصل'!$B$6:$B$505,A371,'أرقام التواصل'!$I$6:$I$505,"TRUE")+COUNTIFS('أرقام التواصل'!$A$6:$A$505,"proposed_name",'أرقام التواصل'!$B$6:$B$505,A371,'أرقام التواصل'!$C$6:$C$505,1))=0,AND(W371="TRUE",X371="")),"REVIEW","READY")))</x:f>
      </x:c>
      <x:c r="AE371" s="255" t="str">
        <x:f>IF(AD371="","",IF(AD371="READY","",IF(AD371="SKIP","Skipped by candidate_import_action",TRIM(IF(A371="","missing proposed_name_key; ","")&amp;IF(AND(A371&lt;&gt;"",COUNTIF($A$6:$A$505,A371)&gt;1),"duplicate proposed_name_key; ","")&amp;IF(C371="","missing candidate_import_action; ","")&amp;IF(D371="","missing move_reason; ","")&amp;IF(I371="","missing branch_id; ","")&amp;IF(L371="","missing first_name; ","")&amp;IF(M371="","missing last_name; ","")&amp;IF(U371="","missing status; ","")&amp;IF(AND(B371&lt;&gt;"",COUNTIF('الزبائن'!$A$6:$A$505,B371)=0),"source key not found; ","")&amp;IF((COUNTIFS('أرقام التواصل'!$A$6:$A$505,"proposed_name",'أرقام التواصل'!$B$6:$B$505,A371,'أرقام التواصل'!$I$6:$I$505,"TRUE")+COUNTIFS('أرقام التواصل'!$A$6:$A$505,"proposed_name",'أرقام التواصل'!$B$6:$B$505,A371,'أرقام التواصل'!$C$6:$C$505,1))=0,"missing primary contact in أرقام التواصل; ","")&amp;IF(AND(W371="TRUE",X371=""),"duplicate_type required when duplicate_flag TRUE; ","")))))</x:f>
      </x:c>
    </x:row>
    <x:row r="372">
      <x:c r="A372" s="302"/>
      <x:c r="B372" s="252"/>
      <x:c r="C372" s="253"/>
      <x:c r="D372" s="253"/>
      <x:c r="E372" s="253"/>
      <x:c r="F372" s="252"/>
      <x:c r="G372" s="253"/>
      <x:c r="H372" s="272"/>
      <x:c r="I372" s="253"/>
      <x:c r="J372" s="253"/>
      <x:c r="K372" s="253"/>
      <x:c r="L372" s="253"/>
      <x:c r="M372" s="253"/>
      <x:c r="N372" s="253"/>
      <x:c r="O372" s="253" t="str">
        <x:f>IF(TRIM(L372&amp;" "&amp;M372&amp;IF(N372&lt;&gt;""," ("&amp;N372&amp;")",""))="","",TRIM(L372&amp;" "&amp;M372&amp;IF(N372&lt;&gt;""," ("&amp;N372&amp;")","")))</x:f>
      </x:c>
      <x:c r="P372" s="253"/>
      <x:c r="Q372" s="252"/>
      <x:c r="R372" s="253"/>
      <x:c r="S372" s="253"/>
      <x:c r="T372" s="253"/>
      <x:c r="U372" s="253"/>
      <x:c r="V372" s="253"/>
      <x:c r="W372" s="253"/>
      <x:c r="X372" s="253"/>
      <x:c r="Y372" s="252"/>
      <x:c r="Z372" s="252"/>
      <x:c r="AA372" s="253"/>
      <x:c r="AB372" s="253" t="str">
        <x:f>IF(B372="","",IFERROR(INDEX('الزبائن'!$BA$6:$BA$505,MATCH(B372,'الزبائن'!$A$6:$A$505,0)),"source key not found"))</x:f>
      </x:c>
      <x:c r="AC372" s="253" t="str">
        <x:f>IF(B372="","",IFERROR(INDEX('الزبائن'!$BB$6:$BB$505,MATCH(B372,'الزبائن'!$A$6:$A$505,0)),"source key not found"))</x:f>
      </x:c>
      <x:c r="AD372" s="253" t="str">
        <x:f>IF(AND(A372="",C372="",D372="",I372="",L372="",M372=""),"",IF(C372="skip","SKIP",IF(OR(A372="",C372="",D372="",I372="",L372="",M372="",U372="",COUNTIF($A$6:$A$505,A372)&gt;1,AND(B372&lt;&gt;"",COUNTIF('الزبائن'!$A$6:$A$505,B372)=0),(COUNTIFS('أرقام التواصل'!$A$6:$A$505,"proposed_name",'أرقام التواصل'!$B$6:$B$505,A372,'أرقام التواصل'!$I$6:$I$505,"TRUE")+COUNTIFS('أرقام التواصل'!$A$6:$A$505,"proposed_name",'أرقام التواصل'!$B$6:$B$505,A372,'أرقام التواصل'!$C$6:$C$505,1))=0,AND(W372="TRUE",X372="")),"REVIEW","READY")))</x:f>
      </x:c>
      <x:c r="AE372" s="255" t="str">
        <x:f>IF(AD372="","",IF(AD372="READY","",IF(AD372="SKIP","Skipped by candidate_import_action",TRIM(IF(A372="","missing proposed_name_key; ","")&amp;IF(AND(A372&lt;&gt;"",COUNTIF($A$6:$A$505,A372)&gt;1),"duplicate proposed_name_key; ","")&amp;IF(C372="","missing candidate_import_action; ","")&amp;IF(D372="","missing move_reason; ","")&amp;IF(I372="","missing branch_id; ","")&amp;IF(L372="","missing first_name; ","")&amp;IF(M372="","missing last_name; ","")&amp;IF(U372="","missing status; ","")&amp;IF(AND(B372&lt;&gt;"",COUNTIF('الزبائن'!$A$6:$A$505,B372)=0),"source key not found; ","")&amp;IF((COUNTIFS('أرقام التواصل'!$A$6:$A$505,"proposed_name",'أرقام التواصل'!$B$6:$B$505,A372,'أرقام التواصل'!$I$6:$I$505,"TRUE")+COUNTIFS('أرقام التواصل'!$A$6:$A$505,"proposed_name",'أرقام التواصل'!$B$6:$B$505,A372,'أرقام التواصل'!$C$6:$C$505,1))=0,"missing primary contact in أرقام التواصل; ","")&amp;IF(AND(W372="TRUE",X372=""),"duplicate_type required when duplicate_flag TRUE; ","")))))</x:f>
      </x:c>
    </x:row>
    <x:row r="373">
      <x:c r="A373" s="302"/>
      <x:c r="B373" s="252"/>
      <x:c r="C373" s="253"/>
      <x:c r="D373" s="253"/>
      <x:c r="E373" s="253"/>
      <x:c r="F373" s="252"/>
      <x:c r="G373" s="253"/>
      <x:c r="H373" s="272"/>
      <x:c r="I373" s="253"/>
      <x:c r="J373" s="253"/>
      <x:c r="K373" s="253"/>
      <x:c r="L373" s="253"/>
      <x:c r="M373" s="253"/>
      <x:c r="N373" s="253"/>
      <x:c r="O373" s="253" t="str">
        <x:f>IF(TRIM(L373&amp;" "&amp;M373&amp;IF(N373&lt;&gt;""," ("&amp;N373&amp;")",""))="","",TRIM(L373&amp;" "&amp;M373&amp;IF(N373&lt;&gt;""," ("&amp;N373&amp;")","")))</x:f>
      </x:c>
      <x:c r="P373" s="253"/>
      <x:c r="Q373" s="252"/>
      <x:c r="R373" s="253"/>
      <x:c r="S373" s="253"/>
      <x:c r="T373" s="253"/>
      <x:c r="U373" s="253"/>
      <x:c r="V373" s="253"/>
      <x:c r="W373" s="253"/>
      <x:c r="X373" s="253"/>
      <x:c r="Y373" s="252"/>
      <x:c r="Z373" s="252"/>
      <x:c r="AA373" s="253"/>
      <x:c r="AB373" s="253" t="str">
        <x:f>IF(B373="","",IFERROR(INDEX('الزبائن'!$BA$6:$BA$505,MATCH(B373,'الزبائن'!$A$6:$A$505,0)),"source key not found"))</x:f>
      </x:c>
      <x:c r="AC373" s="253" t="str">
        <x:f>IF(B373="","",IFERROR(INDEX('الزبائن'!$BB$6:$BB$505,MATCH(B373,'الزبائن'!$A$6:$A$505,0)),"source key not found"))</x:f>
      </x:c>
      <x:c r="AD373" s="253" t="str">
        <x:f>IF(AND(A373="",C373="",D373="",I373="",L373="",M373=""),"",IF(C373="skip","SKIP",IF(OR(A373="",C373="",D373="",I373="",L373="",M373="",U373="",COUNTIF($A$6:$A$505,A373)&gt;1,AND(B373&lt;&gt;"",COUNTIF('الزبائن'!$A$6:$A$505,B373)=0),(COUNTIFS('أرقام التواصل'!$A$6:$A$505,"proposed_name",'أرقام التواصل'!$B$6:$B$505,A373,'أرقام التواصل'!$I$6:$I$505,"TRUE")+COUNTIFS('أرقام التواصل'!$A$6:$A$505,"proposed_name",'أرقام التواصل'!$B$6:$B$505,A373,'أرقام التواصل'!$C$6:$C$505,1))=0,AND(W373="TRUE",X373="")),"REVIEW","READY")))</x:f>
      </x:c>
      <x:c r="AE373" s="255" t="str">
        <x:f>IF(AD373="","",IF(AD373="READY","",IF(AD373="SKIP","Skipped by candidate_import_action",TRIM(IF(A373="","missing proposed_name_key; ","")&amp;IF(AND(A373&lt;&gt;"",COUNTIF($A$6:$A$505,A373)&gt;1),"duplicate proposed_name_key; ","")&amp;IF(C373="","missing candidate_import_action; ","")&amp;IF(D373="","missing move_reason; ","")&amp;IF(I373="","missing branch_id; ","")&amp;IF(L373="","missing first_name; ","")&amp;IF(M373="","missing last_name; ","")&amp;IF(U373="","missing status; ","")&amp;IF(AND(B373&lt;&gt;"",COUNTIF('الزبائن'!$A$6:$A$505,B373)=0),"source key not found; ","")&amp;IF((COUNTIFS('أرقام التواصل'!$A$6:$A$505,"proposed_name",'أرقام التواصل'!$B$6:$B$505,A373,'أرقام التواصل'!$I$6:$I$505,"TRUE")+COUNTIFS('أرقام التواصل'!$A$6:$A$505,"proposed_name",'أرقام التواصل'!$B$6:$B$505,A373,'أرقام التواصل'!$C$6:$C$505,1))=0,"missing primary contact in أرقام التواصل; ","")&amp;IF(AND(W373="TRUE",X373=""),"duplicate_type required when duplicate_flag TRUE; ","")))))</x:f>
      </x:c>
    </x:row>
    <x:row r="374">
      <x:c r="A374" s="302"/>
      <x:c r="B374" s="252"/>
      <x:c r="C374" s="253"/>
      <x:c r="D374" s="253"/>
      <x:c r="E374" s="253"/>
      <x:c r="F374" s="252"/>
      <x:c r="G374" s="253"/>
      <x:c r="H374" s="272"/>
      <x:c r="I374" s="253"/>
      <x:c r="J374" s="253"/>
      <x:c r="K374" s="253"/>
      <x:c r="L374" s="253"/>
      <x:c r="M374" s="253"/>
      <x:c r="N374" s="253"/>
      <x:c r="O374" s="253" t="str">
        <x:f>IF(TRIM(L374&amp;" "&amp;M374&amp;IF(N374&lt;&gt;""," ("&amp;N374&amp;")",""))="","",TRIM(L374&amp;" "&amp;M374&amp;IF(N374&lt;&gt;""," ("&amp;N374&amp;")","")))</x:f>
      </x:c>
      <x:c r="P374" s="253"/>
      <x:c r="Q374" s="252"/>
      <x:c r="R374" s="253"/>
      <x:c r="S374" s="253"/>
      <x:c r="T374" s="253"/>
      <x:c r="U374" s="253"/>
      <x:c r="V374" s="253"/>
      <x:c r="W374" s="253"/>
      <x:c r="X374" s="253"/>
      <x:c r="Y374" s="252"/>
      <x:c r="Z374" s="252"/>
      <x:c r="AA374" s="253"/>
      <x:c r="AB374" s="253" t="str">
        <x:f>IF(B374="","",IFERROR(INDEX('الزبائن'!$BA$6:$BA$505,MATCH(B374,'الزبائن'!$A$6:$A$505,0)),"source key not found"))</x:f>
      </x:c>
      <x:c r="AC374" s="253" t="str">
        <x:f>IF(B374="","",IFERROR(INDEX('الزبائن'!$BB$6:$BB$505,MATCH(B374,'الزبائن'!$A$6:$A$505,0)),"source key not found"))</x:f>
      </x:c>
      <x:c r="AD374" s="253" t="str">
        <x:f>IF(AND(A374="",C374="",D374="",I374="",L374="",M374=""),"",IF(C374="skip","SKIP",IF(OR(A374="",C374="",D374="",I374="",L374="",M374="",U374="",COUNTIF($A$6:$A$505,A374)&gt;1,AND(B374&lt;&gt;"",COUNTIF('الزبائن'!$A$6:$A$505,B374)=0),(COUNTIFS('أرقام التواصل'!$A$6:$A$505,"proposed_name",'أرقام التواصل'!$B$6:$B$505,A374,'أرقام التواصل'!$I$6:$I$505,"TRUE")+COUNTIFS('أرقام التواصل'!$A$6:$A$505,"proposed_name",'أرقام التواصل'!$B$6:$B$505,A374,'أرقام التواصل'!$C$6:$C$505,1))=0,AND(W374="TRUE",X374="")),"REVIEW","READY")))</x:f>
      </x:c>
      <x:c r="AE374" s="255" t="str">
        <x:f>IF(AD374="","",IF(AD374="READY","",IF(AD374="SKIP","Skipped by candidate_import_action",TRIM(IF(A374="","missing proposed_name_key; ","")&amp;IF(AND(A374&lt;&gt;"",COUNTIF($A$6:$A$505,A374)&gt;1),"duplicate proposed_name_key; ","")&amp;IF(C374="","missing candidate_import_action; ","")&amp;IF(D374="","missing move_reason; ","")&amp;IF(I374="","missing branch_id; ","")&amp;IF(L374="","missing first_name; ","")&amp;IF(M374="","missing last_name; ","")&amp;IF(U374="","missing status; ","")&amp;IF(AND(B374&lt;&gt;"",COUNTIF('الزبائن'!$A$6:$A$505,B374)=0),"source key not found; ","")&amp;IF((COUNTIFS('أرقام التواصل'!$A$6:$A$505,"proposed_name",'أرقام التواصل'!$B$6:$B$505,A374,'أرقام التواصل'!$I$6:$I$505,"TRUE")+COUNTIFS('أرقام التواصل'!$A$6:$A$505,"proposed_name",'أرقام التواصل'!$B$6:$B$505,A374,'أرقام التواصل'!$C$6:$C$505,1))=0,"missing primary contact in أرقام التواصل; ","")&amp;IF(AND(W374="TRUE",X374=""),"duplicate_type required when duplicate_flag TRUE; ","")))))</x:f>
      </x:c>
    </x:row>
    <x:row r="375">
      <x:c r="A375" s="302"/>
      <x:c r="B375" s="252"/>
      <x:c r="C375" s="253"/>
      <x:c r="D375" s="253"/>
      <x:c r="E375" s="253"/>
      <x:c r="F375" s="252"/>
      <x:c r="G375" s="253"/>
      <x:c r="H375" s="272"/>
      <x:c r="I375" s="253"/>
      <x:c r="J375" s="253"/>
      <x:c r="K375" s="253"/>
      <x:c r="L375" s="253"/>
      <x:c r="M375" s="253"/>
      <x:c r="N375" s="253"/>
      <x:c r="O375" s="253" t="str">
        <x:f>IF(TRIM(L375&amp;" "&amp;M375&amp;IF(N375&lt;&gt;""," ("&amp;N375&amp;")",""))="","",TRIM(L375&amp;" "&amp;M375&amp;IF(N375&lt;&gt;""," ("&amp;N375&amp;")","")))</x:f>
      </x:c>
      <x:c r="P375" s="253"/>
      <x:c r="Q375" s="252"/>
      <x:c r="R375" s="253"/>
      <x:c r="S375" s="253"/>
      <x:c r="T375" s="253"/>
      <x:c r="U375" s="253"/>
      <x:c r="V375" s="253"/>
      <x:c r="W375" s="253"/>
      <x:c r="X375" s="253"/>
      <x:c r="Y375" s="252"/>
      <x:c r="Z375" s="252"/>
      <x:c r="AA375" s="253"/>
      <x:c r="AB375" s="253" t="str">
        <x:f>IF(B375="","",IFERROR(INDEX('الزبائن'!$BA$6:$BA$505,MATCH(B375,'الزبائن'!$A$6:$A$505,0)),"source key not found"))</x:f>
      </x:c>
      <x:c r="AC375" s="253" t="str">
        <x:f>IF(B375="","",IFERROR(INDEX('الزبائن'!$BB$6:$BB$505,MATCH(B375,'الزبائن'!$A$6:$A$505,0)),"source key not found"))</x:f>
      </x:c>
      <x:c r="AD375" s="253" t="str">
        <x:f>IF(AND(A375="",C375="",D375="",I375="",L375="",M375=""),"",IF(C375="skip","SKIP",IF(OR(A375="",C375="",D375="",I375="",L375="",M375="",U375="",COUNTIF($A$6:$A$505,A375)&gt;1,AND(B375&lt;&gt;"",COUNTIF('الزبائن'!$A$6:$A$505,B375)=0),(COUNTIFS('أرقام التواصل'!$A$6:$A$505,"proposed_name",'أرقام التواصل'!$B$6:$B$505,A375,'أرقام التواصل'!$I$6:$I$505,"TRUE")+COUNTIFS('أرقام التواصل'!$A$6:$A$505,"proposed_name",'أرقام التواصل'!$B$6:$B$505,A375,'أرقام التواصل'!$C$6:$C$505,1))=0,AND(W375="TRUE",X375="")),"REVIEW","READY")))</x:f>
      </x:c>
      <x:c r="AE375" s="255" t="str">
        <x:f>IF(AD375="","",IF(AD375="READY","",IF(AD375="SKIP","Skipped by candidate_import_action",TRIM(IF(A375="","missing proposed_name_key; ","")&amp;IF(AND(A375&lt;&gt;"",COUNTIF($A$6:$A$505,A375)&gt;1),"duplicate proposed_name_key; ","")&amp;IF(C375="","missing candidate_import_action; ","")&amp;IF(D375="","missing move_reason; ","")&amp;IF(I375="","missing branch_id; ","")&amp;IF(L375="","missing first_name; ","")&amp;IF(M375="","missing last_name; ","")&amp;IF(U375="","missing status; ","")&amp;IF(AND(B375&lt;&gt;"",COUNTIF('الزبائن'!$A$6:$A$505,B375)=0),"source key not found; ","")&amp;IF((COUNTIFS('أرقام التواصل'!$A$6:$A$505,"proposed_name",'أرقام التواصل'!$B$6:$B$505,A375,'أرقام التواصل'!$I$6:$I$505,"TRUE")+COUNTIFS('أرقام التواصل'!$A$6:$A$505,"proposed_name",'أرقام التواصل'!$B$6:$B$505,A375,'أرقام التواصل'!$C$6:$C$505,1))=0,"missing primary contact in أرقام التواصل; ","")&amp;IF(AND(W375="TRUE",X375=""),"duplicate_type required when duplicate_flag TRUE; ","")))))</x:f>
      </x:c>
    </x:row>
    <x:row r="376">
      <x:c r="A376" s="302"/>
      <x:c r="B376" s="252"/>
      <x:c r="C376" s="253"/>
      <x:c r="D376" s="253"/>
      <x:c r="E376" s="253"/>
      <x:c r="F376" s="252"/>
      <x:c r="G376" s="253"/>
      <x:c r="H376" s="272"/>
      <x:c r="I376" s="253"/>
      <x:c r="J376" s="253"/>
      <x:c r="K376" s="253"/>
      <x:c r="L376" s="253"/>
      <x:c r="M376" s="253"/>
      <x:c r="N376" s="253"/>
      <x:c r="O376" s="253" t="str">
        <x:f>IF(TRIM(L376&amp;" "&amp;M376&amp;IF(N376&lt;&gt;""," ("&amp;N376&amp;")",""))="","",TRIM(L376&amp;" "&amp;M376&amp;IF(N376&lt;&gt;""," ("&amp;N376&amp;")","")))</x:f>
      </x:c>
      <x:c r="P376" s="253"/>
      <x:c r="Q376" s="252"/>
      <x:c r="R376" s="253"/>
      <x:c r="S376" s="253"/>
      <x:c r="T376" s="253"/>
      <x:c r="U376" s="253"/>
      <x:c r="V376" s="253"/>
      <x:c r="W376" s="253"/>
      <x:c r="X376" s="253"/>
      <x:c r="Y376" s="252"/>
      <x:c r="Z376" s="252"/>
      <x:c r="AA376" s="253"/>
      <x:c r="AB376" s="253" t="str">
        <x:f>IF(B376="","",IFERROR(INDEX('الزبائن'!$BA$6:$BA$505,MATCH(B376,'الزبائن'!$A$6:$A$505,0)),"source key not found"))</x:f>
      </x:c>
      <x:c r="AC376" s="253" t="str">
        <x:f>IF(B376="","",IFERROR(INDEX('الزبائن'!$BB$6:$BB$505,MATCH(B376,'الزبائن'!$A$6:$A$505,0)),"source key not found"))</x:f>
      </x:c>
      <x:c r="AD376" s="253" t="str">
        <x:f>IF(AND(A376="",C376="",D376="",I376="",L376="",M376=""),"",IF(C376="skip","SKIP",IF(OR(A376="",C376="",D376="",I376="",L376="",M376="",U376="",COUNTIF($A$6:$A$505,A376)&gt;1,AND(B376&lt;&gt;"",COUNTIF('الزبائن'!$A$6:$A$505,B376)=0),(COUNTIFS('أرقام التواصل'!$A$6:$A$505,"proposed_name",'أرقام التواصل'!$B$6:$B$505,A376,'أرقام التواصل'!$I$6:$I$505,"TRUE")+COUNTIFS('أرقام التواصل'!$A$6:$A$505,"proposed_name",'أرقام التواصل'!$B$6:$B$505,A376,'أرقام التواصل'!$C$6:$C$505,1))=0,AND(W376="TRUE",X376="")),"REVIEW","READY")))</x:f>
      </x:c>
      <x:c r="AE376" s="255" t="str">
        <x:f>IF(AD376="","",IF(AD376="READY","",IF(AD376="SKIP","Skipped by candidate_import_action",TRIM(IF(A376="","missing proposed_name_key; ","")&amp;IF(AND(A376&lt;&gt;"",COUNTIF($A$6:$A$505,A376)&gt;1),"duplicate proposed_name_key; ","")&amp;IF(C376="","missing candidate_import_action; ","")&amp;IF(D376="","missing move_reason; ","")&amp;IF(I376="","missing branch_id; ","")&amp;IF(L376="","missing first_name; ","")&amp;IF(M376="","missing last_name; ","")&amp;IF(U376="","missing status; ","")&amp;IF(AND(B376&lt;&gt;"",COUNTIF('الزبائن'!$A$6:$A$505,B376)=0),"source key not found; ","")&amp;IF((COUNTIFS('أرقام التواصل'!$A$6:$A$505,"proposed_name",'أرقام التواصل'!$B$6:$B$505,A376,'أرقام التواصل'!$I$6:$I$505,"TRUE")+COUNTIFS('أرقام التواصل'!$A$6:$A$505,"proposed_name",'أرقام التواصل'!$B$6:$B$505,A376,'أرقام التواصل'!$C$6:$C$505,1))=0,"missing primary contact in أرقام التواصل; ","")&amp;IF(AND(W376="TRUE",X376=""),"duplicate_type required when duplicate_flag TRUE; ","")))))</x:f>
      </x:c>
    </x:row>
    <x:row r="377">
      <x:c r="A377" s="302"/>
      <x:c r="B377" s="252"/>
      <x:c r="C377" s="253"/>
      <x:c r="D377" s="253"/>
      <x:c r="E377" s="253"/>
      <x:c r="F377" s="252"/>
      <x:c r="G377" s="253"/>
      <x:c r="H377" s="272"/>
      <x:c r="I377" s="253"/>
      <x:c r="J377" s="253"/>
      <x:c r="K377" s="253"/>
      <x:c r="L377" s="253"/>
      <x:c r="M377" s="253"/>
      <x:c r="N377" s="253"/>
      <x:c r="O377" s="253" t="str">
        <x:f>IF(TRIM(L377&amp;" "&amp;M377&amp;IF(N377&lt;&gt;""," ("&amp;N377&amp;")",""))="","",TRIM(L377&amp;" "&amp;M377&amp;IF(N377&lt;&gt;""," ("&amp;N377&amp;")","")))</x:f>
      </x:c>
      <x:c r="P377" s="253"/>
      <x:c r="Q377" s="252"/>
      <x:c r="R377" s="253"/>
      <x:c r="S377" s="253"/>
      <x:c r="T377" s="253"/>
      <x:c r="U377" s="253"/>
      <x:c r="V377" s="253"/>
      <x:c r="W377" s="253"/>
      <x:c r="X377" s="253"/>
      <x:c r="Y377" s="252"/>
      <x:c r="Z377" s="252"/>
      <x:c r="AA377" s="253"/>
      <x:c r="AB377" s="253" t="str">
        <x:f>IF(B377="","",IFERROR(INDEX('الزبائن'!$BA$6:$BA$505,MATCH(B377,'الزبائن'!$A$6:$A$505,0)),"source key not found"))</x:f>
      </x:c>
      <x:c r="AC377" s="253" t="str">
        <x:f>IF(B377="","",IFERROR(INDEX('الزبائن'!$BB$6:$BB$505,MATCH(B377,'الزبائن'!$A$6:$A$505,0)),"source key not found"))</x:f>
      </x:c>
      <x:c r="AD377" s="253" t="str">
        <x:f>IF(AND(A377="",C377="",D377="",I377="",L377="",M377=""),"",IF(C377="skip","SKIP",IF(OR(A377="",C377="",D377="",I377="",L377="",M377="",U377="",COUNTIF($A$6:$A$505,A377)&gt;1,AND(B377&lt;&gt;"",COUNTIF('الزبائن'!$A$6:$A$505,B377)=0),(COUNTIFS('أرقام التواصل'!$A$6:$A$505,"proposed_name",'أرقام التواصل'!$B$6:$B$505,A377,'أرقام التواصل'!$I$6:$I$505,"TRUE")+COUNTIFS('أرقام التواصل'!$A$6:$A$505,"proposed_name",'أرقام التواصل'!$B$6:$B$505,A377,'أرقام التواصل'!$C$6:$C$505,1))=0,AND(W377="TRUE",X377="")),"REVIEW","READY")))</x:f>
      </x:c>
      <x:c r="AE377" s="255" t="str">
        <x:f>IF(AD377="","",IF(AD377="READY","",IF(AD377="SKIP","Skipped by candidate_import_action",TRIM(IF(A377="","missing proposed_name_key; ","")&amp;IF(AND(A377&lt;&gt;"",COUNTIF($A$6:$A$505,A377)&gt;1),"duplicate proposed_name_key; ","")&amp;IF(C377="","missing candidate_import_action; ","")&amp;IF(D377="","missing move_reason; ","")&amp;IF(I377="","missing branch_id; ","")&amp;IF(L377="","missing first_name; ","")&amp;IF(M377="","missing last_name; ","")&amp;IF(U377="","missing status; ","")&amp;IF(AND(B377&lt;&gt;"",COUNTIF('الزبائن'!$A$6:$A$505,B377)=0),"source key not found; ","")&amp;IF((COUNTIFS('أرقام التواصل'!$A$6:$A$505,"proposed_name",'أرقام التواصل'!$B$6:$B$505,A377,'أرقام التواصل'!$I$6:$I$505,"TRUE")+COUNTIFS('أرقام التواصل'!$A$6:$A$505,"proposed_name",'أرقام التواصل'!$B$6:$B$505,A377,'أرقام التواصل'!$C$6:$C$505,1))=0,"missing primary contact in أرقام التواصل; ","")&amp;IF(AND(W377="TRUE",X377=""),"duplicate_type required when duplicate_flag TRUE; ","")))))</x:f>
      </x:c>
    </x:row>
    <x:row r="378">
      <x:c r="A378" s="302"/>
      <x:c r="B378" s="252"/>
      <x:c r="C378" s="253"/>
      <x:c r="D378" s="253"/>
      <x:c r="E378" s="253"/>
      <x:c r="F378" s="252"/>
      <x:c r="G378" s="253"/>
      <x:c r="H378" s="272"/>
      <x:c r="I378" s="253"/>
      <x:c r="J378" s="253"/>
      <x:c r="K378" s="253"/>
      <x:c r="L378" s="253"/>
      <x:c r="M378" s="253"/>
      <x:c r="N378" s="253"/>
      <x:c r="O378" s="253" t="str">
        <x:f>IF(TRIM(L378&amp;" "&amp;M378&amp;IF(N378&lt;&gt;""," ("&amp;N378&amp;")",""))="","",TRIM(L378&amp;" "&amp;M378&amp;IF(N378&lt;&gt;""," ("&amp;N378&amp;")","")))</x:f>
      </x:c>
      <x:c r="P378" s="253"/>
      <x:c r="Q378" s="252"/>
      <x:c r="R378" s="253"/>
      <x:c r="S378" s="253"/>
      <x:c r="T378" s="253"/>
      <x:c r="U378" s="253"/>
      <x:c r="V378" s="253"/>
      <x:c r="W378" s="253"/>
      <x:c r="X378" s="253"/>
      <x:c r="Y378" s="252"/>
      <x:c r="Z378" s="252"/>
      <x:c r="AA378" s="253"/>
      <x:c r="AB378" s="253" t="str">
        <x:f>IF(B378="","",IFERROR(INDEX('الزبائن'!$BA$6:$BA$505,MATCH(B378,'الزبائن'!$A$6:$A$505,0)),"source key not found"))</x:f>
      </x:c>
      <x:c r="AC378" s="253" t="str">
        <x:f>IF(B378="","",IFERROR(INDEX('الزبائن'!$BB$6:$BB$505,MATCH(B378,'الزبائن'!$A$6:$A$505,0)),"source key not found"))</x:f>
      </x:c>
      <x:c r="AD378" s="253" t="str">
        <x:f>IF(AND(A378="",C378="",D378="",I378="",L378="",M378=""),"",IF(C378="skip","SKIP",IF(OR(A378="",C378="",D378="",I378="",L378="",M378="",U378="",COUNTIF($A$6:$A$505,A378)&gt;1,AND(B378&lt;&gt;"",COUNTIF('الزبائن'!$A$6:$A$505,B378)=0),(COUNTIFS('أرقام التواصل'!$A$6:$A$505,"proposed_name",'أرقام التواصل'!$B$6:$B$505,A378,'أرقام التواصل'!$I$6:$I$505,"TRUE")+COUNTIFS('أرقام التواصل'!$A$6:$A$505,"proposed_name",'أرقام التواصل'!$B$6:$B$505,A378,'أرقام التواصل'!$C$6:$C$505,1))=0,AND(W378="TRUE",X378="")),"REVIEW","READY")))</x:f>
      </x:c>
      <x:c r="AE378" s="255" t="str">
        <x:f>IF(AD378="","",IF(AD378="READY","",IF(AD378="SKIP","Skipped by candidate_import_action",TRIM(IF(A378="","missing proposed_name_key; ","")&amp;IF(AND(A378&lt;&gt;"",COUNTIF($A$6:$A$505,A378)&gt;1),"duplicate proposed_name_key; ","")&amp;IF(C378="","missing candidate_import_action; ","")&amp;IF(D378="","missing move_reason; ","")&amp;IF(I378="","missing branch_id; ","")&amp;IF(L378="","missing first_name; ","")&amp;IF(M378="","missing last_name; ","")&amp;IF(U378="","missing status; ","")&amp;IF(AND(B378&lt;&gt;"",COUNTIF('الزبائن'!$A$6:$A$505,B378)=0),"source key not found; ","")&amp;IF((COUNTIFS('أرقام التواصل'!$A$6:$A$505,"proposed_name",'أرقام التواصل'!$B$6:$B$505,A378,'أرقام التواصل'!$I$6:$I$505,"TRUE")+COUNTIFS('أرقام التواصل'!$A$6:$A$505,"proposed_name",'أرقام التواصل'!$B$6:$B$505,A378,'أرقام التواصل'!$C$6:$C$505,1))=0,"missing primary contact in أرقام التواصل; ","")&amp;IF(AND(W378="TRUE",X378=""),"duplicate_type required when duplicate_flag TRUE; ","")))))</x:f>
      </x:c>
    </x:row>
    <x:row r="379">
      <x:c r="A379" s="302"/>
      <x:c r="B379" s="252"/>
      <x:c r="C379" s="253"/>
      <x:c r="D379" s="253"/>
      <x:c r="E379" s="253"/>
      <x:c r="F379" s="252"/>
      <x:c r="G379" s="253"/>
      <x:c r="H379" s="272"/>
      <x:c r="I379" s="253"/>
      <x:c r="J379" s="253"/>
      <x:c r="K379" s="253"/>
      <x:c r="L379" s="253"/>
      <x:c r="M379" s="253"/>
      <x:c r="N379" s="253"/>
      <x:c r="O379" s="253" t="str">
        <x:f>IF(TRIM(L379&amp;" "&amp;M379&amp;IF(N379&lt;&gt;""," ("&amp;N379&amp;")",""))="","",TRIM(L379&amp;" "&amp;M379&amp;IF(N379&lt;&gt;""," ("&amp;N379&amp;")","")))</x:f>
      </x:c>
      <x:c r="P379" s="253"/>
      <x:c r="Q379" s="252"/>
      <x:c r="R379" s="253"/>
      <x:c r="S379" s="253"/>
      <x:c r="T379" s="253"/>
      <x:c r="U379" s="253"/>
      <x:c r="V379" s="253"/>
      <x:c r="W379" s="253"/>
      <x:c r="X379" s="253"/>
      <x:c r="Y379" s="252"/>
      <x:c r="Z379" s="252"/>
      <x:c r="AA379" s="253"/>
      <x:c r="AB379" s="253" t="str">
        <x:f>IF(B379="","",IFERROR(INDEX('الزبائن'!$BA$6:$BA$505,MATCH(B379,'الزبائن'!$A$6:$A$505,0)),"source key not found"))</x:f>
      </x:c>
      <x:c r="AC379" s="253" t="str">
        <x:f>IF(B379="","",IFERROR(INDEX('الزبائن'!$BB$6:$BB$505,MATCH(B379,'الزبائن'!$A$6:$A$505,0)),"source key not found"))</x:f>
      </x:c>
      <x:c r="AD379" s="253" t="str">
        <x:f>IF(AND(A379="",C379="",D379="",I379="",L379="",M379=""),"",IF(C379="skip","SKIP",IF(OR(A379="",C379="",D379="",I379="",L379="",M379="",U379="",COUNTIF($A$6:$A$505,A379)&gt;1,AND(B379&lt;&gt;"",COUNTIF('الزبائن'!$A$6:$A$505,B379)=0),(COUNTIFS('أرقام التواصل'!$A$6:$A$505,"proposed_name",'أرقام التواصل'!$B$6:$B$505,A379,'أرقام التواصل'!$I$6:$I$505,"TRUE")+COUNTIFS('أرقام التواصل'!$A$6:$A$505,"proposed_name",'أرقام التواصل'!$B$6:$B$505,A379,'أرقام التواصل'!$C$6:$C$505,1))=0,AND(W379="TRUE",X379="")),"REVIEW","READY")))</x:f>
      </x:c>
      <x:c r="AE379" s="255" t="str">
        <x:f>IF(AD379="","",IF(AD379="READY","",IF(AD379="SKIP","Skipped by candidate_import_action",TRIM(IF(A379="","missing proposed_name_key; ","")&amp;IF(AND(A379&lt;&gt;"",COUNTIF($A$6:$A$505,A379)&gt;1),"duplicate proposed_name_key; ","")&amp;IF(C379="","missing candidate_import_action; ","")&amp;IF(D379="","missing move_reason; ","")&amp;IF(I379="","missing branch_id; ","")&amp;IF(L379="","missing first_name; ","")&amp;IF(M379="","missing last_name; ","")&amp;IF(U379="","missing status; ","")&amp;IF(AND(B379&lt;&gt;"",COUNTIF('الزبائن'!$A$6:$A$505,B379)=0),"source key not found; ","")&amp;IF((COUNTIFS('أرقام التواصل'!$A$6:$A$505,"proposed_name",'أرقام التواصل'!$B$6:$B$505,A379,'أرقام التواصل'!$I$6:$I$505,"TRUE")+COUNTIFS('أرقام التواصل'!$A$6:$A$505,"proposed_name",'أرقام التواصل'!$B$6:$B$505,A379,'أرقام التواصل'!$C$6:$C$505,1))=0,"missing primary contact in أرقام التواصل; ","")&amp;IF(AND(W379="TRUE",X379=""),"duplicate_type required when duplicate_flag TRUE; ","")))))</x:f>
      </x:c>
    </x:row>
    <x:row r="380">
      <x:c r="A380" s="302"/>
      <x:c r="B380" s="252"/>
      <x:c r="C380" s="253"/>
      <x:c r="D380" s="253"/>
      <x:c r="E380" s="253"/>
      <x:c r="F380" s="252"/>
      <x:c r="G380" s="253"/>
      <x:c r="H380" s="272"/>
      <x:c r="I380" s="253"/>
      <x:c r="J380" s="253"/>
      <x:c r="K380" s="253"/>
      <x:c r="L380" s="253"/>
      <x:c r="M380" s="253"/>
      <x:c r="N380" s="253"/>
      <x:c r="O380" s="253" t="str">
        <x:f>IF(TRIM(L380&amp;" "&amp;M380&amp;IF(N380&lt;&gt;""," ("&amp;N380&amp;")",""))="","",TRIM(L380&amp;" "&amp;M380&amp;IF(N380&lt;&gt;""," ("&amp;N380&amp;")","")))</x:f>
      </x:c>
      <x:c r="P380" s="253"/>
      <x:c r="Q380" s="252"/>
      <x:c r="R380" s="253"/>
      <x:c r="S380" s="253"/>
      <x:c r="T380" s="253"/>
      <x:c r="U380" s="253"/>
      <x:c r="V380" s="253"/>
      <x:c r="W380" s="253"/>
      <x:c r="X380" s="253"/>
      <x:c r="Y380" s="252"/>
      <x:c r="Z380" s="252"/>
      <x:c r="AA380" s="253"/>
      <x:c r="AB380" s="253" t="str">
        <x:f>IF(B380="","",IFERROR(INDEX('الزبائن'!$BA$6:$BA$505,MATCH(B380,'الزبائن'!$A$6:$A$505,0)),"source key not found"))</x:f>
      </x:c>
      <x:c r="AC380" s="253" t="str">
        <x:f>IF(B380="","",IFERROR(INDEX('الزبائن'!$BB$6:$BB$505,MATCH(B380,'الزبائن'!$A$6:$A$505,0)),"source key not found"))</x:f>
      </x:c>
      <x:c r="AD380" s="253" t="str">
        <x:f>IF(AND(A380="",C380="",D380="",I380="",L380="",M380=""),"",IF(C380="skip","SKIP",IF(OR(A380="",C380="",D380="",I380="",L380="",M380="",U380="",COUNTIF($A$6:$A$505,A380)&gt;1,AND(B380&lt;&gt;"",COUNTIF('الزبائن'!$A$6:$A$505,B380)=0),(COUNTIFS('أرقام التواصل'!$A$6:$A$505,"proposed_name",'أرقام التواصل'!$B$6:$B$505,A380,'أرقام التواصل'!$I$6:$I$505,"TRUE")+COUNTIFS('أرقام التواصل'!$A$6:$A$505,"proposed_name",'أرقام التواصل'!$B$6:$B$505,A380,'أرقام التواصل'!$C$6:$C$505,1))=0,AND(W380="TRUE",X380="")),"REVIEW","READY")))</x:f>
      </x:c>
      <x:c r="AE380" s="255" t="str">
        <x:f>IF(AD380="","",IF(AD380="READY","",IF(AD380="SKIP","Skipped by candidate_import_action",TRIM(IF(A380="","missing proposed_name_key; ","")&amp;IF(AND(A380&lt;&gt;"",COUNTIF($A$6:$A$505,A380)&gt;1),"duplicate proposed_name_key; ","")&amp;IF(C380="","missing candidate_import_action; ","")&amp;IF(D380="","missing move_reason; ","")&amp;IF(I380="","missing branch_id; ","")&amp;IF(L380="","missing first_name; ","")&amp;IF(M380="","missing last_name; ","")&amp;IF(U380="","missing status; ","")&amp;IF(AND(B380&lt;&gt;"",COUNTIF('الزبائن'!$A$6:$A$505,B380)=0),"source key not found; ","")&amp;IF((COUNTIFS('أرقام التواصل'!$A$6:$A$505,"proposed_name",'أرقام التواصل'!$B$6:$B$505,A380,'أرقام التواصل'!$I$6:$I$505,"TRUE")+COUNTIFS('أرقام التواصل'!$A$6:$A$505,"proposed_name",'أرقام التواصل'!$B$6:$B$505,A380,'أرقام التواصل'!$C$6:$C$505,1))=0,"missing primary contact in أرقام التواصل; ","")&amp;IF(AND(W380="TRUE",X380=""),"duplicate_type required when duplicate_flag TRUE; ","")))))</x:f>
      </x:c>
    </x:row>
    <x:row r="381">
      <x:c r="A381" s="302"/>
      <x:c r="B381" s="252"/>
      <x:c r="C381" s="253"/>
      <x:c r="D381" s="253"/>
      <x:c r="E381" s="253"/>
      <x:c r="F381" s="252"/>
      <x:c r="G381" s="253"/>
      <x:c r="H381" s="272"/>
      <x:c r="I381" s="253"/>
      <x:c r="J381" s="253"/>
      <x:c r="K381" s="253"/>
      <x:c r="L381" s="253"/>
      <x:c r="M381" s="253"/>
      <x:c r="N381" s="253"/>
      <x:c r="O381" s="253" t="str">
        <x:f>IF(TRIM(L381&amp;" "&amp;M381&amp;IF(N381&lt;&gt;""," ("&amp;N381&amp;")",""))="","",TRIM(L381&amp;" "&amp;M381&amp;IF(N381&lt;&gt;""," ("&amp;N381&amp;")","")))</x:f>
      </x:c>
      <x:c r="P381" s="253"/>
      <x:c r="Q381" s="252"/>
      <x:c r="R381" s="253"/>
      <x:c r="S381" s="253"/>
      <x:c r="T381" s="253"/>
      <x:c r="U381" s="253"/>
      <x:c r="V381" s="253"/>
      <x:c r="W381" s="253"/>
      <x:c r="X381" s="253"/>
      <x:c r="Y381" s="252"/>
      <x:c r="Z381" s="252"/>
      <x:c r="AA381" s="253"/>
      <x:c r="AB381" s="253" t="str">
        <x:f>IF(B381="","",IFERROR(INDEX('الزبائن'!$BA$6:$BA$505,MATCH(B381,'الزبائن'!$A$6:$A$505,0)),"source key not found"))</x:f>
      </x:c>
      <x:c r="AC381" s="253" t="str">
        <x:f>IF(B381="","",IFERROR(INDEX('الزبائن'!$BB$6:$BB$505,MATCH(B381,'الزبائن'!$A$6:$A$505,0)),"source key not found"))</x:f>
      </x:c>
      <x:c r="AD381" s="253" t="str">
        <x:f>IF(AND(A381="",C381="",D381="",I381="",L381="",M381=""),"",IF(C381="skip","SKIP",IF(OR(A381="",C381="",D381="",I381="",L381="",M381="",U381="",COUNTIF($A$6:$A$505,A381)&gt;1,AND(B381&lt;&gt;"",COUNTIF('الزبائن'!$A$6:$A$505,B381)=0),(COUNTIFS('أرقام التواصل'!$A$6:$A$505,"proposed_name",'أرقام التواصل'!$B$6:$B$505,A381,'أرقام التواصل'!$I$6:$I$505,"TRUE")+COUNTIFS('أرقام التواصل'!$A$6:$A$505,"proposed_name",'أرقام التواصل'!$B$6:$B$505,A381,'أرقام التواصل'!$C$6:$C$505,1))=0,AND(W381="TRUE",X381="")),"REVIEW","READY")))</x:f>
      </x:c>
      <x:c r="AE381" s="255" t="str">
        <x:f>IF(AD381="","",IF(AD381="READY","",IF(AD381="SKIP","Skipped by candidate_import_action",TRIM(IF(A381="","missing proposed_name_key; ","")&amp;IF(AND(A381&lt;&gt;"",COUNTIF($A$6:$A$505,A381)&gt;1),"duplicate proposed_name_key; ","")&amp;IF(C381="","missing candidate_import_action; ","")&amp;IF(D381="","missing move_reason; ","")&amp;IF(I381="","missing branch_id; ","")&amp;IF(L381="","missing first_name; ","")&amp;IF(M381="","missing last_name; ","")&amp;IF(U381="","missing status; ","")&amp;IF(AND(B381&lt;&gt;"",COUNTIF('الزبائن'!$A$6:$A$505,B381)=0),"source key not found; ","")&amp;IF((COUNTIFS('أرقام التواصل'!$A$6:$A$505,"proposed_name",'أرقام التواصل'!$B$6:$B$505,A381,'أرقام التواصل'!$I$6:$I$505,"TRUE")+COUNTIFS('أرقام التواصل'!$A$6:$A$505,"proposed_name",'أرقام التواصل'!$B$6:$B$505,A381,'أرقام التواصل'!$C$6:$C$505,1))=0,"missing primary contact in أرقام التواصل; ","")&amp;IF(AND(W381="TRUE",X381=""),"duplicate_type required when duplicate_flag TRUE; ","")))))</x:f>
      </x:c>
    </x:row>
    <x:row r="382">
      <x:c r="A382" s="302"/>
      <x:c r="B382" s="252"/>
      <x:c r="C382" s="253"/>
      <x:c r="D382" s="253"/>
      <x:c r="E382" s="253"/>
      <x:c r="F382" s="252"/>
      <x:c r="G382" s="253"/>
      <x:c r="H382" s="272"/>
      <x:c r="I382" s="253"/>
      <x:c r="J382" s="253"/>
      <x:c r="K382" s="253"/>
      <x:c r="L382" s="253"/>
      <x:c r="M382" s="253"/>
      <x:c r="N382" s="253"/>
      <x:c r="O382" s="253" t="str">
        <x:f>IF(TRIM(L382&amp;" "&amp;M382&amp;IF(N382&lt;&gt;""," ("&amp;N382&amp;")",""))="","",TRIM(L382&amp;" "&amp;M382&amp;IF(N382&lt;&gt;""," ("&amp;N382&amp;")","")))</x:f>
      </x:c>
      <x:c r="P382" s="253"/>
      <x:c r="Q382" s="252"/>
      <x:c r="R382" s="253"/>
      <x:c r="S382" s="253"/>
      <x:c r="T382" s="253"/>
      <x:c r="U382" s="253"/>
      <x:c r="V382" s="253"/>
      <x:c r="W382" s="253"/>
      <x:c r="X382" s="253"/>
      <x:c r="Y382" s="252"/>
      <x:c r="Z382" s="252"/>
      <x:c r="AA382" s="253"/>
      <x:c r="AB382" s="253" t="str">
        <x:f>IF(B382="","",IFERROR(INDEX('الزبائن'!$BA$6:$BA$505,MATCH(B382,'الزبائن'!$A$6:$A$505,0)),"source key not found"))</x:f>
      </x:c>
      <x:c r="AC382" s="253" t="str">
        <x:f>IF(B382="","",IFERROR(INDEX('الزبائن'!$BB$6:$BB$505,MATCH(B382,'الزبائن'!$A$6:$A$505,0)),"source key not found"))</x:f>
      </x:c>
      <x:c r="AD382" s="253" t="str">
        <x:f>IF(AND(A382="",C382="",D382="",I382="",L382="",M382=""),"",IF(C382="skip","SKIP",IF(OR(A382="",C382="",D382="",I382="",L382="",M382="",U382="",COUNTIF($A$6:$A$505,A382)&gt;1,AND(B382&lt;&gt;"",COUNTIF('الزبائن'!$A$6:$A$505,B382)=0),(COUNTIFS('أرقام التواصل'!$A$6:$A$505,"proposed_name",'أرقام التواصل'!$B$6:$B$505,A382,'أرقام التواصل'!$I$6:$I$505,"TRUE")+COUNTIFS('أرقام التواصل'!$A$6:$A$505,"proposed_name",'أرقام التواصل'!$B$6:$B$505,A382,'أرقام التواصل'!$C$6:$C$505,1))=0,AND(W382="TRUE",X382="")),"REVIEW","READY")))</x:f>
      </x:c>
      <x:c r="AE382" s="255" t="str">
        <x:f>IF(AD382="","",IF(AD382="READY","",IF(AD382="SKIP","Skipped by candidate_import_action",TRIM(IF(A382="","missing proposed_name_key; ","")&amp;IF(AND(A382&lt;&gt;"",COUNTIF($A$6:$A$505,A382)&gt;1),"duplicate proposed_name_key; ","")&amp;IF(C382="","missing candidate_import_action; ","")&amp;IF(D382="","missing move_reason; ","")&amp;IF(I382="","missing branch_id; ","")&amp;IF(L382="","missing first_name; ","")&amp;IF(M382="","missing last_name; ","")&amp;IF(U382="","missing status; ","")&amp;IF(AND(B382&lt;&gt;"",COUNTIF('الزبائن'!$A$6:$A$505,B382)=0),"source key not found; ","")&amp;IF((COUNTIFS('أرقام التواصل'!$A$6:$A$505,"proposed_name",'أرقام التواصل'!$B$6:$B$505,A382,'أرقام التواصل'!$I$6:$I$505,"TRUE")+COUNTIFS('أرقام التواصل'!$A$6:$A$505,"proposed_name",'أرقام التواصل'!$B$6:$B$505,A382,'أرقام التواصل'!$C$6:$C$505,1))=0,"missing primary contact in أرقام التواصل; ","")&amp;IF(AND(W382="TRUE",X382=""),"duplicate_type required when duplicate_flag TRUE; ","")))))</x:f>
      </x:c>
    </x:row>
    <x:row r="383">
      <x:c r="A383" s="302"/>
      <x:c r="B383" s="252"/>
      <x:c r="C383" s="253"/>
      <x:c r="D383" s="253"/>
      <x:c r="E383" s="253"/>
      <x:c r="F383" s="252"/>
      <x:c r="G383" s="253"/>
      <x:c r="H383" s="272"/>
      <x:c r="I383" s="253"/>
      <x:c r="J383" s="253"/>
      <x:c r="K383" s="253"/>
      <x:c r="L383" s="253"/>
      <x:c r="M383" s="253"/>
      <x:c r="N383" s="253"/>
      <x:c r="O383" s="253" t="str">
        <x:f>IF(TRIM(L383&amp;" "&amp;M383&amp;IF(N383&lt;&gt;""," ("&amp;N383&amp;")",""))="","",TRIM(L383&amp;" "&amp;M383&amp;IF(N383&lt;&gt;""," ("&amp;N383&amp;")","")))</x:f>
      </x:c>
      <x:c r="P383" s="253"/>
      <x:c r="Q383" s="252"/>
      <x:c r="R383" s="253"/>
      <x:c r="S383" s="253"/>
      <x:c r="T383" s="253"/>
      <x:c r="U383" s="253"/>
      <x:c r="V383" s="253"/>
      <x:c r="W383" s="253"/>
      <x:c r="X383" s="253"/>
      <x:c r="Y383" s="252"/>
      <x:c r="Z383" s="252"/>
      <x:c r="AA383" s="253"/>
      <x:c r="AB383" s="253" t="str">
        <x:f>IF(B383="","",IFERROR(INDEX('الزبائن'!$BA$6:$BA$505,MATCH(B383,'الزبائن'!$A$6:$A$505,0)),"source key not found"))</x:f>
      </x:c>
      <x:c r="AC383" s="253" t="str">
        <x:f>IF(B383="","",IFERROR(INDEX('الزبائن'!$BB$6:$BB$505,MATCH(B383,'الزبائن'!$A$6:$A$505,0)),"source key not found"))</x:f>
      </x:c>
      <x:c r="AD383" s="253" t="str">
        <x:f>IF(AND(A383="",C383="",D383="",I383="",L383="",M383=""),"",IF(C383="skip","SKIP",IF(OR(A383="",C383="",D383="",I383="",L383="",M383="",U383="",COUNTIF($A$6:$A$505,A383)&gt;1,AND(B383&lt;&gt;"",COUNTIF('الزبائن'!$A$6:$A$505,B383)=0),(COUNTIFS('أرقام التواصل'!$A$6:$A$505,"proposed_name",'أرقام التواصل'!$B$6:$B$505,A383,'أرقام التواصل'!$I$6:$I$505,"TRUE")+COUNTIFS('أرقام التواصل'!$A$6:$A$505,"proposed_name",'أرقام التواصل'!$B$6:$B$505,A383,'أرقام التواصل'!$C$6:$C$505,1))=0,AND(W383="TRUE",X383="")),"REVIEW","READY")))</x:f>
      </x:c>
      <x:c r="AE383" s="255" t="str">
        <x:f>IF(AD383="","",IF(AD383="READY","",IF(AD383="SKIP","Skipped by candidate_import_action",TRIM(IF(A383="","missing proposed_name_key; ","")&amp;IF(AND(A383&lt;&gt;"",COUNTIF($A$6:$A$505,A383)&gt;1),"duplicate proposed_name_key; ","")&amp;IF(C383="","missing candidate_import_action; ","")&amp;IF(D383="","missing move_reason; ","")&amp;IF(I383="","missing branch_id; ","")&amp;IF(L383="","missing first_name; ","")&amp;IF(M383="","missing last_name; ","")&amp;IF(U383="","missing status; ","")&amp;IF(AND(B383&lt;&gt;"",COUNTIF('الزبائن'!$A$6:$A$505,B383)=0),"source key not found; ","")&amp;IF((COUNTIFS('أرقام التواصل'!$A$6:$A$505,"proposed_name",'أرقام التواصل'!$B$6:$B$505,A383,'أرقام التواصل'!$I$6:$I$505,"TRUE")+COUNTIFS('أرقام التواصل'!$A$6:$A$505,"proposed_name",'أرقام التواصل'!$B$6:$B$505,A383,'أرقام التواصل'!$C$6:$C$505,1))=0,"missing primary contact in أرقام التواصل; ","")&amp;IF(AND(W383="TRUE",X383=""),"duplicate_type required when duplicate_flag TRUE; ","")))))</x:f>
      </x:c>
    </x:row>
    <x:row r="384">
      <x:c r="A384" s="302"/>
      <x:c r="B384" s="252"/>
      <x:c r="C384" s="253"/>
      <x:c r="D384" s="253"/>
      <x:c r="E384" s="253"/>
      <x:c r="F384" s="252"/>
      <x:c r="G384" s="253"/>
      <x:c r="H384" s="272"/>
      <x:c r="I384" s="253"/>
      <x:c r="J384" s="253"/>
      <x:c r="K384" s="253"/>
      <x:c r="L384" s="253"/>
      <x:c r="M384" s="253"/>
      <x:c r="N384" s="253"/>
      <x:c r="O384" s="253" t="str">
        <x:f>IF(TRIM(L384&amp;" "&amp;M384&amp;IF(N384&lt;&gt;""," ("&amp;N384&amp;")",""))="","",TRIM(L384&amp;" "&amp;M384&amp;IF(N384&lt;&gt;""," ("&amp;N384&amp;")","")))</x:f>
      </x:c>
      <x:c r="P384" s="253"/>
      <x:c r="Q384" s="252"/>
      <x:c r="R384" s="253"/>
      <x:c r="S384" s="253"/>
      <x:c r="T384" s="253"/>
      <x:c r="U384" s="253"/>
      <x:c r="V384" s="253"/>
      <x:c r="W384" s="253"/>
      <x:c r="X384" s="253"/>
      <x:c r="Y384" s="252"/>
      <x:c r="Z384" s="252"/>
      <x:c r="AA384" s="253"/>
      <x:c r="AB384" s="253" t="str">
        <x:f>IF(B384="","",IFERROR(INDEX('الزبائن'!$BA$6:$BA$505,MATCH(B384,'الزبائن'!$A$6:$A$505,0)),"source key not found"))</x:f>
      </x:c>
      <x:c r="AC384" s="253" t="str">
        <x:f>IF(B384="","",IFERROR(INDEX('الزبائن'!$BB$6:$BB$505,MATCH(B384,'الزبائن'!$A$6:$A$505,0)),"source key not found"))</x:f>
      </x:c>
      <x:c r="AD384" s="253" t="str">
        <x:f>IF(AND(A384="",C384="",D384="",I384="",L384="",M384=""),"",IF(C384="skip","SKIP",IF(OR(A384="",C384="",D384="",I384="",L384="",M384="",U384="",COUNTIF($A$6:$A$505,A384)&gt;1,AND(B384&lt;&gt;"",COUNTIF('الزبائن'!$A$6:$A$505,B384)=0),(COUNTIFS('أرقام التواصل'!$A$6:$A$505,"proposed_name",'أرقام التواصل'!$B$6:$B$505,A384,'أرقام التواصل'!$I$6:$I$505,"TRUE")+COUNTIFS('أرقام التواصل'!$A$6:$A$505,"proposed_name",'أرقام التواصل'!$B$6:$B$505,A384,'أرقام التواصل'!$C$6:$C$505,1))=0,AND(W384="TRUE",X384="")),"REVIEW","READY")))</x:f>
      </x:c>
      <x:c r="AE384" s="255" t="str">
        <x:f>IF(AD384="","",IF(AD384="READY","",IF(AD384="SKIP","Skipped by candidate_import_action",TRIM(IF(A384="","missing proposed_name_key; ","")&amp;IF(AND(A384&lt;&gt;"",COUNTIF($A$6:$A$505,A384)&gt;1),"duplicate proposed_name_key; ","")&amp;IF(C384="","missing candidate_import_action; ","")&amp;IF(D384="","missing move_reason; ","")&amp;IF(I384="","missing branch_id; ","")&amp;IF(L384="","missing first_name; ","")&amp;IF(M384="","missing last_name; ","")&amp;IF(U384="","missing status; ","")&amp;IF(AND(B384&lt;&gt;"",COUNTIF('الزبائن'!$A$6:$A$505,B384)=0),"source key not found; ","")&amp;IF((COUNTIFS('أرقام التواصل'!$A$6:$A$505,"proposed_name",'أرقام التواصل'!$B$6:$B$505,A384,'أرقام التواصل'!$I$6:$I$505,"TRUE")+COUNTIFS('أرقام التواصل'!$A$6:$A$505,"proposed_name",'أرقام التواصل'!$B$6:$B$505,A384,'أرقام التواصل'!$C$6:$C$505,1))=0,"missing primary contact in أرقام التواصل; ","")&amp;IF(AND(W384="TRUE",X384=""),"duplicate_type required when duplicate_flag TRUE; ","")))))</x:f>
      </x:c>
    </x:row>
    <x:row r="385">
      <x:c r="A385" s="302"/>
      <x:c r="B385" s="252"/>
      <x:c r="C385" s="253"/>
      <x:c r="D385" s="253"/>
      <x:c r="E385" s="253"/>
      <x:c r="F385" s="252"/>
      <x:c r="G385" s="253"/>
      <x:c r="H385" s="272"/>
      <x:c r="I385" s="253"/>
      <x:c r="J385" s="253"/>
      <x:c r="K385" s="253"/>
      <x:c r="L385" s="253"/>
      <x:c r="M385" s="253"/>
      <x:c r="N385" s="253"/>
      <x:c r="O385" s="253" t="str">
        <x:f>IF(TRIM(L385&amp;" "&amp;M385&amp;IF(N385&lt;&gt;""," ("&amp;N385&amp;")",""))="","",TRIM(L385&amp;" "&amp;M385&amp;IF(N385&lt;&gt;""," ("&amp;N385&amp;")","")))</x:f>
      </x:c>
      <x:c r="P385" s="253"/>
      <x:c r="Q385" s="252"/>
      <x:c r="R385" s="253"/>
      <x:c r="S385" s="253"/>
      <x:c r="T385" s="253"/>
      <x:c r="U385" s="253"/>
      <x:c r="V385" s="253"/>
      <x:c r="W385" s="253"/>
      <x:c r="X385" s="253"/>
      <x:c r="Y385" s="252"/>
      <x:c r="Z385" s="252"/>
      <x:c r="AA385" s="253"/>
      <x:c r="AB385" s="253" t="str">
        <x:f>IF(B385="","",IFERROR(INDEX('الزبائن'!$BA$6:$BA$505,MATCH(B385,'الزبائن'!$A$6:$A$505,0)),"source key not found"))</x:f>
      </x:c>
      <x:c r="AC385" s="253" t="str">
        <x:f>IF(B385="","",IFERROR(INDEX('الزبائن'!$BB$6:$BB$505,MATCH(B385,'الزبائن'!$A$6:$A$505,0)),"source key not found"))</x:f>
      </x:c>
      <x:c r="AD385" s="253" t="str">
        <x:f>IF(AND(A385="",C385="",D385="",I385="",L385="",M385=""),"",IF(C385="skip","SKIP",IF(OR(A385="",C385="",D385="",I385="",L385="",M385="",U385="",COUNTIF($A$6:$A$505,A385)&gt;1,AND(B385&lt;&gt;"",COUNTIF('الزبائن'!$A$6:$A$505,B385)=0),(COUNTIFS('أرقام التواصل'!$A$6:$A$505,"proposed_name",'أرقام التواصل'!$B$6:$B$505,A385,'أرقام التواصل'!$I$6:$I$505,"TRUE")+COUNTIFS('أرقام التواصل'!$A$6:$A$505,"proposed_name",'أرقام التواصل'!$B$6:$B$505,A385,'أرقام التواصل'!$C$6:$C$505,1))=0,AND(W385="TRUE",X385="")),"REVIEW","READY")))</x:f>
      </x:c>
      <x:c r="AE385" s="255" t="str">
        <x:f>IF(AD385="","",IF(AD385="READY","",IF(AD385="SKIP","Skipped by candidate_import_action",TRIM(IF(A385="","missing proposed_name_key; ","")&amp;IF(AND(A385&lt;&gt;"",COUNTIF($A$6:$A$505,A385)&gt;1),"duplicate proposed_name_key; ","")&amp;IF(C385="","missing candidate_import_action; ","")&amp;IF(D385="","missing move_reason; ","")&amp;IF(I385="","missing branch_id; ","")&amp;IF(L385="","missing first_name; ","")&amp;IF(M385="","missing last_name; ","")&amp;IF(U385="","missing status; ","")&amp;IF(AND(B385&lt;&gt;"",COUNTIF('الزبائن'!$A$6:$A$505,B385)=0),"source key not found; ","")&amp;IF((COUNTIFS('أرقام التواصل'!$A$6:$A$505,"proposed_name",'أرقام التواصل'!$B$6:$B$505,A385,'أرقام التواصل'!$I$6:$I$505,"TRUE")+COUNTIFS('أرقام التواصل'!$A$6:$A$505,"proposed_name",'أرقام التواصل'!$B$6:$B$505,A385,'أرقام التواصل'!$C$6:$C$505,1))=0,"missing primary contact in أرقام التواصل; ","")&amp;IF(AND(W385="TRUE",X385=""),"duplicate_type required when duplicate_flag TRUE; ","")))))</x:f>
      </x:c>
    </x:row>
    <x:row r="386">
      <x:c r="A386" s="302"/>
      <x:c r="B386" s="252"/>
      <x:c r="C386" s="253"/>
      <x:c r="D386" s="253"/>
      <x:c r="E386" s="253"/>
      <x:c r="F386" s="252"/>
      <x:c r="G386" s="253"/>
      <x:c r="H386" s="272"/>
      <x:c r="I386" s="253"/>
      <x:c r="J386" s="253"/>
      <x:c r="K386" s="253"/>
      <x:c r="L386" s="253"/>
      <x:c r="M386" s="253"/>
      <x:c r="N386" s="253"/>
      <x:c r="O386" s="253" t="str">
        <x:f>IF(TRIM(L386&amp;" "&amp;M386&amp;IF(N386&lt;&gt;""," ("&amp;N386&amp;")",""))="","",TRIM(L386&amp;" "&amp;M386&amp;IF(N386&lt;&gt;""," ("&amp;N386&amp;")","")))</x:f>
      </x:c>
      <x:c r="P386" s="253"/>
      <x:c r="Q386" s="252"/>
      <x:c r="R386" s="253"/>
      <x:c r="S386" s="253"/>
      <x:c r="T386" s="253"/>
      <x:c r="U386" s="253"/>
      <x:c r="V386" s="253"/>
      <x:c r="W386" s="253"/>
      <x:c r="X386" s="253"/>
      <x:c r="Y386" s="252"/>
      <x:c r="Z386" s="252"/>
      <x:c r="AA386" s="253"/>
      <x:c r="AB386" s="253" t="str">
        <x:f>IF(B386="","",IFERROR(INDEX('الزبائن'!$BA$6:$BA$505,MATCH(B386,'الزبائن'!$A$6:$A$505,0)),"source key not found"))</x:f>
      </x:c>
      <x:c r="AC386" s="253" t="str">
        <x:f>IF(B386="","",IFERROR(INDEX('الزبائن'!$BB$6:$BB$505,MATCH(B386,'الزبائن'!$A$6:$A$505,0)),"source key not found"))</x:f>
      </x:c>
      <x:c r="AD386" s="253" t="str">
        <x:f>IF(AND(A386="",C386="",D386="",I386="",L386="",M386=""),"",IF(C386="skip","SKIP",IF(OR(A386="",C386="",D386="",I386="",L386="",M386="",U386="",COUNTIF($A$6:$A$505,A386)&gt;1,AND(B386&lt;&gt;"",COUNTIF('الزبائن'!$A$6:$A$505,B386)=0),(COUNTIFS('أرقام التواصل'!$A$6:$A$505,"proposed_name",'أرقام التواصل'!$B$6:$B$505,A386,'أرقام التواصل'!$I$6:$I$505,"TRUE")+COUNTIFS('أرقام التواصل'!$A$6:$A$505,"proposed_name",'أرقام التواصل'!$B$6:$B$505,A386,'أرقام التواصل'!$C$6:$C$505,1))=0,AND(W386="TRUE",X386="")),"REVIEW","READY")))</x:f>
      </x:c>
      <x:c r="AE386" s="255" t="str">
        <x:f>IF(AD386="","",IF(AD386="READY","",IF(AD386="SKIP","Skipped by candidate_import_action",TRIM(IF(A386="","missing proposed_name_key; ","")&amp;IF(AND(A386&lt;&gt;"",COUNTIF($A$6:$A$505,A386)&gt;1),"duplicate proposed_name_key; ","")&amp;IF(C386="","missing candidate_import_action; ","")&amp;IF(D386="","missing move_reason; ","")&amp;IF(I386="","missing branch_id; ","")&amp;IF(L386="","missing first_name; ","")&amp;IF(M386="","missing last_name; ","")&amp;IF(U386="","missing status; ","")&amp;IF(AND(B386&lt;&gt;"",COUNTIF('الزبائن'!$A$6:$A$505,B386)=0),"source key not found; ","")&amp;IF((COUNTIFS('أرقام التواصل'!$A$6:$A$505,"proposed_name",'أرقام التواصل'!$B$6:$B$505,A386,'أرقام التواصل'!$I$6:$I$505,"TRUE")+COUNTIFS('أرقام التواصل'!$A$6:$A$505,"proposed_name",'أرقام التواصل'!$B$6:$B$505,A386,'أرقام التواصل'!$C$6:$C$505,1))=0,"missing primary contact in أرقام التواصل; ","")&amp;IF(AND(W386="TRUE",X386=""),"duplicate_type required when duplicate_flag TRUE; ","")))))</x:f>
      </x:c>
    </x:row>
    <x:row r="387">
      <x:c r="A387" s="302"/>
      <x:c r="B387" s="252"/>
      <x:c r="C387" s="253"/>
      <x:c r="D387" s="253"/>
      <x:c r="E387" s="253"/>
      <x:c r="F387" s="252"/>
      <x:c r="G387" s="253"/>
      <x:c r="H387" s="272"/>
      <x:c r="I387" s="253"/>
      <x:c r="J387" s="253"/>
      <x:c r="K387" s="253"/>
      <x:c r="L387" s="253"/>
      <x:c r="M387" s="253"/>
      <x:c r="N387" s="253"/>
      <x:c r="O387" s="253" t="str">
        <x:f>IF(TRIM(L387&amp;" "&amp;M387&amp;IF(N387&lt;&gt;""," ("&amp;N387&amp;")",""))="","",TRIM(L387&amp;" "&amp;M387&amp;IF(N387&lt;&gt;""," ("&amp;N387&amp;")","")))</x:f>
      </x:c>
      <x:c r="P387" s="253"/>
      <x:c r="Q387" s="252"/>
      <x:c r="R387" s="253"/>
      <x:c r="S387" s="253"/>
      <x:c r="T387" s="253"/>
      <x:c r="U387" s="253"/>
      <x:c r="V387" s="253"/>
      <x:c r="W387" s="253"/>
      <x:c r="X387" s="253"/>
      <x:c r="Y387" s="252"/>
      <x:c r="Z387" s="252"/>
      <x:c r="AA387" s="253"/>
      <x:c r="AB387" s="253" t="str">
        <x:f>IF(B387="","",IFERROR(INDEX('الزبائن'!$BA$6:$BA$505,MATCH(B387,'الزبائن'!$A$6:$A$505,0)),"source key not found"))</x:f>
      </x:c>
      <x:c r="AC387" s="253" t="str">
        <x:f>IF(B387="","",IFERROR(INDEX('الزبائن'!$BB$6:$BB$505,MATCH(B387,'الزبائن'!$A$6:$A$505,0)),"source key not found"))</x:f>
      </x:c>
      <x:c r="AD387" s="253" t="str">
        <x:f>IF(AND(A387="",C387="",D387="",I387="",L387="",M387=""),"",IF(C387="skip","SKIP",IF(OR(A387="",C387="",D387="",I387="",L387="",M387="",U387="",COUNTIF($A$6:$A$505,A387)&gt;1,AND(B387&lt;&gt;"",COUNTIF('الزبائن'!$A$6:$A$505,B387)=0),(COUNTIFS('أرقام التواصل'!$A$6:$A$505,"proposed_name",'أرقام التواصل'!$B$6:$B$505,A387,'أرقام التواصل'!$I$6:$I$505,"TRUE")+COUNTIFS('أرقام التواصل'!$A$6:$A$505,"proposed_name",'أرقام التواصل'!$B$6:$B$505,A387,'أرقام التواصل'!$C$6:$C$505,1))=0,AND(W387="TRUE",X387="")),"REVIEW","READY")))</x:f>
      </x:c>
      <x:c r="AE387" s="255" t="str">
        <x:f>IF(AD387="","",IF(AD387="READY","",IF(AD387="SKIP","Skipped by candidate_import_action",TRIM(IF(A387="","missing proposed_name_key; ","")&amp;IF(AND(A387&lt;&gt;"",COUNTIF($A$6:$A$505,A387)&gt;1),"duplicate proposed_name_key; ","")&amp;IF(C387="","missing candidate_import_action; ","")&amp;IF(D387="","missing move_reason; ","")&amp;IF(I387="","missing branch_id; ","")&amp;IF(L387="","missing first_name; ","")&amp;IF(M387="","missing last_name; ","")&amp;IF(U387="","missing status; ","")&amp;IF(AND(B387&lt;&gt;"",COUNTIF('الزبائن'!$A$6:$A$505,B387)=0),"source key not found; ","")&amp;IF((COUNTIFS('أرقام التواصل'!$A$6:$A$505,"proposed_name",'أرقام التواصل'!$B$6:$B$505,A387,'أرقام التواصل'!$I$6:$I$505,"TRUE")+COUNTIFS('أرقام التواصل'!$A$6:$A$505,"proposed_name",'أرقام التواصل'!$B$6:$B$505,A387,'أرقام التواصل'!$C$6:$C$505,1))=0,"missing primary contact in أرقام التواصل; ","")&amp;IF(AND(W387="TRUE",X387=""),"duplicate_type required when duplicate_flag TRUE; ","")))))</x:f>
      </x:c>
    </x:row>
    <x:row r="388">
      <x:c r="A388" s="302"/>
      <x:c r="B388" s="252"/>
      <x:c r="C388" s="253"/>
      <x:c r="D388" s="253"/>
      <x:c r="E388" s="253"/>
      <x:c r="F388" s="252"/>
      <x:c r="G388" s="253"/>
      <x:c r="H388" s="272"/>
      <x:c r="I388" s="253"/>
      <x:c r="J388" s="253"/>
      <x:c r="K388" s="253"/>
      <x:c r="L388" s="253"/>
      <x:c r="M388" s="253"/>
      <x:c r="N388" s="253"/>
      <x:c r="O388" s="253" t="str">
        <x:f>IF(TRIM(L388&amp;" "&amp;M388&amp;IF(N388&lt;&gt;""," ("&amp;N388&amp;")",""))="","",TRIM(L388&amp;" "&amp;M388&amp;IF(N388&lt;&gt;""," ("&amp;N388&amp;")","")))</x:f>
      </x:c>
      <x:c r="P388" s="253"/>
      <x:c r="Q388" s="252"/>
      <x:c r="R388" s="253"/>
      <x:c r="S388" s="253"/>
      <x:c r="T388" s="253"/>
      <x:c r="U388" s="253"/>
      <x:c r="V388" s="253"/>
      <x:c r="W388" s="253"/>
      <x:c r="X388" s="253"/>
      <x:c r="Y388" s="252"/>
      <x:c r="Z388" s="252"/>
      <x:c r="AA388" s="253"/>
      <x:c r="AB388" s="253" t="str">
        <x:f>IF(B388="","",IFERROR(INDEX('الزبائن'!$BA$6:$BA$505,MATCH(B388,'الزبائن'!$A$6:$A$505,0)),"source key not found"))</x:f>
      </x:c>
      <x:c r="AC388" s="253" t="str">
        <x:f>IF(B388="","",IFERROR(INDEX('الزبائن'!$BB$6:$BB$505,MATCH(B388,'الزبائن'!$A$6:$A$505,0)),"source key not found"))</x:f>
      </x:c>
      <x:c r="AD388" s="253" t="str">
        <x:f>IF(AND(A388="",C388="",D388="",I388="",L388="",M388=""),"",IF(C388="skip","SKIP",IF(OR(A388="",C388="",D388="",I388="",L388="",M388="",U388="",COUNTIF($A$6:$A$505,A388)&gt;1,AND(B388&lt;&gt;"",COUNTIF('الزبائن'!$A$6:$A$505,B388)=0),(COUNTIFS('أرقام التواصل'!$A$6:$A$505,"proposed_name",'أرقام التواصل'!$B$6:$B$505,A388,'أرقام التواصل'!$I$6:$I$505,"TRUE")+COUNTIFS('أرقام التواصل'!$A$6:$A$505,"proposed_name",'أرقام التواصل'!$B$6:$B$505,A388,'أرقام التواصل'!$C$6:$C$505,1))=0,AND(W388="TRUE",X388="")),"REVIEW","READY")))</x:f>
      </x:c>
      <x:c r="AE388" s="255" t="str">
        <x:f>IF(AD388="","",IF(AD388="READY","",IF(AD388="SKIP","Skipped by candidate_import_action",TRIM(IF(A388="","missing proposed_name_key; ","")&amp;IF(AND(A388&lt;&gt;"",COUNTIF($A$6:$A$505,A388)&gt;1),"duplicate proposed_name_key; ","")&amp;IF(C388="","missing candidate_import_action; ","")&amp;IF(D388="","missing move_reason; ","")&amp;IF(I388="","missing branch_id; ","")&amp;IF(L388="","missing first_name; ","")&amp;IF(M388="","missing last_name; ","")&amp;IF(U388="","missing status; ","")&amp;IF(AND(B388&lt;&gt;"",COUNTIF('الزبائن'!$A$6:$A$505,B388)=0),"source key not found; ","")&amp;IF((COUNTIFS('أرقام التواصل'!$A$6:$A$505,"proposed_name",'أرقام التواصل'!$B$6:$B$505,A388,'أرقام التواصل'!$I$6:$I$505,"TRUE")+COUNTIFS('أرقام التواصل'!$A$6:$A$505,"proposed_name",'أرقام التواصل'!$B$6:$B$505,A388,'أرقام التواصل'!$C$6:$C$505,1))=0,"missing primary contact in أرقام التواصل; ","")&amp;IF(AND(W388="TRUE",X388=""),"duplicate_type required when duplicate_flag TRUE; ","")))))</x:f>
      </x:c>
    </x:row>
    <x:row r="389">
      <x:c r="A389" s="302"/>
      <x:c r="B389" s="252"/>
      <x:c r="C389" s="253"/>
      <x:c r="D389" s="253"/>
      <x:c r="E389" s="253"/>
      <x:c r="F389" s="252"/>
      <x:c r="G389" s="253"/>
      <x:c r="H389" s="272"/>
      <x:c r="I389" s="253"/>
      <x:c r="J389" s="253"/>
      <x:c r="K389" s="253"/>
      <x:c r="L389" s="253"/>
      <x:c r="M389" s="253"/>
      <x:c r="N389" s="253"/>
      <x:c r="O389" s="253" t="str">
        <x:f>IF(TRIM(L389&amp;" "&amp;M389&amp;IF(N389&lt;&gt;""," ("&amp;N389&amp;")",""))="","",TRIM(L389&amp;" "&amp;M389&amp;IF(N389&lt;&gt;""," ("&amp;N389&amp;")","")))</x:f>
      </x:c>
      <x:c r="P389" s="253"/>
      <x:c r="Q389" s="252"/>
      <x:c r="R389" s="253"/>
      <x:c r="S389" s="253"/>
      <x:c r="T389" s="253"/>
      <x:c r="U389" s="253"/>
      <x:c r="V389" s="253"/>
      <x:c r="W389" s="253"/>
      <x:c r="X389" s="253"/>
      <x:c r="Y389" s="252"/>
      <x:c r="Z389" s="252"/>
      <x:c r="AA389" s="253"/>
      <x:c r="AB389" s="253" t="str">
        <x:f>IF(B389="","",IFERROR(INDEX('الزبائن'!$BA$6:$BA$505,MATCH(B389,'الزبائن'!$A$6:$A$505,0)),"source key not found"))</x:f>
      </x:c>
      <x:c r="AC389" s="253" t="str">
        <x:f>IF(B389="","",IFERROR(INDEX('الزبائن'!$BB$6:$BB$505,MATCH(B389,'الزبائن'!$A$6:$A$505,0)),"source key not found"))</x:f>
      </x:c>
      <x:c r="AD389" s="253" t="str">
        <x:f>IF(AND(A389="",C389="",D389="",I389="",L389="",M389=""),"",IF(C389="skip","SKIP",IF(OR(A389="",C389="",D389="",I389="",L389="",M389="",U389="",COUNTIF($A$6:$A$505,A389)&gt;1,AND(B389&lt;&gt;"",COUNTIF('الزبائن'!$A$6:$A$505,B389)=0),(COUNTIFS('أرقام التواصل'!$A$6:$A$505,"proposed_name",'أرقام التواصل'!$B$6:$B$505,A389,'أرقام التواصل'!$I$6:$I$505,"TRUE")+COUNTIFS('أرقام التواصل'!$A$6:$A$505,"proposed_name",'أرقام التواصل'!$B$6:$B$505,A389,'أرقام التواصل'!$C$6:$C$505,1))=0,AND(W389="TRUE",X389="")),"REVIEW","READY")))</x:f>
      </x:c>
      <x:c r="AE389" s="255" t="str">
        <x:f>IF(AD389="","",IF(AD389="READY","",IF(AD389="SKIP","Skipped by candidate_import_action",TRIM(IF(A389="","missing proposed_name_key; ","")&amp;IF(AND(A389&lt;&gt;"",COUNTIF($A$6:$A$505,A389)&gt;1),"duplicate proposed_name_key; ","")&amp;IF(C389="","missing candidate_import_action; ","")&amp;IF(D389="","missing move_reason; ","")&amp;IF(I389="","missing branch_id; ","")&amp;IF(L389="","missing first_name; ","")&amp;IF(M389="","missing last_name; ","")&amp;IF(U389="","missing status; ","")&amp;IF(AND(B389&lt;&gt;"",COUNTIF('الزبائن'!$A$6:$A$505,B389)=0),"source key not found; ","")&amp;IF((COUNTIFS('أرقام التواصل'!$A$6:$A$505,"proposed_name",'أرقام التواصل'!$B$6:$B$505,A389,'أرقام التواصل'!$I$6:$I$505,"TRUE")+COUNTIFS('أرقام التواصل'!$A$6:$A$505,"proposed_name",'أرقام التواصل'!$B$6:$B$505,A389,'أرقام التواصل'!$C$6:$C$505,1))=0,"missing primary contact in أرقام التواصل; ","")&amp;IF(AND(W389="TRUE",X389=""),"duplicate_type required when duplicate_flag TRUE; ","")))))</x:f>
      </x:c>
    </x:row>
    <x:row r="390">
      <x:c r="A390" s="302"/>
      <x:c r="B390" s="252"/>
      <x:c r="C390" s="253"/>
      <x:c r="D390" s="253"/>
      <x:c r="E390" s="253"/>
      <x:c r="F390" s="252"/>
      <x:c r="G390" s="253"/>
      <x:c r="H390" s="272"/>
      <x:c r="I390" s="253"/>
      <x:c r="J390" s="253"/>
      <x:c r="K390" s="253"/>
      <x:c r="L390" s="253"/>
      <x:c r="M390" s="253"/>
      <x:c r="N390" s="253"/>
      <x:c r="O390" s="253" t="str">
        <x:f>IF(TRIM(L390&amp;" "&amp;M390&amp;IF(N390&lt;&gt;""," ("&amp;N390&amp;")",""))="","",TRIM(L390&amp;" "&amp;M390&amp;IF(N390&lt;&gt;""," ("&amp;N390&amp;")","")))</x:f>
      </x:c>
      <x:c r="P390" s="253"/>
      <x:c r="Q390" s="252"/>
      <x:c r="R390" s="253"/>
      <x:c r="S390" s="253"/>
      <x:c r="T390" s="253"/>
      <x:c r="U390" s="253"/>
      <x:c r="V390" s="253"/>
      <x:c r="W390" s="253"/>
      <x:c r="X390" s="253"/>
      <x:c r="Y390" s="252"/>
      <x:c r="Z390" s="252"/>
      <x:c r="AA390" s="253"/>
      <x:c r="AB390" s="253" t="str">
        <x:f>IF(B390="","",IFERROR(INDEX('الزبائن'!$BA$6:$BA$505,MATCH(B390,'الزبائن'!$A$6:$A$505,0)),"source key not found"))</x:f>
      </x:c>
      <x:c r="AC390" s="253" t="str">
        <x:f>IF(B390="","",IFERROR(INDEX('الزبائن'!$BB$6:$BB$505,MATCH(B390,'الزبائن'!$A$6:$A$505,0)),"source key not found"))</x:f>
      </x:c>
      <x:c r="AD390" s="253" t="str">
        <x:f>IF(AND(A390="",C390="",D390="",I390="",L390="",M390=""),"",IF(C390="skip","SKIP",IF(OR(A390="",C390="",D390="",I390="",L390="",M390="",U390="",COUNTIF($A$6:$A$505,A390)&gt;1,AND(B390&lt;&gt;"",COUNTIF('الزبائن'!$A$6:$A$505,B390)=0),(COUNTIFS('أرقام التواصل'!$A$6:$A$505,"proposed_name",'أرقام التواصل'!$B$6:$B$505,A390,'أرقام التواصل'!$I$6:$I$505,"TRUE")+COUNTIFS('أرقام التواصل'!$A$6:$A$505,"proposed_name",'أرقام التواصل'!$B$6:$B$505,A390,'أرقام التواصل'!$C$6:$C$505,1))=0,AND(W390="TRUE",X390="")),"REVIEW","READY")))</x:f>
      </x:c>
      <x:c r="AE390" s="255" t="str">
        <x:f>IF(AD390="","",IF(AD390="READY","",IF(AD390="SKIP","Skipped by candidate_import_action",TRIM(IF(A390="","missing proposed_name_key; ","")&amp;IF(AND(A390&lt;&gt;"",COUNTIF($A$6:$A$505,A390)&gt;1),"duplicate proposed_name_key; ","")&amp;IF(C390="","missing candidate_import_action; ","")&amp;IF(D390="","missing move_reason; ","")&amp;IF(I390="","missing branch_id; ","")&amp;IF(L390="","missing first_name; ","")&amp;IF(M390="","missing last_name; ","")&amp;IF(U390="","missing status; ","")&amp;IF(AND(B390&lt;&gt;"",COUNTIF('الزبائن'!$A$6:$A$505,B390)=0),"source key not found; ","")&amp;IF((COUNTIFS('أرقام التواصل'!$A$6:$A$505,"proposed_name",'أرقام التواصل'!$B$6:$B$505,A390,'أرقام التواصل'!$I$6:$I$505,"TRUE")+COUNTIFS('أرقام التواصل'!$A$6:$A$505,"proposed_name",'أرقام التواصل'!$B$6:$B$505,A390,'أرقام التواصل'!$C$6:$C$505,1))=0,"missing primary contact in أرقام التواصل; ","")&amp;IF(AND(W390="TRUE",X390=""),"duplicate_type required when duplicate_flag TRUE; ","")))))</x:f>
      </x:c>
    </x:row>
    <x:row r="391">
      <x:c r="A391" s="302"/>
      <x:c r="B391" s="252"/>
      <x:c r="C391" s="253"/>
      <x:c r="D391" s="253"/>
      <x:c r="E391" s="253"/>
      <x:c r="F391" s="252"/>
      <x:c r="G391" s="253"/>
      <x:c r="H391" s="272"/>
      <x:c r="I391" s="253"/>
      <x:c r="J391" s="253"/>
      <x:c r="K391" s="253"/>
      <x:c r="L391" s="253"/>
      <x:c r="M391" s="253"/>
      <x:c r="N391" s="253"/>
      <x:c r="O391" s="253" t="str">
        <x:f>IF(TRIM(L391&amp;" "&amp;M391&amp;IF(N391&lt;&gt;""," ("&amp;N391&amp;")",""))="","",TRIM(L391&amp;" "&amp;M391&amp;IF(N391&lt;&gt;""," ("&amp;N391&amp;")","")))</x:f>
      </x:c>
      <x:c r="P391" s="253"/>
      <x:c r="Q391" s="252"/>
      <x:c r="R391" s="253"/>
      <x:c r="S391" s="253"/>
      <x:c r="T391" s="253"/>
      <x:c r="U391" s="253"/>
      <x:c r="V391" s="253"/>
      <x:c r="W391" s="253"/>
      <x:c r="X391" s="253"/>
      <x:c r="Y391" s="252"/>
      <x:c r="Z391" s="252"/>
      <x:c r="AA391" s="253"/>
      <x:c r="AB391" s="253" t="str">
        <x:f>IF(B391="","",IFERROR(INDEX('الزبائن'!$BA$6:$BA$505,MATCH(B391,'الزبائن'!$A$6:$A$505,0)),"source key not found"))</x:f>
      </x:c>
      <x:c r="AC391" s="253" t="str">
        <x:f>IF(B391="","",IFERROR(INDEX('الزبائن'!$BB$6:$BB$505,MATCH(B391,'الزبائن'!$A$6:$A$505,0)),"source key not found"))</x:f>
      </x:c>
      <x:c r="AD391" s="253" t="str">
        <x:f>IF(AND(A391="",C391="",D391="",I391="",L391="",M391=""),"",IF(C391="skip","SKIP",IF(OR(A391="",C391="",D391="",I391="",L391="",M391="",U391="",COUNTIF($A$6:$A$505,A391)&gt;1,AND(B391&lt;&gt;"",COUNTIF('الزبائن'!$A$6:$A$505,B391)=0),(COUNTIFS('أرقام التواصل'!$A$6:$A$505,"proposed_name",'أرقام التواصل'!$B$6:$B$505,A391,'أرقام التواصل'!$I$6:$I$505,"TRUE")+COUNTIFS('أرقام التواصل'!$A$6:$A$505,"proposed_name",'أرقام التواصل'!$B$6:$B$505,A391,'أرقام التواصل'!$C$6:$C$505,1))=0,AND(W391="TRUE",X391="")),"REVIEW","READY")))</x:f>
      </x:c>
      <x:c r="AE391" s="255" t="str">
        <x:f>IF(AD391="","",IF(AD391="READY","",IF(AD391="SKIP","Skipped by candidate_import_action",TRIM(IF(A391="","missing proposed_name_key; ","")&amp;IF(AND(A391&lt;&gt;"",COUNTIF($A$6:$A$505,A391)&gt;1),"duplicate proposed_name_key; ","")&amp;IF(C391="","missing candidate_import_action; ","")&amp;IF(D391="","missing move_reason; ","")&amp;IF(I391="","missing branch_id; ","")&amp;IF(L391="","missing first_name; ","")&amp;IF(M391="","missing last_name; ","")&amp;IF(U391="","missing status; ","")&amp;IF(AND(B391&lt;&gt;"",COUNTIF('الزبائن'!$A$6:$A$505,B391)=0),"source key not found; ","")&amp;IF((COUNTIFS('أرقام التواصل'!$A$6:$A$505,"proposed_name",'أرقام التواصل'!$B$6:$B$505,A391,'أرقام التواصل'!$I$6:$I$505,"TRUE")+COUNTIFS('أرقام التواصل'!$A$6:$A$505,"proposed_name",'أرقام التواصل'!$B$6:$B$505,A391,'أرقام التواصل'!$C$6:$C$505,1))=0,"missing primary contact in أرقام التواصل; ","")&amp;IF(AND(W391="TRUE",X391=""),"duplicate_type required when duplicate_flag TRUE; ","")))))</x:f>
      </x:c>
    </x:row>
    <x:row r="392">
      <x:c r="A392" s="302"/>
      <x:c r="B392" s="252"/>
      <x:c r="C392" s="253"/>
      <x:c r="D392" s="253"/>
      <x:c r="E392" s="253"/>
      <x:c r="F392" s="252"/>
      <x:c r="G392" s="253"/>
      <x:c r="H392" s="272"/>
      <x:c r="I392" s="253"/>
      <x:c r="J392" s="253"/>
      <x:c r="K392" s="253"/>
      <x:c r="L392" s="253"/>
      <x:c r="M392" s="253"/>
      <x:c r="N392" s="253"/>
      <x:c r="O392" s="253" t="str">
        <x:f>IF(TRIM(L392&amp;" "&amp;M392&amp;IF(N392&lt;&gt;""," ("&amp;N392&amp;")",""))="","",TRIM(L392&amp;" "&amp;M392&amp;IF(N392&lt;&gt;""," ("&amp;N392&amp;")","")))</x:f>
      </x:c>
      <x:c r="P392" s="253"/>
      <x:c r="Q392" s="252"/>
      <x:c r="R392" s="253"/>
      <x:c r="S392" s="253"/>
      <x:c r="T392" s="253"/>
      <x:c r="U392" s="253"/>
      <x:c r="V392" s="253"/>
      <x:c r="W392" s="253"/>
      <x:c r="X392" s="253"/>
      <x:c r="Y392" s="252"/>
      <x:c r="Z392" s="252"/>
      <x:c r="AA392" s="253"/>
      <x:c r="AB392" s="253" t="str">
        <x:f>IF(B392="","",IFERROR(INDEX('الزبائن'!$BA$6:$BA$505,MATCH(B392,'الزبائن'!$A$6:$A$505,0)),"source key not found"))</x:f>
      </x:c>
      <x:c r="AC392" s="253" t="str">
        <x:f>IF(B392="","",IFERROR(INDEX('الزبائن'!$BB$6:$BB$505,MATCH(B392,'الزبائن'!$A$6:$A$505,0)),"source key not found"))</x:f>
      </x:c>
      <x:c r="AD392" s="253" t="str">
        <x:f>IF(AND(A392="",C392="",D392="",I392="",L392="",M392=""),"",IF(C392="skip","SKIP",IF(OR(A392="",C392="",D392="",I392="",L392="",M392="",U392="",COUNTIF($A$6:$A$505,A392)&gt;1,AND(B392&lt;&gt;"",COUNTIF('الزبائن'!$A$6:$A$505,B392)=0),(COUNTIFS('أرقام التواصل'!$A$6:$A$505,"proposed_name",'أرقام التواصل'!$B$6:$B$505,A392,'أرقام التواصل'!$I$6:$I$505,"TRUE")+COUNTIFS('أرقام التواصل'!$A$6:$A$505,"proposed_name",'أرقام التواصل'!$B$6:$B$505,A392,'أرقام التواصل'!$C$6:$C$505,1))=0,AND(W392="TRUE",X392="")),"REVIEW","READY")))</x:f>
      </x:c>
      <x:c r="AE392" s="255" t="str">
        <x:f>IF(AD392="","",IF(AD392="READY","",IF(AD392="SKIP","Skipped by candidate_import_action",TRIM(IF(A392="","missing proposed_name_key; ","")&amp;IF(AND(A392&lt;&gt;"",COUNTIF($A$6:$A$505,A392)&gt;1),"duplicate proposed_name_key; ","")&amp;IF(C392="","missing candidate_import_action; ","")&amp;IF(D392="","missing move_reason; ","")&amp;IF(I392="","missing branch_id; ","")&amp;IF(L392="","missing first_name; ","")&amp;IF(M392="","missing last_name; ","")&amp;IF(U392="","missing status; ","")&amp;IF(AND(B392&lt;&gt;"",COUNTIF('الزبائن'!$A$6:$A$505,B392)=0),"source key not found; ","")&amp;IF((COUNTIFS('أرقام التواصل'!$A$6:$A$505,"proposed_name",'أرقام التواصل'!$B$6:$B$505,A392,'أرقام التواصل'!$I$6:$I$505,"TRUE")+COUNTIFS('أرقام التواصل'!$A$6:$A$505,"proposed_name",'أرقام التواصل'!$B$6:$B$505,A392,'أرقام التواصل'!$C$6:$C$505,1))=0,"missing primary contact in أرقام التواصل; ","")&amp;IF(AND(W392="TRUE",X392=""),"duplicate_type required when duplicate_flag TRUE; ","")))))</x:f>
      </x:c>
    </x:row>
    <x:row r="393">
      <x:c r="A393" s="302"/>
      <x:c r="B393" s="252"/>
      <x:c r="C393" s="253"/>
      <x:c r="D393" s="253"/>
      <x:c r="E393" s="253"/>
      <x:c r="F393" s="252"/>
      <x:c r="G393" s="253"/>
      <x:c r="H393" s="272"/>
      <x:c r="I393" s="253"/>
      <x:c r="J393" s="253"/>
      <x:c r="K393" s="253"/>
      <x:c r="L393" s="253"/>
      <x:c r="M393" s="253"/>
      <x:c r="N393" s="253"/>
      <x:c r="O393" s="253" t="str">
        <x:f>IF(TRIM(L393&amp;" "&amp;M393&amp;IF(N393&lt;&gt;""," ("&amp;N393&amp;")",""))="","",TRIM(L393&amp;" "&amp;M393&amp;IF(N393&lt;&gt;""," ("&amp;N393&amp;")","")))</x:f>
      </x:c>
      <x:c r="P393" s="253"/>
      <x:c r="Q393" s="252"/>
      <x:c r="R393" s="253"/>
      <x:c r="S393" s="253"/>
      <x:c r="T393" s="253"/>
      <x:c r="U393" s="253"/>
      <x:c r="V393" s="253"/>
      <x:c r="W393" s="253"/>
      <x:c r="X393" s="253"/>
      <x:c r="Y393" s="252"/>
      <x:c r="Z393" s="252"/>
      <x:c r="AA393" s="253"/>
      <x:c r="AB393" s="253" t="str">
        <x:f>IF(B393="","",IFERROR(INDEX('الزبائن'!$BA$6:$BA$505,MATCH(B393,'الزبائن'!$A$6:$A$505,0)),"source key not found"))</x:f>
      </x:c>
      <x:c r="AC393" s="253" t="str">
        <x:f>IF(B393="","",IFERROR(INDEX('الزبائن'!$BB$6:$BB$505,MATCH(B393,'الزبائن'!$A$6:$A$505,0)),"source key not found"))</x:f>
      </x:c>
      <x:c r="AD393" s="253" t="str">
        <x:f>IF(AND(A393="",C393="",D393="",I393="",L393="",M393=""),"",IF(C393="skip","SKIP",IF(OR(A393="",C393="",D393="",I393="",L393="",M393="",U393="",COUNTIF($A$6:$A$505,A393)&gt;1,AND(B393&lt;&gt;"",COUNTIF('الزبائن'!$A$6:$A$505,B393)=0),(COUNTIFS('أرقام التواصل'!$A$6:$A$505,"proposed_name",'أرقام التواصل'!$B$6:$B$505,A393,'أرقام التواصل'!$I$6:$I$505,"TRUE")+COUNTIFS('أرقام التواصل'!$A$6:$A$505,"proposed_name",'أرقام التواصل'!$B$6:$B$505,A393,'أرقام التواصل'!$C$6:$C$505,1))=0,AND(W393="TRUE",X393="")),"REVIEW","READY")))</x:f>
      </x:c>
      <x:c r="AE393" s="255" t="str">
        <x:f>IF(AD393="","",IF(AD393="READY","",IF(AD393="SKIP","Skipped by candidate_import_action",TRIM(IF(A393="","missing proposed_name_key; ","")&amp;IF(AND(A393&lt;&gt;"",COUNTIF($A$6:$A$505,A393)&gt;1),"duplicate proposed_name_key; ","")&amp;IF(C393="","missing candidate_import_action; ","")&amp;IF(D393="","missing move_reason; ","")&amp;IF(I393="","missing branch_id; ","")&amp;IF(L393="","missing first_name; ","")&amp;IF(M393="","missing last_name; ","")&amp;IF(U393="","missing status; ","")&amp;IF(AND(B393&lt;&gt;"",COUNTIF('الزبائن'!$A$6:$A$505,B393)=0),"source key not found; ","")&amp;IF((COUNTIFS('أرقام التواصل'!$A$6:$A$505,"proposed_name",'أرقام التواصل'!$B$6:$B$505,A393,'أرقام التواصل'!$I$6:$I$505,"TRUE")+COUNTIFS('أرقام التواصل'!$A$6:$A$505,"proposed_name",'أرقام التواصل'!$B$6:$B$505,A393,'أرقام التواصل'!$C$6:$C$505,1))=0,"missing primary contact in أرقام التواصل; ","")&amp;IF(AND(W393="TRUE",X393=""),"duplicate_type required when duplicate_flag TRUE; ","")))))</x:f>
      </x:c>
    </x:row>
    <x:row r="394">
      <x:c r="A394" s="302"/>
      <x:c r="B394" s="252"/>
      <x:c r="C394" s="253"/>
      <x:c r="D394" s="253"/>
      <x:c r="E394" s="253"/>
      <x:c r="F394" s="252"/>
      <x:c r="G394" s="253"/>
      <x:c r="H394" s="272"/>
      <x:c r="I394" s="253"/>
      <x:c r="J394" s="253"/>
      <x:c r="K394" s="253"/>
      <x:c r="L394" s="253"/>
      <x:c r="M394" s="253"/>
      <x:c r="N394" s="253"/>
      <x:c r="O394" s="253" t="str">
        <x:f>IF(TRIM(L394&amp;" "&amp;M394&amp;IF(N394&lt;&gt;""," ("&amp;N394&amp;")",""))="","",TRIM(L394&amp;" "&amp;M394&amp;IF(N394&lt;&gt;""," ("&amp;N394&amp;")","")))</x:f>
      </x:c>
      <x:c r="P394" s="253"/>
      <x:c r="Q394" s="252"/>
      <x:c r="R394" s="253"/>
      <x:c r="S394" s="253"/>
      <x:c r="T394" s="253"/>
      <x:c r="U394" s="253"/>
      <x:c r="V394" s="253"/>
      <x:c r="W394" s="253"/>
      <x:c r="X394" s="253"/>
      <x:c r="Y394" s="252"/>
      <x:c r="Z394" s="252"/>
      <x:c r="AA394" s="253"/>
      <x:c r="AB394" s="253" t="str">
        <x:f>IF(B394="","",IFERROR(INDEX('الزبائن'!$BA$6:$BA$505,MATCH(B394,'الزبائن'!$A$6:$A$505,0)),"source key not found"))</x:f>
      </x:c>
      <x:c r="AC394" s="253" t="str">
        <x:f>IF(B394="","",IFERROR(INDEX('الزبائن'!$BB$6:$BB$505,MATCH(B394,'الزبائن'!$A$6:$A$505,0)),"source key not found"))</x:f>
      </x:c>
      <x:c r="AD394" s="253" t="str">
        <x:f>IF(AND(A394="",C394="",D394="",I394="",L394="",M394=""),"",IF(C394="skip","SKIP",IF(OR(A394="",C394="",D394="",I394="",L394="",M394="",U394="",COUNTIF($A$6:$A$505,A394)&gt;1,AND(B394&lt;&gt;"",COUNTIF('الزبائن'!$A$6:$A$505,B394)=0),(COUNTIFS('أرقام التواصل'!$A$6:$A$505,"proposed_name",'أرقام التواصل'!$B$6:$B$505,A394,'أرقام التواصل'!$I$6:$I$505,"TRUE")+COUNTIFS('أرقام التواصل'!$A$6:$A$505,"proposed_name",'أرقام التواصل'!$B$6:$B$505,A394,'أرقام التواصل'!$C$6:$C$505,1))=0,AND(W394="TRUE",X394="")),"REVIEW","READY")))</x:f>
      </x:c>
      <x:c r="AE394" s="255" t="str">
        <x:f>IF(AD394="","",IF(AD394="READY","",IF(AD394="SKIP","Skipped by candidate_import_action",TRIM(IF(A394="","missing proposed_name_key; ","")&amp;IF(AND(A394&lt;&gt;"",COUNTIF($A$6:$A$505,A394)&gt;1),"duplicate proposed_name_key; ","")&amp;IF(C394="","missing candidate_import_action; ","")&amp;IF(D394="","missing move_reason; ","")&amp;IF(I394="","missing branch_id; ","")&amp;IF(L394="","missing first_name; ","")&amp;IF(M394="","missing last_name; ","")&amp;IF(U394="","missing status; ","")&amp;IF(AND(B394&lt;&gt;"",COUNTIF('الزبائن'!$A$6:$A$505,B394)=0),"source key not found; ","")&amp;IF((COUNTIFS('أرقام التواصل'!$A$6:$A$505,"proposed_name",'أرقام التواصل'!$B$6:$B$505,A394,'أرقام التواصل'!$I$6:$I$505,"TRUE")+COUNTIFS('أرقام التواصل'!$A$6:$A$505,"proposed_name",'أرقام التواصل'!$B$6:$B$505,A394,'أرقام التواصل'!$C$6:$C$505,1))=0,"missing primary contact in أرقام التواصل; ","")&amp;IF(AND(W394="TRUE",X394=""),"duplicate_type required when duplicate_flag TRUE; ","")))))</x:f>
      </x:c>
    </x:row>
    <x:row r="395">
      <x:c r="A395" s="302"/>
      <x:c r="B395" s="252"/>
      <x:c r="C395" s="253"/>
      <x:c r="D395" s="253"/>
      <x:c r="E395" s="253"/>
      <x:c r="F395" s="252"/>
      <x:c r="G395" s="253"/>
      <x:c r="H395" s="272"/>
      <x:c r="I395" s="253"/>
      <x:c r="J395" s="253"/>
      <x:c r="K395" s="253"/>
      <x:c r="L395" s="253"/>
      <x:c r="M395" s="253"/>
      <x:c r="N395" s="253"/>
      <x:c r="O395" s="253" t="str">
        <x:f>IF(TRIM(L395&amp;" "&amp;M395&amp;IF(N395&lt;&gt;""," ("&amp;N395&amp;")",""))="","",TRIM(L395&amp;" "&amp;M395&amp;IF(N395&lt;&gt;""," ("&amp;N395&amp;")","")))</x:f>
      </x:c>
      <x:c r="P395" s="253"/>
      <x:c r="Q395" s="252"/>
      <x:c r="R395" s="253"/>
      <x:c r="S395" s="253"/>
      <x:c r="T395" s="253"/>
      <x:c r="U395" s="253"/>
      <x:c r="V395" s="253"/>
      <x:c r="W395" s="253"/>
      <x:c r="X395" s="253"/>
      <x:c r="Y395" s="252"/>
      <x:c r="Z395" s="252"/>
      <x:c r="AA395" s="253"/>
      <x:c r="AB395" s="253" t="str">
        <x:f>IF(B395="","",IFERROR(INDEX('الزبائن'!$BA$6:$BA$505,MATCH(B395,'الزبائن'!$A$6:$A$505,0)),"source key not found"))</x:f>
      </x:c>
      <x:c r="AC395" s="253" t="str">
        <x:f>IF(B395="","",IFERROR(INDEX('الزبائن'!$BB$6:$BB$505,MATCH(B395,'الزبائن'!$A$6:$A$505,0)),"source key not found"))</x:f>
      </x:c>
      <x:c r="AD395" s="253" t="str">
        <x:f>IF(AND(A395="",C395="",D395="",I395="",L395="",M395=""),"",IF(C395="skip","SKIP",IF(OR(A395="",C395="",D395="",I395="",L395="",M395="",U395="",COUNTIF($A$6:$A$505,A395)&gt;1,AND(B395&lt;&gt;"",COUNTIF('الزبائن'!$A$6:$A$505,B395)=0),(COUNTIFS('أرقام التواصل'!$A$6:$A$505,"proposed_name",'أرقام التواصل'!$B$6:$B$505,A395,'أرقام التواصل'!$I$6:$I$505,"TRUE")+COUNTIFS('أرقام التواصل'!$A$6:$A$505,"proposed_name",'أرقام التواصل'!$B$6:$B$505,A395,'أرقام التواصل'!$C$6:$C$505,1))=0,AND(W395="TRUE",X395="")),"REVIEW","READY")))</x:f>
      </x:c>
      <x:c r="AE395" s="255" t="str">
        <x:f>IF(AD395="","",IF(AD395="READY","",IF(AD395="SKIP","Skipped by candidate_import_action",TRIM(IF(A395="","missing proposed_name_key; ","")&amp;IF(AND(A395&lt;&gt;"",COUNTIF($A$6:$A$505,A395)&gt;1),"duplicate proposed_name_key; ","")&amp;IF(C395="","missing candidate_import_action; ","")&amp;IF(D395="","missing move_reason; ","")&amp;IF(I395="","missing branch_id; ","")&amp;IF(L395="","missing first_name; ","")&amp;IF(M395="","missing last_name; ","")&amp;IF(U395="","missing status; ","")&amp;IF(AND(B395&lt;&gt;"",COUNTIF('الزبائن'!$A$6:$A$505,B395)=0),"source key not found; ","")&amp;IF((COUNTIFS('أرقام التواصل'!$A$6:$A$505,"proposed_name",'أرقام التواصل'!$B$6:$B$505,A395,'أرقام التواصل'!$I$6:$I$505,"TRUE")+COUNTIFS('أرقام التواصل'!$A$6:$A$505,"proposed_name",'أرقام التواصل'!$B$6:$B$505,A395,'أرقام التواصل'!$C$6:$C$505,1))=0,"missing primary contact in أرقام التواصل; ","")&amp;IF(AND(W395="TRUE",X395=""),"duplicate_type required when duplicate_flag TRUE; ","")))))</x:f>
      </x:c>
    </x:row>
    <x:row r="396">
      <x:c r="A396" s="302"/>
      <x:c r="B396" s="252"/>
      <x:c r="C396" s="253"/>
      <x:c r="D396" s="253"/>
      <x:c r="E396" s="253"/>
      <x:c r="F396" s="252"/>
      <x:c r="G396" s="253"/>
      <x:c r="H396" s="272"/>
      <x:c r="I396" s="253"/>
      <x:c r="J396" s="253"/>
      <x:c r="K396" s="253"/>
      <x:c r="L396" s="253"/>
      <x:c r="M396" s="253"/>
      <x:c r="N396" s="253"/>
      <x:c r="O396" s="253" t="str">
        <x:f>IF(TRIM(L396&amp;" "&amp;M396&amp;IF(N396&lt;&gt;""," ("&amp;N396&amp;")",""))="","",TRIM(L396&amp;" "&amp;M396&amp;IF(N396&lt;&gt;""," ("&amp;N396&amp;")","")))</x:f>
      </x:c>
      <x:c r="P396" s="253"/>
      <x:c r="Q396" s="252"/>
      <x:c r="R396" s="253"/>
      <x:c r="S396" s="253"/>
      <x:c r="T396" s="253"/>
      <x:c r="U396" s="253"/>
      <x:c r="V396" s="253"/>
      <x:c r="W396" s="253"/>
      <x:c r="X396" s="253"/>
      <x:c r="Y396" s="252"/>
      <x:c r="Z396" s="252"/>
      <x:c r="AA396" s="253"/>
      <x:c r="AB396" s="253" t="str">
        <x:f>IF(B396="","",IFERROR(INDEX('الزبائن'!$BA$6:$BA$505,MATCH(B396,'الزبائن'!$A$6:$A$505,0)),"source key not found"))</x:f>
      </x:c>
      <x:c r="AC396" s="253" t="str">
        <x:f>IF(B396="","",IFERROR(INDEX('الزبائن'!$BB$6:$BB$505,MATCH(B396,'الزبائن'!$A$6:$A$505,0)),"source key not found"))</x:f>
      </x:c>
      <x:c r="AD396" s="253" t="str">
        <x:f>IF(AND(A396="",C396="",D396="",I396="",L396="",M396=""),"",IF(C396="skip","SKIP",IF(OR(A396="",C396="",D396="",I396="",L396="",M396="",U396="",COUNTIF($A$6:$A$505,A396)&gt;1,AND(B396&lt;&gt;"",COUNTIF('الزبائن'!$A$6:$A$505,B396)=0),(COUNTIFS('أرقام التواصل'!$A$6:$A$505,"proposed_name",'أرقام التواصل'!$B$6:$B$505,A396,'أرقام التواصل'!$I$6:$I$505,"TRUE")+COUNTIFS('أرقام التواصل'!$A$6:$A$505,"proposed_name",'أرقام التواصل'!$B$6:$B$505,A396,'أرقام التواصل'!$C$6:$C$505,1))=0,AND(W396="TRUE",X396="")),"REVIEW","READY")))</x:f>
      </x:c>
      <x:c r="AE396" s="255" t="str">
        <x:f>IF(AD396="","",IF(AD396="READY","",IF(AD396="SKIP","Skipped by candidate_import_action",TRIM(IF(A396="","missing proposed_name_key; ","")&amp;IF(AND(A396&lt;&gt;"",COUNTIF($A$6:$A$505,A396)&gt;1),"duplicate proposed_name_key; ","")&amp;IF(C396="","missing candidate_import_action; ","")&amp;IF(D396="","missing move_reason; ","")&amp;IF(I396="","missing branch_id; ","")&amp;IF(L396="","missing first_name; ","")&amp;IF(M396="","missing last_name; ","")&amp;IF(U396="","missing status; ","")&amp;IF(AND(B396&lt;&gt;"",COUNTIF('الزبائن'!$A$6:$A$505,B396)=0),"source key not found; ","")&amp;IF((COUNTIFS('أرقام التواصل'!$A$6:$A$505,"proposed_name",'أرقام التواصل'!$B$6:$B$505,A396,'أرقام التواصل'!$I$6:$I$505,"TRUE")+COUNTIFS('أرقام التواصل'!$A$6:$A$505,"proposed_name",'أرقام التواصل'!$B$6:$B$505,A396,'أرقام التواصل'!$C$6:$C$505,1))=0,"missing primary contact in أرقام التواصل; ","")&amp;IF(AND(W396="TRUE",X396=""),"duplicate_type required when duplicate_flag TRUE; ","")))))</x:f>
      </x:c>
    </x:row>
    <x:row r="397">
      <x:c r="A397" s="302"/>
      <x:c r="B397" s="252"/>
      <x:c r="C397" s="253"/>
      <x:c r="D397" s="253"/>
      <x:c r="E397" s="253"/>
      <x:c r="F397" s="252"/>
      <x:c r="G397" s="253"/>
      <x:c r="H397" s="272"/>
      <x:c r="I397" s="253"/>
      <x:c r="J397" s="253"/>
      <x:c r="K397" s="253"/>
      <x:c r="L397" s="253"/>
      <x:c r="M397" s="253"/>
      <x:c r="N397" s="253"/>
      <x:c r="O397" s="253" t="str">
        <x:f>IF(TRIM(L397&amp;" "&amp;M397&amp;IF(N397&lt;&gt;""," ("&amp;N397&amp;")",""))="","",TRIM(L397&amp;" "&amp;M397&amp;IF(N397&lt;&gt;""," ("&amp;N397&amp;")","")))</x:f>
      </x:c>
      <x:c r="P397" s="253"/>
      <x:c r="Q397" s="252"/>
      <x:c r="R397" s="253"/>
      <x:c r="S397" s="253"/>
      <x:c r="T397" s="253"/>
      <x:c r="U397" s="253"/>
      <x:c r="V397" s="253"/>
      <x:c r="W397" s="253"/>
      <x:c r="X397" s="253"/>
      <x:c r="Y397" s="252"/>
      <x:c r="Z397" s="252"/>
      <x:c r="AA397" s="253"/>
      <x:c r="AB397" s="253" t="str">
        <x:f>IF(B397="","",IFERROR(INDEX('الزبائن'!$BA$6:$BA$505,MATCH(B397,'الزبائن'!$A$6:$A$505,0)),"source key not found"))</x:f>
      </x:c>
      <x:c r="AC397" s="253" t="str">
        <x:f>IF(B397="","",IFERROR(INDEX('الزبائن'!$BB$6:$BB$505,MATCH(B397,'الزبائن'!$A$6:$A$505,0)),"source key not found"))</x:f>
      </x:c>
      <x:c r="AD397" s="253" t="str">
        <x:f>IF(AND(A397="",C397="",D397="",I397="",L397="",M397=""),"",IF(C397="skip","SKIP",IF(OR(A397="",C397="",D397="",I397="",L397="",M397="",U397="",COUNTIF($A$6:$A$505,A397)&gt;1,AND(B397&lt;&gt;"",COUNTIF('الزبائن'!$A$6:$A$505,B397)=0),(COUNTIFS('أرقام التواصل'!$A$6:$A$505,"proposed_name",'أرقام التواصل'!$B$6:$B$505,A397,'أرقام التواصل'!$I$6:$I$505,"TRUE")+COUNTIFS('أرقام التواصل'!$A$6:$A$505,"proposed_name",'أرقام التواصل'!$B$6:$B$505,A397,'أرقام التواصل'!$C$6:$C$505,1))=0,AND(W397="TRUE",X397="")),"REVIEW","READY")))</x:f>
      </x:c>
      <x:c r="AE397" s="255" t="str">
        <x:f>IF(AD397="","",IF(AD397="READY","",IF(AD397="SKIP","Skipped by candidate_import_action",TRIM(IF(A397="","missing proposed_name_key; ","")&amp;IF(AND(A397&lt;&gt;"",COUNTIF($A$6:$A$505,A397)&gt;1),"duplicate proposed_name_key; ","")&amp;IF(C397="","missing candidate_import_action; ","")&amp;IF(D397="","missing move_reason; ","")&amp;IF(I397="","missing branch_id; ","")&amp;IF(L397="","missing first_name; ","")&amp;IF(M397="","missing last_name; ","")&amp;IF(U397="","missing status; ","")&amp;IF(AND(B397&lt;&gt;"",COUNTIF('الزبائن'!$A$6:$A$505,B397)=0),"source key not found; ","")&amp;IF((COUNTIFS('أرقام التواصل'!$A$6:$A$505,"proposed_name",'أرقام التواصل'!$B$6:$B$505,A397,'أرقام التواصل'!$I$6:$I$505,"TRUE")+COUNTIFS('أرقام التواصل'!$A$6:$A$505,"proposed_name",'أرقام التواصل'!$B$6:$B$505,A397,'أرقام التواصل'!$C$6:$C$505,1))=0,"missing primary contact in أرقام التواصل; ","")&amp;IF(AND(W397="TRUE",X397=""),"duplicate_type required when duplicate_flag TRUE; ","")))))</x:f>
      </x:c>
    </x:row>
    <x:row r="398">
      <x:c r="A398" s="302"/>
      <x:c r="B398" s="252"/>
      <x:c r="C398" s="253"/>
      <x:c r="D398" s="253"/>
      <x:c r="E398" s="253"/>
      <x:c r="F398" s="252"/>
      <x:c r="G398" s="253"/>
      <x:c r="H398" s="272"/>
      <x:c r="I398" s="253"/>
      <x:c r="J398" s="253"/>
      <x:c r="K398" s="253"/>
      <x:c r="L398" s="253"/>
      <x:c r="M398" s="253"/>
      <x:c r="N398" s="253"/>
      <x:c r="O398" s="253" t="str">
        <x:f>IF(TRIM(L398&amp;" "&amp;M398&amp;IF(N398&lt;&gt;""," ("&amp;N398&amp;")",""))="","",TRIM(L398&amp;" "&amp;M398&amp;IF(N398&lt;&gt;""," ("&amp;N398&amp;")","")))</x:f>
      </x:c>
      <x:c r="P398" s="253"/>
      <x:c r="Q398" s="252"/>
      <x:c r="R398" s="253"/>
      <x:c r="S398" s="253"/>
      <x:c r="T398" s="253"/>
      <x:c r="U398" s="253"/>
      <x:c r="V398" s="253"/>
      <x:c r="W398" s="253"/>
      <x:c r="X398" s="253"/>
      <x:c r="Y398" s="252"/>
      <x:c r="Z398" s="252"/>
      <x:c r="AA398" s="253"/>
      <x:c r="AB398" s="253" t="str">
        <x:f>IF(B398="","",IFERROR(INDEX('الزبائن'!$BA$6:$BA$505,MATCH(B398,'الزبائن'!$A$6:$A$505,0)),"source key not found"))</x:f>
      </x:c>
      <x:c r="AC398" s="253" t="str">
        <x:f>IF(B398="","",IFERROR(INDEX('الزبائن'!$BB$6:$BB$505,MATCH(B398,'الزبائن'!$A$6:$A$505,0)),"source key not found"))</x:f>
      </x:c>
      <x:c r="AD398" s="253" t="str">
        <x:f>IF(AND(A398="",C398="",D398="",I398="",L398="",M398=""),"",IF(C398="skip","SKIP",IF(OR(A398="",C398="",D398="",I398="",L398="",M398="",U398="",COUNTIF($A$6:$A$505,A398)&gt;1,AND(B398&lt;&gt;"",COUNTIF('الزبائن'!$A$6:$A$505,B398)=0),(COUNTIFS('أرقام التواصل'!$A$6:$A$505,"proposed_name",'أرقام التواصل'!$B$6:$B$505,A398,'أرقام التواصل'!$I$6:$I$505,"TRUE")+COUNTIFS('أرقام التواصل'!$A$6:$A$505,"proposed_name",'أرقام التواصل'!$B$6:$B$505,A398,'أرقام التواصل'!$C$6:$C$505,1))=0,AND(W398="TRUE",X398="")),"REVIEW","READY")))</x:f>
      </x:c>
      <x:c r="AE398" s="255" t="str">
        <x:f>IF(AD398="","",IF(AD398="READY","",IF(AD398="SKIP","Skipped by candidate_import_action",TRIM(IF(A398="","missing proposed_name_key; ","")&amp;IF(AND(A398&lt;&gt;"",COUNTIF($A$6:$A$505,A398)&gt;1),"duplicate proposed_name_key; ","")&amp;IF(C398="","missing candidate_import_action; ","")&amp;IF(D398="","missing move_reason; ","")&amp;IF(I398="","missing branch_id; ","")&amp;IF(L398="","missing first_name; ","")&amp;IF(M398="","missing last_name; ","")&amp;IF(U398="","missing status; ","")&amp;IF(AND(B398&lt;&gt;"",COUNTIF('الزبائن'!$A$6:$A$505,B398)=0),"source key not found; ","")&amp;IF((COUNTIFS('أرقام التواصل'!$A$6:$A$505,"proposed_name",'أرقام التواصل'!$B$6:$B$505,A398,'أرقام التواصل'!$I$6:$I$505,"TRUE")+COUNTIFS('أرقام التواصل'!$A$6:$A$505,"proposed_name",'أرقام التواصل'!$B$6:$B$505,A398,'أرقام التواصل'!$C$6:$C$505,1))=0,"missing primary contact in أرقام التواصل; ","")&amp;IF(AND(W398="TRUE",X398=""),"duplicate_type required when duplicate_flag TRUE; ","")))))</x:f>
      </x:c>
    </x:row>
    <x:row r="399">
      <x:c r="A399" s="302"/>
      <x:c r="B399" s="252"/>
      <x:c r="C399" s="253"/>
      <x:c r="D399" s="253"/>
      <x:c r="E399" s="253"/>
      <x:c r="F399" s="252"/>
      <x:c r="G399" s="253"/>
      <x:c r="H399" s="272"/>
      <x:c r="I399" s="253"/>
      <x:c r="J399" s="253"/>
      <x:c r="K399" s="253"/>
      <x:c r="L399" s="253"/>
      <x:c r="M399" s="253"/>
      <x:c r="N399" s="253"/>
      <x:c r="O399" s="253" t="str">
        <x:f>IF(TRIM(L399&amp;" "&amp;M399&amp;IF(N399&lt;&gt;""," ("&amp;N399&amp;")",""))="","",TRIM(L399&amp;" "&amp;M399&amp;IF(N399&lt;&gt;""," ("&amp;N399&amp;")","")))</x:f>
      </x:c>
      <x:c r="P399" s="253"/>
      <x:c r="Q399" s="252"/>
      <x:c r="R399" s="253"/>
      <x:c r="S399" s="253"/>
      <x:c r="T399" s="253"/>
      <x:c r="U399" s="253"/>
      <x:c r="V399" s="253"/>
      <x:c r="W399" s="253"/>
      <x:c r="X399" s="253"/>
      <x:c r="Y399" s="252"/>
      <x:c r="Z399" s="252"/>
      <x:c r="AA399" s="253"/>
      <x:c r="AB399" s="253" t="str">
        <x:f>IF(B399="","",IFERROR(INDEX('الزبائن'!$BA$6:$BA$505,MATCH(B399,'الزبائن'!$A$6:$A$505,0)),"source key not found"))</x:f>
      </x:c>
      <x:c r="AC399" s="253" t="str">
        <x:f>IF(B399="","",IFERROR(INDEX('الزبائن'!$BB$6:$BB$505,MATCH(B399,'الزبائن'!$A$6:$A$505,0)),"source key not found"))</x:f>
      </x:c>
      <x:c r="AD399" s="253" t="str">
        <x:f>IF(AND(A399="",C399="",D399="",I399="",L399="",M399=""),"",IF(C399="skip","SKIP",IF(OR(A399="",C399="",D399="",I399="",L399="",M399="",U399="",COUNTIF($A$6:$A$505,A399)&gt;1,AND(B399&lt;&gt;"",COUNTIF('الزبائن'!$A$6:$A$505,B399)=0),(COUNTIFS('أرقام التواصل'!$A$6:$A$505,"proposed_name",'أرقام التواصل'!$B$6:$B$505,A399,'أرقام التواصل'!$I$6:$I$505,"TRUE")+COUNTIFS('أرقام التواصل'!$A$6:$A$505,"proposed_name",'أرقام التواصل'!$B$6:$B$505,A399,'أرقام التواصل'!$C$6:$C$505,1))=0,AND(W399="TRUE",X399="")),"REVIEW","READY")))</x:f>
      </x:c>
      <x:c r="AE399" s="255" t="str">
        <x:f>IF(AD399="","",IF(AD399="READY","",IF(AD399="SKIP","Skipped by candidate_import_action",TRIM(IF(A399="","missing proposed_name_key; ","")&amp;IF(AND(A399&lt;&gt;"",COUNTIF($A$6:$A$505,A399)&gt;1),"duplicate proposed_name_key; ","")&amp;IF(C399="","missing candidate_import_action; ","")&amp;IF(D399="","missing move_reason; ","")&amp;IF(I399="","missing branch_id; ","")&amp;IF(L399="","missing first_name; ","")&amp;IF(M399="","missing last_name; ","")&amp;IF(U399="","missing status; ","")&amp;IF(AND(B399&lt;&gt;"",COUNTIF('الزبائن'!$A$6:$A$505,B399)=0),"source key not found; ","")&amp;IF((COUNTIFS('أرقام التواصل'!$A$6:$A$505,"proposed_name",'أرقام التواصل'!$B$6:$B$505,A399,'أرقام التواصل'!$I$6:$I$505,"TRUE")+COUNTIFS('أرقام التواصل'!$A$6:$A$505,"proposed_name",'أرقام التواصل'!$B$6:$B$505,A399,'أرقام التواصل'!$C$6:$C$505,1))=0,"missing primary contact in أرقام التواصل; ","")&amp;IF(AND(W399="TRUE",X399=""),"duplicate_type required when duplicate_flag TRUE; ","")))))</x:f>
      </x:c>
    </x:row>
    <x:row r="400">
      <x:c r="A400" s="302"/>
      <x:c r="B400" s="252"/>
      <x:c r="C400" s="253"/>
      <x:c r="D400" s="253"/>
      <x:c r="E400" s="253"/>
      <x:c r="F400" s="252"/>
      <x:c r="G400" s="253"/>
      <x:c r="H400" s="272"/>
      <x:c r="I400" s="253"/>
      <x:c r="J400" s="253"/>
      <x:c r="K400" s="253"/>
      <x:c r="L400" s="253"/>
      <x:c r="M400" s="253"/>
      <x:c r="N400" s="253"/>
      <x:c r="O400" s="253" t="str">
        <x:f>IF(TRIM(L400&amp;" "&amp;M400&amp;IF(N400&lt;&gt;""," ("&amp;N400&amp;")",""))="","",TRIM(L400&amp;" "&amp;M400&amp;IF(N400&lt;&gt;""," ("&amp;N400&amp;")","")))</x:f>
      </x:c>
      <x:c r="P400" s="253"/>
      <x:c r="Q400" s="252"/>
      <x:c r="R400" s="253"/>
      <x:c r="S400" s="253"/>
      <x:c r="T400" s="253"/>
      <x:c r="U400" s="253"/>
      <x:c r="V400" s="253"/>
      <x:c r="W400" s="253"/>
      <x:c r="X400" s="253"/>
      <x:c r="Y400" s="252"/>
      <x:c r="Z400" s="252"/>
      <x:c r="AA400" s="253"/>
      <x:c r="AB400" s="253" t="str">
        <x:f>IF(B400="","",IFERROR(INDEX('الزبائن'!$BA$6:$BA$505,MATCH(B400,'الزبائن'!$A$6:$A$505,0)),"source key not found"))</x:f>
      </x:c>
      <x:c r="AC400" s="253" t="str">
        <x:f>IF(B400="","",IFERROR(INDEX('الزبائن'!$BB$6:$BB$505,MATCH(B400,'الزبائن'!$A$6:$A$505,0)),"source key not found"))</x:f>
      </x:c>
      <x:c r="AD400" s="253" t="str">
        <x:f>IF(AND(A400="",C400="",D400="",I400="",L400="",M400=""),"",IF(C400="skip","SKIP",IF(OR(A400="",C400="",D400="",I400="",L400="",M400="",U400="",COUNTIF($A$6:$A$505,A400)&gt;1,AND(B400&lt;&gt;"",COUNTIF('الزبائن'!$A$6:$A$505,B400)=0),(COUNTIFS('أرقام التواصل'!$A$6:$A$505,"proposed_name",'أرقام التواصل'!$B$6:$B$505,A400,'أرقام التواصل'!$I$6:$I$505,"TRUE")+COUNTIFS('أرقام التواصل'!$A$6:$A$505,"proposed_name",'أرقام التواصل'!$B$6:$B$505,A400,'أرقام التواصل'!$C$6:$C$505,1))=0,AND(W400="TRUE",X400="")),"REVIEW","READY")))</x:f>
      </x:c>
      <x:c r="AE400" s="255" t="str">
        <x:f>IF(AD400="","",IF(AD400="READY","",IF(AD400="SKIP","Skipped by candidate_import_action",TRIM(IF(A400="","missing proposed_name_key; ","")&amp;IF(AND(A400&lt;&gt;"",COUNTIF($A$6:$A$505,A400)&gt;1),"duplicate proposed_name_key; ","")&amp;IF(C400="","missing candidate_import_action; ","")&amp;IF(D400="","missing move_reason; ","")&amp;IF(I400="","missing branch_id; ","")&amp;IF(L400="","missing first_name; ","")&amp;IF(M400="","missing last_name; ","")&amp;IF(U400="","missing status; ","")&amp;IF(AND(B400&lt;&gt;"",COUNTIF('الزبائن'!$A$6:$A$505,B400)=0),"source key not found; ","")&amp;IF((COUNTIFS('أرقام التواصل'!$A$6:$A$505,"proposed_name",'أرقام التواصل'!$B$6:$B$505,A400,'أرقام التواصل'!$I$6:$I$505,"TRUE")+COUNTIFS('أرقام التواصل'!$A$6:$A$505,"proposed_name",'أرقام التواصل'!$B$6:$B$505,A400,'أرقام التواصل'!$C$6:$C$505,1))=0,"missing primary contact in أرقام التواصل; ","")&amp;IF(AND(W400="TRUE",X400=""),"duplicate_type required when duplicate_flag TRUE; ","")))))</x:f>
      </x:c>
    </x:row>
    <x:row r="401">
      <x:c r="A401" s="302"/>
      <x:c r="B401" s="252"/>
      <x:c r="C401" s="253"/>
      <x:c r="D401" s="253"/>
      <x:c r="E401" s="253"/>
      <x:c r="F401" s="252"/>
      <x:c r="G401" s="253"/>
      <x:c r="H401" s="272"/>
      <x:c r="I401" s="253"/>
      <x:c r="J401" s="253"/>
      <x:c r="K401" s="253"/>
      <x:c r="L401" s="253"/>
      <x:c r="M401" s="253"/>
      <x:c r="N401" s="253"/>
      <x:c r="O401" s="253" t="str">
        <x:f>IF(TRIM(L401&amp;" "&amp;M401&amp;IF(N401&lt;&gt;""," ("&amp;N401&amp;")",""))="","",TRIM(L401&amp;" "&amp;M401&amp;IF(N401&lt;&gt;""," ("&amp;N401&amp;")","")))</x:f>
      </x:c>
      <x:c r="P401" s="253"/>
      <x:c r="Q401" s="252"/>
      <x:c r="R401" s="253"/>
      <x:c r="S401" s="253"/>
      <x:c r="T401" s="253"/>
      <x:c r="U401" s="253"/>
      <x:c r="V401" s="253"/>
      <x:c r="W401" s="253"/>
      <x:c r="X401" s="253"/>
      <x:c r="Y401" s="252"/>
      <x:c r="Z401" s="252"/>
      <x:c r="AA401" s="253"/>
      <x:c r="AB401" s="253" t="str">
        <x:f>IF(B401="","",IFERROR(INDEX('الزبائن'!$BA$6:$BA$505,MATCH(B401,'الزبائن'!$A$6:$A$505,0)),"source key not found"))</x:f>
      </x:c>
      <x:c r="AC401" s="253" t="str">
        <x:f>IF(B401="","",IFERROR(INDEX('الزبائن'!$BB$6:$BB$505,MATCH(B401,'الزبائن'!$A$6:$A$505,0)),"source key not found"))</x:f>
      </x:c>
      <x:c r="AD401" s="253" t="str">
        <x:f>IF(AND(A401="",C401="",D401="",I401="",L401="",M401=""),"",IF(C401="skip","SKIP",IF(OR(A401="",C401="",D401="",I401="",L401="",M401="",U401="",COUNTIF($A$6:$A$505,A401)&gt;1,AND(B401&lt;&gt;"",COUNTIF('الزبائن'!$A$6:$A$505,B401)=0),(COUNTIFS('أرقام التواصل'!$A$6:$A$505,"proposed_name",'أرقام التواصل'!$B$6:$B$505,A401,'أرقام التواصل'!$I$6:$I$505,"TRUE")+COUNTIFS('أرقام التواصل'!$A$6:$A$505,"proposed_name",'أرقام التواصل'!$B$6:$B$505,A401,'أرقام التواصل'!$C$6:$C$505,1))=0,AND(W401="TRUE",X401="")),"REVIEW","READY")))</x:f>
      </x:c>
      <x:c r="AE401" s="255" t="str">
        <x:f>IF(AD401="","",IF(AD401="READY","",IF(AD401="SKIP","Skipped by candidate_import_action",TRIM(IF(A401="","missing proposed_name_key; ","")&amp;IF(AND(A401&lt;&gt;"",COUNTIF($A$6:$A$505,A401)&gt;1),"duplicate proposed_name_key; ","")&amp;IF(C401="","missing candidate_import_action; ","")&amp;IF(D401="","missing move_reason; ","")&amp;IF(I401="","missing branch_id; ","")&amp;IF(L401="","missing first_name; ","")&amp;IF(M401="","missing last_name; ","")&amp;IF(U401="","missing status; ","")&amp;IF(AND(B401&lt;&gt;"",COUNTIF('الزبائن'!$A$6:$A$505,B401)=0),"source key not found; ","")&amp;IF((COUNTIFS('أرقام التواصل'!$A$6:$A$505,"proposed_name",'أرقام التواصل'!$B$6:$B$505,A401,'أرقام التواصل'!$I$6:$I$505,"TRUE")+COUNTIFS('أرقام التواصل'!$A$6:$A$505,"proposed_name",'أرقام التواصل'!$B$6:$B$505,A401,'أرقام التواصل'!$C$6:$C$505,1))=0,"missing primary contact in أرقام التواصل; ","")&amp;IF(AND(W401="TRUE",X401=""),"duplicate_type required when duplicate_flag TRUE; ","")))))</x:f>
      </x:c>
    </x:row>
    <x:row r="402">
      <x:c r="A402" s="302"/>
      <x:c r="B402" s="252"/>
      <x:c r="C402" s="253"/>
      <x:c r="D402" s="253"/>
      <x:c r="E402" s="253"/>
      <x:c r="F402" s="252"/>
      <x:c r="G402" s="253"/>
      <x:c r="H402" s="272"/>
      <x:c r="I402" s="253"/>
      <x:c r="J402" s="253"/>
      <x:c r="K402" s="253"/>
      <x:c r="L402" s="253"/>
      <x:c r="M402" s="253"/>
      <x:c r="N402" s="253"/>
      <x:c r="O402" s="253" t="str">
        <x:f>IF(TRIM(L402&amp;" "&amp;M402&amp;IF(N402&lt;&gt;""," ("&amp;N402&amp;")",""))="","",TRIM(L402&amp;" "&amp;M402&amp;IF(N402&lt;&gt;""," ("&amp;N402&amp;")","")))</x:f>
      </x:c>
      <x:c r="P402" s="253"/>
      <x:c r="Q402" s="252"/>
      <x:c r="R402" s="253"/>
      <x:c r="S402" s="253"/>
      <x:c r="T402" s="253"/>
      <x:c r="U402" s="253"/>
      <x:c r="V402" s="253"/>
      <x:c r="W402" s="253"/>
      <x:c r="X402" s="253"/>
      <x:c r="Y402" s="252"/>
      <x:c r="Z402" s="252"/>
      <x:c r="AA402" s="253"/>
      <x:c r="AB402" s="253" t="str">
        <x:f>IF(B402="","",IFERROR(INDEX('الزبائن'!$BA$6:$BA$505,MATCH(B402,'الزبائن'!$A$6:$A$505,0)),"source key not found"))</x:f>
      </x:c>
      <x:c r="AC402" s="253" t="str">
        <x:f>IF(B402="","",IFERROR(INDEX('الزبائن'!$BB$6:$BB$505,MATCH(B402,'الزبائن'!$A$6:$A$505,0)),"source key not found"))</x:f>
      </x:c>
      <x:c r="AD402" s="253" t="str">
        <x:f>IF(AND(A402="",C402="",D402="",I402="",L402="",M402=""),"",IF(C402="skip","SKIP",IF(OR(A402="",C402="",D402="",I402="",L402="",M402="",U402="",COUNTIF($A$6:$A$505,A402)&gt;1,AND(B402&lt;&gt;"",COUNTIF('الزبائن'!$A$6:$A$505,B402)=0),(COUNTIFS('أرقام التواصل'!$A$6:$A$505,"proposed_name",'أرقام التواصل'!$B$6:$B$505,A402,'أرقام التواصل'!$I$6:$I$505,"TRUE")+COUNTIFS('أرقام التواصل'!$A$6:$A$505,"proposed_name",'أرقام التواصل'!$B$6:$B$505,A402,'أرقام التواصل'!$C$6:$C$505,1))=0,AND(W402="TRUE",X402="")),"REVIEW","READY")))</x:f>
      </x:c>
      <x:c r="AE402" s="255" t="str">
        <x:f>IF(AD402="","",IF(AD402="READY","",IF(AD402="SKIP","Skipped by candidate_import_action",TRIM(IF(A402="","missing proposed_name_key; ","")&amp;IF(AND(A402&lt;&gt;"",COUNTIF($A$6:$A$505,A402)&gt;1),"duplicate proposed_name_key; ","")&amp;IF(C402="","missing candidate_import_action; ","")&amp;IF(D402="","missing move_reason; ","")&amp;IF(I402="","missing branch_id; ","")&amp;IF(L402="","missing first_name; ","")&amp;IF(M402="","missing last_name; ","")&amp;IF(U402="","missing status; ","")&amp;IF(AND(B402&lt;&gt;"",COUNTIF('الزبائن'!$A$6:$A$505,B402)=0),"source key not found; ","")&amp;IF((COUNTIFS('أرقام التواصل'!$A$6:$A$505,"proposed_name",'أرقام التواصل'!$B$6:$B$505,A402,'أرقام التواصل'!$I$6:$I$505,"TRUE")+COUNTIFS('أرقام التواصل'!$A$6:$A$505,"proposed_name",'أرقام التواصل'!$B$6:$B$505,A402,'أرقام التواصل'!$C$6:$C$505,1))=0,"missing primary contact in أرقام التواصل; ","")&amp;IF(AND(W402="TRUE",X402=""),"duplicate_type required when duplicate_flag TRUE; ","")))))</x:f>
      </x:c>
    </x:row>
    <x:row r="403">
      <x:c r="A403" s="302"/>
      <x:c r="B403" s="252"/>
      <x:c r="C403" s="253"/>
      <x:c r="D403" s="253"/>
      <x:c r="E403" s="253"/>
      <x:c r="F403" s="252"/>
      <x:c r="G403" s="253"/>
      <x:c r="H403" s="272"/>
      <x:c r="I403" s="253"/>
      <x:c r="J403" s="253"/>
      <x:c r="K403" s="253"/>
      <x:c r="L403" s="253"/>
      <x:c r="M403" s="253"/>
      <x:c r="N403" s="253"/>
      <x:c r="O403" s="253" t="str">
        <x:f>IF(TRIM(L403&amp;" "&amp;M403&amp;IF(N403&lt;&gt;""," ("&amp;N403&amp;")",""))="","",TRIM(L403&amp;" "&amp;M403&amp;IF(N403&lt;&gt;""," ("&amp;N403&amp;")","")))</x:f>
      </x:c>
      <x:c r="P403" s="253"/>
      <x:c r="Q403" s="252"/>
      <x:c r="R403" s="253"/>
      <x:c r="S403" s="253"/>
      <x:c r="T403" s="253"/>
      <x:c r="U403" s="253"/>
      <x:c r="V403" s="253"/>
      <x:c r="W403" s="253"/>
      <x:c r="X403" s="253"/>
      <x:c r="Y403" s="252"/>
      <x:c r="Z403" s="252"/>
      <x:c r="AA403" s="253"/>
      <x:c r="AB403" s="253" t="str">
        <x:f>IF(B403="","",IFERROR(INDEX('الزبائن'!$BA$6:$BA$505,MATCH(B403,'الزبائن'!$A$6:$A$505,0)),"source key not found"))</x:f>
      </x:c>
      <x:c r="AC403" s="253" t="str">
        <x:f>IF(B403="","",IFERROR(INDEX('الزبائن'!$BB$6:$BB$505,MATCH(B403,'الزبائن'!$A$6:$A$505,0)),"source key not found"))</x:f>
      </x:c>
      <x:c r="AD403" s="253" t="str">
        <x:f>IF(AND(A403="",C403="",D403="",I403="",L403="",M403=""),"",IF(C403="skip","SKIP",IF(OR(A403="",C403="",D403="",I403="",L403="",M403="",U403="",COUNTIF($A$6:$A$505,A403)&gt;1,AND(B403&lt;&gt;"",COUNTIF('الزبائن'!$A$6:$A$505,B403)=0),(COUNTIFS('أرقام التواصل'!$A$6:$A$505,"proposed_name",'أرقام التواصل'!$B$6:$B$505,A403,'أرقام التواصل'!$I$6:$I$505,"TRUE")+COUNTIFS('أرقام التواصل'!$A$6:$A$505,"proposed_name",'أرقام التواصل'!$B$6:$B$505,A403,'أرقام التواصل'!$C$6:$C$505,1))=0,AND(W403="TRUE",X403="")),"REVIEW","READY")))</x:f>
      </x:c>
      <x:c r="AE403" s="255" t="str">
        <x:f>IF(AD403="","",IF(AD403="READY","",IF(AD403="SKIP","Skipped by candidate_import_action",TRIM(IF(A403="","missing proposed_name_key; ","")&amp;IF(AND(A403&lt;&gt;"",COUNTIF($A$6:$A$505,A403)&gt;1),"duplicate proposed_name_key; ","")&amp;IF(C403="","missing candidate_import_action; ","")&amp;IF(D403="","missing move_reason; ","")&amp;IF(I403="","missing branch_id; ","")&amp;IF(L403="","missing first_name; ","")&amp;IF(M403="","missing last_name; ","")&amp;IF(U403="","missing status; ","")&amp;IF(AND(B403&lt;&gt;"",COUNTIF('الزبائن'!$A$6:$A$505,B403)=0),"source key not found; ","")&amp;IF((COUNTIFS('أرقام التواصل'!$A$6:$A$505,"proposed_name",'أرقام التواصل'!$B$6:$B$505,A403,'أرقام التواصل'!$I$6:$I$505,"TRUE")+COUNTIFS('أرقام التواصل'!$A$6:$A$505,"proposed_name",'أرقام التواصل'!$B$6:$B$505,A403,'أرقام التواصل'!$C$6:$C$505,1))=0,"missing primary contact in أرقام التواصل; ","")&amp;IF(AND(W403="TRUE",X403=""),"duplicate_type required when duplicate_flag TRUE; ","")))))</x:f>
      </x:c>
    </x:row>
    <x:row r="404">
      <x:c r="A404" s="302"/>
      <x:c r="B404" s="252"/>
      <x:c r="C404" s="253"/>
      <x:c r="D404" s="253"/>
      <x:c r="E404" s="253"/>
      <x:c r="F404" s="252"/>
      <x:c r="G404" s="253"/>
      <x:c r="H404" s="272"/>
      <x:c r="I404" s="253"/>
      <x:c r="J404" s="253"/>
      <x:c r="K404" s="253"/>
      <x:c r="L404" s="253"/>
      <x:c r="M404" s="253"/>
      <x:c r="N404" s="253"/>
      <x:c r="O404" s="253" t="str">
        <x:f>IF(TRIM(L404&amp;" "&amp;M404&amp;IF(N404&lt;&gt;""," ("&amp;N404&amp;")",""))="","",TRIM(L404&amp;" "&amp;M404&amp;IF(N404&lt;&gt;""," ("&amp;N404&amp;")","")))</x:f>
      </x:c>
      <x:c r="P404" s="253"/>
      <x:c r="Q404" s="252"/>
      <x:c r="R404" s="253"/>
      <x:c r="S404" s="253"/>
      <x:c r="T404" s="253"/>
      <x:c r="U404" s="253"/>
      <x:c r="V404" s="253"/>
      <x:c r="W404" s="253"/>
      <x:c r="X404" s="253"/>
      <x:c r="Y404" s="252"/>
      <x:c r="Z404" s="252"/>
      <x:c r="AA404" s="253"/>
      <x:c r="AB404" s="253" t="str">
        <x:f>IF(B404="","",IFERROR(INDEX('الزبائن'!$BA$6:$BA$505,MATCH(B404,'الزبائن'!$A$6:$A$505,0)),"source key not found"))</x:f>
      </x:c>
      <x:c r="AC404" s="253" t="str">
        <x:f>IF(B404="","",IFERROR(INDEX('الزبائن'!$BB$6:$BB$505,MATCH(B404,'الزبائن'!$A$6:$A$505,0)),"source key not found"))</x:f>
      </x:c>
      <x:c r="AD404" s="253" t="str">
        <x:f>IF(AND(A404="",C404="",D404="",I404="",L404="",M404=""),"",IF(C404="skip","SKIP",IF(OR(A404="",C404="",D404="",I404="",L404="",M404="",U404="",COUNTIF($A$6:$A$505,A404)&gt;1,AND(B404&lt;&gt;"",COUNTIF('الزبائن'!$A$6:$A$505,B404)=0),(COUNTIFS('أرقام التواصل'!$A$6:$A$505,"proposed_name",'أرقام التواصل'!$B$6:$B$505,A404,'أرقام التواصل'!$I$6:$I$505,"TRUE")+COUNTIFS('أرقام التواصل'!$A$6:$A$505,"proposed_name",'أرقام التواصل'!$B$6:$B$505,A404,'أرقام التواصل'!$C$6:$C$505,1))=0,AND(W404="TRUE",X404="")),"REVIEW","READY")))</x:f>
      </x:c>
      <x:c r="AE404" s="255" t="str">
        <x:f>IF(AD404="","",IF(AD404="READY","",IF(AD404="SKIP","Skipped by candidate_import_action",TRIM(IF(A404="","missing proposed_name_key; ","")&amp;IF(AND(A404&lt;&gt;"",COUNTIF($A$6:$A$505,A404)&gt;1),"duplicate proposed_name_key; ","")&amp;IF(C404="","missing candidate_import_action; ","")&amp;IF(D404="","missing move_reason; ","")&amp;IF(I404="","missing branch_id; ","")&amp;IF(L404="","missing first_name; ","")&amp;IF(M404="","missing last_name; ","")&amp;IF(U404="","missing status; ","")&amp;IF(AND(B404&lt;&gt;"",COUNTIF('الزبائن'!$A$6:$A$505,B404)=0),"source key not found; ","")&amp;IF((COUNTIFS('أرقام التواصل'!$A$6:$A$505,"proposed_name",'أرقام التواصل'!$B$6:$B$505,A404,'أرقام التواصل'!$I$6:$I$505,"TRUE")+COUNTIFS('أرقام التواصل'!$A$6:$A$505,"proposed_name",'أرقام التواصل'!$B$6:$B$505,A404,'أرقام التواصل'!$C$6:$C$505,1))=0,"missing primary contact in أرقام التواصل; ","")&amp;IF(AND(W404="TRUE",X404=""),"duplicate_type required when duplicate_flag TRUE; ","")))))</x:f>
      </x:c>
    </x:row>
    <x:row r="405">
      <x:c r="A405" s="302"/>
      <x:c r="B405" s="252"/>
      <x:c r="C405" s="253"/>
      <x:c r="D405" s="253"/>
      <x:c r="E405" s="253"/>
      <x:c r="F405" s="252"/>
      <x:c r="G405" s="253"/>
      <x:c r="H405" s="272"/>
      <x:c r="I405" s="253"/>
      <x:c r="J405" s="253"/>
      <x:c r="K405" s="253"/>
      <x:c r="L405" s="253"/>
      <x:c r="M405" s="253"/>
      <x:c r="N405" s="253"/>
      <x:c r="O405" s="253" t="str">
        <x:f>IF(TRIM(L405&amp;" "&amp;M405&amp;IF(N405&lt;&gt;""," ("&amp;N405&amp;")",""))="","",TRIM(L405&amp;" "&amp;M405&amp;IF(N405&lt;&gt;""," ("&amp;N405&amp;")","")))</x:f>
      </x:c>
      <x:c r="P405" s="253"/>
      <x:c r="Q405" s="252"/>
      <x:c r="R405" s="253"/>
      <x:c r="S405" s="253"/>
      <x:c r="T405" s="253"/>
      <x:c r="U405" s="253"/>
      <x:c r="V405" s="253"/>
      <x:c r="W405" s="253"/>
      <x:c r="X405" s="253"/>
      <x:c r="Y405" s="252"/>
      <x:c r="Z405" s="252"/>
      <x:c r="AA405" s="253"/>
      <x:c r="AB405" s="253" t="str">
        <x:f>IF(B405="","",IFERROR(INDEX('الزبائن'!$BA$6:$BA$505,MATCH(B405,'الزبائن'!$A$6:$A$505,0)),"source key not found"))</x:f>
      </x:c>
      <x:c r="AC405" s="253" t="str">
        <x:f>IF(B405="","",IFERROR(INDEX('الزبائن'!$BB$6:$BB$505,MATCH(B405,'الزبائن'!$A$6:$A$505,0)),"source key not found"))</x:f>
      </x:c>
      <x:c r="AD405" s="253" t="str">
        <x:f>IF(AND(A405="",C405="",D405="",I405="",L405="",M405=""),"",IF(C405="skip","SKIP",IF(OR(A405="",C405="",D405="",I405="",L405="",M405="",U405="",COUNTIF($A$6:$A$505,A405)&gt;1,AND(B405&lt;&gt;"",COUNTIF('الزبائن'!$A$6:$A$505,B405)=0),(COUNTIFS('أرقام التواصل'!$A$6:$A$505,"proposed_name",'أرقام التواصل'!$B$6:$B$505,A405,'أرقام التواصل'!$I$6:$I$505,"TRUE")+COUNTIFS('أرقام التواصل'!$A$6:$A$505,"proposed_name",'أرقام التواصل'!$B$6:$B$505,A405,'أرقام التواصل'!$C$6:$C$505,1))=0,AND(W405="TRUE",X405="")),"REVIEW","READY")))</x:f>
      </x:c>
      <x:c r="AE405" s="255" t="str">
        <x:f>IF(AD405="","",IF(AD405="READY","",IF(AD405="SKIP","Skipped by candidate_import_action",TRIM(IF(A405="","missing proposed_name_key; ","")&amp;IF(AND(A405&lt;&gt;"",COUNTIF($A$6:$A$505,A405)&gt;1),"duplicate proposed_name_key; ","")&amp;IF(C405="","missing candidate_import_action; ","")&amp;IF(D405="","missing move_reason; ","")&amp;IF(I405="","missing branch_id; ","")&amp;IF(L405="","missing first_name; ","")&amp;IF(M405="","missing last_name; ","")&amp;IF(U405="","missing status; ","")&amp;IF(AND(B405&lt;&gt;"",COUNTIF('الزبائن'!$A$6:$A$505,B405)=0),"source key not found; ","")&amp;IF((COUNTIFS('أرقام التواصل'!$A$6:$A$505,"proposed_name",'أرقام التواصل'!$B$6:$B$505,A405,'أرقام التواصل'!$I$6:$I$505,"TRUE")+COUNTIFS('أرقام التواصل'!$A$6:$A$505,"proposed_name",'أرقام التواصل'!$B$6:$B$505,A405,'أرقام التواصل'!$C$6:$C$505,1))=0,"missing primary contact in أرقام التواصل; ","")&amp;IF(AND(W405="TRUE",X405=""),"duplicate_type required when duplicate_flag TRUE; ","")))))</x:f>
      </x:c>
    </x:row>
    <x:row r="406">
      <x:c r="A406" s="302"/>
      <x:c r="B406" s="252"/>
      <x:c r="C406" s="253"/>
      <x:c r="D406" s="253"/>
      <x:c r="E406" s="253"/>
      <x:c r="F406" s="252"/>
      <x:c r="G406" s="253"/>
      <x:c r="H406" s="272"/>
      <x:c r="I406" s="253"/>
      <x:c r="J406" s="253"/>
      <x:c r="K406" s="253"/>
      <x:c r="L406" s="253"/>
      <x:c r="M406" s="253"/>
      <x:c r="N406" s="253"/>
      <x:c r="O406" s="253" t="str">
        <x:f>IF(TRIM(L406&amp;" "&amp;M406&amp;IF(N406&lt;&gt;""," ("&amp;N406&amp;")",""))="","",TRIM(L406&amp;" "&amp;M406&amp;IF(N406&lt;&gt;""," ("&amp;N406&amp;")","")))</x:f>
      </x:c>
      <x:c r="P406" s="253"/>
      <x:c r="Q406" s="252"/>
      <x:c r="R406" s="253"/>
      <x:c r="S406" s="253"/>
      <x:c r="T406" s="253"/>
      <x:c r="U406" s="253"/>
      <x:c r="V406" s="253"/>
      <x:c r="W406" s="253"/>
      <x:c r="X406" s="253"/>
      <x:c r="Y406" s="252"/>
      <x:c r="Z406" s="252"/>
      <x:c r="AA406" s="253"/>
      <x:c r="AB406" s="253" t="str">
        <x:f>IF(B406="","",IFERROR(INDEX('الزبائن'!$BA$6:$BA$505,MATCH(B406,'الزبائن'!$A$6:$A$505,0)),"source key not found"))</x:f>
      </x:c>
      <x:c r="AC406" s="253" t="str">
        <x:f>IF(B406="","",IFERROR(INDEX('الزبائن'!$BB$6:$BB$505,MATCH(B406,'الزبائن'!$A$6:$A$505,0)),"source key not found"))</x:f>
      </x:c>
      <x:c r="AD406" s="253" t="str">
        <x:f>IF(AND(A406="",C406="",D406="",I406="",L406="",M406=""),"",IF(C406="skip","SKIP",IF(OR(A406="",C406="",D406="",I406="",L406="",M406="",U406="",COUNTIF($A$6:$A$505,A406)&gt;1,AND(B406&lt;&gt;"",COUNTIF('الزبائن'!$A$6:$A$505,B406)=0),(COUNTIFS('أرقام التواصل'!$A$6:$A$505,"proposed_name",'أرقام التواصل'!$B$6:$B$505,A406,'أرقام التواصل'!$I$6:$I$505,"TRUE")+COUNTIFS('أرقام التواصل'!$A$6:$A$505,"proposed_name",'أرقام التواصل'!$B$6:$B$505,A406,'أرقام التواصل'!$C$6:$C$505,1))=0,AND(W406="TRUE",X406="")),"REVIEW","READY")))</x:f>
      </x:c>
      <x:c r="AE406" s="255" t="str">
        <x:f>IF(AD406="","",IF(AD406="READY","",IF(AD406="SKIP","Skipped by candidate_import_action",TRIM(IF(A406="","missing proposed_name_key; ","")&amp;IF(AND(A406&lt;&gt;"",COUNTIF($A$6:$A$505,A406)&gt;1),"duplicate proposed_name_key; ","")&amp;IF(C406="","missing candidate_import_action; ","")&amp;IF(D406="","missing move_reason; ","")&amp;IF(I406="","missing branch_id; ","")&amp;IF(L406="","missing first_name; ","")&amp;IF(M406="","missing last_name; ","")&amp;IF(U406="","missing status; ","")&amp;IF(AND(B406&lt;&gt;"",COUNTIF('الزبائن'!$A$6:$A$505,B406)=0),"source key not found; ","")&amp;IF((COUNTIFS('أرقام التواصل'!$A$6:$A$505,"proposed_name",'أرقام التواصل'!$B$6:$B$505,A406,'أرقام التواصل'!$I$6:$I$505,"TRUE")+COUNTIFS('أرقام التواصل'!$A$6:$A$505,"proposed_name",'أرقام التواصل'!$B$6:$B$505,A406,'أرقام التواصل'!$C$6:$C$505,1))=0,"missing primary contact in أرقام التواصل; ","")&amp;IF(AND(W406="TRUE",X406=""),"duplicate_type required when duplicate_flag TRUE; ","")))))</x:f>
      </x:c>
    </x:row>
    <x:row r="407">
      <x:c r="A407" s="302"/>
      <x:c r="B407" s="252"/>
      <x:c r="C407" s="253"/>
      <x:c r="D407" s="253"/>
      <x:c r="E407" s="253"/>
      <x:c r="F407" s="252"/>
      <x:c r="G407" s="253"/>
      <x:c r="H407" s="272"/>
      <x:c r="I407" s="253"/>
      <x:c r="J407" s="253"/>
      <x:c r="K407" s="253"/>
      <x:c r="L407" s="253"/>
      <x:c r="M407" s="253"/>
      <x:c r="N407" s="253"/>
      <x:c r="O407" s="253" t="str">
        <x:f>IF(TRIM(L407&amp;" "&amp;M407&amp;IF(N407&lt;&gt;""," ("&amp;N407&amp;")",""))="","",TRIM(L407&amp;" "&amp;M407&amp;IF(N407&lt;&gt;""," ("&amp;N407&amp;")","")))</x:f>
      </x:c>
      <x:c r="P407" s="253"/>
      <x:c r="Q407" s="252"/>
      <x:c r="R407" s="253"/>
      <x:c r="S407" s="253"/>
      <x:c r="T407" s="253"/>
      <x:c r="U407" s="253"/>
      <x:c r="V407" s="253"/>
      <x:c r="W407" s="253"/>
      <x:c r="X407" s="253"/>
      <x:c r="Y407" s="252"/>
      <x:c r="Z407" s="252"/>
      <x:c r="AA407" s="253"/>
      <x:c r="AB407" s="253" t="str">
        <x:f>IF(B407="","",IFERROR(INDEX('الزبائن'!$BA$6:$BA$505,MATCH(B407,'الزبائن'!$A$6:$A$505,0)),"source key not found"))</x:f>
      </x:c>
      <x:c r="AC407" s="253" t="str">
        <x:f>IF(B407="","",IFERROR(INDEX('الزبائن'!$BB$6:$BB$505,MATCH(B407,'الزبائن'!$A$6:$A$505,0)),"source key not found"))</x:f>
      </x:c>
      <x:c r="AD407" s="253" t="str">
        <x:f>IF(AND(A407="",C407="",D407="",I407="",L407="",M407=""),"",IF(C407="skip","SKIP",IF(OR(A407="",C407="",D407="",I407="",L407="",M407="",U407="",COUNTIF($A$6:$A$505,A407)&gt;1,AND(B407&lt;&gt;"",COUNTIF('الزبائن'!$A$6:$A$505,B407)=0),(COUNTIFS('أرقام التواصل'!$A$6:$A$505,"proposed_name",'أرقام التواصل'!$B$6:$B$505,A407,'أرقام التواصل'!$I$6:$I$505,"TRUE")+COUNTIFS('أرقام التواصل'!$A$6:$A$505,"proposed_name",'أرقام التواصل'!$B$6:$B$505,A407,'أرقام التواصل'!$C$6:$C$505,1))=0,AND(W407="TRUE",X407="")),"REVIEW","READY")))</x:f>
      </x:c>
      <x:c r="AE407" s="255" t="str">
        <x:f>IF(AD407="","",IF(AD407="READY","",IF(AD407="SKIP","Skipped by candidate_import_action",TRIM(IF(A407="","missing proposed_name_key; ","")&amp;IF(AND(A407&lt;&gt;"",COUNTIF($A$6:$A$505,A407)&gt;1),"duplicate proposed_name_key; ","")&amp;IF(C407="","missing candidate_import_action; ","")&amp;IF(D407="","missing move_reason; ","")&amp;IF(I407="","missing branch_id; ","")&amp;IF(L407="","missing first_name; ","")&amp;IF(M407="","missing last_name; ","")&amp;IF(U407="","missing status; ","")&amp;IF(AND(B407&lt;&gt;"",COUNTIF('الزبائن'!$A$6:$A$505,B407)=0),"source key not found; ","")&amp;IF((COUNTIFS('أرقام التواصل'!$A$6:$A$505,"proposed_name",'أرقام التواصل'!$B$6:$B$505,A407,'أرقام التواصل'!$I$6:$I$505,"TRUE")+COUNTIFS('أرقام التواصل'!$A$6:$A$505,"proposed_name",'أرقام التواصل'!$B$6:$B$505,A407,'أرقام التواصل'!$C$6:$C$505,1))=0,"missing primary contact in أرقام التواصل; ","")&amp;IF(AND(W407="TRUE",X407=""),"duplicate_type required when duplicate_flag TRUE; ","")))))</x:f>
      </x:c>
    </x:row>
    <x:row r="408">
      <x:c r="A408" s="302"/>
      <x:c r="B408" s="252"/>
      <x:c r="C408" s="253"/>
      <x:c r="D408" s="253"/>
      <x:c r="E408" s="253"/>
      <x:c r="F408" s="252"/>
      <x:c r="G408" s="253"/>
      <x:c r="H408" s="272"/>
      <x:c r="I408" s="253"/>
      <x:c r="J408" s="253"/>
      <x:c r="K408" s="253"/>
      <x:c r="L408" s="253"/>
      <x:c r="M408" s="253"/>
      <x:c r="N408" s="253"/>
      <x:c r="O408" s="253" t="str">
        <x:f>IF(TRIM(L408&amp;" "&amp;M408&amp;IF(N408&lt;&gt;""," ("&amp;N408&amp;")",""))="","",TRIM(L408&amp;" "&amp;M408&amp;IF(N408&lt;&gt;""," ("&amp;N408&amp;")","")))</x:f>
      </x:c>
      <x:c r="P408" s="253"/>
      <x:c r="Q408" s="252"/>
      <x:c r="R408" s="253"/>
      <x:c r="S408" s="253"/>
      <x:c r="T408" s="253"/>
      <x:c r="U408" s="253"/>
      <x:c r="V408" s="253"/>
      <x:c r="W408" s="253"/>
      <x:c r="X408" s="253"/>
      <x:c r="Y408" s="252"/>
      <x:c r="Z408" s="252"/>
      <x:c r="AA408" s="253"/>
      <x:c r="AB408" s="253" t="str">
        <x:f>IF(B408="","",IFERROR(INDEX('الزبائن'!$BA$6:$BA$505,MATCH(B408,'الزبائن'!$A$6:$A$505,0)),"source key not found"))</x:f>
      </x:c>
      <x:c r="AC408" s="253" t="str">
        <x:f>IF(B408="","",IFERROR(INDEX('الزبائن'!$BB$6:$BB$505,MATCH(B408,'الزبائن'!$A$6:$A$505,0)),"source key not found"))</x:f>
      </x:c>
      <x:c r="AD408" s="253" t="str">
        <x:f>IF(AND(A408="",C408="",D408="",I408="",L408="",M408=""),"",IF(C408="skip","SKIP",IF(OR(A408="",C408="",D408="",I408="",L408="",M408="",U408="",COUNTIF($A$6:$A$505,A408)&gt;1,AND(B408&lt;&gt;"",COUNTIF('الزبائن'!$A$6:$A$505,B408)=0),(COUNTIFS('أرقام التواصل'!$A$6:$A$505,"proposed_name",'أرقام التواصل'!$B$6:$B$505,A408,'أرقام التواصل'!$I$6:$I$505,"TRUE")+COUNTIFS('أرقام التواصل'!$A$6:$A$505,"proposed_name",'أرقام التواصل'!$B$6:$B$505,A408,'أرقام التواصل'!$C$6:$C$505,1))=0,AND(W408="TRUE",X408="")),"REVIEW","READY")))</x:f>
      </x:c>
      <x:c r="AE408" s="255" t="str">
        <x:f>IF(AD408="","",IF(AD408="READY","",IF(AD408="SKIP","Skipped by candidate_import_action",TRIM(IF(A408="","missing proposed_name_key; ","")&amp;IF(AND(A408&lt;&gt;"",COUNTIF($A$6:$A$505,A408)&gt;1),"duplicate proposed_name_key; ","")&amp;IF(C408="","missing candidate_import_action; ","")&amp;IF(D408="","missing move_reason; ","")&amp;IF(I408="","missing branch_id; ","")&amp;IF(L408="","missing first_name; ","")&amp;IF(M408="","missing last_name; ","")&amp;IF(U408="","missing status; ","")&amp;IF(AND(B408&lt;&gt;"",COUNTIF('الزبائن'!$A$6:$A$505,B408)=0),"source key not found; ","")&amp;IF((COUNTIFS('أرقام التواصل'!$A$6:$A$505,"proposed_name",'أرقام التواصل'!$B$6:$B$505,A408,'أرقام التواصل'!$I$6:$I$505,"TRUE")+COUNTIFS('أرقام التواصل'!$A$6:$A$505,"proposed_name",'أرقام التواصل'!$B$6:$B$505,A408,'أرقام التواصل'!$C$6:$C$505,1))=0,"missing primary contact in أرقام التواصل; ","")&amp;IF(AND(W408="TRUE",X408=""),"duplicate_type required when duplicate_flag TRUE; ","")))))</x:f>
      </x:c>
    </x:row>
    <x:row r="409">
      <x:c r="A409" s="302"/>
      <x:c r="B409" s="252"/>
      <x:c r="C409" s="253"/>
      <x:c r="D409" s="253"/>
      <x:c r="E409" s="253"/>
      <x:c r="F409" s="252"/>
      <x:c r="G409" s="253"/>
      <x:c r="H409" s="272"/>
      <x:c r="I409" s="253"/>
      <x:c r="J409" s="253"/>
      <x:c r="K409" s="253"/>
      <x:c r="L409" s="253"/>
      <x:c r="M409" s="253"/>
      <x:c r="N409" s="253"/>
      <x:c r="O409" s="253" t="str">
        <x:f>IF(TRIM(L409&amp;" "&amp;M409&amp;IF(N409&lt;&gt;""," ("&amp;N409&amp;")",""))="","",TRIM(L409&amp;" "&amp;M409&amp;IF(N409&lt;&gt;""," ("&amp;N409&amp;")","")))</x:f>
      </x:c>
      <x:c r="P409" s="253"/>
      <x:c r="Q409" s="252"/>
      <x:c r="R409" s="253"/>
      <x:c r="S409" s="253"/>
      <x:c r="T409" s="253"/>
      <x:c r="U409" s="253"/>
      <x:c r="V409" s="253"/>
      <x:c r="W409" s="253"/>
      <x:c r="X409" s="253"/>
      <x:c r="Y409" s="252"/>
      <x:c r="Z409" s="252"/>
      <x:c r="AA409" s="253"/>
      <x:c r="AB409" s="253" t="str">
        <x:f>IF(B409="","",IFERROR(INDEX('الزبائن'!$BA$6:$BA$505,MATCH(B409,'الزبائن'!$A$6:$A$505,0)),"source key not found"))</x:f>
      </x:c>
      <x:c r="AC409" s="253" t="str">
        <x:f>IF(B409="","",IFERROR(INDEX('الزبائن'!$BB$6:$BB$505,MATCH(B409,'الزبائن'!$A$6:$A$505,0)),"source key not found"))</x:f>
      </x:c>
      <x:c r="AD409" s="253" t="str">
        <x:f>IF(AND(A409="",C409="",D409="",I409="",L409="",M409=""),"",IF(C409="skip","SKIP",IF(OR(A409="",C409="",D409="",I409="",L409="",M409="",U409="",COUNTIF($A$6:$A$505,A409)&gt;1,AND(B409&lt;&gt;"",COUNTIF('الزبائن'!$A$6:$A$505,B409)=0),(COUNTIFS('أرقام التواصل'!$A$6:$A$505,"proposed_name",'أرقام التواصل'!$B$6:$B$505,A409,'أرقام التواصل'!$I$6:$I$505,"TRUE")+COUNTIFS('أرقام التواصل'!$A$6:$A$505,"proposed_name",'أرقام التواصل'!$B$6:$B$505,A409,'أرقام التواصل'!$C$6:$C$505,1))=0,AND(W409="TRUE",X409="")),"REVIEW","READY")))</x:f>
      </x:c>
      <x:c r="AE409" s="255" t="str">
        <x:f>IF(AD409="","",IF(AD409="READY","",IF(AD409="SKIP","Skipped by candidate_import_action",TRIM(IF(A409="","missing proposed_name_key; ","")&amp;IF(AND(A409&lt;&gt;"",COUNTIF($A$6:$A$505,A409)&gt;1),"duplicate proposed_name_key; ","")&amp;IF(C409="","missing candidate_import_action; ","")&amp;IF(D409="","missing move_reason; ","")&amp;IF(I409="","missing branch_id; ","")&amp;IF(L409="","missing first_name; ","")&amp;IF(M409="","missing last_name; ","")&amp;IF(U409="","missing status; ","")&amp;IF(AND(B409&lt;&gt;"",COUNTIF('الزبائن'!$A$6:$A$505,B409)=0),"source key not found; ","")&amp;IF((COUNTIFS('أرقام التواصل'!$A$6:$A$505,"proposed_name",'أرقام التواصل'!$B$6:$B$505,A409,'أرقام التواصل'!$I$6:$I$505,"TRUE")+COUNTIFS('أرقام التواصل'!$A$6:$A$505,"proposed_name",'أرقام التواصل'!$B$6:$B$505,A409,'أرقام التواصل'!$C$6:$C$505,1))=0,"missing primary contact in أرقام التواصل; ","")&amp;IF(AND(W409="TRUE",X409=""),"duplicate_type required when duplicate_flag TRUE; ","")))))</x:f>
      </x:c>
    </x:row>
    <x:row r="410">
      <x:c r="A410" s="302"/>
      <x:c r="B410" s="252"/>
      <x:c r="C410" s="253"/>
      <x:c r="D410" s="253"/>
      <x:c r="E410" s="253"/>
      <x:c r="F410" s="252"/>
      <x:c r="G410" s="253"/>
      <x:c r="H410" s="272"/>
      <x:c r="I410" s="253"/>
      <x:c r="J410" s="253"/>
      <x:c r="K410" s="253"/>
      <x:c r="L410" s="253"/>
      <x:c r="M410" s="253"/>
      <x:c r="N410" s="253"/>
      <x:c r="O410" s="253" t="str">
        <x:f>IF(TRIM(L410&amp;" "&amp;M410&amp;IF(N410&lt;&gt;""," ("&amp;N410&amp;")",""))="","",TRIM(L410&amp;" "&amp;M410&amp;IF(N410&lt;&gt;""," ("&amp;N410&amp;")","")))</x:f>
      </x:c>
      <x:c r="P410" s="253"/>
      <x:c r="Q410" s="252"/>
      <x:c r="R410" s="253"/>
      <x:c r="S410" s="253"/>
      <x:c r="T410" s="253"/>
      <x:c r="U410" s="253"/>
      <x:c r="V410" s="253"/>
      <x:c r="W410" s="253"/>
      <x:c r="X410" s="253"/>
      <x:c r="Y410" s="252"/>
      <x:c r="Z410" s="252"/>
      <x:c r="AA410" s="253"/>
      <x:c r="AB410" s="253" t="str">
        <x:f>IF(B410="","",IFERROR(INDEX('الزبائن'!$BA$6:$BA$505,MATCH(B410,'الزبائن'!$A$6:$A$505,0)),"source key not found"))</x:f>
      </x:c>
      <x:c r="AC410" s="253" t="str">
        <x:f>IF(B410="","",IFERROR(INDEX('الزبائن'!$BB$6:$BB$505,MATCH(B410,'الزبائن'!$A$6:$A$505,0)),"source key not found"))</x:f>
      </x:c>
      <x:c r="AD410" s="253" t="str">
        <x:f>IF(AND(A410="",C410="",D410="",I410="",L410="",M410=""),"",IF(C410="skip","SKIP",IF(OR(A410="",C410="",D410="",I410="",L410="",M410="",U410="",COUNTIF($A$6:$A$505,A410)&gt;1,AND(B410&lt;&gt;"",COUNTIF('الزبائن'!$A$6:$A$505,B410)=0),(COUNTIFS('أرقام التواصل'!$A$6:$A$505,"proposed_name",'أرقام التواصل'!$B$6:$B$505,A410,'أرقام التواصل'!$I$6:$I$505,"TRUE")+COUNTIFS('أرقام التواصل'!$A$6:$A$505,"proposed_name",'أرقام التواصل'!$B$6:$B$505,A410,'أرقام التواصل'!$C$6:$C$505,1))=0,AND(W410="TRUE",X410="")),"REVIEW","READY")))</x:f>
      </x:c>
      <x:c r="AE410" s="255" t="str">
        <x:f>IF(AD410="","",IF(AD410="READY","",IF(AD410="SKIP","Skipped by candidate_import_action",TRIM(IF(A410="","missing proposed_name_key; ","")&amp;IF(AND(A410&lt;&gt;"",COUNTIF($A$6:$A$505,A410)&gt;1),"duplicate proposed_name_key; ","")&amp;IF(C410="","missing candidate_import_action; ","")&amp;IF(D410="","missing move_reason; ","")&amp;IF(I410="","missing branch_id; ","")&amp;IF(L410="","missing first_name; ","")&amp;IF(M410="","missing last_name; ","")&amp;IF(U410="","missing status; ","")&amp;IF(AND(B410&lt;&gt;"",COUNTIF('الزبائن'!$A$6:$A$505,B410)=0),"source key not found; ","")&amp;IF((COUNTIFS('أرقام التواصل'!$A$6:$A$505,"proposed_name",'أرقام التواصل'!$B$6:$B$505,A410,'أرقام التواصل'!$I$6:$I$505,"TRUE")+COUNTIFS('أرقام التواصل'!$A$6:$A$505,"proposed_name",'أرقام التواصل'!$B$6:$B$505,A410,'أرقام التواصل'!$C$6:$C$505,1))=0,"missing primary contact in أرقام التواصل; ","")&amp;IF(AND(W410="TRUE",X410=""),"duplicate_type required when duplicate_flag TRUE; ","")))))</x:f>
      </x:c>
    </x:row>
    <x:row r="411">
      <x:c r="A411" s="302"/>
      <x:c r="B411" s="252"/>
      <x:c r="C411" s="253"/>
      <x:c r="D411" s="253"/>
      <x:c r="E411" s="253"/>
      <x:c r="F411" s="252"/>
      <x:c r="G411" s="253"/>
      <x:c r="H411" s="272"/>
      <x:c r="I411" s="253"/>
      <x:c r="J411" s="253"/>
      <x:c r="K411" s="253"/>
      <x:c r="L411" s="253"/>
      <x:c r="M411" s="253"/>
      <x:c r="N411" s="253"/>
      <x:c r="O411" s="253" t="str">
        <x:f>IF(TRIM(L411&amp;" "&amp;M411&amp;IF(N411&lt;&gt;""," ("&amp;N411&amp;")",""))="","",TRIM(L411&amp;" "&amp;M411&amp;IF(N411&lt;&gt;""," ("&amp;N411&amp;")","")))</x:f>
      </x:c>
      <x:c r="P411" s="253"/>
      <x:c r="Q411" s="252"/>
      <x:c r="R411" s="253"/>
      <x:c r="S411" s="253"/>
      <x:c r="T411" s="253"/>
      <x:c r="U411" s="253"/>
      <x:c r="V411" s="253"/>
      <x:c r="W411" s="253"/>
      <x:c r="X411" s="253"/>
      <x:c r="Y411" s="252"/>
      <x:c r="Z411" s="252"/>
      <x:c r="AA411" s="253"/>
      <x:c r="AB411" s="253" t="str">
        <x:f>IF(B411="","",IFERROR(INDEX('الزبائن'!$BA$6:$BA$505,MATCH(B411,'الزبائن'!$A$6:$A$505,0)),"source key not found"))</x:f>
      </x:c>
      <x:c r="AC411" s="253" t="str">
        <x:f>IF(B411="","",IFERROR(INDEX('الزبائن'!$BB$6:$BB$505,MATCH(B411,'الزبائن'!$A$6:$A$505,0)),"source key not found"))</x:f>
      </x:c>
      <x:c r="AD411" s="253" t="str">
        <x:f>IF(AND(A411="",C411="",D411="",I411="",L411="",M411=""),"",IF(C411="skip","SKIP",IF(OR(A411="",C411="",D411="",I411="",L411="",M411="",U411="",COUNTIF($A$6:$A$505,A411)&gt;1,AND(B411&lt;&gt;"",COUNTIF('الزبائن'!$A$6:$A$505,B411)=0),(COUNTIFS('أرقام التواصل'!$A$6:$A$505,"proposed_name",'أرقام التواصل'!$B$6:$B$505,A411,'أرقام التواصل'!$I$6:$I$505,"TRUE")+COUNTIFS('أرقام التواصل'!$A$6:$A$505,"proposed_name",'أرقام التواصل'!$B$6:$B$505,A411,'أرقام التواصل'!$C$6:$C$505,1))=0,AND(W411="TRUE",X411="")),"REVIEW","READY")))</x:f>
      </x:c>
      <x:c r="AE411" s="255" t="str">
        <x:f>IF(AD411="","",IF(AD411="READY","",IF(AD411="SKIP","Skipped by candidate_import_action",TRIM(IF(A411="","missing proposed_name_key; ","")&amp;IF(AND(A411&lt;&gt;"",COUNTIF($A$6:$A$505,A411)&gt;1),"duplicate proposed_name_key; ","")&amp;IF(C411="","missing candidate_import_action; ","")&amp;IF(D411="","missing move_reason; ","")&amp;IF(I411="","missing branch_id; ","")&amp;IF(L411="","missing first_name; ","")&amp;IF(M411="","missing last_name; ","")&amp;IF(U411="","missing status; ","")&amp;IF(AND(B411&lt;&gt;"",COUNTIF('الزبائن'!$A$6:$A$505,B411)=0),"source key not found; ","")&amp;IF((COUNTIFS('أرقام التواصل'!$A$6:$A$505,"proposed_name",'أرقام التواصل'!$B$6:$B$505,A411,'أرقام التواصل'!$I$6:$I$505,"TRUE")+COUNTIFS('أرقام التواصل'!$A$6:$A$505,"proposed_name",'أرقام التواصل'!$B$6:$B$505,A411,'أرقام التواصل'!$C$6:$C$505,1))=0,"missing primary contact in أرقام التواصل; ","")&amp;IF(AND(W411="TRUE",X411=""),"duplicate_type required when duplicate_flag TRUE; ","")))))</x:f>
      </x:c>
    </x:row>
    <x:row r="412">
      <x:c r="A412" s="302"/>
      <x:c r="B412" s="252"/>
      <x:c r="C412" s="253"/>
      <x:c r="D412" s="253"/>
      <x:c r="E412" s="253"/>
      <x:c r="F412" s="252"/>
      <x:c r="G412" s="253"/>
      <x:c r="H412" s="272"/>
      <x:c r="I412" s="253"/>
      <x:c r="J412" s="253"/>
      <x:c r="K412" s="253"/>
      <x:c r="L412" s="253"/>
      <x:c r="M412" s="253"/>
      <x:c r="N412" s="253"/>
      <x:c r="O412" s="253" t="str">
        <x:f>IF(TRIM(L412&amp;" "&amp;M412&amp;IF(N412&lt;&gt;""," ("&amp;N412&amp;")",""))="","",TRIM(L412&amp;" "&amp;M412&amp;IF(N412&lt;&gt;""," ("&amp;N412&amp;")","")))</x:f>
      </x:c>
      <x:c r="P412" s="253"/>
      <x:c r="Q412" s="252"/>
      <x:c r="R412" s="253"/>
      <x:c r="S412" s="253"/>
      <x:c r="T412" s="253"/>
      <x:c r="U412" s="253"/>
      <x:c r="V412" s="253"/>
      <x:c r="W412" s="253"/>
      <x:c r="X412" s="253"/>
      <x:c r="Y412" s="252"/>
      <x:c r="Z412" s="252"/>
      <x:c r="AA412" s="253"/>
      <x:c r="AB412" s="253" t="str">
        <x:f>IF(B412="","",IFERROR(INDEX('الزبائن'!$BA$6:$BA$505,MATCH(B412,'الزبائن'!$A$6:$A$505,0)),"source key not found"))</x:f>
      </x:c>
      <x:c r="AC412" s="253" t="str">
        <x:f>IF(B412="","",IFERROR(INDEX('الزبائن'!$BB$6:$BB$505,MATCH(B412,'الزبائن'!$A$6:$A$505,0)),"source key not found"))</x:f>
      </x:c>
      <x:c r="AD412" s="253" t="str">
        <x:f>IF(AND(A412="",C412="",D412="",I412="",L412="",M412=""),"",IF(C412="skip","SKIP",IF(OR(A412="",C412="",D412="",I412="",L412="",M412="",U412="",COUNTIF($A$6:$A$505,A412)&gt;1,AND(B412&lt;&gt;"",COUNTIF('الزبائن'!$A$6:$A$505,B412)=0),(COUNTIFS('أرقام التواصل'!$A$6:$A$505,"proposed_name",'أرقام التواصل'!$B$6:$B$505,A412,'أرقام التواصل'!$I$6:$I$505,"TRUE")+COUNTIFS('أرقام التواصل'!$A$6:$A$505,"proposed_name",'أرقام التواصل'!$B$6:$B$505,A412,'أرقام التواصل'!$C$6:$C$505,1))=0,AND(W412="TRUE",X412="")),"REVIEW","READY")))</x:f>
      </x:c>
      <x:c r="AE412" s="255" t="str">
        <x:f>IF(AD412="","",IF(AD412="READY","",IF(AD412="SKIP","Skipped by candidate_import_action",TRIM(IF(A412="","missing proposed_name_key; ","")&amp;IF(AND(A412&lt;&gt;"",COUNTIF($A$6:$A$505,A412)&gt;1),"duplicate proposed_name_key; ","")&amp;IF(C412="","missing candidate_import_action; ","")&amp;IF(D412="","missing move_reason; ","")&amp;IF(I412="","missing branch_id; ","")&amp;IF(L412="","missing first_name; ","")&amp;IF(M412="","missing last_name; ","")&amp;IF(U412="","missing status; ","")&amp;IF(AND(B412&lt;&gt;"",COUNTIF('الزبائن'!$A$6:$A$505,B412)=0),"source key not found; ","")&amp;IF((COUNTIFS('أرقام التواصل'!$A$6:$A$505,"proposed_name",'أرقام التواصل'!$B$6:$B$505,A412,'أرقام التواصل'!$I$6:$I$505,"TRUE")+COUNTIFS('أرقام التواصل'!$A$6:$A$505,"proposed_name",'أرقام التواصل'!$B$6:$B$505,A412,'أرقام التواصل'!$C$6:$C$505,1))=0,"missing primary contact in أرقام التواصل; ","")&amp;IF(AND(W412="TRUE",X412=""),"duplicate_type required when duplicate_flag TRUE; ","")))))</x:f>
      </x:c>
    </x:row>
    <x:row r="413">
      <x:c r="A413" s="302"/>
      <x:c r="B413" s="252"/>
      <x:c r="C413" s="253"/>
      <x:c r="D413" s="253"/>
      <x:c r="E413" s="253"/>
      <x:c r="F413" s="252"/>
      <x:c r="G413" s="253"/>
      <x:c r="H413" s="272"/>
      <x:c r="I413" s="253"/>
      <x:c r="J413" s="253"/>
      <x:c r="K413" s="253"/>
      <x:c r="L413" s="253"/>
      <x:c r="M413" s="253"/>
      <x:c r="N413" s="253"/>
      <x:c r="O413" s="253" t="str">
        <x:f>IF(TRIM(L413&amp;" "&amp;M413&amp;IF(N413&lt;&gt;""," ("&amp;N413&amp;")",""))="","",TRIM(L413&amp;" "&amp;M413&amp;IF(N413&lt;&gt;""," ("&amp;N413&amp;")","")))</x:f>
      </x:c>
      <x:c r="P413" s="253"/>
      <x:c r="Q413" s="252"/>
      <x:c r="R413" s="253"/>
      <x:c r="S413" s="253"/>
      <x:c r="T413" s="253"/>
      <x:c r="U413" s="253"/>
      <x:c r="V413" s="253"/>
      <x:c r="W413" s="253"/>
      <x:c r="X413" s="253"/>
      <x:c r="Y413" s="252"/>
      <x:c r="Z413" s="252"/>
      <x:c r="AA413" s="253"/>
      <x:c r="AB413" s="253" t="str">
        <x:f>IF(B413="","",IFERROR(INDEX('الزبائن'!$BA$6:$BA$505,MATCH(B413,'الزبائن'!$A$6:$A$505,0)),"source key not found"))</x:f>
      </x:c>
      <x:c r="AC413" s="253" t="str">
        <x:f>IF(B413="","",IFERROR(INDEX('الزبائن'!$BB$6:$BB$505,MATCH(B413,'الزبائن'!$A$6:$A$505,0)),"source key not found"))</x:f>
      </x:c>
      <x:c r="AD413" s="253" t="str">
        <x:f>IF(AND(A413="",C413="",D413="",I413="",L413="",M413=""),"",IF(C413="skip","SKIP",IF(OR(A413="",C413="",D413="",I413="",L413="",M413="",U413="",COUNTIF($A$6:$A$505,A413)&gt;1,AND(B413&lt;&gt;"",COUNTIF('الزبائن'!$A$6:$A$505,B413)=0),(COUNTIFS('أرقام التواصل'!$A$6:$A$505,"proposed_name",'أرقام التواصل'!$B$6:$B$505,A413,'أرقام التواصل'!$I$6:$I$505,"TRUE")+COUNTIFS('أرقام التواصل'!$A$6:$A$505,"proposed_name",'أرقام التواصل'!$B$6:$B$505,A413,'أرقام التواصل'!$C$6:$C$505,1))=0,AND(W413="TRUE",X413="")),"REVIEW","READY")))</x:f>
      </x:c>
      <x:c r="AE413" s="255" t="str">
        <x:f>IF(AD413="","",IF(AD413="READY","",IF(AD413="SKIP","Skipped by candidate_import_action",TRIM(IF(A413="","missing proposed_name_key; ","")&amp;IF(AND(A413&lt;&gt;"",COUNTIF($A$6:$A$505,A413)&gt;1),"duplicate proposed_name_key; ","")&amp;IF(C413="","missing candidate_import_action; ","")&amp;IF(D413="","missing move_reason; ","")&amp;IF(I413="","missing branch_id; ","")&amp;IF(L413="","missing first_name; ","")&amp;IF(M413="","missing last_name; ","")&amp;IF(U413="","missing status; ","")&amp;IF(AND(B413&lt;&gt;"",COUNTIF('الزبائن'!$A$6:$A$505,B413)=0),"source key not found; ","")&amp;IF((COUNTIFS('أرقام التواصل'!$A$6:$A$505,"proposed_name",'أرقام التواصل'!$B$6:$B$505,A413,'أرقام التواصل'!$I$6:$I$505,"TRUE")+COUNTIFS('أرقام التواصل'!$A$6:$A$505,"proposed_name",'أرقام التواصل'!$B$6:$B$505,A413,'أرقام التواصل'!$C$6:$C$505,1))=0,"missing primary contact in أرقام التواصل; ","")&amp;IF(AND(W413="TRUE",X413=""),"duplicate_type required when duplicate_flag TRUE; ","")))))</x:f>
      </x:c>
    </x:row>
    <x:row r="414">
      <x:c r="A414" s="302"/>
      <x:c r="B414" s="252"/>
      <x:c r="C414" s="253"/>
      <x:c r="D414" s="253"/>
      <x:c r="E414" s="253"/>
      <x:c r="F414" s="252"/>
      <x:c r="G414" s="253"/>
      <x:c r="H414" s="272"/>
      <x:c r="I414" s="253"/>
      <x:c r="J414" s="253"/>
      <x:c r="K414" s="253"/>
      <x:c r="L414" s="253"/>
      <x:c r="M414" s="253"/>
      <x:c r="N414" s="253"/>
      <x:c r="O414" s="253" t="str">
        <x:f>IF(TRIM(L414&amp;" "&amp;M414&amp;IF(N414&lt;&gt;""," ("&amp;N414&amp;")",""))="","",TRIM(L414&amp;" "&amp;M414&amp;IF(N414&lt;&gt;""," ("&amp;N414&amp;")","")))</x:f>
      </x:c>
      <x:c r="P414" s="253"/>
      <x:c r="Q414" s="252"/>
      <x:c r="R414" s="253"/>
      <x:c r="S414" s="253"/>
      <x:c r="T414" s="253"/>
      <x:c r="U414" s="253"/>
      <x:c r="V414" s="253"/>
      <x:c r="W414" s="253"/>
      <x:c r="X414" s="253"/>
      <x:c r="Y414" s="252"/>
      <x:c r="Z414" s="252"/>
      <x:c r="AA414" s="253"/>
      <x:c r="AB414" s="253" t="str">
        <x:f>IF(B414="","",IFERROR(INDEX('الزبائن'!$BA$6:$BA$505,MATCH(B414,'الزبائن'!$A$6:$A$505,0)),"source key not found"))</x:f>
      </x:c>
      <x:c r="AC414" s="253" t="str">
        <x:f>IF(B414="","",IFERROR(INDEX('الزبائن'!$BB$6:$BB$505,MATCH(B414,'الزبائن'!$A$6:$A$505,0)),"source key not found"))</x:f>
      </x:c>
      <x:c r="AD414" s="253" t="str">
        <x:f>IF(AND(A414="",C414="",D414="",I414="",L414="",M414=""),"",IF(C414="skip","SKIP",IF(OR(A414="",C414="",D414="",I414="",L414="",M414="",U414="",COUNTIF($A$6:$A$505,A414)&gt;1,AND(B414&lt;&gt;"",COUNTIF('الزبائن'!$A$6:$A$505,B414)=0),(COUNTIFS('أرقام التواصل'!$A$6:$A$505,"proposed_name",'أرقام التواصل'!$B$6:$B$505,A414,'أرقام التواصل'!$I$6:$I$505,"TRUE")+COUNTIFS('أرقام التواصل'!$A$6:$A$505,"proposed_name",'أرقام التواصل'!$B$6:$B$505,A414,'أرقام التواصل'!$C$6:$C$505,1))=0,AND(W414="TRUE",X414="")),"REVIEW","READY")))</x:f>
      </x:c>
      <x:c r="AE414" s="255" t="str">
        <x:f>IF(AD414="","",IF(AD414="READY","",IF(AD414="SKIP","Skipped by candidate_import_action",TRIM(IF(A414="","missing proposed_name_key; ","")&amp;IF(AND(A414&lt;&gt;"",COUNTIF($A$6:$A$505,A414)&gt;1),"duplicate proposed_name_key; ","")&amp;IF(C414="","missing candidate_import_action; ","")&amp;IF(D414="","missing move_reason; ","")&amp;IF(I414="","missing branch_id; ","")&amp;IF(L414="","missing first_name; ","")&amp;IF(M414="","missing last_name; ","")&amp;IF(U414="","missing status; ","")&amp;IF(AND(B414&lt;&gt;"",COUNTIF('الزبائن'!$A$6:$A$505,B414)=0),"source key not found; ","")&amp;IF((COUNTIFS('أرقام التواصل'!$A$6:$A$505,"proposed_name",'أرقام التواصل'!$B$6:$B$505,A414,'أرقام التواصل'!$I$6:$I$505,"TRUE")+COUNTIFS('أرقام التواصل'!$A$6:$A$505,"proposed_name",'أرقام التواصل'!$B$6:$B$505,A414,'أرقام التواصل'!$C$6:$C$505,1))=0,"missing primary contact in أرقام التواصل; ","")&amp;IF(AND(W414="TRUE",X414=""),"duplicate_type required when duplicate_flag TRUE; ","")))))</x:f>
      </x:c>
    </x:row>
    <x:row r="415">
      <x:c r="A415" s="302"/>
      <x:c r="B415" s="252"/>
      <x:c r="C415" s="253"/>
      <x:c r="D415" s="253"/>
      <x:c r="E415" s="253"/>
      <x:c r="F415" s="252"/>
      <x:c r="G415" s="253"/>
      <x:c r="H415" s="272"/>
      <x:c r="I415" s="253"/>
      <x:c r="J415" s="253"/>
      <x:c r="K415" s="253"/>
      <x:c r="L415" s="253"/>
      <x:c r="M415" s="253"/>
      <x:c r="N415" s="253"/>
      <x:c r="O415" s="253" t="str">
        <x:f>IF(TRIM(L415&amp;" "&amp;M415&amp;IF(N415&lt;&gt;""," ("&amp;N415&amp;")",""))="","",TRIM(L415&amp;" "&amp;M415&amp;IF(N415&lt;&gt;""," ("&amp;N415&amp;")","")))</x:f>
      </x:c>
      <x:c r="P415" s="253"/>
      <x:c r="Q415" s="252"/>
      <x:c r="R415" s="253"/>
      <x:c r="S415" s="253"/>
      <x:c r="T415" s="253"/>
      <x:c r="U415" s="253"/>
      <x:c r="V415" s="253"/>
      <x:c r="W415" s="253"/>
      <x:c r="X415" s="253"/>
      <x:c r="Y415" s="252"/>
      <x:c r="Z415" s="252"/>
      <x:c r="AA415" s="253"/>
      <x:c r="AB415" s="253" t="str">
        <x:f>IF(B415="","",IFERROR(INDEX('الزبائن'!$BA$6:$BA$505,MATCH(B415,'الزبائن'!$A$6:$A$505,0)),"source key not found"))</x:f>
      </x:c>
      <x:c r="AC415" s="253" t="str">
        <x:f>IF(B415="","",IFERROR(INDEX('الزبائن'!$BB$6:$BB$505,MATCH(B415,'الزبائن'!$A$6:$A$505,0)),"source key not found"))</x:f>
      </x:c>
      <x:c r="AD415" s="253" t="str">
        <x:f>IF(AND(A415="",C415="",D415="",I415="",L415="",M415=""),"",IF(C415="skip","SKIP",IF(OR(A415="",C415="",D415="",I415="",L415="",M415="",U415="",COUNTIF($A$6:$A$505,A415)&gt;1,AND(B415&lt;&gt;"",COUNTIF('الزبائن'!$A$6:$A$505,B415)=0),(COUNTIFS('أرقام التواصل'!$A$6:$A$505,"proposed_name",'أرقام التواصل'!$B$6:$B$505,A415,'أرقام التواصل'!$I$6:$I$505,"TRUE")+COUNTIFS('أرقام التواصل'!$A$6:$A$505,"proposed_name",'أرقام التواصل'!$B$6:$B$505,A415,'أرقام التواصل'!$C$6:$C$505,1))=0,AND(W415="TRUE",X415="")),"REVIEW","READY")))</x:f>
      </x:c>
      <x:c r="AE415" s="255" t="str">
        <x:f>IF(AD415="","",IF(AD415="READY","",IF(AD415="SKIP","Skipped by candidate_import_action",TRIM(IF(A415="","missing proposed_name_key; ","")&amp;IF(AND(A415&lt;&gt;"",COUNTIF($A$6:$A$505,A415)&gt;1),"duplicate proposed_name_key; ","")&amp;IF(C415="","missing candidate_import_action; ","")&amp;IF(D415="","missing move_reason; ","")&amp;IF(I415="","missing branch_id; ","")&amp;IF(L415="","missing first_name; ","")&amp;IF(M415="","missing last_name; ","")&amp;IF(U415="","missing status; ","")&amp;IF(AND(B415&lt;&gt;"",COUNTIF('الزبائن'!$A$6:$A$505,B415)=0),"source key not found; ","")&amp;IF((COUNTIFS('أرقام التواصل'!$A$6:$A$505,"proposed_name",'أرقام التواصل'!$B$6:$B$505,A415,'أرقام التواصل'!$I$6:$I$505,"TRUE")+COUNTIFS('أرقام التواصل'!$A$6:$A$505,"proposed_name",'أرقام التواصل'!$B$6:$B$505,A415,'أرقام التواصل'!$C$6:$C$505,1))=0,"missing primary contact in أرقام التواصل; ","")&amp;IF(AND(W415="TRUE",X415=""),"duplicate_type required when duplicate_flag TRUE; ","")))))</x:f>
      </x:c>
    </x:row>
    <x:row r="416">
      <x:c r="A416" s="302"/>
      <x:c r="B416" s="252"/>
      <x:c r="C416" s="253"/>
      <x:c r="D416" s="253"/>
      <x:c r="E416" s="253"/>
      <x:c r="F416" s="252"/>
      <x:c r="G416" s="253"/>
      <x:c r="H416" s="272"/>
      <x:c r="I416" s="253"/>
      <x:c r="J416" s="253"/>
      <x:c r="K416" s="253"/>
      <x:c r="L416" s="253"/>
      <x:c r="M416" s="253"/>
      <x:c r="N416" s="253"/>
      <x:c r="O416" s="253" t="str">
        <x:f>IF(TRIM(L416&amp;" "&amp;M416&amp;IF(N416&lt;&gt;""," ("&amp;N416&amp;")",""))="","",TRIM(L416&amp;" "&amp;M416&amp;IF(N416&lt;&gt;""," ("&amp;N416&amp;")","")))</x:f>
      </x:c>
      <x:c r="P416" s="253"/>
      <x:c r="Q416" s="252"/>
      <x:c r="R416" s="253"/>
      <x:c r="S416" s="253"/>
      <x:c r="T416" s="253"/>
      <x:c r="U416" s="253"/>
      <x:c r="V416" s="253"/>
      <x:c r="W416" s="253"/>
      <x:c r="X416" s="253"/>
      <x:c r="Y416" s="252"/>
      <x:c r="Z416" s="252"/>
      <x:c r="AA416" s="253"/>
      <x:c r="AB416" s="253" t="str">
        <x:f>IF(B416="","",IFERROR(INDEX('الزبائن'!$BA$6:$BA$505,MATCH(B416,'الزبائن'!$A$6:$A$505,0)),"source key not found"))</x:f>
      </x:c>
      <x:c r="AC416" s="253" t="str">
        <x:f>IF(B416="","",IFERROR(INDEX('الزبائن'!$BB$6:$BB$505,MATCH(B416,'الزبائن'!$A$6:$A$505,0)),"source key not found"))</x:f>
      </x:c>
      <x:c r="AD416" s="253" t="str">
        <x:f>IF(AND(A416="",C416="",D416="",I416="",L416="",M416=""),"",IF(C416="skip","SKIP",IF(OR(A416="",C416="",D416="",I416="",L416="",M416="",U416="",COUNTIF($A$6:$A$505,A416)&gt;1,AND(B416&lt;&gt;"",COUNTIF('الزبائن'!$A$6:$A$505,B416)=0),(COUNTIFS('أرقام التواصل'!$A$6:$A$505,"proposed_name",'أرقام التواصل'!$B$6:$B$505,A416,'أرقام التواصل'!$I$6:$I$505,"TRUE")+COUNTIFS('أرقام التواصل'!$A$6:$A$505,"proposed_name",'أرقام التواصل'!$B$6:$B$505,A416,'أرقام التواصل'!$C$6:$C$505,1))=0,AND(W416="TRUE",X416="")),"REVIEW","READY")))</x:f>
      </x:c>
      <x:c r="AE416" s="255" t="str">
        <x:f>IF(AD416="","",IF(AD416="READY","",IF(AD416="SKIP","Skipped by candidate_import_action",TRIM(IF(A416="","missing proposed_name_key; ","")&amp;IF(AND(A416&lt;&gt;"",COUNTIF($A$6:$A$505,A416)&gt;1),"duplicate proposed_name_key; ","")&amp;IF(C416="","missing candidate_import_action; ","")&amp;IF(D416="","missing move_reason; ","")&amp;IF(I416="","missing branch_id; ","")&amp;IF(L416="","missing first_name; ","")&amp;IF(M416="","missing last_name; ","")&amp;IF(U416="","missing status; ","")&amp;IF(AND(B416&lt;&gt;"",COUNTIF('الزبائن'!$A$6:$A$505,B416)=0),"source key not found; ","")&amp;IF((COUNTIFS('أرقام التواصل'!$A$6:$A$505,"proposed_name",'أرقام التواصل'!$B$6:$B$505,A416,'أرقام التواصل'!$I$6:$I$505,"TRUE")+COUNTIFS('أرقام التواصل'!$A$6:$A$505,"proposed_name",'أرقام التواصل'!$B$6:$B$505,A416,'أرقام التواصل'!$C$6:$C$505,1))=0,"missing primary contact in أرقام التواصل; ","")&amp;IF(AND(W416="TRUE",X416=""),"duplicate_type required when duplicate_flag TRUE; ","")))))</x:f>
      </x:c>
    </x:row>
    <x:row r="417">
      <x:c r="A417" s="302"/>
      <x:c r="B417" s="252"/>
      <x:c r="C417" s="253"/>
      <x:c r="D417" s="253"/>
      <x:c r="E417" s="253"/>
      <x:c r="F417" s="252"/>
      <x:c r="G417" s="253"/>
      <x:c r="H417" s="272"/>
      <x:c r="I417" s="253"/>
      <x:c r="J417" s="253"/>
      <x:c r="K417" s="253"/>
      <x:c r="L417" s="253"/>
      <x:c r="M417" s="253"/>
      <x:c r="N417" s="253"/>
      <x:c r="O417" s="253" t="str">
        <x:f>IF(TRIM(L417&amp;" "&amp;M417&amp;IF(N417&lt;&gt;""," ("&amp;N417&amp;")",""))="","",TRIM(L417&amp;" "&amp;M417&amp;IF(N417&lt;&gt;""," ("&amp;N417&amp;")","")))</x:f>
      </x:c>
      <x:c r="P417" s="253"/>
      <x:c r="Q417" s="252"/>
      <x:c r="R417" s="253"/>
      <x:c r="S417" s="253"/>
      <x:c r="T417" s="253"/>
      <x:c r="U417" s="253"/>
      <x:c r="V417" s="253"/>
      <x:c r="W417" s="253"/>
      <x:c r="X417" s="253"/>
      <x:c r="Y417" s="252"/>
      <x:c r="Z417" s="252"/>
      <x:c r="AA417" s="253"/>
      <x:c r="AB417" s="253" t="str">
        <x:f>IF(B417="","",IFERROR(INDEX('الزبائن'!$BA$6:$BA$505,MATCH(B417,'الزبائن'!$A$6:$A$505,0)),"source key not found"))</x:f>
      </x:c>
      <x:c r="AC417" s="253" t="str">
        <x:f>IF(B417="","",IFERROR(INDEX('الزبائن'!$BB$6:$BB$505,MATCH(B417,'الزبائن'!$A$6:$A$505,0)),"source key not found"))</x:f>
      </x:c>
      <x:c r="AD417" s="253" t="str">
        <x:f>IF(AND(A417="",C417="",D417="",I417="",L417="",M417=""),"",IF(C417="skip","SKIP",IF(OR(A417="",C417="",D417="",I417="",L417="",M417="",U417="",COUNTIF($A$6:$A$505,A417)&gt;1,AND(B417&lt;&gt;"",COUNTIF('الزبائن'!$A$6:$A$505,B417)=0),(COUNTIFS('أرقام التواصل'!$A$6:$A$505,"proposed_name",'أرقام التواصل'!$B$6:$B$505,A417,'أرقام التواصل'!$I$6:$I$505,"TRUE")+COUNTIFS('أرقام التواصل'!$A$6:$A$505,"proposed_name",'أرقام التواصل'!$B$6:$B$505,A417,'أرقام التواصل'!$C$6:$C$505,1))=0,AND(W417="TRUE",X417="")),"REVIEW","READY")))</x:f>
      </x:c>
      <x:c r="AE417" s="255" t="str">
        <x:f>IF(AD417="","",IF(AD417="READY","",IF(AD417="SKIP","Skipped by candidate_import_action",TRIM(IF(A417="","missing proposed_name_key; ","")&amp;IF(AND(A417&lt;&gt;"",COUNTIF($A$6:$A$505,A417)&gt;1),"duplicate proposed_name_key; ","")&amp;IF(C417="","missing candidate_import_action; ","")&amp;IF(D417="","missing move_reason; ","")&amp;IF(I417="","missing branch_id; ","")&amp;IF(L417="","missing first_name; ","")&amp;IF(M417="","missing last_name; ","")&amp;IF(U417="","missing status; ","")&amp;IF(AND(B417&lt;&gt;"",COUNTIF('الزبائن'!$A$6:$A$505,B417)=0),"source key not found; ","")&amp;IF((COUNTIFS('أرقام التواصل'!$A$6:$A$505,"proposed_name",'أرقام التواصل'!$B$6:$B$505,A417,'أرقام التواصل'!$I$6:$I$505,"TRUE")+COUNTIFS('أرقام التواصل'!$A$6:$A$505,"proposed_name",'أرقام التواصل'!$B$6:$B$505,A417,'أرقام التواصل'!$C$6:$C$505,1))=0,"missing primary contact in أرقام التواصل; ","")&amp;IF(AND(W417="TRUE",X417=""),"duplicate_type required when duplicate_flag TRUE; ","")))))</x:f>
      </x:c>
    </x:row>
    <x:row r="418">
      <x:c r="A418" s="302"/>
      <x:c r="B418" s="252"/>
      <x:c r="C418" s="253"/>
      <x:c r="D418" s="253"/>
      <x:c r="E418" s="253"/>
      <x:c r="F418" s="252"/>
      <x:c r="G418" s="253"/>
      <x:c r="H418" s="272"/>
      <x:c r="I418" s="253"/>
      <x:c r="J418" s="253"/>
      <x:c r="K418" s="253"/>
      <x:c r="L418" s="253"/>
      <x:c r="M418" s="253"/>
      <x:c r="N418" s="253"/>
      <x:c r="O418" s="253" t="str">
        <x:f>IF(TRIM(L418&amp;" "&amp;M418&amp;IF(N418&lt;&gt;""," ("&amp;N418&amp;")",""))="","",TRIM(L418&amp;" "&amp;M418&amp;IF(N418&lt;&gt;""," ("&amp;N418&amp;")","")))</x:f>
      </x:c>
      <x:c r="P418" s="253"/>
      <x:c r="Q418" s="252"/>
      <x:c r="R418" s="253"/>
      <x:c r="S418" s="253"/>
      <x:c r="T418" s="253"/>
      <x:c r="U418" s="253"/>
      <x:c r="V418" s="253"/>
      <x:c r="W418" s="253"/>
      <x:c r="X418" s="253"/>
      <x:c r="Y418" s="252"/>
      <x:c r="Z418" s="252"/>
      <x:c r="AA418" s="253"/>
      <x:c r="AB418" s="253" t="str">
        <x:f>IF(B418="","",IFERROR(INDEX('الزبائن'!$BA$6:$BA$505,MATCH(B418,'الزبائن'!$A$6:$A$505,0)),"source key not found"))</x:f>
      </x:c>
      <x:c r="AC418" s="253" t="str">
        <x:f>IF(B418="","",IFERROR(INDEX('الزبائن'!$BB$6:$BB$505,MATCH(B418,'الزبائن'!$A$6:$A$505,0)),"source key not found"))</x:f>
      </x:c>
      <x:c r="AD418" s="253" t="str">
        <x:f>IF(AND(A418="",C418="",D418="",I418="",L418="",M418=""),"",IF(C418="skip","SKIP",IF(OR(A418="",C418="",D418="",I418="",L418="",M418="",U418="",COUNTIF($A$6:$A$505,A418)&gt;1,AND(B418&lt;&gt;"",COUNTIF('الزبائن'!$A$6:$A$505,B418)=0),(COUNTIFS('أرقام التواصل'!$A$6:$A$505,"proposed_name",'أرقام التواصل'!$B$6:$B$505,A418,'أرقام التواصل'!$I$6:$I$505,"TRUE")+COUNTIFS('أرقام التواصل'!$A$6:$A$505,"proposed_name",'أرقام التواصل'!$B$6:$B$505,A418,'أرقام التواصل'!$C$6:$C$505,1))=0,AND(W418="TRUE",X418="")),"REVIEW","READY")))</x:f>
      </x:c>
      <x:c r="AE418" s="255" t="str">
        <x:f>IF(AD418="","",IF(AD418="READY","",IF(AD418="SKIP","Skipped by candidate_import_action",TRIM(IF(A418="","missing proposed_name_key; ","")&amp;IF(AND(A418&lt;&gt;"",COUNTIF($A$6:$A$505,A418)&gt;1),"duplicate proposed_name_key; ","")&amp;IF(C418="","missing candidate_import_action; ","")&amp;IF(D418="","missing move_reason; ","")&amp;IF(I418="","missing branch_id; ","")&amp;IF(L418="","missing first_name; ","")&amp;IF(M418="","missing last_name; ","")&amp;IF(U418="","missing status; ","")&amp;IF(AND(B418&lt;&gt;"",COUNTIF('الزبائن'!$A$6:$A$505,B418)=0),"source key not found; ","")&amp;IF((COUNTIFS('أرقام التواصل'!$A$6:$A$505,"proposed_name",'أرقام التواصل'!$B$6:$B$505,A418,'أرقام التواصل'!$I$6:$I$505,"TRUE")+COUNTIFS('أرقام التواصل'!$A$6:$A$505,"proposed_name",'أرقام التواصل'!$B$6:$B$505,A418,'أرقام التواصل'!$C$6:$C$505,1))=0,"missing primary contact in أرقام التواصل; ","")&amp;IF(AND(W418="TRUE",X418=""),"duplicate_type required when duplicate_flag TRUE; ","")))))</x:f>
      </x:c>
    </x:row>
    <x:row r="419">
      <x:c r="A419" s="302"/>
      <x:c r="B419" s="252"/>
      <x:c r="C419" s="253"/>
      <x:c r="D419" s="253"/>
      <x:c r="E419" s="253"/>
      <x:c r="F419" s="252"/>
      <x:c r="G419" s="253"/>
      <x:c r="H419" s="272"/>
      <x:c r="I419" s="253"/>
      <x:c r="J419" s="253"/>
      <x:c r="K419" s="253"/>
      <x:c r="L419" s="253"/>
      <x:c r="M419" s="253"/>
      <x:c r="N419" s="253"/>
      <x:c r="O419" s="253" t="str">
        <x:f>IF(TRIM(L419&amp;" "&amp;M419&amp;IF(N419&lt;&gt;""," ("&amp;N419&amp;")",""))="","",TRIM(L419&amp;" "&amp;M419&amp;IF(N419&lt;&gt;""," ("&amp;N419&amp;")","")))</x:f>
      </x:c>
      <x:c r="P419" s="253"/>
      <x:c r="Q419" s="252"/>
      <x:c r="R419" s="253"/>
      <x:c r="S419" s="253"/>
      <x:c r="T419" s="253"/>
      <x:c r="U419" s="253"/>
      <x:c r="V419" s="253"/>
      <x:c r="W419" s="253"/>
      <x:c r="X419" s="253"/>
      <x:c r="Y419" s="252"/>
      <x:c r="Z419" s="252"/>
      <x:c r="AA419" s="253"/>
      <x:c r="AB419" s="253" t="str">
        <x:f>IF(B419="","",IFERROR(INDEX('الزبائن'!$BA$6:$BA$505,MATCH(B419,'الزبائن'!$A$6:$A$505,0)),"source key not found"))</x:f>
      </x:c>
      <x:c r="AC419" s="253" t="str">
        <x:f>IF(B419="","",IFERROR(INDEX('الزبائن'!$BB$6:$BB$505,MATCH(B419,'الزبائن'!$A$6:$A$505,0)),"source key not found"))</x:f>
      </x:c>
      <x:c r="AD419" s="253" t="str">
        <x:f>IF(AND(A419="",C419="",D419="",I419="",L419="",M419=""),"",IF(C419="skip","SKIP",IF(OR(A419="",C419="",D419="",I419="",L419="",M419="",U419="",COUNTIF($A$6:$A$505,A419)&gt;1,AND(B419&lt;&gt;"",COUNTIF('الزبائن'!$A$6:$A$505,B419)=0),(COUNTIFS('أرقام التواصل'!$A$6:$A$505,"proposed_name",'أرقام التواصل'!$B$6:$B$505,A419,'أرقام التواصل'!$I$6:$I$505,"TRUE")+COUNTIFS('أرقام التواصل'!$A$6:$A$505,"proposed_name",'أرقام التواصل'!$B$6:$B$505,A419,'أرقام التواصل'!$C$6:$C$505,1))=0,AND(W419="TRUE",X419="")),"REVIEW","READY")))</x:f>
      </x:c>
      <x:c r="AE419" s="255" t="str">
        <x:f>IF(AD419="","",IF(AD419="READY","",IF(AD419="SKIP","Skipped by candidate_import_action",TRIM(IF(A419="","missing proposed_name_key; ","")&amp;IF(AND(A419&lt;&gt;"",COUNTIF($A$6:$A$505,A419)&gt;1),"duplicate proposed_name_key; ","")&amp;IF(C419="","missing candidate_import_action; ","")&amp;IF(D419="","missing move_reason; ","")&amp;IF(I419="","missing branch_id; ","")&amp;IF(L419="","missing first_name; ","")&amp;IF(M419="","missing last_name; ","")&amp;IF(U419="","missing status; ","")&amp;IF(AND(B419&lt;&gt;"",COUNTIF('الزبائن'!$A$6:$A$505,B419)=0),"source key not found; ","")&amp;IF((COUNTIFS('أرقام التواصل'!$A$6:$A$505,"proposed_name",'أرقام التواصل'!$B$6:$B$505,A419,'أرقام التواصل'!$I$6:$I$505,"TRUE")+COUNTIFS('أرقام التواصل'!$A$6:$A$505,"proposed_name",'أرقام التواصل'!$B$6:$B$505,A419,'أرقام التواصل'!$C$6:$C$505,1))=0,"missing primary contact in أرقام التواصل; ","")&amp;IF(AND(W419="TRUE",X419=""),"duplicate_type required when duplicate_flag TRUE; ","")))))</x:f>
      </x:c>
    </x:row>
    <x:row r="420">
      <x:c r="A420" s="302"/>
      <x:c r="B420" s="252"/>
      <x:c r="C420" s="253"/>
      <x:c r="D420" s="253"/>
      <x:c r="E420" s="253"/>
      <x:c r="F420" s="252"/>
      <x:c r="G420" s="253"/>
      <x:c r="H420" s="272"/>
      <x:c r="I420" s="253"/>
      <x:c r="J420" s="253"/>
      <x:c r="K420" s="253"/>
      <x:c r="L420" s="253"/>
      <x:c r="M420" s="253"/>
      <x:c r="N420" s="253"/>
      <x:c r="O420" s="253" t="str">
        <x:f>IF(TRIM(L420&amp;" "&amp;M420&amp;IF(N420&lt;&gt;""," ("&amp;N420&amp;")",""))="","",TRIM(L420&amp;" "&amp;M420&amp;IF(N420&lt;&gt;""," ("&amp;N420&amp;")","")))</x:f>
      </x:c>
      <x:c r="P420" s="253"/>
      <x:c r="Q420" s="252"/>
      <x:c r="R420" s="253"/>
      <x:c r="S420" s="253"/>
      <x:c r="T420" s="253"/>
      <x:c r="U420" s="253"/>
      <x:c r="V420" s="253"/>
      <x:c r="W420" s="253"/>
      <x:c r="X420" s="253"/>
      <x:c r="Y420" s="252"/>
      <x:c r="Z420" s="252"/>
      <x:c r="AA420" s="253"/>
      <x:c r="AB420" s="253" t="str">
        <x:f>IF(B420="","",IFERROR(INDEX('الزبائن'!$BA$6:$BA$505,MATCH(B420,'الزبائن'!$A$6:$A$505,0)),"source key not found"))</x:f>
      </x:c>
      <x:c r="AC420" s="253" t="str">
        <x:f>IF(B420="","",IFERROR(INDEX('الزبائن'!$BB$6:$BB$505,MATCH(B420,'الزبائن'!$A$6:$A$505,0)),"source key not found"))</x:f>
      </x:c>
      <x:c r="AD420" s="253" t="str">
        <x:f>IF(AND(A420="",C420="",D420="",I420="",L420="",M420=""),"",IF(C420="skip","SKIP",IF(OR(A420="",C420="",D420="",I420="",L420="",M420="",U420="",COUNTIF($A$6:$A$505,A420)&gt;1,AND(B420&lt;&gt;"",COUNTIF('الزبائن'!$A$6:$A$505,B420)=0),(COUNTIFS('أرقام التواصل'!$A$6:$A$505,"proposed_name",'أرقام التواصل'!$B$6:$B$505,A420,'أرقام التواصل'!$I$6:$I$505,"TRUE")+COUNTIFS('أرقام التواصل'!$A$6:$A$505,"proposed_name",'أرقام التواصل'!$B$6:$B$505,A420,'أرقام التواصل'!$C$6:$C$505,1))=0,AND(W420="TRUE",X420="")),"REVIEW","READY")))</x:f>
      </x:c>
      <x:c r="AE420" s="255" t="str">
        <x:f>IF(AD420="","",IF(AD420="READY","",IF(AD420="SKIP","Skipped by candidate_import_action",TRIM(IF(A420="","missing proposed_name_key; ","")&amp;IF(AND(A420&lt;&gt;"",COUNTIF($A$6:$A$505,A420)&gt;1),"duplicate proposed_name_key; ","")&amp;IF(C420="","missing candidate_import_action; ","")&amp;IF(D420="","missing move_reason; ","")&amp;IF(I420="","missing branch_id; ","")&amp;IF(L420="","missing first_name; ","")&amp;IF(M420="","missing last_name; ","")&amp;IF(U420="","missing status; ","")&amp;IF(AND(B420&lt;&gt;"",COUNTIF('الزبائن'!$A$6:$A$505,B420)=0),"source key not found; ","")&amp;IF((COUNTIFS('أرقام التواصل'!$A$6:$A$505,"proposed_name",'أرقام التواصل'!$B$6:$B$505,A420,'أرقام التواصل'!$I$6:$I$505,"TRUE")+COUNTIFS('أرقام التواصل'!$A$6:$A$505,"proposed_name",'أرقام التواصل'!$B$6:$B$505,A420,'أرقام التواصل'!$C$6:$C$505,1))=0,"missing primary contact in أرقام التواصل; ","")&amp;IF(AND(W420="TRUE",X420=""),"duplicate_type required when duplicate_flag TRUE; ","")))))</x:f>
      </x:c>
    </x:row>
    <x:row r="421">
      <x:c r="A421" s="302"/>
      <x:c r="B421" s="252"/>
      <x:c r="C421" s="253"/>
      <x:c r="D421" s="253"/>
      <x:c r="E421" s="253"/>
      <x:c r="F421" s="252"/>
      <x:c r="G421" s="253"/>
      <x:c r="H421" s="272"/>
      <x:c r="I421" s="253"/>
      <x:c r="J421" s="253"/>
      <x:c r="K421" s="253"/>
      <x:c r="L421" s="253"/>
      <x:c r="M421" s="253"/>
      <x:c r="N421" s="253"/>
      <x:c r="O421" s="253" t="str">
        <x:f>IF(TRIM(L421&amp;" "&amp;M421&amp;IF(N421&lt;&gt;""," ("&amp;N421&amp;")",""))="","",TRIM(L421&amp;" "&amp;M421&amp;IF(N421&lt;&gt;""," ("&amp;N421&amp;")","")))</x:f>
      </x:c>
      <x:c r="P421" s="253"/>
      <x:c r="Q421" s="252"/>
      <x:c r="R421" s="253"/>
      <x:c r="S421" s="253"/>
      <x:c r="T421" s="253"/>
      <x:c r="U421" s="253"/>
      <x:c r="V421" s="253"/>
      <x:c r="W421" s="253"/>
      <x:c r="X421" s="253"/>
      <x:c r="Y421" s="252"/>
      <x:c r="Z421" s="252"/>
      <x:c r="AA421" s="253"/>
      <x:c r="AB421" s="253" t="str">
        <x:f>IF(B421="","",IFERROR(INDEX('الزبائن'!$BA$6:$BA$505,MATCH(B421,'الزبائن'!$A$6:$A$505,0)),"source key not found"))</x:f>
      </x:c>
      <x:c r="AC421" s="253" t="str">
        <x:f>IF(B421="","",IFERROR(INDEX('الزبائن'!$BB$6:$BB$505,MATCH(B421,'الزبائن'!$A$6:$A$505,0)),"source key not found"))</x:f>
      </x:c>
      <x:c r="AD421" s="253" t="str">
        <x:f>IF(AND(A421="",C421="",D421="",I421="",L421="",M421=""),"",IF(C421="skip","SKIP",IF(OR(A421="",C421="",D421="",I421="",L421="",M421="",U421="",COUNTIF($A$6:$A$505,A421)&gt;1,AND(B421&lt;&gt;"",COUNTIF('الزبائن'!$A$6:$A$505,B421)=0),(COUNTIFS('أرقام التواصل'!$A$6:$A$505,"proposed_name",'أرقام التواصل'!$B$6:$B$505,A421,'أرقام التواصل'!$I$6:$I$505,"TRUE")+COUNTIFS('أرقام التواصل'!$A$6:$A$505,"proposed_name",'أرقام التواصل'!$B$6:$B$505,A421,'أرقام التواصل'!$C$6:$C$505,1))=0,AND(W421="TRUE",X421="")),"REVIEW","READY")))</x:f>
      </x:c>
      <x:c r="AE421" s="255" t="str">
        <x:f>IF(AD421="","",IF(AD421="READY","",IF(AD421="SKIP","Skipped by candidate_import_action",TRIM(IF(A421="","missing proposed_name_key; ","")&amp;IF(AND(A421&lt;&gt;"",COUNTIF($A$6:$A$505,A421)&gt;1),"duplicate proposed_name_key; ","")&amp;IF(C421="","missing candidate_import_action; ","")&amp;IF(D421="","missing move_reason; ","")&amp;IF(I421="","missing branch_id; ","")&amp;IF(L421="","missing first_name; ","")&amp;IF(M421="","missing last_name; ","")&amp;IF(U421="","missing status; ","")&amp;IF(AND(B421&lt;&gt;"",COUNTIF('الزبائن'!$A$6:$A$505,B421)=0),"source key not found; ","")&amp;IF((COUNTIFS('أرقام التواصل'!$A$6:$A$505,"proposed_name",'أرقام التواصل'!$B$6:$B$505,A421,'أرقام التواصل'!$I$6:$I$505,"TRUE")+COUNTIFS('أرقام التواصل'!$A$6:$A$505,"proposed_name",'أرقام التواصل'!$B$6:$B$505,A421,'أرقام التواصل'!$C$6:$C$505,1))=0,"missing primary contact in أرقام التواصل; ","")&amp;IF(AND(W421="TRUE",X421=""),"duplicate_type required when duplicate_flag TRUE; ","")))))</x:f>
      </x:c>
    </x:row>
    <x:row r="422">
      <x:c r="A422" s="302"/>
      <x:c r="B422" s="252"/>
      <x:c r="C422" s="253"/>
      <x:c r="D422" s="253"/>
      <x:c r="E422" s="253"/>
      <x:c r="F422" s="252"/>
      <x:c r="G422" s="253"/>
      <x:c r="H422" s="272"/>
      <x:c r="I422" s="253"/>
      <x:c r="J422" s="253"/>
      <x:c r="K422" s="253"/>
      <x:c r="L422" s="253"/>
      <x:c r="M422" s="253"/>
      <x:c r="N422" s="253"/>
      <x:c r="O422" s="253" t="str">
        <x:f>IF(TRIM(L422&amp;" "&amp;M422&amp;IF(N422&lt;&gt;""," ("&amp;N422&amp;")",""))="","",TRIM(L422&amp;" "&amp;M422&amp;IF(N422&lt;&gt;""," ("&amp;N422&amp;")","")))</x:f>
      </x:c>
      <x:c r="P422" s="253"/>
      <x:c r="Q422" s="252"/>
      <x:c r="R422" s="253"/>
      <x:c r="S422" s="253"/>
      <x:c r="T422" s="253"/>
      <x:c r="U422" s="253"/>
      <x:c r="V422" s="253"/>
      <x:c r="W422" s="253"/>
      <x:c r="X422" s="253"/>
      <x:c r="Y422" s="252"/>
      <x:c r="Z422" s="252"/>
      <x:c r="AA422" s="253"/>
      <x:c r="AB422" s="253" t="str">
        <x:f>IF(B422="","",IFERROR(INDEX('الزبائن'!$BA$6:$BA$505,MATCH(B422,'الزبائن'!$A$6:$A$505,0)),"source key not found"))</x:f>
      </x:c>
      <x:c r="AC422" s="253" t="str">
        <x:f>IF(B422="","",IFERROR(INDEX('الزبائن'!$BB$6:$BB$505,MATCH(B422,'الزبائن'!$A$6:$A$505,0)),"source key not found"))</x:f>
      </x:c>
      <x:c r="AD422" s="253" t="str">
        <x:f>IF(AND(A422="",C422="",D422="",I422="",L422="",M422=""),"",IF(C422="skip","SKIP",IF(OR(A422="",C422="",D422="",I422="",L422="",M422="",U422="",COUNTIF($A$6:$A$505,A422)&gt;1,AND(B422&lt;&gt;"",COUNTIF('الزبائن'!$A$6:$A$505,B422)=0),(COUNTIFS('أرقام التواصل'!$A$6:$A$505,"proposed_name",'أرقام التواصل'!$B$6:$B$505,A422,'أرقام التواصل'!$I$6:$I$505,"TRUE")+COUNTIFS('أرقام التواصل'!$A$6:$A$505,"proposed_name",'أرقام التواصل'!$B$6:$B$505,A422,'أرقام التواصل'!$C$6:$C$505,1))=0,AND(W422="TRUE",X422="")),"REVIEW","READY")))</x:f>
      </x:c>
      <x:c r="AE422" s="255" t="str">
        <x:f>IF(AD422="","",IF(AD422="READY","",IF(AD422="SKIP","Skipped by candidate_import_action",TRIM(IF(A422="","missing proposed_name_key; ","")&amp;IF(AND(A422&lt;&gt;"",COUNTIF($A$6:$A$505,A422)&gt;1),"duplicate proposed_name_key; ","")&amp;IF(C422="","missing candidate_import_action; ","")&amp;IF(D422="","missing move_reason; ","")&amp;IF(I422="","missing branch_id; ","")&amp;IF(L422="","missing first_name; ","")&amp;IF(M422="","missing last_name; ","")&amp;IF(U422="","missing status; ","")&amp;IF(AND(B422&lt;&gt;"",COUNTIF('الزبائن'!$A$6:$A$505,B422)=0),"source key not found; ","")&amp;IF((COUNTIFS('أرقام التواصل'!$A$6:$A$505,"proposed_name",'أرقام التواصل'!$B$6:$B$505,A422,'أرقام التواصل'!$I$6:$I$505,"TRUE")+COUNTIFS('أرقام التواصل'!$A$6:$A$505,"proposed_name",'أرقام التواصل'!$B$6:$B$505,A422,'أرقام التواصل'!$C$6:$C$505,1))=0,"missing primary contact in أرقام التواصل; ","")&amp;IF(AND(W422="TRUE",X422=""),"duplicate_type required when duplicate_flag TRUE; ","")))))</x:f>
      </x:c>
    </x:row>
    <x:row r="423">
      <x:c r="A423" s="302"/>
      <x:c r="B423" s="252"/>
      <x:c r="C423" s="253"/>
      <x:c r="D423" s="253"/>
      <x:c r="E423" s="253"/>
      <x:c r="F423" s="252"/>
      <x:c r="G423" s="253"/>
      <x:c r="H423" s="272"/>
      <x:c r="I423" s="253"/>
      <x:c r="J423" s="253"/>
      <x:c r="K423" s="253"/>
      <x:c r="L423" s="253"/>
      <x:c r="M423" s="253"/>
      <x:c r="N423" s="253"/>
      <x:c r="O423" s="253" t="str">
        <x:f>IF(TRIM(L423&amp;" "&amp;M423&amp;IF(N423&lt;&gt;""," ("&amp;N423&amp;")",""))="","",TRIM(L423&amp;" "&amp;M423&amp;IF(N423&lt;&gt;""," ("&amp;N423&amp;")","")))</x:f>
      </x:c>
      <x:c r="P423" s="253"/>
      <x:c r="Q423" s="252"/>
      <x:c r="R423" s="253"/>
      <x:c r="S423" s="253"/>
      <x:c r="T423" s="253"/>
      <x:c r="U423" s="253"/>
      <x:c r="V423" s="253"/>
      <x:c r="W423" s="253"/>
      <x:c r="X423" s="253"/>
      <x:c r="Y423" s="252"/>
      <x:c r="Z423" s="252"/>
      <x:c r="AA423" s="253"/>
      <x:c r="AB423" s="253" t="str">
        <x:f>IF(B423="","",IFERROR(INDEX('الزبائن'!$BA$6:$BA$505,MATCH(B423,'الزبائن'!$A$6:$A$505,0)),"source key not found"))</x:f>
      </x:c>
      <x:c r="AC423" s="253" t="str">
        <x:f>IF(B423="","",IFERROR(INDEX('الزبائن'!$BB$6:$BB$505,MATCH(B423,'الزبائن'!$A$6:$A$505,0)),"source key not found"))</x:f>
      </x:c>
      <x:c r="AD423" s="253" t="str">
        <x:f>IF(AND(A423="",C423="",D423="",I423="",L423="",M423=""),"",IF(C423="skip","SKIP",IF(OR(A423="",C423="",D423="",I423="",L423="",M423="",U423="",COUNTIF($A$6:$A$505,A423)&gt;1,AND(B423&lt;&gt;"",COUNTIF('الزبائن'!$A$6:$A$505,B423)=0),(COUNTIFS('أرقام التواصل'!$A$6:$A$505,"proposed_name",'أرقام التواصل'!$B$6:$B$505,A423,'أرقام التواصل'!$I$6:$I$505,"TRUE")+COUNTIFS('أرقام التواصل'!$A$6:$A$505,"proposed_name",'أرقام التواصل'!$B$6:$B$505,A423,'أرقام التواصل'!$C$6:$C$505,1))=0,AND(W423="TRUE",X423="")),"REVIEW","READY")))</x:f>
      </x:c>
      <x:c r="AE423" s="255" t="str">
        <x:f>IF(AD423="","",IF(AD423="READY","",IF(AD423="SKIP","Skipped by candidate_import_action",TRIM(IF(A423="","missing proposed_name_key; ","")&amp;IF(AND(A423&lt;&gt;"",COUNTIF($A$6:$A$505,A423)&gt;1),"duplicate proposed_name_key; ","")&amp;IF(C423="","missing candidate_import_action; ","")&amp;IF(D423="","missing move_reason; ","")&amp;IF(I423="","missing branch_id; ","")&amp;IF(L423="","missing first_name; ","")&amp;IF(M423="","missing last_name; ","")&amp;IF(U423="","missing status; ","")&amp;IF(AND(B423&lt;&gt;"",COUNTIF('الزبائن'!$A$6:$A$505,B423)=0),"source key not found; ","")&amp;IF((COUNTIFS('أرقام التواصل'!$A$6:$A$505,"proposed_name",'أرقام التواصل'!$B$6:$B$505,A423,'أرقام التواصل'!$I$6:$I$505,"TRUE")+COUNTIFS('أرقام التواصل'!$A$6:$A$505,"proposed_name",'أرقام التواصل'!$B$6:$B$505,A423,'أرقام التواصل'!$C$6:$C$505,1))=0,"missing primary contact in أرقام التواصل; ","")&amp;IF(AND(W423="TRUE",X423=""),"duplicate_type required when duplicate_flag TRUE; ","")))))</x:f>
      </x:c>
    </x:row>
    <x:row r="424">
      <x:c r="A424" s="302"/>
      <x:c r="B424" s="252"/>
      <x:c r="C424" s="253"/>
      <x:c r="D424" s="253"/>
      <x:c r="E424" s="253"/>
      <x:c r="F424" s="252"/>
      <x:c r="G424" s="253"/>
      <x:c r="H424" s="272"/>
      <x:c r="I424" s="253"/>
      <x:c r="J424" s="253"/>
      <x:c r="K424" s="253"/>
      <x:c r="L424" s="253"/>
      <x:c r="M424" s="253"/>
      <x:c r="N424" s="253"/>
      <x:c r="O424" s="253" t="str">
        <x:f>IF(TRIM(L424&amp;" "&amp;M424&amp;IF(N424&lt;&gt;""," ("&amp;N424&amp;")",""))="","",TRIM(L424&amp;" "&amp;M424&amp;IF(N424&lt;&gt;""," ("&amp;N424&amp;")","")))</x:f>
      </x:c>
      <x:c r="P424" s="253"/>
      <x:c r="Q424" s="252"/>
      <x:c r="R424" s="253"/>
      <x:c r="S424" s="253"/>
      <x:c r="T424" s="253"/>
      <x:c r="U424" s="253"/>
      <x:c r="V424" s="253"/>
      <x:c r="W424" s="253"/>
      <x:c r="X424" s="253"/>
      <x:c r="Y424" s="252"/>
      <x:c r="Z424" s="252"/>
      <x:c r="AA424" s="253"/>
      <x:c r="AB424" s="253" t="str">
        <x:f>IF(B424="","",IFERROR(INDEX('الزبائن'!$BA$6:$BA$505,MATCH(B424,'الزبائن'!$A$6:$A$505,0)),"source key not found"))</x:f>
      </x:c>
      <x:c r="AC424" s="253" t="str">
        <x:f>IF(B424="","",IFERROR(INDEX('الزبائن'!$BB$6:$BB$505,MATCH(B424,'الزبائن'!$A$6:$A$505,0)),"source key not found"))</x:f>
      </x:c>
      <x:c r="AD424" s="253" t="str">
        <x:f>IF(AND(A424="",C424="",D424="",I424="",L424="",M424=""),"",IF(C424="skip","SKIP",IF(OR(A424="",C424="",D424="",I424="",L424="",M424="",U424="",COUNTIF($A$6:$A$505,A424)&gt;1,AND(B424&lt;&gt;"",COUNTIF('الزبائن'!$A$6:$A$505,B424)=0),(COUNTIFS('أرقام التواصل'!$A$6:$A$505,"proposed_name",'أرقام التواصل'!$B$6:$B$505,A424,'أرقام التواصل'!$I$6:$I$505,"TRUE")+COUNTIFS('أرقام التواصل'!$A$6:$A$505,"proposed_name",'أرقام التواصل'!$B$6:$B$505,A424,'أرقام التواصل'!$C$6:$C$505,1))=0,AND(W424="TRUE",X424="")),"REVIEW","READY")))</x:f>
      </x:c>
      <x:c r="AE424" s="255" t="str">
        <x:f>IF(AD424="","",IF(AD424="READY","",IF(AD424="SKIP","Skipped by candidate_import_action",TRIM(IF(A424="","missing proposed_name_key; ","")&amp;IF(AND(A424&lt;&gt;"",COUNTIF($A$6:$A$505,A424)&gt;1),"duplicate proposed_name_key; ","")&amp;IF(C424="","missing candidate_import_action; ","")&amp;IF(D424="","missing move_reason; ","")&amp;IF(I424="","missing branch_id; ","")&amp;IF(L424="","missing first_name; ","")&amp;IF(M424="","missing last_name; ","")&amp;IF(U424="","missing status; ","")&amp;IF(AND(B424&lt;&gt;"",COUNTIF('الزبائن'!$A$6:$A$505,B424)=0),"source key not found; ","")&amp;IF((COUNTIFS('أرقام التواصل'!$A$6:$A$505,"proposed_name",'أرقام التواصل'!$B$6:$B$505,A424,'أرقام التواصل'!$I$6:$I$505,"TRUE")+COUNTIFS('أرقام التواصل'!$A$6:$A$505,"proposed_name",'أرقام التواصل'!$B$6:$B$505,A424,'أرقام التواصل'!$C$6:$C$505,1))=0,"missing primary contact in أرقام التواصل; ","")&amp;IF(AND(W424="TRUE",X424=""),"duplicate_type required when duplicate_flag TRUE; ","")))))</x:f>
      </x:c>
    </x:row>
    <x:row r="425">
      <x:c r="A425" s="302"/>
      <x:c r="B425" s="252"/>
      <x:c r="C425" s="253"/>
      <x:c r="D425" s="253"/>
      <x:c r="E425" s="253"/>
      <x:c r="F425" s="252"/>
      <x:c r="G425" s="253"/>
      <x:c r="H425" s="272"/>
      <x:c r="I425" s="253"/>
      <x:c r="J425" s="253"/>
      <x:c r="K425" s="253"/>
      <x:c r="L425" s="253"/>
      <x:c r="M425" s="253"/>
      <x:c r="N425" s="253"/>
      <x:c r="O425" s="253" t="str">
        <x:f>IF(TRIM(L425&amp;" "&amp;M425&amp;IF(N425&lt;&gt;""," ("&amp;N425&amp;")",""))="","",TRIM(L425&amp;" "&amp;M425&amp;IF(N425&lt;&gt;""," ("&amp;N425&amp;")","")))</x:f>
      </x:c>
      <x:c r="P425" s="253"/>
      <x:c r="Q425" s="252"/>
      <x:c r="R425" s="253"/>
      <x:c r="S425" s="253"/>
      <x:c r="T425" s="253"/>
      <x:c r="U425" s="253"/>
      <x:c r="V425" s="253"/>
      <x:c r="W425" s="253"/>
      <x:c r="X425" s="253"/>
      <x:c r="Y425" s="252"/>
      <x:c r="Z425" s="252"/>
      <x:c r="AA425" s="253"/>
      <x:c r="AB425" s="253" t="str">
        <x:f>IF(B425="","",IFERROR(INDEX('الزبائن'!$BA$6:$BA$505,MATCH(B425,'الزبائن'!$A$6:$A$505,0)),"source key not found"))</x:f>
      </x:c>
      <x:c r="AC425" s="253" t="str">
        <x:f>IF(B425="","",IFERROR(INDEX('الزبائن'!$BB$6:$BB$505,MATCH(B425,'الزبائن'!$A$6:$A$505,0)),"source key not found"))</x:f>
      </x:c>
      <x:c r="AD425" s="253" t="str">
        <x:f>IF(AND(A425="",C425="",D425="",I425="",L425="",M425=""),"",IF(C425="skip","SKIP",IF(OR(A425="",C425="",D425="",I425="",L425="",M425="",U425="",COUNTIF($A$6:$A$505,A425)&gt;1,AND(B425&lt;&gt;"",COUNTIF('الزبائن'!$A$6:$A$505,B425)=0),(COUNTIFS('أرقام التواصل'!$A$6:$A$505,"proposed_name",'أرقام التواصل'!$B$6:$B$505,A425,'أرقام التواصل'!$I$6:$I$505,"TRUE")+COUNTIFS('أرقام التواصل'!$A$6:$A$505,"proposed_name",'أرقام التواصل'!$B$6:$B$505,A425,'أرقام التواصل'!$C$6:$C$505,1))=0,AND(W425="TRUE",X425="")),"REVIEW","READY")))</x:f>
      </x:c>
      <x:c r="AE425" s="255" t="str">
        <x:f>IF(AD425="","",IF(AD425="READY","",IF(AD425="SKIP","Skipped by candidate_import_action",TRIM(IF(A425="","missing proposed_name_key; ","")&amp;IF(AND(A425&lt;&gt;"",COUNTIF($A$6:$A$505,A425)&gt;1),"duplicate proposed_name_key; ","")&amp;IF(C425="","missing candidate_import_action; ","")&amp;IF(D425="","missing move_reason; ","")&amp;IF(I425="","missing branch_id; ","")&amp;IF(L425="","missing first_name; ","")&amp;IF(M425="","missing last_name; ","")&amp;IF(U425="","missing status; ","")&amp;IF(AND(B425&lt;&gt;"",COUNTIF('الزبائن'!$A$6:$A$505,B425)=0),"source key not found; ","")&amp;IF((COUNTIFS('أرقام التواصل'!$A$6:$A$505,"proposed_name",'أرقام التواصل'!$B$6:$B$505,A425,'أرقام التواصل'!$I$6:$I$505,"TRUE")+COUNTIFS('أرقام التواصل'!$A$6:$A$505,"proposed_name",'أرقام التواصل'!$B$6:$B$505,A425,'أرقام التواصل'!$C$6:$C$505,1))=0,"missing primary contact in أرقام التواصل; ","")&amp;IF(AND(W425="TRUE",X425=""),"duplicate_type required when duplicate_flag TRUE; ","")))))</x:f>
      </x:c>
    </x:row>
    <x:row r="426">
      <x:c r="A426" s="302"/>
      <x:c r="B426" s="252"/>
      <x:c r="C426" s="253"/>
      <x:c r="D426" s="253"/>
      <x:c r="E426" s="253"/>
      <x:c r="F426" s="252"/>
      <x:c r="G426" s="253"/>
      <x:c r="H426" s="272"/>
      <x:c r="I426" s="253"/>
      <x:c r="J426" s="253"/>
      <x:c r="K426" s="253"/>
      <x:c r="L426" s="253"/>
      <x:c r="M426" s="253"/>
      <x:c r="N426" s="253"/>
      <x:c r="O426" s="253" t="str">
        <x:f>IF(TRIM(L426&amp;" "&amp;M426&amp;IF(N426&lt;&gt;""," ("&amp;N426&amp;")",""))="","",TRIM(L426&amp;" "&amp;M426&amp;IF(N426&lt;&gt;""," ("&amp;N426&amp;")","")))</x:f>
      </x:c>
      <x:c r="P426" s="253"/>
      <x:c r="Q426" s="252"/>
      <x:c r="R426" s="253"/>
      <x:c r="S426" s="253"/>
      <x:c r="T426" s="253"/>
      <x:c r="U426" s="253"/>
      <x:c r="V426" s="253"/>
      <x:c r="W426" s="253"/>
      <x:c r="X426" s="253"/>
      <x:c r="Y426" s="252"/>
      <x:c r="Z426" s="252"/>
      <x:c r="AA426" s="253"/>
      <x:c r="AB426" s="253" t="str">
        <x:f>IF(B426="","",IFERROR(INDEX('الزبائن'!$BA$6:$BA$505,MATCH(B426,'الزبائن'!$A$6:$A$505,0)),"source key not found"))</x:f>
      </x:c>
      <x:c r="AC426" s="253" t="str">
        <x:f>IF(B426="","",IFERROR(INDEX('الزبائن'!$BB$6:$BB$505,MATCH(B426,'الزبائن'!$A$6:$A$505,0)),"source key not found"))</x:f>
      </x:c>
      <x:c r="AD426" s="253" t="str">
        <x:f>IF(AND(A426="",C426="",D426="",I426="",L426="",M426=""),"",IF(C426="skip","SKIP",IF(OR(A426="",C426="",D426="",I426="",L426="",M426="",U426="",COUNTIF($A$6:$A$505,A426)&gt;1,AND(B426&lt;&gt;"",COUNTIF('الزبائن'!$A$6:$A$505,B426)=0),(COUNTIFS('أرقام التواصل'!$A$6:$A$505,"proposed_name",'أرقام التواصل'!$B$6:$B$505,A426,'أرقام التواصل'!$I$6:$I$505,"TRUE")+COUNTIFS('أرقام التواصل'!$A$6:$A$505,"proposed_name",'أرقام التواصل'!$B$6:$B$505,A426,'أرقام التواصل'!$C$6:$C$505,1))=0,AND(W426="TRUE",X426="")),"REVIEW","READY")))</x:f>
      </x:c>
      <x:c r="AE426" s="255" t="str">
        <x:f>IF(AD426="","",IF(AD426="READY","",IF(AD426="SKIP","Skipped by candidate_import_action",TRIM(IF(A426="","missing proposed_name_key; ","")&amp;IF(AND(A426&lt;&gt;"",COUNTIF($A$6:$A$505,A426)&gt;1),"duplicate proposed_name_key; ","")&amp;IF(C426="","missing candidate_import_action; ","")&amp;IF(D426="","missing move_reason; ","")&amp;IF(I426="","missing branch_id; ","")&amp;IF(L426="","missing first_name; ","")&amp;IF(M426="","missing last_name; ","")&amp;IF(U426="","missing status; ","")&amp;IF(AND(B426&lt;&gt;"",COUNTIF('الزبائن'!$A$6:$A$505,B426)=0),"source key not found; ","")&amp;IF((COUNTIFS('أرقام التواصل'!$A$6:$A$505,"proposed_name",'أرقام التواصل'!$B$6:$B$505,A426,'أرقام التواصل'!$I$6:$I$505,"TRUE")+COUNTIFS('أرقام التواصل'!$A$6:$A$505,"proposed_name",'أرقام التواصل'!$B$6:$B$505,A426,'أرقام التواصل'!$C$6:$C$505,1))=0,"missing primary contact in أرقام التواصل; ","")&amp;IF(AND(W426="TRUE",X426=""),"duplicate_type required when duplicate_flag TRUE; ","")))))</x:f>
      </x:c>
    </x:row>
    <x:row r="427">
      <x:c r="A427" s="302"/>
      <x:c r="B427" s="252"/>
      <x:c r="C427" s="253"/>
      <x:c r="D427" s="253"/>
      <x:c r="E427" s="253"/>
      <x:c r="F427" s="252"/>
      <x:c r="G427" s="253"/>
      <x:c r="H427" s="272"/>
      <x:c r="I427" s="253"/>
      <x:c r="J427" s="253"/>
      <x:c r="K427" s="253"/>
      <x:c r="L427" s="253"/>
      <x:c r="M427" s="253"/>
      <x:c r="N427" s="253"/>
      <x:c r="O427" s="253" t="str">
        <x:f>IF(TRIM(L427&amp;" "&amp;M427&amp;IF(N427&lt;&gt;""," ("&amp;N427&amp;")",""))="","",TRIM(L427&amp;" "&amp;M427&amp;IF(N427&lt;&gt;""," ("&amp;N427&amp;")","")))</x:f>
      </x:c>
      <x:c r="P427" s="253"/>
      <x:c r="Q427" s="252"/>
      <x:c r="R427" s="253"/>
      <x:c r="S427" s="253"/>
      <x:c r="T427" s="253"/>
      <x:c r="U427" s="253"/>
      <x:c r="V427" s="253"/>
      <x:c r="W427" s="253"/>
      <x:c r="X427" s="253"/>
      <x:c r="Y427" s="252"/>
      <x:c r="Z427" s="252"/>
      <x:c r="AA427" s="253"/>
      <x:c r="AB427" s="253" t="str">
        <x:f>IF(B427="","",IFERROR(INDEX('الزبائن'!$BA$6:$BA$505,MATCH(B427,'الزبائن'!$A$6:$A$505,0)),"source key not found"))</x:f>
      </x:c>
      <x:c r="AC427" s="253" t="str">
        <x:f>IF(B427="","",IFERROR(INDEX('الزبائن'!$BB$6:$BB$505,MATCH(B427,'الزبائن'!$A$6:$A$505,0)),"source key not found"))</x:f>
      </x:c>
      <x:c r="AD427" s="253" t="str">
        <x:f>IF(AND(A427="",C427="",D427="",I427="",L427="",M427=""),"",IF(C427="skip","SKIP",IF(OR(A427="",C427="",D427="",I427="",L427="",M427="",U427="",COUNTIF($A$6:$A$505,A427)&gt;1,AND(B427&lt;&gt;"",COUNTIF('الزبائن'!$A$6:$A$505,B427)=0),(COUNTIFS('أرقام التواصل'!$A$6:$A$505,"proposed_name",'أرقام التواصل'!$B$6:$B$505,A427,'أرقام التواصل'!$I$6:$I$505,"TRUE")+COUNTIFS('أرقام التواصل'!$A$6:$A$505,"proposed_name",'أرقام التواصل'!$B$6:$B$505,A427,'أرقام التواصل'!$C$6:$C$505,1))=0,AND(W427="TRUE",X427="")),"REVIEW","READY")))</x:f>
      </x:c>
      <x:c r="AE427" s="255" t="str">
        <x:f>IF(AD427="","",IF(AD427="READY","",IF(AD427="SKIP","Skipped by candidate_import_action",TRIM(IF(A427="","missing proposed_name_key; ","")&amp;IF(AND(A427&lt;&gt;"",COUNTIF($A$6:$A$505,A427)&gt;1),"duplicate proposed_name_key; ","")&amp;IF(C427="","missing candidate_import_action; ","")&amp;IF(D427="","missing move_reason; ","")&amp;IF(I427="","missing branch_id; ","")&amp;IF(L427="","missing first_name; ","")&amp;IF(M427="","missing last_name; ","")&amp;IF(U427="","missing status; ","")&amp;IF(AND(B427&lt;&gt;"",COUNTIF('الزبائن'!$A$6:$A$505,B427)=0),"source key not found; ","")&amp;IF((COUNTIFS('أرقام التواصل'!$A$6:$A$505,"proposed_name",'أرقام التواصل'!$B$6:$B$505,A427,'أرقام التواصل'!$I$6:$I$505,"TRUE")+COUNTIFS('أرقام التواصل'!$A$6:$A$505,"proposed_name",'أرقام التواصل'!$B$6:$B$505,A427,'أرقام التواصل'!$C$6:$C$505,1))=0,"missing primary contact in أرقام التواصل; ","")&amp;IF(AND(W427="TRUE",X427=""),"duplicate_type required when duplicate_flag TRUE; ","")))))</x:f>
      </x:c>
    </x:row>
    <x:row r="428">
      <x:c r="A428" s="302"/>
      <x:c r="B428" s="252"/>
      <x:c r="C428" s="253"/>
      <x:c r="D428" s="253"/>
      <x:c r="E428" s="253"/>
      <x:c r="F428" s="252"/>
      <x:c r="G428" s="253"/>
      <x:c r="H428" s="272"/>
      <x:c r="I428" s="253"/>
      <x:c r="J428" s="253"/>
      <x:c r="K428" s="253"/>
      <x:c r="L428" s="253"/>
      <x:c r="M428" s="253"/>
      <x:c r="N428" s="253"/>
      <x:c r="O428" s="253" t="str">
        <x:f>IF(TRIM(L428&amp;" "&amp;M428&amp;IF(N428&lt;&gt;""," ("&amp;N428&amp;")",""))="","",TRIM(L428&amp;" "&amp;M428&amp;IF(N428&lt;&gt;""," ("&amp;N428&amp;")","")))</x:f>
      </x:c>
      <x:c r="P428" s="253"/>
      <x:c r="Q428" s="252"/>
      <x:c r="R428" s="253"/>
      <x:c r="S428" s="253"/>
      <x:c r="T428" s="253"/>
      <x:c r="U428" s="253"/>
      <x:c r="V428" s="253"/>
      <x:c r="W428" s="253"/>
      <x:c r="X428" s="253"/>
      <x:c r="Y428" s="252"/>
      <x:c r="Z428" s="252"/>
      <x:c r="AA428" s="253"/>
      <x:c r="AB428" s="253" t="str">
        <x:f>IF(B428="","",IFERROR(INDEX('الزبائن'!$BA$6:$BA$505,MATCH(B428,'الزبائن'!$A$6:$A$505,0)),"source key not found"))</x:f>
      </x:c>
      <x:c r="AC428" s="253" t="str">
        <x:f>IF(B428="","",IFERROR(INDEX('الزبائن'!$BB$6:$BB$505,MATCH(B428,'الزبائن'!$A$6:$A$505,0)),"source key not found"))</x:f>
      </x:c>
      <x:c r="AD428" s="253" t="str">
        <x:f>IF(AND(A428="",C428="",D428="",I428="",L428="",M428=""),"",IF(C428="skip","SKIP",IF(OR(A428="",C428="",D428="",I428="",L428="",M428="",U428="",COUNTIF($A$6:$A$505,A428)&gt;1,AND(B428&lt;&gt;"",COUNTIF('الزبائن'!$A$6:$A$505,B428)=0),(COUNTIFS('أرقام التواصل'!$A$6:$A$505,"proposed_name",'أرقام التواصل'!$B$6:$B$505,A428,'أرقام التواصل'!$I$6:$I$505,"TRUE")+COUNTIFS('أرقام التواصل'!$A$6:$A$505,"proposed_name",'أرقام التواصل'!$B$6:$B$505,A428,'أرقام التواصل'!$C$6:$C$505,1))=0,AND(W428="TRUE",X428="")),"REVIEW","READY")))</x:f>
      </x:c>
      <x:c r="AE428" s="255" t="str">
        <x:f>IF(AD428="","",IF(AD428="READY","",IF(AD428="SKIP","Skipped by candidate_import_action",TRIM(IF(A428="","missing proposed_name_key; ","")&amp;IF(AND(A428&lt;&gt;"",COUNTIF($A$6:$A$505,A428)&gt;1),"duplicate proposed_name_key; ","")&amp;IF(C428="","missing candidate_import_action; ","")&amp;IF(D428="","missing move_reason; ","")&amp;IF(I428="","missing branch_id; ","")&amp;IF(L428="","missing first_name; ","")&amp;IF(M428="","missing last_name; ","")&amp;IF(U428="","missing status; ","")&amp;IF(AND(B428&lt;&gt;"",COUNTIF('الزبائن'!$A$6:$A$505,B428)=0),"source key not found; ","")&amp;IF((COUNTIFS('أرقام التواصل'!$A$6:$A$505,"proposed_name",'أرقام التواصل'!$B$6:$B$505,A428,'أرقام التواصل'!$I$6:$I$505,"TRUE")+COUNTIFS('أرقام التواصل'!$A$6:$A$505,"proposed_name",'أرقام التواصل'!$B$6:$B$505,A428,'أرقام التواصل'!$C$6:$C$505,1))=0,"missing primary contact in أرقام التواصل; ","")&amp;IF(AND(W428="TRUE",X428=""),"duplicate_type required when duplicate_flag TRUE; ","")))))</x:f>
      </x:c>
    </x:row>
    <x:row r="429">
      <x:c r="A429" s="302"/>
      <x:c r="B429" s="252"/>
      <x:c r="C429" s="253"/>
      <x:c r="D429" s="253"/>
      <x:c r="E429" s="253"/>
      <x:c r="F429" s="252"/>
      <x:c r="G429" s="253"/>
      <x:c r="H429" s="272"/>
      <x:c r="I429" s="253"/>
      <x:c r="J429" s="253"/>
      <x:c r="K429" s="253"/>
      <x:c r="L429" s="253"/>
      <x:c r="M429" s="253"/>
      <x:c r="N429" s="253"/>
      <x:c r="O429" s="253" t="str">
        <x:f>IF(TRIM(L429&amp;" "&amp;M429&amp;IF(N429&lt;&gt;""," ("&amp;N429&amp;")",""))="","",TRIM(L429&amp;" "&amp;M429&amp;IF(N429&lt;&gt;""," ("&amp;N429&amp;")","")))</x:f>
      </x:c>
      <x:c r="P429" s="253"/>
      <x:c r="Q429" s="252"/>
      <x:c r="R429" s="253"/>
      <x:c r="S429" s="253"/>
      <x:c r="T429" s="253"/>
      <x:c r="U429" s="253"/>
      <x:c r="V429" s="253"/>
      <x:c r="W429" s="253"/>
      <x:c r="X429" s="253"/>
      <x:c r="Y429" s="252"/>
      <x:c r="Z429" s="252"/>
      <x:c r="AA429" s="253"/>
      <x:c r="AB429" s="253" t="str">
        <x:f>IF(B429="","",IFERROR(INDEX('الزبائن'!$BA$6:$BA$505,MATCH(B429,'الزبائن'!$A$6:$A$505,0)),"source key not found"))</x:f>
      </x:c>
      <x:c r="AC429" s="253" t="str">
        <x:f>IF(B429="","",IFERROR(INDEX('الزبائن'!$BB$6:$BB$505,MATCH(B429,'الزبائن'!$A$6:$A$505,0)),"source key not found"))</x:f>
      </x:c>
      <x:c r="AD429" s="253" t="str">
        <x:f>IF(AND(A429="",C429="",D429="",I429="",L429="",M429=""),"",IF(C429="skip","SKIP",IF(OR(A429="",C429="",D429="",I429="",L429="",M429="",U429="",COUNTIF($A$6:$A$505,A429)&gt;1,AND(B429&lt;&gt;"",COUNTIF('الزبائن'!$A$6:$A$505,B429)=0),(COUNTIFS('أرقام التواصل'!$A$6:$A$505,"proposed_name",'أرقام التواصل'!$B$6:$B$505,A429,'أرقام التواصل'!$I$6:$I$505,"TRUE")+COUNTIFS('أرقام التواصل'!$A$6:$A$505,"proposed_name",'أرقام التواصل'!$B$6:$B$505,A429,'أرقام التواصل'!$C$6:$C$505,1))=0,AND(W429="TRUE",X429="")),"REVIEW","READY")))</x:f>
      </x:c>
      <x:c r="AE429" s="255" t="str">
        <x:f>IF(AD429="","",IF(AD429="READY","",IF(AD429="SKIP","Skipped by candidate_import_action",TRIM(IF(A429="","missing proposed_name_key; ","")&amp;IF(AND(A429&lt;&gt;"",COUNTIF($A$6:$A$505,A429)&gt;1),"duplicate proposed_name_key; ","")&amp;IF(C429="","missing candidate_import_action; ","")&amp;IF(D429="","missing move_reason; ","")&amp;IF(I429="","missing branch_id; ","")&amp;IF(L429="","missing first_name; ","")&amp;IF(M429="","missing last_name; ","")&amp;IF(U429="","missing status; ","")&amp;IF(AND(B429&lt;&gt;"",COUNTIF('الزبائن'!$A$6:$A$505,B429)=0),"source key not found; ","")&amp;IF((COUNTIFS('أرقام التواصل'!$A$6:$A$505,"proposed_name",'أرقام التواصل'!$B$6:$B$505,A429,'أرقام التواصل'!$I$6:$I$505,"TRUE")+COUNTIFS('أرقام التواصل'!$A$6:$A$505,"proposed_name",'أرقام التواصل'!$B$6:$B$505,A429,'أرقام التواصل'!$C$6:$C$505,1))=0,"missing primary contact in أرقام التواصل; ","")&amp;IF(AND(W429="TRUE",X429=""),"duplicate_type required when duplicate_flag TRUE; ","")))))</x:f>
      </x:c>
    </x:row>
    <x:row r="430">
      <x:c r="A430" s="302"/>
      <x:c r="B430" s="252"/>
      <x:c r="C430" s="253"/>
      <x:c r="D430" s="253"/>
      <x:c r="E430" s="253"/>
      <x:c r="F430" s="252"/>
      <x:c r="G430" s="253"/>
      <x:c r="H430" s="272"/>
      <x:c r="I430" s="253"/>
      <x:c r="J430" s="253"/>
      <x:c r="K430" s="253"/>
      <x:c r="L430" s="253"/>
      <x:c r="M430" s="253"/>
      <x:c r="N430" s="253"/>
      <x:c r="O430" s="253" t="str">
        <x:f>IF(TRIM(L430&amp;" "&amp;M430&amp;IF(N430&lt;&gt;""," ("&amp;N430&amp;")",""))="","",TRIM(L430&amp;" "&amp;M430&amp;IF(N430&lt;&gt;""," ("&amp;N430&amp;")","")))</x:f>
      </x:c>
      <x:c r="P430" s="253"/>
      <x:c r="Q430" s="252"/>
      <x:c r="R430" s="253"/>
      <x:c r="S430" s="253"/>
      <x:c r="T430" s="253"/>
      <x:c r="U430" s="253"/>
      <x:c r="V430" s="253"/>
      <x:c r="W430" s="253"/>
      <x:c r="X430" s="253"/>
      <x:c r="Y430" s="252"/>
      <x:c r="Z430" s="252"/>
      <x:c r="AA430" s="253"/>
      <x:c r="AB430" s="253" t="str">
        <x:f>IF(B430="","",IFERROR(INDEX('الزبائن'!$BA$6:$BA$505,MATCH(B430,'الزبائن'!$A$6:$A$505,0)),"source key not found"))</x:f>
      </x:c>
      <x:c r="AC430" s="253" t="str">
        <x:f>IF(B430="","",IFERROR(INDEX('الزبائن'!$BB$6:$BB$505,MATCH(B430,'الزبائن'!$A$6:$A$505,0)),"source key not found"))</x:f>
      </x:c>
      <x:c r="AD430" s="253" t="str">
        <x:f>IF(AND(A430="",C430="",D430="",I430="",L430="",M430=""),"",IF(C430="skip","SKIP",IF(OR(A430="",C430="",D430="",I430="",L430="",M430="",U430="",COUNTIF($A$6:$A$505,A430)&gt;1,AND(B430&lt;&gt;"",COUNTIF('الزبائن'!$A$6:$A$505,B430)=0),(COUNTIFS('أرقام التواصل'!$A$6:$A$505,"proposed_name",'أرقام التواصل'!$B$6:$B$505,A430,'أرقام التواصل'!$I$6:$I$505,"TRUE")+COUNTIFS('أرقام التواصل'!$A$6:$A$505,"proposed_name",'أرقام التواصل'!$B$6:$B$505,A430,'أرقام التواصل'!$C$6:$C$505,1))=0,AND(W430="TRUE",X430="")),"REVIEW","READY")))</x:f>
      </x:c>
      <x:c r="AE430" s="255" t="str">
        <x:f>IF(AD430="","",IF(AD430="READY","",IF(AD430="SKIP","Skipped by candidate_import_action",TRIM(IF(A430="","missing proposed_name_key; ","")&amp;IF(AND(A430&lt;&gt;"",COUNTIF($A$6:$A$505,A430)&gt;1),"duplicate proposed_name_key; ","")&amp;IF(C430="","missing candidate_import_action; ","")&amp;IF(D430="","missing move_reason; ","")&amp;IF(I430="","missing branch_id; ","")&amp;IF(L430="","missing first_name; ","")&amp;IF(M430="","missing last_name; ","")&amp;IF(U430="","missing status; ","")&amp;IF(AND(B430&lt;&gt;"",COUNTIF('الزبائن'!$A$6:$A$505,B430)=0),"source key not found; ","")&amp;IF((COUNTIFS('أرقام التواصل'!$A$6:$A$505,"proposed_name",'أرقام التواصل'!$B$6:$B$505,A430,'أرقام التواصل'!$I$6:$I$505,"TRUE")+COUNTIFS('أرقام التواصل'!$A$6:$A$505,"proposed_name",'أرقام التواصل'!$B$6:$B$505,A430,'أرقام التواصل'!$C$6:$C$505,1))=0,"missing primary contact in أرقام التواصل; ","")&amp;IF(AND(W430="TRUE",X430=""),"duplicate_type required when duplicate_flag TRUE; ","")))))</x:f>
      </x:c>
    </x:row>
    <x:row r="431">
      <x:c r="A431" s="302"/>
      <x:c r="B431" s="252"/>
      <x:c r="C431" s="253"/>
      <x:c r="D431" s="253"/>
      <x:c r="E431" s="253"/>
      <x:c r="F431" s="252"/>
      <x:c r="G431" s="253"/>
      <x:c r="H431" s="272"/>
      <x:c r="I431" s="253"/>
      <x:c r="J431" s="253"/>
      <x:c r="K431" s="253"/>
      <x:c r="L431" s="253"/>
      <x:c r="M431" s="253"/>
      <x:c r="N431" s="253"/>
      <x:c r="O431" s="253" t="str">
        <x:f>IF(TRIM(L431&amp;" "&amp;M431&amp;IF(N431&lt;&gt;""," ("&amp;N431&amp;")",""))="","",TRIM(L431&amp;" "&amp;M431&amp;IF(N431&lt;&gt;""," ("&amp;N431&amp;")","")))</x:f>
      </x:c>
      <x:c r="P431" s="253"/>
      <x:c r="Q431" s="252"/>
      <x:c r="R431" s="253"/>
      <x:c r="S431" s="253"/>
      <x:c r="T431" s="253"/>
      <x:c r="U431" s="253"/>
      <x:c r="V431" s="253"/>
      <x:c r="W431" s="253"/>
      <x:c r="X431" s="253"/>
      <x:c r="Y431" s="252"/>
      <x:c r="Z431" s="252"/>
      <x:c r="AA431" s="253"/>
      <x:c r="AB431" s="253" t="str">
        <x:f>IF(B431="","",IFERROR(INDEX('الزبائن'!$BA$6:$BA$505,MATCH(B431,'الزبائن'!$A$6:$A$505,0)),"source key not found"))</x:f>
      </x:c>
      <x:c r="AC431" s="253" t="str">
        <x:f>IF(B431="","",IFERROR(INDEX('الزبائن'!$BB$6:$BB$505,MATCH(B431,'الزبائن'!$A$6:$A$505,0)),"source key not found"))</x:f>
      </x:c>
      <x:c r="AD431" s="253" t="str">
        <x:f>IF(AND(A431="",C431="",D431="",I431="",L431="",M431=""),"",IF(C431="skip","SKIP",IF(OR(A431="",C431="",D431="",I431="",L431="",M431="",U431="",COUNTIF($A$6:$A$505,A431)&gt;1,AND(B431&lt;&gt;"",COUNTIF('الزبائن'!$A$6:$A$505,B431)=0),(COUNTIFS('أرقام التواصل'!$A$6:$A$505,"proposed_name",'أرقام التواصل'!$B$6:$B$505,A431,'أرقام التواصل'!$I$6:$I$505,"TRUE")+COUNTIFS('أرقام التواصل'!$A$6:$A$505,"proposed_name",'أرقام التواصل'!$B$6:$B$505,A431,'أرقام التواصل'!$C$6:$C$505,1))=0,AND(W431="TRUE",X431="")),"REVIEW","READY")))</x:f>
      </x:c>
      <x:c r="AE431" s="255" t="str">
        <x:f>IF(AD431="","",IF(AD431="READY","",IF(AD431="SKIP","Skipped by candidate_import_action",TRIM(IF(A431="","missing proposed_name_key; ","")&amp;IF(AND(A431&lt;&gt;"",COUNTIF($A$6:$A$505,A431)&gt;1),"duplicate proposed_name_key; ","")&amp;IF(C431="","missing candidate_import_action; ","")&amp;IF(D431="","missing move_reason; ","")&amp;IF(I431="","missing branch_id; ","")&amp;IF(L431="","missing first_name; ","")&amp;IF(M431="","missing last_name; ","")&amp;IF(U431="","missing status; ","")&amp;IF(AND(B431&lt;&gt;"",COUNTIF('الزبائن'!$A$6:$A$505,B431)=0),"source key not found; ","")&amp;IF((COUNTIFS('أرقام التواصل'!$A$6:$A$505,"proposed_name",'أرقام التواصل'!$B$6:$B$505,A431,'أرقام التواصل'!$I$6:$I$505,"TRUE")+COUNTIFS('أرقام التواصل'!$A$6:$A$505,"proposed_name",'أرقام التواصل'!$B$6:$B$505,A431,'أرقام التواصل'!$C$6:$C$505,1))=0,"missing primary contact in أرقام التواصل; ","")&amp;IF(AND(W431="TRUE",X431=""),"duplicate_type required when duplicate_flag TRUE; ","")))))</x:f>
      </x:c>
    </x:row>
    <x:row r="432">
      <x:c r="A432" s="302"/>
      <x:c r="B432" s="252"/>
      <x:c r="C432" s="253"/>
      <x:c r="D432" s="253"/>
      <x:c r="E432" s="253"/>
      <x:c r="F432" s="252"/>
      <x:c r="G432" s="253"/>
      <x:c r="H432" s="272"/>
      <x:c r="I432" s="253"/>
      <x:c r="J432" s="253"/>
      <x:c r="K432" s="253"/>
      <x:c r="L432" s="253"/>
      <x:c r="M432" s="253"/>
      <x:c r="N432" s="253"/>
      <x:c r="O432" s="253" t="str">
        <x:f>IF(TRIM(L432&amp;" "&amp;M432&amp;IF(N432&lt;&gt;""," ("&amp;N432&amp;")",""))="","",TRIM(L432&amp;" "&amp;M432&amp;IF(N432&lt;&gt;""," ("&amp;N432&amp;")","")))</x:f>
      </x:c>
      <x:c r="P432" s="253"/>
      <x:c r="Q432" s="252"/>
      <x:c r="R432" s="253"/>
      <x:c r="S432" s="253"/>
      <x:c r="T432" s="253"/>
      <x:c r="U432" s="253"/>
      <x:c r="V432" s="253"/>
      <x:c r="W432" s="253"/>
      <x:c r="X432" s="253"/>
      <x:c r="Y432" s="252"/>
      <x:c r="Z432" s="252"/>
      <x:c r="AA432" s="253"/>
      <x:c r="AB432" s="253" t="str">
        <x:f>IF(B432="","",IFERROR(INDEX('الزبائن'!$BA$6:$BA$505,MATCH(B432,'الزبائن'!$A$6:$A$505,0)),"source key not found"))</x:f>
      </x:c>
      <x:c r="AC432" s="253" t="str">
        <x:f>IF(B432="","",IFERROR(INDEX('الزبائن'!$BB$6:$BB$505,MATCH(B432,'الزبائن'!$A$6:$A$505,0)),"source key not found"))</x:f>
      </x:c>
      <x:c r="AD432" s="253" t="str">
        <x:f>IF(AND(A432="",C432="",D432="",I432="",L432="",M432=""),"",IF(C432="skip","SKIP",IF(OR(A432="",C432="",D432="",I432="",L432="",M432="",U432="",COUNTIF($A$6:$A$505,A432)&gt;1,AND(B432&lt;&gt;"",COUNTIF('الزبائن'!$A$6:$A$505,B432)=0),(COUNTIFS('أرقام التواصل'!$A$6:$A$505,"proposed_name",'أرقام التواصل'!$B$6:$B$505,A432,'أرقام التواصل'!$I$6:$I$505,"TRUE")+COUNTIFS('أرقام التواصل'!$A$6:$A$505,"proposed_name",'أرقام التواصل'!$B$6:$B$505,A432,'أرقام التواصل'!$C$6:$C$505,1))=0,AND(W432="TRUE",X432="")),"REVIEW","READY")))</x:f>
      </x:c>
      <x:c r="AE432" s="255" t="str">
        <x:f>IF(AD432="","",IF(AD432="READY","",IF(AD432="SKIP","Skipped by candidate_import_action",TRIM(IF(A432="","missing proposed_name_key; ","")&amp;IF(AND(A432&lt;&gt;"",COUNTIF($A$6:$A$505,A432)&gt;1),"duplicate proposed_name_key; ","")&amp;IF(C432="","missing candidate_import_action; ","")&amp;IF(D432="","missing move_reason; ","")&amp;IF(I432="","missing branch_id; ","")&amp;IF(L432="","missing first_name; ","")&amp;IF(M432="","missing last_name; ","")&amp;IF(U432="","missing status; ","")&amp;IF(AND(B432&lt;&gt;"",COUNTIF('الزبائن'!$A$6:$A$505,B432)=0),"source key not found; ","")&amp;IF((COUNTIFS('أرقام التواصل'!$A$6:$A$505,"proposed_name",'أرقام التواصل'!$B$6:$B$505,A432,'أرقام التواصل'!$I$6:$I$505,"TRUE")+COUNTIFS('أرقام التواصل'!$A$6:$A$505,"proposed_name",'أرقام التواصل'!$B$6:$B$505,A432,'أرقام التواصل'!$C$6:$C$505,1))=0,"missing primary contact in أرقام التواصل; ","")&amp;IF(AND(W432="TRUE",X432=""),"duplicate_type required when duplicate_flag TRUE; ","")))))</x:f>
      </x:c>
    </x:row>
    <x:row r="433">
      <x:c r="A433" s="302"/>
      <x:c r="B433" s="252"/>
      <x:c r="C433" s="253"/>
      <x:c r="D433" s="253"/>
      <x:c r="E433" s="253"/>
      <x:c r="F433" s="252"/>
      <x:c r="G433" s="253"/>
      <x:c r="H433" s="272"/>
      <x:c r="I433" s="253"/>
      <x:c r="J433" s="253"/>
      <x:c r="K433" s="253"/>
      <x:c r="L433" s="253"/>
      <x:c r="M433" s="253"/>
      <x:c r="N433" s="253"/>
      <x:c r="O433" s="253" t="str">
        <x:f>IF(TRIM(L433&amp;" "&amp;M433&amp;IF(N433&lt;&gt;""," ("&amp;N433&amp;")",""))="","",TRIM(L433&amp;" "&amp;M433&amp;IF(N433&lt;&gt;""," ("&amp;N433&amp;")","")))</x:f>
      </x:c>
      <x:c r="P433" s="253"/>
      <x:c r="Q433" s="252"/>
      <x:c r="R433" s="253"/>
      <x:c r="S433" s="253"/>
      <x:c r="T433" s="253"/>
      <x:c r="U433" s="253"/>
      <x:c r="V433" s="253"/>
      <x:c r="W433" s="253"/>
      <x:c r="X433" s="253"/>
      <x:c r="Y433" s="252"/>
      <x:c r="Z433" s="252"/>
      <x:c r="AA433" s="253"/>
      <x:c r="AB433" s="253" t="str">
        <x:f>IF(B433="","",IFERROR(INDEX('الزبائن'!$BA$6:$BA$505,MATCH(B433,'الزبائن'!$A$6:$A$505,0)),"source key not found"))</x:f>
      </x:c>
      <x:c r="AC433" s="253" t="str">
        <x:f>IF(B433="","",IFERROR(INDEX('الزبائن'!$BB$6:$BB$505,MATCH(B433,'الزبائن'!$A$6:$A$505,0)),"source key not found"))</x:f>
      </x:c>
      <x:c r="AD433" s="253" t="str">
        <x:f>IF(AND(A433="",C433="",D433="",I433="",L433="",M433=""),"",IF(C433="skip","SKIP",IF(OR(A433="",C433="",D433="",I433="",L433="",M433="",U433="",COUNTIF($A$6:$A$505,A433)&gt;1,AND(B433&lt;&gt;"",COUNTIF('الزبائن'!$A$6:$A$505,B433)=0),(COUNTIFS('أرقام التواصل'!$A$6:$A$505,"proposed_name",'أرقام التواصل'!$B$6:$B$505,A433,'أرقام التواصل'!$I$6:$I$505,"TRUE")+COUNTIFS('أرقام التواصل'!$A$6:$A$505,"proposed_name",'أرقام التواصل'!$B$6:$B$505,A433,'أرقام التواصل'!$C$6:$C$505,1))=0,AND(W433="TRUE",X433="")),"REVIEW","READY")))</x:f>
      </x:c>
      <x:c r="AE433" s="255" t="str">
        <x:f>IF(AD433="","",IF(AD433="READY","",IF(AD433="SKIP","Skipped by candidate_import_action",TRIM(IF(A433="","missing proposed_name_key; ","")&amp;IF(AND(A433&lt;&gt;"",COUNTIF($A$6:$A$505,A433)&gt;1),"duplicate proposed_name_key; ","")&amp;IF(C433="","missing candidate_import_action; ","")&amp;IF(D433="","missing move_reason; ","")&amp;IF(I433="","missing branch_id; ","")&amp;IF(L433="","missing first_name; ","")&amp;IF(M433="","missing last_name; ","")&amp;IF(U433="","missing status; ","")&amp;IF(AND(B433&lt;&gt;"",COUNTIF('الزبائن'!$A$6:$A$505,B433)=0),"source key not found; ","")&amp;IF((COUNTIFS('أرقام التواصل'!$A$6:$A$505,"proposed_name",'أرقام التواصل'!$B$6:$B$505,A433,'أرقام التواصل'!$I$6:$I$505,"TRUE")+COUNTIFS('أرقام التواصل'!$A$6:$A$505,"proposed_name",'أرقام التواصل'!$B$6:$B$505,A433,'أرقام التواصل'!$C$6:$C$505,1))=0,"missing primary contact in أرقام التواصل; ","")&amp;IF(AND(W433="TRUE",X433=""),"duplicate_type required when duplicate_flag TRUE; ","")))))</x:f>
      </x:c>
    </x:row>
    <x:row r="434">
      <x:c r="A434" s="302"/>
      <x:c r="B434" s="252"/>
      <x:c r="C434" s="253"/>
      <x:c r="D434" s="253"/>
      <x:c r="E434" s="253"/>
      <x:c r="F434" s="252"/>
      <x:c r="G434" s="253"/>
      <x:c r="H434" s="272"/>
      <x:c r="I434" s="253"/>
      <x:c r="J434" s="253"/>
      <x:c r="K434" s="253"/>
      <x:c r="L434" s="253"/>
      <x:c r="M434" s="253"/>
      <x:c r="N434" s="253"/>
      <x:c r="O434" s="253" t="str">
        <x:f>IF(TRIM(L434&amp;" "&amp;M434&amp;IF(N434&lt;&gt;""," ("&amp;N434&amp;")",""))="","",TRIM(L434&amp;" "&amp;M434&amp;IF(N434&lt;&gt;""," ("&amp;N434&amp;")","")))</x:f>
      </x:c>
      <x:c r="P434" s="253"/>
      <x:c r="Q434" s="252"/>
      <x:c r="R434" s="253"/>
      <x:c r="S434" s="253"/>
      <x:c r="T434" s="253"/>
      <x:c r="U434" s="253"/>
      <x:c r="V434" s="253"/>
      <x:c r="W434" s="253"/>
      <x:c r="X434" s="253"/>
      <x:c r="Y434" s="252"/>
      <x:c r="Z434" s="252"/>
      <x:c r="AA434" s="253"/>
      <x:c r="AB434" s="253" t="str">
        <x:f>IF(B434="","",IFERROR(INDEX('الزبائن'!$BA$6:$BA$505,MATCH(B434,'الزبائن'!$A$6:$A$505,0)),"source key not found"))</x:f>
      </x:c>
      <x:c r="AC434" s="253" t="str">
        <x:f>IF(B434="","",IFERROR(INDEX('الزبائن'!$BB$6:$BB$505,MATCH(B434,'الزبائن'!$A$6:$A$505,0)),"source key not found"))</x:f>
      </x:c>
      <x:c r="AD434" s="253" t="str">
        <x:f>IF(AND(A434="",C434="",D434="",I434="",L434="",M434=""),"",IF(C434="skip","SKIP",IF(OR(A434="",C434="",D434="",I434="",L434="",M434="",U434="",COUNTIF($A$6:$A$505,A434)&gt;1,AND(B434&lt;&gt;"",COUNTIF('الزبائن'!$A$6:$A$505,B434)=0),(COUNTIFS('أرقام التواصل'!$A$6:$A$505,"proposed_name",'أرقام التواصل'!$B$6:$B$505,A434,'أرقام التواصل'!$I$6:$I$505,"TRUE")+COUNTIFS('أرقام التواصل'!$A$6:$A$505,"proposed_name",'أرقام التواصل'!$B$6:$B$505,A434,'أرقام التواصل'!$C$6:$C$505,1))=0,AND(W434="TRUE",X434="")),"REVIEW","READY")))</x:f>
      </x:c>
      <x:c r="AE434" s="255" t="str">
        <x:f>IF(AD434="","",IF(AD434="READY","",IF(AD434="SKIP","Skipped by candidate_import_action",TRIM(IF(A434="","missing proposed_name_key; ","")&amp;IF(AND(A434&lt;&gt;"",COUNTIF($A$6:$A$505,A434)&gt;1),"duplicate proposed_name_key; ","")&amp;IF(C434="","missing candidate_import_action; ","")&amp;IF(D434="","missing move_reason; ","")&amp;IF(I434="","missing branch_id; ","")&amp;IF(L434="","missing first_name; ","")&amp;IF(M434="","missing last_name; ","")&amp;IF(U434="","missing status; ","")&amp;IF(AND(B434&lt;&gt;"",COUNTIF('الزبائن'!$A$6:$A$505,B434)=0),"source key not found; ","")&amp;IF((COUNTIFS('أرقام التواصل'!$A$6:$A$505,"proposed_name",'أرقام التواصل'!$B$6:$B$505,A434,'أرقام التواصل'!$I$6:$I$505,"TRUE")+COUNTIFS('أرقام التواصل'!$A$6:$A$505,"proposed_name",'أرقام التواصل'!$B$6:$B$505,A434,'أرقام التواصل'!$C$6:$C$505,1))=0,"missing primary contact in أرقام التواصل; ","")&amp;IF(AND(W434="TRUE",X434=""),"duplicate_type required when duplicate_flag TRUE; ","")))))</x:f>
      </x:c>
    </x:row>
    <x:row r="435">
      <x:c r="A435" s="302"/>
      <x:c r="B435" s="252"/>
      <x:c r="C435" s="253"/>
      <x:c r="D435" s="253"/>
      <x:c r="E435" s="253"/>
      <x:c r="F435" s="252"/>
      <x:c r="G435" s="253"/>
      <x:c r="H435" s="272"/>
      <x:c r="I435" s="253"/>
      <x:c r="J435" s="253"/>
      <x:c r="K435" s="253"/>
      <x:c r="L435" s="253"/>
      <x:c r="M435" s="253"/>
      <x:c r="N435" s="253"/>
      <x:c r="O435" s="253" t="str">
        <x:f>IF(TRIM(L435&amp;" "&amp;M435&amp;IF(N435&lt;&gt;""," ("&amp;N435&amp;")",""))="","",TRIM(L435&amp;" "&amp;M435&amp;IF(N435&lt;&gt;""," ("&amp;N435&amp;")","")))</x:f>
      </x:c>
      <x:c r="P435" s="253"/>
      <x:c r="Q435" s="252"/>
      <x:c r="R435" s="253"/>
      <x:c r="S435" s="253"/>
      <x:c r="T435" s="253"/>
      <x:c r="U435" s="253"/>
      <x:c r="V435" s="253"/>
      <x:c r="W435" s="253"/>
      <x:c r="X435" s="253"/>
      <x:c r="Y435" s="252"/>
      <x:c r="Z435" s="252"/>
      <x:c r="AA435" s="253"/>
      <x:c r="AB435" s="253" t="str">
        <x:f>IF(B435="","",IFERROR(INDEX('الزبائن'!$BA$6:$BA$505,MATCH(B435,'الزبائن'!$A$6:$A$505,0)),"source key not found"))</x:f>
      </x:c>
      <x:c r="AC435" s="253" t="str">
        <x:f>IF(B435="","",IFERROR(INDEX('الزبائن'!$BB$6:$BB$505,MATCH(B435,'الزبائن'!$A$6:$A$505,0)),"source key not found"))</x:f>
      </x:c>
      <x:c r="AD435" s="253" t="str">
        <x:f>IF(AND(A435="",C435="",D435="",I435="",L435="",M435=""),"",IF(C435="skip","SKIP",IF(OR(A435="",C435="",D435="",I435="",L435="",M435="",U435="",COUNTIF($A$6:$A$505,A435)&gt;1,AND(B435&lt;&gt;"",COUNTIF('الزبائن'!$A$6:$A$505,B435)=0),(COUNTIFS('أرقام التواصل'!$A$6:$A$505,"proposed_name",'أرقام التواصل'!$B$6:$B$505,A435,'أرقام التواصل'!$I$6:$I$505,"TRUE")+COUNTIFS('أرقام التواصل'!$A$6:$A$505,"proposed_name",'أرقام التواصل'!$B$6:$B$505,A435,'أرقام التواصل'!$C$6:$C$505,1))=0,AND(W435="TRUE",X435="")),"REVIEW","READY")))</x:f>
      </x:c>
      <x:c r="AE435" s="255" t="str">
        <x:f>IF(AD435="","",IF(AD435="READY","",IF(AD435="SKIP","Skipped by candidate_import_action",TRIM(IF(A435="","missing proposed_name_key; ","")&amp;IF(AND(A435&lt;&gt;"",COUNTIF($A$6:$A$505,A435)&gt;1),"duplicate proposed_name_key; ","")&amp;IF(C435="","missing candidate_import_action; ","")&amp;IF(D435="","missing move_reason; ","")&amp;IF(I435="","missing branch_id; ","")&amp;IF(L435="","missing first_name; ","")&amp;IF(M435="","missing last_name; ","")&amp;IF(U435="","missing status; ","")&amp;IF(AND(B435&lt;&gt;"",COUNTIF('الزبائن'!$A$6:$A$505,B435)=0),"source key not found; ","")&amp;IF((COUNTIFS('أرقام التواصل'!$A$6:$A$505,"proposed_name",'أرقام التواصل'!$B$6:$B$505,A435,'أرقام التواصل'!$I$6:$I$505,"TRUE")+COUNTIFS('أرقام التواصل'!$A$6:$A$505,"proposed_name",'أرقام التواصل'!$B$6:$B$505,A435,'أرقام التواصل'!$C$6:$C$505,1))=0,"missing primary contact in أرقام التواصل; ","")&amp;IF(AND(W435="TRUE",X435=""),"duplicate_type required when duplicate_flag TRUE; ","")))))</x:f>
      </x:c>
    </x:row>
    <x:row r="436">
      <x:c r="A436" s="302"/>
      <x:c r="B436" s="252"/>
      <x:c r="C436" s="253"/>
      <x:c r="D436" s="253"/>
      <x:c r="E436" s="253"/>
      <x:c r="F436" s="252"/>
      <x:c r="G436" s="253"/>
      <x:c r="H436" s="272"/>
      <x:c r="I436" s="253"/>
      <x:c r="J436" s="253"/>
      <x:c r="K436" s="253"/>
      <x:c r="L436" s="253"/>
      <x:c r="M436" s="253"/>
      <x:c r="N436" s="253"/>
      <x:c r="O436" s="253" t="str">
        <x:f>IF(TRIM(L436&amp;" "&amp;M436&amp;IF(N436&lt;&gt;""," ("&amp;N436&amp;")",""))="","",TRIM(L436&amp;" "&amp;M436&amp;IF(N436&lt;&gt;""," ("&amp;N436&amp;")","")))</x:f>
      </x:c>
      <x:c r="P436" s="253"/>
      <x:c r="Q436" s="252"/>
      <x:c r="R436" s="253"/>
      <x:c r="S436" s="253"/>
      <x:c r="T436" s="253"/>
      <x:c r="U436" s="253"/>
      <x:c r="V436" s="253"/>
      <x:c r="W436" s="253"/>
      <x:c r="X436" s="253"/>
      <x:c r="Y436" s="252"/>
      <x:c r="Z436" s="252"/>
      <x:c r="AA436" s="253"/>
      <x:c r="AB436" s="253" t="str">
        <x:f>IF(B436="","",IFERROR(INDEX('الزبائن'!$BA$6:$BA$505,MATCH(B436,'الزبائن'!$A$6:$A$505,0)),"source key not found"))</x:f>
      </x:c>
      <x:c r="AC436" s="253" t="str">
        <x:f>IF(B436="","",IFERROR(INDEX('الزبائن'!$BB$6:$BB$505,MATCH(B436,'الزبائن'!$A$6:$A$505,0)),"source key not found"))</x:f>
      </x:c>
      <x:c r="AD436" s="253" t="str">
        <x:f>IF(AND(A436="",C436="",D436="",I436="",L436="",M436=""),"",IF(C436="skip","SKIP",IF(OR(A436="",C436="",D436="",I436="",L436="",M436="",U436="",COUNTIF($A$6:$A$505,A436)&gt;1,AND(B436&lt;&gt;"",COUNTIF('الزبائن'!$A$6:$A$505,B436)=0),(COUNTIFS('أرقام التواصل'!$A$6:$A$505,"proposed_name",'أرقام التواصل'!$B$6:$B$505,A436,'أرقام التواصل'!$I$6:$I$505,"TRUE")+COUNTIFS('أرقام التواصل'!$A$6:$A$505,"proposed_name",'أرقام التواصل'!$B$6:$B$505,A436,'أرقام التواصل'!$C$6:$C$505,1))=0,AND(W436="TRUE",X436="")),"REVIEW","READY")))</x:f>
      </x:c>
      <x:c r="AE436" s="255" t="str">
        <x:f>IF(AD436="","",IF(AD436="READY","",IF(AD436="SKIP","Skipped by candidate_import_action",TRIM(IF(A436="","missing proposed_name_key; ","")&amp;IF(AND(A436&lt;&gt;"",COUNTIF($A$6:$A$505,A436)&gt;1),"duplicate proposed_name_key; ","")&amp;IF(C436="","missing candidate_import_action; ","")&amp;IF(D436="","missing move_reason; ","")&amp;IF(I436="","missing branch_id; ","")&amp;IF(L436="","missing first_name; ","")&amp;IF(M436="","missing last_name; ","")&amp;IF(U436="","missing status; ","")&amp;IF(AND(B436&lt;&gt;"",COUNTIF('الزبائن'!$A$6:$A$505,B436)=0),"source key not found; ","")&amp;IF((COUNTIFS('أرقام التواصل'!$A$6:$A$505,"proposed_name",'أرقام التواصل'!$B$6:$B$505,A436,'أرقام التواصل'!$I$6:$I$505,"TRUE")+COUNTIFS('أرقام التواصل'!$A$6:$A$505,"proposed_name",'أرقام التواصل'!$B$6:$B$505,A436,'أرقام التواصل'!$C$6:$C$505,1))=0,"missing primary contact in أرقام التواصل; ","")&amp;IF(AND(W436="TRUE",X436=""),"duplicate_type required when duplicate_flag TRUE; ","")))))</x:f>
      </x:c>
    </x:row>
    <x:row r="437">
      <x:c r="A437" s="302"/>
      <x:c r="B437" s="252"/>
      <x:c r="C437" s="253"/>
      <x:c r="D437" s="253"/>
      <x:c r="E437" s="253"/>
      <x:c r="F437" s="252"/>
      <x:c r="G437" s="253"/>
      <x:c r="H437" s="272"/>
      <x:c r="I437" s="253"/>
      <x:c r="J437" s="253"/>
      <x:c r="K437" s="253"/>
      <x:c r="L437" s="253"/>
      <x:c r="M437" s="253"/>
      <x:c r="N437" s="253"/>
      <x:c r="O437" s="253" t="str">
        <x:f>IF(TRIM(L437&amp;" "&amp;M437&amp;IF(N437&lt;&gt;""," ("&amp;N437&amp;")",""))="","",TRIM(L437&amp;" "&amp;M437&amp;IF(N437&lt;&gt;""," ("&amp;N437&amp;")","")))</x:f>
      </x:c>
      <x:c r="P437" s="253"/>
      <x:c r="Q437" s="252"/>
      <x:c r="R437" s="253"/>
      <x:c r="S437" s="253"/>
      <x:c r="T437" s="253"/>
      <x:c r="U437" s="253"/>
      <x:c r="V437" s="253"/>
      <x:c r="W437" s="253"/>
      <x:c r="X437" s="253"/>
      <x:c r="Y437" s="252"/>
      <x:c r="Z437" s="252"/>
      <x:c r="AA437" s="253"/>
      <x:c r="AB437" s="253" t="str">
        <x:f>IF(B437="","",IFERROR(INDEX('الزبائن'!$BA$6:$BA$505,MATCH(B437,'الزبائن'!$A$6:$A$505,0)),"source key not found"))</x:f>
      </x:c>
      <x:c r="AC437" s="253" t="str">
        <x:f>IF(B437="","",IFERROR(INDEX('الزبائن'!$BB$6:$BB$505,MATCH(B437,'الزبائن'!$A$6:$A$505,0)),"source key not found"))</x:f>
      </x:c>
      <x:c r="AD437" s="253" t="str">
        <x:f>IF(AND(A437="",C437="",D437="",I437="",L437="",M437=""),"",IF(C437="skip","SKIP",IF(OR(A437="",C437="",D437="",I437="",L437="",M437="",U437="",COUNTIF($A$6:$A$505,A437)&gt;1,AND(B437&lt;&gt;"",COUNTIF('الزبائن'!$A$6:$A$505,B437)=0),(COUNTIFS('أرقام التواصل'!$A$6:$A$505,"proposed_name",'أرقام التواصل'!$B$6:$B$505,A437,'أرقام التواصل'!$I$6:$I$505,"TRUE")+COUNTIFS('أرقام التواصل'!$A$6:$A$505,"proposed_name",'أرقام التواصل'!$B$6:$B$505,A437,'أرقام التواصل'!$C$6:$C$505,1))=0,AND(W437="TRUE",X437="")),"REVIEW","READY")))</x:f>
      </x:c>
      <x:c r="AE437" s="255" t="str">
        <x:f>IF(AD437="","",IF(AD437="READY","",IF(AD437="SKIP","Skipped by candidate_import_action",TRIM(IF(A437="","missing proposed_name_key; ","")&amp;IF(AND(A437&lt;&gt;"",COUNTIF($A$6:$A$505,A437)&gt;1),"duplicate proposed_name_key; ","")&amp;IF(C437="","missing candidate_import_action; ","")&amp;IF(D437="","missing move_reason; ","")&amp;IF(I437="","missing branch_id; ","")&amp;IF(L437="","missing first_name; ","")&amp;IF(M437="","missing last_name; ","")&amp;IF(U437="","missing status; ","")&amp;IF(AND(B437&lt;&gt;"",COUNTIF('الزبائن'!$A$6:$A$505,B437)=0),"source key not found; ","")&amp;IF((COUNTIFS('أرقام التواصل'!$A$6:$A$505,"proposed_name",'أرقام التواصل'!$B$6:$B$505,A437,'أرقام التواصل'!$I$6:$I$505,"TRUE")+COUNTIFS('أرقام التواصل'!$A$6:$A$505,"proposed_name",'أرقام التواصل'!$B$6:$B$505,A437,'أرقام التواصل'!$C$6:$C$505,1))=0,"missing primary contact in أرقام التواصل; ","")&amp;IF(AND(W437="TRUE",X437=""),"duplicate_type required when duplicate_flag TRUE; ","")))))</x:f>
      </x:c>
    </x:row>
    <x:row r="438">
      <x:c r="A438" s="302"/>
      <x:c r="B438" s="252"/>
      <x:c r="C438" s="253"/>
      <x:c r="D438" s="253"/>
      <x:c r="E438" s="253"/>
      <x:c r="F438" s="252"/>
      <x:c r="G438" s="253"/>
      <x:c r="H438" s="272"/>
      <x:c r="I438" s="253"/>
      <x:c r="J438" s="253"/>
      <x:c r="K438" s="253"/>
      <x:c r="L438" s="253"/>
      <x:c r="M438" s="253"/>
      <x:c r="N438" s="253"/>
      <x:c r="O438" s="253" t="str">
        <x:f>IF(TRIM(L438&amp;" "&amp;M438&amp;IF(N438&lt;&gt;""," ("&amp;N438&amp;")",""))="","",TRIM(L438&amp;" "&amp;M438&amp;IF(N438&lt;&gt;""," ("&amp;N438&amp;")","")))</x:f>
      </x:c>
      <x:c r="P438" s="253"/>
      <x:c r="Q438" s="252"/>
      <x:c r="R438" s="253"/>
      <x:c r="S438" s="253"/>
      <x:c r="T438" s="253"/>
      <x:c r="U438" s="253"/>
      <x:c r="V438" s="253"/>
      <x:c r="W438" s="253"/>
      <x:c r="X438" s="253"/>
      <x:c r="Y438" s="252"/>
      <x:c r="Z438" s="252"/>
      <x:c r="AA438" s="253"/>
      <x:c r="AB438" s="253" t="str">
        <x:f>IF(B438="","",IFERROR(INDEX('الزبائن'!$BA$6:$BA$505,MATCH(B438,'الزبائن'!$A$6:$A$505,0)),"source key not found"))</x:f>
      </x:c>
      <x:c r="AC438" s="253" t="str">
        <x:f>IF(B438="","",IFERROR(INDEX('الزبائن'!$BB$6:$BB$505,MATCH(B438,'الزبائن'!$A$6:$A$505,0)),"source key not found"))</x:f>
      </x:c>
      <x:c r="AD438" s="253" t="str">
        <x:f>IF(AND(A438="",C438="",D438="",I438="",L438="",M438=""),"",IF(C438="skip","SKIP",IF(OR(A438="",C438="",D438="",I438="",L438="",M438="",U438="",COUNTIF($A$6:$A$505,A438)&gt;1,AND(B438&lt;&gt;"",COUNTIF('الزبائن'!$A$6:$A$505,B438)=0),(COUNTIFS('أرقام التواصل'!$A$6:$A$505,"proposed_name",'أرقام التواصل'!$B$6:$B$505,A438,'أرقام التواصل'!$I$6:$I$505,"TRUE")+COUNTIFS('أرقام التواصل'!$A$6:$A$505,"proposed_name",'أرقام التواصل'!$B$6:$B$505,A438,'أرقام التواصل'!$C$6:$C$505,1))=0,AND(W438="TRUE",X438="")),"REVIEW","READY")))</x:f>
      </x:c>
      <x:c r="AE438" s="255" t="str">
        <x:f>IF(AD438="","",IF(AD438="READY","",IF(AD438="SKIP","Skipped by candidate_import_action",TRIM(IF(A438="","missing proposed_name_key; ","")&amp;IF(AND(A438&lt;&gt;"",COUNTIF($A$6:$A$505,A438)&gt;1),"duplicate proposed_name_key; ","")&amp;IF(C438="","missing candidate_import_action; ","")&amp;IF(D438="","missing move_reason; ","")&amp;IF(I438="","missing branch_id; ","")&amp;IF(L438="","missing first_name; ","")&amp;IF(M438="","missing last_name; ","")&amp;IF(U438="","missing status; ","")&amp;IF(AND(B438&lt;&gt;"",COUNTIF('الزبائن'!$A$6:$A$505,B438)=0),"source key not found; ","")&amp;IF((COUNTIFS('أرقام التواصل'!$A$6:$A$505,"proposed_name",'أرقام التواصل'!$B$6:$B$505,A438,'أرقام التواصل'!$I$6:$I$505,"TRUE")+COUNTIFS('أرقام التواصل'!$A$6:$A$505,"proposed_name",'أرقام التواصل'!$B$6:$B$505,A438,'أرقام التواصل'!$C$6:$C$505,1))=0,"missing primary contact in أرقام التواصل; ","")&amp;IF(AND(W438="TRUE",X438=""),"duplicate_type required when duplicate_flag TRUE; ","")))))</x:f>
      </x:c>
    </x:row>
    <x:row r="439">
      <x:c r="A439" s="302"/>
      <x:c r="B439" s="252"/>
      <x:c r="C439" s="253"/>
      <x:c r="D439" s="253"/>
      <x:c r="E439" s="253"/>
      <x:c r="F439" s="252"/>
      <x:c r="G439" s="253"/>
      <x:c r="H439" s="272"/>
      <x:c r="I439" s="253"/>
      <x:c r="J439" s="253"/>
      <x:c r="K439" s="253"/>
      <x:c r="L439" s="253"/>
      <x:c r="M439" s="253"/>
      <x:c r="N439" s="253"/>
      <x:c r="O439" s="253" t="str">
        <x:f>IF(TRIM(L439&amp;" "&amp;M439&amp;IF(N439&lt;&gt;""," ("&amp;N439&amp;")",""))="","",TRIM(L439&amp;" "&amp;M439&amp;IF(N439&lt;&gt;""," ("&amp;N439&amp;")","")))</x:f>
      </x:c>
      <x:c r="P439" s="253"/>
      <x:c r="Q439" s="252"/>
      <x:c r="R439" s="253"/>
      <x:c r="S439" s="253"/>
      <x:c r="T439" s="253"/>
      <x:c r="U439" s="253"/>
      <x:c r="V439" s="253"/>
      <x:c r="W439" s="253"/>
      <x:c r="X439" s="253"/>
      <x:c r="Y439" s="252"/>
      <x:c r="Z439" s="252"/>
      <x:c r="AA439" s="253"/>
      <x:c r="AB439" s="253" t="str">
        <x:f>IF(B439="","",IFERROR(INDEX('الزبائن'!$BA$6:$BA$505,MATCH(B439,'الزبائن'!$A$6:$A$505,0)),"source key not found"))</x:f>
      </x:c>
      <x:c r="AC439" s="253" t="str">
        <x:f>IF(B439="","",IFERROR(INDEX('الزبائن'!$BB$6:$BB$505,MATCH(B439,'الزبائن'!$A$6:$A$505,0)),"source key not found"))</x:f>
      </x:c>
      <x:c r="AD439" s="253" t="str">
        <x:f>IF(AND(A439="",C439="",D439="",I439="",L439="",M439=""),"",IF(C439="skip","SKIP",IF(OR(A439="",C439="",D439="",I439="",L439="",M439="",U439="",COUNTIF($A$6:$A$505,A439)&gt;1,AND(B439&lt;&gt;"",COUNTIF('الزبائن'!$A$6:$A$505,B439)=0),(COUNTIFS('أرقام التواصل'!$A$6:$A$505,"proposed_name",'أرقام التواصل'!$B$6:$B$505,A439,'أرقام التواصل'!$I$6:$I$505,"TRUE")+COUNTIFS('أرقام التواصل'!$A$6:$A$505,"proposed_name",'أرقام التواصل'!$B$6:$B$505,A439,'أرقام التواصل'!$C$6:$C$505,1))=0,AND(W439="TRUE",X439="")),"REVIEW","READY")))</x:f>
      </x:c>
      <x:c r="AE439" s="255" t="str">
        <x:f>IF(AD439="","",IF(AD439="READY","",IF(AD439="SKIP","Skipped by candidate_import_action",TRIM(IF(A439="","missing proposed_name_key; ","")&amp;IF(AND(A439&lt;&gt;"",COUNTIF($A$6:$A$505,A439)&gt;1),"duplicate proposed_name_key; ","")&amp;IF(C439="","missing candidate_import_action; ","")&amp;IF(D439="","missing move_reason; ","")&amp;IF(I439="","missing branch_id; ","")&amp;IF(L439="","missing first_name; ","")&amp;IF(M439="","missing last_name; ","")&amp;IF(U439="","missing status; ","")&amp;IF(AND(B439&lt;&gt;"",COUNTIF('الزبائن'!$A$6:$A$505,B439)=0),"source key not found; ","")&amp;IF((COUNTIFS('أرقام التواصل'!$A$6:$A$505,"proposed_name",'أرقام التواصل'!$B$6:$B$505,A439,'أرقام التواصل'!$I$6:$I$505,"TRUE")+COUNTIFS('أرقام التواصل'!$A$6:$A$505,"proposed_name",'أرقام التواصل'!$B$6:$B$505,A439,'أرقام التواصل'!$C$6:$C$505,1))=0,"missing primary contact in أرقام التواصل; ","")&amp;IF(AND(W439="TRUE",X439=""),"duplicate_type required when duplicate_flag TRUE; ","")))))</x:f>
      </x:c>
    </x:row>
    <x:row r="440">
      <x:c r="A440" s="302"/>
      <x:c r="B440" s="252"/>
      <x:c r="C440" s="253"/>
      <x:c r="D440" s="253"/>
      <x:c r="E440" s="253"/>
      <x:c r="F440" s="252"/>
      <x:c r="G440" s="253"/>
      <x:c r="H440" s="272"/>
      <x:c r="I440" s="253"/>
      <x:c r="J440" s="253"/>
      <x:c r="K440" s="253"/>
      <x:c r="L440" s="253"/>
      <x:c r="M440" s="253"/>
      <x:c r="N440" s="253"/>
      <x:c r="O440" s="253" t="str">
        <x:f>IF(TRIM(L440&amp;" "&amp;M440&amp;IF(N440&lt;&gt;""," ("&amp;N440&amp;")",""))="","",TRIM(L440&amp;" "&amp;M440&amp;IF(N440&lt;&gt;""," ("&amp;N440&amp;")","")))</x:f>
      </x:c>
      <x:c r="P440" s="253"/>
      <x:c r="Q440" s="252"/>
      <x:c r="R440" s="253"/>
      <x:c r="S440" s="253"/>
      <x:c r="T440" s="253"/>
      <x:c r="U440" s="253"/>
      <x:c r="V440" s="253"/>
      <x:c r="W440" s="253"/>
      <x:c r="X440" s="253"/>
      <x:c r="Y440" s="252"/>
      <x:c r="Z440" s="252"/>
      <x:c r="AA440" s="253"/>
      <x:c r="AB440" s="253" t="str">
        <x:f>IF(B440="","",IFERROR(INDEX('الزبائن'!$BA$6:$BA$505,MATCH(B440,'الزبائن'!$A$6:$A$505,0)),"source key not found"))</x:f>
      </x:c>
      <x:c r="AC440" s="253" t="str">
        <x:f>IF(B440="","",IFERROR(INDEX('الزبائن'!$BB$6:$BB$505,MATCH(B440,'الزبائن'!$A$6:$A$505,0)),"source key not found"))</x:f>
      </x:c>
      <x:c r="AD440" s="253" t="str">
        <x:f>IF(AND(A440="",C440="",D440="",I440="",L440="",M440=""),"",IF(C440="skip","SKIP",IF(OR(A440="",C440="",D440="",I440="",L440="",M440="",U440="",COUNTIF($A$6:$A$505,A440)&gt;1,AND(B440&lt;&gt;"",COUNTIF('الزبائن'!$A$6:$A$505,B440)=0),(COUNTIFS('أرقام التواصل'!$A$6:$A$505,"proposed_name",'أرقام التواصل'!$B$6:$B$505,A440,'أرقام التواصل'!$I$6:$I$505,"TRUE")+COUNTIFS('أرقام التواصل'!$A$6:$A$505,"proposed_name",'أرقام التواصل'!$B$6:$B$505,A440,'أرقام التواصل'!$C$6:$C$505,1))=0,AND(W440="TRUE",X440="")),"REVIEW","READY")))</x:f>
      </x:c>
      <x:c r="AE440" s="255" t="str">
        <x:f>IF(AD440="","",IF(AD440="READY","",IF(AD440="SKIP","Skipped by candidate_import_action",TRIM(IF(A440="","missing proposed_name_key; ","")&amp;IF(AND(A440&lt;&gt;"",COUNTIF($A$6:$A$505,A440)&gt;1),"duplicate proposed_name_key; ","")&amp;IF(C440="","missing candidate_import_action; ","")&amp;IF(D440="","missing move_reason; ","")&amp;IF(I440="","missing branch_id; ","")&amp;IF(L440="","missing first_name; ","")&amp;IF(M440="","missing last_name; ","")&amp;IF(U440="","missing status; ","")&amp;IF(AND(B440&lt;&gt;"",COUNTIF('الزبائن'!$A$6:$A$505,B440)=0),"source key not found; ","")&amp;IF((COUNTIFS('أرقام التواصل'!$A$6:$A$505,"proposed_name",'أرقام التواصل'!$B$6:$B$505,A440,'أرقام التواصل'!$I$6:$I$505,"TRUE")+COUNTIFS('أرقام التواصل'!$A$6:$A$505,"proposed_name",'أرقام التواصل'!$B$6:$B$505,A440,'أرقام التواصل'!$C$6:$C$505,1))=0,"missing primary contact in أرقام التواصل; ","")&amp;IF(AND(W440="TRUE",X440=""),"duplicate_type required when duplicate_flag TRUE; ","")))))</x:f>
      </x:c>
    </x:row>
    <x:row r="441">
      <x:c r="A441" s="302"/>
      <x:c r="B441" s="252"/>
      <x:c r="C441" s="253"/>
      <x:c r="D441" s="253"/>
      <x:c r="E441" s="253"/>
      <x:c r="F441" s="252"/>
      <x:c r="G441" s="253"/>
      <x:c r="H441" s="272"/>
      <x:c r="I441" s="253"/>
      <x:c r="J441" s="253"/>
      <x:c r="K441" s="253"/>
      <x:c r="L441" s="253"/>
      <x:c r="M441" s="253"/>
      <x:c r="N441" s="253"/>
      <x:c r="O441" s="253" t="str">
        <x:f>IF(TRIM(L441&amp;" "&amp;M441&amp;IF(N441&lt;&gt;""," ("&amp;N441&amp;")",""))="","",TRIM(L441&amp;" "&amp;M441&amp;IF(N441&lt;&gt;""," ("&amp;N441&amp;")","")))</x:f>
      </x:c>
      <x:c r="P441" s="253"/>
      <x:c r="Q441" s="252"/>
      <x:c r="R441" s="253"/>
      <x:c r="S441" s="253"/>
      <x:c r="T441" s="253"/>
      <x:c r="U441" s="253"/>
      <x:c r="V441" s="253"/>
      <x:c r="W441" s="253"/>
      <x:c r="X441" s="253"/>
      <x:c r="Y441" s="252"/>
      <x:c r="Z441" s="252"/>
      <x:c r="AA441" s="253"/>
      <x:c r="AB441" s="253" t="str">
        <x:f>IF(B441="","",IFERROR(INDEX('الزبائن'!$BA$6:$BA$505,MATCH(B441,'الزبائن'!$A$6:$A$505,0)),"source key not found"))</x:f>
      </x:c>
      <x:c r="AC441" s="253" t="str">
        <x:f>IF(B441="","",IFERROR(INDEX('الزبائن'!$BB$6:$BB$505,MATCH(B441,'الزبائن'!$A$6:$A$505,0)),"source key not found"))</x:f>
      </x:c>
      <x:c r="AD441" s="253" t="str">
        <x:f>IF(AND(A441="",C441="",D441="",I441="",L441="",M441=""),"",IF(C441="skip","SKIP",IF(OR(A441="",C441="",D441="",I441="",L441="",M441="",U441="",COUNTIF($A$6:$A$505,A441)&gt;1,AND(B441&lt;&gt;"",COUNTIF('الزبائن'!$A$6:$A$505,B441)=0),(COUNTIFS('أرقام التواصل'!$A$6:$A$505,"proposed_name",'أرقام التواصل'!$B$6:$B$505,A441,'أرقام التواصل'!$I$6:$I$505,"TRUE")+COUNTIFS('أرقام التواصل'!$A$6:$A$505,"proposed_name",'أرقام التواصل'!$B$6:$B$505,A441,'أرقام التواصل'!$C$6:$C$505,1))=0,AND(W441="TRUE",X441="")),"REVIEW","READY")))</x:f>
      </x:c>
      <x:c r="AE441" s="255" t="str">
        <x:f>IF(AD441="","",IF(AD441="READY","",IF(AD441="SKIP","Skipped by candidate_import_action",TRIM(IF(A441="","missing proposed_name_key; ","")&amp;IF(AND(A441&lt;&gt;"",COUNTIF($A$6:$A$505,A441)&gt;1),"duplicate proposed_name_key; ","")&amp;IF(C441="","missing candidate_import_action; ","")&amp;IF(D441="","missing move_reason; ","")&amp;IF(I441="","missing branch_id; ","")&amp;IF(L441="","missing first_name; ","")&amp;IF(M441="","missing last_name; ","")&amp;IF(U441="","missing status; ","")&amp;IF(AND(B441&lt;&gt;"",COUNTIF('الزبائن'!$A$6:$A$505,B441)=0),"source key not found; ","")&amp;IF((COUNTIFS('أرقام التواصل'!$A$6:$A$505,"proposed_name",'أرقام التواصل'!$B$6:$B$505,A441,'أرقام التواصل'!$I$6:$I$505,"TRUE")+COUNTIFS('أرقام التواصل'!$A$6:$A$505,"proposed_name",'أرقام التواصل'!$B$6:$B$505,A441,'أرقام التواصل'!$C$6:$C$505,1))=0,"missing primary contact in أرقام التواصل; ","")&amp;IF(AND(W441="TRUE",X441=""),"duplicate_type required when duplicate_flag TRUE; ","")))))</x:f>
      </x:c>
    </x:row>
    <x:row r="442">
      <x:c r="A442" s="302"/>
      <x:c r="B442" s="252"/>
      <x:c r="C442" s="253"/>
      <x:c r="D442" s="253"/>
      <x:c r="E442" s="253"/>
      <x:c r="F442" s="252"/>
      <x:c r="G442" s="253"/>
      <x:c r="H442" s="272"/>
      <x:c r="I442" s="253"/>
      <x:c r="J442" s="253"/>
      <x:c r="K442" s="253"/>
      <x:c r="L442" s="253"/>
      <x:c r="M442" s="253"/>
      <x:c r="N442" s="253"/>
      <x:c r="O442" s="253" t="str">
        <x:f>IF(TRIM(L442&amp;" "&amp;M442&amp;IF(N442&lt;&gt;""," ("&amp;N442&amp;")",""))="","",TRIM(L442&amp;" "&amp;M442&amp;IF(N442&lt;&gt;""," ("&amp;N442&amp;")","")))</x:f>
      </x:c>
      <x:c r="P442" s="253"/>
      <x:c r="Q442" s="252"/>
      <x:c r="R442" s="253"/>
      <x:c r="S442" s="253"/>
      <x:c r="T442" s="253"/>
      <x:c r="U442" s="253"/>
      <x:c r="V442" s="253"/>
      <x:c r="W442" s="253"/>
      <x:c r="X442" s="253"/>
      <x:c r="Y442" s="252"/>
      <x:c r="Z442" s="252"/>
      <x:c r="AA442" s="253"/>
      <x:c r="AB442" s="253" t="str">
        <x:f>IF(B442="","",IFERROR(INDEX('الزبائن'!$BA$6:$BA$505,MATCH(B442,'الزبائن'!$A$6:$A$505,0)),"source key not found"))</x:f>
      </x:c>
      <x:c r="AC442" s="253" t="str">
        <x:f>IF(B442="","",IFERROR(INDEX('الزبائن'!$BB$6:$BB$505,MATCH(B442,'الزبائن'!$A$6:$A$505,0)),"source key not found"))</x:f>
      </x:c>
      <x:c r="AD442" s="253" t="str">
        <x:f>IF(AND(A442="",C442="",D442="",I442="",L442="",M442=""),"",IF(C442="skip","SKIP",IF(OR(A442="",C442="",D442="",I442="",L442="",M442="",U442="",COUNTIF($A$6:$A$505,A442)&gt;1,AND(B442&lt;&gt;"",COUNTIF('الزبائن'!$A$6:$A$505,B442)=0),(COUNTIFS('أرقام التواصل'!$A$6:$A$505,"proposed_name",'أرقام التواصل'!$B$6:$B$505,A442,'أرقام التواصل'!$I$6:$I$505,"TRUE")+COUNTIFS('أرقام التواصل'!$A$6:$A$505,"proposed_name",'أرقام التواصل'!$B$6:$B$505,A442,'أرقام التواصل'!$C$6:$C$505,1))=0,AND(W442="TRUE",X442="")),"REVIEW","READY")))</x:f>
      </x:c>
      <x:c r="AE442" s="255" t="str">
        <x:f>IF(AD442="","",IF(AD442="READY","",IF(AD442="SKIP","Skipped by candidate_import_action",TRIM(IF(A442="","missing proposed_name_key; ","")&amp;IF(AND(A442&lt;&gt;"",COUNTIF($A$6:$A$505,A442)&gt;1),"duplicate proposed_name_key; ","")&amp;IF(C442="","missing candidate_import_action; ","")&amp;IF(D442="","missing move_reason; ","")&amp;IF(I442="","missing branch_id; ","")&amp;IF(L442="","missing first_name; ","")&amp;IF(M442="","missing last_name; ","")&amp;IF(U442="","missing status; ","")&amp;IF(AND(B442&lt;&gt;"",COUNTIF('الزبائن'!$A$6:$A$505,B442)=0),"source key not found; ","")&amp;IF((COUNTIFS('أرقام التواصل'!$A$6:$A$505,"proposed_name",'أرقام التواصل'!$B$6:$B$505,A442,'أرقام التواصل'!$I$6:$I$505,"TRUE")+COUNTIFS('أرقام التواصل'!$A$6:$A$505,"proposed_name",'أرقام التواصل'!$B$6:$B$505,A442,'أرقام التواصل'!$C$6:$C$505,1))=0,"missing primary contact in أرقام التواصل; ","")&amp;IF(AND(W442="TRUE",X442=""),"duplicate_type required when duplicate_flag TRUE; ","")))))</x:f>
      </x:c>
    </x:row>
    <x:row r="443">
      <x:c r="A443" s="302"/>
      <x:c r="B443" s="252"/>
      <x:c r="C443" s="253"/>
      <x:c r="D443" s="253"/>
      <x:c r="E443" s="253"/>
      <x:c r="F443" s="252"/>
      <x:c r="G443" s="253"/>
      <x:c r="H443" s="272"/>
      <x:c r="I443" s="253"/>
      <x:c r="J443" s="253"/>
      <x:c r="K443" s="253"/>
      <x:c r="L443" s="253"/>
      <x:c r="M443" s="253"/>
      <x:c r="N443" s="253"/>
      <x:c r="O443" s="253" t="str">
        <x:f>IF(TRIM(L443&amp;" "&amp;M443&amp;IF(N443&lt;&gt;""," ("&amp;N443&amp;")",""))="","",TRIM(L443&amp;" "&amp;M443&amp;IF(N443&lt;&gt;""," ("&amp;N443&amp;")","")))</x:f>
      </x:c>
      <x:c r="P443" s="253"/>
      <x:c r="Q443" s="252"/>
      <x:c r="R443" s="253"/>
      <x:c r="S443" s="253"/>
      <x:c r="T443" s="253"/>
      <x:c r="U443" s="253"/>
      <x:c r="V443" s="253"/>
      <x:c r="W443" s="253"/>
      <x:c r="X443" s="253"/>
      <x:c r="Y443" s="252"/>
      <x:c r="Z443" s="252"/>
      <x:c r="AA443" s="253"/>
      <x:c r="AB443" s="253" t="str">
        <x:f>IF(B443="","",IFERROR(INDEX('الزبائن'!$BA$6:$BA$505,MATCH(B443,'الزبائن'!$A$6:$A$505,0)),"source key not found"))</x:f>
      </x:c>
      <x:c r="AC443" s="253" t="str">
        <x:f>IF(B443="","",IFERROR(INDEX('الزبائن'!$BB$6:$BB$505,MATCH(B443,'الزبائن'!$A$6:$A$505,0)),"source key not found"))</x:f>
      </x:c>
      <x:c r="AD443" s="253" t="str">
        <x:f>IF(AND(A443="",C443="",D443="",I443="",L443="",M443=""),"",IF(C443="skip","SKIP",IF(OR(A443="",C443="",D443="",I443="",L443="",M443="",U443="",COUNTIF($A$6:$A$505,A443)&gt;1,AND(B443&lt;&gt;"",COUNTIF('الزبائن'!$A$6:$A$505,B443)=0),(COUNTIFS('أرقام التواصل'!$A$6:$A$505,"proposed_name",'أرقام التواصل'!$B$6:$B$505,A443,'أرقام التواصل'!$I$6:$I$505,"TRUE")+COUNTIFS('أرقام التواصل'!$A$6:$A$505,"proposed_name",'أرقام التواصل'!$B$6:$B$505,A443,'أرقام التواصل'!$C$6:$C$505,1))=0,AND(W443="TRUE",X443="")),"REVIEW","READY")))</x:f>
      </x:c>
      <x:c r="AE443" s="255" t="str">
        <x:f>IF(AD443="","",IF(AD443="READY","",IF(AD443="SKIP","Skipped by candidate_import_action",TRIM(IF(A443="","missing proposed_name_key; ","")&amp;IF(AND(A443&lt;&gt;"",COUNTIF($A$6:$A$505,A443)&gt;1),"duplicate proposed_name_key; ","")&amp;IF(C443="","missing candidate_import_action; ","")&amp;IF(D443="","missing move_reason; ","")&amp;IF(I443="","missing branch_id; ","")&amp;IF(L443="","missing first_name; ","")&amp;IF(M443="","missing last_name; ","")&amp;IF(U443="","missing status; ","")&amp;IF(AND(B443&lt;&gt;"",COUNTIF('الزبائن'!$A$6:$A$505,B443)=0),"source key not found; ","")&amp;IF((COUNTIFS('أرقام التواصل'!$A$6:$A$505,"proposed_name",'أرقام التواصل'!$B$6:$B$505,A443,'أرقام التواصل'!$I$6:$I$505,"TRUE")+COUNTIFS('أرقام التواصل'!$A$6:$A$505,"proposed_name",'أرقام التواصل'!$B$6:$B$505,A443,'أرقام التواصل'!$C$6:$C$505,1))=0,"missing primary contact in أرقام التواصل; ","")&amp;IF(AND(W443="TRUE",X443=""),"duplicate_type required when duplicate_flag TRUE; ","")))))</x:f>
      </x:c>
    </x:row>
    <x:row r="444">
      <x:c r="A444" s="302"/>
      <x:c r="B444" s="252"/>
      <x:c r="C444" s="253"/>
      <x:c r="D444" s="253"/>
      <x:c r="E444" s="253"/>
      <x:c r="F444" s="252"/>
      <x:c r="G444" s="253"/>
      <x:c r="H444" s="272"/>
      <x:c r="I444" s="253"/>
      <x:c r="J444" s="253"/>
      <x:c r="K444" s="253"/>
      <x:c r="L444" s="253"/>
      <x:c r="M444" s="253"/>
      <x:c r="N444" s="253"/>
      <x:c r="O444" s="253" t="str">
        <x:f>IF(TRIM(L444&amp;" "&amp;M444&amp;IF(N444&lt;&gt;""," ("&amp;N444&amp;")",""))="","",TRIM(L444&amp;" "&amp;M444&amp;IF(N444&lt;&gt;""," ("&amp;N444&amp;")","")))</x:f>
      </x:c>
      <x:c r="P444" s="253"/>
      <x:c r="Q444" s="252"/>
      <x:c r="R444" s="253"/>
      <x:c r="S444" s="253"/>
      <x:c r="T444" s="253"/>
      <x:c r="U444" s="253"/>
      <x:c r="V444" s="253"/>
      <x:c r="W444" s="253"/>
      <x:c r="X444" s="253"/>
      <x:c r="Y444" s="252"/>
      <x:c r="Z444" s="252"/>
      <x:c r="AA444" s="253"/>
      <x:c r="AB444" s="253" t="str">
        <x:f>IF(B444="","",IFERROR(INDEX('الزبائن'!$BA$6:$BA$505,MATCH(B444,'الزبائن'!$A$6:$A$505,0)),"source key not found"))</x:f>
      </x:c>
      <x:c r="AC444" s="253" t="str">
        <x:f>IF(B444="","",IFERROR(INDEX('الزبائن'!$BB$6:$BB$505,MATCH(B444,'الزبائن'!$A$6:$A$505,0)),"source key not found"))</x:f>
      </x:c>
      <x:c r="AD444" s="253" t="str">
        <x:f>IF(AND(A444="",C444="",D444="",I444="",L444="",M444=""),"",IF(C444="skip","SKIP",IF(OR(A444="",C444="",D444="",I444="",L444="",M444="",U444="",COUNTIF($A$6:$A$505,A444)&gt;1,AND(B444&lt;&gt;"",COUNTIF('الزبائن'!$A$6:$A$505,B444)=0),(COUNTIFS('أرقام التواصل'!$A$6:$A$505,"proposed_name",'أرقام التواصل'!$B$6:$B$505,A444,'أرقام التواصل'!$I$6:$I$505,"TRUE")+COUNTIFS('أرقام التواصل'!$A$6:$A$505,"proposed_name",'أرقام التواصل'!$B$6:$B$505,A444,'أرقام التواصل'!$C$6:$C$505,1))=0,AND(W444="TRUE",X444="")),"REVIEW","READY")))</x:f>
      </x:c>
      <x:c r="AE444" s="255" t="str">
        <x:f>IF(AD444="","",IF(AD444="READY","",IF(AD444="SKIP","Skipped by candidate_import_action",TRIM(IF(A444="","missing proposed_name_key; ","")&amp;IF(AND(A444&lt;&gt;"",COUNTIF($A$6:$A$505,A444)&gt;1),"duplicate proposed_name_key; ","")&amp;IF(C444="","missing candidate_import_action; ","")&amp;IF(D444="","missing move_reason; ","")&amp;IF(I444="","missing branch_id; ","")&amp;IF(L444="","missing first_name; ","")&amp;IF(M444="","missing last_name; ","")&amp;IF(U444="","missing status; ","")&amp;IF(AND(B444&lt;&gt;"",COUNTIF('الزبائن'!$A$6:$A$505,B444)=0),"source key not found; ","")&amp;IF((COUNTIFS('أرقام التواصل'!$A$6:$A$505,"proposed_name",'أرقام التواصل'!$B$6:$B$505,A444,'أرقام التواصل'!$I$6:$I$505,"TRUE")+COUNTIFS('أرقام التواصل'!$A$6:$A$505,"proposed_name",'أرقام التواصل'!$B$6:$B$505,A444,'أرقام التواصل'!$C$6:$C$505,1))=0,"missing primary contact in أرقام التواصل; ","")&amp;IF(AND(W444="TRUE",X444=""),"duplicate_type required when duplicate_flag TRUE; ","")))))</x:f>
      </x:c>
    </x:row>
    <x:row r="445">
      <x:c r="A445" s="302"/>
      <x:c r="B445" s="252"/>
      <x:c r="C445" s="253"/>
      <x:c r="D445" s="253"/>
      <x:c r="E445" s="253"/>
      <x:c r="F445" s="252"/>
      <x:c r="G445" s="253"/>
      <x:c r="H445" s="272"/>
      <x:c r="I445" s="253"/>
      <x:c r="J445" s="253"/>
      <x:c r="K445" s="253"/>
      <x:c r="L445" s="253"/>
      <x:c r="M445" s="253"/>
      <x:c r="N445" s="253"/>
      <x:c r="O445" s="253" t="str">
        <x:f>IF(TRIM(L445&amp;" "&amp;M445&amp;IF(N445&lt;&gt;""," ("&amp;N445&amp;")",""))="","",TRIM(L445&amp;" "&amp;M445&amp;IF(N445&lt;&gt;""," ("&amp;N445&amp;")","")))</x:f>
      </x:c>
      <x:c r="P445" s="253"/>
      <x:c r="Q445" s="252"/>
      <x:c r="R445" s="253"/>
      <x:c r="S445" s="253"/>
      <x:c r="T445" s="253"/>
      <x:c r="U445" s="253"/>
      <x:c r="V445" s="253"/>
      <x:c r="W445" s="253"/>
      <x:c r="X445" s="253"/>
      <x:c r="Y445" s="252"/>
      <x:c r="Z445" s="252"/>
      <x:c r="AA445" s="253"/>
      <x:c r="AB445" s="253" t="str">
        <x:f>IF(B445="","",IFERROR(INDEX('الزبائن'!$BA$6:$BA$505,MATCH(B445,'الزبائن'!$A$6:$A$505,0)),"source key not found"))</x:f>
      </x:c>
      <x:c r="AC445" s="253" t="str">
        <x:f>IF(B445="","",IFERROR(INDEX('الزبائن'!$BB$6:$BB$505,MATCH(B445,'الزبائن'!$A$6:$A$505,0)),"source key not found"))</x:f>
      </x:c>
      <x:c r="AD445" s="253" t="str">
        <x:f>IF(AND(A445="",C445="",D445="",I445="",L445="",M445=""),"",IF(C445="skip","SKIP",IF(OR(A445="",C445="",D445="",I445="",L445="",M445="",U445="",COUNTIF($A$6:$A$505,A445)&gt;1,AND(B445&lt;&gt;"",COUNTIF('الزبائن'!$A$6:$A$505,B445)=0),(COUNTIFS('أرقام التواصل'!$A$6:$A$505,"proposed_name",'أرقام التواصل'!$B$6:$B$505,A445,'أرقام التواصل'!$I$6:$I$505,"TRUE")+COUNTIFS('أرقام التواصل'!$A$6:$A$505,"proposed_name",'أرقام التواصل'!$B$6:$B$505,A445,'أرقام التواصل'!$C$6:$C$505,1))=0,AND(W445="TRUE",X445="")),"REVIEW","READY")))</x:f>
      </x:c>
      <x:c r="AE445" s="255" t="str">
        <x:f>IF(AD445="","",IF(AD445="READY","",IF(AD445="SKIP","Skipped by candidate_import_action",TRIM(IF(A445="","missing proposed_name_key; ","")&amp;IF(AND(A445&lt;&gt;"",COUNTIF($A$6:$A$505,A445)&gt;1),"duplicate proposed_name_key; ","")&amp;IF(C445="","missing candidate_import_action; ","")&amp;IF(D445="","missing move_reason; ","")&amp;IF(I445="","missing branch_id; ","")&amp;IF(L445="","missing first_name; ","")&amp;IF(M445="","missing last_name; ","")&amp;IF(U445="","missing status; ","")&amp;IF(AND(B445&lt;&gt;"",COUNTIF('الزبائن'!$A$6:$A$505,B445)=0),"source key not found; ","")&amp;IF((COUNTIFS('أرقام التواصل'!$A$6:$A$505,"proposed_name",'أرقام التواصل'!$B$6:$B$505,A445,'أرقام التواصل'!$I$6:$I$505,"TRUE")+COUNTIFS('أرقام التواصل'!$A$6:$A$505,"proposed_name",'أرقام التواصل'!$B$6:$B$505,A445,'أرقام التواصل'!$C$6:$C$505,1))=0,"missing primary contact in أرقام التواصل; ","")&amp;IF(AND(W445="TRUE",X445=""),"duplicate_type required when duplicate_flag TRUE; ","")))))</x:f>
      </x:c>
    </x:row>
    <x:row r="446">
      <x:c r="A446" s="302"/>
      <x:c r="B446" s="252"/>
      <x:c r="C446" s="253"/>
      <x:c r="D446" s="253"/>
      <x:c r="E446" s="253"/>
      <x:c r="F446" s="252"/>
      <x:c r="G446" s="253"/>
      <x:c r="H446" s="272"/>
      <x:c r="I446" s="253"/>
      <x:c r="J446" s="253"/>
      <x:c r="K446" s="253"/>
      <x:c r="L446" s="253"/>
      <x:c r="M446" s="253"/>
      <x:c r="N446" s="253"/>
      <x:c r="O446" s="253" t="str">
        <x:f>IF(TRIM(L446&amp;" "&amp;M446&amp;IF(N446&lt;&gt;""," ("&amp;N446&amp;")",""))="","",TRIM(L446&amp;" "&amp;M446&amp;IF(N446&lt;&gt;""," ("&amp;N446&amp;")","")))</x:f>
      </x:c>
      <x:c r="P446" s="253"/>
      <x:c r="Q446" s="252"/>
      <x:c r="R446" s="253"/>
      <x:c r="S446" s="253"/>
      <x:c r="T446" s="253"/>
      <x:c r="U446" s="253"/>
      <x:c r="V446" s="253"/>
      <x:c r="W446" s="253"/>
      <x:c r="X446" s="253"/>
      <x:c r="Y446" s="252"/>
      <x:c r="Z446" s="252"/>
      <x:c r="AA446" s="253"/>
      <x:c r="AB446" s="253" t="str">
        <x:f>IF(B446="","",IFERROR(INDEX('الزبائن'!$BA$6:$BA$505,MATCH(B446,'الزبائن'!$A$6:$A$505,0)),"source key not found"))</x:f>
      </x:c>
      <x:c r="AC446" s="253" t="str">
        <x:f>IF(B446="","",IFERROR(INDEX('الزبائن'!$BB$6:$BB$505,MATCH(B446,'الزبائن'!$A$6:$A$505,0)),"source key not found"))</x:f>
      </x:c>
      <x:c r="AD446" s="253" t="str">
        <x:f>IF(AND(A446="",C446="",D446="",I446="",L446="",M446=""),"",IF(C446="skip","SKIP",IF(OR(A446="",C446="",D446="",I446="",L446="",M446="",U446="",COUNTIF($A$6:$A$505,A446)&gt;1,AND(B446&lt;&gt;"",COUNTIF('الزبائن'!$A$6:$A$505,B446)=0),(COUNTIFS('أرقام التواصل'!$A$6:$A$505,"proposed_name",'أرقام التواصل'!$B$6:$B$505,A446,'أرقام التواصل'!$I$6:$I$505,"TRUE")+COUNTIFS('أرقام التواصل'!$A$6:$A$505,"proposed_name",'أرقام التواصل'!$B$6:$B$505,A446,'أرقام التواصل'!$C$6:$C$505,1))=0,AND(W446="TRUE",X446="")),"REVIEW","READY")))</x:f>
      </x:c>
      <x:c r="AE446" s="255" t="str">
        <x:f>IF(AD446="","",IF(AD446="READY","",IF(AD446="SKIP","Skipped by candidate_import_action",TRIM(IF(A446="","missing proposed_name_key; ","")&amp;IF(AND(A446&lt;&gt;"",COUNTIF($A$6:$A$505,A446)&gt;1),"duplicate proposed_name_key; ","")&amp;IF(C446="","missing candidate_import_action; ","")&amp;IF(D446="","missing move_reason; ","")&amp;IF(I446="","missing branch_id; ","")&amp;IF(L446="","missing first_name; ","")&amp;IF(M446="","missing last_name; ","")&amp;IF(U446="","missing status; ","")&amp;IF(AND(B446&lt;&gt;"",COUNTIF('الزبائن'!$A$6:$A$505,B446)=0),"source key not found; ","")&amp;IF((COUNTIFS('أرقام التواصل'!$A$6:$A$505,"proposed_name",'أرقام التواصل'!$B$6:$B$505,A446,'أرقام التواصل'!$I$6:$I$505,"TRUE")+COUNTIFS('أرقام التواصل'!$A$6:$A$505,"proposed_name",'أرقام التواصل'!$B$6:$B$505,A446,'أرقام التواصل'!$C$6:$C$505,1))=0,"missing primary contact in أرقام التواصل; ","")&amp;IF(AND(W446="TRUE",X446=""),"duplicate_type required when duplicate_flag TRUE; ","")))))</x:f>
      </x:c>
    </x:row>
    <x:row r="447">
      <x:c r="A447" s="302"/>
      <x:c r="B447" s="252"/>
      <x:c r="C447" s="253"/>
      <x:c r="D447" s="253"/>
      <x:c r="E447" s="253"/>
      <x:c r="F447" s="252"/>
      <x:c r="G447" s="253"/>
      <x:c r="H447" s="272"/>
      <x:c r="I447" s="253"/>
      <x:c r="J447" s="253"/>
      <x:c r="K447" s="253"/>
      <x:c r="L447" s="253"/>
      <x:c r="M447" s="253"/>
      <x:c r="N447" s="253"/>
      <x:c r="O447" s="253" t="str">
        <x:f>IF(TRIM(L447&amp;" "&amp;M447&amp;IF(N447&lt;&gt;""," ("&amp;N447&amp;")",""))="","",TRIM(L447&amp;" "&amp;M447&amp;IF(N447&lt;&gt;""," ("&amp;N447&amp;")","")))</x:f>
      </x:c>
      <x:c r="P447" s="253"/>
      <x:c r="Q447" s="252"/>
      <x:c r="R447" s="253"/>
      <x:c r="S447" s="253"/>
      <x:c r="T447" s="253"/>
      <x:c r="U447" s="253"/>
      <x:c r="V447" s="253"/>
      <x:c r="W447" s="253"/>
      <x:c r="X447" s="253"/>
      <x:c r="Y447" s="252"/>
      <x:c r="Z447" s="252"/>
      <x:c r="AA447" s="253"/>
      <x:c r="AB447" s="253" t="str">
        <x:f>IF(B447="","",IFERROR(INDEX('الزبائن'!$BA$6:$BA$505,MATCH(B447,'الزبائن'!$A$6:$A$505,0)),"source key not found"))</x:f>
      </x:c>
      <x:c r="AC447" s="253" t="str">
        <x:f>IF(B447="","",IFERROR(INDEX('الزبائن'!$BB$6:$BB$505,MATCH(B447,'الزبائن'!$A$6:$A$505,0)),"source key not found"))</x:f>
      </x:c>
      <x:c r="AD447" s="253" t="str">
        <x:f>IF(AND(A447="",C447="",D447="",I447="",L447="",M447=""),"",IF(C447="skip","SKIP",IF(OR(A447="",C447="",D447="",I447="",L447="",M447="",U447="",COUNTIF($A$6:$A$505,A447)&gt;1,AND(B447&lt;&gt;"",COUNTIF('الزبائن'!$A$6:$A$505,B447)=0),(COUNTIFS('أرقام التواصل'!$A$6:$A$505,"proposed_name",'أرقام التواصل'!$B$6:$B$505,A447,'أرقام التواصل'!$I$6:$I$505,"TRUE")+COUNTIFS('أرقام التواصل'!$A$6:$A$505,"proposed_name",'أرقام التواصل'!$B$6:$B$505,A447,'أرقام التواصل'!$C$6:$C$505,1))=0,AND(W447="TRUE",X447="")),"REVIEW","READY")))</x:f>
      </x:c>
      <x:c r="AE447" s="255" t="str">
        <x:f>IF(AD447="","",IF(AD447="READY","",IF(AD447="SKIP","Skipped by candidate_import_action",TRIM(IF(A447="","missing proposed_name_key; ","")&amp;IF(AND(A447&lt;&gt;"",COUNTIF($A$6:$A$505,A447)&gt;1),"duplicate proposed_name_key; ","")&amp;IF(C447="","missing candidate_import_action; ","")&amp;IF(D447="","missing move_reason; ","")&amp;IF(I447="","missing branch_id; ","")&amp;IF(L447="","missing first_name; ","")&amp;IF(M447="","missing last_name; ","")&amp;IF(U447="","missing status; ","")&amp;IF(AND(B447&lt;&gt;"",COUNTIF('الزبائن'!$A$6:$A$505,B447)=0),"source key not found; ","")&amp;IF((COUNTIFS('أرقام التواصل'!$A$6:$A$505,"proposed_name",'أرقام التواصل'!$B$6:$B$505,A447,'أرقام التواصل'!$I$6:$I$505,"TRUE")+COUNTIFS('أرقام التواصل'!$A$6:$A$505,"proposed_name",'أرقام التواصل'!$B$6:$B$505,A447,'أرقام التواصل'!$C$6:$C$505,1))=0,"missing primary contact in أرقام التواصل; ","")&amp;IF(AND(W447="TRUE",X447=""),"duplicate_type required when duplicate_flag TRUE; ","")))))</x:f>
      </x:c>
    </x:row>
    <x:row r="448">
      <x:c r="A448" s="302"/>
      <x:c r="B448" s="252"/>
      <x:c r="C448" s="253"/>
      <x:c r="D448" s="253"/>
      <x:c r="E448" s="253"/>
      <x:c r="F448" s="252"/>
      <x:c r="G448" s="253"/>
      <x:c r="H448" s="272"/>
      <x:c r="I448" s="253"/>
      <x:c r="J448" s="253"/>
      <x:c r="K448" s="253"/>
      <x:c r="L448" s="253"/>
      <x:c r="M448" s="253"/>
      <x:c r="N448" s="253"/>
      <x:c r="O448" s="253" t="str">
        <x:f>IF(TRIM(L448&amp;" "&amp;M448&amp;IF(N448&lt;&gt;""," ("&amp;N448&amp;")",""))="","",TRIM(L448&amp;" "&amp;M448&amp;IF(N448&lt;&gt;""," ("&amp;N448&amp;")","")))</x:f>
      </x:c>
      <x:c r="P448" s="253"/>
      <x:c r="Q448" s="252"/>
      <x:c r="R448" s="253"/>
      <x:c r="S448" s="253"/>
      <x:c r="T448" s="253"/>
      <x:c r="U448" s="253"/>
      <x:c r="V448" s="253"/>
      <x:c r="W448" s="253"/>
      <x:c r="X448" s="253"/>
      <x:c r="Y448" s="252"/>
      <x:c r="Z448" s="252"/>
      <x:c r="AA448" s="253"/>
      <x:c r="AB448" s="253" t="str">
        <x:f>IF(B448="","",IFERROR(INDEX('الزبائن'!$BA$6:$BA$505,MATCH(B448,'الزبائن'!$A$6:$A$505,0)),"source key not found"))</x:f>
      </x:c>
      <x:c r="AC448" s="253" t="str">
        <x:f>IF(B448="","",IFERROR(INDEX('الزبائن'!$BB$6:$BB$505,MATCH(B448,'الزبائن'!$A$6:$A$505,0)),"source key not found"))</x:f>
      </x:c>
      <x:c r="AD448" s="253" t="str">
        <x:f>IF(AND(A448="",C448="",D448="",I448="",L448="",M448=""),"",IF(C448="skip","SKIP",IF(OR(A448="",C448="",D448="",I448="",L448="",M448="",U448="",COUNTIF($A$6:$A$505,A448)&gt;1,AND(B448&lt;&gt;"",COUNTIF('الزبائن'!$A$6:$A$505,B448)=0),(COUNTIFS('أرقام التواصل'!$A$6:$A$505,"proposed_name",'أرقام التواصل'!$B$6:$B$505,A448,'أرقام التواصل'!$I$6:$I$505,"TRUE")+COUNTIFS('أرقام التواصل'!$A$6:$A$505,"proposed_name",'أرقام التواصل'!$B$6:$B$505,A448,'أرقام التواصل'!$C$6:$C$505,1))=0,AND(W448="TRUE",X448="")),"REVIEW","READY")))</x:f>
      </x:c>
      <x:c r="AE448" s="255" t="str">
        <x:f>IF(AD448="","",IF(AD448="READY","",IF(AD448="SKIP","Skipped by candidate_import_action",TRIM(IF(A448="","missing proposed_name_key; ","")&amp;IF(AND(A448&lt;&gt;"",COUNTIF($A$6:$A$505,A448)&gt;1),"duplicate proposed_name_key; ","")&amp;IF(C448="","missing candidate_import_action; ","")&amp;IF(D448="","missing move_reason; ","")&amp;IF(I448="","missing branch_id; ","")&amp;IF(L448="","missing first_name; ","")&amp;IF(M448="","missing last_name; ","")&amp;IF(U448="","missing status; ","")&amp;IF(AND(B448&lt;&gt;"",COUNTIF('الزبائن'!$A$6:$A$505,B448)=0),"source key not found; ","")&amp;IF((COUNTIFS('أرقام التواصل'!$A$6:$A$505,"proposed_name",'أرقام التواصل'!$B$6:$B$505,A448,'أرقام التواصل'!$I$6:$I$505,"TRUE")+COUNTIFS('أرقام التواصل'!$A$6:$A$505,"proposed_name",'أرقام التواصل'!$B$6:$B$505,A448,'أرقام التواصل'!$C$6:$C$505,1))=0,"missing primary contact in أرقام التواصل; ","")&amp;IF(AND(W448="TRUE",X448=""),"duplicate_type required when duplicate_flag TRUE; ","")))))</x:f>
      </x:c>
    </x:row>
    <x:row r="449">
      <x:c r="A449" s="302"/>
      <x:c r="B449" s="252"/>
      <x:c r="C449" s="253"/>
      <x:c r="D449" s="253"/>
      <x:c r="E449" s="253"/>
      <x:c r="F449" s="252"/>
      <x:c r="G449" s="253"/>
      <x:c r="H449" s="272"/>
      <x:c r="I449" s="253"/>
      <x:c r="J449" s="253"/>
      <x:c r="K449" s="253"/>
      <x:c r="L449" s="253"/>
      <x:c r="M449" s="253"/>
      <x:c r="N449" s="253"/>
      <x:c r="O449" s="253" t="str">
        <x:f>IF(TRIM(L449&amp;" "&amp;M449&amp;IF(N449&lt;&gt;""," ("&amp;N449&amp;")",""))="","",TRIM(L449&amp;" "&amp;M449&amp;IF(N449&lt;&gt;""," ("&amp;N449&amp;")","")))</x:f>
      </x:c>
      <x:c r="P449" s="253"/>
      <x:c r="Q449" s="252"/>
      <x:c r="R449" s="253"/>
      <x:c r="S449" s="253"/>
      <x:c r="T449" s="253"/>
      <x:c r="U449" s="253"/>
      <x:c r="V449" s="253"/>
      <x:c r="W449" s="253"/>
      <x:c r="X449" s="253"/>
      <x:c r="Y449" s="252"/>
      <x:c r="Z449" s="252"/>
      <x:c r="AA449" s="253"/>
      <x:c r="AB449" s="253" t="str">
        <x:f>IF(B449="","",IFERROR(INDEX('الزبائن'!$BA$6:$BA$505,MATCH(B449,'الزبائن'!$A$6:$A$505,0)),"source key not found"))</x:f>
      </x:c>
      <x:c r="AC449" s="253" t="str">
        <x:f>IF(B449="","",IFERROR(INDEX('الزبائن'!$BB$6:$BB$505,MATCH(B449,'الزبائن'!$A$6:$A$505,0)),"source key not found"))</x:f>
      </x:c>
      <x:c r="AD449" s="253" t="str">
        <x:f>IF(AND(A449="",C449="",D449="",I449="",L449="",M449=""),"",IF(C449="skip","SKIP",IF(OR(A449="",C449="",D449="",I449="",L449="",M449="",U449="",COUNTIF($A$6:$A$505,A449)&gt;1,AND(B449&lt;&gt;"",COUNTIF('الزبائن'!$A$6:$A$505,B449)=0),(COUNTIFS('أرقام التواصل'!$A$6:$A$505,"proposed_name",'أرقام التواصل'!$B$6:$B$505,A449,'أرقام التواصل'!$I$6:$I$505,"TRUE")+COUNTIFS('أرقام التواصل'!$A$6:$A$505,"proposed_name",'أرقام التواصل'!$B$6:$B$505,A449,'أرقام التواصل'!$C$6:$C$505,1))=0,AND(W449="TRUE",X449="")),"REVIEW","READY")))</x:f>
      </x:c>
      <x:c r="AE449" s="255" t="str">
        <x:f>IF(AD449="","",IF(AD449="READY","",IF(AD449="SKIP","Skipped by candidate_import_action",TRIM(IF(A449="","missing proposed_name_key; ","")&amp;IF(AND(A449&lt;&gt;"",COUNTIF($A$6:$A$505,A449)&gt;1),"duplicate proposed_name_key; ","")&amp;IF(C449="","missing candidate_import_action; ","")&amp;IF(D449="","missing move_reason; ","")&amp;IF(I449="","missing branch_id; ","")&amp;IF(L449="","missing first_name; ","")&amp;IF(M449="","missing last_name; ","")&amp;IF(U449="","missing status; ","")&amp;IF(AND(B449&lt;&gt;"",COUNTIF('الزبائن'!$A$6:$A$505,B449)=0),"source key not found; ","")&amp;IF((COUNTIFS('أرقام التواصل'!$A$6:$A$505,"proposed_name",'أرقام التواصل'!$B$6:$B$505,A449,'أرقام التواصل'!$I$6:$I$505,"TRUE")+COUNTIFS('أرقام التواصل'!$A$6:$A$505,"proposed_name",'أرقام التواصل'!$B$6:$B$505,A449,'أرقام التواصل'!$C$6:$C$505,1))=0,"missing primary contact in أرقام التواصل; ","")&amp;IF(AND(W449="TRUE",X449=""),"duplicate_type required when duplicate_flag TRUE; ","")))))</x:f>
      </x:c>
    </x:row>
    <x:row r="450">
      <x:c r="A450" s="302"/>
      <x:c r="B450" s="252"/>
      <x:c r="C450" s="253"/>
      <x:c r="D450" s="253"/>
      <x:c r="E450" s="253"/>
      <x:c r="F450" s="252"/>
      <x:c r="G450" s="253"/>
      <x:c r="H450" s="272"/>
      <x:c r="I450" s="253"/>
      <x:c r="J450" s="253"/>
      <x:c r="K450" s="253"/>
      <x:c r="L450" s="253"/>
      <x:c r="M450" s="253"/>
      <x:c r="N450" s="253"/>
      <x:c r="O450" s="253" t="str">
        <x:f>IF(TRIM(L450&amp;" "&amp;M450&amp;IF(N450&lt;&gt;""," ("&amp;N450&amp;")",""))="","",TRIM(L450&amp;" "&amp;M450&amp;IF(N450&lt;&gt;""," ("&amp;N450&amp;")","")))</x:f>
      </x:c>
      <x:c r="P450" s="253"/>
      <x:c r="Q450" s="252"/>
      <x:c r="R450" s="253"/>
      <x:c r="S450" s="253"/>
      <x:c r="T450" s="253"/>
      <x:c r="U450" s="253"/>
      <x:c r="V450" s="253"/>
      <x:c r="W450" s="253"/>
      <x:c r="X450" s="253"/>
      <x:c r="Y450" s="252"/>
      <x:c r="Z450" s="252"/>
      <x:c r="AA450" s="253"/>
      <x:c r="AB450" s="253" t="str">
        <x:f>IF(B450="","",IFERROR(INDEX('الزبائن'!$BA$6:$BA$505,MATCH(B450,'الزبائن'!$A$6:$A$505,0)),"source key not found"))</x:f>
      </x:c>
      <x:c r="AC450" s="253" t="str">
        <x:f>IF(B450="","",IFERROR(INDEX('الزبائن'!$BB$6:$BB$505,MATCH(B450,'الزبائن'!$A$6:$A$505,0)),"source key not found"))</x:f>
      </x:c>
      <x:c r="AD450" s="253" t="str">
        <x:f>IF(AND(A450="",C450="",D450="",I450="",L450="",M450=""),"",IF(C450="skip","SKIP",IF(OR(A450="",C450="",D450="",I450="",L450="",M450="",U450="",COUNTIF($A$6:$A$505,A450)&gt;1,AND(B450&lt;&gt;"",COUNTIF('الزبائن'!$A$6:$A$505,B450)=0),(COUNTIFS('أرقام التواصل'!$A$6:$A$505,"proposed_name",'أرقام التواصل'!$B$6:$B$505,A450,'أرقام التواصل'!$I$6:$I$505,"TRUE")+COUNTIFS('أرقام التواصل'!$A$6:$A$505,"proposed_name",'أرقام التواصل'!$B$6:$B$505,A450,'أرقام التواصل'!$C$6:$C$505,1))=0,AND(W450="TRUE",X450="")),"REVIEW","READY")))</x:f>
      </x:c>
      <x:c r="AE450" s="255" t="str">
        <x:f>IF(AD450="","",IF(AD450="READY","",IF(AD450="SKIP","Skipped by candidate_import_action",TRIM(IF(A450="","missing proposed_name_key; ","")&amp;IF(AND(A450&lt;&gt;"",COUNTIF($A$6:$A$505,A450)&gt;1),"duplicate proposed_name_key; ","")&amp;IF(C450="","missing candidate_import_action; ","")&amp;IF(D450="","missing move_reason; ","")&amp;IF(I450="","missing branch_id; ","")&amp;IF(L450="","missing first_name; ","")&amp;IF(M450="","missing last_name; ","")&amp;IF(U450="","missing status; ","")&amp;IF(AND(B450&lt;&gt;"",COUNTIF('الزبائن'!$A$6:$A$505,B450)=0),"source key not found; ","")&amp;IF((COUNTIFS('أرقام التواصل'!$A$6:$A$505,"proposed_name",'أرقام التواصل'!$B$6:$B$505,A450,'أرقام التواصل'!$I$6:$I$505,"TRUE")+COUNTIFS('أرقام التواصل'!$A$6:$A$505,"proposed_name",'أرقام التواصل'!$B$6:$B$505,A450,'أرقام التواصل'!$C$6:$C$505,1))=0,"missing primary contact in أرقام التواصل; ","")&amp;IF(AND(W450="TRUE",X450=""),"duplicate_type required when duplicate_flag TRUE; ","")))))</x:f>
      </x:c>
    </x:row>
    <x:row r="451">
      <x:c r="A451" s="302"/>
      <x:c r="B451" s="252"/>
      <x:c r="C451" s="253"/>
      <x:c r="D451" s="253"/>
      <x:c r="E451" s="253"/>
      <x:c r="F451" s="252"/>
      <x:c r="G451" s="253"/>
      <x:c r="H451" s="272"/>
      <x:c r="I451" s="253"/>
      <x:c r="J451" s="253"/>
      <x:c r="K451" s="253"/>
      <x:c r="L451" s="253"/>
      <x:c r="M451" s="253"/>
      <x:c r="N451" s="253"/>
      <x:c r="O451" s="253" t="str">
        <x:f>IF(TRIM(L451&amp;" "&amp;M451&amp;IF(N451&lt;&gt;""," ("&amp;N451&amp;")",""))="","",TRIM(L451&amp;" "&amp;M451&amp;IF(N451&lt;&gt;""," ("&amp;N451&amp;")","")))</x:f>
      </x:c>
      <x:c r="P451" s="253"/>
      <x:c r="Q451" s="252"/>
      <x:c r="R451" s="253"/>
      <x:c r="S451" s="253"/>
      <x:c r="T451" s="253"/>
      <x:c r="U451" s="253"/>
      <x:c r="V451" s="253"/>
      <x:c r="W451" s="253"/>
      <x:c r="X451" s="253"/>
      <x:c r="Y451" s="252"/>
      <x:c r="Z451" s="252"/>
      <x:c r="AA451" s="253"/>
      <x:c r="AB451" s="253" t="str">
        <x:f>IF(B451="","",IFERROR(INDEX('الزبائن'!$BA$6:$BA$505,MATCH(B451,'الزبائن'!$A$6:$A$505,0)),"source key not found"))</x:f>
      </x:c>
      <x:c r="AC451" s="253" t="str">
        <x:f>IF(B451="","",IFERROR(INDEX('الزبائن'!$BB$6:$BB$505,MATCH(B451,'الزبائن'!$A$6:$A$505,0)),"source key not found"))</x:f>
      </x:c>
      <x:c r="AD451" s="253" t="str">
        <x:f>IF(AND(A451="",C451="",D451="",I451="",L451="",M451=""),"",IF(C451="skip","SKIP",IF(OR(A451="",C451="",D451="",I451="",L451="",M451="",U451="",COUNTIF($A$6:$A$505,A451)&gt;1,AND(B451&lt;&gt;"",COUNTIF('الزبائن'!$A$6:$A$505,B451)=0),(COUNTIFS('أرقام التواصل'!$A$6:$A$505,"proposed_name",'أرقام التواصل'!$B$6:$B$505,A451,'أرقام التواصل'!$I$6:$I$505,"TRUE")+COUNTIFS('أرقام التواصل'!$A$6:$A$505,"proposed_name",'أرقام التواصل'!$B$6:$B$505,A451,'أرقام التواصل'!$C$6:$C$505,1))=0,AND(W451="TRUE",X451="")),"REVIEW","READY")))</x:f>
      </x:c>
      <x:c r="AE451" s="255" t="str">
        <x:f>IF(AD451="","",IF(AD451="READY","",IF(AD451="SKIP","Skipped by candidate_import_action",TRIM(IF(A451="","missing proposed_name_key; ","")&amp;IF(AND(A451&lt;&gt;"",COUNTIF($A$6:$A$505,A451)&gt;1),"duplicate proposed_name_key; ","")&amp;IF(C451="","missing candidate_import_action; ","")&amp;IF(D451="","missing move_reason; ","")&amp;IF(I451="","missing branch_id; ","")&amp;IF(L451="","missing first_name; ","")&amp;IF(M451="","missing last_name; ","")&amp;IF(U451="","missing status; ","")&amp;IF(AND(B451&lt;&gt;"",COUNTIF('الزبائن'!$A$6:$A$505,B451)=0),"source key not found; ","")&amp;IF((COUNTIFS('أرقام التواصل'!$A$6:$A$505,"proposed_name",'أرقام التواصل'!$B$6:$B$505,A451,'أرقام التواصل'!$I$6:$I$505,"TRUE")+COUNTIFS('أرقام التواصل'!$A$6:$A$505,"proposed_name",'أرقام التواصل'!$B$6:$B$505,A451,'أرقام التواصل'!$C$6:$C$505,1))=0,"missing primary contact in أرقام التواصل; ","")&amp;IF(AND(W451="TRUE",X451=""),"duplicate_type required when duplicate_flag TRUE; ","")))))</x:f>
      </x:c>
    </x:row>
    <x:row r="452">
      <x:c r="A452" s="302"/>
      <x:c r="B452" s="252"/>
      <x:c r="C452" s="253"/>
      <x:c r="D452" s="253"/>
      <x:c r="E452" s="253"/>
      <x:c r="F452" s="252"/>
      <x:c r="G452" s="253"/>
      <x:c r="H452" s="272"/>
      <x:c r="I452" s="253"/>
      <x:c r="J452" s="253"/>
      <x:c r="K452" s="253"/>
      <x:c r="L452" s="253"/>
      <x:c r="M452" s="253"/>
      <x:c r="N452" s="253"/>
      <x:c r="O452" s="253" t="str">
        <x:f>IF(TRIM(L452&amp;" "&amp;M452&amp;IF(N452&lt;&gt;""," ("&amp;N452&amp;")",""))="","",TRIM(L452&amp;" "&amp;M452&amp;IF(N452&lt;&gt;""," ("&amp;N452&amp;")","")))</x:f>
      </x:c>
      <x:c r="P452" s="253"/>
      <x:c r="Q452" s="252"/>
      <x:c r="R452" s="253"/>
      <x:c r="S452" s="253"/>
      <x:c r="T452" s="253"/>
      <x:c r="U452" s="253"/>
      <x:c r="V452" s="253"/>
      <x:c r="W452" s="253"/>
      <x:c r="X452" s="253"/>
      <x:c r="Y452" s="252"/>
      <x:c r="Z452" s="252"/>
      <x:c r="AA452" s="253"/>
      <x:c r="AB452" s="253" t="str">
        <x:f>IF(B452="","",IFERROR(INDEX('الزبائن'!$BA$6:$BA$505,MATCH(B452,'الزبائن'!$A$6:$A$505,0)),"source key not found"))</x:f>
      </x:c>
      <x:c r="AC452" s="253" t="str">
        <x:f>IF(B452="","",IFERROR(INDEX('الزبائن'!$BB$6:$BB$505,MATCH(B452,'الزبائن'!$A$6:$A$505,0)),"source key not found"))</x:f>
      </x:c>
      <x:c r="AD452" s="253" t="str">
        <x:f>IF(AND(A452="",C452="",D452="",I452="",L452="",M452=""),"",IF(C452="skip","SKIP",IF(OR(A452="",C452="",D452="",I452="",L452="",M452="",U452="",COUNTIF($A$6:$A$505,A452)&gt;1,AND(B452&lt;&gt;"",COUNTIF('الزبائن'!$A$6:$A$505,B452)=0),(COUNTIFS('أرقام التواصل'!$A$6:$A$505,"proposed_name",'أرقام التواصل'!$B$6:$B$505,A452,'أرقام التواصل'!$I$6:$I$505,"TRUE")+COUNTIFS('أرقام التواصل'!$A$6:$A$505,"proposed_name",'أرقام التواصل'!$B$6:$B$505,A452,'أرقام التواصل'!$C$6:$C$505,1))=0,AND(W452="TRUE",X452="")),"REVIEW","READY")))</x:f>
      </x:c>
      <x:c r="AE452" s="255" t="str">
        <x:f>IF(AD452="","",IF(AD452="READY","",IF(AD452="SKIP","Skipped by candidate_import_action",TRIM(IF(A452="","missing proposed_name_key; ","")&amp;IF(AND(A452&lt;&gt;"",COUNTIF($A$6:$A$505,A452)&gt;1),"duplicate proposed_name_key; ","")&amp;IF(C452="","missing candidate_import_action; ","")&amp;IF(D452="","missing move_reason; ","")&amp;IF(I452="","missing branch_id; ","")&amp;IF(L452="","missing first_name; ","")&amp;IF(M452="","missing last_name; ","")&amp;IF(U452="","missing status; ","")&amp;IF(AND(B452&lt;&gt;"",COUNTIF('الزبائن'!$A$6:$A$505,B452)=0),"source key not found; ","")&amp;IF((COUNTIFS('أرقام التواصل'!$A$6:$A$505,"proposed_name",'أرقام التواصل'!$B$6:$B$505,A452,'أرقام التواصل'!$I$6:$I$505,"TRUE")+COUNTIFS('أرقام التواصل'!$A$6:$A$505,"proposed_name",'أرقام التواصل'!$B$6:$B$505,A452,'أرقام التواصل'!$C$6:$C$505,1))=0,"missing primary contact in أرقام التواصل; ","")&amp;IF(AND(W452="TRUE",X452=""),"duplicate_type required when duplicate_flag TRUE; ","")))))</x:f>
      </x:c>
    </x:row>
    <x:row r="453">
      <x:c r="A453" s="302"/>
      <x:c r="B453" s="252"/>
      <x:c r="C453" s="253"/>
      <x:c r="D453" s="253"/>
      <x:c r="E453" s="253"/>
      <x:c r="F453" s="252"/>
      <x:c r="G453" s="253"/>
      <x:c r="H453" s="272"/>
      <x:c r="I453" s="253"/>
      <x:c r="J453" s="253"/>
      <x:c r="K453" s="253"/>
      <x:c r="L453" s="253"/>
      <x:c r="M453" s="253"/>
      <x:c r="N453" s="253"/>
      <x:c r="O453" s="253" t="str">
        <x:f>IF(TRIM(L453&amp;" "&amp;M453&amp;IF(N453&lt;&gt;""," ("&amp;N453&amp;")",""))="","",TRIM(L453&amp;" "&amp;M453&amp;IF(N453&lt;&gt;""," ("&amp;N453&amp;")","")))</x:f>
      </x:c>
      <x:c r="P453" s="253"/>
      <x:c r="Q453" s="252"/>
      <x:c r="R453" s="253"/>
      <x:c r="S453" s="253"/>
      <x:c r="T453" s="253"/>
      <x:c r="U453" s="253"/>
      <x:c r="V453" s="253"/>
      <x:c r="W453" s="253"/>
      <x:c r="X453" s="253"/>
      <x:c r="Y453" s="252"/>
      <x:c r="Z453" s="252"/>
      <x:c r="AA453" s="253"/>
      <x:c r="AB453" s="253" t="str">
        <x:f>IF(B453="","",IFERROR(INDEX('الزبائن'!$BA$6:$BA$505,MATCH(B453,'الزبائن'!$A$6:$A$505,0)),"source key not found"))</x:f>
      </x:c>
      <x:c r="AC453" s="253" t="str">
        <x:f>IF(B453="","",IFERROR(INDEX('الزبائن'!$BB$6:$BB$505,MATCH(B453,'الزبائن'!$A$6:$A$505,0)),"source key not found"))</x:f>
      </x:c>
      <x:c r="AD453" s="253" t="str">
        <x:f>IF(AND(A453="",C453="",D453="",I453="",L453="",M453=""),"",IF(C453="skip","SKIP",IF(OR(A453="",C453="",D453="",I453="",L453="",M453="",U453="",COUNTIF($A$6:$A$505,A453)&gt;1,AND(B453&lt;&gt;"",COUNTIF('الزبائن'!$A$6:$A$505,B453)=0),(COUNTIFS('أرقام التواصل'!$A$6:$A$505,"proposed_name",'أرقام التواصل'!$B$6:$B$505,A453,'أرقام التواصل'!$I$6:$I$505,"TRUE")+COUNTIFS('أرقام التواصل'!$A$6:$A$505,"proposed_name",'أرقام التواصل'!$B$6:$B$505,A453,'أرقام التواصل'!$C$6:$C$505,1))=0,AND(W453="TRUE",X453="")),"REVIEW","READY")))</x:f>
      </x:c>
      <x:c r="AE453" s="255" t="str">
        <x:f>IF(AD453="","",IF(AD453="READY","",IF(AD453="SKIP","Skipped by candidate_import_action",TRIM(IF(A453="","missing proposed_name_key; ","")&amp;IF(AND(A453&lt;&gt;"",COUNTIF($A$6:$A$505,A453)&gt;1),"duplicate proposed_name_key; ","")&amp;IF(C453="","missing candidate_import_action; ","")&amp;IF(D453="","missing move_reason; ","")&amp;IF(I453="","missing branch_id; ","")&amp;IF(L453="","missing first_name; ","")&amp;IF(M453="","missing last_name; ","")&amp;IF(U453="","missing status; ","")&amp;IF(AND(B453&lt;&gt;"",COUNTIF('الزبائن'!$A$6:$A$505,B453)=0),"source key not found; ","")&amp;IF((COUNTIFS('أرقام التواصل'!$A$6:$A$505,"proposed_name",'أرقام التواصل'!$B$6:$B$505,A453,'أرقام التواصل'!$I$6:$I$505,"TRUE")+COUNTIFS('أرقام التواصل'!$A$6:$A$505,"proposed_name",'أرقام التواصل'!$B$6:$B$505,A453,'أرقام التواصل'!$C$6:$C$505,1))=0,"missing primary contact in أرقام التواصل; ","")&amp;IF(AND(W453="TRUE",X453=""),"duplicate_type required when duplicate_flag TRUE; ","")))))</x:f>
      </x:c>
    </x:row>
    <x:row r="454">
      <x:c r="A454" s="302"/>
      <x:c r="B454" s="252"/>
      <x:c r="C454" s="253"/>
      <x:c r="D454" s="253"/>
      <x:c r="E454" s="253"/>
      <x:c r="F454" s="252"/>
      <x:c r="G454" s="253"/>
      <x:c r="H454" s="272"/>
      <x:c r="I454" s="253"/>
      <x:c r="J454" s="253"/>
      <x:c r="K454" s="253"/>
      <x:c r="L454" s="253"/>
      <x:c r="M454" s="253"/>
      <x:c r="N454" s="253"/>
      <x:c r="O454" s="253" t="str">
        <x:f>IF(TRIM(L454&amp;" "&amp;M454&amp;IF(N454&lt;&gt;""," ("&amp;N454&amp;")",""))="","",TRIM(L454&amp;" "&amp;M454&amp;IF(N454&lt;&gt;""," ("&amp;N454&amp;")","")))</x:f>
      </x:c>
      <x:c r="P454" s="253"/>
      <x:c r="Q454" s="252"/>
      <x:c r="R454" s="253"/>
      <x:c r="S454" s="253"/>
      <x:c r="T454" s="253"/>
      <x:c r="U454" s="253"/>
      <x:c r="V454" s="253"/>
      <x:c r="W454" s="253"/>
      <x:c r="X454" s="253"/>
      <x:c r="Y454" s="252"/>
      <x:c r="Z454" s="252"/>
      <x:c r="AA454" s="253"/>
      <x:c r="AB454" s="253" t="str">
        <x:f>IF(B454="","",IFERROR(INDEX('الزبائن'!$BA$6:$BA$505,MATCH(B454,'الزبائن'!$A$6:$A$505,0)),"source key not found"))</x:f>
      </x:c>
      <x:c r="AC454" s="253" t="str">
        <x:f>IF(B454="","",IFERROR(INDEX('الزبائن'!$BB$6:$BB$505,MATCH(B454,'الزبائن'!$A$6:$A$505,0)),"source key not found"))</x:f>
      </x:c>
      <x:c r="AD454" s="253" t="str">
        <x:f>IF(AND(A454="",C454="",D454="",I454="",L454="",M454=""),"",IF(C454="skip","SKIP",IF(OR(A454="",C454="",D454="",I454="",L454="",M454="",U454="",COUNTIF($A$6:$A$505,A454)&gt;1,AND(B454&lt;&gt;"",COUNTIF('الزبائن'!$A$6:$A$505,B454)=0),(COUNTIFS('أرقام التواصل'!$A$6:$A$505,"proposed_name",'أرقام التواصل'!$B$6:$B$505,A454,'أرقام التواصل'!$I$6:$I$505,"TRUE")+COUNTIFS('أرقام التواصل'!$A$6:$A$505,"proposed_name",'أرقام التواصل'!$B$6:$B$505,A454,'أرقام التواصل'!$C$6:$C$505,1))=0,AND(W454="TRUE",X454="")),"REVIEW","READY")))</x:f>
      </x:c>
      <x:c r="AE454" s="255" t="str">
        <x:f>IF(AD454="","",IF(AD454="READY","",IF(AD454="SKIP","Skipped by candidate_import_action",TRIM(IF(A454="","missing proposed_name_key; ","")&amp;IF(AND(A454&lt;&gt;"",COUNTIF($A$6:$A$505,A454)&gt;1),"duplicate proposed_name_key; ","")&amp;IF(C454="","missing candidate_import_action; ","")&amp;IF(D454="","missing move_reason; ","")&amp;IF(I454="","missing branch_id; ","")&amp;IF(L454="","missing first_name; ","")&amp;IF(M454="","missing last_name; ","")&amp;IF(U454="","missing status; ","")&amp;IF(AND(B454&lt;&gt;"",COUNTIF('الزبائن'!$A$6:$A$505,B454)=0),"source key not found; ","")&amp;IF((COUNTIFS('أرقام التواصل'!$A$6:$A$505,"proposed_name",'أرقام التواصل'!$B$6:$B$505,A454,'أرقام التواصل'!$I$6:$I$505,"TRUE")+COUNTIFS('أرقام التواصل'!$A$6:$A$505,"proposed_name",'أرقام التواصل'!$B$6:$B$505,A454,'أرقام التواصل'!$C$6:$C$505,1))=0,"missing primary contact in أرقام التواصل; ","")&amp;IF(AND(W454="TRUE",X454=""),"duplicate_type required when duplicate_flag TRUE; ","")))))</x:f>
      </x:c>
    </x:row>
    <x:row r="455">
      <x:c r="A455" s="302"/>
      <x:c r="B455" s="252"/>
      <x:c r="C455" s="253"/>
      <x:c r="D455" s="253"/>
      <x:c r="E455" s="253"/>
      <x:c r="F455" s="252"/>
      <x:c r="G455" s="253"/>
      <x:c r="H455" s="272"/>
      <x:c r="I455" s="253"/>
      <x:c r="J455" s="253"/>
      <x:c r="K455" s="253"/>
      <x:c r="L455" s="253"/>
      <x:c r="M455" s="253"/>
      <x:c r="N455" s="253"/>
      <x:c r="O455" s="253" t="str">
        <x:f>IF(TRIM(L455&amp;" "&amp;M455&amp;IF(N455&lt;&gt;""," ("&amp;N455&amp;")",""))="","",TRIM(L455&amp;" "&amp;M455&amp;IF(N455&lt;&gt;""," ("&amp;N455&amp;")","")))</x:f>
      </x:c>
      <x:c r="P455" s="253"/>
      <x:c r="Q455" s="252"/>
      <x:c r="R455" s="253"/>
      <x:c r="S455" s="253"/>
      <x:c r="T455" s="253"/>
      <x:c r="U455" s="253"/>
      <x:c r="V455" s="253"/>
      <x:c r="W455" s="253"/>
      <x:c r="X455" s="253"/>
      <x:c r="Y455" s="252"/>
      <x:c r="Z455" s="252"/>
      <x:c r="AA455" s="253"/>
      <x:c r="AB455" s="253" t="str">
        <x:f>IF(B455="","",IFERROR(INDEX('الزبائن'!$BA$6:$BA$505,MATCH(B455,'الزبائن'!$A$6:$A$505,0)),"source key not found"))</x:f>
      </x:c>
      <x:c r="AC455" s="253" t="str">
        <x:f>IF(B455="","",IFERROR(INDEX('الزبائن'!$BB$6:$BB$505,MATCH(B455,'الزبائن'!$A$6:$A$505,0)),"source key not found"))</x:f>
      </x:c>
      <x:c r="AD455" s="253" t="str">
        <x:f>IF(AND(A455="",C455="",D455="",I455="",L455="",M455=""),"",IF(C455="skip","SKIP",IF(OR(A455="",C455="",D455="",I455="",L455="",M455="",U455="",COUNTIF($A$6:$A$505,A455)&gt;1,AND(B455&lt;&gt;"",COUNTIF('الزبائن'!$A$6:$A$505,B455)=0),(COUNTIFS('أرقام التواصل'!$A$6:$A$505,"proposed_name",'أرقام التواصل'!$B$6:$B$505,A455,'أرقام التواصل'!$I$6:$I$505,"TRUE")+COUNTIFS('أرقام التواصل'!$A$6:$A$505,"proposed_name",'أرقام التواصل'!$B$6:$B$505,A455,'أرقام التواصل'!$C$6:$C$505,1))=0,AND(W455="TRUE",X455="")),"REVIEW","READY")))</x:f>
      </x:c>
      <x:c r="AE455" s="255" t="str">
        <x:f>IF(AD455="","",IF(AD455="READY","",IF(AD455="SKIP","Skipped by candidate_import_action",TRIM(IF(A455="","missing proposed_name_key; ","")&amp;IF(AND(A455&lt;&gt;"",COUNTIF($A$6:$A$505,A455)&gt;1),"duplicate proposed_name_key; ","")&amp;IF(C455="","missing candidate_import_action; ","")&amp;IF(D455="","missing move_reason; ","")&amp;IF(I455="","missing branch_id; ","")&amp;IF(L455="","missing first_name; ","")&amp;IF(M455="","missing last_name; ","")&amp;IF(U455="","missing status; ","")&amp;IF(AND(B455&lt;&gt;"",COUNTIF('الزبائن'!$A$6:$A$505,B455)=0),"source key not found; ","")&amp;IF((COUNTIFS('أرقام التواصل'!$A$6:$A$505,"proposed_name",'أرقام التواصل'!$B$6:$B$505,A455,'أرقام التواصل'!$I$6:$I$505,"TRUE")+COUNTIFS('أرقام التواصل'!$A$6:$A$505,"proposed_name",'أرقام التواصل'!$B$6:$B$505,A455,'أرقام التواصل'!$C$6:$C$505,1))=0,"missing primary contact in أرقام التواصل; ","")&amp;IF(AND(W455="TRUE",X455=""),"duplicate_type required when duplicate_flag TRUE; ","")))))</x:f>
      </x:c>
    </x:row>
    <x:row r="456">
      <x:c r="A456" s="302"/>
      <x:c r="B456" s="252"/>
      <x:c r="C456" s="253"/>
      <x:c r="D456" s="253"/>
      <x:c r="E456" s="253"/>
      <x:c r="F456" s="252"/>
      <x:c r="G456" s="253"/>
      <x:c r="H456" s="272"/>
      <x:c r="I456" s="253"/>
      <x:c r="J456" s="253"/>
      <x:c r="K456" s="253"/>
      <x:c r="L456" s="253"/>
      <x:c r="M456" s="253"/>
      <x:c r="N456" s="253"/>
      <x:c r="O456" s="253" t="str">
        <x:f>IF(TRIM(L456&amp;" "&amp;M456&amp;IF(N456&lt;&gt;""," ("&amp;N456&amp;")",""))="","",TRIM(L456&amp;" "&amp;M456&amp;IF(N456&lt;&gt;""," ("&amp;N456&amp;")","")))</x:f>
      </x:c>
      <x:c r="P456" s="253"/>
      <x:c r="Q456" s="252"/>
      <x:c r="R456" s="253"/>
      <x:c r="S456" s="253"/>
      <x:c r="T456" s="253"/>
      <x:c r="U456" s="253"/>
      <x:c r="V456" s="253"/>
      <x:c r="W456" s="253"/>
      <x:c r="X456" s="253"/>
      <x:c r="Y456" s="252"/>
      <x:c r="Z456" s="252"/>
      <x:c r="AA456" s="253"/>
      <x:c r="AB456" s="253" t="str">
        <x:f>IF(B456="","",IFERROR(INDEX('الزبائن'!$BA$6:$BA$505,MATCH(B456,'الزبائن'!$A$6:$A$505,0)),"source key not found"))</x:f>
      </x:c>
      <x:c r="AC456" s="253" t="str">
        <x:f>IF(B456="","",IFERROR(INDEX('الزبائن'!$BB$6:$BB$505,MATCH(B456,'الزبائن'!$A$6:$A$505,0)),"source key not found"))</x:f>
      </x:c>
      <x:c r="AD456" s="253" t="str">
        <x:f>IF(AND(A456="",C456="",D456="",I456="",L456="",M456=""),"",IF(C456="skip","SKIP",IF(OR(A456="",C456="",D456="",I456="",L456="",M456="",U456="",COUNTIF($A$6:$A$505,A456)&gt;1,AND(B456&lt;&gt;"",COUNTIF('الزبائن'!$A$6:$A$505,B456)=0),(COUNTIFS('أرقام التواصل'!$A$6:$A$505,"proposed_name",'أرقام التواصل'!$B$6:$B$505,A456,'أرقام التواصل'!$I$6:$I$505,"TRUE")+COUNTIFS('أرقام التواصل'!$A$6:$A$505,"proposed_name",'أرقام التواصل'!$B$6:$B$505,A456,'أرقام التواصل'!$C$6:$C$505,1))=0,AND(W456="TRUE",X456="")),"REVIEW","READY")))</x:f>
      </x:c>
      <x:c r="AE456" s="255" t="str">
        <x:f>IF(AD456="","",IF(AD456="READY","",IF(AD456="SKIP","Skipped by candidate_import_action",TRIM(IF(A456="","missing proposed_name_key; ","")&amp;IF(AND(A456&lt;&gt;"",COUNTIF($A$6:$A$505,A456)&gt;1),"duplicate proposed_name_key; ","")&amp;IF(C456="","missing candidate_import_action; ","")&amp;IF(D456="","missing move_reason; ","")&amp;IF(I456="","missing branch_id; ","")&amp;IF(L456="","missing first_name; ","")&amp;IF(M456="","missing last_name; ","")&amp;IF(U456="","missing status; ","")&amp;IF(AND(B456&lt;&gt;"",COUNTIF('الزبائن'!$A$6:$A$505,B456)=0),"source key not found; ","")&amp;IF((COUNTIFS('أرقام التواصل'!$A$6:$A$505,"proposed_name",'أرقام التواصل'!$B$6:$B$505,A456,'أرقام التواصل'!$I$6:$I$505,"TRUE")+COUNTIFS('أرقام التواصل'!$A$6:$A$505,"proposed_name",'أرقام التواصل'!$B$6:$B$505,A456,'أرقام التواصل'!$C$6:$C$505,1))=0,"missing primary contact in أرقام التواصل; ","")&amp;IF(AND(W456="TRUE",X456=""),"duplicate_type required when duplicate_flag TRUE; ","")))))</x:f>
      </x:c>
    </x:row>
    <x:row r="457">
      <x:c r="A457" s="302"/>
      <x:c r="B457" s="252"/>
      <x:c r="C457" s="253"/>
      <x:c r="D457" s="253"/>
      <x:c r="E457" s="253"/>
      <x:c r="F457" s="252"/>
      <x:c r="G457" s="253"/>
      <x:c r="H457" s="272"/>
      <x:c r="I457" s="253"/>
      <x:c r="J457" s="253"/>
      <x:c r="K457" s="253"/>
      <x:c r="L457" s="253"/>
      <x:c r="M457" s="253"/>
      <x:c r="N457" s="253"/>
      <x:c r="O457" s="253" t="str">
        <x:f>IF(TRIM(L457&amp;" "&amp;M457&amp;IF(N457&lt;&gt;""," ("&amp;N457&amp;")",""))="","",TRIM(L457&amp;" "&amp;M457&amp;IF(N457&lt;&gt;""," ("&amp;N457&amp;")","")))</x:f>
      </x:c>
      <x:c r="P457" s="253"/>
      <x:c r="Q457" s="252"/>
      <x:c r="R457" s="253"/>
      <x:c r="S457" s="253"/>
      <x:c r="T457" s="253"/>
      <x:c r="U457" s="253"/>
      <x:c r="V457" s="253"/>
      <x:c r="W457" s="253"/>
      <x:c r="X457" s="253"/>
      <x:c r="Y457" s="252"/>
      <x:c r="Z457" s="252"/>
      <x:c r="AA457" s="253"/>
      <x:c r="AB457" s="253" t="str">
        <x:f>IF(B457="","",IFERROR(INDEX('الزبائن'!$BA$6:$BA$505,MATCH(B457,'الزبائن'!$A$6:$A$505,0)),"source key not found"))</x:f>
      </x:c>
      <x:c r="AC457" s="253" t="str">
        <x:f>IF(B457="","",IFERROR(INDEX('الزبائن'!$BB$6:$BB$505,MATCH(B457,'الزبائن'!$A$6:$A$505,0)),"source key not found"))</x:f>
      </x:c>
      <x:c r="AD457" s="253" t="str">
        <x:f>IF(AND(A457="",C457="",D457="",I457="",L457="",M457=""),"",IF(C457="skip","SKIP",IF(OR(A457="",C457="",D457="",I457="",L457="",M457="",U457="",COUNTIF($A$6:$A$505,A457)&gt;1,AND(B457&lt;&gt;"",COUNTIF('الزبائن'!$A$6:$A$505,B457)=0),(COUNTIFS('أرقام التواصل'!$A$6:$A$505,"proposed_name",'أرقام التواصل'!$B$6:$B$505,A457,'أرقام التواصل'!$I$6:$I$505,"TRUE")+COUNTIFS('أرقام التواصل'!$A$6:$A$505,"proposed_name",'أرقام التواصل'!$B$6:$B$505,A457,'أرقام التواصل'!$C$6:$C$505,1))=0,AND(W457="TRUE",X457="")),"REVIEW","READY")))</x:f>
      </x:c>
      <x:c r="AE457" s="255" t="str">
        <x:f>IF(AD457="","",IF(AD457="READY","",IF(AD457="SKIP","Skipped by candidate_import_action",TRIM(IF(A457="","missing proposed_name_key; ","")&amp;IF(AND(A457&lt;&gt;"",COUNTIF($A$6:$A$505,A457)&gt;1),"duplicate proposed_name_key; ","")&amp;IF(C457="","missing candidate_import_action; ","")&amp;IF(D457="","missing move_reason; ","")&amp;IF(I457="","missing branch_id; ","")&amp;IF(L457="","missing first_name; ","")&amp;IF(M457="","missing last_name; ","")&amp;IF(U457="","missing status; ","")&amp;IF(AND(B457&lt;&gt;"",COUNTIF('الزبائن'!$A$6:$A$505,B457)=0),"source key not found; ","")&amp;IF((COUNTIFS('أرقام التواصل'!$A$6:$A$505,"proposed_name",'أرقام التواصل'!$B$6:$B$505,A457,'أرقام التواصل'!$I$6:$I$505,"TRUE")+COUNTIFS('أرقام التواصل'!$A$6:$A$505,"proposed_name",'أرقام التواصل'!$B$6:$B$505,A457,'أرقام التواصل'!$C$6:$C$505,1))=0,"missing primary contact in أرقام التواصل; ","")&amp;IF(AND(W457="TRUE",X457=""),"duplicate_type required when duplicate_flag TRUE; ","")))))</x:f>
      </x:c>
    </x:row>
    <x:row r="458">
      <x:c r="A458" s="302"/>
      <x:c r="B458" s="252"/>
      <x:c r="C458" s="253"/>
      <x:c r="D458" s="253"/>
      <x:c r="E458" s="253"/>
      <x:c r="F458" s="252"/>
      <x:c r="G458" s="253"/>
      <x:c r="H458" s="272"/>
      <x:c r="I458" s="253"/>
      <x:c r="J458" s="253"/>
      <x:c r="K458" s="253"/>
      <x:c r="L458" s="253"/>
      <x:c r="M458" s="253"/>
      <x:c r="N458" s="253"/>
      <x:c r="O458" s="253" t="str">
        <x:f>IF(TRIM(L458&amp;" "&amp;M458&amp;IF(N458&lt;&gt;""," ("&amp;N458&amp;")",""))="","",TRIM(L458&amp;" "&amp;M458&amp;IF(N458&lt;&gt;""," ("&amp;N458&amp;")","")))</x:f>
      </x:c>
      <x:c r="P458" s="253"/>
      <x:c r="Q458" s="252"/>
      <x:c r="R458" s="253"/>
      <x:c r="S458" s="253"/>
      <x:c r="T458" s="253"/>
      <x:c r="U458" s="253"/>
      <x:c r="V458" s="253"/>
      <x:c r="W458" s="253"/>
      <x:c r="X458" s="253"/>
      <x:c r="Y458" s="252"/>
      <x:c r="Z458" s="252"/>
      <x:c r="AA458" s="253"/>
      <x:c r="AB458" s="253" t="str">
        <x:f>IF(B458="","",IFERROR(INDEX('الزبائن'!$BA$6:$BA$505,MATCH(B458,'الزبائن'!$A$6:$A$505,0)),"source key not found"))</x:f>
      </x:c>
      <x:c r="AC458" s="253" t="str">
        <x:f>IF(B458="","",IFERROR(INDEX('الزبائن'!$BB$6:$BB$505,MATCH(B458,'الزبائن'!$A$6:$A$505,0)),"source key not found"))</x:f>
      </x:c>
      <x:c r="AD458" s="253" t="str">
        <x:f>IF(AND(A458="",C458="",D458="",I458="",L458="",M458=""),"",IF(C458="skip","SKIP",IF(OR(A458="",C458="",D458="",I458="",L458="",M458="",U458="",COUNTIF($A$6:$A$505,A458)&gt;1,AND(B458&lt;&gt;"",COUNTIF('الزبائن'!$A$6:$A$505,B458)=0),(COUNTIFS('أرقام التواصل'!$A$6:$A$505,"proposed_name",'أرقام التواصل'!$B$6:$B$505,A458,'أرقام التواصل'!$I$6:$I$505,"TRUE")+COUNTIFS('أرقام التواصل'!$A$6:$A$505,"proposed_name",'أرقام التواصل'!$B$6:$B$505,A458,'أرقام التواصل'!$C$6:$C$505,1))=0,AND(W458="TRUE",X458="")),"REVIEW","READY")))</x:f>
      </x:c>
      <x:c r="AE458" s="255" t="str">
        <x:f>IF(AD458="","",IF(AD458="READY","",IF(AD458="SKIP","Skipped by candidate_import_action",TRIM(IF(A458="","missing proposed_name_key; ","")&amp;IF(AND(A458&lt;&gt;"",COUNTIF($A$6:$A$505,A458)&gt;1),"duplicate proposed_name_key; ","")&amp;IF(C458="","missing candidate_import_action; ","")&amp;IF(D458="","missing move_reason; ","")&amp;IF(I458="","missing branch_id; ","")&amp;IF(L458="","missing first_name; ","")&amp;IF(M458="","missing last_name; ","")&amp;IF(U458="","missing status; ","")&amp;IF(AND(B458&lt;&gt;"",COUNTIF('الزبائن'!$A$6:$A$505,B458)=0),"source key not found; ","")&amp;IF((COUNTIFS('أرقام التواصل'!$A$6:$A$505,"proposed_name",'أرقام التواصل'!$B$6:$B$505,A458,'أرقام التواصل'!$I$6:$I$505,"TRUE")+COUNTIFS('أرقام التواصل'!$A$6:$A$505,"proposed_name",'أرقام التواصل'!$B$6:$B$505,A458,'أرقام التواصل'!$C$6:$C$505,1))=0,"missing primary contact in أرقام التواصل; ","")&amp;IF(AND(W458="TRUE",X458=""),"duplicate_type required when duplicate_flag TRUE; ","")))))</x:f>
      </x:c>
    </x:row>
    <x:row r="459">
      <x:c r="A459" s="302"/>
      <x:c r="B459" s="252"/>
      <x:c r="C459" s="253"/>
      <x:c r="D459" s="253"/>
      <x:c r="E459" s="253"/>
      <x:c r="F459" s="252"/>
      <x:c r="G459" s="253"/>
      <x:c r="H459" s="272"/>
      <x:c r="I459" s="253"/>
      <x:c r="J459" s="253"/>
      <x:c r="K459" s="253"/>
      <x:c r="L459" s="253"/>
      <x:c r="M459" s="253"/>
      <x:c r="N459" s="253"/>
      <x:c r="O459" s="253" t="str">
        <x:f>IF(TRIM(L459&amp;" "&amp;M459&amp;IF(N459&lt;&gt;""," ("&amp;N459&amp;")",""))="","",TRIM(L459&amp;" "&amp;M459&amp;IF(N459&lt;&gt;""," ("&amp;N459&amp;")","")))</x:f>
      </x:c>
      <x:c r="P459" s="253"/>
      <x:c r="Q459" s="252"/>
      <x:c r="R459" s="253"/>
      <x:c r="S459" s="253"/>
      <x:c r="T459" s="253"/>
      <x:c r="U459" s="253"/>
      <x:c r="V459" s="253"/>
      <x:c r="W459" s="253"/>
      <x:c r="X459" s="253"/>
      <x:c r="Y459" s="252"/>
      <x:c r="Z459" s="252"/>
      <x:c r="AA459" s="253"/>
      <x:c r="AB459" s="253" t="str">
        <x:f>IF(B459="","",IFERROR(INDEX('الزبائن'!$BA$6:$BA$505,MATCH(B459,'الزبائن'!$A$6:$A$505,0)),"source key not found"))</x:f>
      </x:c>
      <x:c r="AC459" s="253" t="str">
        <x:f>IF(B459="","",IFERROR(INDEX('الزبائن'!$BB$6:$BB$505,MATCH(B459,'الزبائن'!$A$6:$A$505,0)),"source key not found"))</x:f>
      </x:c>
      <x:c r="AD459" s="253" t="str">
        <x:f>IF(AND(A459="",C459="",D459="",I459="",L459="",M459=""),"",IF(C459="skip","SKIP",IF(OR(A459="",C459="",D459="",I459="",L459="",M459="",U459="",COUNTIF($A$6:$A$505,A459)&gt;1,AND(B459&lt;&gt;"",COUNTIF('الزبائن'!$A$6:$A$505,B459)=0),(COUNTIFS('أرقام التواصل'!$A$6:$A$505,"proposed_name",'أرقام التواصل'!$B$6:$B$505,A459,'أرقام التواصل'!$I$6:$I$505,"TRUE")+COUNTIFS('أرقام التواصل'!$A$6:$A$505,"proposed_name",'أرقام التواصل'!$B$6:$B$505,A459,'أرقام التواصل'!$C$6:$C$505,1))=0,AND(W459="TRUE",X459="")),"REVIEW","READY")))</x:f>
      </x:c>
      <x:c r="AE459" s="255" t="str">
        <x:f>IF(AD459="","",IF(AD459="READY","",IF(AD459="SKIP","Skipped by candidate_import_action",TRIM(IF(A459="","missing proposed_name_key; ","")&amp;IF(AND(A459&lt;&gt;"",COUNTIF($A$6:$A$505,A459)&gt;1),"duplicate proposed_name_key; ","")&amp;IF(C459="","missing candidate_import_action; ","")&amp;IF(D459="","missing move_reason; ","")&amp;IF(I459="","missing branch_id; ","")&amp;IF(L459="","missing first_name; ","")&amp;IF(M459="","missing last_name; ","")&amp;IF(U459="","missing status; ","")&amp;IF(AND(B459&lt;&gt;"",COUNTIF('الزبائن'!$A$6:$A$505,B459)=0),"source key not found; ","")&amp;IF((COUNTIFS('أرقام التواصل'!$A$6:$A$505,"proposed_name",'أرقام التواصل'!$B$6:$B$505,A459,'أرقام التواصل'!$I$6:$I$505,"TRUE")+COUNTIFS('أرقام التواصل'!$A$6:$A$505,"proposed_name",'أرقام التواصل'!$B$6:$B$505,A459,'أرقام التواصل'!$C$6:$C$505,1))=0,"missing primary contact in أرقام التواصل; ","")&amp;IF(AND(W459="TRUE",X459=""),"duplicate_type required when duplicate_flag TRUE; ","")))))</x:f>
      </x:c>
    </x:row>
    <x:row r="460">
      <x:c r="A460" s="302"/>
      <x:c r="B460" s="252"/>
      <x:c r="C460" s="253"/>
      <x:c r="D460" s="253"/>
      <x:c r="E460" s="253"/>
      <x:c r="F460" s="252"/>
      <x:c r="G460" s="253"/>
      <x:c r="H460" s="272"/>
      <x:c r="I460" s="253"/>
      <x:c r="J460" s="253"/>
      <x:c r="K460" s="253"/>
      <x:c r="L460" s="253"/>
      <x:c r="M460" s="253"/>
      <x:c r="N460" s="253"/>
      <x:c r="O460" s="253" t="str">
        <x:f>IF(TRIM(L460&amp;" "&amp;M460&amp;IF(N460&lt;&gt;""," ("&amp;N460&amp;")",""))="","",TRIM(L460&amp;" "&amp;M460&amp;IF(N460&lt;&gt;""," ("&amp;N460&amp;")","")))</x:f>
      </x:c>
      <x:c r="P460" s="253"/>
      <x:c r="Q460" s="252"/>
      <x:c r="R460" s="253"/>
      <x:c r="S460" s="253"/>
      <x:c r="T460" s="253"/>
      <x:c r="U460" s="253"/>
      <x:c r="V460" s="253"/>
      <x:c r="W460" s="253"/>
      <x:c r="X460" s="253"/>
      <x:c r="Y460" s="252"/>
      <x:c r="Z460" s="252"/>
      <x:c r="AA460" s="253"/>
      <x:c r="AB460" s="253" t="str">
        <x:f>IF(B460="","",IFERROR(INDEX('الزبائن'!$BA$6:$BA$505,MATCH(B460,'الزبائن'!$A$6:$A$505,0)),"source key not found"))</x:f>
      </x:c>
      <x:c r="AC460" s="253" t="str">
        <x:f>IF(B460="","",IFERROR(INDEX('الزبائن'!$BB$6:$BB$505,MATCH(B460,'الزبائن'!$A$6:$A$505,0)),"source key not found"))</x:f>
      </x:c>
      <x:c r="AD460" s="253" t="str">
        <x:f>IF(AND(A460="",C460="",D460="",I460="",L460="",M460=""),"",IF(C460="skip","SKIP",IF(OR(A460="",C460="",D460="",I460="",L460="",M460="",U460="",COUNTIF($A$6:$A$505,A460)&gt;1,AND(B460&lt;&gt;"",COUNTIF('الزبائن'!$A$6:$A$505,B460)=0),(COUNTIFS('أرقام التواصل'!$A$6:$A$505,"proposed_name",'أرقام التواصل'!$B$6:$B$505,A460,'أرقام التواصل'!$I$6:$I$505,"TRUE")+COUNTIFS('أرقام التواصل'!$A$6:$A$505,"proposed_name",'أرقام التواصل'!$B$6:$B$505,A460,'أرقام التواصل'!$C$6:$C$505,1))=0,AND(W460="TRUE",X460="")),"REVIEW","READY")))</x:f>
      </x:c>
      <x:c r="AE460" s="255" t="str">
        <x:f>IF(AD460="","",IF(AD460="READY","",IF(AD460="SKIP","Skipped by candidate_import_action",TRIM(IF(A460="","missing proposed_name_key; ","")&amp;IF(AND(A460&lt;&gt;"",COUNTIF($A$6:$A$505,A460)&gt;1),"duplicate proposed_name_key; ","")&amp;IF(C460="","missing candidate_import_action; ","")&amp;IF(D460="","missing move_reason; ","")&amp;IF(I460="","missing branch_id; ","")&amp;IF(L460="","missing first_name; ","")&amp;IF(M460="","missing last_name; ","")&amp;IF(U460="","missing status; ","")&amp;IF(AND(B460&lt;&gt;"",COUNTIF('الزبائن'!$A$6:$A$505,B460)=0),"source key not found; ","")&amp;IF((COUNTIFS('أرقام التواصل'!$A$6:$A$505,"proposed_name",'أرقام التواصل'!$B$6:$B$505,A460,'أرقام التواصل'!$I$6:$I$505,"TRUE")+COUNTIFS('أرقام التواصل'!$A$6:$A$505,"proposed_name",'أرقام التواصل'!$B$6:$B$505,A460,'أرقام التواصل'!$C$6:$C$505,1))=0,"missing primary contact in أرقام التواصل; ","")&amp;IF(AND(W460="TRUE",X460=""),"duplicate_type required when duplicate_flag TRUE; ","")))))</x:f>
      </x:c>
    </x:row>
    <x:row r="461">
      <x:c r="A461" s="302"/>
      <x:c r="B461" s="252"/>
      <x:c r="C461" s="253"/>
      <x:c r="D461" s="253"/>
      <x:c r="E461" s="253"/>
      <x:c r="F461" s="252"/>
      <x:c r="G461" s="253"/>
      <x:c r="H461" s="272"/>
      <x:c r="I461" s="253"/>
      <x:c r="J461" s="253"/>
      <x:c r="K461" s="253"/>
      <x:c r="L461" s="253"/>
      <x:c r="M461" s="253"/>
      <x:c r="N461" s="253"/>
      <x:c r="O461" s="253" t="str">
        <x:f>IF(TRIM(L461&amp;" "&amp;M461&amp;IF(N461&lt;&gt;""," ("&amp;N461&amp;")",""))="","",TRIM(L461&amp;" "&amp;M461&amp;IF(N461&lt;&gt;""," ("&amp;N461&amp;")","")))</x:f>
      </x:c>
      <x:c r="P461" s="253"/>
      <x:c r="Q461" s="252"/>
      <x:c r="R461" s="253"/>
      <x:c r="S461" s="253"/>
      <x:c r="T461" s="253"/>
      <x:c r="U461" s="253"/>
      <x:c r="V461" s="253"/>
      <x:c r="W461" s="253"/>
      <x:c r="X461" s="253"/>
      <x:c r="Y461" s="252"/>
      <x:c r="Z461" s="252"/>
      <x:c r="AA461" s="253"/>
      <x:c r="AB461" s="253" t="str">
        <x:f>IF(B461="","",IFERROR(INDEX('الزبائن'!$BA$6:$BA$505,MATCH(B461,'الزبائن'!$A$6:$A$505,0)),"source key not found"))</x:f>
      </x:c>
      <x:c r="AC461" s="253" t="str">
        <x:f>IF(B461="","",IFERROR(INDEX('الزبائن'!$BB$6:$BB$505,MATCH(B461,'الزبائن'!$A$6:$A$505,0)),"source key not found"))</x:f>
      </x:c>
      <x:c r="AD461" s="253" t="str">
        <x:f>IF(AND(A461="",C461="",D461="",I461="",L461="",M461=""),"",IF(C461="skip","SKIP",IF(OR(A461="",C461="",D461="",I461="",L461="",M461="",U461="",COUNTIF($A$6:$A$505,A461)&gt;1,AND(B461&lt;&gt;"",COUNTIF('الزبائن'!$A$6:$A$505,B461)=0),(COUNTIFS('أرقام التواصل'!$A$6:$A$505,"proposed_name",'أرقام التواصل'!$B$6:$B$505,A461,'أرقام التواصل'!$I$6:$I$505,"TRUE")+COUNTIFS('أرقام التواصل'!$A$6:$A$505,"proposed_name",'أرقام التواصل'!$B$6:$B$505,A461,'أرقام التواصل'!$C$6:$C$505,1))=0,AND(W461="TRUE",X461="")),"REVIEW","READY")))</x:f>
      </x:c>
      <x:c r="AE461" s="255" t="str">
        <x:f>IF(AD461="","",IF(AD461="READY","",IF(AD461="SKIP","Skipped by candidate_import_action",TRIM(IF(A461="","missing proposed_name_key; ","")&amp;IF(AND(A461&lt;&gt;"",COUNTIF($A$6:$A$505,A461)&gt;1),"duplicate proposed_name_key; ","")&amp;IF(C461="","missing candidate_import_action; ","")&amp;IF(D461="","missing move_reason; ","")&amp;IF(I461="","missing branch_id; ","")&amp;IF(L461="","missing first_name; ","")&amp;IF(M461="","missing last_name; ","")&amp;IF(U461="","missing status; ","")&amp;IF(AND(B461&lt;&gt;"",COUNTIF('الزبائن'!$A$6:$A$505,B461)=0),"source key not found; ","")&amp;IF((COUNTIFS('أرقام التواصل'!$A$6:$A$505,"proposed_name",'أرقام التواصل'!$B$6:$B$505,A461,'أرقام التواصل'!$I$6:$I$505,"TRUE")+COUNTIFS('أرقام التواصل'!$A$6:$A$505,"proposed_name",'أرقام التواصل'!$B$6:$B$505,A461,'أرقام التواصل'!$C$6:$C$505,1))=0,"missing primary contact in أرقام التواصل; ","")&amp;IF(AND(W461="TRUE",X461=""),"duplicate_type required when duplicate_flag TRUE; ","")))))</x:f>
      </x:c>
    </x:row>
    <x:row r="462">
      <x:c r="A462" s="302"/>
      <x:c r="B462" s="252"/>
      <x:c r="C462" s="253"/>
      <x:c r="D462" s="253"/>
      <x:c r="E462" s="253"/>
      <x:c r="F462" s="252"/>
      <x:c r="G462" s="253"/>
      <x:c r="H462" s="272"/>
      <x:c r="I462" s="253"/>
      <x:c r="J462" s="253"/>
      <x:c r="K462" s="253"/>
      <x:c r="L462" s="253"/>
      <x:c r="M462" s="253"/>
      <x:c r="N462" s="253"/>
      <x:c r="O462" s="253" t="str">
        <x:f>IF(TRIM(L462&amp;" "&amp;M462&amp;IF(N462&lt;&gt;""," ("&amp;N462&amp;")",""))="","",TRIM(L462&amp;" "&amp;M462&amp;IF(N462&lt;&gt;""," ("&amp;N462&amp;")","")))</x:f>
      </x:c>
      <x:c r="P462" s="253"/>
      <x:c r="Q462" s="252"/>
      <x:c r="R462" s="253"/>
      <x:c r="S462" s="253"/>
      <x:c r="T462" s="253"/>
      <x:c r="U462" s="253"/>
      <x:c r="V462" s="253"/>
      <x:c r="W462" s="253"/>
      <x:c r="X462" s="253"/>
      <x:c r="Y462" s="252"/>
      <x:c r="Z462" s="252"/>
      <x:c r="AA462" s="253"/>
      <x:c r="AB462" s="253" t="str">
        <x:f>IF(B462="","",IFERROR(INDEX('الزبائن'!$BA$6:$BA$505,MATCH(B462,'الزبائن'!$A$6:$A$505,0)),"source key not found"))</x:f>
      </x:c>
      <x:c r="AC462" s="253" t="str">
        <x:f>IF(B462="","",IFERROR(INDEX('الزبائن'!$BB$6:$BB$505,MATCH(B462,'الزبائن'!$A$6:$A$505,0)),"source key not found"))</x:f>
      </x:c>
      <x:c r="AD462" s="253" t="str">
        <x:f>IF(AND(A462="",C462="",D462="",I462="",L462="",M462=""),"",IF(C462="skip","SKIP",IF(OR(A462="",C462="",D462="",I462="",L462="",M462="",U462="",COUNTIF($A$6:$A$505,A462)&gt;1,AND(B462&lt;&gt;"",COUNTIF('الزبائن'!$A$6:$A$505,B462)=0),(COUNTIFS('أرقام التواصل'!$A$6:$A$505,"proposed_name",'أرقام التواصل'!$B$6:$B$505,A462,'أرقام التواصل'!$I$6:$I$505,"TRUE")+COUNTIFS('أرقام التواصل'!$A$6:$A$505,"proposed_name",'أرقام التواصل'!$B$6:$B$505,A462,'أرقام التواصل'!$C$6:$C$505,1))=0,AND(W462="TRUE",X462="")),"REVIEW","READY")))</x:f>
      </x:c>
      <x:c r="AE462" s="255" t="str">
        <x:f>IF(AD462="","",IF(AD462="READY","",IF(AD462="SKIP","Skipped by candidate_import_action",TRIM(IF(A462="","missing proposed_name_key; ","")&amp;IF(AND(A462&lt;&gt;"",COUNTIF($A$6:$A$505,A462)&gt;1),"duplicate proposed_name_key; ","")&amp;IF(C462="","missing candidate_import_action; ","")&amp;IF(D462="","missing move_reason; ","")&amp;IF(I462="","missing branch_id; ","")&amp;IF(L462="","missing first_name; ","")&amp;IF(M462="","missing last_name; ","")&amp;IF(U462="","missing status; ","")&amp;IF(AND(B462&lt;&gt;"",COUNTIF('الزبائن'!$A$6:$A$505,B462)=0),"source key not found; ","")&amp;IF((COUNTIFS('أرقام التواصل'!$A$6:$A$505,"proposed_name",'أرقام التواصل'!$B$6:$B$505,A462,'أرقام التواصل'!$I$6:$I$505,"TRUE")+COUNTIFS('أرقام التواصل'!$A$6:$A$505,"proposed_name",'أرقام التواصل'!$B$6:$B$505,A462,'أرقام التواصل'!$C$6:$C$505,1))=0,"missing primary contact in أرقام التواصل; ","")&amp;IF(AND(W462="TRUE",X462=""),"duplicate_type required when duplicate_flag TRUE; ","")))))</x:f>
      </x:c>
    </x:row>
    <x:row r="463">
      <x:c r="A463" s="302"/>
      <x:c r="B463" s="252"/>
      <x:c r="C463" s="253"/>
      <x:c r="D463" s="253"/>
      <x:c r="E463" s="253"/>
      <x:c r="F463" s="252"/>
      <x:c r="G463" s="253"/>
      <x:c r="H463" s="272"/>
      <x:c r="I463" s="253"/>
      <x:c r="J463" s="253"/>
      <x:c r="K463" s="253"/>
      <x:c r="L463" s="253"/>
      <x:c r="M463" s="253"/>
      <x:c r="N463" s="253"/>
      <x:c r="O463" s="253" t="str">
        <x:f>IF(TRIM(L463&amp;" "&amp;M463&amp;IF(N463&lt;&gt;""," ("&amp;N463&amp;")",""))="","",TRIM(L463&amp;" "&amp;M463&amp;IF(N463&lt;&gt;""," ("&amp;N463&amp;")","")))</x:f>
      </x:c>
      <x:c r="P463" s="253"/>
      <x:c r="Q463" s="252"/>
      <x:c r="R463" s="253"/>
      <x:c r="S463" s="253"/>
      <x:c r="T463" s="253"/>
      <x:c r="U463" s="253"/>
      <x:c r="V463" s="253"/>
      <x:c r="W463" s="253"/>
      <x:c r="X463" s="253"/>
      <x:c r="Y463" s="252"/>
      <x:c r="Z463" s="252"/>
      <x:c r="AA463" s="253"/>
      <x:c r="AB463" s="253" t="str">
        <x:f>IF(B463="","",IFERROR(INDEX('الزبائن'!$BA$6:$BA$505,MATCH(B463,'الزبائن'!$A$6:$A$505,0)),"source key not found"))</x:f>
      </x:c>
      <x:c r="AC463" s="253" t="str">
        <x:f>IF(B463="","",IFERROR(INDEX('الزبائن'!$BB$6:$BB$505,MATCH(B463,'الزبائن'!$A$6:$A$505,0)),"source key not found"))</x:f>
      </x:c>
      <x:c r="AD463" s="253" t="str">
        <x:f>IF(AND(A463="",C463="",D463="",I463="",L463="",M463=""),"",IF(C463="skip","SKIP",IF(OR(A463="",C463="",D463="",I463="",L463="",M463="",U463="",COUNTIF($A$6:$A$505,A463)&gt;1,AND(B463&lt;&gt;"",COUNTIF('الزبائن'!$A$6:$A$505,B463)=0),(COUNTIFS('أرقام التواصل'!$A$6:$A$505,"proposed_name",'أرقام التواصل'!$B$6:$B$505,A463,'أرقام التواصل'!$I$6:$I$505,"TRUE")+COUNTIFS('أرقام التواصل'!$A$6:$A$505,"proposed_name",'أرقام التواصل'!$B$6:$B$505,A463,'أرقام التواصل'!$C$6:$C$505,1))=0,AND(W463="TRUE",X463="")),"REVIEW","READY")))</x:f>
      </x:c>
      <x:c r="AE463" s="255" t="str">
        <x:f>IF(AD463="","",IF(AD463="READY","",IF(AD463="SKIP","Skipped by candidate_import_action",TRIM(IF(A463="","missing proposed_name_key; ","")&amp;IF(AND(A463&lt;&gt;"",COUNTIF($A$6:$A$505,A463)&gt;1),"duplicate proposed_name_key; ","")&amp;IF(C463="","missing candidate_import_action; ","")&amp;IF(D463="","missing move_reason; ","")&amp;IF(I463="","missing branch_id; ","")&amp;IF(L463="","missing first_name; ","")&amp;IF(M463="","missing last_name; ","")&amp;IF(U463="","missing status; ","")&amp;IF(AND(B463&lt;&gt;"",COUNTIF('الزبائن'!$A$6:$A$505,B463)=0),"source key not found; ","")&amp;IF((COUNTIFS('أرقام التواصل'!$A$6:$A$505,"proposed_name",'أرقام التواصل'!$B$6:$B$505,A463,'أرقام التواصل'!$I$6:$I$505,"TRUE")+COUNTIFS('أرقام التواصل'!$A$6:$A$505,"proposed_name",'أرقام التواصل'!$B$6:$B$505,A463,'أرقام التواصل'!$C$6:$C$505,1))=0,"missing primary contact in أرقام التواصل; ","")&amp;IF(AND(W463="TRUE",X463=""),"duplicate_type required when duplicate_flag TRUE; ","")))))</x:f>
      </x:c>
    </x:row>
    <x:row r="464">
      <x:c r="A464" s="302"/>
      <x:c r="B464" s="252"/>
      <x:c r="C464" s="253"/>
      <x:c r="D464" s="253"/>
      <x:c r="E464" s="253"/>
      <x:c r="F464" s="252"/>
      <x:c r="G464" s="253"/>
      <x:c r="H464" s="272"/>
      <x:c r="I464" s="253"/>
      <x:c r="J464" s="253"/>
      <x:c r="K464" s="253"/>
      <x:c r="L464" s="253"/>
      <x:c r="M464" s="253"/>
      <x:c r="N464" s="253"/>
      <x:c r="O464" s="253" t="str">
        <x:f>IF(TRIM(L464&amp;" "&amp;M464&amp;IF(N464&lt;&gt;""," ("&amp;N464&amp;")",""))="","",TRIM(L464&amp;" "&amp;M464&amp;IF(N464&lt;&gt;""," ("&amp;N464&amp;")","")))</x:f>
      </x:c>
      <x:c r="P464" s="253"/>
      <x:c r="Q464" s="252"/>
      <x:c r="R464" s="253"/>
      <x:c r="S464" s="253"/>
      <x:c r="T464" s="253"/>
      <x:c r="U464" s="253"/>
      <x:c r="V464" s="253"/>
      <x:c r="W464" s="253"/>
      <x:c r="X464" s="253"/>
      <x:c r="Y464" s="252"/>
      <x:c r="Z464" s="252"/>
      <x:c r="AA464" s="253"/>
      <x:c r="AB464" s="253" t="str">
        <x:f>IF(B464="","",IFERROR(INDEX('الزبائن'!$BA$6:$BA$505,MATCH(B464,'الزبائن'!$A$6:$A$505,0)),"source key not found"))</x:f>
      </x:c>
      <x:c r="AC464" s="253" t="str">
        <x:f>IF(B464="","",IFERROR(INDEX('الزبائن'!$BB$6:$BB$505,MATCH(B464,'الزبائن'!$A$6:$A$505,0)),"source key not found"))</x:f>
      </x:c>
      <x:c r="AD464" s="253" t="str">
        <x:f>IF(AND(A464="",C464="",D464="",I464="",L464="",M464=""),"",IF(C464="skip","SKIP",IF(OR(A464="",C464="",D464="",I464="",L464="",M464="",U464="",COUNTIF($A$6:$A$505,A464)&gt;1,AND(B464&lt;&gt;"",COUNTIF('الزبائن'!$A$6:$A$505,B464)=0),(COUNTIFS('أرقام التواصل'!$A$6:$A$505,"proposed_name",'أرقام التواصل'!$B$6:$B$505,A464,'أرقام التواصل'!$I$6:$I$505,"TRUE")+COUNTIFS('أرقام التواصل'!$A$6:$A$505,"proposed_name",'أرقام التواصل'!$B$6:$B$505,A464,'أرقام التواصل'!$C$6:$C$505,1))=0,AND(W464="TRUE",X464="")),"REVIEW","READY")))</x:f>
      </x:c>
      <x:c r="AE464" s="255" t="str">
        <x:f>IF(AD464="","",IF(AD464="READY","",IF(AD464="SKIP","Skipped by candidate_import_action",TRIM(IF(A464="","missing proposed_name_key; ","")&amp;IF(AND(A464&lt;&gt;"",COUNTIF($A$6:$A$505,A464)&gt;1),"duplicate proposed_name_key; ","")&amp;IF(C464="","missing candidate_import_action; ","")&amp;IF(D464="","missing move_reason; ","")&amp;IF(I464="","missing branch_id; ","")&amp;IF(L464="","missing first_name; ","")&amp;IF(M464="","missing last_name; ","")&amp;IF(U464="","missing status; ","")&amp;IF(AND(B464&lt;&gt;"",COUNTIF('الزبائن'!$A$6:$A$505,B464)=0),"source key not found; ","")&amp;IF((COUNTIFS('أرقام التواصل'!$A$6:$A$505,"proposed_name",'أرقام التواصل'!$B$6:$B$505,A464,'أرقام التواصل'!$I$6:$I$505,"TRUE")+COUNTIFS('أرقام التواصل'!$A$6:$A$505,"proposed_name",'أرقام التواصل'!$B$6:$B$505,A464,'أرقام التواصل'!$C$6:$C$505,1))=0,"missing primary contact in أرقام التواصل; ","")&amp;IF(AND(W464="TRUE",X464=""),"duplicate_type required when duplicate_flag TRUE; ","")))))</x:f>
      </x:c>
    </x:row>
    <x:row r="465">
      <x:c r="A465" s="302"/>
      <x:c r="B465" s="252"/>
      <x:c r="C465" s="253"/>
      <x:c r="D465" s="253"/>
      <x:c r="E465" s="253"/>
      <x:c r="F465" s="252"/>
      <x:c r="G465" s="253"/>
      <x:c r="H465" s="272"/>
      <x:c r="I465" s="253"/>
      <x:c r="J465" s="253"/>
      <x:c r="K465" s="253"/>
      <x:c r="L465" s="253"/>
      <x:c r="M465" s="253"/>
      <x:c r="N465" s="253"/>
      <x:c r="O465" s="253" t="str">
        <x:f>IF(TRIM(L465&amp;" "&amp;M465&amp;IF(N465&lt;&gt;""," ("&amp;N465&amp;")",""))="","",TRIM(L465&amp;" "&amp;M465&amp;IF(N465&lt;&gt;""," ("&amp;N465&amp;")","")))</x:f>
      </x:c>
      <x:c r="P465" s="253"/>
      <x:c r="Q465" s="252"/>
      <x:c r="R465" s="253"/>
      <x:c r="S465" s="253"/>
      <x:c r="T465" s="253"/>
      <x:c r="U465" s="253"/>
      <x:c r="V465" s="253"/>
      <x:c r="W465" s="253"/>
      <x:c r="X465" s="253"/>
      <x:c r="Y465" s="252"/>
      <x:c r="Z465" s="252"/>
      <x:c r="AA465" s="253"/>
      <x:c r="AB465" s="253" t="str">
        <x:f>IF(B465="","",IFERROR(INDEX('الزبائن'!$BA$6:$BA$505,MATCH(B465,'الزبائن'!$A$6:$A$505,0)),"source key not found"))</x:f>
      </x:c>
      <x:c r="AC465" s="253" t="str">
        <x:f>IF(B465="","",IFERROR(INDEX('الزبائن'!$BB$6:$BB$505,MATCH(B465,'الزبائن'!$A$6:$A$505,0)),"source key not found"))</x:f>
      </x:c>
      <x:c r="AD465" s="253" t="str">
        <x:f>IF(AND(A465="",C465="",D465="",I465="",L465="",M465=""),"",IF(C465="skip","SKIP",IF(OR(A465="",C465="",D465="",I465="",L465="",M465="",U465="",COUNTIF($A$6:$A$505,A465)&gt;1,AND(B465&lt;&gt;"",COUNTIF('الزبائن'!$A$6:$A$505,B465)=0),(COUNTIFS('أرقام التواصل'!$A$6:$A$505,"proposed_name",'أرقام التواصل'!$B$6:$B$505,A465,'أرقام التواصل'!$I$6:$I$505,"TRUE")+COUNTIFS('أرقام التواصل'!$A$6:$A$505,"proposed_name",'أرقام التواصل'!$B$6:$B$505,A465,'أرقام التواصل'!$C$6:$C$505,1))=0,AND(W465="TRUE",X465="")),"REVIEW","READY")))</x:f>
      </x:c>
      <x:c r="AE465" s="255" t="str">
        <x:f>IF(AD465="","",IF(AD465="READY","",IF(AD465="SKIP","Skipped by candidate_import_action",TRIM(IF(A465="","missing proposed_name_key; ","")&amp;IF(AND(A465&lt;&gt;"",COUNTIF($A$6:$A$505,A465)&gt;1),"duplicate proposed_name_key; ","")&amp;IF(C465="","missing candidate_import_action; ","")&amp;IF(D465="","missing move_reason; ","")&amp;IF(I465="","missing branch_id; ","")&amp;IF(L465="","missing first_name; ","")&amp;IF(M465="","missing last_name; ","")&amp;IF(U465="","missing status; ","")&amp;IF(AND(B465&lt;&gt;"",COUNTIF('الزبائن'!$A$6:$A$505,B465)=0),"source key not found; ","")&amp;IF((COUNTIFS('أرقام التواصل'!$A$6:$A$505,"proposed_name",'أرقام التواصل'!$B$6:$B$505,A465,'أرقام التواصل'!$I$6:$I$505,"TRUE")+COUNTIFS('أرقام التواصل'!$A$6:$A$505,"proposed_name",'أرقام التواصل'!$B$6:$B$505,A465,'أرقام التواصل'!$C$6:$C$505,1))=0,"missing primary contact in أرقام التواصل; ","")&amp;IF(AND(W465="TRUE",X465=""),"duplicate_type required when duplicate_flag TRUE; ","")))))</x:f>
      </x:c>
    </x:row>
    <x:row r="466">
      <x:c r="A466" s="302"/>
      <x:c r="B466" s="252"/>
      <x:c r="C466" s="253"/>
      <x:c r="D466" s="253"/>
      <x:c r="E466" s="253"/>
      <x:c r="F466" s="252"/>
      <x:c r="G466" s="253"/>
      <x:c r="H466" s="272"/>
      <x:c r="I466" s="253"/>
      <x:c r="J466" s="253"/>
      <x:c r="K466" s="253"/>
      <x:c r="L466" s="253"/>
      <x:c r="M466" s="253"/>
      <x:c r="N466" s="253"/>
      <x:c r="O466" s="253" t="str">
        <x:f>IF(TRIM(L466&amp;" "&amp;M466&amp;IF(N466&lt;&gt;""," ("&amp;N466&amp;")",""))="","",TRIM(L466&amp;" "&amp;M466&amp;IF(N466&lt;&gt;""," ("&amp;N466&amp;")","")))</x:f>
      </x:c>
      <x:c r="P466" s="253"/>
      <x:c r="Q466" s="252"/>
      <x:c r="R466" s="253"/>
      <x:c r="S466" s="253"/>
      <x:c r="T466" s="253"/>
      <x:c r="U466" s="253"/>
      <x:c r="V466" s="253"/>
      <x:c r="W466" s="253"/>
      <x:c r="X466" s="253"/>
      <x:c r="Y466" s="252"/>
      <x:c r="Z466" s="252"/>
      <x:c r="AA466" s="253"/>
      <x:c r="AB466" s="253" t="str">
        <x:f>IF(B466="","",IFERROR(INDEX('الزبائن'!$BA$6:$BA$505,MATCH(B466,'الزبائن'!$A$6:$A$505,0)),"source key not found"))</x:f>
      </x:c>
      <x:c r="AC466" s="253" t="str">
        <x:f>IF(B466="","",IFERROR(INDEX('الزبائن'!$BB$6:$BB$505,MATCH(B466,'الزبائن'!$A$6:$A$505,0)),"source key not found"))</x:f>
      </x:c>
      <x:c r="AD466" s="253" t="str">
        <x:f>IF(AND(A466="",C466="",D466="",I466="",L466="",M466=""),"",IF(C466="skip","SKIP",IF(OR(A466="",C466="",D466="",I466="",L466="",M466="",U466="",COUNTIF($A$6:$A$505,A466)&gt;1,AND(B466&lt;&gt;"",COUNTIF('الزبائن'!$A$6:$A$505,B466)=0),(COUNTIFS('أرقام التواصل'!$A$6:$A$505,"proposed_name",'أرقام التواصل'!$B$6:$B$505,A466,'أرقام التواصل'!$I$6:$I$505,"TRUE")+COUNTIFS('أرقام التواصل'!$A$6:$A$505,"proposed_name",'أرقام التواصل'!$B$6:$B$505,A466,'أرقام التواصل'!$C$6:$C$505,1))=0,AND(W466="TRUE",X466="")),"REVIEW","READY")))</x:f>
      </x:c>
      <x:c r="AE466" s="255" t="str">
        <x:f>IF(AD466="","",IF(AD466="READY","",IF(AD466="SKIP","Skipped by candidate_import_action",TRIM(IF(A466="","missing proposed_name_key; ","")&amp;IF(AND(A466&lt;&gt;"",COUNTIF($A$6:$A$505,A466)&gt;1),"duplicate proposed_name_key; ","")&amp;IF(C466="","missing candidate_import_action; ","")&amp;IF(D466="","missing move_reason; ","")&amp;IF(I466="","missing branch_id; ","")&amp;IF(L466="","missing first_name; ","")&amp;IF(M466="","missing last_name; ","")&amp;IF(U466="","missing status; ","")&amp;IF(AND(B466&lt;&gt;"",COUNTIF('الزبائن'!$A$6:$A$505,B466)=0),"source key not found; ","")&amp;IF((COUNTIFS('أرقام التواصل'!$A$6:$A$505,"proposed_name",'أرقام التواصل'!$B$6:$B$505,A466,'أرقام التواصل'!$I$6:$I$505,"TRUE")+COUNTIFS('أرقام التواصل'!$A$6:$A$505,"proposed_name",'أرقام التواصل'!$B$6:$B$505,A466,'أرقام التواصل'!$C$6:$C$505,1))=0,"missing primary contact in أرقام التواصل; ","")&amp;IF(AND(W466="TRUE",X466=""),"duplicate_type required when duplicate_flag TRUE; ","")))))</x:f>
      </x:c>
    </x:row>
    <x:row r="467">
      <x:c r="A467" s="302"/>
      <x:c r="B467" s="252"/>
      <x:c r="C467" s="253"/>
      <x:c r="D467" s="253"/>
      <x:c r="E467" s="253"/>
      <x:c r="F467" s="252"/>
      <x:c r="G467" s="253"/>
      <x:c r="H467" s="272"/>
      <x:c r="I467" s="253"/>
      <x:c r="J467" s="253"/>
      <x:c r="K467" s="253"/>
      <x:c r="L467" s="253"/>
      <x:c r="M467" s="253"/>
      <x:c r="N467" s="253"/>
      <x:c r="O467" s="253" t="str">
        <x:f>IF(TRIM(L467&amp;" "&amp;M467&amp;IF(N467&lt;&gt;""," ("&amp;N467&amp;")",""))="","",TRIM(L467&amp;" "&amp;M467&amp;IF(N467&lt;&gt;""," ("&amp;N467&amp;")","")))</x:f>
      </x:c>
      <x:c r="P467" s="253"/>
      <x:c r="Q467" s="252"/>
      <x:c r="R467" s="253"/>
      <x:c r="S467" s="253"/>
      <x:c r="T467" s="253"/>
      <x:c r="U467" s="253"/>
      <x:c r="V467" s="253"/>
      <x:c r="W467" s="253"/>
      <x:c r="X467" s="253"/>
      <x:c r="Y467" s="252"/>
      <x:c r="Z467" s="252"/>
      <x:c r="AA467" s="253"/>
      <x:c r="AB467" s="253" t="str">
        <x:f>IF(B467="","",IFERROR(INDEX('الزبائن'!$BA$6:$BA$505,MATCH(B467,'الزبائن'!$A$6:$A$505,0)),"source key not found"))</x:f>
      </x:c>
      <x:c r="AC467" s="253" t="str">
        <x:f>IF(B467="","",IFERROR(INDEX('الزبائن'!$BB$6:$BB$505,MATCH(B467,'الزبائن'!$A$6:$A$505,0)),"source key not found"))</x:f>
      </x:c>
      <x:c r="AD467" s="253" t="str">
        <x:f>IF(AND(A467="",C467="",D467="",I467="",L467="",M467=""),"",IF(C467="skip","SKIP",IF(OR(A467="",C467="",D467="",I467="",L467="",M467="",U467="",COUNTIF($A$6:$A$505,A467)&gt;1,AND(B467&lt;&gt;"",COUNTIF('الزبائن'!$A$6:$A$505,B467)=0),(COUNTIFS('أرقام التواصل'!$A$6:$A$505,"proposed_name",'أرقام التواصل'!$B$6:$B$505,A467,'أرقام التواصل'!$I$6:$I$505,"TRUE")+COUNTIFS('أرقام التواصل'!$A$6:$A$505,"proposed_name",'أرقام التواصل'!$B$6:$B$505,A467,'أرقام التواصل'!$C$6:$C$505,1))=0,AND(W467="TRUE",X467="")),"REVIEW","READY")))</x:f>
      </x:c>
      <x:c r="AE467" s="255" t="str">
        <x:f>IF(AD467="","",IF(AD467="READY","",IF(AD467="SKIP","Skipped by candidate_import_action",TRIM(IF(A467="","missing proposed_name_key; ","")&amp;IF(AND(A467&lt;&gt;"",COUNTIF($A$6:$A$505,A467)&gt;1),"duplicate proposed_name_key; ","")&amp;IF(C467="","missing candidate_import_action; ","")&amp;IF(D467="","missing move_reason; ","")&amp;IF(I467="","missing branch_id; ","")&amp;IF(L467="","missing first_name; ","")&amp;IF(M467="","missing last_name; ","")&amp;IF(U467="","missing status; ","")&amp;IF(AND(B467&lt;&gt;"",COUNTIF('الزبائن'!$A$6:$A$505,B467)=0),"source key not found; ","")&amp;IF((COUNTIFS('أرقام التواصل'!$A$6:$A$505,"proposed_name",'أرقام التواصل'!$B$6:$B$505,A467,'أرقام التواصل'!$I$6:$I$505,"TRUE")+COUNTIFS('أرقام التواصل'!$A$6:$A$505,"proposed_name",'أرقام التواصل'!$B$6:$B$505,A467,'أرقام التواصل'!$C$6:$C$505,1))=0,"missing primary contact in أرقام التواصل; ","")&amp;IF(AND(W467="TRUE",X467=""),"duplicate_type required when duplicate_flag TRUE; ","")))))</x:f>
      </x:c>
    </x:row>
    <x:row r="468">
      <x:c r="A468" s="302"/>
      <x:c r="B468" s="252"/>
      <x:c r="C468" s="253"/>
      <x:c r="D468" s="253"/>
      <x:c r="E468" s="253"/>
      <x:c r="F468" s="252"/>
      <x:c r="G468" s="253"/>
      <x:c r="H468" s="272"/>
      <x:c r="I468" s="253"/>
      <x:c r="J468" s="253"/>
      <x:c r="K468" s="253"/>
      <x:c r="L468" s="253"/>
      <x:c r="M468" s="253"/>
      <x:c r="N468" s="253"/>
      <x:c r="O468" s="253" t="str">
        <x:f>IF(TRIM(L468&amp;" "&amp;M468&amp;IF(N468&lt;&gt;""," ("&amp;N468&amp;")",""))="","",TRIM(L468&amp;" "&amp;M468&amp;IF(N468&lt;&gt;""," ("&amp;N468&amp;")","")))</x:f>
      </x:c>
      <x:c r="P468" s="253"/>
      <x:c r="Q468" s="252"/>
      <x:c r="R468" s="253"/>
      <x:c r="S468" s="253"/>
      <x:c r="T468" s="253"/>
      <x:c r="U468" s="253"/>
      <x:c r="V468" s="253"/>
      <x:c r="W468" s="253"/>
      <x:c r="X468" s="253"/>
      <x:c r="Y468" s="252"/>
      <x:c r="Z468" s="252"/>
      <x:c r="AA468" s="253"/>
      <x:c r="AB468" s="253" t="str">
        <x:f>IF(B468="","",IFERROR(INDEX('الزبائن'!$BA$6:$BA$505,MATCH(B468,'الزبائن'!$A$6:$A$505,0)),"source key not found"))</x:f>
      </x:c>
      <x:c r="AC468" s="253" t="str">
        <x:f>IF(B468="","",IFERROR(INDEX('الزبائن'!$BB$6:$BB$505,MATCH(B468,'الزبائن'!$A$6:$A$505,0)),"source key not found"))</x:f>
      </x:c>
      <x:c r="AD468" s="253" t="str">
        <x:f>IF(AND(A468="",C468="",D468="",I468="",L468="",M468=""),"",IF(C468="skip","SKIP",IF(OR(A468="",C468="",D468="",I468="",L468="",M468="",U468="",COUNTIF($A$6:$A$505,A468)&gt;1,AND(B468&lt;&gt;"",COUNTIF('الزبائن'!$A$6:$A$505,B468)=0),(COUNTIFS('أرقام التواصل'!$A$6:$A$505,"proposed_name",'أرقام التواصل'!$B$6:$B$505,A468,'أرقام التواصل'!$I$6:$I$505,"TRUE")+COUNTIFS('أرقام التواصل'!$A$6:$A$505,"proposed_name",'أرقام التواصل'!$B$6:$B$505,A468,'أرقام التواصل'!$C$6:$C$505,1))=0,AND(W468="TRUE",X468="")),"REVIEW","READY")))</x:f>
      </x:c>
      <x:c r="AE468" s="255" t="str">
        <x:f>IF(AD468="","",IF(AD468="READY","",IF(AD468="SKIP","Skipped by candidate_import_action",TRIM(IF(A468="","missing proposed_name_key; ","")&amp;IF(AND(A468&lt;&gt;"",COUNTIF($A$6:$A$505,A468)&gt;1),"duplicate proposed_name_key; ","")&amp;IF(C468="","missing candidate_import_action; ","")&amp;IF(D468="","missing move_reason; ","")&amp;IF(I468="","missing branch_id; ","")&amp;IF(L468="","missing first_name; ","")&amp;IF(M468="","missing last_name; ","")&amp;IF(U468="","missing status; ","")&amp;IF(AND(B468&lt;&gt;"",COUNTIF('الزبائن'!$A$6:$A$505,B468)=0),"source key not found; ","")&amp;IF((COUNTIFS('أرقام التواصل'!$A$6:$A$505,"proposed_name",'أرقام التواصل'!$B$6:$B$505,A468,'أرقام التواصل'!$I$6:$I$505,"TRUE")+COUNTIFS('أرقام التواصل'!$A$6:$A$505,"proposed_name",'أرقام التواصل'!$B$6:$B$505,A468,'أرقام التواصل'!$C$6:$C$505,1))=0,"missing primary contact in أرقام التواصل; ","")&amp;IF(AND(W468="TRUE",X468=""),"duplicate_type required when duplicate_flag TRUE; ","")))))</x:f>
      </x:c>
    </x:row>
    <x:row r="469">
      <x:c r="A469" s="302"/>
      <x:c r="B469" s="252"/>
      <x:c r="C469" s="253"/>
      <x:c r="D469" s="253"/>
      <x:c r="E469" s="253"/>
      <x:c r="F469" s="252"/>
      <x:c r="G469" s="253"/>
      <x:c r="H469" s="272"/>
      <x:c r="I469" s="253"/>
      <x:c r="J469" s="253"/>
      <x:c r="K469" s="253"/>
      <x:c r="L469" s="253"/>
      <x:c r="M469" s="253"/>
      <x:c r="N469" s="253"/>
      <x:c r="O469" s="253" t="str">
        <x:f>IF(TRIM(L469&amp;" "&amp;M469&amp;IF(N469&lt;&gt;""," ("&amp;N469&amp;")",""))="","",TRIM(L469&amp;" "&amp;M469&amp;IF(N469&lt;&gt;""," ("&amp;N469&amp;")","")))</x:f>
      </x:c>
      <x:c r="P469" s="253"/>
      <x:c r="Q469" s="252"/>
      <x:c r="R469" s="253"/>
      <x:c r="S469" s="253"/>
      <x:c r="T469" s="253"/>
      <x:c r="U469" s="253"/>
      <x:c r="V469" s="253"/>
      <x:c r="W469" s="253"/>
      <x:c r="X469" s="253"/>
      <x:c r="Y469" s="252"/>
      <x:c r="Z469" s="252"/>
      <x:c r="AA469" s="253"/>
      <x:c r="AB469" s="253" t="str">
        <x:f>IF(B469="","",IFERROR(INDEX('الزبائن'!$BA$6:$BA$505,MATCH(B469,'الزبائن'!$A$6:$A$505,0)),"source key not found"))</x:f>
      </x:c>
      <x:c r="AC469" s="253" t="str">
        <x:f>IF(B469="","",IFERROR(INDEX('الزبائن'!$BB$6:$BB$505,MATCH(B469,'الزبائن'!$A$6:$A$505,0)),"source key not found"))</x:f>
      </x:c>
      <x:c r="AD469" s="253" t="str">
        <x:f>IF(AND(A469="",C469="",D469="",I469="",L469="",M469=""),"",IF(C469="skip","SKIP",IF(OR(A469="",C469="",D469="",I469="",L469="",M469="",U469="",COUNTIF($A$6:$A$505,A469)&gt;1,AND(B469&lt;&gt;"",COUNTIF('الزبائن'!$A$6:$A$505,B469)=0),(COUNTIFS('أرقام التواصل'!$A$6:$A$505,"proposed_name",'أرقام التواصل'!$B$6:$B$505,A469,'أرقام التواصل'!$I$6:$I$505,"TRUE")+COUNTIFS('أرقام التواصل'!$A$6:$A$505,"proposed_name",'أرقام التواصل'!$B$6:$B$505,A469,'أرقام التواصل'!$C$6:$C$505,1))=0,AND(W469="TRUE",X469="")),"REVIEW","READY")))</x:f>
      </x:c>
      <x:c r="AE469" s="255" t="str">
        <x:f>IF(AD469="","",IF(AD469="READY","",IF(AD469="SKIP","Skipped by candidate_import_action",TRIM(IF(A469="","missing proposed_name_key; ","")&amp;IF(AND(A469&lt;&gt;"",COUNTIF($A$6:$A$505,A469)&gt;1),"duplicate proposed_name_key; ","")&amp;IF(C469="","missing candidate_import_action; ","")&amp;IF(D469="","missing move_reason; ","")&amp;IF(I469="","missing branch_id; ","")&amp;IF(L469="","missing first_name; ","")&amp;IF(M469="","missing last_name; ","")&amp;IF(U469="","missing status; ","")&amp;IF(AND(B469&lt;&gt;"",COUNTIF('الزبائن'!$A$6:$A$505,B469)=0),"source key not found; ","")&amp;IF((COUNTIFS('أرقام التواصل'!$A$6:$A$505,"proposed_name",'أرقام التواصل'!$B$6:$B$505,A469,'أرقام التواصل'!$I$6:$I$505,"TRUE")+COUNTIFS('أرقام التواصل'!$A$6:$A$505,"proposed_name",'أرقام التواصل'!$B$6:$B$505,A469,'أرقام التواصل'!$C$6:$C$505,1))=0,"missing primary contact in أرقام التواصل; ","")&amp;IF(AND(W469="TRUE",X469=""),"duplicate_type required when duplicate_flag TRUE; ","")))))</x:f>
      </x:c>
    </x:row>
    <x:row r="470">
      <x:c r="A470" s="302"/>
      <x:c r="B470" s="252"/>
      <x:c r="C470" s="253"/>
      <x:c r="D470" s="253"/>
      <x:c r="E470" s="253"/>
      <x:c r="F470" s="252"/>
      <x:c r="G470" s="253"/>
      <x:c r="H470" s="272"/>
      <x:c r="I470" s="253"/>
      <x:c r="J470" s="253"/>
      <x:c r="K470" s="253"/>
      <x:c r="L470" s="253"/>
      <x:c r="M470" s="253"/>
      <x:c r="N470" s="253"/>
      <x:c r="O470" s="253" t="str">
        <x:f>IF(TRIM(L470&amp;" "&amp;M470&amp;IF(N470&lt;&gt;""," ("&amp;N470&amp;")",""))="","",TRIM(L470&amp;" "&amp;M470&amp;IF(N470&lt;&gt;""," ("&amp;N470&amp;")","")))</x:f>
      </x:c>
      <x:c r="P470" s="253"/>
      <x:c r="Q470" s="252"/>
      <x:c r="R470" s="253"/>
      <x:c r="S470" s="253"/>
      <x:c r="T470" s="253"/>
      <x:c r="U470" s="253"/>
      <x:c r="V470" s="253"/>
      <x:c r="W470" s="253"/>
      <x:c r="X470" s="253"/>
      <x:c r="Y470" s="252"/>
      <x:c r="Z470" s="252"/>
      <x:c r="AA470" s="253"/>
      <x:c r="AB470" s="253" t="str">
        <x:f>IF(B470="","",IFERROR(INDEX('الزبائن'!$BA$6:$BA$505,MATCH(B470,'الزبائن'!$A$6:$A$505,0)),"source key not found"))</x:f>
      </x:c>
      <x:c r="AC470" s="253" t="str">
        <x:f>IF(B470="","",IFERROR(INDEX('الزبائن'!$BB$6:$BB$505,MATCH(B470,'الزبائن'!$A$6:$A$505,0)),"source key not found"))</x:f>
      </x:c>
      <x:c r="AD470" s="253" t="str">
        <x:f>IF(AND(A470="",C470="",D470="",I470="",L470="",M470=""),"",IF(C470="skip","SKIP",IF(OR(A470="",C470="",D470="",I470="",L470="",M470="",U470="",COUNTIF($A$6:$A$505,A470)&gt;1,AND(B470&lt;&gt;"",COUNTIF('الزبائن'!$A$6:$A$505,B470)=0),(COUNTIFS('أرقام التواصل'!$A$6:$A$505,"proposed_name",'أرقام التواصل'!$B$6:$B$505,A470,'أرقام التواصل'!$I$6:$I$505,"TRUE")+COUNTIFS('أرقام التواصل'!$A$6:$A$505,"proposed_name",'أرقام التواصل'!$B$6:$B$505,A470,'أرقام التواصل'!$C$6:$C$505,1))=0,AND(W470="TRUE",X470="")),"REVIEW","READY")))</x:f>
      </x:c>
      <x:c r="AE470" s="255" t="str">
        <x:f>IF(AD470="","",IF(AD470="READY","",IF(AD470="SKIP","Skipped by candidate_import_action",TRIM(IF(A470="","missing proposed_name_key; ","")&amp;IF(AND(A470&lt;&gt;"",COUNTIF($A$6:$A$505,A470)&gt;1),"duplicate proposed_name_key; ","")&amp;IF(C470="","missing candidate_import_action; ","")&amp;IF(D470="","missing move_reason; ","")&amp;IF(I470="","missing branch_id; ","")&amp;IF(L470="","missing first_name; ","")&amp;IF(M470="","missing last_name; ","")&amp;IF(U470="","missing status; ","")&amp;IF(AND(B470&lt;&gt;"",COUNTIF('الزبائن'!$A$6:$A$505,B470)=0),"source key not found; ","")&amp;IF((COUNTIFS('أرقام التواصل'!$A$6:$A$505,"proposed_name",'أرقام التواصل'!$B$6:$B$505,A470,'أرقام التواصل'!$I$6:$I$505,"TRUE")+COUNTIFS('أرقام التواصل'!$A$6:$A$505,"proposed_name",'أرقام التواصل'!$B$6:$B$505,A470,'أرقام التواصل'!$C$6:$C$505,1))=0,"missing primary contact in أرقام التواصل; ","")&amp;IF(AND(W470="TRUE",X470=""),"duplicate_type required when duplicate_flag TRUE; ","")))))</x:f>
      </x:c>
    </x:row>
    <x:row r="471">
      <x:c r="A471" s="302"/>
      <x:c r="B471" s="252"/>
      <x:c r="C471" s="253"/>
      <x:c r="D471" s="253"/>
      <x:c r="E471" s="253"/>
      <x:c r="F471" s="252"/>
      <x:c r="G471" s="253"/>
      <x:c r="H471" s="272"/>
      <x:c r="I471" s="253"/>
      <x:c r="J471" s="253"/>
      <x:c r="K471" s="253"/>
      <x:c r="L471" s="253"/>
      <x:c r="M471" s="253"/>
      <x:c r="N471" s="253"/>
      <x:c r="O471" s="253" t="str">
        <x:f>IF(TRIM(L471&amp;" "&amp;M471&amp;IF(N471&lt;&gt;""," ("&amp;N471&amp;")",""))="","",TRIM(L471&amp;" "&amp;M471&amp;IF(N471&lt;&gt;""," ("&amp;N471&amp;")","")))</x:f>
      </x:c>
      <x:c r="P471" s="253"/>
      <x:c r="Q471" s="252"/>
      <x:c r="R471" s="253"/>
      <x:c r="S471" s="253"/>
      <x:c r="T471" s="253"/>
      <x:c r="U471" s="253"/>
      <x:c r="V471" s="253"/>
      <x:c r="W471" s="253"/>
      <x:c r="X471" s="253"/>
      <x:c r="Y471" s="252"/>
      <x:c r="Z471" s="252"/>
      <x:c r="AA471" s="253"/>
      <x:c r="AB471" s="253" t="str">
        <x:f>IF(B471="","",IFERROR(INDEX('الزبائن'!$BA$6:$BA$505,MATCH(B471,'الزبائن'!$A$6:$A$505,0)),"source key not found"))</x:f>
      </x:c>
      <x:c r="AC471" s="253" t="str">
        <x:f>IF(B471="","",IFERROR(INDEX('الزبائن'!$BB$6:$BB$505,MATCH(B471,'الزبائن'!$A$6:$A$505,0)),"source key not found"))</x:f>
      </x:c>
      <x:c r="AD471" s="253" t="str">
        <x:f>IF(AND(A471="",C471="",D471="",I471="",L471="",M471=""),"",IF(C471="skip","SKIP",IF(OR(A471="",C471="",D471="",I471="",L471="",M471="",U471="",COUNTIF($A$6:$A$505,A471)&gt;1,AND(B471&lt;&gt;"",COUNTIF('الزبائن'!$A$6:$A$505,B471)=0),(COUNTIFS('أرقام التواصل'!$A$6:$A$505,"proposed_name",'أرقام التواصل'!$B$6:$B$505,A471,'أرقام التواصل'!$I$6:$I$505,"TRUE")+COUNTIFS('أرقام التواصل'!$A$6:$A$505,"proposed_name",'أرقام التواصل'!$B$6:$B$505,A471,'أرقام التواصل'!$C$6:$C$505,1))=0,AND(W471="TRUE",X471="")),"REVIEW","READY")))</x:f>
      </x:c>
      <x:c r="AE471" s="255" t="str">
        <x:f>IF(AD471="","",IF(AD471="READY","",IF(AD471="SKIP","Skipped by candidate_import_action",TRIM(IF(A471="","missing proposed_name_key; ","")&amp;IF(AND(A471&lt;&gt;"",COUNTIF($A$6:$A$505,A471)&gt;1),"duplicate proposed_name_key; ","")&amp;IF(C471="","missing candidate_import_action; ","")&amp;IF(D471="","missing move_reason; ","")&amp;IF(I471="","missing branch_id; ","")&amp;IF(L471="","missing first_name; ","")&amp;IF(M471="","missing last_name; ","")&amp;IF(U471="","missing status; ","")&amp;IF(AND(B471&lt;&gt;"",COUNTIF('الزبائن'!$A$6:$A$505,B471)=0),"source key not found; ","")&amp;IF((COUNTIFS('أرقام التواصل'!$A$6:$A$505,"proposed_name",'أرقام التواصل'!$B$6:$B$505,A471,'أرقام التواصل'!$I$6:$I$505,"TRUE")+COUNTIFS('أرقام التواصل'!$A$6:$A$505,"proposed_name",'أرقام التواصل'!$B$6:$B$505,A471,'أرقام التواصل'!$C$6:$C$505,1))=0,"missing primary contact in أرقام التواصل; ","")&amp;IF(AND(W471="TRUE",X471=""),"duplicate_type required when duplicate_flag TRUE; ","")))))</x:f>
      </x:c>
    </x:row>
    <x:row r="472">
      <x:c r="A472" s="302"/>
      <x:c r="B472" s="252"/>
      <x:c r="C472" s="253"/>
      <x:c r="D472" s="253"/>
      <x:c r="E472" s="253"/>
      <x:c r="F472" s="252"/>
      <x:c r="G472" s="253"/>
      <x:c r="H472" s="272"/>
      <x:c r="I472" s="253"/>
      <x:c r="J472" s="253"/>
      <x:c r="K472" s="253"/>
      <x:c r="L472" s="253"/>
      <x:c r="M472" s="253"/>
      <x:c r="N472" s="253"/>
      <x:c r="O472" s="253" t="str">
        <x:f>IF(TRIM(L472&amp;" "&amp;M472&amp;IF(N472&lt;&gt;""," ("&amp;N472&amp;")",""))="","",TRIM(L472&amp;" "&amp;M472&amp;IF(N472&lt;&gt;""," ("&amp;N472&amp;")","")))</x:f>
      </x:c>
      <x:c r="P472" s="253"/>
      <x:c r="Q472" s="252"/>
      <x:c r="R472" s="253"/>
      <x:c r="S472" s="253"/>
      <x:c r="T472" s="253"/>
      <x:c r="U472" s="253"/>
      <x:c r="V472" s="253"/>
      <x:c r="W472" s="253"/>
      <x:c r="X472" s="253"/>
      <x:c r="Y472" s="252"/>
      <x:c r="Z472" s="252"/>
      <x:c r="AA472" s="253"/>
      <x:c r="AB472" s="253" t="str">
        <x:f>IF(B472="","",IFERROR(INDEX('الزبائن'!$BA$6:$BA$505,MATCH(B472,'الزبائن'!$A$6:$A$505,0)),"source key not found"))</x:f>
      </x:c>
      <x:c r="AC472" s="253" t="str">
        <x:f>IF(B472="","",IFERROR(INDEX('الزبائن'!$BB$6:$BB$505,MATCH(B472,'الزبائن'!$A$6:$A$505,0)),"source key not found"))</x:f>
      </x:c>
      <x:c r="AD472" s="253" t="str">
        <x:f>IF(AND(A472="",C472="",D472="",I472="",L472="",M472=""),"",IF(C472="skip","SKIP",IF(OR(A472="",C472="",D472="",I472="",L472="",M472="",U472="",COUNTIF($A$6:$A$505,A472)&gt;1,AND(B472&lt;&gt;"",COUNTIF('الزبائن'!$A$6:$A$505,B472)=0),(COUNTIFS('أرقام التواصل'!$A$6:$A$505,"proposed_name",'أرقام التواصل'!$B$6:$B$505,A472,'أرقام التواصل'!$I$6:$I$505,"TRUE")+COUNTIFS('أرقام التواصل'!$A$6:$A$505,"proposed_name",'أرقام التواصل'!$B$6:$B$505,A472,'أرقام التواصل'!$C$6:$C$505,1))=0,AND(W472="TRUE",X472="")),"REVIEW","READY")))</x:f>
      </x:c>
      <x:c r="AE472" s="255" t="str">
        <x:f>IF(AD472="","",IF(AD472="READY","",IF(AD472="SKIP","Skipped by candidate_import_action",TRIM(IF(A472="","missing proposed_name_key; ","")&amp;IF(AND(A472&lt;&gt;"",COUNTIF($A$6:$A$505,A472)&gt;1),"duplicate proposed_name_key; ","")&amp;IF(C472="","missing candidate_import_action; ","")&amp;IF(D472="","missing move_reason; ","")&amp;IF(I472="","missing branch_id; ","")&amp;IF(L472="","missing first_name; ","")&amp;IF(M472="","missing last_name; ","")&amp;IF(U472="","missing status; ","")&amp;IF(AND(B472&lt;&gt;"",COUNTIF('الزبائن'!$A$6:$A$505,B472)=0),"source key not found; ","")&amp;IF((COUNTIFS('أرقام التواصل'!$A$6:$A$505,"proposed_name",'أرقام التواصل'!$B$6:$B$505,A472,'أرقام التواصل'!$I$6:$I$505,"TRUE")+COUNTIFS('أرقام التواصل'!$A$6:$A$505,"proposed_name",'أرقام التواصل'!$B$6:$B$505,A472,'أرقام التواصل'!$C$6:$C$505,1))=0,"missing primary contact in أرقام التواصل; ","")&amp;IF(AND(W472="TRUE",X472=""),"duplicate_type required when duplicate_flag TRUE; ","")))))</x:f>
      </x:c>
    </x:row>
    <x:row r="473">
      <x:c r="A473" s="302"/>
      <x:c r="B473" s="252"/>
      <x:c r="C473" s="253"/>
      <x:c r="D473" s="253"/>
      <x:c r="E473" s="253"/>
      <x:c r="F473" s="252"/>
      <x:c r="G473" s="253"/>
      <x:c r="H473" s="272"/>
      <x:c r="I473" s="253"/>
      <x:c r="J473" s="253"/>
      <x:c r="K473" s="253"/>
      <x:c r="L473" s="253"/>
      <x:c r="M473" s="253"/>
      <x:c r="N473" s="253"/>
      <x:c r="O473" s="253" t="str">
        <x:f>IF(TRIM(L473&amp;" "&amp;M473&amp;IF(N473&lt;&gt;""," ("&amp;N473&amp;")",""))="","",TRIM(L473&amp;" "&amp;M473&amp;IF(N473&lt;&gt;""," ("&amp;N473&amp;")","")))</x:f>
      </x:c>
      <x:c r="P473" s="253"/>
      <x:c r="Q473" s="252"/>
      <x:c r="R473" s="253"/>
      <x:c r="S473" s="253"/>
      <x:c r="T473" s="253"/>
      <x:c r="U473" s="253"/>
      <x:c r="V473" s="253"/>
      <x:c r="W473" s="253"/>
      <x:c r="X473" s="253"/>
      <x:c r="Y473" s="252"/>
      <x:c r="Z473" s="252"/>
      <x:c r="AA473" s="253"/>
      <x:c r="AB473" s="253" t="str">
        <x:f>IF(B473="","",IFERROR(INDEX('الزبائن'!$BA$6:$BA$505,MATCH(B473,'الزبائن'!$A$6:$A$505,0)),"source key not found"))</x:f>
      </x:c>
      <x:c r="AC473" s="253" t="str">
        <x:f>IF(B473="","",IFERROR(INDEX('الزبائن'!$BB$6:$BB$505,MATCH(B473,'الزبائن'!$A$6:$A$505,0)),"source key not found"))</x:f>
      </x:c>
      <x:c r="AD473" s="253" t="str">
        <x:f>IF(AND(A473="",C473="",D473="",I473="",L473="",M473=""),"",IF(C473="skip","SKIP",IF(OR(A473="",C473="",D473="",I473="",L473="",M473="",U473="",COUNTIF($A$6:$A$505,A473)&gt;1,AND(B473&lt;&gt;"",COUNTIF('الزبائن'!$A$6:$A$505,B473)=0),(COUNTIFS('أرقام التواصل'!$A$6:$A$505,"proposed_name",'أرقام التواصل'!$B$6:$B$505,A473,'أرقام التواصل'!$I$6:$I$505,"TRUE")+COUNTIFS('أرقام التواصل'!$A$6:$A$505,"proposed_name",'أرقام التواصل'!$B$6:$B$505,A473,'أرقام التواصل'!$C$6:$C$505,1))=0,AND(W473="TRUE",X473="")),"REVIEW","READY")))</x:f>
      </x:c>
      <x:c r="AE473" s="255" t="str">
        <x:f>IF(AD473="","",IF(AD473="READY","",IF(AD473="SKIP","Skipped by candidate_import_action",TRIM(IF(A473="","missing proposed_name_key; ","")&amp;IF(AND(A473&lt;&gt;"",COUNTIF($A$6:$A$505,A473)&gt;1),"duplicate proposed_name_key; ","")&amp;IF(C473="","missing candidate_import_action; ","")&amp;IF(D473="","missing move_reason; ","")&amp;IF(I473="","missing branch_id; ","")&amp;IF(L473="","missing first_name; ","")&amp;IF(M473="","missing last_name; ","")&amp;IF(U473="","missing status; ","")&amp;IF(AND(B473&lt;&gt;"",COUNTIF('الزبائن'!$A$6:$A$505,B473)=0),"source key not found; ","")&amp;IF((COUNTIFS('أرقام التواصل'!$A$6:$A$505,"proposed_name",'أرقام التواصل'!$B$6:$B$505,A473,'أرقام التواصل'!$I$6:$I$505,"TRUE")+COUNTIFS('أرقام التواصل'!$A$6:$A$505,"proposed_name",'أرقام التواصل'!$B$6:$B$505,A473,'أرقام التواصل'!$C$6:$C$505,1))=0,"missing primary contact in أرقام التواصل; ","")&amp;IF(AND(W473="TRUE",X473=""),"duplicate_type required when duplicate_flag TRUE; ","")))))</x:f>
      </x:c>
    </x:row>
    <x:row r="474">
      <x:c r="A474" s="302"/>
      <x:c r="B474" s="252"/>
      <x:c r="C474" s="253"/>
      <x:c r="D474" s="253"/>
      <x:c r="E474" s="253"/>
      <x:c r="F474" s="252"/>
      <x:c r="G474" s="253"/>
      <x:c r="H474" s="272"/>
      <x:c r="I474" s="253"/>
      <x:c r="J474" s="253"/>
      <x:c r="K474" s="253"/>
      <x:c r="L474" s="253"/>
      <x:c r="M474" s="253"/>
      <x:c r="N474" s="253"/>
      <x:c r="O474" s="253" t="str">
        <x:f>IF(TRIM(L474&amp;" "&amp;M474&amp;IF(N474&lt;&gt;""," ("&amp;N474&amp;")",""))="","",TRIM(L474&amp;" "&amp;M474&amp;IF(N474&lt;&gt;""," ("&amp;N474&amp;")","")))</x:f>
      </x:c>
      <x:c r="P474" s="253"/>
      <x:c r="Q474" s="252"/>
      <x:c r="R474" s="253"/>
      <x:c r="S474" s="253"/>
      <x:c r="T474" s="253"/>
      <x:c r="U474" s="253"/>
      <x:c r="V474" s="253"/>
      <x:c r="W474" s="253"/>
      <x:c r="X474" s="253"/>
      <x:c r="Y474" s="252"/>
      <x:c r="Z474" s="252"/>
      <x:c r="AA474" s="253"/>
      <x:c r="AB474" s="253" t="str">
        <x:f>IF(B474="","",IFERROR(INDEX('الزبائن'!$BA$6:$BA$505,MATCH(B474,'الزبائن'!$A$6:$A$505,0)),"source key not found"))</x:f>
      </x:c>
      <x:c r="AC474" s="253" t="str">
        <x:f>IF(B474="","",IFERROR(INDEX('الزبائن'!$BB$6:$BB$505,MATCH(B474,'الزبائن'!$A$6:$A$505,0)),"source key not found"))</x:f>
      </x:c>
      <x:c r="AD474" s="253" t="str">
        <x:f>IF(AND(A474="",C474="",D474="",I474="",L474="",M474=""),"",IF(C474="skip","SKIP",IF(OR(A474="",C474="",D474="",I474="",L474="",M474="",U474="",COUNTIF($A$6:$A$505,A474)&gt;1,AND(B474&lt;&gt;"",COUNTIF('الزبائن'!$A$6:$A$505,B474)=0),(COUNTIFS('أرقام التواصل'!$A$6:$A$505,"proposed_name",'أرقام التواصل'!$B$6:$B$505,A474,'أرقام التواصل'!$I$6:$I$505,"TRUE")+COUNTIFS('أرقام التواصل'!$A$6:$A$505,"proposed_name",'أرقام التواصل'!$B$6:$B$505,A474,'أرقام التواصل'!$C$6:$C$505,1))=0,AND(W474="TRUE",X474="")),"REVIEW","READY")))</x:f>
      </x:c>
      <x:c r="AE474" s="255" t="str">
        <x:f>IF(AD474="","",IF(AD474="READY","",IF(AD474="SKIP","Skipped by candidate_import_action",TRIM(IF(A474="","missing proposed_name_key; ","")&amp;IF(AND(A474&lt;&gt;"",COUNTIF($A$6:$A$505,A474)&gt;1),"duplicate proposed_name_key; ","")&amp;IF(C474="","missing candidate_import_action; ","")&amp;IF(D474="","missing move_reason; ","")&amp;IF(I474="","missing branch_id; ","")&amp;IF(L474="","missing first_name; ","")&amp;IF(M474="","missing last_name; ","")&amp;IF(U474="","missing status; ","")&amp;IF(AND(B474&lt;&gt;"",COUNTIF('الزبائن'!$A$6:$A$505,B474)=0),"source key not found; ","")&amp;IF((COUNTIFS('أرقام التواصل'!$A$6:$A$505,"proposed_name",'أرقام التواصل'!$B$6:$B$505,A474,'أرقام التواصل'!$I$6:$I$505,"TRUE")+COUNTIFS('أرقام التواصل'!$A$6:$A$505,"proposed_name",'أرقام التواصل'!$B$6:$B$505,A474,'أرقام التواصل'!$C$6:$C$505,1))=0,"missing primary contact in أرقام التواصل; ","")&amp;IF(AND(W474="TRUE",X474=""),"duplicate_type required when duplicate_flag TRUE; ","")))))</x:f>
      </x:c>
    </x:row>
    <x:row r="475">
      <x:c r="A475" s="302"/>
      <x:c r="B475" s="252"/>
      <x:c r="C475" s="253"/>
      <x:c r="D475" s="253"/>
      <x:c r="E475" s="253"/>
      <x:c r="F475" s="252"/>
      <x:c r="G475" s="253"/>
      <x:c r="H475" s="272"/>
      <x:c r="I475" s="253"/>
      <x:c r="J475" s="253"/>
      <x:c r="K475" s="253"/>
      <x:c r="L475" s="253"/>
      <x:c r="M475" s="253"/>
      <x:c r="N475" s="253"/>
      <x:c r="O475" s="253" t="str">
        <x:f>IF(TRIM(L475&amp;" "&amp;M475&amp;IF(N475&lt;&gt;""," ("&amp;N475&amp;")",""))="","",TRIM(L475&amp;" "&amp;M475&amp;IF(N475&lt;&gt;""," ("&amp;N475&amp;")","")))</x:f>
      </x:c>
      <x:c r="P475" s="253"/>
      <x:c r="Q475" s="252"/>
      <x:c r="R475" s="253"/>
      <x:c r="S475" s="253"/>
      <x:c r="T475" s="253"/>
      <x:c r="U475" s="253"/>
      <x:c r="V475" s="253"/>
      <x:c r="W475" s="253"/>
      <x:c r="X475" s="253"/>
      <x:c r="Y475" s="252"/>
      <x:c r="Z475" s="252"/>
      <x:c r="AA475" s="253"/>
      <x:c r="AB475" s="253" t="str">
        <x:f>IF(B475="","",IFERROR(INDEX('الزبائن'!$BA$6:$BA$505,MATCH(B475,'الزبائن'!$A$6:$A$505,0)),"source key not found"))</x:f>
      </x:c>
      <x:c r="AC475" s="253" t="str">
        <x:f>IF(B475="","",IFERROR(INDEX('الزبائن'!$BB$6:$BB$505,MATCH(B475,'الزبائن'!$A$6:$A$505,0)),"source key not found"))</x:f>
      </x:c>
      <x:c r="AD475" s="253" t="str">
        <x:f>IF(AND(A475="",C475="",D475="",I475="",L475="",M475=""),"",IF(C475="skip","SKIP",IF(OR(A475="",C475="",D475="",I475="",L475="",M475="",U475="",COUNTIF($A$6:$A$505,A475)&gt;1,AND(B475&lt;&gt;"",COUNTIF('الزبائن'!$A$6:$A$505,B475)=0),(COUNTIFS('أرقام التواصل'!$A$6:$A$505,"proposed_name",'أرقام التواصل'!$B$6:$B$505,A475,'أرقام التواصل'!$I$6:$I$505,"TRUE")+COUNTIFS('أرقام التواصل'!$A$6:$A$505,"proposed_name",'أرقام التواصل'!$B$6:$B$505,A475,'أرقام التواصل'!$C$6:$C$505,1))=0,AND(W475="TRUE",X475="")),"REVIEW","READY")))</x:f>
      </x:c>
      <x:c r="AE475" s="255" t="str">
        <x:f>IF(AD475="","",IF(AD475="READY","",IF(AD475="SKIP","Skipped by candidate_import_action",TRIM(IF(A475="","missing proposed_name_key; ","")&amp;IF(AND(A475&lt;&gt;"",COUNTIF($A$6:$A$505,A475)&gt;1),"duplicate proposed_name_key; ","")&amp;IF(C475="","missing candidate_import_action; ","")&amp;IF(D475="","missing move_reason; ","")&amp;IF(I475="","missing branch_id; ","")&amp;IF(L475="","missing first_name; ","")&amp;IF(M475="","missing last_name; ","")&amp;IF(U475="","missing status; ","")&amp;IF(AND(B475&lt;&gt;"",COUNTIF('الزبائن'!$A$6:$A$505,B475)=0),"source key not found; ","")&amp;IF((COUNTIFS('أرقام التواصل'!$A$6:$A$505,"proposed_name",'أرقام التواصل'!$B$6:$B$505,A475,'أرقام التواصل'!$I$6:$I$505,"TRUE")+COUNTIFS('أرقام التواصل'!$A$6:$A$505,"proposed_name",'أرقام التواصل'!$B$6:$B$505,A475,'أرقام التواصل'!$C$6:$C$505,1))=0,"missing primary contact in أرقام التواصل; ","")&amp;IF(AND(W475="TRUE",X475=""),"duplicate_type required when duplicate_flag TRUE; ","")))))</x:f>
      </x:c>
    </x:row>
    <x:row r="476">
      <x:c r="A476" s="302"/>
      <x:c r="B476" s="252"/>
      <x:c r="C476" s="253"/>
      <x:c r="D476" s="253"/>
      <x:c r="E476" s="253"/>
      <x:c r="F476" s="252"/>
      <x:c r="G476" s="253"/>
      <x:c r="H476" s="272"/>
      <x:c r="I476" s="253"/>
      <x:c r="J476" s="253"/>
      <x:c r="K476" s="253"/>
      <x:c r="L476" s="253"/>
      <x:c r="M476" s="253"/>
      <x:c r="N476" s="253"/>
      <x:c r="O476" s="253" t="str">
        <x:f>IF(TRIM(L476&amp;" "&amp;M476&amp;IF(N476&lt;&gt;""," ("&amp;N476&amp;")",""))="","",TRIM(L476&amp;" "&amp;M476&amp;IF(N476&lt;&gt;""," ("&amp;N476&amp;")","")))</x:f>
      </x:c>
      <x:c r="P476" s="253"/>
      <x:c r="Q476" s="252"/>
      <x:c r="R476" s="253"/>
      <x:c r="S476" s="253"/>
      <x:c r="T476" s="253"/>
      <x:c r="U476" s="253"/>
      <x:c r="V476" s="253"/>
      <x:c r="W476" s="253"/>
      <x:c r="X476" s="253"/>
      <x:c r="Y476" s="252"/>
      <x:c r="Z476" s="252"/>
      <x:c r="AA476" s="253"/>
      <x:c r="AB476" s="253" t="str">
        <x:f>IF(B476="","",IFERROR(INDEX('الزبائن'!$BA$6:$BA$505,MATCH(B476,'الزبائن'!$A$6:$A$505,0)),"source key not found"))</x:f>
      </x:c>
      <x:c r="AC476" s="253" t="str">
        <x:f>IF(B476="","",IFERROR(INDEX('الزبائن'!$BB$6:$BB$505,MATCH(B476,'الزبائن'!$A$6:$A$505,0)),"source key not found"))</x:f>
      </x:c>
      <x:c r="AD476" s="253" t="str">
        <x:f>IF(AND(A476="",C476="",D476="",I476="",L476="",M476=""),"",IF(C476="skip","SKIP",IF(OR(A476="",C476="",D476="",I476="",L476="",M476="",U476="",COUNTIF($A$6:$A$505,A476)&gt;1,AND(B476&lt;&gt;"",COUNTIF('الزبائن'!$A$6:$A$505,B476)=0),(COUNTIFS('أرقام التواصل'!$A$6:$A$505,"proposed_name",'أرقام التواصل'!$B$6:$B$505,A476,'أرقام التواصل'!$I$6:$I$505,"TRUE")+COUNTIFS('أرقام التواصل'!$A$6:$A$505,"proposed_name",'أرقام التواصل'!$B$6:$B$505,A476,'أرقام التواصل'!$C$6:$C$505,1))=0,AND(W476="TRUE",X476="")),"REVIEW","READY")))</x:f>
      </x:c>
      <x:c r="AE476" s="255" t="str">
        <x:f>IF(AD476="","",IF(AD476="READY","",IF(AD476="SKIP","Skipped by candidate_import_action",TRIM(IF(A476="","missing proposed_name_key; ","")&amp;IF(AND(A476&lt;&gt;"",COUNTIF($A$6:$A$505,A476)&gt;1),"duplicate proposed_name_key; ","")&amp;IF(C476="","missing candidate_import_action; ","")&amp;IF(D476="","missing move_reason; ","")&amp;IF(I476="","missing branch_id; ","")&amp;IF(L476="","missing first_name; ","")&amp;IF(M476="","missing last_name; ","")&amp;IF(U476="","missing status; ","")&amp;IF(AND(B476&lt;&gt;"",COUNTIF('الزبائن'!$A$6:$A$505,B476)=0),"source key not found; ","")&amp;IF((COUNTIFS('أرقام التواصل'!$A$6:$A$505,"proposed_name",'أرقام التواصل'!$B$6:$B$505,A476,'أرقام التواصل'!$I$6:$I$505,"TRUE")+COUNTIFS('أرقام التواصل'!$A$6:$A$505,"proposed_name",'أرقام التواصل'!$B$6:$B$505,A476,'أرقام التواصل'!$C$6:$C$505,1))=0,"missing primary contact in أرقام التواصل; ","")&amp;IF(AND(W476="TRUE",X476=""),"duplicate_type required when duplicate_flag TRUE; ","")))))</x:f>
      </x:c>
    </x:row>
    <x:row r="477">
      <x:c r="A477" s="302"/>
      <x:c r="B477" s="252"/>
      <x:c r="C477" s="253"/>
      <x:c r="D477" s="253"/>
      <x:c r="E477" s="253"/>
      <x:c r="F477" s="252"/>
      <x:c r="G477" s="253"/>
      <x:c r="H477" s="272"/>
      <x:c r="I477" s="253"/>
      <x:c r="J477" s="253"/>
      <x:c r="K477" s="253"/>
      <x:c r="L477" s="253"/>
      <x:c r="M477" s="253"/>
      <x:c r="N477" s="253"/>
      <x:c r="O477" s="253" t="str">
        <x:f>IF(TRIM(L477&amp;" "&amp;M477&amp;IF(N477&lt;&gt;""," ("&amp;N477&amp;")",""))="","",TRIM(L477&amp;" "&amp;M477&amp;IF(N477&lt;&gt;""," ("&amp;N477&amp;")","")))</x:f>
      </x:c>
      <x:c r="P477" s="253"/>
      <x:c r="Q477" s="252"/>
      <x:c r="R477" s="253"/>
      <x:c r="S477" s="253"/>
      <x:c r="T477" s="253"/>
      <x:c r="U477" s="253"/>
      <x:c r="V477" s="253"/>
      <x:c r="W477" s="253"/>
      <x:c r="X477" s="253"/>
      <x:c r="Y477" s="252"/>
      <x:c r="Z477" s="252"/>
      <x:c r="AA477" s="253"/>
      <x:c r="AB477" s="253" t="str">
        <x:f>IF(B477="","",IFERROR(INDEX('الزبائن'!$BA$6:$BA$505,MATCH(B477,'الزبائن'!$A$6:$A$505,0)),"source key not found"))</x:f>
      </x:c>
      <x:c r="AC477" s="253" t="str">
        <x:f>IF(B477="","",IFERROR(INDEX('الزبائن'!$BB$6:$BB$505,MATCH(B477,'الزبائن'!$A$6:$A$505,0)),"source key not found"))</x:f>
      </x:c>
      <x:c r="AD477" s="253" t="str">
        <x:f>IF(AND(A477="",C477="",D477="",I477="",L477="",M477=""),"",IF(C477="skip","SKIP",IF(OR(A477="",C477="",D477="",I477="",L477="",M477="",U477="",COUNTIF($A$6:$A$505,A477)&gt;1,AND(B477&lt;&gt;"",COUNTIF('الزبائن'!$A$6:$A$505,B477)=0),(COUNTIFS('أرقام التواصل'!$A$6:$A$505,"proposed_name",'أرقام التواصل'!$B$6:$B$505,A477,'أرقام التواصل'!$I$6:$I$505,"TRUE")+COUNTIFS('أرقام التواصل'!$A$6:$A$505,"proposed_name",'أرقام التواصل'!$B$6:$B$505,A477,'أرقام التواصل'!$C$6:$C$505,1))=0,AND(W477="TRUE",X477="")),"REVIEW","READY")))</x:f>
      </x:c>
      <x:c r="AE477" s="255" t="str">
        <x:f>IF(AD477="","",IF(AD477="READY","",IF(AD477="SKIP","Skipped by candidate_import_action",TRIM(IF(A477="","missing proposed_name_key; ","")&amp;IF(AND(A477&lt;&gt;"",COUNTIF($A$6:$A$505,A477)&gt;1),"duplicate proposed_name_key; ","")&amp;IF(C477="","missing candidate_import_action; ","")&amp;IF(D477="","missing move_reason; ","")&amp;IF(I477="","missing branch_id; ","")&amp;IF(L477="","missing first_name; ","")&amp;IF(M477="","missing last_name; ","")&amp;IF(U477="","missing status; ","")&amp;IF(AND(B477&lt;&gt;"",COUNTIF('الزبائن'!$A$6:$A$505,B477)=0),"source key not found; ","")&amp;IF((COUNTIFS('أرقام التواصل'!$A$6:$A$505,"proposed_name",'أرقام التواصل'!$B$6:$B$505,A477,'أرقام التواصل'!$I$6:$I$505,"TRUE")+COUNTIFS('أرقام التواصل'!$A$6:$A$505,"proposed_name",'أرقام التواصل'!$B$6:$B$505,A477,'أرقام التواصل'!$C$6:$C$505,1))=0,"missing primary contact in أرقام التواصل; ","")&amp;IF(AND(W477="TRUE",X477=""),"duplicate_type required when duplicate_flag TRUE; ","")))))</x:f>
      </x:c>
    </x:row>
    <x:row r="478">
      <x:c r="A478" s="302"/>
      <x:c r="B478" s="252"/>
      <x:c r="C478" s="253"/>
      <x:c r="D478" s="253"/>
      <x:c r="E478" s="253"/>
      <x:c r="F478" s="252"/>
      <x:c r="G478" s="253"/>
      <x:c r="H478" s="272"/>
      <x:c r="I478" s="253"/>
      <x:c r="J478" s="253"/>
      <x:c r="K478" s="253"/>
      <x:c r="L478" s="253"/>
      <x:c r="M478" s="253"/>
      <x:c r="N478" s="253"/>
      <x:c r="O478" s="253" t="str">
        <x:f>IF(TRIM(L478&amp;" "&amp;M478&amp;IF(N478&lt;&gt;""," ("&amp;N478&amp;")",""))="","",TRIM(L478&amp;" "&amp;M478&amp;IF(N478&lt;&gt;""," ("&amp;N478&amp;")","")))</x:f>
      </x:c>
      <x:c r="P478" s="253"/>
      <x:c r="Q478" s="252"/>
      <x:c r="R478" s="253"/>
      <x:c r="S478" s="253"/>
      <x:c r="T478" s="253"/>
      <x:c r="U478" s="253"/>
      <x:c r="V478" s="253"/>
      <x:c r="W478" s="253"/>
      <x:c r="X478" s="253"/>
      <x:c r="Y478" s="252"/>
      <x:c r="Z478" s="252"/>
      <x:c r="AA478" s="253"/>
      <x:c r="AB478" s="253" t="str">
        <x:f>IF(B478="","",IFERROR(INDEX('الزبائن'!$BA$6:$BA$505,MATCH(B478,'الزبائن'!$A$6:$A$505,0)),"source key not found"))</x:f>
      </x:c>
      <x:c r="AC478" s="253" t="str">
        <x:f>IF(B478="","",IFERROR(INDEX('الزبائن'!$BB$6:$BB$505,MATCH(B478,'الزبائن'!$A$6:$A$505,0)),"source key not found"))</x:f>
      </x:c>
      <x:c r="AD478" s="253" t="str">
        <x:f>IF(AND(A478="",C478="",D478="",I478="",L478="",M478=""),"",IF(C478="skip","SKIP",IF(OR(A478="",C478="",D478="",I478="",L478="",M478="",U478="",COUNTIF($A$6:$A$505,A478)&gt;1,AND(B478&lt;&gt;"",COUNTIF('الزبائن'!$A$6:$A$505,B478)=0),(COUNTIFS('أرقام التواصل'!$A$6:$A$505,"proposed_name",'أرقام التواصل'!$B$6:$B$505,A478,'أرقام التواصل'!$I$6:$I$505,"TRUE")+COUNTIFS('أرقام التواصل'!$A$6:$A$505,"proposed_name",'أرقام التواصل'!$B$6:$B$505,A478,'أرقام التواصل'!$C$6:$C$505,1))=0,AND(W478="TRUE",X478="")),"REVIEW","READY")))</x:f>
      </x:c>
      <x:c r="AE478" s="255" t="str">
        <x:f>IF(AD478="","",IF(AD478="READY","",IF(AD478="SKIP","Skipped by candidate_import_action",TRIM(IF(A478="","missing proposed_name_key; ","")&amp;IF(AND(A478&lt;&gt;"",COUNTIF($A$6:$A$505,A478)&gt;1),"duplicate proposed_name_key; ","")&amp;IF(C478="","missing candidate_import_action; ","")&amp;IF(D478="","missing move_reason; ","")&amp;IF(I478="","missing branch_id; ","")&amp;IF(L478="","missing first_name; ","")&amp;IF(M478="","missing last_name; ","")&amp;IF(U478="","missing status; ","")&amp;IF(AND(B478&lt;&gt;"",COUNTIF('الزبائن'!$A$6:$A$505,B478)=0),"source key not found; ","")&amp;IF((COUNTIFS('أرقام التواصل'!$A$6:$A$505,"proposed_name",'أرقام التواصل'!$B$6:$B$505,A478,'أرقام التواصل'!$I$6:$I$505,"TRUE")+COUNTIFS('أرقام التواصل'!$A$6:$A$505,"proposed_name",'أرقام التواصل'!$B$6:$B$505,A478,'أرقام التواصل'!$C$6:$C$505,1))=0,"missing primary contact in أرقام التواصل; ","")&amp;IF(AND(W478="TRUE",X478=""),"duplicate_type required when duplicate_flag TRUE; ","")))))</x:f>
      </x:c>
    </x:row>
    <x:row r="479">
      <x:c r="A479" s="302"/>
      <x:c r="B479" s="252"/>
      <x:c r="C479" s="253"/>
      <x:c r="D479" s="253"/>
      <x:c r="E479" s="253"/>
      <x:c r="F479" s="252"/>
      <x:c r="G479" s="253"/>
      <x:c r="H479" s="272"/>
      <x:c r="I479" s="253"/>
      <x:c r="J479" s="253"/>
      <x:c r="K479" s="253"/>
      <x:c r="L479" s="253"/>
      <x:c r="M479" s="253"/>
      <x:c r="N479" s="253"/>
      <x:c r="O479" s="253" t="str">
        <x:f>IF(TRIM(L479&amp;" "&amp;M479&amp;IF(N479&lt;&gt;""," ("&amp;N479&amp;")",""))="","",TRIM(L479&amp;" "&amp;M479&amp;IF(N479&lt;&gt;""," ("&amp;N479&amp;")","")))</x:f>
      </x:c>
      <x:c r="P479" s="253"/>
      <x:c r="Q479" s="252"/>
      <x:c r="R479" s="253"/>
      <x:c r="S479" s="253"/>
      <x:c r="T479" s="253"/>
      <x:c r="U479" s="253"/>
      <x:c r="V479" s="253"/>
      <x:c r="W479" s="253"/>
      <x:c r="X479" s="253"/>
      <x:c r="Y479" s="252"/>
      <x:c r="Z479" s="252"/>
      <x:c r="AA479" s="253"/>
      <x:c r="AB479" s="253" t="str">
        <x:f>IF(B479="","",IFERROR(INDEX('الزبائن'!$BA$6:$BA$505,MATCH(B479,'الزبائن'!$A$6:$A$505,0)),"source key not found"))</x:f>
      </x:c>
      <x:c r="AC479" s="253" t="str">
        <x:f>IF(B479="","",IFERROR(INDEX('الزبائن'!$BB$6:$BB$505,MATCH(B479,'الزبائن'!$A$6:$A$505,0)),"source key not found"))</x:f>
      </x:c>
      <x:c r="AD479" s="253" t="str">
        <x:f>IF(AND(A479="",C479="",D479="",I479="",L479="",M479=""),"",IF(C479="skip","SKIP",IF(OR(A479="",C479="",D479="",I479="",L479="",M479="",U479="",COUNTIF($A$6:$A$505,A479)&gt;1,AND(B479&lt;&gt;"",COUNTIF('الزبائن'!$A$6:$A$505,B479)=0),(COUNTIFS('أرقام التواصل'!$A$6:$A$505,"proposed_name",'أرقام التواصل'!$B$6:$B$505,A479,'أرقام التواصل'!$I$6:$I$505,"TRUE")+COUNTIFS('أرقام التواصل'!$A$6:$A$505,"proposed_name",'أرقام التواصل'!$B$6:$B$505,A479,'أرقام التواصل'!$C$6:$C$505,1))=0,AND(W479="TRUE",X479="")),"REVIEW","READY")))</x:f>
      </x:c>
      <x:c r="AE479" s="255" t="str">
        <x:f>IF(AD479="","",IF(AD479="READY","",IF(AD479="SKIP","Skipped by candidate_import_action",TRIM(IF(A479="","missing proposed_name_key; ","")&amp;IF(AND(A479&lt;&gt;"",COUNTIF($A$6:$A$505,A479)&gt;1),"duplicate proposed_name_key; ","")&amp;IF(C479="","missing candidate_import_action; ","")&amp;IF(D479="","missing move_reason; ","")&amp;IF(I479="","missing branch_id; ","")&amp;IF(L479="","missing first_name; ","")&amp;IF(M479="","missing last_name; ","")&amp;IF(U479="","missing status; ","")&amp;IF(AND(B479&lt;&gt;"",COUNTIF('الزبائن'!$A$6:$A$505,B479)=0),"source key not found; ","")&amp;IF((COUNTIFS('أرقام التواصل'!$A$6:$A$505,"proposed_name",'أرقام التواصل'!$B$6:$B$505,A479,'أرقام التواصل'!$I$6:$I$505,"TRUE")+COUNTIFS('أرقام التواصل'!$A$6:$A$505,"proposed_name",'أرقام التواصل'!$B$6:$B$505,A479,'أرقام التواصل'!$C$6:$C$505,1))=0,"missing primary contact in أرقام التواصل; ","")&amp;IF(AND(W479="TRUE",X479=""),"duplicate_type required when duplicate_flag TRUE; ","")))))</x:f>
      </x:c>
    </x:row>
    <x:row r="480">
      <x:c r="A480" s="302"/>
      <x:c r="B480" s="252"/>
      <x:c r="C480" s="253"/>
      <x:c r="D480" s="253"/>
      <x:c r="E480" s="253"/>
      <x:c r="F480" s="252"/>
      <x:c r="G480" s="253"/>
      <x:c r="H480" s="272"/>
      <x:c r="I480" s="253"/>
      <x:c r="J480" s="253"/>
      <x:c r="K480" s="253"/>
      <x:c r="L480" s="253"/>
      <x:c r="M480" s="253"/>
      <x:c r="N480" s="253"/>
      <x:c r="O480" s="253" t="str">
        <x:f>IF(TRIM(L480&amp;" "&amp;M480&amp;IF(N480&lt;&gt;""," ("&amp;N480&amp;")",""))="","",TRIM(L480&amp;" "&amp;M480&amp;IF(N480&lt;&gt;""," ("&amp;N480&amp;")","")))</x:f>
      </x:c>
      <x:c r="P480" s="253"/>
      <x:c r="Q480" s="252"/>
      <x:c r="R480" s="253"/>
      <x:c r="S480" s="253"/>
      <x:c r="T480" s="253"/>
      <x:c r="U480" s="253"/>
      <x:c r="V480" s="253"/>
      <x:c r="W480" s="253"/>
      <x:c r="X480" s="253"/>
      <x:c r="Y480" s="252"/>
      <x:c r="Z480" s="252"/>
      <x:c r="AA480" s="253"/>
      <x:c r="AB480" s="253" t="str">
        <x:f>IF(B480="","",IFERROR(INDEX('الزبائن'!$BA$6:$BA$505,MATCH(B480,'الزبائن'!$A$6:$A$505,0)),"source key not found"))</x:f>
      </x:c>
      <x:c r="AC480" s="253" t="str">
        <x:f>IF(B480="","",IFERROR(INDEX('الزبائن'!$BB$6:$BB$505,MATCH(B480,'الزبائن'!$A$6:$A$505,0)),"source key not found"))</x:f>
      </x:c>
      <x:c r="AD480" s="253" t="str">
        <x:f>IF(AND(A480="",C480="",D480="",I480="",L480="",M480=""),"",IF(C480="skip","SKIP",IF(OR(A480="",C480="",D480="",I480="",L480="",M480="",U480="",COUNTIF($A$6:$A$505,A480)&gt;1,AND(B480&lt;&gt;"",COUNTIF('الزبائن'!$A$6:$A$505,B480)=0),(COUNTIFS('أرقام التواصل'!$A$6:$A$505,"proposed_name",'أرقام التواصل'!$B$6:$B$505,A480,'أرقام التواصل'!$I$6:$I$505,"TRUE")+COUNTIFS('أرقام التواصل'!$A$6:$A$505,"proposed_name",'أرقام التواصل'!$B$6:$B$505,A480,'أرقام التواصل'!$C$6:$C$505,1))=0,AND(W480="TRUE",X480="")),"REVIEW","READY")))</x:f>
      </x:c>
      <x:c r="AE480" s="255" t="str">
        <x:f>IF(AD480="","",IF(AD480="READY","",IF(AD480="SKIP","Skipped by candidate_import_action",TRIM(IF(A480="","missing proposed_name_key; ","")&amp;IF(AND(A480&lt;&gt;"",COUNTIF($A$6:$A$505,A480)&gt;1),"duplicate proposed_name_key; ","")&amp;IF(C480="","missing candidate_import_action; ","")&amp;IF(D480="","missing move_reason; ","")&amp;IF(I480="","missing branch_id; ","")&amp;IF(L480="","missing first_name; ","")&amp;IF(M480="","missing last_name; ","")&amp;IF(U480="","missing status; ","")&amp;IF(AND(B480&lt;&gt;"",COUNTIF('الزبائن'!$A$6:$A$505,B480)=0),"source key not found; ","")&amp;IF((COUNTIFS('أرقام التواصل'!$A$6:$A$505,"proposed_name",'أرقام التواصل'!$B$6:$B$505,A480,'أرقام التواصل'!$I$6:$I$505,"TRUE")+COUNTIFS('أرقام التواصل'!$A$6:$A$505,"proposed_name",'أرقام التواصل'!$B$6:$B$505,A480,'أرقام التواصل'!$C$6:$C$505,1))=0,"missing primary contact in أرقام التواصل; ","")&amp;IF(AND(W480="TRUE",X480=""),"duplicate_type required when duplicate_flag TRUE; ","")))))</x:f>
      </x:c>
    </x:row>
    <x:row r="481">
      <x:c r="A481" s="302"/>
      <x:c r="B481" s="252"/>
      <x:c r="C481" s="253"/>
      <x:c r="D481" s="253"/>
      <x:c r="E481" s="253"/>
      <x:c r="F481" s="252"/>
      <x:c r="G481" s="253"/>
      <x:c r="H481" s="272"/>
      <x:c r="I481" s="253"/>
      <x:c r="J481" s="253"/>
      <x:c r="K481" s="253"/>
      <x:c r="L481" s="253"/>
      <x:c r="M481" s="253"/>
      <x:c r="N481" s="253"/>
      <x:c r="O481" s="253" t="str">
        <x:f>IF(TRIM(L481&amp;" "&amp;M481&amp;IF(N481&lt;&gt;""," ("&amp;N481&amp;")",""))="","",TRIM(L481&amp;" "&amp;M481&amp;IF(N481&lt;&gt;""," ("&amp;N481&amp;")","")))</x:f>
      </x:c>
      <x:c r="P481" s="253"/>
      <x:c r="Q481" s="252"/>
      <x:c r="R481" s="253"/>
      <x:c r="S481" s="253"/>
      <x:c r="T481" s="253"/>
      <x:c r="U481" s="253"/>
      <x:c r="V481" s="253"/>
      <x:c r="W481" s="253"/>
      <x:c r="X481" s="253"/>
      <x:c r="Y481" s="252"/>
      <x:c r="Z481" s="252"/>
      <x:c r="AA481" s="253"/>
      <x:c r="AB481" s="253" t="str">
        <x:f>IF(B481="","",IFERROR(INDEX('الزبائن'!$BA$6:$BA$505,MATCH(B481,'الزبائن'!$A$6:$A$505,0)),"source key not found"))</x:f>
      </x:c>
      <x:c r="AC481" s="253" t="str">
        <x:f>IF(B481="","",IFERROR(INDEX('الزبائن'!$BB$6:$BB$505,MATCH(B481,'الزبائن'!$A$6:$A$505,0)),"source key not found"))</x:f>
      </x:c>
      <x:c r="AD481" s="253" t="str">
        <x:f>IF(AND(A481="",C481="",D481="",I481="",L481="",M481=""),"",IF(C481="skip","SKIP",IF(OR(A481="",C481="",D481="",I481="",L481="",M481="",U481="",COUNTIF($A$6:$A$505,A481)&gt;1,AND(B481&lt;&gt;"",COUNTIF('الزبائن'!$A$6:$A$505,B481)=0),(COUNTIFS('أرقام التواصل'!$A$6:$A$505,"proposed_name",'أرقام التواصل'!$B$6:$B$505,A481,'أرقام التواصل'!$I$6:$I$505,"TRUE")+COUNTIFS('أرقام التواصل'!$A$6:$A$505,"proposed_name",'أرقام التواصل'!$B$6:$B$505,A481,'أرقام التواصل'!$C$6:$C$505,1))=0,AND(W481="TRUE",X481="")),"REVIEW","READY")))</x:f>
      </x:c>
      <x:c r="AE481" s="255" t="str">
        <x:f>IF(AD481="","",IF(AD481="READY","",IF(AD481="SKIP","Skipped by candidate_import_action",TRIM(IF(A481="","missing proposed_name_key; ","")&amp;IF(AND(A481&lt;&gt;"",COUNTIF($A$6:$A$505,A481)&gt;1),"duplicate proposed_name_key; ","")&amp;IF(C481="","missing candidate_import_action; ","")&amp;IF(D481="","missing move_reason; ","")&amp;IF(I481="","missing branch_id; ","")&amp;IF(L481="","missing first_name; ","")&amp;IF(M481="","missing last_name; ","")&amp;IF(U481="","missing status; ","")&amp;IF(AND(B481&lt;&gt;"",COUNTIF('الزبائن'!$A$6:$A$505,B481)=0),"source key not found; ","")&amp;IF((COUNTIFS('أرقام التواصل'!$A$6:$A$505,"proposed_name",'أرقام التواصل'!$B$6:$B$505,A481,'أرقام التواصل'!$I$6:$I$505,"TRUE")+COUNTIFS('أرقام التواصل'!$A$6:$A$505,"proposed_name",'أرقام التواصل'!$B$6:$B$505,A481,'أرقام التواصل'!$C$6:$C$505,1))=0,"missing primary contact in أرقام التواصل; ","")&amp;IF(AND(W481="TRUE",X481=""),"duplicate_type required when duplicate_flag TRUE; ","")))))</x:f>
      </x:c>
    </x:row>
    <x:row r="482">
      <x:c r="A482" s="302"/>
      <x:c r="B482" s="252"/>
      <x:c r="C482" s="253"/>
      <x:c r="D482" s="253"/>
      <x:c r="E482" s="253"/>
      <x:c r="F482" s="252"/>
      <x:c r="G482" s="253"/>
      <x:c r="H482" s="272"/>
      <x:c r="I482" s="253"/>
      <x:c r="J482" s="253"/>
      <x:c r="K482" s="253"/>
      <x:c r="L482" s="253"/>
      <x:c r="M482" s="253"/>
      <x:c r="N482" s="253"/>
      <x:c r="O482" s="253" t="str">
        <x:f>IF(TRIM(L482&amp;" "&amp;M482&amp;IF(N482&lt;&gt;""," ("&amp;N482&amp;")",""))="","",TRIM(L482&amp;" "&amp;M482&amp;IF(N482&lt;&gt;""," ("&amp;N482&amp;")","")))</x:f>
      </x:c>
      <x:c r="P482" s="253"/>
      <x:c r="Q482" s="252"/>
      <x:c r="R482" s="253"/>
      <x:c r="S482" s="253"/>
      <x:c r="T482" s="253"/>
      <x:c r="U482" s="253"/>
      <x:c r="V482" s="253"/>
      <x:c r="W482" s="253"/>
      <x:c r="X482" s="253"/>
      <x:c r="Y482" s="252"/>
      <x:c r="Z482" s="252"/>
      <x:c r="AA482" s="253"/>
      <x:c r="AB482" s="253" t="str">
        <x:f>IF(B482="","",IFERROR(INDEX('الزبائن'!$BA$6:$BA$505,MATCH(B482,'الزبائن'!$A$6:$A$505,0)),"source key not found"))</x:f>
      </x:c>
      <x:c r="AC482" s="253" t="str">
        <x:f>IF(B482="","",IFERROR(INDEX('الزبائن'!$BB$6:$BB$505,MATCH(B482,'الزبائن'!$A$6:$A$505,0)),"source key not found"))</x:f>
      </x:c>
      <x:c r="AD482" s="253" t="str">
        <x:f>IF(AND(A482="",C482="",D482="",I482="",L482="",M482=""),"",IF(C482="skip","SKIP",IF(OR(A482="",C482="",D482="",I482="",L482="",M482="",U482="",COUNTIF($A$6:$A$505,A482)&gt;1,AND(B482&lt;&gt;"",COUNTIF('الزبائن'!$A$6:$A$505,B482)=0),(COUNTIFS('أرقام التواصل'!$A$6:$A$505,"proposed_name",'أرقام التواصل'!$B$6:$B$505,A482,'أرقام التواصل'!$I$6:$I$505,"TRUE")+COUNTIFS('أرقام التواصل'!$A$6:$A$505,"proposed_name",'أرقام التواصل'!$B$6:$B$505,A482,'أرقام التواصل'!$C$6:$C$505,1))=0,AND(W482="TRUE",X482="")),"REVIEW","READY")))</x:f>
      </x:c>
      <x:c r="AE482" s="255" t="str">
        <x:f>IF(AD482="","",IF(AD482="READY","",IF(AD482="SKIP","Skipped by candidate_import_action",TRIM(IF(A482="","missing proposed_name_key; ","")&amp;IF(AND(A482&lt;&gt;"",COUNTIF($A$6:$A$505,A482)&gt;1),"duplicate proposed_name_key; ","")&amp;IF(C482="","missing candidate_import_action; ","")&amp;IF(D482="","missing move_reason; ","")&amp;IF(I482="","missing branch_id; ","")&amp;IF(L482="","missing first_name; ","")&amp;IF(M482="","missing last_name; ","")&amp;IF(U482="","missing status; ","")&amp;IF(AND(B482&lt;&gt;"",COUNTIF('الزبائن'!$A$6:$A$505,B482)=0),"source key not found; ","")&amp;IF((COUNTIFS('أرقام التواصل'!$A$6:$A$505,"proposed_name",'أرقام التواصل'!$B$6:$B$505,A482,'أرقام التواصل'!$I$6:$I$505,"TRUE")+COUNTIFS('أرقام التواصل'!$A$6:$A$505,"proposed_name",'أرقام التواصل'!$B$6:$B$505,A482,'أرقام التواصل'!$C$6:$C$505,1))=0,"missing primary contact in أرقام التواصل; ","")&amp;IF(AND(W482="TRUE",X482=""),"duplicate_type required when duplicate_flag TRUE; ","")))))</x:f>
      </x:c>
    </x:row>
    <x:row r="483">
      <x:c r="A483" s="302"/>
      <x:c r="B483" s="252"/>
      <x:c r="C483" s="253"/>
      <x:c r="D483" s="253"/>
      <x:c r="E483" s="253"/>
      <x:c r="F483" s="252"/>
      <x:c r="G483" s="253"/>
      <x:c r="H483" s="272"/>
      <x:c r="I483" s="253"/>
      <x:c r="J483" s="253"/>
      <x:c r="K483" s="253"/>
      <x:c r="L483" s="253"/>
      <x:c r="M483" s="253"/>
      <x:c r="N483" s="253"/>
      <x:c r="O483" s="253" t="str">
        <x:f>IF(TRIM(L483&amp;" "&amp;M483&amp;IF(N483&lt;&gt;""," ("&amp;N483&amp;")",""))="","",TRIM(L483&amp;" "&amp;M483&amp;IF(N483&lt;&gt;""," ("&amp;N483&amp;")","")))</x:f>
      </x:c>
      <x:c r="P483" s="253"/>
      <x:c r="Q483" s="252"/>
      <x:c r="R483" s="253"/>
      <x:c r="S483" s="253"/>
      <x:c r="T483" s="253"/>
      <x:c r="U483" s="253"/>
      <x:c r="V483" s="253"/>
      <x:c r="W483" s="253"/>
      <x:c r="X483" s="253"/>
      <x:c r="Y483" s="252"/>
      <x:c r="Z483" s="252"/>
      <x:c r="AA483" s="253"/>
      <x:c r="AB483" s="253" t="str">
        <x:f>IF(B483="","",IFERROR(INDEX('الزبائن'!$BA$6:$BA$505,MATCH(B483,'الزبائن'!$A$6:$A$505,0)),"source key not found"))</x:f>
      </x:c>
      <x:c r="AC483" s="253" t="str">
        <x:f>IF(B483="","",IFERROR(INDEX('الزبائن'!$BB$6:$BB$505,MATCH(B483,'الزبائن'!$A$6:$A$505,0)),"source key not found"))</x:f>
      </x:c>
      <x:c r="AD483" s="253" t="str">
        <x:f>IF(AND(A483="",C483="",D483="",I483="",L483="",M483=""),"",IF(C483="skip","SKIP",IF(OR(A483="",C483="",D483="",I483="",L483="",M483="",U483="",COUNTIF($A$6:$A$505,A483)&gt;1,AND(B483&lt;&gt;"",COUNTIF('الزبائن'!$A$6:$A$505,B483)=0),(COUNTIFS('أرقام التواصل'!$A$6:$A$505,"proposed_name",'أرقام التواصل'!$B$6:$B$505,A483,'أرقام التواصل'!$I$6:$I$505,"TRUE")+COUNTIFS('أرقام التواصل'!$A$6:$A$505,"proposed_name",'أرقام التواصل'!$B$6:$B$505,A483,'أرقام التواصل'!$C$6:$C$505,1))=0,AND(W483="TRUE",X483="")),"REVIEW","READY")))</x:f>
      </x:c>
      <x:c r="AE483" s="255" t="str">
        <x:f>IF(AD483="","",IF(AD483="READY","",IF(AD483="SKIP","Skipped by candidate_import_action",TRIM(IF(A483="","missing proposed_name_key; ","")&amp;IF(AND(A483&lt;&gt;"",COUNTIF($A$6:$A$505,A483)&gt;1),"duplicate proposed_name_key; ","")&amp;IF(C483="","missing candidate_import_action; ","")&amp;IF(D483="","missing move_reason; ","")&amp;IF(I483="","missing branch_id; ","")&amp;IF(L483="","missing first_name; ","")&amp;IF(M483="","missing last_name; ","")&amp;IF(U483="","missing status; ","")&amp;IF(AND(B483&lt;&gt;"",COUNTIF('الزبائن'!$A$6:$A$505,B483)=0),"source key not found; ","")&amp;IF((COUNTIFS('أرقام التواصل'!$A$6:$A$505,"proposed_name",'أرقام التواصل'!$B$6:$B$505,A483,'أرقام التواصل'!$I$6:$I$505,"TRUE")+COUNTIFS('أرقام التواصل'!$A$6:$A$505,"proposed_name",'أرقام التواصل'!$B$6:$B$505,A483,'أرقام التواصل'!$C$6:$C$505,1))=0,"missing primary contact in أرقام التواصل; ","")&amp;IF(AND(W483="TRUE",X483=""),"duplicate_type required when duplicate_flag TRUE; ","")))))</x:f>
      </x:c>
    </x:row>
    <x:row r="484">
      <x:c r="A484" s="302"/>
      <x:c r="B484" s="252"/>
      <x:c r="C484" s="253"/>
      <x:c r="D484" s="253"/>
      <x:c r="E484" s="253"/>
      <x:c r="F484" s="252"/>
      <x:c r="G484" s="253"/>
      <x:c r="H484" s="272"/>
      <x:c r="I484" s="253"/>
      <x:c r="J484" s="253"/>
      <x:c r="K484" s="253"/>
      <x:c r="L484" s="253"/>
      <x:c r="M484" s="253"/>
      <x:c r="N484" s="253"/>
      <x:c r="O484" s="253" t="str">
        <x:f>IF(TRIM(L484&amp;" "&amp;M484&amp;IF(N484&lt;&gt;""," ("&amp;N484&amp;")",""))="","",TRIM(L484&amp;" "&amp;M484&amp;IF(N484&lt;&gt;""," ("&amp;N484&amp;")","")))</x:f>
      </x:c>
      <x:c r="P484" s="253"/>
      <x:c r="Q484" s="252"/>
      <x:c r="R484" s="253"/>
      <x:c r="S484" s="253"/>
      <x:c r="T484" s="253"/>
      <x:c r="U484" s="253"/>
      <x:c r="V484" s="253"/>
      <x:c r="W484" s="253"/>
      <x:c r="X484" s="253"/>
      <x:c r="Y484" s="252"/>
      <x:c r="Z484" s="252"/>
      <x:c r="AA484" s="253"/>
      <x:c r="AB484" s="253" t="str">
        <x:f>IF(B484="","",IFERROR(INDEX('الزبائن'!$BA$6:$BA$505,MATCH(B484,'الزبائن'!$A$6:$A$505,0)),"source key not found"))</x:f>
      </x:c>
      <x:c r="AC484" s="253" t="str">
        <x:f>IF(B484="","",IFERROR(INDEX('الزبائن'!$BB$6:$BB$505,MATCH(B484,'الزبائن'!$A$6:$A$505,0)),"source key not found"))</x:f>
      </x:c>
      <x:c r="AD484" s="253" t="str">
        <x:f>IF(AND(A484="",C484="",D484="",I484="",L484="",M484=""),"",IF(C484="skip","SKIP",IF(OR(A484="",C484="",D484="",I484="",L484="",M484="",U484="",COUNTIF($A$6:$A$505,A484)&gt;1,AND(B484&lt;&gt;"",COUNTIF('الزبائن'!$A$6:$A$505,B484)=0),(COUNTIFS('أرقام التواصل'!$A$6:$A$505,"proposed_name",'أرقام التواصل'!$B$6:$B$505,A484,'أرقام التواصل'!$I$6:$I$505,"TRUE")+COUNTIFS('أرقام التواصل'!$A$6:$A$505,"proposed_name",'أرقام التواصل'!$B$6:$B$505,A484,'أرقام التواصل'!$C$6:$C$505,1))=0,AND(W484="TRUE",X484="")),"REVIEW","READY")))</x:f>
      </x:c>
      <x:c r="AE484" s="255" t="str">
        <x:f>IF(AD484="","",IF(AD484="READY","",IF(AD484="SKIP","Skipped by candidate_import_action",TRIM(IF(A484="","missing proposed_name_key; ","")&amp;IF(AND(A484&lt;&gt;"",COUNTIF($A$6:$A$505,A484)&gt;1),"duplicate proposed_name_key; ","")&amp;IF(C484="","missing candidate_import_action; ","")&amp;IF(D484="","missing move_reason; ","")&amp;IF(I484="","missing branch_id; ","")&amp;IF(L484="","missing first_name; ","")&amp;IF(M484="","missing last_name; ","")&amp;IF(U484="","missing status; ","")&amp;IF(AND(B484&lt;&gt;"",COUNTIF('الزبائن'!$A$6:$A$505,B484)=0),"source key not found; ","")&amp;IF((COUNTIFS('أرقام التواصل'!$A$6:$A$505,"proposed_name",'أرقام التواصل'!$B$6:$B$505,A484,'أرقام التواصل'!$I$6:$I$505,"TRUE")+COUNTIFS('أرقام التواصل'!$A$6:$A$505,"proposed_name",'أرقام التواصل'!$B$6:$B$505,A484,'أرقام التواصل'!$C$6:$C$505,1))=0,"missing primary contact in أرقام التواصل; ","")&amp;IF(AND(W484="TRUE",X484=""),"duplicate_type required when duplicate_flag TRUE; ","")))))</x:f>
      </x:c>
    </x:row>
    <x:row r="485">
      <x:c r="A485" s="302"/>
      <x:c r="B485" s="252"/>
      <x:c r="C485" s="253"/>
      <x:c r="D485" s="253"/>
      <x:c r="E485" s="253"/>
      <x:c r="F485" s="252"/>
      <x:c r="G485" s="253"/>
      <x:c r="H485" s="272"/>
      <x:c r="I485" s="253"/>
      <x:c r="J485" s="253"/>
      <x:c r="K485" s="253"/>
      <x:c r="L485" s="253"/>
      <x:c r="M485" s="253"/>
      <x:c r="N485" s="253"/>
      <x:c r="O485" s="253" t="str">
        <x:f>IF(TRIM(L485&amp;" "&amp;M485&amp;IF(N485&lt;&gt;""," ("&amp;N485&amp;")",""))="","",TRIM(L485&amp;" "&amp;M485&amp;IF(N485&lt;&gt;""," ("&amp;N485&amp;")","")))</x:f>
      </x:c>
      <x:c r="P485" s="253"/>
      <x:c r="Q485" s="252"/>
      <x:c r="R485" s="253"/>
      <x:c r="S485" s="253"/>
      <x:c r="T485" s="253"/>
      <x:c r="U485" s="253"/>
      <x:c r="V485" s="253"/>
      <x:c r="W485" s="253"/>
      <x:c r="X485" s="253"/>
      <x:c r="Y485" s="252"/>
      <x:c r="Z485" s="252"/>
      <x:c r="AA485" s="253"/>
      <x:c r="AB485" s="253" t="str">
        <x:f>IF(B485="","",IFERROR(INDEX('الزبائن'!$BA$6:$BA$505,MATCH(B485,'الزبائن'!$A$6:$A$505,0)),"source key not found"))</x:f>
      </x:c>
      <x:c r="AC485" s="253" t="str">
        <x:f>IF(B485="","",IFERROR(INDEX('الزبائن'!$BB$6:$BB$505,MATCH(B485,'الزبائن'!$A$6:$A$505,0)),"source key not found"))</x:f>
      </x:c>
      <x:c r="AD485" s="253" t="str">
        <x:f>IF(AND(A485="",C485="",D485="",I485="",L485="",M485=""),"",IF(C485="skip","SKIP",IF(OR(A485="",C485="",D485="",I485="",L485="",M485="",U485="",COUNTIF($A$6:$A$505,A485)&gt;1,AND(B485&lt;&gt;"",COUNTIF('الزبائن'!$A$6:$A$505,B485)=0),(COUNTIFS('أرقام التواصل'!$A$6:$A$505,"proposed_name",'أرقام التواصل'!$B$6:$B$505,A485,'أرقام التواصل'!$I$6:$I$505,"TRUE")+COUNTIFS('أرقام التواصل'!$A$6:$A$505,"proposed_name",'أرقام التواصل'!$B$6:$B$505,A485,'أرقام التواصل'!$C$6:$C$505,1))=0,AND(W485="TRUE",X485="")),"REVIEW","READY")))</x:f>
      </x:c>
      <x:c r="AE485" s="255" t="str">
        <x:f>IF(AD485="","",IF(AD485="READY","",IF(AD485="SKIP","Skipped by candidate_import_action",TRIM(IF(A485="","missing proposed_name_key; ","")&amp;IF(AND(A485&lt;&gt;"",COUNTIF($A$6:$A$505,A485)&gt;1),"duplicate proposed_name_key; ","")&amp;IF(C485="","missing candidate_import_action; ","")&amp;IF(D485="","missing move_reason; ","")&amp;IF(I485="","missing branch_id; ","")&amp;IF(L485="","missing first_name; ","")&amp;IF(M485="","missing last_name; ","")&amp;IF(U485="","missing status; ","")&amp;IF(AND(B485&lt;&gt;"",COUNTIF('الزبائن'!$A$6:$A$505,B485)=0),"source key not found; ","")&amp;IF((COUNTIFS('أرقام التواصل'!$A$6:$A$505,"proposed_name",'أرقام التواصل'!$B$6:$B$505,A485,'أرقام التواصل'!$I$6:$I$505,"TRUE")+COUNTIFS('أرقام التواصل'!$A$6:$A$505,"proposed_name",'أرقام التواصل'!$B$6:$B$505,A485,'أرقام التواصل'!$C$6:$C$505,1))=0,"missing primary contact in أرقام التواصل; ","")&amp;IF(AND(W485="TRUE",X485=""),"duplicate_type required when duplicate_flag TRUE; ","")))))</x:f>
      </x:c>
    </x:row>
    <x:row r="486">
      <x:c r="A486" s="302"/>
      <x:c r="B486" s="252"/>
      <x:c r="C486" s="253"/>
      <x:c r="D486" s="253"/>
      <x:c r="E486" s="253"/>
      <x:c r="F486" s="252"/>
      <x:c r="G486" s="253"/>
      <x:c r="H486" s="272"/>
      <x:c r="I486" s="253"/>
      <x:c r="J486" s="253"/>
      <x:c r="K486" s="253"/>
      <x:c r="L486" s="253"/>
      <x:c r="M486" s="253"/>
      <x:c r="N486" s="253"/>
      <x:c r="O486" s="253" t="str">
        <x:f>IF(TRIM(L486&amp;" "&amp;M486&amp;IF(N486&lt;&gt;""," ("&amp;N486&amp;")",""))="","",TRIM(L486&amp;" "&amp;M486&amp;IF(N486&lt;&gt;""," ("&amp;N486&amp;")","")))</x:f>
      </x:c>
      <x:c r="P486" s="253"/>
      <x:c r="Q486" s="252"/>
      <x:c r="R486" s="253"/>
      <x:c r="S486" s="253"/>
      <x:c r="T486" s="253"/>
      <x:c r="U486" s="253"/>
      <x:c r="V486" s="253"/>
      <x:c r="W486" s="253"/>
      <x:c r="X486" s="253"/>
      <x:c r="Y486" s="252"/>
      <x:c r="Z486" s="252"/>
      <x:c r="AA486" s="253"/>
      <x:c r="AB486" s="253" t="str">
        <x:f>IF(B486="","",IFERROR(INDEX('الزبائن'!$BA$6:$BA$505,MATCH(B486,'الزبائن'!$A$6:$A$505,0)),"source key not found"))</x:f>
      </x:c>
      <x:c r="AC486" s="253" t="str">
        <x:f>IF(B486="","",IFERROR(INDEX('الزبائن'!$BB$6:$BB$505,MATCH(B486,'الزبائن'!$A$6:$A$505,0)),"source key not found"))</x:f>
      </x:c>
      <x:c r="AD486" s="253" t="str">
        <x:f>IF(AND(A486="",C486="",D486="",I486="",L486="",M486=""),"",IF(C486="skip","SKIP",IF(OR(A486="",C486="",D486="",I486="",L486="",M486="",U486="",COUNTIF($A$6:$A$505,A486)&gt;1,AND(B486&lt;&gt;"",COUNTIF('الزبائن'!$A$6:$A$505,B486)=0),(COUNTIFS('أرقام التواصل'!$A$6:$A$505,"proposed_name",'أرقام التواصل'!$B$6:$B$505,A486,'أرقام التواصل'!$I$6:$I$505,"TRUE")+COUNTIFS('أرقام التواصل'!$A$6:$A$505,"proposed_name",'أرقام التواصل'!$B$6:$B$505,A486,'أرقام التواصل'!$C$6:$C$505,1))=0,AND(W486="TRUE",X486="")),"REVIEW","READY")))</x:f>
      </x:c>
      <x:c r="AE486" s="255" t="str">
        <x:f>IF(AD486="","",IF(AD486="READY","",IF(AD486="SKIP","Skipped by candidate_import_action",TRIM(IF(A486="","missing proposed_name_key; ","")&amp;IF(AND(A486&lt;&gt;"",COUNTIF($A$6:$A$505,A486)&gt;1),"duplicate proposed_name_key; ","")&amp;IF(C486="","missing candidate_import_action; ","")&amp;IF(D486="","missing move_reason; ","")&amp;IF(I486="","missing branch_id; ","")&amp;IF(L486="","missing first_name; ","")&amp;IF(M486="","missing last_name; ","")&amp;IF(U486="","missing status; ","")&amp;IF(AND(B486&lt;&gt;"",COUNTIF('الزبائن'!$A$6:$A$505,B486)=0),"source key not found; ","")&amp;IF((COUNTIFS('أرقام التواصل'!$A$6:$A$505,"proposed_name",'أرقام التواصل'!$B$6:$B$505,A486,'أرقام التواصل'!$I$6:$I$505,"TRUE")+COUNTIFS('أرقام التواصل'!$A$6:$A$505,"proposed_name",'أرقام التواصل'!$B$6:$B$505,A486,'أرقام التواصل'!$C$6:$C$505,1))=0,"missing primary contact in أرقام التواصل; ","")&amp;IF(AND(W486="TRUE",X486=""),"duplicate_type required when duplicate_flag TRUE; ","")))))</x:f>
      </x:c>
    </x:row>
    <x:row r="487">
      <x:c r="A487" s="302"/>
      <x:c r="B487" s="252"/>
      <x:c r="C487" s="253"/>
      <x:c r="D487" s="253"/>
      <x:c r="E487" s="253"/>
      <x:c r="F487" s="252"/>
      <x:c r="G487" s="253"/>
      <x:c r="H487" s="272"/>
      <x:c r="I487" s="253"/>
      <x:c r="J487" s="253"/>
      <x:c r="K487" s="253"/>
      <x:c r="L487" s="253"/>
      <x:c r="M487" s="253"/>
      <x:c r="N487" s="253"/>
      <x:c r="O487" s="253" t="str">
        <x:f>IF(TRIM(L487&amp;" "&amp;M487&amp;IF(N487&lt;&gt;""," ("&amp;N487&amp;")",""))="","",TRIM(L487&amp;" "&amp;M487&amp;IF(N487&lt;&gt;""," ("&amp;N487&amp;")","")))</x:f>
      </x:c>
      <x:c r="P487" s="253"/>
      <x:c r="Q487" s="252"/>
      <x:c r="R487" s="253"/>
      <x:c r="S487" s="253"/>
      <x:c r="T487" s="253"/>
      <x:c r="U487" s="253"/>
      <x:c r="V487" s="253"/>
      <x:c r="W487" s="253"/>
      <x:c r="X487" s="253"/>
      <x:c r="Y487" s="252"/>
      <x:c r="Z487" s="252"/>
      <x:c r="AA487" s="253"/>
      <x:c r="AB487" s="253" t="str">
        <x:f>IF(B487="","",IFERROR(INDEX('الزبائن'!$BA$6:$BA$505,MATCH(B487,'الزبائن'!$A$6:$A$505,0)),"source key not found"))</x:f>
      </x:c>
      <x:c r="AC487" s="253" t="str">
        <x:f>IF(B487="","",IFERROR(INDEX('الزبائن'!$BB$6:$BB$505,MATCH(B487,'الزبائن'!$A$6:$A$505,0)),"source key not found"))</x:f>
      </x:c>
      <x:c r="AD487" s="253" t="str">
        <x:f>IF(AND(A487="",C487="",D487="",I487="",L487="",M487=""),"",IF(C487="skip","SKIP",IF(OR(A487="",C487="",D487="",I487="",L487="",M487="",U487="",COUNTIF($A$6:$A$505,A487)&gt;1,AND(B487&lt;&gt;"",COUNTIF('الزبائن'!$A$6:$A$505,B487)=0),(COUNTIFS('أرقام التواصل'!$A$6:$A$505,"proposed_name",'أرقام التواصل'!$B$6:$B$505,A487,'أرقام التواصل'!$I$6:$I$505,"TRUE")+COUNTIFS('أرقام التواصل'!$A$6:$A$505,"proposed_name",'أرقام التواصل'!$B$6:$B$505,A487,'أرقام التواصل'!$C$6:$C$505,1))=0,AND(W487="TRUE",X487="")),"REVIEW","READY")))</x:f>
      </x:c>
      <x:c r="AE487" s="255" t="str">
        <x:f>IF(AD487="","",IF(AD487="READY","",IF(AD487="SKIP","Skipped by candidate_import_action",TRIM(IF(A487="","missing proposed_name_key; ","")&amp;IF(AND(A487&lt;&gt;"",COUNTIF($A$6:$A$505,A487)&gt;1),"duplicate proposed_name_key; ","")&amp;IF(C487="","missing candidate_import_action; ","")&amp;IF(D487="","missing move_reason; ","")&amp;IF(I487="","missing branch_id; ","")&amp;IF(L487="","missing first_name; ","")&amp;IF(M487="","missing last_name; ","")&amp;IF(U487="","missing status; ","")&amp;IF(AND(B487&lt;&gt;"",COUNTIF('الزبائن'!$A$6:$A$505,B487)=0),"source key not found; ","")&amp;IF((COUNTIFS('أرقام التواصل'!$A$6:$A$505,"proposed_name",'أرقام التواصل'!$B$6:$B$505,A487,'أرقام التواصل'!$I$6:$I$505,"TRUE")+COUNTIFS('أرقام التواصل'!$A$6:$A$505,"proposed_name",'أرقام التواصل'!$B$6:$B$505,A487,'أرقام التواصل'!$C$6:$C$505,1))=0,"missing primary contact in أرقام التواصل; ","")&amp;IF(AND(W487="TRUE",X487=""),"duplicate_type required when duplicate_flag TRUE; ","")))))</x:f>
      </x:c>
    </x:row>
    <x:row r="488">
      <x:c r="A488" s="302"/>
      <x:c r="B488" s="252"/>
      <x:c r="C488" s="253"/>
      <x:c r="D488" s="253"/>
      <x:c r="E488" s="253"/>
      <x:c r="F488" s="252"/>
      <x:c r="G488" s="253"/>
      <x:c r="H488" s="272"/>
      <x:c r="I488" s="253"/>
      <x:c r="J488" s="253"/>
      <x:c r="K488" s="253"/>
      <x:c r="L488" s="253"/>
      <x:c r="M488" s="253"/>
      <x:c r="N488" s="253"/>
      <x:c r="O488" s="253" t="str">
        <x:f>IF(TRIM(L488&amp;" "&amp;M488&amp;IF(N488&lt;&gt;""," ("&amp;N488&amp;")",""))="","",TRIM(L488&amp;" "&amp;M488&amp;IF(N488&lt;&gt;""," ("&amp;N488&amp;")","")))</x:f>
      </x:c>
      <x:c r="P488" s="253"/>
      <x:c r="Q488" s="252"/>
      <x:c r="R488" s="253"/>
      <x:c r="S488" s="253"/>
      <x:c r="T488" s="253"/>
      <x:c r="U488" s="253"/>
      <x:c r="V488" s="253"/>
      <x:c r="W488" s="253"/>
      <x:c r="X488" s="253"/>
      <x:c r="Y488" s="252"/>
      <x:c r="Z488" s="252"/>
      <x:c r="AA488" s="253"/>
      <x:c r="AB488" s="253" t="str">
        <x:f>IF(B488="","",IFERROR(INDEX('الزبائن'!$BA$6:$BA$505,MATCH(B488,'الزبائن'!$A$6:$A$505,0)),"source key not found"))</x:f>
      </x:c>
      <x:c r="AC488" s="253" t="str">
        <x:f>IF(B488="","",IFERROR(INDEX('الزبائن'!$BB$6:$BB$505,MATCH(B488,'الزبائن'!$A$6:$A$505,0)),"source key not found"))</x:f>
      </x:c>
      <x:c r="AD488" s="253" t="str">
        <x:f>IF(AND(A488="",C488="",D488="",I488="",L488="",M488=""),"",IF(C488="skip","SKIP",IF(OR(A488="",C488="",D488="",I488="",L488="",M488="",U488="",COUNTIF($A$6:$A$505,A488)&gt;1,AND(B488&lt;&gt;"",COUNTIF('الزبائن'!$A$6:$A$505,B488)=0),(COUNTIFS('أرقام التواصل'!$A$6:$A$505,"proposed_name",'أرقام التواصل'!$B$6:$B$505,A488,'أرقام التواصل'!$I$6:$I$505,"TRUE")+COUNTIFS('أرقام التواصل'!$A$6:$A$505,"proposed_name",'أرقام التواصل'!$B$6:$B$505,A488,'أرقام التواصل'!$C$6:$C$505,1))=0,AND(W488="TRUE",X488="")),"REVIEW","READY")))</x:f>
      </x:c>
      <x:c r="AE488" s="255" t="str">
        <x:f>IF(AD488="","",IF(AD488="READY","",IF(AD488="SKIP","Skipped by candidate_import_action",TRIM(IF(A488="","missing proposed_name_key; ","")&amp;IF(AND(A488&lt;&gt;"",COUNTIF($A$6:$A$505,A488)&gt;1),"duplicate proposed_name_key; ","")&amp;IF(C488="","missing candidate_import_action; ","")&amp;IF(D488="","missing move_reason; ","")&amp;IF(I488="","missing branch_id; ","")&amp;IF(L488="","missing first_name; ","")&amp;IF(M488="","missing last_name; ","")&amp;IF(U488="","missing status; ","")&amp;IF(AND(B488&lt;&gt;"",COUNTIF('الزبائن'!$A$6:$A$505,B488)=0),"source key not found; ","")&amp;IF((COUNTIFS('أرقام التواصل'!$A$6:$A$505,"proposed_name",'أرقام التواصل'!$B$6:$B$505,A488,'أرقام التواصل'!$I$6:$I$505,"TRUE")+COUNTIFS('أرقام التواصل'!$A$6:$A$505,"proposed_name",'أرقام التواصل'!$B$6:$B$505,A488,'أرقام التواصل'!$C$6:$C$505,1))=0,"missing primary contact in أرقام التواصل; ","")&amp;IF(AND(W488="TRUE",X488=""),"duplicate_type required when duplicate_flag TRUE; ","")))))</x:f>
      </x:c>
    </x:row>
    <x:row r="489">
      <x:c r="A489" s="302"/>
      <x:c r="B489" s="252"/>
      <x:c r="C489" s="253"/>
      <x:c r="D489" s="253"/>
      <x:c r="E489" s="253"/>
      <x:c r="F489" s="252"/>
      <x:c r="G489" s="253"/>
      <x:c r="H489" s="272"/>
      <x:c r="I489" s="253"/>
      <x:c r="J489" s="253"/>
      <x:c r="K489" s="253"/>
      <x:c r="L489" s="253"/>
      <x:c r="M489" s="253"/>
      <x:c r="N489" s="253"/>
      <x:c r="O489" s="253" t="str">
        <x:f>IF(TRIM(L489&amp;" "&amp;M489&amp;IF(N489&lt;&gt;""," ("&amp;N489&amp;")",""))="","",TRIM(L489&amp;" "&amp;M489&amp;IF(N489&lt;&gt;""," ("&amp;N489&amp;")","")))</x:f>
      </x:c>
      <x:c r="P489" s="253"/>
      <x:c r="Q489" s="252"/>
      <x:c r="R489" s="253"/>
      <x:c r="S489" s="253"/>
      <x:c r="T489" s="253"/>
      <x:c r="U489" s="253"/>
      <x:c r="V489" s="253"/>
      <x:c r="W489" s="253"/>
      <x:c r="X489" s="253"/>
      <x:c r="Y489" s="252"/>
      <x:c r="Z489" s="252"/>
      <x:c r="AA489" s="253"/>
      <x:c r="AB489" s="253" t="str">
        <x:f>IF(B489="","",IFERROR(INDEX('الزبائن'!$BA$6:$BA$505,MATCH(B489,'الزبائن'!$A$6:$A$505,0)),"source key not found"))</x:f>
      </x:c>
      <x:c r="AC489" s="253" t="str">
        <x:f>IF(B489="","",IFERROR(INDEX('الزبائن'!$BB$6:$BB$505,MATCH(B489,'الزبائن'!$A$6:$A$505,0)),"source key not found"))</x:f>
      </x:c>
      <x:c r="AD489" s="253" t="str">
        <x:f>IF(AND(A489="",C489="",D489="",I489="",L489="",M489=""),"",IF(C489="skip","SKIP",IF(OR(A489="",C489="",D489="",I489="",L489="",M489="",U489="",COUNTIF($A$6:$A$505,A489)&gt;1,AND(B489&lt;&gt;"",COUNTIF('الزبائن'!$A$6:$A$505,B489)=0),(COUNTIFS('أرقام التواصل'!$A$6:$A$505,"proposed_name",'أرقام التواصل'!$B$6:$B$505,A489,'أرقام التواصل'!$I$6:$I$505,"TRUE")+COUNTIFS('أرقام التواصل'!$A$6:$A$505,"proposed_name",'أرقام التواصل'!$B$6:$B$505,A489,'أرقام التواصل'!$C$6:$C$505,1))=0,AND(W489="TRUE",X489="")),"REVIEW","READY")))</x:f>
      </x:c>
      <x:c r="AE489" s="255" t="str">
        <x:f>IF(AD489="","",IF(AD489="READY","",IF(AD489="SKIP","Skipped by candidate_import_action",TRIM(IF(A489="","missing proposed_name_key; ","")&amp;IF(AND(A489&lt;&gt;"",COUNTIF($A$6:$A$505,A489)&gt;1),"duplicate proposed_name_key; ","")&amp;IF(C489="","missing candidate_import_action; ","")&amp;IF(D489="","missing move_reason; ","")&amp;IF(I489="","missing branch_id; ","")&amp;IF(L489="","missing first_name; ","")&amp;IF(M489="","missing last_name; ","")&amp;IF(U489="","missing status; ","")&amp;IF(AND(B489&lt;&gt;"",COUNTIF('الزبائن'!$A$6:$A$505,B489)=0),"source key not found; ","")&amp;IF((COUNTIFS('أرقام التواصل'!$A$6:$A$505,"proposed_name",'أرقام التواصل'!$B$6:$B$505,A489,'أرقام التواصل'!$I$6:$I$505,"TRUE")+COUNTIFS('أرقام التواصل'!$A$6:$A$505,"proposed_name",'أرقام التواصل'!$B$6:$B$505,A489,'أرقام التواصل'!$C$6:$C$505,1))=0,"missing primary contact in أرقام التواصل; ","")&amp;IF(AND(W489="TRUE",X489=""),"duplicate_type required when duplicate_flag TRUE; ","")))))</x:f>
      </x:c>
    </x:row>
    <x:row r="490">
      <x:c r="A490" s="302"/>
      <x:c r="B490" s="252"/>
      <x:c r="C490" s="253"/>
      <x:c r="D490" s="253"/>
      <x:c r="E490" s="253"/>
      <x:c r="F490" s="252"/>
      <x:c r="G490" s="253"/>
      <x:c r="H490" s="272"/>
      <x:c r="I490" s="253"/>
      <x:c r="J490" s="253"/>
      <x:c r="K490" s="253"/>
      <x:c r="L490" s="253"/>
      <x:c r="M490" s="253"/>
      <x:c r="N490" s="253"/>
      <x:c r="O490" s="253" t="str">
        <x:f>IF(TRIM(L490&amp;" "&amp;M490&amp;IF(N490&lt;&gt;""," ("&amp;N490&amp;")",""))="","",TRIM(L490&amp;" "&amp;M490&amp;IF(N490&lt;&gt;""," ("&amp;N490&amp;")","")))</x:f>
      </x:c>
      <x:c r="P490" s="253"/>
      <x:c r="Q490" s="252"/>
      <x:c r="R490" s="253"/>
      <x:c r="S490" s="253"/>
      <x:c r="T490" s="253"/>
      <x:c r="U490" s="253"/>
      <x:c r="V490" s="253"/>
      <x:c r="W490" s="253"/>
      <x:c r="X490" s="253"/>
      <x:c r="Y490" s="252"/>
      <x:c r="Z490" s="252"/>
      <x:c r="AA490" s="253"/>
      <x:c r="AB490" s="253" t="str">
        <x:f>IF(B490="","",IFERROR(INDEX('الزبائن'!$BA$6:$BA$505,MATCH(B490,'الزبائن'!$A$6:$A$505,0)),"source key not found"))</x:f>
      </x:c>
      <x:c r="AC490" s="253" t="str">
        <x:f>IF(B490="","",IFERROR(INDEX('الزبائن'!$BB$6:$BB$505,MATCH(B490,'الزبائن'!$A$6:$A$505,0)),"source key not found"))</x:f>
      </x:c>
      <x:c r="AD490" s="253" t="str">
        <x:f>IF(AND(A490="",C490="",D490="",I490="",L490="",M490=""),"",IF(C490="skip","SKIP",IF(OR(A490="",C490="",D490="",I490="",L490="",M490="",U490="",COUNTIF($A$6:$A$505,A490)&gt;1,AND(B490&lt;&gt;"",COUNTIF('الزبائن'!$A$6:$A$505,B490)=0),(COUNTIFS('أرقام التواصل'!$A$6:$A$505,"proposed_name",'أرقام التواصل'!$B$6:$B$505,A490,'أرقام التواصل'!$I$6:$I$505,"TRUE")+COUNTIFS('أرقام التواصل'!$A$6:$A$505,"proposed_name",'أرقام التواصل'!$B$6:$B$505,A490,'أرقام التواصل'!$C$6:$C$505,1))=0,AND(W490="TRUE",X490="")),"REVIEW","READY")))</x:f>
      </x:c>
      <x:c r="AE490" s="255" t="str">
        <x:f>IF(AD490="","",IF(AD490="READY","",IF(AD490="SKIP","Skipped by candidate_import_action",TRIM(IF(A490="","missing proposed_name_key; ","")&amp;IF(AND(A490&lt;&gt;"",COUNTIF($A$6:$A$505,A490)&gt;1),"duplicate proposed_name_key; ","")&amp;IF(C490="","missing candidate_import_action; ","")&amp;IF(D490="","missing move_reason; ","")&amp;IF(I490="","missing branch_id; ","")&amp;IF(L490="","missing first_name; ","")&amp;IF(M490="","missing last_name; ","")&amp;IF(U490="","missing status; ","")&amp;IF(AND(B490&lt;&gt;"",COUNTIF('الزبائن'!$A$6:$A$505,B490)=0),"source key not found; ","")&amp;IF((COUNTIFS('أرقام التواصل'!$A$6:$A$505,"proposed_name",'أرقام التواصل'!$B$6:$B$505,A490,'أرقام التواصل'!$I$6:$I$505,"TRUE")+COUNTIFS('أرقام التواصل'!$A$6:$A$505,"proposed_name",'أرقام التواصل'!$B$6:$B$505,A490,'أرقام التواصل'!$C$6:$C$505,1))=0,"missing primary contact in أرقام التواصل; ","")&amp;IF(AND(W490="TRUE",X490=""),"duplicate_type required when duplicate_flag TRUE; ","")))))</x:f>
      </x:c>
    </x:row>
    <x:row r="491">
      <x:c r="A491" s="302"/>
      <x:c r="B491" s="252"/>
      <x:c r="C491" s="253"/>
      <x:c r="D491" s="253"/>
      <x:c r="E491" s="253"/>
      <x:c r="F491" s="252"/>
      <x:c r="G491" s="253"/>
      <x:c r="H491" s="272"/>
      <x:c r="I491" s="253"/>
      <x:c r="J491" s="253"/>
      <x:c r="K491" s="253"/>
      <x:c r="L491" s="253"/>
      <x:c r="M491" s="253"/>
      <x:c r="N491" s="253"/>
      <x:c r="O491" s="253" t="str">
        <x:f>IF(TRIM(L491&amp;" "&amp;M491&amp;IF(N491&lt;&gt;""," ("&amp;N491&amp;")",""))="","",TRIM(L491&amp;" "&amp;M491&amp;IF(N491&lt;&gt;""," ("&amp;N491&amp;")","")))</x:f>
      </x:c>
      <x:c r="P491" s="253"/>
      <x:c r="Q491" s="252"/>
      <x:c r="R491" s="253"/>
      <x:c r="S491" s="253"/>
      <x:c r="T491" s="253"/>
      <x:c r="U491" s="253"/>
      <x:c r="V491" s="253"/>
      <x:c r="W491" s="253"/>
      <x:c r="X491" s="253"/>
      <x:c r="Y491" s="252"/>
      <x:c r="Z491" s="252"/>
      <x:c r="AA491" s="253"/>
      <x:c r="AB491" s="253" t="str">
        <x:f>IF(B491="","",IFERROR(INDEX('الزبائن'!$BA$6:$BA$505,MATCH(B491,'الزبائن'!$A$6:$A$505,0)),"source key not found"))</x:f>
      </x:c>
      <x:c r="AC491" s="253" t="str">
        <x:f>IF(B491="","",IFERROR(INDEX('الزبائن'!$BB$6:$BB$505,MATCH(B491,'الزبائن'!$A$6:$A$505,0)),"source key not found"))</x:f>
      </x:c>
      <x:c r="AD491" s="253" t="str">
        <x:f>IF(AND(A491="",C491="",D491="",I491="",L491="",M491=""),"",IF(C491="skip","SKIP",IF(OR(A491="",C491="",D491="",I491="",L491="",M491="",U491="",COUNTIF($A$6:$A$505,A491)&gt;1,AND(B491&lt;&gt;"",COUNTIF('الزبائن'!$A$6:$A$505,B491)=0),(COUNTIFS('أرقام التواصل'!$A$6:$A$505,"proposed_name",'أرقام التواصل'!$B$6:$B$505,A491,'أرقام التواصل'!$I$6:$I$505,"TRUE")+COUNTIFS('أرقام التواصل'!$A$6:$A$505,"proposed_name",'أرقام التواصل'!$B$6:$B$505,A491,'أرقام التواصل'!$C$6:$C$505,1))=0,AND(W491="TRUE",X491="")),"REVIEW","READY")))</x:f>
      </x:c>
      <x:c r="AE491" s="255" t="str">
        <x:f>IF(AD491="","",IF(AD491="READY","",IF(AD491="SKIP","Skipped by candidate_import_action",TRIM(IF(A491="","missing proposed_name_key; ","")&amp;IF(AND(A491&lt;&gt;"",COUNTIF($A$6:$A$505,A491)&gt;1),"duplicate proposed_name_key; ","")&amp;IF(C491="","missing candidate_import_action; ","")&amp;IF(D491="","missing move_reason; ","")&amp;IF(I491="","missing branch_id; ","")&amp;IF(L491="","missing first_name; ","")&amp;IF(M491="","missing last_name; ","")&amp;IF(U491="","missing status; ","")&amp;IF(AND(B491&lt;&gt;"",COUNTIF('الزبائن'!$A$6:$A$505,B491)=0),"source key not found; ","")&amp;IF((COUNTIFS('أرقام التواصل'!$A$6:$A$505,"proposed_name",'أرقام التواصل'!$B$6:$B$505,A491,'أرقام التواصل'!$I$6:$I$505,"TRUE")+COUNTIFS('أرقام التواصل'!$A$6:$A$505,"proposed_name",'أرقام التواصل'!$B$6:$B$505,A491,'أرقام التواصل'!$C$6:$C$505,1))=0,"missing primary contact in أرقام التواصل; ","")&amp;IF(AND(W491="TRUE",X491=""),"duplicate_type required when duplicate_flag TRUE; ","")))))</x:f>
      </x:c>
    </x:row>
    <x:row r="492">
      <x:c r="A492" s="302"/>
      <x:c r="B492" s="252"/>
      <x:c r="C492" s="253"/>
      <x:c r="D492" s="253"/>
      <x:c r="E492" s="253"/>
      <x:c r="F492" s="252"/>
      <x:c r="G492" s="253"/>
      <x:c r="H492" s="272"/>
      <x:c r="I492" s="253"/>
      <x:c r="J492" s="253"/>
      <x:c r="K492" s="253"/>
      <x:c r="L492" s="253"/>
      <x:c r="M492" s="253"/>
      <x:c r="N492" s="253"/>
      <x:c r="O492" s="253" t="str">
        <x:f>IF(TRIM(L492&amp;" "&amp;M492&amp;IF(N492&lt;&gt;""," ("&amp;N492&amp;")",""))="","",TRIM(L492&amp;" "&amp;M492&amp;IF(N492&lt;&gt;""," ("&amp;N492&amp;")","")))</x:f>
      </x:c>
      <x:c r="P492" s="253"/>
      <x:c r="Q492" s="252"/>
      <x:c r="R492" s="253"/>
      <x:c r="S492" s="253"/>
      <x:c r="T492" s="253"/>
      <x:c r="U492" s="253"/>
      <x:c r="V492" s="253"/>
      <x:c r="W492" s="253"/>
      <x:c r="X492" s="253"/>
      <x:c r="Y492" s="252"/>
      <x:c r="Z492" s="252"/>
      <x:c r="AA492" s="253"/>
      <x:c r="AB492" s="253" t="str">
        <x:f>IF(B492="","",IFERROR(INDEX('الزبائن'!$BA$6:$BA$505,MATCH(B492,'الزبائن'!$A$6:$A$505,0)),"source key not found"))</x:f>
      </x:c>
      <x:c r="AC492" s="253" t="str">
        <x:f>IF(B492="","",IFERROR(INDEX('الزبائن'!$BB$6:$BB$505,MATCH(B492,'الزبائن'!$A$6:$A$505,0)),"source key not found"))</x:f>
      </x:c>
      <x:c r="AD492" s="253" t="str">
        <x:f>IF(AND(A492="",C492="",D492="",I492="",L492="",M492=""),"",IF(C492="skip","SKIP",IF(OR(A492="",C492="",D492="",I492="",L492="",M492="",U492="",COUNTIF($A$6:$A$505,A492)&gt;1,AND(B492&lt;&gt;"",COUNTIF('الزبائن'!$A$6:$A$505,B492)=0),(COUNTIFS('أرقام التواصل'!$A$6:$A$505,"proposed_name",'أرقام التواصل'!$B$6:$B$505,A492,'أرقام التواصل'!$I$6:$I$505,"TRUE")+COUNTIFS('أرقام التواصل'!$A$6:$A$505,"proposed_name",'أرقام التواصل'!$B$6:$B$505,A492,'أرقام التواصل'!$C$6:$C$505,1))=0,AND(W492="TRUE",X492="")),"REVIEW","READY")))</x:f>
      </x:c>
      <x:c r="AE492" s="255" t="str">
        <x:f>IF(AD492="","",IF(AD492="READY","",IF(AD492="SKIP","Skipped by candidate_import_action",TRIM(IF(A492="","missing proposed_name_key; ","")&amp;IF(AND(A492&lt;&gt;"",COUNTIF($A$6:$A$505,A492)&gt;1),"duplicate proposed_name_key; ","")&amp;IF(C492="","missing candidate_import_action; ","")&amp;IF(D492="","missing move_reason; ","")&amp;IF(I492="","missing branch_id; ","")&amp;IF(L492="","missing first_name; ","")&amp;IF(M492="","missing last_name; ","")&amp;IF(U492="","missing status; ","")&amp;IF(AND(B492&lt;&gt;"",COUNTIF('الزبائن'!$A$6:$A$505,B492)=0),"source key not found; ","")&amp;IF((COUNTIFS('أرقام التواصل'!$A$6:$A$505,"proposed_name",'أرقام التواصل'!$B$6:$B$505,A492,'أرقام التواصل'!$I$6:$I$505,"TRUE")+COUNTIFS('أرقام التواصل'!$A$6:$A$505,"proposed_name",'أرقام التواصل'!$B$6:$B$505,A492,'أرقام التواصل'!$C$6:$C$505,1))=0,"missing primary contact in أرقام التواصل; ","")&amp;IF(AND(W492="TRUE",X492=""),"duplicate_type required when duplicate_flag TRUE; ","")))))</x:f>
      </x:c>
    </x:row>
    <x:row r="493">
      <x:c r="A493" s="302"/>
      <x:c r="B493" s="252"/>
      <x:c r="C493" s="253"/>
      <x:c r="D493" s="253"/>
      <x:c r="E493" s="253"/>
      <x:c r="F493" s="252"/>
      <x:c r="G493" s="253"/>
      <x:c r="H493" s="272"/>
      <x:c r="I493" s="253"/>
      <x:c r="J493" s="253"/>
      <x:c r="K493" s="253"/>
      <x:c r="L493" s="253"/>
      <x:c r="M493" s="253"/>
      <x:c r="N493" s="253"/>
      <x:c r="O493" s="253" t="str">
        <x:f>IF(TRIM(L493&amp;" "&amp;M493&amp;IF(N493&lt;&gt;""," ("&amp;N493&amp;")",""))="","",TRIM(L493&amp;" "&amp;M493&amp;IF(N493&lt;&gt;""," ("&amp;N493&amp;")","")))</x:f>
      </x:c>
      <x:c r="P493" s="253"/>
      <x:c r="Q493" s="252"/>
      <x:c r="R493" s="253"/>
      <x:c r="S493" s="253"/>
      <x:c r="T493" s="253"/>
      <x:c r="U493" s="253"/>
      <x:c r="V493" s="253"/>
      <x:c r="W493" s="253"/>
      <x:c r="X493" s="253"/>
      <x:c r="Y493" s="252"/>
      <x:c r="Z493" s="252"/>
      <x:c r="AA493" s="253"/>
      <x:c r="AB493" s="253" t="str">
        <x:f>IF(B493="","",IFERROR(INDEX('الزبائن'!$BA$6:$BA$505,MATCH(B493,'الزبائن'!$A$6:$A$505,0)),"source key not found"))</x:f>
      </x:c>
      <x:c r="AC493" s="253" t="str">
        <x:f>IF(B493="","",IFERROR(INDEX('الزبائن'!$BB$6:$BB$505,MATCH(B493,'الزبائن'!$A$6:$A$505,0)),"source key not found"))</x:f>
      </x:c>
      <x:c r="AD493" s="253" t="str">
        <x:f>IF(AND(A493="",C493="",D493="",I493="",L493="",M493=""),"",IF(C493="skip","SKIP",IF(OR(A493="",C493="",D493="",I493="",L493="",M493="",U493="",COUNTIF($A$6:$A$505,A493)&gt;1,AND(B493&lt;&gt;"",COUNTIF('الزبائن'!$A$6:$A$505,B493)=0),(COUNTIFS('أرقام التواصل'!$A$6:$A$505,"proposed_name",'أرقام التواصل'!$B$6:$B$505,A493,'أرقام التواصل'!$I$6:$I$505,"TRUE")+COUNTIFS('أرقام التواصل'!$A$6:$A$505,"proposed_name",'أرقام التواصل'!$B$6:$B$505,A493,'أرقام التواصل'!$C$6:$C$505,1))=0,AND(W493="TRUE",X493="")),"REVIEW","READY")))</x:f>
      </x:c>
      <x:c r="AE493" s="255" t="str">
        <x:f>IF(AD493="","",IF(AD493="READY","",IF(AD493="SKIP","Skipped by candidate_import_action",TRIM(IF(A493="","missing proposed_name_key; ","")&amp;IF(AND(A493&lt;&gt;"",COUNTIF($A$6:$A$505,A493)&gt;1),"duplicate proposed_name_key; ","")&amp;IF(C493="","missing candidate_import_action; ","")&amp;IF(D493="","missing move_reason; ","")&amp;IF(I493="","missing branch_id; ","")&amp;IF(L493="","missing first_name; ","")&amp;IF(M493="","missing last_name; ","")&amp;IF(U493="","missing status; ","")&amp;IF(AND(B493&lt;&gt;"",COUNTIF('الزبائن'!$A$6:$A$505,B493)=0),"source key not found; ","")&amp;IF((COUNTIFS('أرقام التواصل'!$A$6:$A$505,"proposed_name",'أرقام التواصل'!$B$6:$B$505,A493,'أرقام التواصل'!$I$6:$I$505,"TRUE")+COUNTIFS('أرقام التواصل'!$A$6:$A$505,"proposed_name",'أرقام التواصل'!$B$6:$B$505,A493,'أرقام التواصل'!$C$6:$C$505,1))=0,"missing primary contact in أرقام التواصل; ","")&amp;IF(AND(W493="TRUE",X493=""),"duplicate_type required when duplicate_flag TRUE; ","")))))</x:f>
      </x:c>
    </x:row>
    <x:row r="494">
      <x:c r="A494" s="302"/>
      <x:c r="B494" s="252"/>
      <x:c r="C494" s="253"/>
      <x:c r="D494" s="253"/>
      <x:c r="E494" s="253"/>
      <x:c r="F494" s="252"/>
      <x:c r="G494" s="253"/>
      <x:c r="H494" s="272"/>
      <x:c r="I494" s="253"/>
      <x:c r="J494" s="253"/>
      <x:c r="K494" s="253"/>
      <x:c r="L494" s="253"/>
      <x:c r="M494" s="253"/>
      <x:c r="N494" s="253"/>
      <x:c r="O494" s="253" t="str">
        <x:f>IF(TRIM(L494&amp;" "&amp;M494&amp;IF(N494&lt;&gt;""," ("&amp;N494&amp;")",""))="","",TRIM(L494&amp;" "&amp;M494&amp;IF(N494&lt;&gt;""," ("&amp;N494&amp;")","")))</x:f>
      </x:c>
      <x:c r="P494" s="253"/>
      <x:c r="Q494" s="252"/>
      <x:c r="R494" s="253"/>
      <x:c r="S494" s="253"/>
      <x:c r="T494" s="253"/>
      <x:c r="U494" s="253"/>
      <x:c r="V494" s="253"/>
      <x:c r="W494" s="253"/>
      <x:c r="X494" s="253"/>
      <x:c r="Y494" s="252"/>
      <x:c r="Z494" s="252"/>
      <x:c r="AA494" s="253"/>
      <x:c r="AB494" s="253" t="str">
        <x:f>IF(B494="","",IFERROR(INDEX('الزبائن'!$BA$6:$BA$505,MATCH(B494,'الزبائن'!$A$6:$A$505,0)),"source key not found"))</x:f>
      </x:c>
      <x:c r="AC494" s="253" t="str">
        <x:f>IF(B494="","",IFERROR(INDEX('الزبائن'!$BB$6:$BB$505,MATCH(B494,'الزبائن'!$A$6:$A$505,0)),"source key not found"))</x:f>
      </x:c>
      <x:c r="AD494" s="253" t="str">
        <x:f>IF(AND(A494="",C494="",D494="",I494="",L494="",M494=""),"",IF(C494="skip","SKIP",IF(OR(A494="",C494="",D494="",I494="",L494="",M494="",U494="",COUNTIF($A$6:$A$505,A494)&gt;1,AND(B494&lt;&gt;"",COUNTIF('الزبائن'!$A$6:$A$505,B494)=0),(COUNTIFS('أرقام التواصل'!$A$6:$A$505,"proposed_name",'أرقام التواصل'!$B$6:$B$505,A494,'أرقام التواصل'!$I$6:$I$505,"TRUE")+COUNTIFS('أرقام التواصل'!$A$6:$A$505,"proposed_name",'أرقام التواصل'!$B$6:$B$505,A494,'أرقام التواصل'!$C$6:$C$505,1))=0,AND(W494="TRUE",X494="")),"REVIEW","READY")))</x:f>
      </x:c>
      <x:c r="AE494" s="255" t="str">
        <x:f>IF(AD494="","",IF(AD494="READY","",IF(AD494="SKIP","Skipped by candidate_import_action",TRIM(IF(A494="","missing proposed_name_key; ","")&amp;IF(AND(A494&lt;&gt;"",COUNTIF($A$6:$A$505,A494)&gt;1),"duplicate proposed_name_key; ","")&amp;IF(C494="","missing candidate_import_action; ","")&amp;IF(D494="","missing move_reason; ","")&amp;IF(I494="","missing branch_id; ","")&amp;IF(L494="","missing first_name; ","")&amp;IF(M494="","missing last_name; ","")&amp;IF(U494="","missing status; ","")&amp;IF(AND(B494&lt;&gt;"",COUNTIF('الزبائن'!$A$6:$A$505,B494)=0),"source key not found; ","")&amp;IF((COUNTIFS('أرقام التواصل'!$A$6:$A$505,"proposed_name",'أرقام التواصل'!$B$6:$B$505,A494,'أرقام التواصل'!$I$6:$I$505,"TRUE")+COUNTIFS('أرقام التواصل'!$A$6:$A$505,"proposed_name",'أرقام التواصل'!$B$6:$B$505,A494,'أرقام التواصل'!$C$6:$C$505,1))=0,"missing primary contact in أرقام التواصل; ","")&amp;IF(AND(W494="TRUE",X494=""),"duplicate_type required when duplicate_flag TRUE; ","")))))</x:f>
      </x:c>
    </x:row>
    <x:row r="495">
      <x:c r="A495" s="302"/>
      <x:c r="B495" s="252"/>
      <x:c r="C495" s="253"/>
      <x:c r="D495" s="253"/>
      <x:c r="E495" s="253"/>
      <x:c r="F495" s="252"/>
      <x:c r="G495" s="253"/>
      <x:c r="H495" s="272"/>
      <x:c r="I495" s="253"/>
      <x:c r="J495" s="253"/>
      <x:c r="K495" s="253"/>
      <x:c r="L495" s="253"/>
      <x:c r="M495" s="253"/>
      <x:c r="N495" s="253"/>
      <x:c r="O495" s="253" t="str">
        <x:f>IF(TRIM(L495&amp;" "&amp;M495&amp;IF(N495&lt;&gt;""," ("&amp;N495&amp;")",""))="","",TRIM(L495&amp;" "&amp;M495&amp;IF(N495&lt;&gt;""," ("&amp;N495&amp;")","")))</x:f>
      </x:c>
      <x:c r="P495" s="253"/>
      <x:c r="Q495" s="252"/>
      <x:c r="R495" s="253"/>
      <x:c r="S495" s="253"/>
      <x:c r="T495" s="253"/>
      <x:c r="U495" s="253"/>
      <x:c r="V495" s="253"/>
      <x:c r="W495" s="253"/>
      <x:c r="X495" s="253"/>
      <x:c r="Y495" s="252"/>
      <x:c r="Z495" s="252"/>
      <x:c r="AA495" s="253"/>
      <x:c r="AB495" s="253" t="str">
        <x:f>IF(B495="","",IFERROR(INDEX('الزبائن'!$BA$6:$BA$505,MATCH(B495,'الزبائن'!$A$6:$A$505,0)),"source key not found"))</x:f>
      </x:c>
      <x:c r="AC495" s="253" t="str">
        <x:f>IF(B495="","",IFERROR(INDEX('الزبائن'!$BB$6:$BB$505,MATCH(B495,'الزبائن'!$A$6:$A$505,0)),"source key not found"))</x:f>
      </x:c>
      <x:c r="AD495" s="253" t="str">
        <x:f>IF(AND(A495="",C495="",D495="",I495="",L495="",M495=""),"",IF(C495="skip","SKIP",IF(OR(A495="",C495="",D495="",I495="",L495="",M495="",U495="",COUNTIF($A$6:$A$505,A495)&gt;1,AND(B495&lt;&gt;"",COUNTIF('الزبائن'!$A$6:$A$505,B495)=0),(COUNTIFS('أرقام التواصل'!$A$6:$A$505,"proposed_name",'أرقام التواصل'!$B$6:$B$505,A495,'أرقام التواصل'!$I$6:$I$505,"TRUE")+COUNTIFS('أرقام التواصل'!$A$6:$A$505,"proposed_name",'أرقام التواصل'!$B$6:$B$505,A495,'أرقام التواصل'!$C$6:$C$505,1))=0,AND(W495="TRUE",X495="")),"REVIEW","READY")))</x:f>
      </x:c>
      <x:c r="AE495" s="255" t="str">
        <x:f>IF(AD495="","",IF(AD495="READY","",IF(AD495="SKIP","Skipped by candidate_import_action",TRIM(IF(A495="","missing proposed_name_key; ","")&amp;IF(AND(A495&lt;&gt;"",COUNTIF($A$6:$A$505,A495)&gt;1),"duplicate proposed_name_key; ","")&amp;IF(C495="","missing candidate_import_action; ","")&amp;IF(D495="","missing move_reason; ","")&amp;IF(I495="","missing branch_id; ","")&amp;IF(L495="","missing first_name; ","")&amp;IF(M495="","missing last_name; ","")&amp;IF(U495="","missing status; ","")&amp;IF(AND(B495&lt;&gt;"",COUNTIF('الزبائن'!$A$6:$A$505,B495)=0),"source key not found; ","")&amp;IF((COUNTIFS('أرقام التواصل'!$A$6:$A$505,"proposed_name",'أرقام التواصل'!$B$6:$B$505,A495,'أرقام التواصل'!$I$6:$I$505,"TRUE")+COUNTIFS('أرقام التواصل'!$A$6:$A$505,"proposed_name",'أرقام التواصل'!$B$6:$B$505,A495,'أرقام التواصل'!$C$6:$C$505,1))=0,"missing primary contact in أرقام التواصل; ","")&amp;IF(AND(W495="TRUE",X495=""),"duplicate_type required when duplicate_flag TRUE; ","")))))</x:f>
      </x:c>
    </x:row>
    <x:row r="496">
      <x:c r="A496" s="302"/>
      <x:c r="B496" s="252"/>
      <x:c r="C496" s="253"/>
      <x:c r="D496" s="253"/>
      <x:c r="E496" s="253"/>
      <x:c r="F496" s="252"/>
      <x:c r="G496" s="253"/>
      <x:c r="H496" s="272"/>
      <x:c r="I496" s="253"/>
      <x:c r="J496" s="253"/>
      <x:c r="K496" s="253"/>
      <x:c r="L496" s="253"/>
      <x:c r="M496" s="253"/>
      <x:c r="N496" s="253"/>
      <x:c r="O496" s="253" t="str">
        <x:f>IF(TRIM(L496&amp;" "&amp;M496&amp;IF(N496&lt;&gt;""," ("&amp;N496&amp;")",""))="","",TRIM(L496&amp;" "&amp;M496&amp;IF(N496&lt;&gt;""," ("&amp;N496&amp;")","")))</x:f>
      </x:c>
      <x:c r="P496" s="253"/>
      <x:c r="Q496" s="252"/>
      <x:c r="R496" s="253"/>
      <x:c r="S496" s="253"/>
      <x:c r="T496" s="253"/>
      <x:c r="U496" s="253"/>
      <x:c r="V496" s="253"/>
      <x:c r="W496" s="253"/>
      <x:c r="X496" s="253"/>
      <x:c r="Y496" s="252"/>
      <x:c r="Z496" s="252"/>
      <x:c r="AA496" s="253"/>
      <x:c r="AB496" s="253" t="str">
        <x:f>IF(B496="","",IFERROR(INDEX('الزبائن'!$BA$6:$BA$505,MATCH(B496,'الزبائن'!$A$6:$A$505,0)),"source key not found"))</x:f>
      </x:c>
      <x:c r="AC496" s="253" t="str">
        <x:f>IF(B496="","",IFERROR(INDEX('الزبائن'!$BB$6:$BB$505,MATCH(B496,'الزبائن'!$A$6:$A$505,0)),"source key not found"))</x:f>
      </x:c>
      <x:c r="AD496" s="253" t="str">
        <x:f>IF(AND(A496="",C496="",D496="",I496="",L496="",M496=""),"",IF(C496="skip","SKIP",IF(OR(A496="",C496="",D496="",I496="",L496="",M496="",U496="",COUNTIF($A$6:$A$505,A496)&gt;1,AND(B496&lt;&gt;"",COUNTIF('الزبائن'!$A$6:$A$505,B496)=0),(COUNTIFS('أرقام التواصل'!$A$6:$A$505,"proposed_name",'أرقام التواصل'!$B$6:$B$505,A496,'أرقام التواصل'!$I$6:$I$505,"TRUE")+COUNTIFS('أرقام التواصل'!$A$6:$A$505,"proposed_name",'أرقام التواصل'!$B$6:$B$505,A496,'أرقام التواصل'!$C$6:$C$505,1))=0,AND(W496="TRUE",X496="")),"REVIEW","READY")))</x:f>
      </x:c>
      <x:c r="AE496" s="255" t="str">
        <x:f>IF(AD496="","",IF(AD496="READY","",IF(AD496="SKIP","Skipped by candidate_import_action",TRIM(IF(A496="","missing proposed_name_key; ","")&amp;IF(AND(A496&lt;&gt;"",COUNTIF($A$6:$A$505,A496)&gt;1),"duplicate proposed_name_key; ","")&amp;IF(C496="","missing candidate_import_action; ","")&amp;IF(D496="","missing move_reason; ","")&amp;IF(I496="","missing branch_id; ","")&amp;IF(L496="","missing first_name; ","")&amp;IF(M496="","missing last_name; ","")&amp;IF(U496="","missing status; ","")&amp;IF(AND(B496&lt;&gt;"",COUNTIF('الزبائن'!$A$6:$A$505,B496)=0),"source key not found; ","")&amp;IF((COUNTIFS('أرقام التواصل'!$A$6:$A$505,"proposed_name",'أرقام التواصل'!$B$6:$B$505,A496,'أرقام التواصل'!$I$6:$I$505,"TRUE")+COUNTIFS('أرقام التواصل'!$A$6:$A$505,"proposed_name",'أرقام التواصل'!$B$6:$B$505,A496,'أرقام التواصل'!$C$6:$C$505,1))=0,"missing primary contact in أرقام التواصل; ","")&amp;IF(AND(W496="TRUE",X496=""),"duplicate_type required when duplicate_flag TRUE; ","")))))</x:f>
      </x:c>
    </x:row>
    <x:row r="497">
      <x:c r="A497" s="302"/>
      <x:c r="B497" s="252"/>
      <x:c r="C497" s="253"/>
      <x:c r="D497" s="253"/>
      <x:c r="E497" s="253"/>
      <x:c r="F497" s="252"/>
      <x:c r="G497" s="253"/>
      <x:c r="H497" s="272"/>
      <x:c r="I497" s="253"/>
      <x:c r="J497" s="253"/>
      <x:c r="K497" s="253"/>
      <x:c r="L497" s="253"/>
      <x:c r="M497" s="253"/>
      <x:c r="N497" s="253"/>
      <x:c r="O497" s="253" t="str">
        <x:f>IF(TRIM(L497&amp;" "&amp;M497&amp;IF(N497&lt;&gt;""," ("&amp;N497&amp;")",""))="","",TRIM(L497&amp;" "&amp;M497&amp;IF(N497&lt;&gt;""," ("&amp;N497&amp;")","")))</x:f>
      </x:c>
      <x:c r="P497" s="253"/>
      <x:c r="Q497" s="252"/>
      <x:c r="R497" s="253"/>
      <x:c r="S497" s="253"/>
      <x:c r="T497" s="253"/>
      <x:c r="U497" s="253"/>
      <x:c r="V497" s="253"/>
      <x:c r="W497" s="253"/>
      <x:c r="X497" s="253"/>
      <x:c r="Y497" s="252"/>
      <x:c r="Z497" s="252"/>
      <x:c r="AA497" s="253"/>
      <x:c r="AB497" s="253" t="str">
        <x:f>IF(B497="","",IFERROR(INDEX('الزبائن'!$BA$6:$BA$505,MATCH(B497,'الزبائن'!$A$6:$A$505,0)),"source key not found"))</x:f>
      </x:c>
      <x:c r="AC497" s="253" t="str">
        <x:f>IF(B497="","",IFERROR(INDEX('الزبائن'!$BB$6:$BB$505,MATCH(B497,'الزبائن'!$A$6:$A$505,0)),"source key not found"))</x:f>
      </x:c>
      <x:c r="AD497" s="253" t="str">
        <x:f>IF(AND(A497="",C497="",D497="",I497="",L497="",M497=""),"",IF(C497="skip","SKIP",IF(OR(A497="",C497="",D497="",I497="",L497="",M497="",U497="",COUNTIF($A$6:$A$505,A497)&gt;1,AND(B497&lt;&gt;"",COUNTIF('الزبائن'!$A$6:$A$505,B497)=0),(COUNTIFS('أرقام التواصل'!$A$6:$A$505,"proposed_name",'أرقام التواصل'!$B$6:$B$505,A497,'أرقام التواصل'!$I$6:$I$505,"TRUE")+COUNTIFS('أرقام التواصل'!$A$6:$A$505,"proposed_name",'أرقام التواصل'!$B$6:$B$505,A497,'أرقام التواصل'!$C$6:$C$505,1))=0,AND(W497="TRUE",X497="")),"REVIEW","READY")))</x:f>
      </x:c>
      <x:c r="AE497" s="255" t="str">
        <x:f>IF(AD497="","",IF(AD497="READY","",IF(AD497="SKIP","Skipped by candidate_import_action",TRIM(IF(A497="","missing proposed_name_key; ","")&amp;IF(AND(A497&lt;&gt;"",COUNTIF($A$6:$A$505,A497)&gt;1),"duplicate proposed_name_key; ","")&amp;IF(C497="","missing candidate_import_action; ","")&amp;IF(D497="","missing move_reason; ","")&amp;IF(I497="","missing branch_id; ","")&amp;IF(L497="","missing first_name; ","")&amp;IF(M497="","missing last_name; ","")&amp;IF(U497="","missing status; ","")&amp;IF(AND(B497&lt;&gt;"",COUNTIF('الزبائن'!$A$6:$A$505,B497)=0),"source key not found; ","")&amp;IF((COUNTIFS('أرقام التواصل'!$A$6:$A$505,"proposed_name",'أرقام التواصل'!$B$6:$B$505,A497,'أرقام التواصل'!$I$6:$I$505,"TRUE")+COUNTIFS('أرقام التواصل'!$A$6:$A$505,"proposed_name",'أرقام التواصل'!$B$6:$B$505,A497,'أرقام التواصل'!$C$6:$C$505,1))=0,"missing primary contact in أرقام التواصل; ","")&amp;IF(AND(W497="TRUE",X497=""),"duplicate_type required when duplicate_flag TRUE; ","")))))</x:f>
      </x:c>
    </x:row>
    <x:row r="498">
      <x:c r="A498" s="302"/>
      <x:c r="B498" s="252"/>
      <x:c r="C498" s="253"/>
      <x:c r="D498" s="253"/>
      <x:c r="E498" s="253"/>
      <x:c r="F498" s="252"/>
      <x:c r="G498" s="253"/>
      <x:c r="H498" s="272"/>
      <x:c r="I498" s="253"/>
      <x:c r="J498" s="253"/>
      <x:c r="K498" s="253"/>
      <x:c r="L498" s="253"/>
      <x:c r="M498" s="253"/>
      <x:c r="N498" s="253"/>
      <x:c r="O498" s="253" t="str">
        <x:f>IF(TRIM(L498&amp;" "&amp;M498&amp;IF(N498&lt;&gt;""," ("&amp;N498&amp;")",""))="","",TRIM(L498&amp;" "&amp;M498&amp;IF(N498&lt;&gt;""," ("&amp;N498&amp;")","")))</x:f>
      </x:c>
      <x:c r="P498" s="253"/>
      <x:c r="Q498" s="252"/>
      <x:c r="R498" s="253"/>
      <x:c r="S498" s="253"/>
      <x:c r="T498" s="253"/>
      <x:c r="U498" s="253"/>
      <x:c r="V498" s="253"/>
      <x:c r="W498" s="253"/>
      <x:c r="X498" s="253"/>
      <x:c r="Y498" s="252"/>
      <x:c r="Z498" s="252"/>
      <x:c r="AA498" s="253"/>
      <x:c r="AB498" s="253" t="str">
        <x:f>IF(B498="","",IFERROR(INDEX('الزبائن'!$BA$6:$BA$505,MATCH(B498,'الزبائن'!$A$6:$A$505,0)),"source key not found"))</x:f>
      </x:c>
      <x:c r="AC498" s="253" t="str">
        <x:f>IF(B498="","",IFERROR(INDEX('الزبائن'!$BB$6:$BB$505,MATCH(B498,'الزبائن'!$A$6:$A$505,0)),"source key not found"))</x:f>
      </x:c>
      <x:c r="AD498" s="253" t="str">
        <x:f>IF(AND(A498="",C498="",D498="",I498="",L498="",M498=""),"",IF(C498="skip","SKIP",IF(OR(A498="",C498="",D498="",I498="",L498="",M498="",U498="",COUNTIF($A$6:$A$505,A498)&gt;1,AND(B498&lt;&gt;"",COUNTIF('الزبائن'!$A$6:$A$505,B498)=0),(COUNTIFS('أرقام التواصل'!$A$6:$A$505,"proposed_name",'أرقام التواصل'!$B$6:$B$505,A498,'أرقام التواصل'!$I$6:$I$505,"TRUE")+COUNTIFS('أرقام التواصل'!$A$6:$A$505,"proposed_name",'أرقام التواصل'!$B$6:$B$505,A498,'أرقام التواصل'!$C$6:$C$505,1))=0,AND(W498="TRUE",X498="")),"REVIEW","READY")))</x:f>
      </x:c>
      <x:c r="AE498" s="255" t="str">
        <x:f>IF(AD498="","",IF(AD498="READY","",IF(AD498="SKIP","Skipped by candidate_import_action",TRIM(IF(A498="","missing proposed_name_key; ","")&amp;IF(AND(A498&lt;&gt;"",COUNTIF($A$6:$A$505,A498)&gt;1),"duplicate proposed_name_key; ","")&amp;IF(C498="","missing candidate_import_action; ","")&amp;IF(D498="","missing move_reason; ","")&amp;IF(I498="","missing branch_id; ","")&amp;IF(L498="","missing first_name; ","")&amp;IF(M498="","missing last_name; ","")&amp;IF(U498="","missing status; ","")&amp;IF(AND(B498&lt;&gt;"",COUNTIF('الزبائن'!$A$6:$A$505,B498)=0),"source key not found; ","")&amp;IF((COUNTIFS('أرقام التواصل'!$A$6:$A$505,"proposed_name",'أرقام التواصل'!$B$6:$B$505,A498,'أرقام التواصل'!$I$6:$I$505,"TRUE")+COUNTIFS('أرقام التواصل'!$A$6:$A$505,"proposed_name",'أرقام التواصل'!$B$6:$B$505,A498,'أرقام التواصل'!$C$6:$C$505,1))=0,"missing primary contact in أرقام التواصل; ","")&amp;IF(AND(W498="TRUE",X498=""),"duplicate_type required when duplicate_flag TRUE; ","")))))</x:f>
      </x:c>
    </x:row>
    <x:row r="499">
      <x:c r="A499" s="302"/>
      <x:c r="B499" s="252"/>
      <x:c r="C499" s="253"/>
      <x:c r="D499" s="253"/>
      <x:c r="E499" s="253"/>
      <x:c r="F499" s="252"/>
      <x:c r="G499" s="253"/>
      <x:c r="H499" s="272"/>
      <x:c r="I499" s="253"/>
      <x:c r="J499" s="253"/>
      <x:c r="K499" s="253"/>
      <x:c r="L499" s="253"/>
      <x:c r="M499" s="253"/>
      <x:c r="N499" s="253"/>
      <x:c r="O499" s="253" t="str">
        <x:f>IF(TRIM(L499&amp;" "&amp;M499&amp;IF(N499&lt;&gt;""," ("&amp;N499&amp;")",""))="","",TRIM(L499&amp;" "&amp;M499&amp;IF(N499&lt;&gt;""," ("&amp;N499&amp;")","")))</x:f>
      </x:c>
      <x:c r="P499" s="253"/>
      <x:c r="Q499" s="252"/>
      <x:c r="R499" s="253"/>
      <x:c r="S499" s="253"/>
      <x:c r="T499" s="253"/>
      <x:c r="U499" s="253"/>
      <x:c r="V499" s="253"/>
      <x:c r="W499" s="253"/>
      <x:c r="X499" s="253"/>
      <x:c r="Y499" s="252"/>
      <x:c r="Z499" s="252"/>
      <x:c r="AA499" s="253"/>
      <x:c r="AB499" s="253" t="str">
        <x:f>IF(B499="","",IFERROR(INDEX('الزبائن'!$BA$6:$BA$505,MATCH(B499,'الزبائن'!$A$6:$A$505,0)),"source key not found"))</x:f>
      </x:c>
      <x:c r="AC499" s="253" t="str">
        <x:f>IF(B499="","",IFERROR(INDEX('الزبائن'!$BB$6:$BB$505,MATCH(B499,'الزبائن'!$A$6:$A$505,0)),"source key not found"))</x:f>
      </x:c>
      <x:c r="AD499" s="253" t="str">
        <x:f>IF(AND(A499="",C499="",D499="",I499="",L499="",M499=""),"",IF(C499="skip","SKIP",IF(OR(A499="",C499="",D499="",I499="",L499="",M499="",U499="",COUNTIF($A$6:$A$505,A499)&gt;1,AND(B499&lt;&gt;"",COUNTIF('الزبائن'!$A$6:$A$505,B499)=0),(COUNTIFS('أرقام التواصل'!$A$6:$A$505,"proposed_name",'أرقام التواصل'!$B$6:$B$505,A499,'أرقام التواصل'!$I$6:$I$505,"TRUE")+COUNTIFS('أرقام التواصل'!$A$6:$A$505,"proposed_name",'أرقام التواصل'!$B$6:$B$505,A499,'أرقام التواصل'!$C$6:$C$505,1))=0,AND(W499="TRUE",X499="")),"REVIEW","READY")))</x:f>
      </x:c>
      <x:c r="AE499" s="255" t="str">
        <x:f>IF(AD499="","",IF(AD499="READY","",IF(AD499="SKIP","Skipped by candidate_import_action",TRIM(IF(A499="","missing proposed_name_key; ","")&amp;IF(AND(A499&lt;&gt;"",COUNTIF($A$6:$A$505,A499)&gt;1),"duplicate proposed_name_key; ","")&amp;IF(C499="","missing candidate_import_action; ","")&amp;IF(D499="","missing move_reason; ","")&amp;IF(I499="","missing branch_id; ","")&amp;IF(L499="","missing first_name; ","")&amp;IF(M499="","missing last_name; ","")&amp;IF(U499="","missing status; ","")&amp;IF(AND(B499&lt;&gt;"",COUNTIF('الزبائن'!$A$6:$A$505,B499)=0),"source key not found; ","")&amp;IF((COUNTIFS('أرقام التواصل'!$A$6:$A$505,"proposed_name",'أرقام التواصل'!$B$6:$B$505,A499,'أرقام التواصل'!$I$6:$I$505,"TRUE")+COUNTIFS('أرقام التواصل'!$A$6:$A$505,"proposed_name",'أرقام التواصل'!$B$6:$B$505,A499,'أرقام التواصل'!$C$6:$C$505,1))=0,"missing primary contact in أرقام التواصل; ","")&amp;IF(AND(W499="TRUE",X499=""),"duplicate_type required when duplicate_flag TRUE; ","")))))</x:f>
      </x:c>
    </x:row>
    <x:row r="500">
      <x:c r="A500" s="302"/>
      <x:c r="B500" s="252"/>
      <x:c r="C500" s="253"/>
      <x:c r="D500" s="253"/>
      <x:c r="E500" s="253"/>
      <x:c r="F500" s="252"/>
      <x:c r="G500" s="253"/>
      <x:c r="H500" s="272"/>
      <x:c r="I500" s="253"/>
      <x:c r="J500" s="253"/>
      <x:c r="K500" s="253"/>
      <x:c r="L500" s="253"/>
      <x:c r="M500" s="253"/>
      <x:c r="N500" s="253"/>
      <x:c r="O500" s="253" t="str">
        <x:f>IF(TRIM(L500&amp;" "&amp;M500&amp;IF(N500&lt;&gt;""," ("&amp;N500&amp;")",""))="","",TRIM(L500&amp;" "&amp;M500&amp;IF(N500&lt;&gt;""," ("&amp;N500&amp;")","")))</x:f>
      </x:c>
      <x:c r="P500" s="253"/>
      <x:c r="Q500" s="252"/>
      <x:c r="R500" s="253"/>
      <x:c r="S500" s="253"/>
      <x:c r="T500" s="253"/>
      <x:c r="U500" s="253"/>
      <x:c r="V500" s="253"/>
      <x:c r="W500" s="253"/>
      <x:c r="X500" s="253"/>
      <x:c r="Y500" s="252"/>
      <x:c r="Z500" s="252"/>
      <x:c r="AA500" s="253"/>
      <x:c r="AB500" s="253" t="str">
        <x:f>IF(B500="","",IFERROR(INDEX('الزبائن'!$BA$6:$BA$505,MATCH(B500,'الزبائن'!$A$6:$A$505,0)),"source key not found"))</x:f>
      </x:c>
      <x:c r="AC500" s="253" t="str">
        <x:f>IF(B500="","",IFERROR(INDEX('الزبائن'!$BB$6:$BB$505,MATCH(B500,'الزبائن'!$A$6:$A$505,0)),"source key not found"))</x:f>
      </x:c>
      <x:c r="AD500" s="253" t="str">
        <x:f>IF(AND(A500="",C500="",D500="",I500="",L500="",M500=""),"",IF(C500="skip","SKIP",IF(OR(A500="",C500="",D500="",I500="",L500="",M500="",U500="",COUNTIF($A$6:$A$505,A500)&gt;1,AND(B500&lt;&gt;"",COUNTIF('الزبائن'!$A$6:$A$505,B500)=0),(COUNTIFS('أرقام التواصل'!$A$6:$A$505,"proposed_name",'أرقام التواصل'!$B$6:$B$505,A500,'أرقام التواصل'!$I$6:$I$505,"TRUE")+COUNTIFS('أرقام التواصل'!$A$6:$A$505,"proposed_name",'أرقام التواصل'!$B$6:$B$505,A500,'أرقام التواصل'!$C$6:$C$505,1))=0,AND(W500="TRUE",X500="")),"REVIEW","READY")))</x:f>
      </x:c>
      <x:c r="AE500" s="255" t="str">
        <x:f>IF(AD500="","",IF(AD500="READY","",IF(AD500="SKIP","Skipped by candidate_import_action",TRIM(IF(A500="","missing proposed_name_key; ","")&amp;IF(AND(A500&lt;&gt;"",COUNTIF($A$6:$A$505,A500)&gt;1),"duplicate proposed_name_key; ","")&amp;IF(C500="","missing candidate_import_action; ","")&amp;IF(D500="","missing move_reason; ","")&amp;IF(I500="","missing branch_id; ","")&amp;IF(L500="","missing first_name; ","")&amp;IF(M500="","missing last_name; ","")&amp;IF(U500="","missing status; ","")&amp;IF(AND(B500&lt;&gt;"",COUNTIF('الزبائن'!$A$6:$A$505,B500)=0),"source key not found; ","")&amp;IF((COUNTIFS('أرقام التواصل'!$A$6:$A$505,"proposed_name",'أرقام التواصل'!$B$6:$B$505,A500,'أرقام التواصل'!$I$6:$I$505,"TRUE")+COUNTIFS('أرقام التواصل'!$A$6:$A$505,"proposed_name",'أرقام التواصل'!$B$6:$B$505,A500,'أرقام التواصل'!$C$6:$C$505,1))=0,"missing primary contact in أرقام التواصل; ","")&amp;IF(AND(W500="TRUE",X500=""),"duplicate_type required when duplicate_flag TRUE; ","")))))</x:f>
      </x:c>
    </x:row>
    <x:row r="501">
      <x:c r="A501" s="302"/>
      <x:c r="B501" s="252"/>
      <x:c r="C501" s="253"/>
      <x:c r="D501" s="253"/>
      <x:c r="E501" s="253"/>
      <x:c r="F501" s="252"/>
      <x:c r="G501" s="253"/>
      <x:c r="H501" s="272"/>
      <x:c r="I501" s="253"/>
      <x:c r="J501" s="253"/>
      <x:c r="K501" s="253"/>
      <x:c r="L501" s="253"/>
      <x:c r="M501" s="253"/>
      <x:c r="N501" s="253"/>
      <x:c r="O501" s="253" t="str">
        <x:f>IF(TRIM(L501&amp;" "&amp;M501&amp;IF(N501&lt;&gt;""," ("&amp;N501&amp;")",""))="","",TRIM(L501&amp;" "&amp;M501&amp;IF(N501&lt;&gt;""," ("&amp;N501&amp;")","")))</x:f>
      </x:c>
      <x:c r="P501" s="253"/>
      <x:c r="Q501" s="252"/>
      <x:c r="R501" s="253"/>
      <x:c r="S501" s="253"/>
      <x:c r="T501" s="253"/>
      <x:c r="U501" s="253"/>
      <x:c r="V501" s="253"/>
      <x:c r="W501" s="253"/>
      <x:c r="X501" s="253"/>
      <x:c r="Y501" s="252"/>
      <x:c r="Z501" s="252"/>
      <x:c r="AA501" s="253"/>
      <x:c r="AB501" s="253" t="str">
        <x:f>IF(B501="","",IFERROR(INDEX('الزبائن'!$BA$6:$BA$505,MATCH(B501,'الزبائن'!$A$6:$A$505,0)),"source key not found"))</x:f>
      </x:c>
      <x:c r="AC501" s="253" t="str">
        <x:f>IF(B501="","",IFERROR(INDEX('الزبائن'!$BB$6:$BB$505,MATCH(B501,'الزبائن'!$A$6:$A$505,0)),"source key not found"))</x:f>
      </x:c>
      <x:c r="AD501" s="253" t="str">
        <x:f>IF(AND(A501="",C501="",D501="",I501="",L501="",M501=""),"",IF(C501="skip","SKIP",IF(OR(A501="",C501="",D501="",I501="",L501="",M501="",U501="",COUNTIF($A$6:$A$505,A501)&gt;1,AND(B501&lt;&gt;"",COUNTIF('الزبائن'!$A$6:$A$505,B501)=0),(COUNTIFS('أرقام التواصل'!$A$6:$A$505,"proposed_name",'أرقام التواصل'!$B$6:$B$505,A501,'أرقام التواصل'!$I$6:$I$505,"TRUE")+COUNTIFS('أرقام التواصل'!$A$6:$A$505,"proposed_name",'أرقام التواصل'!$B$6:$B$505,A501,'أرقام التواصل'!$C$6:$C$505,1))=0,AND(W501="TRUE",X501="")),"REVIEW","READY")))</x:f>
      </x:c>
      <x:c r="AE501" s="255" t="str">
        <x:f>IF(AD501="","",IF(AD501="READY","",IF(AD501="SKIP","Skipped by candidate_import_action",TRIM(IF(A501="","missing proposed_name_key; ","")&amp;IF(AND(A501&lt;&gt;"",COUNTIF($A$6:$A$505,A501)&gt;1),"duplicate proposed_name_key; ","")&amp;IF(C501="","missing candidate_import_action; ","")&amp;IF(D501="","missing move_reason; ","")&amp;IF(I501="","missing branch_id; ","")&amp;IF(L501="","missing first_name; ","")&amp;IF(M501="","missing last_name; ","")&amp;IF(U501="","missing status; ","")&amp;IF(AND(B501&lt;&gt;"",COUNTIF('الزبائن'!$A$6:$A$505,B501)=0),"source key not found; ","")&amp;IF((COUNTIFS('أرقام التواصل'!$A$6:$A$505,"proposed_name",'أرقام التواصل'!$B$6:$B$505,A501,'أرقام التواصل'!$I$6:$I$505,"TRUE")+COUNTIFS('أرقام التواصل'!$A$6:$A$505,"proposed_name",'أرقام التواصل'!$B$6:$B$505,A501,'أرقام التواصل'!$C$6:$C$505,1))=0,"missing primary contact in أرقام التواصل; ","")&amp;IF(AND(W501="TRUE",X501=""),"duplicate_type required when duplicate_flag TRUE; ","")))))</x:f>
      </x:c>
    </x:row>
    <x:row r="502">
      <x:c r="A502" s="302"/>
      <x:c r="B502" s="252"/>
      <x:c r="C502" s="253"/>
      <x:c r="D502" s="253"/>
      <x:c r="E502" s="253"/>
      <x:c r="F502" s="252"/>
      <x:c r="G502" s="253"/>
      <x:c r="H502" s="272"/>
      <x:c r="I502" s="253"/>
      <x:c r="J502" s="253"/>
      <x:c r="K502" s="253"/>
      <x:c r="L502" s="253"/>
      <x:c r="M502" s="253"/>
      <x:c r="N502" s="253"/>
      <x:c r="O502" s="253" t="str">
        <x:f>IF(TRIM(L502&amp;" "&amp;M502&amp;IF(N502&lt;&gt;""," ("&amp;N502&amp;")",""))="","",TRIM(L502&amp;" "&amp;M502&amp;IF(N502&lt;&gt;""," ("&amp;N502&amp;")","")))</x:f>
      </x:c>
      <x:c r="P502" s="253"/>
      <x:c r="Q502" s="252"/>
      <x:c r="R502" s="253"/>
      <x:c r="S502" s="253"/>
      <x:c r="T502" s="253"/>
      <x:c r="U502" s="253"/>
      <x:c r="V502" s="253"/>
      <x:c r="W502" s="253"/>
      <x:c r="X502" s="253"/>
      <x:c r="Y502" s="252"/>
      <x:c r="Z502" s="252"/>
      <x:c r="AA502" s="253"/>
      <x:c r="AB502" s="253" t="str">
        <x:f>IF(B502="","",IFERROR(INDEX('الزبائن'!$BA$6:$BA$505,MATCH(B502,'الزبائن'!$A$6:$A$505,0)),"source key not found"))</x:f>
      </x:c>
      <x:c r="AC502" s="253" t="str">
        <x:f>IF(B502="","",IFERROR(INDEX('الزبائن'!$BB$6:$BB$505,MATCH(B502,'الزبائن'!$A$6:$A$505,0)),"source key not found"))</x:f>
      </x:c>
      <x:c r="AD502" s="253" t="str">
        <x:f>IF(AND(A502="",C502="",D502="",I502="",L502="",M502=""),"",IF(C502="skip","SKIP",IF(OR(A502="",C502="",D502="",I502="",L502="",M502="",U502="",COUNTIF($A$6:$A$505,A502)&gt;1,AND(B502&lt;&gt;"",COUNTIF('الزبائن'!$A$6:$A$505,B502)=0),(COUNTIFS('أرقام التواصل'!$A$6:$A$505,"proposed_name",'أرقام التواصل'!$B$6:$B$505,A502,'أرقام التواصل'!$I$6:$I$505,"TRUE")+COUNTIFS('أرقام التواصل'!$A$6:$A$505,"proposed_name",'أرقام التواصل'!$B$6:$B$505,A502,'أرقام التواصل'!$C$6:$C$505,1))=0,AND(W502="TRUE",X502="")),"REVIEW","READY")))</x:f>
      </x:c>
      <x:c r="AE502" s="255" t="str">
        <x:f>IF(AD502="","",IF(AD502="READY","",IF(AD502="SKIP","Skipped by candidate_import_action",TRIM(IF(A502="","missing proposed_name_key; ","")&amp;IF(AND(A502&lt;&gt;"",COUNTIF($A$6:$A$505,A502)&gt;1),"duplicate proposed_name_key; ","")&amp;IF(C502="","missing candidate_import_action; ","")&amp;IF(D502="","missing move_reason; ","")&amp;IF(I502="","missing branch_id; ","")&amp;IF(L502="","missing first_name; ","")&amp;IF(M502="","missing last_name; ","")&amp;IF(U502="","missing status; ","")&amp;IF(AND(B502&lt;&gt;"",COUNTIF('الزبائن'!$A$6:$A$505,B502)=0),"source key not found; ","")&amp;IF((COUNTIFS('أرقام التواصل'!$A$6:$A$505,"proposed_name",'أرقام التواصل'!$B$6:$B$505,A502,'أرقام التواصل'!$I$6:$I$505,"TRUE")+COUNTIFS('أرقام التواصل'!$A$6:$A$505,"proposed_name",'أرقام التواصل'!$B$6:$B$505,A502,'أرقام التواصل'!$C$6:$C$505,1))=0,"missing primary contact in أرقام التواصل; ","")&amp;IF(AND(W502="TRUE",X502=""),"duplicate_type required when duplicate_flag TRUE; ","")))))</x:f>
      </x:c>
    </x:row>
    <x:row r="503">
      <x:c r="A503" s="302"/>
      <x:c r="B503" s="252"/>
      <x:c r="C503" s="253"/>
      <x:c r="D503" s="253"/>
      <x:c r="E503" s="253"/>
      <x:c r="F503" s="252"/>
      <x:c r="G503" s="253"/>
      <x:c r="H503" s="272"/>
      <x:c r="I503" s="253"/>
      <x:c r="J503" s="253"/>
      <x:c r="K503" s="253"/>
      <x:c r="L503" s="253"/>
      <x:c r="M503" s="253"/>
      <x:c r="N503" s="253"/>
      <x:c r="O503" s="253" t="str">
        <x:f>IF(TRIM(L503&amp;" "&amp;M503&amp;IF(N503&lt;&gt;""," ("&amp;N503&amp;")",""))="","",TRIM(L503&amp;" "&amp;M503&amp;IF(N503&lt;&gt;""," ("&amp;N503&amp;")","")))</x:f>
      </x:c>
      <x:c r="P503" s="253"/>
      <x:c r="Q503" s="252"/>
      <x:c r="R503" s="253"/>
      <x:c r="S503" s="253"/>
      <x:c r="T503" s="253"/>
      <x:c r="U503" s="253"/>
      <x:c r="V503" s="253"/>
      <x:c r="W503" s="253"/>
      <x:c r="X503" s="253"/>
      <x:c r="Y503" s="252"/>
      <x:c r="Z503" s="252"/>
      <x:c r="AA503" s="253"/>
      <x:c r="AB503" s="253" t="str">
        <x:f>IF(B503="","",IFERROR(INDEX('الزبائن'!$BA$6:$BA$505,MATCH(B503,'الزبائن'!$A$6:$A$505,0)),"source key not found"))</x:f>
      </x:c>
      <x:c r="AC503" s="253" t="str">
        <x:f>IF(B503="","",IFERROR(INDEX('الزبائن'!$BB$6:$BB$505,MATCH(B503,'الزبائن'!$A$6:$A$505,0)),"source key not found"))</x:f>
      </x:c>
      <x:c r="AD503" s="253" t="str">
        <x:f>IF(AND(A503="",C503="",D503="",I503="",L503="",M503=""),"",IF(C503="skip","SKIP",IF(OR(A503="",C503="",D503="",I503="",L503="",M503="",U503="",COUNTIF($A$6:$A$505,A503)&gt;1,AND(B503&lt;&gt;"",COUNTIF('الزبائن'!$A$6:$A$505,B503)=0),(COUNTIFS('أرقام التواصل'!$A$6:$A$505,"proposed_name",'أرقام التواصل'!$B$6:$B$505,A503,'أرقام التواصل'!$I$6:$I$505,"TRUE")+COUNTIFS('أرقام التواصل'!$A$6:$A$505,"proposed_name",'أرقام التواصل'!$B$6:$B$505,A503,'أرقام التواصل'!$C$6:$C$505,1))=0,AND(W503="TRUE",X503="")),"REVIEW","READY")))</x:f>
      </x:c>
      <x:c r="AE503" s="255" t="str">
        <x:f>IF(AD503="","",IF(AD503="READY","",IF(AD503="SKIP","Skipped by candidate_import_action",TRIM(IF(A503="","missing proposed_name_key; ","")&amp;IF(AND(A503&lt;&gt;"",COUNTIF($A$6:$A$505,A503)&gt;1),"duplicate proposed_name_key; ","")&amp;IF(C503="","missing candidate_import_action; ","")&amp;IF(D503="","missing move_reason; ","")&amp;IF(I503="","missing branch_id; ","")&amp;IF(L503="","missing first_name; ","")&amp;IF(M503="","missing last_name; ","")&amp;IF(U503="","missing status; ","")&amp;IF(AND(B503&lt;&gt;"",COUNTIF('الزبائن'!$A$6:$A$505,B503)=0),"source key not found; ","")&amp;IF((COUNTIFS('أرقام التواصل'!$A$6:$A$505,"proposed_name",'أرقام التواصل'!$B$6:$B$505,A503,'أرقام التواصل'!$I$6:$I$505,"TRUE")+COUNTIFS('أرقام التواصل'!$A$6:$A$505,"proposed_name",'أرقام التواصل'!$B$6:$B$505,A503,'أرقام التواصل'!$C$6:$C$505,1))=0,"missing primary contact in أرقام التواصل; ","")&amp;IF(AND(W503="TRUE",X503=""),"duplicate_type required when duplicate_flag TRUE; ","")))))</x:f>
      </x:c>
    </x:row>
    <x:row r="504">
      <x:c r="A504" s="302"/>
      <x:c r="B504" s="252"/>
      <x:c r="C504" s="253"/>
      <x:c r="D504" s="253"/>
      <x:c r="E504" s="253"/>
      <x:c r="F504" s="252"/>
      <x:c r="G504" s="253"/>
      <x:c r="H504" s="272"/>
      <x:c r="I504" s="253"/>
      <x:c r="J504" s="253"/>
      <x:c r="K504" s="253"/>
      <x:c r="L504" s="253"/>
      <x:c r="M504" s="253"/>
      <x:c r="N504" s="253"/>
      <x:c r="O504" s="253" t="str">
        <x:f>IF(TRIM(L504&amp;" "&amp;M504&amp;IF(N504&lt;&gt;""," ("&amp;N504&amp;")",""))="","",TRIM(L504&amp;" "&amp;M504&amp;IF(N504&lt;&gt;""," ("&amp;N504&amp;")","")))</x:f>
      </x:c>
      <x:c r="P504" s="253"/>
      <x:c r="Q504" s="252"/>
      <x:c r="R504" s="253"/>
      <x:c r="S504" s="253"/>
      <x:c r="T504" s="253"/>
      <x:c r="U504" s="253"/>
      <x:c r="V504" s="253"/>
      <x:c r="W504" s="253"/>
      <x:c r="X504" s="253"/>
      <x:c r="Y504" s="252"/>
      <x:c r="Z504" s="252"/>
      <x:c r="AA504" s="253"/>
      <x:c r="AB504" s="253" t="str">
        <x:f>IF(B504="","",IFERROR(INDEX('الزبائن'!$BA$6:$BA$505,MATCH(B504,'الزبائن'!$A$6:$A$505,0)),"source key not found"))</x:f>
      </x:c>
      <x:c r="AC504" s="253" t="str">
        <x:f>IF(B504="","",IFERROR(INDEX('الزبائن'!$BB$6:$BB$505,MATCH(B504,'الزبائن'!$A$6:$A$505,0)),"source key not found"))</x:f>
      </x:c>
      <x:c r="AD504" s="253" t="str">
        <x:f>IF(AND(A504="",C504="",D504="",I504="",L504="",M504=""),"",IF(C504="skip","SKIP",IF(OR(A504="",C504="",D504="",I504="",L504="",M504="",U504="",COUNTIF($A$6:$A$505,A504)&gt;1,AND(B504&lt;&gt;"",COUNTIF('الزبائن'!$A$6:$A$505,B504)=0),(COUNTIFS('أرقام التواصل'!$A$6:$A$505,"proposed_name",'أرقام التواصل'!$B$6:$B$505,A504,'أرقام التواصل'!$I$6:$I$505,"TRUE")+COUNTIFS('أرقام التواصل'!$A$6:$A$505,"proposed_name",'أرقام التواصل'!$B$6:$B$505,A504,'أرقام التواصل'!$C$6:$C$505,1))=0,AND(W504="TRUE",X504="")),"REVIEW","READY")))</x:f>
      </x:c>
      <x:c r="AE504" s="255" t="str">
        <x:f>IF(AD504="","",IF(AD504="READY","",IF(AD504="SKIP","Skipped by candidate_import_action",TRIM(IF(A504="","missing proposed_name_key; ","")&amp;IF(AND(A504&lt;&gt;"",COUNTIF($A$6:$A$505,A504)&gt;1),"duplicate proposed_name_key; ","")&amp;IF(C504="","missing candidate_import_action; ","")&amp;IF(D504="","missing move_reason; ","")&amp;IF(I504="","missing branch_id; ","")&amp;IF(L504="","missing first_name; ","")&amp;IF(M504="","missing last_name; ","")&amp;IF(U504="","missing status; ","")&amp;IF(AND(B504&lt;&gt;"",COUNTIF('الزبائن'!$A$6:$A$505,B504)=0),"source key not found; ","")&amp;IF((COUNTIFS('أرقام التواصل'!$A$6:$A$505,"proposed_name",'أرقام التواصل'!$B$6:$B$505,A504,'أرقام التواصل'!$I$6:$I$505,"TRUE")+COUNTIFS('أرقام التواصل'!$A$6:$A$505,"proposed_name",'أرقام التواصل'!$B$6:$B$505,A504,'أرقام التواصل'!$C$6:$C$505,1))=0,"missing primary contact in أرقام التواصل; ","")&amp;IF(AND(W504="TRUE",X504=""),"duplicate_type required when duplicate_flag TRUE; ","")))))</x:f>
      </x:c>
    </x:row>
    <x:row r="505">
      <x:c r="A505" s="303"/>
      <x:c r="B505" s="257"/>
      <x:c r="C505" s="258"/>
      <x:c r="D505" s="258"/>
      <x:c r="E505" s="258"/>
      <x:c r="F505" s="257"/>
      <x:c r="G505" s="258"/>
      <x:c r="H505" s="273"/>
      <x:c r="I505" s="258"/>
      <x:c r="J505" s="258"/>
      <x:c r="K505" s="258"/>
      <x:c r="L505" s="258"/>
      <x:c r="M505" s="258"/>
      <x:c r="N505" s="258"/>
      <x:c r="O505" s="258" t="str">
        <x:f>IF(TRIM(L505&amp;" "&amp;M505&amp;IF(N505&lt;&gt;""," ("&amp;N505&amp;")",""))="","",TRIM(L505&amp;" "&amp;M505&amp;IF(N505&lt;&gt;""," ("&amp;N505&amp;")","")))</x:f>
      </x:c>
      <x:c r="P505" s="258"/>
      <x:c r="Q505" s="257"/>
      <x:c r="R505" s="258"/>
      <x:c r="S505" s="258"/>
      <x:c r="T505" s="258"/>
      <x:c r="U505" s="258"/>
      <x:c r="V505" s="258"/>
      <x:c r="W505" s="258"/>
      <x:c r="X505" s="258"/>
      <x:c r="Y505" s="257"/>
      <x:c r="Z505" s="257"/>
      <x:c r="AA505" s="258"/>
      <x:c r="AB505" s="258" t="str">
        <x:f>IF(B505="","",IFERROR(INDEX('الزبائن'!$BA$6:$BA$505,MATCH(B505,'الزبائن'!$A$6:$A$505,0)),"source key not found"))</x:f>
      </x:c>
      <x:c r="AC505" s="258" t="str">
        <x:f>IF(B505="","",IFERROR(INDEX('الزبائن'!$BB$6:$BB$505,MATCH(B505,'الزبائن'!$A$6:$A$505,0)),"source key not found"))</x:f>
      </x:c>
      <x:c r="AD505" s="258" t="str">
        <x:f>IF(AND(A505="",C505="",D505="",I505="",L505="",M505=""),"",IF(C505="skip","SKIP",IF(OR(A505="",C505="",D505="",I505="",L505="",M505="",U505="",COUNTIF($A$6:$A$505,A505)&gt;1,AND(B505&lt;&gt;"",COUNTIF('الزبائن'!$A$6:$A$505,B505)=0),(COUNTIFS('أرقام التواصل'!$A$6:$A$505,"proposed_name",'أرقام التواصل'!$B$6:$B$505,A505,'أرقام التواصل'!$I$6:$I$505,"TRUE")+COUNTIFS('أرقام التواصل'!$A$6:$A$505,"proposed_name",'أرقام التواصل'!$B$6:$B$505,A505,'أرقام التواصل'!$C$6:$C$505,1))=0,AND(W505="TRUE",X505="")),"REVIEW","READY")))</x:f>
      </x:c>
      <x:c r="AE505" s="259" t="str">
        <x:f>IF(AD505="","",IF(AD505="READY","",IF(AD505="SKIP","Skipped by candidate_import_action",TRIM(IF(A505="","missing proposed_name_key; ","")&amp;IF(AND(A505&lt;&gt;"",COUNTIF($A$6:$A$505,A505)&gt;1),"duplicate proposed_name_key; ","")&amp;IF(C505="","missing candidate_import_action; ","")&amp;IF(D505="","missing move_reason; ","")&amp;IF(I505="","missing branch_id; ","")&amp;IF(L505="","missing first_name; ","")&amp;IF(M505="","missing last_name; ","")&amp;IF(U505="","missing status; ","")&amp;IF(AND(B505&lt;&gt;"",COUNTIF('الزبائن'!$A$6:$A$505,B505)=0),"source key not found; ","")&amp;IF((COUNTIFS('أرقام التواصل'!$A$6:$A$505,"proposed_name",'أرقام التواصل'!$B$6:$B$505,A505,'أرقام التواصل'!$I$6:$I$505,"TRUE")+COUNTIFS('أرقام التواصل'!$A$6:$A$505,"proposed_name",'أرقام التواصل'!$B$6:$B$505,A505,'أرقام التواصل'!$C$6:$C$505,1))=0,"missing primary contact in أرقام التواصل; ","")&amp;IF(AND(W505="TRUE",X505=""),"duplicate_type required when duplicate_flag TRUE; ","")))))</x:f>
      </x:c>
    </x:row>
  </x:sheetData>
  <x:mergeCells>
    <x:mergeCell ref="A1:AE1"/>
    <x:mergeCell ref="A2:AE2"/>
    <x:mergeCell ref="A4:C4"/>
    <x:mergeCell ref="D4:E4"/>
    <x:mergeCell ref="F4:H4"/>
    <x:mergeCell ref="I4:K4"/>
    <x:mergeCell ref="L4:O4"/>
    <x:mergeCell ref="P4:T4"/>
    <x:mergeCell ref="W4:Z4"/>
    <x:mergeCell ref="AA4:AE4"/>
  </x:mergeCells>
  <x:conditionalFormatting sqref="AD6:AD505">
    <x:cfRule type="containsText" dxfId="12" priority="1" operator="containsText" text="READY"/>
    <x:cfRule type="containsText" dxfId="13" priority="2" operator="containsText" text="TO_PROPOSED"/>
    <x:cfRule type="containsText" dxfId="14" priority="3" operator="containsText" text="REVIEW"/>
    <x:cfRule type="containsText" dxfId="15" priority="4" operator="containsText" text="SKIP"/>
  </x:conditionalFormatting>
  <x:dataValidations count="7">
    <x:dataValidation type="list" sqref="C6:C505">
      <x:formula1>"create_candidate,update_candidate,skip"</x:formula1>
    </x:dataValidation>
    <x:dataValidation type="list" sqref="D6:D505">
      <x:formula1>"uncertain_identity,duplicate,missing_required_data,missing_or_invalid_phone,unclear_address,unknown_branch,outside_coverage,needs_manual_review"</x:formula1>
    </x:dataValidation>
    <x:dataValidation type="list" sqref="E6:E505">
      <x:formula1>"high,medium,low"</x:formula1>
    </x:dataValidation>
    <x:dataValidation type="list" sqref="T6:T505">
      <x:formula1>"clear,unclear,unknown"</x:formula1>
    </x:dataValidation>
    <x:dataValidation type="list" sqref="U6:U505">
      <x:formula1>"New,Suggested,FollowUp,Contacted,Qualified,Junk"</x:formula1>
    </x:dataValidation>
    <x:dataValidation type="list" sqref="W6:W505">
      <x:formula1>"TRUE,FALSE"</x:formula1>
    </x:dataValidation>
    <x:dataValidation type="list" sqref="X6:X505">
      <x:formula1>"Candidate,Client,Both"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ba7fae224248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28" hidden="0" customWidth="1"/>
    <x:col min="5" max="5" width="16" hidden="0" customWidth="1"/>
    <x:col min="6" max="6" width="34" hidden="0" customWidth="1"/>
    <x:col min="7" max="7" width="30" hidden="0" customWidth="1"/>
    <x:col min="8" max="8" width="64" hidden="0" customWidth="1"/>
  </x:cols>
  <x:sheetData>
    <x:row r="1" ht="34" customHeight="1">
      <x:c r="A1" s="24" t="str">
        <x:v>قاموس أعمدة قالب تهجير الزبائن V4</x:v>
      </x:c>
      <x:c r="B1" s="24" t="str">
        <x:v>قاموس أعمدة قالب تهجير الزبائن V4</x:v>
      </x:c>
      <x:c r="C1" s="24" t="str">
        <x:v>قاموس أعمدة قالب تهجير الزبائن V4</x:v>
      </x:c>
      <x:c r="D1" s="24" t="str">
        <x:v>قاموس أعمدة قالب تهجير الزبائن V4</x:v>
      </x:c>
      <x:c r="E1" s="24" t="str">
        <x:v>قاموس أعمدة قالب تهجير الزبائن V4</x:v>
      </x:c>
      <x:c r="F1" s="24" t="str">
        <x:v>قاموس أعمدة قالب تهجير الزبائن V4</x:v>
      </x:c>
      <x:c r="G1" s="24" t="str">
        <x:v>قاموس أعمدة قالب تهجير الزبائن V4</x:v>
      </x:c>
      <x:c r="H1" s="24" t="str">
        <x:v>قاموس أعمدة قالب تهجير الزبائن V4</x:v>
      </x:c>
    </x:row>
    <x:row r="2" ht="28" customHeight="1">
      <x:c r="A2" s="25" t="str">
        <x:v>شرح الأعمدة، وجهتها التقريبية، وما إذا كانت مطلوبة.</x:v>
      </x:c>
      <x:c r="B2" s="25" t="str">
        <x:v>شرح الأعمدة، وجهتها التقريبية، وما إذا كانت مطلوبة.</x:v>
      </x:c>
      <x:c r="C2" s="25" t="str">
        <x:v>شرح الأعمدة، وجهتها التقريبية، وما إذا كانت مطلوبة.</x:v>
      </x:c>
      <x:c r="D2" s="25" t="str">
        <x:v>شرح الأعمدة، وجهتها التقريبية، وما إذا كانت مطلوبة.</x:v>
      </x:c>
      <x:c r="E2" s="25" t="str">
        <x:v>شرح الأعمدة، وجهتها التقريبية، وما إذا كانت مطلوبة.</x:v>
      </x:c>
      <x:c r="F2" s="25" t="str">
        <x:v>شرح الأعمدة، وجهتها التقريبية، وما إذا كانت مطلوبة.</x:v>
      </x:c>
      <x:c r="G2" s="25" t="str">
        <x:v>شرح الأعمدة، وجهتها التقريبية، وما إذا كانت مطلوبة.</x:v>
      </x:c>
      <x:c r="H2" s="25" t="str">
        <x:v>شرح الأعمدة، وجهتها التقريبية، وما إذا كانت مطلوبة.</x:v>
      </x:c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27" t="str">
        <x:v>الشيت</x:v>
      </x:c>
      <x:c r="B5" s="27" t="str">
        <x:v>القسم</x:v>
      </x:c>
      <x:c r="C5" s="27" t="str">
        <x:v>المفتاح التقني</x:v>
      </x:c>
      <x:c r="D5" s="27" t="str">
        <x:v>العنوان</x:v>
      </x:c>
      <x:c r="E5" s="27" t="str">
        <x:v>الإلزام</x:v>
      </x:c>
      <x:c r="F5" s="27" t="str">
        <x:v>الوجهة</x:v>
      </x:c>
      <x:c r="G5" s="27" t="str">
        <x:v>القيم المقبولة</x:v>
      </x:c>
      <x:c r="H5" s="27" t="str">
        <x:v>ملاحظات</x:v>
      </x:c>
    </x:row>
    <x:row r="6">
      <x:c r="A6" s="29" t="str">
        <x:v>الزبائن</x:v>
      </x:c>
      <x:c r="B6" s="29" t="str">
        <x:v>ربط الهجرة</x:v>
      </x:c>
      <x:c r="C6" s="29" t="str">
        <x:v>migration_customer_key</x:v>
      </x:c>
      <x:c r="D6" s="29" t="str">
        <x:v>مفتاح الزبون للهجرة</x:v>
      </x:c>
      <x:c r="E6" s="29" t="str">
        <x:v>إلزامي</x:v>
      </x:c>
      <x:c r="F6" s="29" t="str">
        <x:v>migration helper</x:v>
      </x:c>
      <x:c r="G6" s="29" t="str">
        <x:v>unique text</x:v>
      </x:c>
      <x:c r="H6" s="29" t="str">
        <x:v>معرف ثابت يربط الزبون مع أرقام التواصل والوسطاء والأسماء المقترحة.</x:v>
      </x:c>
    </x:row>
    <x:row r="7">
      <x:c r="A7" s="29" t="str">
        <x:v>الزبائن</x:v>
      </x:c>
      <x:c r="B7" s="29" t="str">
        <x:v>ربط الهجرة</x:v>
      </x:c>
      <x:c r="C7" s="29" t="str">
        <x:v>import_action</x:v>
      </x:c>
      <x:c r="D7" s="29" t="str">
        <x:v>إجراء الاستيراد</x:v>
      </x:c>
      <x:c r="E7" s="29" t="str">
        <x:v>إلزامي</x:v>
      </x:c>
      <x:c r="F7" s="29" t="str">
        <x:v>import pipeline</x:v>
      </x:c>
      <x:c r="G7" s="29" t="str">
        <x:v>create/update/skip/to_candidate</x:v>
      </x:c>
      <x:c r="H7" s="29" t="str">
        <x:v>استخدم to_candidate عندما تريد نقل الصف لمسار الأسماء المقترحة.</x:v>
      </x:c>
    </x:row>
    <x:row r="8">
      <x:c r="A8" s="29" t="str">
        <x:v>الزبائن</x:v>
      </x:c>
      <x:c r="B8" s="29" t="str">
        <x:v>ربط الهجرة</x:v>
      </x:c>
      <x:c r="C8" s="29" t="str">
        <x:v>old_system_customer_id</x:v>
      </x:c>
      <x:c r="D8" s="29" t="str">
        <x:v>ID النظام القديم</x:v>
      </x:c>
      <x:c r="E8" s="29" t="str">
        <x:v>اختياري</x:v>
      </x:c>
      <x:c r="F8" s="29" t="str">
        <x:v>migration audit</x:v>
      </x:c>
      <x:c r="G8" s="29" t="str">
        <x:v>text</x:v>
      </x:c>
      <x:c r="H8" s="29" t="str">
        <x:v>للمطابقة والتدقيق بعد الاستيراد.</x:v>
      </x:c>
    </x:row>
    <x:row r="9">
      <x:c r="A9" s="29" t="str">
        <x:v>الزبائن</x:v>
      </x:c>
      <x:c r="B9" s="29" t="str">
        <x:v>ربط الهجرة</x:v>
      </x:c>
      <x:c r="C9" s="29" t="str">
        <x:v>old_source_note</x:v>
      </x:c>
      <x:c r="D9" s="29" t="str">
        <x:v>مصدر/جدول قديم</x:v>
      </x:c>
      <x:c r="E9" s="29" t="str">
        <x:v>اختياري</x:v>
      </x:c>
      <x:c r="F9" s="29" t="str">
        <x:v>migration audit</x:v>
      </x:c>
      <x:c r="G9" s="29" t="str">
        <x:v>text</x:v>
      </x:c>
      <x:c r="H9" s="29" t="str">
        <x:v>اسم الملف أو الجدول القادم من النظام القديم.</x:v>
      </x:c>
    </x:row>
    <x:row r="10">
      <x:c r="A10" s="29" t="str">
        <x:v>الزبائن</x:v>
      </x:c>
      <x:c r="B10" s="29" t="str">
        <x:v>ربط الهجرة</x:v>
      </x:c>
      <x:c r="C10" s="29" t="str">
        <x:v>original_created_at</x:v>
      </x:c>
      <x:c r="D10" s="29" t="str">
        <x:v>تاريخ الإنشاء الأصلي</x:v>
      </x:c>
      <x:c r="E10" s="29" t="str">
        <x:v>اختياري/قديم</x:v>
      </x:c>
      <x:c r="F10" s="29" t="str">
        <x:v>legacy.original_created_at</x:v>
      </x:c>
      <x:c r="G10" s="29" t="str">
        <x:v>yyyy-mm-dd</x:v>
      </x:c>
      <x:c r="H10" s="29" t="str">
        <x:v>تاريخ إنشاء السجل في النظام القديم إن وجد. لا يستخدم كحقل تشغيلي مباشر.</x:v>
      </x:c>
    </x:row>
    <x:row r="11">
      <x:c r="A11" s="29" t="str">
        <x:v>الزبائن</x:v>
      </x:c>
      <x:c r="B11" s="29" t="str">
        <x:v>الفرع والملكية</x:v>
      </x:c>
      <x:c r="C11" s="29" t="str">
        <x:v>branch_id</x:v>
      </x:c>
      <x:c r="D11" s="29" t="str">
        <x:v>ID الفرع</x:v>
      </x:c>
      <x:c r="E11" s="29" t="str">
        <x:v>إلزامي</x:v>
      </x:c>
      <x:c r="F11" s="29" t="str">
        <x:v>clients.branch_id</x:v>
      </x:c>
      <x:c r="G11" s="29" t="str">
        <x:v>branches.id</x:v>
      </x:c>
      <x:c r="H11" s="29" t="str">
        <x:v>اعتمد على ID وليس الاسم.</x:v>
      </x:c>
    </x:row>
    <x:row r="12">
      <x:c r="A12" s="29" t="str">
        <x:v>الزبائن</x:v>
      </x:c>
      <x:c r="B12" s="29" t="str">
        <x:v>الفرع والملكية</x:v>
      </x:c>
      <x:c r="C12" s="29" t="str">
        <x:v>branch_name</x:v>
      </x:c>
      <x:c r="D12" s="29" t="str">
        <x:v>اسم الفرع للمراجعة</x:v>
      </x:c>
      <x:c r="E12" s="29" t="str">
        <x:v>مساعد</x:v>
      </x:c>
      <x:c r="F12" s="29" t="str">
        <x:v>branches.name</x:v>
      </x:c>
      <x:c r="G12" s="29" t="str">
        <x:v>text</x:v>
      </x:c>
      <x:c r="H12" s="29" t="str">
        <x:v>للقراءة فقط ولا يغني عن branch_id.</x:v>
      </x:c>
    </x:row>
    <x:row r="13">
      <x:c r="A13" s="29" t="str">
        <x:v>الزبائن</x:v>
      </x:c>
      <x:c r="B13" s="29" t="str">
        <x:v>هوية الزبون</x:v>
      </x:c>
      <x:c r="C13" s="29" t="str">
        <x:v>first_name</x:v>
      </x:c>
      <x:c r="D13" s="29" t="str">
        <x:v>الاسم الأول</x:v>
      </x:c>
      <x:c r="E13" s="29" t="str">
        <x:v>إلزامي</x:v>
      </x:c>
      <x:c r="F13" s="29" t="str">
        <x:v>clients.first_name</x:v>
      </x:c>
      <x:c r="G13" s="29" t="str">
        <x:v>text</x:v>
      </x:c>
      <x:c r="H13" s="29" t="str">
        <x:v>اسم الزبون الأول.</x:v>
      </x:c>
    </x:row>
    <x:row r="14">
      <x:c r="A14" s="29" t="str">
        <x:v>الزبائن</x:v>
      </x:c>
      <x:c r="B14" s="29" t="str">
        <x:v>هوية الزبون</x:v>
      </x:c>
      <x:c r="C14" s="29" t="str">
        <x:v>father_name</x:v>
      </x:c>
      <x:c r="D14" s="29" t="str">
        <x:v>اسم الأب</x:v>
      </x:c>
      <x:c r="E14" s="29" t="str">
        <x:v>اختياري</x:v>
      </x:c>
      <x:c r="F14" s="29" t="str">
        <x:v>clients.father_name</x:v>
      </x:c>
      <x:c r="G14" s="29" t="str">
        <x:v>text</x:v>
      </x:c>
      <x:c r="H14" s="29" t="str">
        <x:v>يفضل تعبئته عند توفره.</x:v>
      </x:c>
    </x:row>
    <x:row r="15">
      <x:c r="A15" s="29" t="str">
        <x:v>الزبائن</x:v>
      </x:c>
      <x:c r="B15" s="29" t="str">
        <x:v>هوية الزبون</x:v>
      </x:c>
      <x:c r="C15" s="29" t="str">
        <x:v>last_name</x:v>
      </x:c>
      <x:c r="D15" s="29" t="str">
        <x:v>الكنية/العائلة</x:v>
      </x:c>
      <x:c r="E15" s="29" t="str">
        <x:v>إلزامي</x:v>
      </x:c>
      <x:c r="F15" s="29" t="str">
        <x:v>clients.last_name</x:v>
      </x:c>
      <x:c r="G15" s="29" t="str">
        <x:v>text</x:v>
      </x:c>
      <x:c r="H15" s="29" t="str">
        <x:v>اسم العائلة أو الكنية.</x:v>
      </x:c>
    </x:row>
    <x:row r="16">
      <x:c r="A16" s="29" t="str">
        <x:v>الزبائن</x:v>
      </x:c>
      <x:c r="B16" s="29" t="str">
        <x:v>هوية الزبون</x:v>
      </x:c>
      <x:c r="C16" s="29" t="str">
        <x:v>nickname</x:v>
      </x:c>
      <x:c r="D16" s="29" t="str">
        <x:v>اللقب</x:v>
      </x:c>
      <x:c r="E16" s="29" t="str">
        <x:v>اختياري</x:v>
      </x:c>
      <x:c r="F16" s="29" t="str">
        <x:v>clients.nickname</x:v>
      </x:c>
      <x:c r="G16" s="29" t="str">
        <x:v>text</x:v>
      </x:c>
      <x:c r="H16" s="29" t="str">
        <x:v>مثال: أبو أحمد.</x:v>
      </x:c>
    </x:row>
    <x:row r="17">
      <x:c r="A17" s="29" t="str">
        <x:v>الزبائن</x:v>
      </x:c>
      <x:c r="B17" s="29" t="str">
        <x:v>هوية الزبون</x:v>
      </x:c>
      <x:c r="C17" s="29" t="str">
        <x:v>full_name_preview</x:v>
      </x:c>
      <x:c r="D17" s="29" t="str">
        <x:v>الاسم الكامل - تلقائي</x:v>
      </x:c>
      <x:c r="E17" s="29" t="str">
        <x:v>محسوب</x:v>
      </x:c>
      <x:c r="F17" s="29" t="str">
        <x:v>clients.name</x:v>
      </x:c>
      <x:c r="G17" s="29" t="str">
        <x:v>formula</x:v>
      </x:c>
      <x:c r="H17" s="29" t="str">
        <x:v>لا تعدله يدويا.</x:v>
      </x:c>
    </x:row>
    <x:row r="18">
      <x:c r="A18" s="29" t="str">
        <x:v>الزبائن</x:v>
      </x:c>
      <x:c r="B18" s="29" t="str">
        <x:v>العنوان - 4 مستويات</x:v>
      </x:c>
      <x:c r="C18" s="29" t="str">
        <x:v>governorate_id</x:v>
      </x:c>
      <x:c r="D18" s="29" t="str">
        <x:v>ID المحافظة</x:v>
      </x:c>
      <x:c r="E18" s="29" t="str">
        <x:v>مساعد</x:v>
      </x:c>
      <x:c r="F18" s="29" t="str">
        <x:v>clients.governorate</x:v>
      </x:c>
      <x:c r="G18" s="29" t="str">
        <x:v>geo_units.id level=1</x:v>
      </x:c>
      <x:c r="H18" s="29" t="str">
        <x:v>المستوى 1.</x:v>
      </x:c>
    </x:row>
    <x:row r="19">
      <x:c r="A19" s="29" t="str">
        <x:v>الزبائن</x:v>
      </x:c>
      <x:c r="B19" s="29" t="str">
        <x:v>العنوان - 4 مستويات</x:v>
      </x:c>
      <x:c r="C19" s="29" t="str">
        <x:v>governorate_name</x:v>
      </x:c>
      <x:c r="D19" s="29" t="str">
        <x:v>اسم المحافظة</x:v>
      </x:c>
      <x:c r="E19" s="29" t="str">
        <x:v>مساعد</x:v>
      </x:c>
      <x:c r="F19" s="29" t="str">
        <x:v>geo_units.name</x:v>
      </x:c>
      <x:c r="G19" s="29" t="str">
        <x:v>text</x:v>
      </x:c>
      <x:c r="H19" s="29" t="str">
        <x:v>للمراجعة البشرية.</x:v>
      </x:c>
    </x:row>
    <x:row r="20">
      <x:c r="A20" s="29" t="str">
        <x:v>الزبائن</x:v>
      </x:c>
      <x:c r="B20" s="29" t="str">
        <x:v>العنوان - 4 مستويات</x:v>
      </x:c>
      <x:c r="C20" s="29" t="str">
        <x:v>region_id</x:v>
      </x:c>
      <x:c r="D20" s="29" t="str">
        <x:v>ID المنطقة</x:v>
      </x:c>
      <x:c r="E20" s="29" t="str">
        <x:v>مساعد</x:v>
      </x:c>
      <x:c r="F20" s="29" t="str">
        <x:v>clients.district</x:v>
      </x:c>
      <x:c r="G20" s="29" t="str">
        <x:v>geo_units.id level=2</x:v>
      </x:c>
      <x:c r="H20" s="29" t="str">
        <x:v>المستوى 2.</x:v>
      </x:c>
    </x:row>
    <x:row r="21">
      <x:c r="A21" s="29" t="str">
        <x:v>الزبائن</x:v>
      </x:c>
      <x:c r="B21" s="29" t="str">
        <x:v>العنوان - 4 مستويات</x:v>
      </x:c>
      <x:c r="C21" s="29" t="str">
        <x:v>region_name</x:v>
      </x:c>
      <x:c r="D21" s="29" t="str">
        <x:v>اسم المنطقة</x:v>
      </x:c>
      <x:c r="E21" s="29" t="str">
        <x:v>مساعد</x:v>
      </x:c>
      <x:c r="F21" s="29" t="str">
        <x:v>geo_units.name</x:v>
      </x:c>
      <x:c r="G21" s="29" t="str">
        <x:v>text</x:v>
      </x:c>
      <x:c r="H21" s="29" t="str">
        <x:v>للمراجعة البشرية.</x:v>
      </x:c>
    </x:row>
    <x:row r="22">
      <x:c r="A22" s="29" t="str">
        <x:v>الزبائن</x:v>
      </x:c>
      <x:c r="B22" s="29" t="str">
        <x:v>العنوان - 4 مستويات</x:v>
      </x:c>
      <x:c r="C22" s="29" t="str">
        <x:v>sub_area_id</x:v>
      </x:c>
      <x:c r="D22" s="29" t="str">
        <x:v>ID الناحية</x:v>
      </x:c>
      <x:c r="E22" s="29" t="str">
        <x:v>مساعد</x:v>
      </x:c>
      <x:c r="F22" s="29" t="str">
        <x:v>geo_units.id level=3</x:v>
      </x:c>
      <x:c r="G22" s="29" t="str">
        <x:v>المستوى 3.</x:v>
      </x:c>
      <x:c r="H22" s="29"/>
    </x:row>
    <x:row r="23">
      <x:c r="A23" s="29" t="str">
        <x:v>الزبائن</x:v>
      </x:c>
      <x:c r="B23" s="29" t="str">
        <x:v>العنوان - 4 مستويات</x:v>
      </x:c>
      <x:c r="C23" s="29" t="str">
        <x:v>sub_area_name</x:v>
      </x:c>
      <x:c r="D23" s="29" t="str">
        <x:v>اسم الناحية</x:v>
      </x:c>
      <x:c r="E23" s="29" t="str">
        <x:v>مساعد</x:v>
      </x:c>
      <x:c r="F23" s="29" t="str">
        <x:v>geo_units.name</x:v>
      </x:c>
      <x:c r="G23" s="29" t="str">
        <x:v>text</x:v>
      </x:c>
      <x:c r="H23" s="29" t="str">
        <x:v>للمراجعة البشرية.</x:v>
      </x:c>
    </x:row>
    <x:row r="24">
      <x:c r="A24" s="29" t="str">
        <x:v>الزبائن</x:v>
      </x:c>
      <x:c r="B24" s="29" t="str">
        <x:v>العنوان - 4 مستويات</x:v>
      </x:c>
      <x:c r="C24" s="29" t="str">
        <x:v>neighborhood_id</x:v>
      </x:c>
      <x:c r="D24" s="29" t="str">
        <x:v>ID الحي</x:v>
      </x:c>
      <x:c r="E24" s="29" t="str">
        <x:v>مساعد</x:v>
      </x:c>
      <x:c r="F24" s="29" t="str">
        <x:v>geo_units.id level=4</x:v>
      </x:c>
      <x:c r="G24" s="29" t="str">
        <x:v>المستوى 4: الحي الحقيقي عندما يكون موجودا.</x:v>
      </x:c>
      <x:c r="H24" s="29"/>
    </x:row>
    <x:row r="25">
      <x:c r="A25" s="29" t="str">
        <x:v>الزبائن</x:v>
      </x:c>
      <x:c r="B25" s="29" t="str">
        <x:v>العنوان - 4 مستويات</x:v>
      </x:c>
      <x:c r="C25" s="29" t="str">
        <x:v>neighborhood_name</x:v>
      </x:c>
      <x:c r="D25" s="29" t="str">
        <x:v>اسم الحي</x:v>
      </x:c>
      <x:c r="E25" s="29" t="str">
        <x:v>مساعد</x:v>
      </x:c>
      <x:c r="F25" s="29" t="str">
        <x:v>geo_units.name</x:v>
      </x:c>
      <x:c r="G25" s="29" t="str">
        <x:v>text</x:v>
      </x:c>
      <x:c r="H25" s="29" t="str">
        <x:v>للمراجعة البشرية.</x:v>
      </x:c>
    </x:row>
    <x:row r="26">
      <x:c r="A26" s="29" t="str">
        <x:v>الزبائن</x:v>
      </x:c>
      <x:c r="B26" s="29" t="str">
        <x:v>العنوان - 4 مستويات</x:v>
      </x:c>
      <x:c r="C26" s="29" t="str">
        <x:v>final_geo_unit_id</x:v>
      </x:c>
      <x:c r="D26" s="29" t="str">
        <x:v>ID الموقع النهائي - تلقائي</x:v>
      </x:c>
      <x:c r="E26" s="29" t="str">
        <x:v>محسوب/إلزامي</x:v>
      </x:c>
      <x:c r="F26" s="29" t="str">
        <x:v>clients.neighborhood</x:v>
      </x:c>
      <x:c r="G26" s="29" t="str">
        <x:v>deepest geo id</x:v>
      </x:c>
      <x:c r="H26" s="29" t="str">
        <x:v>يأخذ الحي إن وجد، وإلا الناحية، وإلا المنطقة، وإلا المحافظة.</x:v>
      </x:c>
    </x:row>
    <x:row r="27">
      <x:c r="A27" s="29" t="str">
        <x:v>الزبائن</x:v>
      </x:c>
      <x:c r="B27" s="29" t="str">
        <x:v>العنوان - 4 مستويات</x:v>
      </x:c>
      <x:c r="C27" s="29" t="str">
        <x:v>final_geo_unit_name</x:v>
      </x:c>
      <x:c r="D27" s="29" t="str">
        <x:v>اسم الموقع النهائي - تلقائي</x:v>
      </x:c>
      <x:c r="E27" s="29" t="str">
        <x:v>محسوب</x:v>
      </x:c>
      <x:c r="F27" s="29" t="str">
        <x:v>geo_units.name</x:v>
      </x:c>
      <x:c r="G27" s="29" t="str">
        <x:v>formula</x:v>
      </x:c>
      <x:c r="H27" s="29" t="str">
        <x:v>اسم أعمق مستوى متوفر.</x:v>
      </x:c>
    </x:row>
    <x:row r="28">
      <x:c r="A28" s="29" t="str">
        <x:v>الزبائن</x:v>
      </x:c>
      <x:c r="B28" s="29" t="str">
        <x:v>العنوان</x:v>
      </x:c>
      <x:c r="C28" s="29" t="str">
        <x:v>legacy_location_info</x:v>
      </x:c>
      <x:c r="D28" s="29" t="str">
        <x:v>معلومات الموقع / قديم</x:v>
      </x:c>
      <x:c r="E28" s="29" t="str">
        <x:v>اختياري/قديم</x:v>
      </x:c>
      <x:c r="F28" s="29" t="str">
        <x:v>legacy.location_info</x:v>
      </x:c>
      <x:c r="G28" s="29" t="str">
        <x:v>text</x:v>
      </x:c>
      <x:c r="H28" s="29" t="str">
        <x:v>أي نص موقع أو كود منطقة أو وصف تغطية قادم من النظام القديم قبل مطابقته مع geo_units.</x:v>
      </x:c>
    </x:row>
    <x:row r="29">
      <x:c r="A29" s="29" t="str">
        <x:v>الزبائن</x:v>
      </x:c>
      <x:c r="B29" s="29" t="str">
        <x:v>العنوان</x:v>
      </x:c>
      <x:c r="C29" s="29" t="str">
        <x:v>detailed_address</x:v>
      </x:c>
      <x:c r="D29" s="29" t="str">
        <x:v>العنوان التفصيلي</x:v>
      </x:c>
      <x:c r="E29" s="29" t="str">
        <x:v>مهم</x:v>
      </x:c>
      <x:c r="F29" s="29" t="str">
        <x:v>clients.detailed_address</x:v>
      </x:c>
      <x:c r="G29" s="29" t="str">
        <x:v>text</x:v>
      </x:c>
      <x:c r="H29" s="29" t="str">
        <x:v>نص العنوان كما يريد الفريق رؤيته.</x:v>
      </x:c>
    </x:row>
    <x:row r="30">
      <x:c r="A30" s="29" t="str">
        <x:v>الزبائن</x:v>
      </x:c>
      <x:c r="B30" s="29" t="str">
        <x:v>العنوان</x:v>
      </x:c>
      <x:c r="C30" s="29" t="str">
        <x:v>address_clarity</x:v>
      </x:c>
      <x:c r="D30" s="29" t="str">
        <x:v>وضوح العنوان</x:v>
      </x:c>
      <x:c r="E30" s="29" t="str">
        <x:v>إلزامي</x:v>
      </x:c>
      <x:c r="F30" s="29" t="str">
        <x:v>cleanup helper</x:v>
      </x:c>
      <x:c r="G30" s="29" t="str">
        <x:v>clear/unclear/unknown</x:v>
      </x:c>
      <x:c r="H30" s="29" t="str">
        <x:v>ضع unclear إذا يحتاج مراجعة قبل اعتماده كزبون.</x:v>
      </x:c>
    </x:row>
    <x:row r="31">
      <x:c r="A31" s="29" t="str">
        <x:v>الزبائن</x:v>
      </x:c>
      <x:c r="B31" s="29" t="str">
        <x:v>العنوان</x:v>
      </x:c>
      <x:c r="C31" s="29" t="str">
        <x:v>gps_lat</x:v>
      </x:c>
      <x:c r="D31" s="29" t="str">
        <x:v>GPS خط العرض</x:v>
      </x:c>
      <x:c r="E31" s="29" t="str">
        <x:v>اختياري</x:v>
      </x:c>
      <x:c r="F31" s="29" t="str">
        <x:v>clients.gps_coordinates</x:v>
      </x:c>
      <x:c r="G31" s="29" t="str">
        <x:v>decimal</x:v>
      </x:c>
      <x:c r="H31" s="29" t="str">
        <x:v>اختياري.</x:v>
      </x:c>
    </x:row>
    <x:row r="32">
      <x:c r="A32" s="29" t="str">
        <x:v>الزبائن</x:v>
      </x:c>
      <x:c r="B32" s="29" t="str">
        <x:v>العنوان</x:v>
      </x:c>
      <x:c r="C32" s="29" t="str">
        <x:v>gps_lng</x:v>
      </x:c>
      <x:c r="D32" s="29" t="str">
        <x:v>GPS خط الطول</x:v>
      </x:c>
      <x:c r="E32" s="29" t="str">
        <x:v>اختياري</x:v>
      </x:c>
      <x:c r="F32" s="29" t="str">
        <x:v>clients.gps_coordinates</x:v>
      </x:c>
      <x:c r="G32" s="29" t="str">
        <x:v>decimal</x:v>
      </x:c>
      <x:c r="H32" s="29" t="str">
        <x:v>اختياري.</x:v>
      </x:c>
    </x:row>
    <x:row r="33">
      <x:c r="A33" s="29" t="str">
        <x:v>الزبائن</x:v>
      </x:c>
      <x:c r="B33" s="29" t="str">
        <x:v>الفرع والملكية</x:v>
      </x:c>
      <x:c r="C33" s="29" t="str">
        <x:v>assignment_user_ids</x:v>
      </x:c>
      <x:c r="D33" s="29" t="str">
        <x:v>IDs المستخدمين المسندين</x:v>
      </x:c>
      <x:c r="E33" s="29" t="str">
        <x:v>اختياري</x:v>
      </x:c>
      <x:c r="F33" s="29" t="str">
        <x:v>client_assignments.user_id</x:v>
      </x:c>
      <x:c r="G33" s="29" t="str">
        <x:v>comma separated ids</x:v>
      </x:c>
      <x:c r="H33" s="29" t="str">
        <x:v>مثال: 12,18.</x:v>
      </x:c>
    </x:row>
    <x:row r="34">
      <x:c r="A34" s="29" t="str">
        <x:v>الزبائن</x:v>
      </x:c>
      <x:c r="B34" s="29" t="str">
        <x:v>حالة الزبون</x:v>
      </x:c>
      <x:c r="C34" s="29" t="str">
        <x:v>candidate_status</x:v>
      </x:c>
      <x:c r="D34" s="29" t="str">
        <x:v>حالة المرشح داخل الزبون</x:v>
      </x:c>
      <x:c r="E34" s="29" t="str">
        <x:v>اختياري</x:v>
      </x:c>
      <x:c r="F34" s="29" t="str">
        <x:v>clients.candidate_status</x:v>
      </x:c>
      <x:c r="G34" s="29" t="str">
        <x:v>Lead/FOP/OP</x:v>
      </x:c>
      <x:c r="H34" s="29" t="str">
        <x:v>عند الحاجة فقط.</x:v>
      </x:c>
    </x:row>
    <x:row r="35">
      <x:c r="A35" s="29" t="str">
        <x:v>الزبائن</x:v>
      </x:c>
      <x:c r="B35" s="29" t="str">
        <x:v>بيانات مدنية</x:v>
      </x:c>
      <x:c r="C35" s="29" t="str">
        <x:v>gender</x:v>
      </x:c>
      <x:c r="D35" s="29" t="str">
        <x:v>الجنس</x:v>
      </x:c>
      <x:c r="E35" s="29" t="str">
        <x:v>اختياري</x:v>
      </x:c>
      <x:c r="F35" s="29" t="str">
        <x:v>clients.gender</x:v>
      </x:c>
      <x:c r="G35" s="29" t="str">
        <x:v>male/female</x:v>
      </x:c>
      <x:c r="H35" s="29" t="str">
        <x:v>اختياري.</x:v>
      </x:c>
    </x:row>
    <x:row r="36">
      <x:c r="A36" s="29" t="str">
        <x:v>الزبائن</x:v>
      </x:c>
      <x:c r="B36" s="29" t="str">
        <x:v>بيانات مدنية</x:v>
      </x:c>
      <x:c r="C36" s="29" t="str">
        <x:v>birth_date</x:v>
      </x:c>
      <x:c r="D36" s="29" t="str">
        <x:v>تاريخ الميلاد</x:v>
      </x:c>
      <x:c r="E36" s="29" t="str">
        <x:v>اختياري</x:v>
      </x:c>
      <x:c r="F36" s="29" t="str">
        <x:v>clients.birth_date</x:v>
      </x:c>
      <x:c r="G36" s="29" t="str">
        <x:v>yyyy-mm-dd</x:v>
      </x:c>
      <x:c r="H36" s="29" t="str">
        <x:v>تاريخ قابل للفرز.</x:v>
      </x:c>
    </x:row>
    <x:row r="37">
      <x:c r="A37" s="29" t="str">
        <x:v>الزبائن</x:v>
      </x:c>
      <x:c r="B37" s="29" t="str">
        <x:v>بيانات مدنية</x:v>
      </x:c>
      <x:c r="C37" s="29" t="str">
        <x:v>mother_name</x:v>
      </x:c>
      <x:c r="D37" s="29" t="str">
        <x:v>اسم الأم</x:v>
      </x:c>
      <x:c r="E37" s="29" t="str">
        <x:v>اختياري</x:v>
      </x:c>
      <x:c r="F37" s="29" t="str">
        <x:v>clients.mother_name</x:v>
      </x:c>
      <x:c r="G37" s="29" t="str">
        <x:v>text</x:v>
      </x:c>
      <x:c r="H37" s="29" t="str">
        <x:v>اختياري.</x:v>
      </x:c>
    </x:row>
    <x:row r="38">
      <x:c r="A38" s="29" t="str">
        <x:v>الزبائن</x:v>
      </x:c>
      <x:c r="B38" s="29" t="str">
        <x:v>بيانات مدنية</x:v>
      </x:c>
      <x:c r="C38" s="29" t="str">
        <x:v>national_id</x:v>
      </x:c>
      <x:c r="D38" s="29" t="str">
        <x:v>الرقم الوطني</x:v>
      </x:c>
      <x:c r="E38" s="29" t="str">
        <x:v>اختياري</x:v>
      </x:c>
      <x:c r="F38" s="29" t="str">
        <x:v>clients.national_id</x:v>
      </x:c>
      <x:c r="G38" s="29" t="str">
        <x:v>text</x:v>
      </x:c>
      <x:c r="H38" s="29" t="str">
        <x:v>يحفظ كنص.</x:v>
      </x:c>
    </x:row>
    <x:row r="39">
      <x:c r="A39" s="29" t="str">
        <x:v>الزبائن</x:v>
      </x:c>
      <x:c r="B39" s="29" t="str">
        <x:v>بيانات مدنية</x:v>
      </x:c>
      <x:c r="C39" s="29" t="str">
        <x:v>national_id_registry</x:v>
      </x:c>
      <x:c r="D39" s="29" t="str">
        <x:v>القيد/السجل</x:v>
      </x:c>
      <x:c r="E39" s="29" t="str">
        <x:v>اختياري</x:v>
      </x:c>
      <x:c r="F39" s="29" t="str">
        <x:v>clients.national_id_registry</x:v>
      </x:c>
      <x:c r="G39" s="29" t="str">
        <x:v>text</x:v>
      </x:c>
      <x:c r="H39" s="29" t="str">
        <x:v>اختياري.</x:v>
      </x:c>
    </x:row>
    <x:row r="40">
      <x:c r="A40" s="29" t="str">
        <x:v>الزبائن</x:v>
      </x:c>
      <x:c r="B40" s="29" t="str">
        <x:v>بيانات مدنية</x:v>
      </x:c>
      <x:c r="C40" s="29" t="str">
        <x:v>national_id_issued_by</x:v>
      </x:c>
      <x:c r="D40" s="29" t="str">
        <x:v>جهة الإصدار</x:v>
      </x:c>
      <x:c r="E40" s="29" t="str">
        <x:v>اختياري</x:v>
      </x:c>
      <x:c r="F40" s="29" t="str">
        <x:v>clients.national_id_issued_by</x:v>
      </x:c>
      <x:c r="G40" s="29" t="str">
        <x:v>text</x:v>
      </x:c>
      <x:c r="H40" s="29" t="str">
        <x:v>اختياري.</x:v>
      </x:c>
    </x:row>
    <x:row r="41">
      <x:c r="A41" s="29" t="str">
        <x:v>الزبائن</x:v>
      </x:c>
      <x:c r="B41" s="29" t="str">
        <x:v>بيانات مدنية</x:v>
      </x:c>
      <x:c r="C41" s="29" t="str">
        <x:v>national_id_issue_date</x:v>
      </x:c>
      <x:c r="D41" s="29" t="str">
        <x:v>تاريخ الإصدار</x:v>
      </x:c>
      <x:c r="E41" s="29" t="str">
        <x:v>اختياري</x:v>
      </x:c>
      <x:c r="F41" s="29" t="str">
        <x:v>clients.national_id_issue_date</x:v>
      </x:c>
      <x:c r="G41" s="29" t="str">
        <x:v>yyyy-mm-dd</x:v>
      </x:c>
      <x:c r="H41" s="29" t="str">
        <x:v>اختياري.</x:v>
      </x:c>
    </x:row>
    <x:row r="42">
      <x:c r="A42" s="29" t="str">
        <x:v>الزبائن</x:v>
      </x:c>
      <x:c r="B42" s="29" t="str">
        <x:v>بيانات مدنية</x:v>
      </x:c>
      <x:c r="C42" s="29" t="str">
        <x:v>national_id_box</x:v>
      </x:c>
      <x:c r="D42" s="29" t="str">
        <x:v>الخانة</x:v>
      </x:c>
      <x:c r="E42" s="29" t="str">
        <x:v>اختياري</x:v>
      </x:c>
      <x:c r="F42" s="29" t="str">
        <x:v>clients.national_id_box</x:v>
      </x:c>
      <x:c r="G42" s="29" t="str">
        <x:v>text</x:v>
      </x:c>
      <x:c r="H42" s="29" t="str">
        <x:v>اختياري.</x:v>
      </x:c>
    </x:row>
    <x:row r="43">
      <x:c r="A43" s="29" t="str">
        <x:v>الزبائن</x:v>
      </x:c>
      <x:c r="B43" s="29" t="str">
        <x:v>بيانات إضافية</x:v>
      </x:c>
      <x:c r="C43" s="29" t="str">
        <x:v>occupation</x:v>
      </x:c>
      <x:c r="D43" s="29" t="str">
        <x:v>المهنة</x:v>
      </x:c>
      <x:c r="E43" s="29" t="str">
        <x:v>اختياري</x:v>
      </x:c>
      <x:c r="F43" s="29" t="str">
        <x:v>clients.occupation</x:v>
      </x:c>
      <x:c r="G43" s="29" t="str">
        <x:v>text</x:v>
      </x:c>
      <x:c r="H43" s="29" t="str">
        <x:v>اختياري.</x:v>
      </x:c>
    </x:row>
    <x:row r="44">
      <x:c r="A44" s="29" t="str">
        <x:v>الزبائن</x:v>
      </x:c>
      <x:c r="B44" s="29" t="str">
        <x:v>بيانات إضافية</x:v>
      </x:c>
      <x:c r="C44" s="29" t="str">
        <x:v>spouse_occupation</x:v>
      </x:c>
      <x:c r="D44" s="29" t="str">
        <x:v>مهنة الزوج/الزوجة</x:v>
      </x:c>
      <x:c r="E44" s="29" t="str">
        <x:v>اختياري</x:v>
      </x:c>
      <x:c r="F44" s="29" t="str">
        <x:v>clients.spouse_occupation</x:v>
      </x:c>
      <x:c r="G44" s="29" t="str">
        <x:v>text</x:v>
      </x:c>
      <x:c r="H44" s="29" t="str">
        <x:v>اختياري.</x:v>
      </x:c>
    </x:row>
    <x:row r="45">
      <x:c r="A45" s="29" t="str">
        <x:v>الزبائن</x:v>
      </x:c>
      <x:c r="B45" s="29" t="str">
        <x:v>بيانات إضافية</x:v>
      </x:c>
      <x:c r="C45" s="29" t="str">
        <x:v>water_source</x:v>
      </x:c>
      <x:c r="D45" s="29" t="str">
        <x:v>مصدر المياه</x:v>
      </x:c>
      <x:c r="E45" s="29" t="str">
        <x:v>اختياري</x:v>
      </x:c>
      <x:c r="F45" s="29" t="str">
        <x:v>clients.water_source</x:v>
      </x:c>
      <x:c r="G45" s="29" t="str">
        <x:v>text</x:v>
      </x:c>
      <x:c r="H45" s="29" t="str">
        <x:v>اختياري.</x:v>
      </x:c>
    </x:row>
    <x:row r="46">
      <x:c r="A46" s="29" t="str">
        <x:v>الزبائن</x:v>
      </x:c>
      <x:c r="B46" s="29" t="str">
        <x:v>ضبط وتنظيف</x:v>
      </x:c>
      <x:c r="C46" s="29" t="str">
        <x:v>data_quality</x:v>
      </x:c>
      <x:c r="D46" s="29" t="str">
        <x:v>جودة البيانات</x:v>
      </x:c>
      <x:c r="E46" s="29" t="str">
        <x:v>اختياري</x:v>
      </x:c>
      <x:c r="F46" s="29" t="str">
        <x:v>clients.data_quality</x:v>
      </x:c>
      <x:c r="G46" s="29" t="str">
        <x:v>correct/incorrect/needs_edit</x:v>
      </x:c>
      <x:c r="H46" s="29" t="str">
        <x:v>حالة جودة السجل.</x:v>
      </x:c>
    </x:row>
    <x:row r="47">
      <x:c r="A47" s="29" t="str">
        <x:v>الزبائن</x:v>
      </x:c>
      <x:c r="B47" s="29" t="str">
        <x:v>ضبط وتنظيف</x:v>
      </x:c>
      <x:c r="C47" s="29" t="str">
        <x:v>rating</x:v>
      </x:c>
      <x:c r="D47" s="29" t="str">
        <x:v>التقييم</x:v>
      </x:c>
      <x:c r="E47" s="29" t="str">
        <x:v>اختياري</x:v>
      </x:c>
      <x:c r="F47" s="29" t="str">
        <x:v>clients.rating</x:v>
      </x:c>
      <x:c r="G47" s="29" t="str">
        <x:v>Undefined/Committed/NotCommitted</x:v>
      </x:c>
      <x:c r="H47" s="29" t="str">
        <x:v>حسب النظام.</x:v>
      </x:c>
    </x:row>
    <x:row r="48">
      <x:c r="A48" s="29" t="str">
        <x:v>الزبائن</x:v>
      </x:c>
      <x:c r="B48" s="29" t="str">
        <x:v>ضبط وتنظيف</x:v>
      </x:c>
      <x:c r="C48" s="29" t="str">
        <x:v>do_not_contact</x:v>
      </x:c>
      <x:c r="D48" s="29" t="str">
        <x:v>عدم التواصل</x:v>
      </x:c>
      <x:c r="E48" s="29" t="str">
        <x:v>اختياري</x:v>
      </x:c>
      <x:c r="F48" s="29" t="str">
        <x:v>clients.do_not_contact</x:v>
      </x:c>
      <x:c r="G48" s="29" t="str">
        <x:v>TRUE/FALSE</x:v>
      </x:c>
      <x:c r="H48" s="29" t="str">
        <x:v>للأرقام أو السجلات الحساسة.</x:v>
      </x:c>
    </x:row>
    <x:row r="49">
      <x:c r="A49" s="29" t="str">
        <x:v>الزبائن</x:v>
      </x:c>
      <x:c r="B49" s="29" t="str">
        <x:v>ضبط وتنظيف</x:v>
      </x:c>
      <x:c r="C49" s="29" t="str">
        <x:v>cooldown_until</x:v>
      </x:c>
      <x:c r="D49" s="29" t="str">
        <x:v>إيقاف التواصل حتى</x:v>
      </x:c>
      <x:c r="E49" s="29" t="str">
        <x:v>اختياري</x:v>
      </x:c>
      <x:c r="F49" s="29" t="str">
        <x:v>clients.cooldown_until</x:v>
      </x:c>
      <x:c r="G49" s="29" t="str">
        <x:v>yyyy-mm-dd</x:v>
      </x:c>
      <x:c r="H49" s="29" t="str">
        <x:v>اختياري.</x:v>
      </x:c>
    </x:row>
    <x:row r="50">
      <x:c r="A50" s="29" t="str">
        <x:v>الزبائن</x:v>
      </x:c>
      <x:c r="B50" s="29" t="str">
        <x:v>ضبط وتنظيف</x:v>
      </x:c>
      <x:c r="C50" s="29" t="str">
        <x:v>cooldown_reason</x:v>
      </x:c>
      <x:c r="D50" s="29" t="str">
        <x:v>سبب إيقاف التواصل</x:v>
      </x:c>
      <x:c r="E50" s="29" t="str">
        <x:v>اختياري</x:v>
      </x:c>
      <x:c r="F50" s="29" t="str">
        <x:v>clients.cooldown_reason</x:v>
      </x:c>
      <x:c r="G50" s="29" t="str">
        <x:v>text</x:v>
      </x:c>
      <x:c r="H50" s="29" t="str">
        <x:v>اختياري.</x:v>
      </x:c>
    </x:row>
    <x:row r="51">
      <x:c r="A51" s="29" t="str">
        <x:v>الزبائن</x:v>
      </x:c>
      <x:c r="B51" s="29" t="str">
        <x:v>مراجعة</x:v>
      </x:c>
      <x:c r="C51" s="29" t="str">
        <x:v>notes</x:v>
      </x:c>
      <x:c r="D51" s="29" t="str">
        <x:v>ملاحظات</x:v>
      </x:c>
      <x:c r="E51" s="29" t="str">
        <x:v>اختياري</x:v>
      </x:c>
      <x:c r="F51" s="29" t="str">
        <x:v>clients.notes</x:v>
      </x:c>
      <x:c r="G51" s="29" t="str">
        <x:v>text</x:v>
      </x:c>
      <x:c r="H51" s="29" t="str">
        <x:v>أي ملاحظات للزبون.</x:v>
      </x:c>
    </x:row>
    <x:row r="52">
      <x:c r="A52" s="29" t="str">
        <x:v>الزبائن</x:v>
      </x:c>
      <x:c r="B52" s="29" t="str">
        <x:v>مراجعة</x:v>
      </x:c>
      <x:c r="C52" s="29" t="str">
        <x:v>cleanup_status</x:v>
      </x:c>
      <x:c r="D52" s="29" t="str">
        <x:v>حالة التنظيف</x:v>
      </x:c>
      <x:c r="E52" s="29" t="str">
        <x:v>إلزامي</x:v>
      </x:c>
      <x:c r="F52" s="29" t="str">
        <x:v>migration helper</x:v>
      </x:c>
      <x:c r="G52" s="29" t="str">
        <x:v>raw/cleaned/review_needed/blocked</x:v>
      </x:c>
      <x:c r="H52" s="29" t="str">
        <x:v>حالة تجهيز الصف.</x:v>
      </x:c>
    </x:row>
    <x:row r="53">
      <x:c r="A53" s="29" t="str">
        <x:v>الزبائن</x:v>
      </x:c>
      <x:c r="B53" s="29" t="str">
        <x:v>مراجعة</x:v>
      </x:c>
      <x:c r="C53" s="29" t="str">
        <x:v>cleanup_notes</x:v>
      </x:c>
      <x:c r="D53" s="29" t="str">
        <x:v>ملاحظات التنظيف</x:v>
      </x:c>
      <x:c r="E53" s="29" t="str">
        <x:v>اختياري</x:v>
      </x:c>
      <x:c r="F53" s="29" t="str">
        <x:v>migration helper</x:v>
      </x:c>
      <x:c r="G53" s="29" t="str">
        <x:v>text</x:v>
      </x:c>
      <x:c r="H53" s="29" t="str">
        <x:v>سبب أي نقص أو شك.</x:v>
      </x:c>
    </x:row>
    <x:row r="54">
      <x:c r="A54" s="29" t="str">
        <x:v>الزبائن</x:v>
      </x:c>
      <x:c r="B54" s="29" t="str">
        <x:v>قرار الفرز</x:v>
      </x:c>
      <x:c r="C54" s="29" t="str">
        <x:v>final_destination</x:v>
      </x:c>
      <x:c r="D54" s="29" t="str">
        <x:v>الوجهة النهائية</x:v>
      </x:c>
      <x:c r="E54" s="29" t="str">
        <x:v>إلزامي</x:v>
      </x:c>
      <x:c r="F54" s="29" t="str">
        <x:v>import decision</x:v>
      </x:c>
      <x:c r="G54" s="29" t="str">
        <x:v>client/proposed_name/skip/review_later</x:v>
      </x:c>
      <x:c r="H54" s="29" t="str">
        <x:v>حدد هل يدخل كزبون أم ينتقل للأسماء المقترحة.</x:v>
      </x:c>
    </x:row>
    <x:row r="55">
      <x:c r="A55" s="29" t="str">
        <x:v>الزبائن</x:v>
      </x:c>
      <x:c r="B55" s="29" t="str">
        <x:v>قرار الفرز</x:v>
      </x:c>
      <x:c r="C55" s="29" t="str">
        <x:v>proposed_move_reason</x:v>
      </x:c>
      <x:c r="D55" s="29" t="str">
        <x:v>سبب النقل لاسم مقترح</x:v>
      </x:c>
      <x:c r="E55" s="29" t="str">
        <x:v>مطلوب عند النقل</x:v>
      </x:c>
      <x:c r="F55" s="29" t="str">
        <x:v>candidates import</x:v>
      </x:c>
      <x:c r="G55" s="29" t="str">
        <x:v>proposed_move_reason</x:v>
      </x:c>
      <x:c r="H55" s="29" t="str">
        <x:v>مثل duplicate أو unclear_address.</x:v>
      </x:c>
    </x:row>
    <x:row r="56">
      <x:c r="A56" s="29" t="str">
        <x:v>الزبائن</x:v>
      </x:c>
      <x:c r="B56" s="29" t="str">
        <x:v>قرار الفرز</x:v>
      </x:c>
      <x:c r="C56" s="29" t="str">
        <x:v>proposed_name_key</x:v>
      </x:c>
      <x:c r="D56" s="29" t="str">
        <x:v>مفتاح الاسم المقترح</x:v>
      </x:c>
      <x:c r="E56" s="29" t="str">
        <x:v>مطلوب عند النقل</x:v>
      </x:c>
      <x:c r="F56" s="29" t="str">
        <x:v>candidates import</x:v>
      </x:c>
      <x:c r="G56" s="29" t="str">
        <x:v>unique text</x:v>
      </x:c>
      <x:c r="H56" s="29" t="str">
        <x:v>يربط الصف مع شيت أسماء مقترحة.</x:v>
      </x:c>
    </x:row>
    <x:row r="57">
      <x:c r="A57" s="29" t="str">
        <x:v>الزبائن</x:v>
      </x:c>
      <x:c r="B57" s="29" t="str">
        <x:v>قرار الفرز</x:v>
      </x:c>
      <x:c r="C57" s="29" t="str">
        <x:v>triage_decision_notes</x:v>
      </x:c>
      <x:c r="D57" s="29" t="str">
        <x:v>ملاحظات قرار الفرز</x:v>
      </x:c>
      <x:c r="E57" s="29" t="str">
        <x:v>اختياري</x:v>
      </x:c>
      <x:c r="F57" s="29" t="str">
        <x:v>migration helper</x:v>
      </x:c>
      <x:c r="G57" s="29" t="str">
        <x:v>text</x:v>
      </x:c>
      <x:c r="H57" s="29" t="str">
        <x:v>تفصيل قرار الفريق.</x:v>
      </x:c>
    </x:row>
    <x:row r="58">
      <x:c r="A58" s="29" t="str">
        <x:v>الزبائن</x:v>
      </x:c>
      <x:c r="B58" s="29" t="str">
        <x:v>مراجعة</x:v>
      </x:c>
      <x:c r="C58" s="29" t="str">
        <x:v>row_status</x:v>
      </x:c>
      <x:c r="D58" s="29" t="str">
        <x:v>حالة الصف - تلقائي</x:v>
      </x:c>
      <x:c r="E58" s="29" t="str">
        <x:v>محسوب</x:v>
      </x:c>
      <x:c r="F58" s="29" t="str">
        <x:v>migration helper</x:v>
      </x:c>
      <x:c r="G58" s="29" t="str">
        <x:v>formula</x:v>
      </x:c>
      <x:c r="H58" s="29" t="str">
        <x:v>READY أو REVIEW أو TO_PROPOSED أو SKIP.</x:v>
      </x:c>
    </x:row>
    <x:row r="59">
      <x:c r="A59" s="29" t="str">
        <x:v>الزبائن</x:v>
      </x:c>
      <x:c r="B59" s="29" t="str">
        <x:v>مراجعة</x:v>
      </x:c>
      <x:c r="C59" s="29" t="str">
        <x:v>row_issues</x:v>
      </x:c>
      <x:c r="D59" s="29" t="str">
        <x:v>مشاكل الصف - تلقائي</x:v>
      </x:c>
      <x:c r="E59" s="29" t="str">
        <x:v>محسوب</x:v>
      </x:c>
      <x:c r="F59" s="29" t="str">
        <x:v>migration helper</x:v>
      </x:c>
      <x:c r="G59" s="29" t="str">
        <x:v>formula</x:v>
      </x:c>
      <x:c r="H59" s="29" t="str">
        <x:v>أسباب المراجعة.</x:v>
      </x:c>
    </x:row>
    <x:row r="60">
      <x:c r="A60" s="29" t="str">
        <x:v>أرقام التواصل</x:v>
      </x:c>
      <x:c r="B60" s="29" t="str">
        <x:v>ربط</x:v>
      </x:c>
      <x:c r="C60" s="29" t="str">
        <x:v>entity_type</x:v>
      </x:c>
      <x:c r="D60" s="29" t="str">
        <x:v>نوع السجل</x:v>
      </x:c>
      <x:c r="E60" s="29" t="str">
        <x:v>إلزامي</x:v>
      </x:c>
      <x:c r="F60" s="29" t="str">
        <x:v>migration helper</x:v>
      </x:c>
      <x:c r="G60" s="29" t="str">
        <x:v>client/proposed_name</x:v>
      </x:c>
      <x:c r="H60" s="29" t="str">
        <x:v>client للزبائن و proposed_name للأسماء المقترحة.</x:v>
      </x:c>
    </x:row>
    <x:row r="61">
      <x:c r="A61" s="29" t="str">
        <x:v>أرقام التواصل</x:v>
      </x:c>
      <x:c r="B61" s="29" t="str">
        <x:v>ربط</x:v>
      </x:c>
      <x:c r="C61" s="29" t="str">
        <x:v>entity_key</x:v>
      </x:c>
      <x:c r="D61" s="29" t="str">
        <x:v>مفتاح السجل</x:v>
      </x:c>
      <x:c r="E61" s="29" t="str">
        <x:v>إلزامي</x:v>
      </x:c>
      <x:c r="F61" s="29" t="str">
        <x:v>migration helper</x:v>
      </x:c>
      <x:c r="G61" s="29" t="str">
        <x:v>text</x:v>
      </x:c>
      <x:c r="H61" s="29" t="str">
        <x:v>migration_customer_key أو proposed_name_key.</x:v>
      </x:c>
    </x:row>
    <x:row r="62">
      <x:c r="A62" s="29" t="str">
        <x:v>أرقام التواصل</x:v>
      </x:c>
      <x:c r="B62" s="29" t="str">
        <x:v>التواصل</x:v>
      </x:c>
      <x:c r="C62" s="29" t="str">
        <x:v>contact_order</x:v>
      </x:c>
      <x:c r="D62" s="29" t="str">
        <x:v>ترتيب الرقم</x:v>
      </x:c>
      <x:c r="E62" s="29" t="str">
        <x:v>إلزامي</x:v>
      </x:c>
      <x:c r="F62" s="29" t="str">
        <x:v>contacts order</x:v>
      </x:c>
      <x:c r="G62" s="29" t="str">
        <x:v>number</x:v>
      </x:c>
      <x:c r="H62" s="29" t="str">
        <x:v>الترتيب 1 يعتبر الرقم الأساسي.</x:v>
      </x:c>
    </x:row>
    <x:row r="63">
      <x:c r="A63" s="29" t="str">
        <x:v>أرقام التواصل</x:v>
      </x:c>
      <x:c r="B63" s="29" t="str">
        <x:v>التواصل</x:v>
      </x:c>
      <x:c r="C63" s="29" t="str">
        <x:v>contact_type</x:v>
      </x:c>
      <x:c r="D63" s="29" t="str">
        <x:v>نوع الرقم</x:v>
      </x:c>
      <x:c r="E63" s="29" t="str">
        <x:v>إلزامي</x:v>
      </x:c>
      <x:c r="F63" s="29" t="str">
        <x:v>contacts[].type</x:v>
      </x:c>
      <x:c r="G63" s="29" t="str">
        <x:v>mobile/landline/other</x:v>
      </x:c>
      <x:c r="H63" s="29" t="str">
        <x:v>نوع وسيلة التواصل.</x:v>
      </x:c>
    </x:row>
    <x:row r="64">
      <x:c r="A64" s="29" t="str">
        <x:v>أرقام التواصل</x:v>
      </x:c>
      <x:c r="B64" s="29" t="str">
        <x:v>التواصل</x:v>
      </x:c>
      <x:c r="C64" s="29" t="str">
        <x:v>number</x:v>
      </x:c>
      <x:c r="D64" s="29" t="str">
        <x:v>الرقم</x:v>
      </x:c>
      <x:c r="E64" s="29" t="str">
        <x:v>إلزامي</x:v>
      </x:c>
      <x:c r="F64" s="29" t="str">
        <x:v>clients.mobile / contacts[].number</x:v>
      </x:c>
      <x:c r="G64" s="29" t="str">
        <x:v>09XXXXXXXX</x:v>
      </x:c>
      <x:c r="H64" s="29" t="str">
        <x:v>للموبايل السوري استخدم 10 أرقام تبدأ بـ 09.</x:v>
      </x:c>
    </x:row>
    <x:row r="65">
      <x:c r="A65" s="29" t="str">
        <x:v>أرقام التواصل</x:v>
      </x:c>
      <x:c r="B65" s="29" t="str">
        <x:v>التواصل</x:v>
      </x:c>
      <x:c r="C65" s="29" t="str">
        <x:v>area_code</x:v>
      </x:c>
      <x:c r="D65" s="29" t="str">
        <x:v>رمز المنطقة</x:v>
      </x:c>
      <x:c r="E65" s="29" t="str">
        <x:v>اختياري</x:v>
      </x:c>
      <x:c r="F65" s="29" t="str">
        <x:v>contacts[].areaCode</x:v>
      </x:c>
      <x:c r="G65" s="29" t="str">
        <x:v>text</x:v>
      </x:c>
      <x:c r="H65" s="29" t="str">
        <x:v>للأرضي.</x:v>
      </x:c>
    </x:row>
    <x:row r="66">
      <x:c r="A66" s="29" t="str">
        <x:v>أرقام التواصل</x:v>
      </x:c>
      <x:c r="B66" s="29" t="str">
        <x:v>التواصل</x:v>
      </x:c>
      <x:c r="C66" s="29" t="str">
        <x:v>label</x:v>
      </x:c>
      <x:c r="D66" s="29" t="str">
        <x:v>وصف الرقم</x:v>
      </x:c>
      <x:c r="E66" s="29" t="str">
        <x:v>اختياري</x:v>
      </x:c>
      <x:c r="F66" s="29" t="str">
        <x:v>contacts[].label</x:v>
      </x:c>
      <x:c r="G66" s="29" t="str">
        <x:v>text</x:v>
      </x:c>
      <x:c r="H66" s="29" t="str">
        <x:v>مثال: زوجة، منزل، عمل.</x:v>
      </x:c>
    </x:row>
    <x:row r="67">
      <x:c r="A67" s="29" t="str">
        <x:v>أرقام التواصل</x:v>
      </x:c>
      <x:c r="B67" s="29" t="str">
        <x:v>التواصل</x:v>
      </x:c>
      <x:c r="C67" s="29" t="str">
        <x:v>has_whatsapp</x:v>
      </x:c>
      <x:c r="D67" s="29" t="str">
        <x:v>واتساب</x:v>
      </x:c>
      <x:c r="E67" s="29" t="str">
        <x:v>اختياري</x:v>
      </x:c>
      <x:c r="F67" s="29" t="str">
        <x:v>contacts[].hasWhatsApp</x:v>
      </x:c>
      <x:c r="G67" s="29" t="str">
        <x:v>TRUE/FALSE</x:v>
      </x:c>
      <x:c r="H67" s="29" t="str">
        <x:v>اختياري.</x:v>
      </x:c>
    </x:row>
    <x:row r="68">
      <x:c r="A68" s="29" t="str">
        <x:v>أرقام التواصل</x:v>
      </x:c>
      <x:c r="B68" s="29" t="str">
        <x:v>التواصل</x:v>
      </x:c>
      <x:c r="C68" s="29" t="str">
        <x:v>is_primary</x:v>
      </x:c>
      <x:c r="D68" s="29" t="str">
        <x:v>أساسي؟</x:v>
      </x:c>
      <x:c r="E68" s="29" t="str">
        <x:v>اختياري</x:v>
      </x:c>
      <x:c r="F68" s="29" t="str">
        <x:v>contacts[].isPrimary</x:v>
      </x:c>
      <x:c r="G68" s="29" t="str">
        <x:v>TRUE/FALSE</x:v>
      </x:c>
      <x:c r="H68" s="29" t="str">
        <x:v>إذا فارغة وكان الترتيب 1 سيعتبر أساسيا.</x:v>
      </x:c>
    </x:row>
    <x:row r="69">
      <x:c r="A69" s="29" t="str">
        <x:v>أرقام التواصل</x:v>
      </x:c>
      <x:c r="B69" s="29" t="str">
        <x:v>التواصل</x:v>
      </x:c>
      <x:c r="C69" s="29" t="str">
        <x:v>status</x:v>
      </x:c>
      <x:c r="D69" s="29" t="str">
        <x:v>حالة الرقم</x:v>
      </x:c>
      <x:c r="E69" s="29" t="str">
        <x:v>إلزامي</x:v>
      </x:c>
      <x:c r="F69" s="29" t="str">
        <x:v>contacts[].status</x:v>
      </x:c>
      <x:c r="G69" s="29" t="str">
        <x:v>active/preferred/out-of-coverage/unused/invalid</x:v>
      </x:c>
      <x:c r="H69" s="29" t="str">
        <x:v>ضع invalid للأرقام الخاطئة المعروفة.</x:v>
      </x:c>
    </x:row>
    <x:row r="70">
      <x:c r="A70" s="29" t="str">
        <x:v>أرقام التواصل</x:v>
      </x:c>
      <x:c r="B70" s="29" t="str">
        <x:v>مراجعة</x:v>
      </x:c>
      <x:c r="C70" s="29" t="str">
        <x:v>cleanup_status</x:v>
      </x:c>
      <x:c r="D70" s="29" t="str">
        <x:v>حالة التنظيف</x:v>
      </x:c>
      <x:c r="E70" s="29" t="str">
        <x:v>اختياري</x:v>
      </x:c>
      <x:c r="F70" s="29" t="str">
        <x:v>migration helper</x:v>
      </x:c>
      <x:c r="G70" s="29" t="str">
        <x:v>cleanup_status</x:v>
      </x:c>
      <x:c r="H70" s="29" t="str">
        <x:v>حالة تنظيف الرقم.</x:v>
      </x:c>
    </x:row>
    <x:row r="71">
      <x:c r="A71" s="29" t="str">
        <x:v>أرقام التواصل</x:v>
      </x:c>
      <x:c r="B71" s="29" t="str">
        <x:v>مراجعة</x:v>
      </x:c>
      <x:c r="C71" s="29" t="str">
        <x:v>notes</x:v>
      </x:c>
      <x:c r="D71" s="29" t="str">
        <x:v>ملاحظات</x:v>
      </x:c>
      <x:c r="E71" s="29" t="str">
        <x:v>اختياري</x:v>
      </x:c>
      <x:c r="F71" s="29" t="str">
        <x:v>migration helper</x:v>
      </x:c>
      <x:c r="G71" s="29" t="str">
        <x:v>text</x:v>
      </x:c>
      <x:c r="H71" s="29" t="str">
        <x:v>أي ملاحظة على الرقم.</x:v>
      </x:c>
    </x:row>
    <x:row r="72">
      <x:c r="A72" s="29" t="str">
        <x:v>أرقام التواصل</x:v>
      </x:c>
      <x:c r="B72" s="29" t="str">
        <x:v>مراجعة</x:v>
      </x:c>
      <x:c r="C72" s="29" t="str">
        <x:v>row_status</x:v>
      </x:c>
      <x:c r="D72" s="29" t="str">
        <x:v>حالة الصف - تلقائي</x:v>
      </x:c>
      <x:c r="E72" s="29" t="str">
        <x:v>محسوب</x:v>
      </x:c>
      <x:c r="F72" s="29" t="str">
        <x:v>migration helper</x:v>
      </x:c>
      <x:c r="G72" s="29" t="str">
        <x:v>formula</x:v>
      </x:c>
      <x:c r="H72" s="29" t="str">
        <x:v>READY أو REVIEW.</x:v>
      </x:c>
    </x:row>
    <x:row r="73">
      <x:c r="A73" s="29" t="str">
        <x:v>أرقام التواصل</x:v>
      </x:c>
      <x:c r="B73" s="29" t="str">
        <x:v>مراجعة</x:v>
      </x:c>
      <x:c r="C73" s="29" t="str">
        <x:v>row_issues</x:v>
      </x:c>
      <x:c r="D73" s="29" t="str">
        <x:v>مشاكل الصف - تلقائي</x:v>
      </x:c>
      <x:c r="E73" s="29" t="str">
        <x:v>محسوب</x:v>
      </x:c>
      <x:c r="F73" s="29" t="str">
        <x:v>migration helper</x:v>
      </x:c>
      <x:c r="G73" s="29" t="str">
        <x:v>formula</x:v>
      </x:c>
      <x:c r="H73" s="29" t="str">
        <x:v>أسباب المراجعة.</x:v>
      </x:c>
    </x:row>
    <x:row r="74">
      <x:c r="A74" s="29" t="str">
        <x:v>الوسطاء</x:v>
      </x:c>
      <x:c r="B74" s="29" t="str">
        <x:v>ربط</x:v>
      </x:c>
      <x:c r="C74" s="29" t="str">
        <x:v>entity_type</x:v>
      </x:c>
      <x:c r="D74" s="29" t="str">
        <x:v>نوع السجل</x:v>
      </x:c>
      <x:c r="E74" s="29" t="str">
        <x:v>إلزامي</x:v>
      </x:c>
      <x:c r="F74" s="29" t="str">
        <x:v>migration helper</x:v>
      </x:c>
      <x:c r="G74" s="29" t="str">
        <x:v>client/proposed_name</x:v>
      </x:c>
      <x:c r="H74" s="29" t="str">
        <x:v>client أو proposed_name.</x:v>
      </x:c>
    </x:row>
    <x:row r="75">
      <x:c r="A75" s="29" t="str">
        <x:v>الوسطاء</x:v>
      </x:c>
      <x:c r="B75" s="29" t="str">
        <x:v>ربط</x:v>
      </x:c>
      <x:c r="C75" s="29" t="str">
        <x:v>entity_key</x:v>
      </x:c>
      <x:c r="D75" s="29" t="str">
        <x:v>مفتاح السجل</x:v>
      </x:c>
      <x:c r="E75" s="29" t="str">
        <x:v>إلزامي</x:v>
      </x:c>
      <x:c r="F75" s="29" t="str">
        <x:v>migration helper</x:v>
      </x:c>
      <x:c r="G75" s="29" t="str">
        <x:v>text</x:v>
      </x:c>
      <x:c r="H75" s="29" t="str">
        <x:v>مفتاح الزبون أو الاسم المقترح.</x:v>
      </x:c>
    </x:row>
    <x:row r="76">
      <x:c r="A76" s="29" t="str">
        <x:v>الوسطاء</x:v>
      </x:c>
      <x:c r="B76" s="29" t="str">
        <x:v>الوسطاء</x:v>
      </x:c>
      <x:c r="C76" s="29" t="str">
        <x:v>referrer_order</x:v>
      </x:c>
      <x:c r="D76" s="29" t="str">
        <x:v>ترتيب الوسيط</x:v>
      </x:c>
      <x:c r="E76" s="29" t="str">
        <x:v>إلزامي</x:v>
      </x:c>
      <x:c r="F76" s="29" t="str">
        <x:v>referral order</x:v>
      </x:c>
      <x:c r="G76" s="29" t="str">
        <x:v>number</x:v>
      </x:c>
      <x:c r="H76" s="29" t="str">
        <x:v>الترتيب 1 هو الوسيط الأساسي.</x:v>
      </x:c>
    </x:row>
    <x:row r="77">
      <x:c r="A77" s="29" t="str">
        <x:v>الوسطاء</x:v>
      </x:c>
      <x:c r="B77" s="29" t="str">
        <x:v>الوسطاء</x:v>
      </x:c>
      <x:c r="C77" s="29" t="str">
        <x:v>is_primary</x:v>
      </x:c>
      <x:c r="D77" s="29" t="str">
        <x:v>أساسي؟</x:v>
      </x:c>
      <x:c r="E77" s="29" t="str">
        <x:v>اختياري</x:v>
      </x:c>
      <x:c r="F77" s="29" t="str">
        <x:v>referral helper</x:v>
      </x:c>
      <x:c r="G77" s="29" t="str">
        <x:v>TRUE/FALSE</x:v>
      </x:c>
      <x:c r="H77" s="29" t="str">
        <x:v>اختياري إذا كان الترتيب 1.</x:v>
      </x:c>
    </x:row>
    <x:row r="78">
      <x:c r="A78" s="29" t="str">
        <x:v>الوسطاء</x:v>
      </x:c>
      <x:c r="B78" s="29" t="str">
        <x:v>الوسطاء</x:v>
      </x:c>
      <x:c r="C78" s="29" t="str">
        <x:v>referrer_type</x:v>
      </x:c>
      <x:c r="D78" s="29" t="str">
        <x:v>نوع الوسيط</x:v>
      </x:c>
      <x:c r="E78" s="29" t="str">
        <x:v>إلزامي</x:v>
      </x:c>
      <x:c r="F78" s="29" t="str">
        <x:v>clients.referral_type</x:v>
      </x:c>
      <x:c r="G78" s="29" t="str">
        <x:v>Personal/Employee/Client/Unknown</x:v>
      </x:c>
      <x:c r="H78" s="29" t="str">
        <x:v>نوع الوسيط أو مصدر الإحالة.</x:v>
      </x:c>
    </x:row>
    <x:row r="79">
      <x:c r="A79" s="29" t="str">
        <x:v>الوسطاء</x:v>
      </x:c>
      <x:c r="B79" s="29" t="str">
        <x:v>الوسطاء</x:v>
      </x:c>
      <x:c r="C79" s="29" t="str">
        <x:v>referral_origin_channel</x:v>
      </x:c>
      <x:c r="D79" s="29" t="str">
        <x:v>قناة المصدر</x:v>
      </x:c>
      <x:c r="E79" s="29" t="str">
        <x:v>إلزامي</x:v>
      </x:c>
      <x:c r="F79" s="29" t="str">
        <x:v>clients.referral_origin_channel</x:v>
      </x:c>
      <x:c r="G79" s="29" t="str">
        <x:v>PhoneCall/SocialMedia/Campaign/Acquaintance</x:v>
      </x:c>
      <x:c r="H79" s="29" t="str">
        <x:v>قناة وصول الاسم.</x:v>
      </x:c>
    </x:row>
    <x:row r="80">
      <x:c r="A80" s="29" t="str">
        <x:v>الوسطاء</x:v>
      </x:c>
      <x:c r="B80" s="29" t="str">
        <x:v>الوسطاء</x:v>
      </x:c>
      <x:c r="C80" s="29" t="str">
        <x:v>referrer_entity_id</x:v>
      </x:c>
      <x:c r="D80" s="29" t="str">
        <x:v>ID الوسيط إن وجد</x:v>
      </x:c>
      <x:c r="E80" s="29" t="str">
        <x:v>اختياري</x:v>
      </x:c>
      <x:c r="F80" s="29" t="str">
        <x:v>clients.referrer_entity_id</x:v>
      </x:c>
      <x:c r="G80" s="29" t="str">
        <x:v>text</x:v>
      </x:c>
      <x:c r="H80" s="29" t="str">
        <x:v>عند ربطه بموظف أو زبون موجود.</x:v>
      </x:c>
    </x:row>
    <x:row r="81">
      <x:c r="A81" s="29" t="str">
        <x:v>الوسطاء</x:v>
      </x:c>
      <x:c r="B81" s="29" t="str">
        <x:v>الوسطاء</x:v>
      </x:c>
      <x:c r="C81" s="29" t="str">
        <x:v>referrer_name_snapshot</x:v>
      </x:c>
      <x:c r="D81" s="29" t="str">
        <x:v>اسم الوسيط</x:v>
      </x:c>
      <x:c r="E81" s="29" t="str">
        <x:v>مهم</x:v>
      </x:c>
      <x:c r="F81" s="29" t="str">
        <x:v>clients.referrer_name_snapshot</x:v>
      </x:c>
      <x:c r="G81" s="29" t="str">
        <x:v>text</x:v>
      </x:c>
      <x:c r="H81" s="29" t="str">
        <x:v>اسم الوسيط كما وصل من المصدر.</x:v>
      </x:c>
    </x:row>
    <x:row r="82">
      <x:c r="A82" s="29" t="str">
        <x:v>الوسطاء</x:v>
      </x:c>
      <x:c r="B82" s="29" t="str">
        <x:v>الوسطاء</x:v>
      </x:c>
      <x:c r="C82" s="29" t="str">
        <x:v>referral_date</x:v>
      </x:c>
      <x:c r="D82" s="29" t="str">
        <x:v>تاريخ الإحالة</x:v>
      </x:c>
      <x:c r="E82" s="29" t="str">
        <x:v>اختياري</x:v>
      </x:c>
      <x:c r="F82" s="29" t="str">
        <x:v>clients.referral_date</x:v>
      </x:c>
      <x:c r="G82" s="29" t="str">
        <x:v>yyyy-mm-dd</x:v>
      </x:c>
      <x:c r="H82" s="29" t="str">
        <x:v>اختياري.</x:v>
      </x:c>
    </x:row>
    <x:row r="83">
      <x:c r="A83" s="29" t="str">
        <x:v>الوسطاء</x:v>
      </x:c>
      <x:c r="B83" s="29" t="str">
        <x:v>الوسطاء</x:v>
      </x:c>
      <x:c r="C83" s="29" t="str">
        <x:v>referral_reason</x:v>
      </x:c>
      <x:c r="D83" s="29" t="str">
        <x:v>سبب/تفصيل الإحالة</x:v>
      </x:c>
      <x:c r="E83" s="29" t="str">
        <x:v>اختياري</x:v>
      </x:c>
      <x:c r="F83" s="29" t="str">
        <x:v>clients.referral_reason</x:v>
      </x:c>
      <x:c r="G83" s="29" t="str">
        <x:v>text</x:v>
      </x:c>
      <x:c r="H83" s="29" t="str">
        <x:v>اختياري.</x:v>
      </x:c>
    </x:row>
    <x:row r="84">
      <x:c r="A84" s="29" t="str">
        <x:v>الوسطاء</x:v>
      </x:c>
      <x:c r="B84" s="29" t="str">
        <x:v>الوسطاء</x:v>
      </x:c>
      <x:c r="C84" s="29" t="str">
        <x:v>referral_sheet_id</x:v>
      </x:c>
      <x:c r="D84" s="29" t="str">
        <x:v>رقم دفتر/ورقة الإحالة</x:v>
      </x:c>
      <x:c r="E84" s="29" t="str">
        <x:v>اختياري</x:v>
      </x:c>
      <x:c r="F84" s="29" t="str">
        <x:v>clients.referral_sheet_id</x:v>
      </x:c>
      <x:c r="G84" s="29" t="str">
        <x:v>text</x:v>
      </x:c>
      <x:c r="H84" s="29" t="str">
        <x:v>اختياري.</x:v>
      </x:c>
    </x:row>
    <x:row r="85">
      <x:c r="A85" s="29" t="str">
        <x:v>الوسطاء</x:v>
      </x:c>
      <x:c r="B85" s="29" t="str">
        <x:v>الوسطاء</x:v>
      </x:c>
      <x:c r="C85" s="29" t="str">
        <x:v>referral_address_text</x:v>
      </x:c>
      <x:c r="D85" s="29" t="str">
        <x:v>عنوان الوسيط/المصدر</x:v>
      </x:c>
      <x:c r="E85" s="29" t="str">
        <x:v>اختياري</x:v>
      </x:c>
      <x:c r="F85" s="29" t="str">
        <x:v>clients.referral_address_text</x:v>
      </x:c>
      <x:c r="G85" s="29" t="str">
        <x:v>text</x:v>
      </x:c>
      <x:c r="H85" s="29" t="str">
        <x:v>اختياري.</x:v>
      </x:c>
    </x:row>
    <x:row r="86">
      <x:c r="A86" s="29" t="str">
        <x:v>الوسطاء</x:v>
      </x:c>
      <x:c r="B86" s="29" t="str">
        <x:v>الوسطاء</x:v>
      </x:c>
      <x:c r="C86" s="29" t="str">
        <x:v>referral_confirmation_status</x:v>
      </x:c>
      <x:c r="D86" s="29" t="str">
        <x:v>حالة تأكيد الإحالة</x:v>
      </x:c>
      <x:c r="E86" s="29" t="str">
        <x:v>اختياري</x:v>
      </x:c>
      <x:c r="F86" s="29" t="str">
        <x:v>clients.referral_confirmation_status</x:v>
      </x:c>
      <x:c r="G86" s="29" t="str">
        <x:v>Pending/Confirmed/Rejected</x:v>
      </x:c>
      <x:c r="H86" s="29" t="str">
        <x:v>اختياري.</x:v>
      </x:c>
    </x:row>
    <x:row r="87">
      <x:c r="A87" s="29" t="str">
        <x:v>الوسطاء</x:v>
      </x:c>
      <x:c r="B87" s="29" t="str">
        <x:v>مراجعة</x:v>
      </x:c>
      <x:c r="C87" s="29" t="str">
        <x:v>referral_notes</x:v>
      </x:c>
      <x:c r="D87" s="29" t="str">
        <x:v>ملاحظات الوسيط</x:v>
      </x:c>
      <x:c r="E87" s="29" t="str">
        <x:v>اختياري</x:v>
      </x:c>
      <x:c r="F87" s="29" t="str">
        <x:v>migration helper</x:v>
      </x:c>
      <x:c r="G87" s="29" t="str">
        <x:v>text</x:v>
      </x:c>
      <x:c r="H87" s="29" t="str">
        <x:v>أي ملاحظات إضافية.</x:v>
      </x:c>
    </x:row>
    <x:row r="88">
      <x:c r="A88" s="29" t="str">
        <x:v>الوسطاء</x:v>
      </x:c>
      <x:c r="B88" s="29" t="str">
        <x:v>مراجعة</x:v>
      </x:c>
      <x:c r="C88" s="29" t="str">
        <x:v>cleanup_status</x:v>
      </x:c>
      <x:c r="D88" s="29" t="str">
        <x:v>حالة التنظيف</x:v>
      </x:c>
      <x:c r="E88" s="29" t="str">
        <x:v>اختياري</x:v>
      </x:c>
      <x:c r="F88" s="29" t="str">
        <x:v>migration helper</x:v>
      </x:c>
      <x:c r="G88" s="29" t="str">
        <x:v>cleanup_status</x:v>
      </x:c>
      <x:c r="H88" s="29" t="str">
        <x:v>حالة تنظيف بيانات الوسيط.</x:v>
      </x:c>
    </x:row>
    <x:row r="89">
      <x:c r="A89" s="29" t="str">
        <x:v>الوسطاء</x:v>
      </x:c>
      <x:c r="B89" s="29" t="str">
        <x:v>مراجعة</x:v>
      </x:c>
      <x:c r="C89" s="29" t="str">
        <x:v>row_status</x:v>
      </x:c>
      <x:c r="D89" s="29" t="str">
        <x:v>حالة الصف - تلقائي</x:v>
      </x:c>
      <x:c r="E89" s="29" t="str">
        <x:v>محسوب</x:v>
      </x:c>
      <x:c r="F89" s="29" t="str">
        <x:v>migration helper</x:v>
      </x:c>
      <x:c r="G89" s="29" t="str">
        <x:v>formula</x:v>
      </x:c>
      <x:c r="H89" s="29" t="str">
        <x:v>READY أو REVIEW.</x:v>
      </x:c>
    </x:row>
    <x:row r="90">
      <x:c r="A90" s="29" t="str">
        <x:v>الوسطاء</x:v>
      </x:c>
      <x:c r="B90" s="29" t="str">
        <x:v>مراجعة</x:v>
      </x:c>
      <x:c r="C90" s="29" t="str">
        <x:v>row_issues</x:v>
      </x:c>
      <x:c r="D90" s="29" t="str">
        <x:v>مشاكل الصف - تلقائي</x:v>
      </x:c>
      <x:c r="E90" s="29" t="str">
        <x:v>محسوب</x:v>
      </x:c>
      <x:c r="F90" s="29" t="str">
        <x:v>migration helper</x:v>
      </x:c>
      <x:c r="G90" s="29" t="str">
        <x:v>formula</x:v>
      </x:c>
      <x:c r="H90" s="29" t="str">
        <x:v>أسباب المراجعة.</x:v>
      </x:c>
    </x:row>
    <x:row r="91">
      <x:c r="A91" s="29" t="str">
        <x:v>أسماء مقترحة</x:v>
      </x:c>
      <x:c r="B91" s="29" t="str">
        <x:v>ربط الهجرة</x:v>
      </x:c>
      <x:c r="C91" s="29" t="str">
        <x:v>proposed_name_key</x:v>
      </x:c>
      <x:c r="D91" s="29" t="str">
        <x:v>مفتاح الاسم المقترح</x:v>
      </x:c>
      <x:c r="E91" s="29" t="str">
        <x:v>إلزامي</x:v>
      </x:c>
      <x:c r="F91" s="29" t="str">
        <x:v>migration helper</x:v>
      </x:c>
      <x:c r="G91" s="29" t="str">
        <x:v>unique text</x:v>
      </x:c>
      <x:c r="H91" s="29" t="str">
        <x:v>يربط الاسم المقترح مع أرقامه ووسطائه.</x:v>
      </x:c>
    </x:row>
    <x:row r="92">
      <x:c r="A92" s="29" t="str">
        <x:v>أسماء مقترحة</x:v>
      </x:c>
      <x:c r="B92" s="29" t="str">
        <x:v>ربط الهجرة</x:v>
      </x:c>
      <x:c r="C92" s="29" t="str">
        <x:v>source_migration_customer_key</x:v>
      </x:c>
      <x:c r="D92" s="29" t="str">
        <x:v>مفتاح الزبون المصدر</x:v>
      </x:c>
      <x:c r="E92" s="29" t="str">
        <x:v>اختياري</x:v>
      </x:c>
      <x:c r="F92" s="29" t="str">
        <x:v>migration helper</x:v>
      </x:c>
      <x:c r="G92" s="29" t="str">
        <x:v>migration_customer_key</x:v>
      </x:c>
      <x:c r="H92" s="29" t="str">
        <x:v>املأه إذا كان الاسم منقول من شيت الزبائن.</x:v>
      </x:c>
    </x:row>
    <x:row r="93">
      <x:c r="A93" s="29" t="str">
        <x:v>أسماء مقترحة</x:v>
      </x:c>
      <x:c r="B93" s="29" t="str">
        <x:v>ربط الهجرة</x:v>
      </x:c>
      <x:c r="C93" s="29" t="str">
        <x:v>candidate_import_action</x:v>
      </x:c>
      <x:c r="D93" s="29" t="str">
        <x:v>إجراء الاسم المقترح</x:v>
      </x:c>
      <x:c r="E93" s="29" t="str">
        <x:v>إلزامي</x:v>
      </x:c>
      <x:c r="F93" s="29" t="str">
        <x:v>candidate import</x:v>
      </x:c>
      <x:c r="G93" s="29" t="str">
        <x:v>create_candidate/update_candidate/skip</x:v>
      </x:c>
      <x:c r="H93" s="29" t="str">
        <x:v>إجراء الاستيراد.</x:v>
      </x:c>
    </x:row>
    <x:row r="94">
      <x:c r="A94" s="29" t="str">
        <x:v>أسماء مقترحة</x:v>
      </x:c>
      <x:c r="B94" s="29" t="str">
        <x:v>سبب النقل</x:v>
      </x:c>
      <x:c r="C94" s="29" t="str">
        <x:v>move_reason</x:v>
      </x:c>
      <x:c r="D94" s="29" t="str">
        <x:v>سبب النقل</x:v>
      </x:c>
      <x:c r="E94" s="29" t="str">
        <x:v>إلزامي</x:v>
      </x:c>
      <x:c r="F94" s="29" t="str">
        <x:v>candidate import</x:v>
      </x:c>
      <x:c r="G94" s="29" t="str">
        <x:v>proposed_move_reason</x:v>
      </x:c>
      <x:c r="H94" s="29" t="str">
        <x:v>لماذا لم يدخل كزبون مباشر.</x:v>
      </x:c>
    </x:row>
    <x:row r="95">
      <x:c r="A95" s="29" t="str">
        <x:v>أسماء مقترحة</x:v>
      </x:c>
      <x:c r="B95" s="29" t="str">
        <x:v>سبب النقل</x:v>
      </x:c>
      <x:c r="C95" s="29" t="str">
        <x:v>confidence_level</x:v>
      </x:c>
      <x:c r="D95" s="29" t="str">
        <x:v>مستوى الثقة</x:v>
      </x:c>
      <x:c r="E95" s="29" t="str">
        <x:v>اختياري</x:v>
      </x:c>
      <x:c r="F95" s="29" t="str">
        <x:v>migration helper</x:v>
      </x:c>
      <x:c r="G95" s="29" t="str">
        <x:v>high/medium/low</x:v>
      </x:c>
      <x:c r="H95" s="29" t="str">
        <x:v>مدى الثقة بصحة الاسم.</x:v>
      </x:c>
    </x:row>
    <x:row r="96">
      <x:c r="A96" s="29" t="str">
        <x:v>أسماء مقترحة</x:v>
      </x:c>
      <x:c r="B96" s="29" t="str">
        <x:v>ربط الهجرة</x:v>
      </x:c>
      <x:c r="C96" s="29" t="str">
        <x:v>old_system_customer_id</x:v>
      </x:c>
      <x:c r="D96" s="29" t="str">
        <x:v>ID النظام القديم</x:v>
      </x:c>
      <x:c r="E96" s="29" t="str">
        <x:v>اختياري</x:v>
      </x:c>
      <x:c r="F96" s="29" t="str">
        <x:v>migration audit</x:v>
      </x:c>
      <x:c r="G96" s="29" t="str">
        <x:v>text</x:v>
      </x:c>
      <x:c r="H96" s="29" t="str">
        <x:v>للمطابقة.</x:v>
      </x:c>
    </x:row>
    <x:row r="97">
      <x:c r="A97" s="29" t="str">
        <x:v>أسماء مقترحة</x:v>
      </x:c>
      <x:c r="B97" s="29" t="str">
        <x:v>ربط الهجرة</x:v>
      </x:c>
      <x:c r="C97" s="29" t="str">
        <x:v>old_source_note</x:v>
      </x:c>
      <x:c r="D97" s="29" t="str">
        <x:v>مصدر/جدول قديم</x:v>
      </x:c>
      <x:c r="E97" s="29" t="str">
        <x:v>اختياري</x:v>
      </x:c>
      <x:c r="F97" s="29" t="str">
        <x:v>migration audit</x:v>
      </x:c>
      <x:c r="G97" s="29" t="str">
        <x:v>text</x:v>
      </x:c>
      <x:c r="H97" s="29" t="str">
        <x:v>مصدر السطر.</x:v>
      </x:c>
    </x:row>
    <x:row r="98">
      <x:c r="A98" s="29" t="str">
        <x:v>أسماء مقترحة</x:v>
      </x:c>
      <x:c r="B98" s="29" t="str">
        <x:v>ربط الهجرة</x:v>
      </x:c>
      <x:c r="C98" s="29" t="str">
        <x:v>original_created_at</x:v>
      </x:c>
      <x:c r="D98" s="29" t="str">
        <x:v>تاريخ الإنشاء الأصلي</x:v>
      </x:c>
      <x:c r="E98" s="29" t="str">
        <x:v>اختياري/قديم</x:v>
      </x:c>
      <x:c r="F98" s="29" t="str">
        <x:v>legacy.original_created_at</x:v>
      </x:c>
      <x:c r="G98" s="29" t="str">
        <x:v>yyyy-mm-dd</x:v>
      </x:c>
      <x:c r="H98" s="29" t="str">
        <x:v>تاريخ إنشاء السجل في النظام القديم إن وجد.</x:v>
      </x:c>
    </x:row>
    <x:row r="99">
      <x:c r="A99" s="29" t="str">
        <x:v>أسماء مقترحة</x:v>
      </x:c>
      <x:c r="B99" s="29" t="str">
        <x:v>الفرع والملكية</x:v>
      </x:c>
      <x:c r="C99" s="29" t="str">
        <x:v>branch_id</x:v>
      </x:c>
      <x:c r="D99" s="29" t="str">
        <x:v>ID الفرع</x:v>
      </x:c>
      <x:c r="E99" s="29" t="str">
        <x:v>إلزامي</x:v>
      </x:c>
      <x:c r="F99" s="29" t="str">
        <x:v>candidates.branch_id</x:v>
      </x:c>
      <x:c r="G99" s="29" t="str">
        <x:v>branches.id</x:v>
      </x:c>
      <x:c r="H99" s="29" t="str">
        <x:v>الفرع المقترح.</x:v>
      </x:c>
    </x:row>
    <x:row r="100">
      <x:c r="A100" s="29" t="str">
        <x:v>أسماء مقترحة</x:v>
      </x:c>
      <x:c r="B100" s="29" t="str">
        <x:v>الفرع والملكية</x:v>
      </x:c>
      <x:c r="C100" s="29" t="str">
        <x:v>branch_name</x:v>
      </x:c>
      <x:c r="D100" s="29" t="str">
        <x:v>اسم الفرع للمراجعة</x:v>
      </x:c>
      <x:c r="E100" s="29" t="str">
        <x:v>مساعد</x:v>
      </x:c>
      <x:c r="F100" s="29" t="str">
        <x:v>branches.name</x:v>
      </x:c>
      <x:c r="G100" s="29" t="str">
        <x:v>text</x:v>
      </x:c>
      <x:c r="H100" s="29" t="str">
        <x:v>للمراجعة.</x:v>
      </x:c>
    </x:row>
    <x:row r="101">
      <x:c r="A101" s="29" t="str">
        <x:v>أسماء مقترحة</x:v>
      </x:c>
      <x:c r="B101" s="29" t="str">
        <x:v>الفرع والملكية</x:v>
      </x:c>
      <x:c r="C101" s="29" t="str">
        <x:v>owner_user_id</x:v>
      </x:c>
      <x:c r="D101" s="29" t="str">
        <x:v>ID المالك/المتابع</x:v>
      </x:c>
      <x:c r="E101" s="29" t="str">
        <x:v>اختياري</x:v>
      </x:c>
      <x:c r="F101" s="29" t="str">
        <x:v>candidates.owner_user_id</x:v>
      </x:c>
      <x:c r="G101" s="29" t="str">
        <x:v>hr_users.id</x:v>
      </x:c>
      <x:c r="H101" s="29" t="str">
        <x:v>اختياري.</x:v>
      </x:c>
    </x:row>
    <x:row r="102">
      <x:c r="A102" s="29" t="str">
        <x:v>أسماء مقترحة</x:v>
      </x:c>
      <x:c r="B102" s="29" t="str">
        <x:v>هوية الاسم</x:v>
      </x:c>
      <x:c r="C102" s="29" t="str">
        <x:v>first_name</x:v>
      </x:c>
      <x:c r="D102" s="29" t="str">
        <x:v>الاسم الأول</x:v>
      </x:c>
      <x:c r="E102" s="29" t="str">
        <x:v>إلزامي</x:v>
      </x:c>
      <x:c r="F102" s="29" t="str">
        <x:v>candidates.first_name</x:v>
      </x:c>
      <x:c r="G102" s="29" t="str">
        <x:v>text</x:v>
      </x:c>
      <x:c r="H102" s="29" t="str">
        <x:v>الاسم الأول.</x:v>
      </x:c>
    </x:row>
    <x:row r="103">
      <x:c r="A103" s="29" t="str">
        <x:v>أسماء مقترحة</x:v>
      </x:c>
      <x:c r="B103" s="29" t="str">
        <x:v>هوية الاسم</x:v>
      </x:c>
      <x:c r="C103" s="29" t="str">
        <x:v>last_name</x:v>
      </x:c>
      <x:c r="D103" s="29" t="str">
        <x:v>الكنية/العائلة</x:v>
      </x:c>
      <x:c r="E103" s="29" t="str">
        <x:v>إلزامي</x:v>
      </x:c>
      <x:c r="F103" s="29" t="str">
        <x:v>candidates.last_name</x:v>
      </x:c>
      <x:c r="G103" s="29" t="str">
        <x:v>text</x:v>
      </x:c>
      <x:c r="H103" s="29" t="str">
        <x:v>الكنية.</x:v>
      </x:c>
    </x:row>
    <x:row r="104">
      <x:c r="A104" s="29" t="str">
        <x:v>أسماء مقترحة</x:v>
      </x:c>
      <x:c r="B104" s="29" t="str">
        <x:v>هوية الاسم</x:v>
      </x:c>
      <x:c r="C104" s="29" t="str">
        <x:v>nickname</x:v>
      </x:c>
      <x:c r="D104" s="29" t="str">
        <x:v>اللقب</x:v>
      </x:c>
      <x:c r="E104" s="29" t="str">
        <x:v>اختياري</x:v>
      </x:c>
      <x:c r="F104" s="29" t="str">
        <x:v>candidates.nickname</x:v>
      </x:c>
      <x:c r="G104" s="29" t="str">
        <x:v>text</x:v>
      </x:c>
      <x:c r="H104" s="29" t="str">
        <x:v>اختياري.</x:v>
      </x:c>
    </x:row>
    <x:row r="105">
      <x:c r="A105" s="29" t="str">
        <x:v>أسماء مقترحة</x:v>
      </x:c>
      <x:c r="B105" s="29" t="str">
        <x:v>هوية الاسم</x:v>
      </x:c>
      <x:c r="C105" s="29" t="str">
        <x:v>full_name_review</x:v>
      </x:c>
      <x:c r="D105" s="29" t="str">
        <x:v>الاسم الكامل - تلقائي</x:v>
      </x:c>
      <x:c r="E105" s="29" t="str">
        <x:v>محسوب</x:v>
      </x:c>
      <x:c r="F105" s="29" t="str">
        <x:v>candidate helper</x:v>
      </x:c>
      <x:c r="G105" s="29" t="str">
        <x:v>formula</x:v>
      </x:c>
      <x:c r="H105" s="29" t="str">
        <x:v>لا تعدله يدويا.</x:v>
      </x:c>
    </x:row>
    <x:row r="106">
      <x:c r="A106" s="29" t="str">
        <x:v>أسماء مقترحة</x:v>
      </x:c>
      <x:c r="B106" s="29" t="str">
        <x:v>العنوان</x:v>
      </x:c>
      <x:c r="C106" s="29" t="str">
        <x:v>address_text</x:v>
      </x:c>
      <x:c r="D106" s="29" t="str">
        <x:v>العنوان النصي</x:v>
      </x:c>
      <x:c r="E106" s="29" t="str">
        <x:v>مهم</x:v>
      </x:c>
      <x:c r="F106" s="29" t="str">
        <x:v>candidates.address_text</x:v>
      </x:c>
      <x:c r="G106" s="29" t="str">
        <x:v>text</x:v>
      </x:c>
      <x:c r="H106" s="29" t="str">
        <x:v>يمكن أن يبقى نصيا إذا العنوان غير محسوم.</x:v>
      </x:c>
    </x:row>
    <x:row r="107">
      <x:c r="A107" s="29" t="str">
        <x:v>أسماء مقترحة</x:v>
      </x:c>
      <x:c r="B107" s="29" t="str">
        <x:v>العنوان</x:v>
      </x:c>
      <x:c r="C107" s="29" t="str">
        <x:v>legacy_location_info</x:v>
      </x:c>
      <x:c r="D107" s="29" t="str">
        <x:v>معلومات الموقع / قديم</x:v>
      </x:c>
      <x:c r="E107" s="29" t="str">
        <x:v>اختياري/قديم</x:v>
      </x:c>
      <x:c r="F107" s="29" t="str">
        <x:v>legacy.location_info</x:v>
      </x:c>
      <x:c r="G107" s="29" t="str">
        <x:v>text</x:v>
      </x:c>
      <x:c r="H107" s="29" t="str">
        <x:v>أي معلومات موقع قديمة قبل مطابقتها مع geo_units.</x:v>
      </x:c>
    </x:row>
    <x:row r="108">
      <x:c r="A108" s="29" t="str">
        <x:v>أسماء مقترحة</x:v>
      </x:c>
      <x:c r="B108" s="29" t="str">
        <x:v>العنوان</x:v>
      </x:c>
      <x:c r="C108" s="29" t="str">
        <x:v>geo_unit_id</x:v>
      </x:c>
      <x:c r="D108" s="29" t="str">
        <x:v>ID الموقع إن حسم</x:v>
      </x:c>
      <x:c r="E108" s="29" t="str">
        <x:v>اختياري</x:v>
      </x:c>
      <x:c r="F108" s="29" t="str">
        <x:v>candidates.geo_unit_id</x:v>
      </x:c>
      <x:c r="G108" s="29" t="str">
        <x:v>geo_units.id</x:v>
      </x:c>
      <x:c r="H108" s="29" t="str">
        <x:v>أعمق مستوى تم التأكد منه.</x:v>
      </x:c>
    </x:row>
    <x:row r="109">
      <x:c r="A109" s="29" t="str">
        <x:v>أسماء مقترحة</x:v>
      </x:c>
      <x:c r="B109" s="29" t="str">
        <x:v>العنوان</x:v>
      </x:c>
      <x:c r="C109" s="29" t="str">
        <x:v>geo_unit_name</x:v>
      </x:c>
      <x:c r="D109" s="29" t="str">
        <x:v>اسم الموقع للمراجعة</x:v>
      </x:c>
      <x:c r="E109" s="29" t="str">
        <x:v>مساعد</x:v>
      </x:c>
      <x:c r="F109" s="29" t="str">
        <x:v>geo_units.name</x:v>
      </x:c>
      <x:c r="G109" s="29" t="str">
        <x:v>text</x:v>
      </x:c>
      <x:c r="H109" s="29" t="str">
        <x:v>للمراجعة.</x:v>
      </x:c>
    </x:row>
    <x:row r="110">
      <x:c r="A110" s="29" t="str">
        <x:v>أسماء مقترحة</x:v>
      </x:c>
      <x:c r="B110" s="29" t="str">
        <x:v>العنوان</x:v>
      </x:c>
      <x:c r="C110" s="29" t="str">
        <x:v>address_clarity</x:v>
      </x:c>
      <x:c r="D110" s="29" t="str">
        <x:v>وضوح العنوان</x:v>
      </x:c>
      <x:c r="E110" s="29" t="str">
        <x:v>إلزامي</x:v>
      </x:c>
      <x:c r="F110" s="29" t="str">
        <x:v>cleanup helper</x:v>
      </x:c>
      <x:c r="G110" s="29" t="str">
        <x:v>clear/unclear/unknown</x:v>
      </x:c>
      <x:c r="H110" s="29" t="str">
        <x:v>حالة العنوان.</x:v>
      </x:c>
    </x:row>
    <x:row r="111">
      <x:c r="A111" s="29" t="str">
        <x:v>أسماء مقترحة</x:v>
      </x:c>
      <x:c r="B111" s="29" t="str">
        <x:v>حالة المرشح</x:v>
      </x:c>
      <x:c r="C111" s="29" t="str">
        <x:v>status</x:v>
      </x:c>
      <x:c r="D111" s="29" t="str">
        <x:v>حالة الاسم المقترح</x:v>
      </x:c>
      <x:c r="E111" s="29" t="str">
        <x:v>إلزامي</x:v>
      </x:c>
      <x:c r="F111" s="29" t="str">
        <x:v>candidates.status</x:v>
      </x:c>
      <x:c r="G111" s="29" t="str">
        <x:v>New/Suggested/FollowUp/Contacted/Qualified/Junk</x:v>
      </x:c>
      <x:c r="H111" s="29" t="str">
        <x:v>غالبا Suggested.</x:v>
      </x:c>
    </x:row>
    <x:row r="112">
      <x:c r="A112" s="29" t="str">
        <x:v>أسماء مقترحة</x:v>
      </x:c>
      <x:c r="B112" s="29" t="str">
        <x:v>بيانات إضافية</x:v>
      </x:c>
      <x:c r="C112" s="29" t="str">
        <x:v>occupation</x:v>
      </x:c>
      <x:c r="D112" s="29" t="str">
        <x:v>المهنة</x:v>
      </x:c>
      <x:c r="E112" s="29" t="str">
        <x:v>اختياري</x:v>
      </x:c>
      <x:c r="F112" s="29" t="str">
        <x:v>candidates.occupation</x:v>
      </x:c>
      <x:c r="G112" s="29" t="str">
        <x:v>text</x:v>
      </x:c>
      <x:c r="H112" s="29" t="str">
        <x:v>اختياري.</x:v>
      </x:c>
    </x:row>
    <x:row r="113">
      <x:c r="A113" s="29" t="str">
        <x:v>أسماء مقترحة</x:v>
      </x:c>
      <x:c r="B113" s="29" t="str">
        <x:v>التكرار</x:v>
      </x:c>
      <x:c r="C113" s="29" t="str">
        <x:v>duplicate_flag</x:v>
      </x:c>
      <x:c r="D113" s="29" t="str">
        <x:v>اشتباه تكرار</x:v>
      </x:c>
      <x:c r="E113" s="29" t="str">
        <x:v>اختياري</x:v>
      </x:c>
      <x:c r="F113" s="29" t="str">
        <x:v>duplicate helper</x:v>
      </x:c>
      <x:c r="G113" s="29" t="str">
        <x:v>TRUE/FALSE</x:v>
      </x:c>
      <x:c r="H113" s="29" t="str">
        <x:v>TRUE عند الشك بالتكرار.</x:v>
      </x:c>
    </x:row>
    <x:row r="114">
      <x:c r="A114" s="29" t="str">
        <x:v>أسماء مقترحة</x:v>
      </x:c>
      <x:c r="B114" s="29" t="str">
        <x:v>التكرار</x:v>
      </x:c>
      <x:c r="C114" s="29" t="str">
        <x:v>duplicate_type</x:v>
      </x:c>
      <x:c r="D114" s="29" t="str">
        <x:v>نوع التكرار</x:v>
      </x:c>
      <x:c r="E114" s="29" t="str">
        <x:v>مطلوب عند TRUE</x:v>
      </x:c>
      <x:c r="F114" s="29" t="str">
        <x:v>candidates.duplicate_type</x:v>
      </x:c>
      <x:c r="G114" s="29" t="str">
        <x:v>Candidate/Client/Both</x:v>
      </x:c>
      <x:c r="H114" s="29" t="str">
        <x:v>نوع السجل المشابه.</x:v>
      </x:c>
    </x:row>
    <x:row r="115">
      <x:c r="A115" s="29" t="str">
        <x:v>أسماء مقترحة</x:v>
      </x:c>
      <x:c r="B115" s="29" t="str">
        <x:v>التكرار</x:v>
      </x:c>
      <x:c r="C115" s="29" t="str">
        <x:v>duplicate_reference_id</x:v>
      </x:c>
      <x:c r="D115" s="29" t="str">
        <x:v>ID مرجع التكرار</x:v>
      </x:c>
      <x:c r="E115" s="29" t="str">
        <x:v>اختياري</x:v>
      </x:c>
      <x:c r="F115" s="29" t="str">
        <x:v>candidates.duplicate_reference_id</x:v>
      </x:c>
      <x:c r="G115" s="29" t="str">
        <x:v>text</x:v>
      </x:c>
      <x:c r="H115" s="29" t="str">
        <x:v>ID من قاعدة البيانات إن وجد.</x:v>
      </x:c>
    </x:row>
    <x:row r="116">
      <x:c r="A116" s="29" t="str">
        <x:v>أسماء مقترحة</x:v>
      </x:c>
      <x:c r="B116" s="29" t="str">
        <x:v>التكرار</x:v>
      </x:c>
      <x:c r="C116" s="29" t="str">
        <x:v>duplicate_reference_key</x:v>
      </x:c>
      <x:c r="D116" s="29" t="str">
        <x:v>مفتاح مرجع التكرار</x:v>
      </x:c>
      <x:c r="E116" s="29" t="str">
        <x:v>اختياري</x:v>
      </x:c>
      <x:c r="F116" s="29" t="str">
        <x:v>migration helper</x:v>
      </x:c>
      <x:c r="G116" s="29" t="str">
        <x:v>text</x:v>
      </x:c>
      <x:c r="H116" s="29" t="str">
        <x:v>مفتاح من ملف الهجرة إن وجد.</x:v>
      </x:c>
    </x:row>
    <x:row r="117">
      <x:c r="A117" s="29" t="str">
        <x:v>أسماء مقترحة</x:v>
      </x:c>
      <x:c r="B117" s="29" t="str">
        <x:v>مراجعة</x:v>
      </x:c>
      <x:c r="C117" s="29" t="str">
        <x:v>candidate_notes</x:v>
      </x:c>
      <x:c r="D117" s="29" t="str">
        <x:v>ملاحظات الاسم المقترح</x:v>
      </x:c>
      <x:c r="E117" s="29" t="str">
        <x:v>اختياري</x:v>
      </x:c>
      <x:c r="F117" s="29" t="str">
        <x:v>candidates.notes</x:v>
      </x:c>
      <x:c r="G117" s="29" t="str">
        <x:v>text</x:v>
      </x:c>
      <x:c r="H117" s="29" t="str">
        <x:v>سبب المراجعة أو النقل.</x:v>
      </x:c>
    </x:row>
    <x:row r="118">
      <x:c r="A118" s="29" t="str">
        <x:v>أسماء مقترحة</x:v>
      </x:c>
      <x:c r="B118" s="29" t="str">
        <x:v>مراجعة</x:v>
      </x:c>
      <x:c r="C118" s="29" t="str">
        <x:v>source_row_status</x:v>
      </x:c>
      <x:c r="D118" s="29" t="str">
        <x:v>حالة صف المصدر - تلقائي</x:v>
      </x:c>
      <x:c r="E118" s="29" t="str">
        <x:v>محسوب</x:v>
      </x:c>
      <x:c r="F118" s="29" t="str">
        <x:v>migration helper</x:v>
      </x:c>
      <x:c r="G118" s="29" t="str">
        <x:v>formula</x:v>
      </x:c>
      <x:c r="H118" s="29" t="str">
        <x:v>تسحب حالة صف الزبون المصدر.</x:v>
      </x:c>
    </x:row>
    <x:row r="119">
      <x:c r="A119" s="29" t="str">
        <x:v>أسماء مقترحة</x:v>
      </x:c>
      <x:c r="B119" s="29" t="str">
        <x:v>مراجعة</x:v>
      </x:c>
      <x:c r="C119" s="29" t="str">
        <x:v>source_row_issues</x:v>
      </x:c>
      <x:c r="D119" s="29" t="str">
        <x:v>مشاكل صف المصدر - تلقائي</x:v>
      </x:c>
      <x:c r="E119" s="29" t="str">
        <x:v>محسوب</x:v>
      </x:c>
      <x:c r="F119" s="29" t="str">
        <x:v>migration helper</x:v>
      </x:c>
      <x:c r="G119" s="29" t="str">
        <x:v>formula</x:v>
      </x:c>
      <x:c r="H119" s="29" t="str">
        <x:v>تسحب مشاكل صف الزبون المصدر.</x:v>
      </x:c>
    </x:row>
    <x:row r="120">
      <x:c r="A120" s="29" t="str">
        <x:v>أسماء مقترحة</x:v>
      </x:c>
      <x:c r="B120" s="29" t="str">
        <x:v>مراجعة</x:v>
      </x:c>
      <x:c r="C120" s="29" t="str">
        <x:v>candidate_row_status</x:v>
      </x:c>
      <x:c r="D120" s="29" t="str">
        <x:v>حالة الاسم - تلقائي</x:v>
      </x:c>
      <x:c r="E120" s="29" t="str">
        <x:v>محسوب</x:v>
      </x:c>
      <x:c r="F120" s="29" t="str">
        <x:v>migration helper</x:v>
      </x:c>
      <x:c r="G120" s="29" t="str">
        <x:v>formula</x:v>
      </x:c>
      <x:c r="H120" s="29" t="str">
        <x:v>READY أو REVIEW أو SKIP.</x:v>
      </x:c>
    </x:row>
    <x:row r="121">
      <x:c r="A121" s="29" t="str">
        <x:v>أسماء مقترحة</x:v>
      </x:c>
      <x:c r="B121" s="29" t="str">
        <x:v>مراجعة</x:v>
      </x:c>
      <x:c r="C121" s="29" t="str">
        <x:v>candidate_row_issues</x:v>
      </x:c>
      <x:c r="D121" s="29" t="str">
        <x:v>مشاكل الاسم - تلقائي</x:v>
      </x:c>
      <x:c r="E121" s="29" t="str">
        <x:v>محسوب</x:v>
      </x:c>
      <x:c r="F121" s="29" t="str">
        <x:v>migration helper</x:v>
      </x:c>
      <x:c r="G121" s="29" t="str">
        <x:v>formula</x:v>
      </x:c>
      <x:c r="H121" s="29" t="str">
        <x:v>أسباب المراجعة.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35579be74241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34" hidden="0" customWidth="1"/>
    <x:col min="5" max="5" width="3" hidden="0" customWidth="1"/>
    <x:col min="6" max="6" width="14" hidden="0" customWidth="1"/>
    <x:col min="7" max="7" width="22" hidden="0" customWidth="1"/>
    <x:col min="8" max="8" width="12" hidden="0" customWidth="1"/>
    <x:col min="9" max="9" width="34" hidden="0" customWidth="1"/>
    <x:col min="10" max="10" width="3" hidden="0" customWidth="1"/>
    <x:col min="11" max="11" width="14" hidden="0" customWidth="1"/>
    <x:col min="12" max="12" width="22" hidden="0" customWidth="1"/>
    <x:col min="13" max="13" width="18" hidden="0" customWidth="1"/>
    <x:col min="14" max="14" width="14" hidden="0" customWidth="1"/>
    <x:col min="15" max="15" width="22" hidden="0" customWidth="1"/>
    <x:col min="16" max="16" width="12" hidden="0" customWidth="1"/>
    <x:col min="17" max="17" width="18" hidden="0" customWidth="1"/>
    <x:col min="18" max="18" width="3" hidden="0" customWidth="1"/>
    <x:col min="19" max="19" width="14" hidden="0" customWidth="1"/>
    <x:col min="20" max="20" width="22" hidden="0" customWidth="1"/>
    <x:col min="21" max="21" width="14" hidden="0" customWidth="1"/>
    <x:col min="22" max="22" width="22" hidden="0" customWidth="1"/>
    <x:col min="23" max="23" width="36" hidden="0" customWidth="1"/>
  </x:cols>
  <x:sheetData>
    <x:row r="1" ht="34" customHeight="1">
      <x:c r="A1" s="24" t="str">
        <x:v>قوائم مرجعية وقيم مسموحة</x:v>
      </x:c>
      <x:c r="B1" s="24" t="str">
        <x:v>قوائم مرجعية وقيم مسموحة</x:v>
      </x:c>
      <x:c r="C1" s="24" t="str">
        <x:v>قوائم مرجعية وقيم مسموحة</x:v>
      </x:c>
      <x:c r="D1" s="24" t="str">
        <x:v>قوائم مرجعية وقيم مسموحة</x:v>
      </x:c>
      <x:c r="E1" s="24" t="str">
        <x:v>قوائم مرجعية وقيم مسموحة</x:v>
      </x:c>
      <x:c r="F1" s="24" t="str">
        <x:v>قوائم مرجعية وقيم مسموحة</x:v>
      </x:c>
      <x:c r="G1" s="24" t="str">
        <x:v>قوائم مرجعية وقيم مسموحة</x:v>
      </x:c>
      <x:c r="H1" s="24" t="str">
        <x:v>قوائم مرجعية وقيم مسموحة</x:v>
      </x:c>
      <x:c r="I1" s="24" t="str">
        <x:v>قوائم مرجعية وقيم مسموحة</x:v>
      </x:c>
      <x:c r="J1" s="24" t="str">
        <x:v>قوائم مرجعية وقيم مسموحة</x:v>
      </x:c>
      <x:c r="K1" s="24" t="str">
        <x:v>قوائم مرجعية وقيم مسموحة</x:v>
      </x:c>
      <x:c r="L1" s="24" t="str">
        <x:v>قوائم مرجعية وقيم مسموحة</x:v>
      </x:c>
      <x:c r="M1" s="24" t="str">
        <x:v>قوائم مرجعية وقيم مسموحة</x:v>
      </x:c>
      <x:c r="N1" s="24" t="str">
        <x:v>قوائم مرجعية وقيم مسموحة</x:v>
      </x:c>
      <x:c r="O1" s="24" t="str">
        <x:v>قوائم مرجعية وقيم مسموحة</x:v>
      </x:c>
      <x:c r="P1" s="24" t="str">
        <x:v>قوائم مرجعية وقيم مسموحة</x:v>
      </x:c>
      <x:c r="Q1" s="24" t="str">
        <x:v>قوائم مرجعية وقيم مسموحة</x:v>
      </x:c>
      <x:c r="R1" s="24" t="str">
        <x:v>قوائم مرجعية وقيم مسموحة</x:v>
      </x:c>
      <x:c r="S1" s="24" t="str">
        <x:v>قوائم مرجعية وقيم مسموحة</x:v>
      </x:c>
      <x:c r="T1" s="24" t="str">
        <x:v>قوائم مرجعية وقيم مسموحة</x:v>
      </x:c>
      <x:c r="U1" s="24" t="str">
        <x:v>قوائم مرجعية وقيم مسموحة</x:v>
      </x:c>
      <x:c r="V1" s="24" t="str">
        <x:v>قوائم مرجعية وقيم مسموحة</x:v>
      </x:c>
      <x:c r="W1" s="24" t="str">
        <x:v>قوائم مرجعية وقيم مسموحة</x:v>
      </x:c>
      <x:c r="X1" s="24" t="str">
        <x:v>قوائم مرجعية وقيم مسموحة</x:v>
      </x:c>
    </x:row>
    <x:row r="2" ht="28" customHeight="1">
      <x:c r="A2" s="25" t="str">
        <x:v>املأ مراجع الفروع والمناطق والمستخدمين من قاعدة staging قبل الاستيراد النهائي.</x:v>
      </x:c>
      <x:c r="B2" s="25" t="str">
        <x:v>املأ مراجع الفروع والمناطق والمستخدمين من قاعدة staging قبل الاستيراد النهائي.</x:v>
      </x:c>
      <x:c r="C2" s="25" t="str">
        <x:v>املأ مراجع الفروع والمناطق والمستخدمين من قاعدة staging قبل الاستيراد النهائي.</x:v>
      </x:c>
      <x:c r="D2" s="25" t="str">
        <x:v>املأ مراجع الفروع والمناطق والمستخدمين من قاعدة staging قبل الاستيراد النهائي.</x:v>
      </x:c>
      <x:c r="E2" s="25" t="str">
        <x:v>املأ مراجع الفروع والمناطق والمستخدمين من قاعدة staging قبل الاستيراد النهائي.</x:v>
      </x:c>
      <x:c r="F2" s="25" t="str">
        <x:v>املأ مراجع الفروع والمناطق والمستخدمين من قاعدة staging قبل الاستيراد النهائي.</x:v>
      </x:c>
      <x:c r="G2" s="25" t="str">
        <x:v>املأ مراجع الفروع والمناطق والمستخدمين من قاعدة staging قبل الاستيراد النهائي.</x:v>
      </x:c>
      <x:c r="H2" s="25" t="str">
        <x:v>املأ مراجع الفروع والمناطق والمستخدمين من قاعدة staging قبل الاستيراد النهائي.</x:v>
      </x:c>
      <x:c r="I2" s="25" t="str">
        <x:v>املأ مراجع الفروع والمناطق والمستخدمين من قاعدة staging قبل الاستيراد النهائي.</x:v>
      </x:c>
      <x:c r="J2" s="25" t="str">
        <x:v>املأ مراجع الفروع والمناطق والمستخدمين من قاعدة staging قبل الاستيراد النهائي.</x:v>
      </x:c>
      <x:c r="K2" s="25" t="str">
        <x:v>املأ مراجع الفروع والمناطق والمستخدمين من قاعدة staging قبل الاستيراد النهائي.</x:v>
      </x:c>
      <x:c r="L2" s="25" t="str">
        <x:v>املأ مراجع الفروع والمناطق والمستخدمين من قاعدة staging قبل الاستيراد النهائي.</x:v>
      </x:c>
      <x:c r="M2" s="25" t="str">
        <x:v>املأ مراجع الفروع والمناطق والمستخدمين من قاعدة staging قبل الاستيراد النهائي.</x:v>
      </x:c>
      <x:c r="N2" s="25" t="str">
        <x:v>املأ مراجع الفروع والمناطق والمستخدمين من قاعدة staging قبل الاستيراد النهائي.</x:v>
      </x:c>
      <x:c r="O2" s="25" t="str">
        <x:v>املأ مراجع الفروع والمناطق والمستخدمين من قاعدة staging قبل الاستيراد النهائي.</x:v>
      </x:c>
      <x:c r="P2" s="25" t="str">
        <x:v>املأ مراجع الفروع والمناطق والمستخدمين من قاعدة staging قبل الاستيراد النهائي.</x:v>
      </x:c>
      <x:c r="Q2" s="25" t="str">
        <x:v>املأ مراجع الفروع والمناطق والمستخدمين من قاعدة staging قبل الاستيراد النهائي.</x:v>
      </x:c>
      <x:c r="R2" s="25" t="str">
        <x:v>املأ مراجع الفروع والمناطق والمستخدمين من قاعدة staging قبل الاستيراد النهائي.</x:v>
      </x:c>
      <x:c r="S2" s="25" t="str">
        <x:v>املأ مراجع الفروع والمناطق والمستخدمين من قاعدة staging قبل الاستيراد النهائي.</x:v>
      </x:c>
      <x:c r="T2" s="25" t="str">
        <x:v>املأ مراجع الفروع والمناطق والمستخدمين من قاعدة staging قبل الاستيراد النهائي.</x:v>
      </x:c>
      <x:c r="U2" s="25" t="str">
        <x:v>املأ مراجع الفروع والمناطق والمستخدمين من قاعدة staging قبل الاستيراد النهائي.</x:v>
      </x:c>
      <x:c r="V2" s="25" t="str">
        <x:v>املأ مراجع الفروع والمناطق والمستخدمين من قاعدة staging قبل الاستيراد النهائي.</x:v>
      </x:c>
      <x:c r="W2" s="25" t="str">
        <x:v>املأ مراجع الفروع والمناطق والمستخدمين من قاعدة staging قبل الاستيراد النهائي.</x:v>
      </x:c>
      <x:c r="X2" s="25" t="str">
        <x:v>املأ مراجع الفروع والمناطق والمستخدمين من قاعدة staging قبل الاستيراد النهائي.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</x:row>
    <x:row r="5">
      <x:c r="A5" s="27" t="str">
        <x:v>القائمة</x:v>
      </x:c>
      <x:c r="B5" s="27" t="str">
        <x:v>القيمة</x:v>
      </x:c>
      <x:c r="C5" s="27" t="str">
        <x:v>شرح عربي</x:v>
      </x:c>
      <x:c r="D5" s="27" t="str">
        <x:v>ملاحظات</x:v>
      </x:c>
      <x:c r="E5" s="26"/>
      <x:c r="F5" s="314" t="str">
        <x:v>branch_id</x:v>
      </x:c>
      <x:c r="G5" s="314" t="str">
        <x:v>branch_name</x:v>
      </x:c>
      <x:c r="H5" s="314" t="str">
        <x:v>status</x:v>
      </x:c>
      <x:c r="I5" s="314" t="str">
        <x:v>notes</x:v>
      </x:c>
      <x:c r="J5" s="26"/>
      <x:c r="K5" s="315" t="str">
        <x:v>geo_unit_id</x:v>
      </x:c>
      <x:c r="L5" s="315" t="str">
        <x:v>name</x:v>
      </x:c>
      <x:c r="M5" s="315" t="str">
        <x:v>level</x:v>
      </x:c>
      <x:c r="N5" s="315" t="str">
        <x:v>parent_id</x:v>
      </x:c>
      <x:c r="O5" s="315" t="str">
        <x:v>parent_name</x:v>
      </x:c>
      <x:c r="P5" s="315" t="str">
        <x:v>status</x:v>
      </x:c>
      <x:c r="Q5" s="315" t="str">
        <x:v>covered_branch_id</x:v>
      </x:c>
      <x:c r="R5" s="26"/>
      <x:c r="S5" s="316" t="str">
        <x:v>hr_user_id</x:v>
      </x:c>
      <x:c r="T5" s="316" t="str">
        <x:v>name</x:v>
      </x:c>
      <x:c r="U5" s="316" t="str">
        <x:v>branch_id</x:v>
      </x:c>
      <x:c r="V5" s="316" t="str">
        <x:v>role</x:v>
      </x:c>
      <x:c r="W5" s="316" t="str">
        <x:v>assignable_notes</x:v>
      </x:c>
      <x:c r="X5" s="26"/>
    </x:row>
    <x:row r="6">
      <x:c r="A6" s="317" t="str">
        <x:v>import_action</x:v>
      </x:c>
      <x:c r="B6" s="317" t="str">
        <x:v>create</x:v>
      </x:c>
      <x:c r="C6" s="317" t="str">
        <x:v>إنشاء</x:v>
      </x:c>
      <x:c r="D6" s="317" t="str"/>
      <x:c r="E6" s="26"/>
      <x:c r="F6" s="318" t="str"/>
      <x:c r="G6" s="318" t="str"/>
      <x:c r="H6" s="318" t="str"/>
      <x:c r="I6" s="318" t="str">
        <x:v>املأ من branches على staging</x:v>
      </x:c>
      <x:c r="J6" s="26"/>
      <x:c r="K6" s="318" t="str"/>
      <x:c r="L6" s="318" t="str"/>
      <x:c r="M6" s="318" t="str">
        <x:v>1=محافظة، 2=منطقة، 3=ناحية، 4=حي</x:v>
      </x:c>
      <x:c r="N6" s="318" t="str"/>
      <x:c r="O6" s="318" t="str"/>
      <x:c r="P6" s="318" t="str"/>
      <x:c r="Q6" s="318" t="str">
        <x:v>املأ من geo_units + branch coverage</x:v>
      </x:c>
      <x:c r="R6" s="26"/>
      <x:c r="S6" s="318" t="str"/>
      <x:c r="T6" s="318" t="str"/>
      <x:c r="U6" s="318" t="str"/>
      <x:c r="V6" s="318" t="str"/>
      <x:c r="W6" s="318" t="str">
        <x:v>املأ من المستخدمين القابلين للإسناد</x:v>
      </x:c>
      <x:c r="X6" s="26"/>
    </x:row>
    <x:row r="7">
      <x:c r="A7" s="317" t="str">
        <x:v>import_action</x:v>
      </x:c>
      <x:c r="B7" s="317" t="str">
        <x:v>update</x:v>
      </x:c>
      <x:c r="C7" s="317" t="str">
        <x:v>تحديث</x:v>
      </x:c>
      <x:c r="D7" s="317" t="str"/>
      <x:c r="E7" s="26"/>
      <x:c r="F7" s="318"/>
      <x:c r="G7" s="318"/>
      <x:c r="H7" s="318"/>
      <x:c r="I7" s="318"/>
      <x:c r="J7" s="26"/>
      <x:c r="K7" s="318"/>
      <x:c r="L7" s="318"/>
      <x:c r="M7" s="318"/>
      <x:c r="N7" s="318"/>
      <x:c r="O7" s="318"/>
      <x:c r="P7" s="318"/>
      <x:c r="Q7" s="318"/>
      <x:c r="R7" s="26"/>
      <x:c r="S7" s="318"/>
      <x:c r="T7" s="318"/>
      <x:c r="U7" s="318"/>
      <x:c r="V7" s="318"/>
      <x:c r="W7" s="318"/>
      <x:c r="X7" s="26"/>
    </x:row>
    <x:row r="8">
      <x:c r="A8" s="317" t="str">
        <x:v>import_action</x:v>
      </x:c>
      <x:c r="B8" s="317" t="str">
        <x:v>skip</x:v>
      </x:c>
      <x:c r="C8" s="317" t="str">
        <x:v>تجاهل</x:v>
      </x:c>
      <x:c r="D8" s="317" t="str"/>
      <x:c r="E8" s="26"/>
      <x:c r="F8" s="318"/>
      <x:c r="G8" s="318"/>
      <x:c r="H8" s="318"/>
      <x:c r="I8" s="318"/>
      <x:c r="J8" s="26"/>
      <x:c r="K8" s="318"/>
      <x:c r="L8" s="318"/>
      <x:c r="M8" s="318"/>
      <x:c r="N8" s="318"/>
      <x:c r="O8" s="318"/>
      <x:c r="P8" s="318"/>
      <x:c r="Q8" s="318"/>
      <x:c r="R8" s="26"/>
      <x:c r="S8" s="318"/>
      <x:c r="T8" s="318"/>
      <x:c r="U8" s="318"/>
      <x:c r="V8" s="318"/>
      <x:c r="W8" s="318"/>
      <x:c r="X8" s="26"/>
    </x:row>
    <x:row r="9">
      <x:c r="A9" s="317" t="str">
        <x:v>import_action</x:v>
      </x:c>
      <x:c r="B9" s="317" t="str">
        <x:v>to_candidate</x:v>
      </x:c>
      <x:c r="C9" s="317" t="str">
        <x:v>نقل لاسم مقترح</x:v>
      </x:c>
      <x:c r="D9" s="317" t="str"/>
      <x:c r="E9" s="26"/>
      <x:c r="F9" s="318"/>
      <x:c r="G9" s="318"/>
      <x:c r="H9" s="318"/>
      <x:c r="I9" s="318"/>
      <x:c r="J9" s="26"/>
      <x:c r="K9" s="318"/>
      <x:c r="L9" s="318"/>
      <x:c r="M9" s="318"/>
      <x:c r="N9" s="318"/>
      <x:c r="O9" s="318"/>
      <x:c r="P9" s="318"/>
      <x:c r="Q9" s="318"/>
      <x:c r="R9" s="26"/>
      <x:c r="S9" s="318"/>
      <x:c r="T9" s="318"/>
      <x:c r="U9" s="318"/>
      <x:c r="V9" s="318"/>
      <x:c r="W9" s="318"/>
      <x:c r="X9" s="26"/>
    </x:row>
    <x:row r="10">
      <x:c r="A10" s="317" t="str">
        <x:v>final_destination</x:v>
      </x:c>
      <x:c r="B10" s="317" t="str">
        <x:v>client</x:v>
      </x:c>
      <x:c r="C10" s="317" t="str">
        <x:v>زبون</x:v>
      </x:c>
      <x:c r="D10" s="317" t="str"/>
      <x:c r="E10" s="26"/>
      <x:c r="F10" s="318"/>
      <x:c r="G10" s="318"/>
      <x:c r="H10" s="318"/>
      <x:c r="I10" s="318"/>
      <x:c r="J10" s="26"/>
      <x:c r="K10" s="318"/>
      <x:c r="L10" s="318"/>
      <x:c r="M10" s="318"/>
      <x:c r="N10" s="318"/>
      <x:c r="O10" s="318"/>
      <x:c r="P10" s="318"/>
      <x:c r="Q10" s="318"/>
      <x:c r="R10" s="26"/>
      <x:c r="S10" s="318"/>
      <x:c r="T10" s="318"/>
      <x:c r="U10" s="318"/>
      <x:c r="V10" s="318"/>
      <x:c r="W10" s="318"/>
      <x:c r="X10" s="26"/>
    </x:row>
    <x:row r="11">
      <x:c r="A11" s="317" t="str">
        <x:v>final_destination</x:v>
      </x:c>
      <x:c r="B11" s="317" t="str">
        <x:v>proposed_name</x:v>
      </x:c>
      <x:c r="C11" s="317" t="str">
        <x:v>اسم مقترح</x:v>
      </x:c>
      <x:c r="D11" s="317" t="str"/>
      <x:c r="E11" s="26"/>
      <x:c r="F11" s="318"/>
      <x:c r="G11" s="318"/>
      <x:c r="H11" s="318"/>
      <x:c r="I11" s="318"/>
      <x:c r="J11" s="26"/>
      <x:c r="K11" s="318"/>
      <x:c r="L11" s="318"/>
      <x:c r="M11" s="318"/>
      <x:c r="N11" s="318"/>
      <x:c r="O11" s="318"/>
      <x:c r="P11" s="318"/>
      <x:c r="Q11" s="318"/>
      <x:c r="R11" s="26"/>
      <x:c r="S11" s="318"/>
      <x:c r="T11" s="318"/>
      <x:c r="U11" s="318"/>
      <x:c r="V11" s="318"/>
      <x:c r="W11" s="318"/>
      <x:c r="X11" s="26"/>
    </x:row>
    <x:row r="12">
      <x:c r="A12" s="317" t="str">
        <x:v>final_destination</x:v>
      </x:c>
      <x:c r="B12" s="317" t="str">
        <x:v>skip</x:v>
      </x:c>
      <x:c r="C12" s="317" t="str">
        <x:v>تجاهل</x:v>
      </x:c>
      <x:c r="D12" s="317" t="str"/>
      <x:c r="E12" s="26"/>
      <x:c r="F12" s="318"/>
      <x:c r="G12" s="318"/>
      <x:c r="H12" s="318"/>
      <x:c r="I12" s="318"/>
      <x:c r="J12" s="26"/>
      <x:c r="K12" s="318"/>
      <x:c r="L12" s="318"/>
      <x:c r="M12" s="318"/>
      <x:c r="N12" s="318"/>
      <x:c r="O12" s="318"/>
      <x:c r="P12" s="318"/>
      <x:c r="Q12" s="318"/>
      <x:c r="R12" s="26"/>
      <x:c r="S12" s="318"/>
      <x:c r="T12" s="318"/>
      <x:c r="U12" s="318"/>
      <x:c r="V12" s="318"/>
      <x:c r="W12" s="318"/>
      <x:c r="X12" s="26"/>
    </x:row>
    <x:row r="13">
      <x:c r="A13" s="317" t="str">
        <x:v>final_destination</x:v>
      </x:c>
      <x:c r="B13" s="317" t="str">
        <x:v>review_later</x:v>
      </x:c>
      <x:c r="C13" s="317" t="str">
        <x:v>مراجعة لاحقة</x:v>
      </x:c>
      <x:c r="D13" s="317" t="str"/>
      <x:c r="E13" s="26"/>
      <x:c r="F13" s="318"/>
      <x:c r="G13" s="318"/>
      <x:c r="H13" s="318"/>
      <x:c r="I13" s="318"/>
      <x:c r="J13" s="26"/>
      <x:c r="K13" s="318"/>
      <x:c r="L13" s="318"/>
      <x:c r="M13" s="318"/>
      <x:c r="N13" s="318"/>
      <x:c r="O13" s="318"/>
      <x:c r="P13" s="318"/>
      <x:c r="Q13" s="318"/>
      <x:c r="R13" s="26"/>
      <x:c r="S13" s="318"/>
      <x:c r="T13" s="318"/>
      <x:c r="U13" s="318"/>
      <x:c r="V13" s="318"/>
      <x:c r="W13" s="318"/>
      <x:c r="X13" s="26"/>
    </x:row>
    <x:row r="14">
      <x:c r="A14" s="317" t="str">
        <x:v>proposed_move_reason</x:v>
      </x:c>
      <x:c r="B14" s="317" t="str">
        <x:v>uncertain_identity</x:v>
      </x:c>
      <x:c r="C14" s="317" t="str">
        <x:v>هوية غير مؤكدة</x:v>
      </x:c>
      <x:c r="D14" s="317" t="str"/>
      <x:c r="E14" s="26"/>
      <x:c r="F14" s="318"/>
      <x:c r="G14" s="318"/>
      <x:c r="H14" s="318"/>
      <x:c r="I14" s="318"/>
      <x:c r="J14" s="26"/>
      <x:c r="K14" s="318"/>
      <x:c r="L14" s="318"/>
      <x:c r="M14" s="318"/>
      <x:c r="N14" s="318"/>
      <x:c r="O14" s="318"/>
      <x:c r="P14" s="318"/>
      <x:c r="Q14" s="318"/>
      <x:c r="R14" s="26"/>
      <x:c r="S14" s="318"/>
      <x:c r="T14" s="318"/>
      <x:c r="U14" s="318"/>
      <x:c r="V14" s="318"/>
      <x:c r="W14" s="318"/>
      <x:c r="X14" s="26"/>
    </x:row>
    <x:row r="15">
      <x:c r="A15" s="317" t="str">
        <x:v>proposed_move_reason</x:v>
      </x:c>
      <x:c r="B15" s="317" t="str">
        <x:v>duplicate</x:v>
      </x:c>
      <x:c r="C15" s="317" t="str">
        <x:v>مكرر</x:v>
      </x:c>
      <x:c r="D15" s="317" t="str"/>
      <x:c r="E15" s="26"/>
      <x:c r="F15" s="318"/>
      <x:c r="G15" s="318"/>
      <x:c r="H15" s="318"/>
      <x:c r="I15" s="318"/>
      <x:c r="J15" s="26"/>
      <x:c r="K15" s="318"/>
      <x:c r="L15" s="318"/>
      <x:c r="M15" s="318"/>
      <x:c r="N15" s="318"/>
      <x:c r="O15" s="318"/>
      <x:c r="P15" s="318"/>
      <x:c r="Q15" s="318"/>
      <x:c r="R15" s="26"/>
      <x:c r="S15" s="318"/>
      <x:c r="T15" s="318"/>
      <x:c r="U15" s="318"/>
      <x:c r="V15" s="318"/>
      <x:c r="W15" s="318"/>
      <x:c r="X15" s="26"/>
    </x:row>
    <x:row r="16">
      <x:c r="A16" s="317" t="str">
        <x:v>proposed_move_reason</x:v>
      </x:c>
      <x:c r="B16" s="317" t="str">
        <x:v>missing_required_data</x:v>
      </x:c>
      <x:c r="C16" s="317" t="str">
        <x:v>بيانات ناقصة</x:v>
      </x:c>
      <x:c r="D16" s="317" t="str"/>
      <x:c r="E16" s="26"/>
      <x:c r="F16" s="318"/>
      <x:c r="G16" s="318"/>
      <x:c r="H16" s="318"/>
      <x:c r="I16" s="318"/>
      <x:c r="J16" s="26"/>
      <x:c r="K16" s="318"/>
      <x:c r="L16" s="318"/>
      <x:c r="M16" s="318"/>
      <x:c r="N16" s="318"/>
      <x:c r="O16" s="318"/>
      <x:c r="P16" s="318"/>
      <x:c r="Q16" s="318"/>
      <x:c r="R16" s="26"/>
      <x:c r="S16" s="318"/>
      <x:c r="T16" s="318"/>
      <x:c r="U16" s="318"/>
      <x:c r="V16" s="318"/>
      <x:c r="W16" s="318"/>
      <x:c r="X16" s="26"/>
    </x:row>
    <x:row r="17">
      <x:c r="A17" s="317" t="str">
        <x:v>proposed_move_reason</x:v>
      </x:c>
      <x:c r="B17" s="317" t="str">
        <x:v>missing_or_invalid_phone</x:v>
      </x:c>
      <x:c r="C17" s="317" t="str">
        <x:v>رقم ناقص أو غير صالح</x:v>
      </x:c>
      <x:c r="D17" s="317" t="str"/>
      <x:c r="E17" s="26"/>
      <x:c r="F17" s="318"/>
      <x:c r="G17" s="318"/>
      <x:c r="H17" s="318"/>
      <x:c r="I17" s="318"/>
      <x:c r="J17" s="26"/>
      <x:c r="K17" s="318"/>
      <x:c r="L17" s="318"/>
      <x:c r="M17" s="318"/>
      <x:c r="N17" s="318"/>
      <x:c r="O17" s="318"/>
      <x:c r="P17" s="318"/>
      <x:c r="Q17" s="318"/>
      <x:c r="R17" s="26"/>
      <x:c r="S17" s="318"/>
      <x:c r="T17" s="318"/>
      <x:c r="U17" s="318"/>
      <x:c r="V17" s="318"/>
      <x:c r="W17" s="318"/>
      <x:c r="X17" s="26"/>
    </x:row>
    <x:row r="18">
      <x:c r="A18" s="317" t="str">
        <x:v>proposed_move_reason</x:v>
      </x:c>
      <x:c r="B18" s="317" t="str">
        <x:v>unclear_address</x:v>
      </x:c>
      <x:c r="C18" s="317" t="str">
        <x:v>عنوان غير واضح</x:v>
      </x:c>
      <x:c r="D18" s="317" t="str"/>
      <x:c r="E18" s="26"/>
      <x:c r="F18" s="318"/>
      <x:c r="G18" s="318"/>
      <x:c r="H18" s="318"/>
      <x:c r="I18" s="318"/>
      <x:c r="J18" s="26"/>
      <x:c r="K18" s="318"/>
      <x:c r="L18" s="318"/>
      <x:c r="M18" s="318"/>
      <x:c r="N18" s="318"/>
      <x:c r="O18" s="318"/>
      <x:c r="P18" s="318"/>
      <x:c r="Q18" s="318"/>
      <x:c r="R18" s="26"/>
      <x:c r="S18" s="318"/>
      <x:c r="T18" s="318"/>
      <x:c r="U18" s="318"/>
      <x:c r="V18" s="318"/>
      <x:c r="W18" s="318"/>
      <x:c r="X18" s="26"/>
    </x:row>
    <x:row r="19">
      <x:c r="A19" s="317" t="str">
        <x:v>proposed_move_reason</x:v>
      </x:c>
      <x:c r="B19" s="317" t="str">
        <x:v>unknown_branch</x:v>
      </x:c>
      <x:c r="C19" s="317" t="str">
        <x:v>فرع غير معروف</x:v>
      </x:c>
      <x:c r="D19" s="317" t="str"/>
      <x:c r="E19" s="26"/>
      <x:c r="F19" s="318"/>
      <x:c r="G19" s="318"/>
      <x:c r="H19" s="318"/>
      <x:c r="I19" s="318"/>
      <x:c r="J19" s="26"/>
      <x:c r="K19" s="318"/>
      <x:c r="L19" s="318"/>
      <x:c r="M19" s="318"/>
      <x:c r="N19" s="318"/>
      <x:c r="O19" s="318"/>
      <x:c r="P19" s="318"/>
      <x:c r="Q19" s="318"/>
      <x:c r="R19" s="26"/>
      <x:c r="S19" s="318"/>
      <x:c r="T19" s="318"/>
      <x:c r="U19" s="318"/>
      <x:c r="V19" s="318"/>
      <x:c r="W19" s="318"/>
      <x:c r="X19" s="26"/>
    </x:row>
    <x:row r="20">
      <x:c r="A20" s="317" t="str">
        <x:v>proposed_move_reason</x:v>
      </x:c>
      <x:c r="B20" s="317" t="str">
        <x:v>outside_coverage</x:v>
      </x:c>
      <x:c r="C20" s="317" t="str">
        <x:v>خارج التغطية</x:v>
      </x:c>
      <x:c r="D20" s="317" t="str"/>
      <x:c r="E20" s="26"/>
      <x:c r="F20" s="318"/>
      <x:c r="G20" s="318"/>
      <x:c r="H20" s="318"/>
      <x:c r="I20" s="318"/>
      <x:c r="J20" s="26"/>
      <x:c r="K20" s="318"/>
      <x:c r="L20" s="318"/>
      <x:c r="M20" s="318"/>
      <x:c r="N20" s="318"/>
      <x:c r="O20" s="318"/>
      <x:c r="P20" s="318"/>
      <x:c r="Q20" s="318"/>
      <x:c r="R20" s="26"/>
      <x:c r="S20" s="318"/>
      <x:c r="T20" s="318"/>
      <x:c r="U20" s="318"/>
      <x:c r="V20" s="318"/>
      <x:c r="W20" s="318"/>
      <x:c r="X20" s="26"/>
    </x:row>
    <x:row r="21">
      <x:c r="A21" s="317" t="str">
        <x:v>proposed_move_reason</x:v>
      </x:c>
      <x:c r="B21" s="317" t="str">
        <x:v>needs_manual_review</x:v>
      </x:c>
      <x:c r="C21" s="317" t="str">
        <x:v>بحاجة مراجعة</x:v>
      </x:c>
      <x:c r="D21" s="317" t="str"/>
      <x:c r="E21" s="26"/>
      <x:c r="F21" s="318"/>
      <x:c r="G21" s="318"/>
      <x:c r="H21" s="318"/>
      <x:c r="I21" s="318"/>
      <x:c r="J21" s="26"/>
      <x:c r="K21" s="318"/>
      <x:c r="L21" s="318"/>
      <x:c r="M21" s="318"/>
      <x:c r="N21" s="318"/>
      <x:c r="O21" s="318"/>
      <x:c r="P21" s="318"/>
      <x:c r="Q21" s="318"/>
      <x:c r="R21" s="26"/>
      <x:c r="S21" s="318"/>
      <x:c r="T21" s="318"/>
      <x:c r="U21" s="318"/>
      <x:c r="V21" s="318"/>
      <x:c r="W21" s="318"/>
      <x:c r="X21" s="26"/>
    </x:row>
    <x:row r="22">
      <x:c r="A22" s="317" t="str">
        <x:v>candidate_import_action</x:v>
      </x:c>
      <x:c r="B22" s="317" t="str">
        <x:v>create_candidate</x:v>
      </x:c>
      <x:c r="C22" s="317" t="str">
        <x:v>إنشاء اسم مقترح</x:v>
      </x:c>
      <x:c r="D22" s="317" t="str"/>
      <x:c r="E22" s="26"/>
      <x:c r="F22" s="318"/>
      <x:c r="G22" s="318"/>
      <x:c r="H22" s="318"/>
      <x:c r="I22" s="318"/>
      <x:c r="J22" s="26"/>
      <x:c r="K22" s="318"/>
      <x:c r="L22" s="318"/>
      <x:c r="M22" s="318"/>
      <x:c r="N22" s="318"/>
      <x:c r="O22" s="318"/>
      <x:c r="P22" s="318"/>
      <x:c r="Q22" s="318"/>
      <x:c r="R22" s="26"/>
      <x:c r="S22" s="318"/>
      <x:c r="T22" s="318"/>
      <x:c r="U22" s="318"/>
      <x:c r="V22" s="318"/>
      <x:c r="W22" s="318"/>
      <x:c r="X22" s="26"/>
    </x:row>
    <x:row r="23">
      <x:c r="A23" s="317" t="str">
        <x:v>candidate_import_action</x:v>
      </x:c>
      <x:c r="B23" s="317" t="str">
        <x:v>update_candidate</x:v>
      </x:c>
      <x:c r="C23" s="317" t="str">
        <x:v>تحديث اسم مقترح</x:v>
      </x:c>
      <x:c r="D23" s="317" t="str"/>
      <x:c r="E23" s="26"/>
      <x:c r="F23" s="318"/>
      <x:c r="G23" s="318"/>
      <x:c r="H23" s="318"/>
      <x:c r="I23" s="318"/>
      <x:c r="J23" s="26"/>
      <x:c r="K23" s="318"/>
      <x:c r="L23" s="318"/>
      <x:c r="M23" s="318"/>
      <x:c r="N23" s="318"/>
      <x:c r="O23" s="318"/>
      <x:c r="P23" s="318"/>
      <x:c r="Q23" s="318"/>
      <x:c r="R23" s="26"/>
      <x:c r="S23" s="318"/>
      <x:c r="T23" s="318"/>
      <x:c r="U23" s="318"/>
      <x:c r="V23" s="318"/>
      <x:c r="W23" s="318"/>
      <x:c r="X23" s="26"/>
    </x:row>
    <x:row r="24">
      <x:c r="A24" s="317" t="str">
        <x:v>candidate_import_action</x:v>
      </x:c>
      <x:c r="B24" s="317" t="str">
        <x:v>skip</x:v>
      </x:c>
      <x:c r="C24" s="317" t="str">
        <x:v>تجاهل</x:v>
      </x:c>
      <x:c r="D24" s="317" t="str"/>
      <x:c r="E24" s="26"/>
      <x:c r="F24" s="318"/>
      <x:c r="G24" s="318"/>
      <x:c r="H24" s="318"/>
      <x:c r="I24" s="318"/>
      <x:c r="J24" s="26"/>
      <x:c r="K24" s="318"/>
      <x:c r="L24" s="318"/>
      <x:c r="M24" s="318"/>
      <x:c r="N24" s="318"/>
      <x:c r="O24" s="318"/>
      <x:c r="P24" s="318"/>
      <x:c r="Q24" s="318"/>
      <x:c r="R24" s="26"/>
      <x:c r="S24" s="318"/>
      <x:c r="T24" s="318"/>
      <x:c r="U24" s="318"/>
      <x:c r="V24" s="318"/>
      <x:c r="W24" s="318"/>
      <x:c r="X24" s="26"/>
    </x:row>
    <x:row r="25">
      <x:c r="A25" s="317" t="str">
        <x:v>candidate_db_status</x:v>
      </x:c>
      <x:c r="B25" s="317" t="str">
        <x:v>New</x:v>
      </x:c>
      <x:c r="C25" s="317" t="str"/>
      <x:c r="D25" s="317" t="str"/>
      <x:c r="E25" s="26"/>
      <x:c r="F25" s="318"/>
      <x:c r="G25" s="318"/>
      <x:c r="H25" s="318"/>
      <x:c r="I25" s="318"/>
      <x:c r="J25" s="26"/>
      <x:c r="K25" s="318"/>
      <x:c r="L25" s="318"/>
      <x:c r="M25" s="318"/>
      <x:c r="N25" s="318"/>
      <x:c r="O25" s="318"/>
      <x:c r="P25" s="318"/>
      <x:c r="Q25" s="318"/>
      <x:c r="R25" s="26"/>
      <x:c r="S25" s="318"/>
      <x:c r="T25" s="318"/>
      <x:c r="U25" s="318"/>
      <x:c r="V25" s="318"/>
      <x:c r="W25" s="318"/>
      <x:c r="X25" s="26"/>
    </x:row>
    <x:row r="26">
      <x:c r="A26" s="317" t="str">
        <x:v>candidate_db_status</x:v>
      </x:c>
      <x:c r="B26" s="317" t="str">
        <x:v>Suggested</x:v>
      </x:c>
      <x:c r="C26" s="317" t="str"/>
      <x:c r="D26" s="317" t="str"/>
      <x:c r="E26" s="26"/>
      <x:c r="F26" s="318"/>
      <x:c r="G26" s="318"/>
      <x:c r="H26" s="318"/>
      <x:c r="I26" s="318"/>
      <x:c r="J26" s="26"/>
      <x:c r="K26" s="318"/>
      <x:c r="L26" s="318"/>
      <x:c r="M26" s="318"/>
      <x:c r="N26" s="318"/>
      <x:c r="O26" s="318"/>
      <x:c r="P26" s="318"/>
      <x:c r="Q26" s="318"/>
      <x:c r="R26" s="26"/>
      <x:c r="S26" s="318"/>
      <x:c r="T26" s="318"/>
      <x:c r="U26" s="318"/>
      <x:c r="V26" s="318"/>
      <x:c r="W26" s="318"/>
      <x:c r="X26" s="26"/>
    </x:row>
    <x:row r="27">
      <x:c r="A27" s="317" t="str">
        <x:v>candidate_db_status</x:v>
      </x:c>
      <x:c r="B27" s="317" t="str">
        <x:v>FollowUp</x:v>
      </x:c>
      <x:c r="C27" s="317" t="str"/>
      <x:c r="D27" s="317" t="str"/>
      <x:c r="E27" s="26"/>
      <x:c r="F27" s="318"/>
      <x:c r="G27" s="318"/>
      <x:c r="H27" s="318"/>
      <x:c r="I27" s="318"/>
      <x:c r="J27" s="26"/>
      <x:c r="K27" s="318"/>
      <x:c r="L27" s="318"/>
      <x:c r="M27" s="318"/>
      <x:c r="N27" s="318"/>
      <x:c r="O27" s="318"/>
      <x:c r="P27" s="318"/>
      <x:c r="Q27" s="318"/>
      <x:c r="R27" s="26"/>
      <x:c r="S27" s="318"/>
      <x:c r="T27" s="318"/>
      <x:c r="U27" s="318"/>
      <x:c r="V27" s="318"/>
      <x:c r="W27" s="318"/>
      <x:c r="X27" s="26"/>
    </x:row>
    <x:row r="28">
      <x:c r="A28" s="317" t="str">
        <x:v>candidate_db_status</x:v>
      </x:c>
      <x:c r="B28" s="317" t="str">
        <x:v>Contacted</x:v>
      </x:c>
      <x:c r="C28" s="317" t="str"/>
      <x:c r="D28" s="317" t="str"/>
      <x:c r="E28" s="26"/>
      <x:c r="F28" s="318"/>
      <x:c r="G28" s="318"/>
      <x:c r="H28" s="318"/>
      <x:c r="I28" s="318"/>
      <x:c r="J28" s="26"/>
      <x:c r="K28" s="318"/>
      <x:c r="L28" s="318"/>
      <x:c r="M28" s="318"/>
      <x:c r="N28" s="318"/>
      <x:c r="O28" s="318"/>
      <x:c r="P28" s="318"/>
      <x:c r="Q28" s="318"/>
      <x:c r="R28" s="26"/>
      <x:c r="S28" s="318"/>
      <x:c r="T28" s="318"/>
      <x:c r="U28" s="318"/>
      <x:c r="V28" s="318"/>
      <x:c r="W28" s="318"/>
      <x:c r="X28" s="26"/>
    </x:row>
    <x:row r="29">
      <x:c r="A29" s="317" t="str">
        <x:v>candidate_db_status</x:v>
      </x:c>
      <x:c r="B29" s="317" t="str">
        <x:v>Qualified</x:v>
      </x:c>
      <x:c r="C29" s="317" t="str"/>
      <x:c r="D29" s="317" t="str"/>
      <x:c r="E29" s="26"/>
      <x:c r="F29" s="318"/>
      <x:c r="G29" s="318"/>
      <x:c r="H29" s="318"/>
      <x:c r="I29" s="318"/>
      <x:c r="J29" s="26"/>
      <x:c r="K29" s="318"/>
      <x:c r="L29" s="318"/>
      <x:c r="M29" s="318"/>
      <x:c r="N29" s="318"/>
      <x:c r="O29" s="318"/>
      <x:c r="P29" s="318"/>
      <x:c r="Q29" s="318"/>
      <x:c r="R29" s="26"/>
      <x:c r="S29" s="318"/>
      <x:c r="T29" s="318"/>
      <x:c r="U29" s="318"/>
      <x:c r="V29" s="318"/>
      <x:c r="W29" s="318"/>
      <x:c r="X29" s="26"/>
    </x:row>
    <x:row r="30">
      <x:c r="A30" s="317" t="str">
        <x:v>candidate_db_status</x:v>
      </x:c>
      <x:c r="B30" s="317" t="str">
        <x:v>Junk</x:v>
      </x:c>
      <x:c r="C30" s="317" t="str"/>
      <x:c r="D30" s="317" t="str"/>
      <x:c r="E30" s="26"/>
      <x:c r="F30" s="318"/>
      <x:c r="G30" s="318"/>
      <x:c r="H30" s="318"/>
      <x:c r="I30" s="318"/>
      <x:c r="J30" s="26"/>
      <x:c r="K30" s="318"/>
      <x:c r="L30" s="318"/>
      <x:c r="M30" s="318"/>
      <x:c r="N30" s="318"/>
      <x:c r="O30" s="318"/>
      <x:c r="P30" s="318"/>
      <x:c r="Q30" s="318"/>
      <x:c r="R30" s="26"/>
      <x:c r="S30" s="318"/>
      <x:c r="T30" s="318"/>
      <x:c r="U30" s="318"/>
      <x:c r="V30" s="318"/>
      <x:c r="W30" s="318"/>
      <x:c r="X30" s="26"/>
    </x:row>
    <x:row r="31">
      <x:c r="A31" s="317" t="str">
        <x:v>duplicate_type</x:v>
      </x:c>
      <x:c r="B31" s="317" t="str">
        <x:v>Candidate</x:v>
      </x:c>
      <x:c r="C31" s="317" t="str"/>
      <x:c r="D31" s="317" t="str"/>
      <x:c r="E31" s="26"/>
      <x:c r="F31" s="318"/>
      <x:c r="G31" s="318"/>
      <x:c r="H31" s="318"/>
      <x:c r="I31" s="318"/>
      <x:c r="J31" s="26"/>
      <x:c r="K31" s="318"/>
      <x:c r="L31" s="318"/>
      <x:c r="M31" s="318"/>
      <x:c r="N31" s="318"/>
      <x:c r="O31" s="318"/>
      <x:c r="P31" s="318"/>
      <x:c r="Q31" s="318"/>
      <x:c r="R31" s="26"/>
      <x:c r="S31" s="318"/>
      <x:c r="T31" s="318"/>
      <x:c r="U31" s="318"/>
      <x:c r="V31" s="318"/>
      <x:c r="W31" s="318"/>
      <x:c r="X31" s="26"/>
    </x:row>
    <x:row r="32">
      <x:c r="A32" s="317" t="str">
        <x:v>duplicate_type</x:v>
      </x:c>
      <x:c r="B32" s="317" t="str">
        <x:v>Client</x:v>
      </x:c>
      <x:c r="C32" s="317" t="str"/>
      <x:c r="D32" s="317" t="str"/>
      <x:c r="E32" s="26"/>
      <x:c r="F32" s="318"/>
      <x:c r="G32" s="318"/>
      <x:c r="H32" s="318"/>
      <x:c r="I32" s="318"/>
      <x:c r="J32" s="26"/>
      <x:c r="K32" s="318"/>
      <x:c r="L32" s="318"/>
      <x:c r="M32" s="318"/>
      <x:c r="N32" s="318"/>
      <x:c r="O32" s="318"/>
      <x:c r="P32" s="318"/>
      <x:c r="Q32" s="318"/>
      <x:c r="R32" s="26"/>
      <x:c r="S32" s="318"/>
      <x:c r="T32" s="318"/>
      <x:c r="U32" s="318"/>
      <x:c r="V32" s="318"/>
      <x:c r="W32" s="318"/>
      <x:c r="X32" s="26"/>
    </x:row>
    <x:row r="33">
      <x:c r="A33" s="317" t="str">
        <x:v>duplicate_type</x:v>
      </x:c>
      <x:c r="B33" s="317" t="str">
        <x:v>Both</x:v>
      </x:c>
      <x:c r="C33" s="317" t="str"/>
      <x:c r="D33" s="317" t="str"/>
      <x:c r="E33" s="26"/>
      <x:c r="F33" s="318"/>
      <x:c r="G33" s="318"/>
      <x:c r="H33" s="318"/>
      <x:c r="I33" s="318"/>
      <x:c r="J33" s="26"/>
      <x:c r="K33" s="318"/>
      <x:c r="L33" s="318"/>
      <x:c r="M33" s="318"/>
      <x:c r="N33" s="318"/>
      <x:c r="O33" s="318"/>
      <x:c r="P33" s="318"/>
      <x:c r="Q33" s="318"/>
      <x:c r="R33" s="26"/>
      <x:c r="S33" s="318"/>
      <x:c r="T33" s="318"/>
      <x:c r="U33" s="318"/>
      <x:c r="V33" s="318"/>
      <x:c r="W33" s="318"/>
      <x:c r="X33" s="26"/>
    </x:row>
    <x:row r="34">
      <x:c r="A34" s="317" t="str">
        <x:v>referral_confirmation_status</x:v>
      </x:c>
      <x:c r="B34" s="317" t="str">
        <x:v>Pending</x:v>
      </x:c>
      <x:c r="C34" s="317" t="str"/>
      <x:c r="D34" s="317" t="str"/>
      <x:c r="E34" s="26"/>
      <x:c r="F34" s="318"/>
      <x:c r="G34" s="318"/>
      <x:c r="H34" s="318"/>
      <x:c r="I34" s="318"/>
      <x:c r="J34" s="26"/>
      <x:c r="K34" s="318"/>
      <x:c r="L34" s="318"/>
      <x:c r="M34" s="318"/>
      <x:c r="N34" s="318"/>
      <x:c r="O34" s="318"/>
      <x:c r="P34" s="318"/>
      <x:c r="Q34" s="318"/>
      <x:c r="R34" s="26"/>
      <x:c r="S34" s="318"/>
      <x:c r="T34" s="318"/>
      <x:c r="U34" s="318"/>
      <x:c r="V34" s="318"/>
      <x:c r="W34" s="318"/>
      <x:c r="X34" s="26"/>
    </x:row>
    <x:row r="35">
      <x:c r="A35" s="317" t="str">
        <x:v>referral_confirmation_status</x:v>
      </x:c>
      <x:c r="B35" s="317" t="str">
        <x:v>Confirmed</x:v>
      </x:c>
      <x:c r="C35" s="317" t="str"/>
      <x:c r="D35" s="317" t="str"/>
      <x:c r="E35" s="26"/>
      <x:c r="F35" s="318"/>
      <x:c r="G35" s="318"/>
      <x:c r="H35" s="318"/>
      <x:c r="I35" s="318"/>
      <x:c r="J35" s="26"/>
      <x:c r="K35" s="318"/>
      <x:c r="L35" s="318"/>
      <x:c r="M35" s="318"/>
      <x:c r="N35" s="318"/>
      <x:c r="O35" s="318"/>
      <x:c r="P35" s="318"/>
      <x:c r="Q35" s="318"/>
      <x:c r="R35" s="26"/>
      <x:c r="S35" s="318"/>
      <x:c r="T35" s="318"/>
      <x:c r="U35" s="318"/>
      <x:c r="V35" s="318"/>
      <x:c r="W35" s="318"/>
      <x:c r="X35" s="26"/>
    </x:row>
    <x:row r="36">
      <x:c r="A36" s="317" t="str">
        <x:v>referral_confirmation_status</x:v>
      </x:c>
      <x:c r="B36" s="317" t="str">
        <x:v>Rejected</x:v>
      </x:c>
      <x:c r="C36" s="317" t="str"/>
      <x:c r="D36" s="317" t="str"/>
      <x:c r="E36" s="26"/>
      <x:c r="F36" s="318"/>
      <x:c r="G36" s="318"/>
      <x:c r="H36" s="318"/>
      <x:c r="I36" s="318"/>
      <x:c r="J36" s="26"/>
      <x:c r="K36" s="318"/>
      <x:c r="L36" s="318"/>
      <x:c r="M36" s="318"/>
      <x:c r="N36" s="318"/>
      <x:c r="O36" s="318"/>
      <x:c r="P36" s="318"/>
      <x:c r="Q36" s="318"/>
      <x:c r="R36" s="26"/>
      <x:c r="S36" s="318"/>
      <x:c r="T36" s="318"/>
      <x:c r="U36" s="318"/>
      <x:c r="V36" s="318"/>
      <x:c r="W36" s="318"/>
      <x:c r="X36" s="26"/>
    </x:row>
    <x:row r="37">
      <x:c r="A37" s="317" t="str">
        <x:v>address_clarity</x:v>
      </x:c>
      <x:c r="B37" s="317" t="str">
        <x:v>clear</x:v>
      </x:c>
      <x:c r="C37" s="317" t="str"/>
      <x:c r="D37" s="317" t="str"/>
      <x:c r="E37" s="26"/>
      <x:c r="F37" s="318"/>
      <x:c r="G37" s="318"/>
      <x:c r="H37" s="318"/>
      <x:c r="I37" s="318"/>
      <x:c r="J37" s="26"/>
      <x:c r="K37" s="318"/>
      <x:c r="L37" s="318"/>
      <x:c r="M37" s="318"/>
      <x:c r="N37" s="318"/>
      <x:c r="O37" s="318"/>
      <x:c r="P37" s="318"/>
      <x:c r="Q37" s="318"/>
      <x:c r="R37" s="26"/>
      <x:c r="S37" s="318"/>
      <x:c r="T37" s="318"/>
      <x:c r="U37" s="318"/>
      <x:c r="V37" s="318"/>
      <x:c r="W37" s="318"/>
      <x:c r="X37" s="26"/>
    </x:row>
    <x:row r="38">
      <x:c r="A38" s="317" t="str">
        <x:v>address_clarity</x:v>
      </x:c>
      <x:c r="B38" s="317" t="str">
        <x:v>unclear</x:v>
      </x:c>
      <x:c r="C38" s="317" t="str"/>
      <x:c r="D38" s="317" t="str"/>
      <x:c r="E38" s="26"/>
      <x:c r="F38" s="318"/>
      <x:c r="G38" s="318"/>
      <x:c r="H38" s="318"/>
      <x:c r="I38" s="318"/>
      <x:c r="J38" s="26"/>
      <x:c r="K38" s="318"/>
      <x:c r="L38" s="318"/>
      <x:c r="M38" s="318"/>
      <x:c r="N38" s="318"/>
      <x:c r="O38" s="318"/>
      <x:c r="P38" s="318"/>
      <x:c r="Q38" s="318"/>
      <x:c r="R38" s="26"/>
      <x:c r="S38" s="318"/>
      <x:c r="T38" s="318"/>
      <x:c r="U38" s="318"/>
      <x:c r="V38" s="318"/>
      <x:c r="W38" s="318"/>
      <x:c r="X38" s="26"/>
    </x:row>
    <x:row r="39">
      <x:c r="A39" s="317" t="str">
        <x:v>address_clarity</x:v>
      </x:c>
      <x:c r="B39" s="317" t="str">
        <x:v>unknown</x:v>
      </x:c>
      <x:c r="C39" s="317" t="str"/>
      <x:c r="D39" s="317" t="str"/>
      <x:c r="E39" s="26"/>
      <x:c r="F39" s="318"/>
      <x:c r="G39" s="318"/>
      <x:c r="H39" s="318"/>
      <x:c r="I39" s="318"/>
      <x:c r="J39" s="26"/>
      <x:c r="K39" s="318"/>
      <x:c r="L39" s="318"/>
      <x:c r="M39" s="318"/>
      <x:c r="N39" s="318"/>
      <x:c r="O39" s="318"/>
      <x:c r="P39" s="318"/>
      <x:c r="Q39" s="318"/>
      <x:c r="R39" s="26"/>
      <x:c r="S39" s="318"/>
      <x:c r="T39" s="318"/>
      <x:c r="U39" s="318"/>
      <x:c r="V39" s="318"/>
      <x:c r="W39" s="318"/>
      <x:c r="X39" s="26"/>
    </x:row>
    <x:row r="40">
      <x:c r="A40" s="317" t="str">
        <x:v>confidence_level</x:v>
      </x:c>
      <x:c r="B40" s="317" t="str">
        <x:v>high</x:v>
      </x:c>
      <x:c r="C40" s="317" t="str"/>
      <x:c r="D40" s="317" t="str"/>
      <x:c r="E40" s="26"/>
      <x:c r="F40" s="318"/>
      <x:c r="G40" s="318"/>
      <x:c r="H40" s="318"/>
      <x:c r="I40" s="318"/>
      <x:c r="J40" s="26"/>
      <x:c r="K40" s="318"/>
      <x:c r="L40" s="318"/>
      <x:c r="M40" s="318"/>
      <x:c r="N40" s="318"/>
      <x:c r="O40" s="318"/>
      <x:c r="P40" s="318"/>
      <x:c r="Q40" s="318"/>
      <x:c r="R40" s="26"/>
      <x:c r="S40" s="318"/>
      <x:c r="T40" s="318"/>
      <x:c r="U40" s="318"/>
      <x:c r="V40" s="318"/>
      <x:c r="W40" s="318"/>
      <x:c r="X40" s="26"/>
    </x:row>
    <x:row r="41">
      <x:c r="A41" s="317" t="str">
        <x:v>confidence_level</x:v>
      </x:c>
      <x:c r="B41" s="317" t="str">
        <x:v>medium</x:v>
      </x:c>
      <x:c r="C41" s="317" t="str"/>
      <x:c r="D41" s="317" t="str"/>
      <x:c r="E41" s="26"/>
      <x:c r="F41" s="26"/>
      <x:c r="G41" s="26"/>
      <x:c r="H41" s="26"/>
      <x:c r="I41" s="26"/>
      <x:c r="J41" s="26"/>
      <x:c r="K41" s="318"/>
      <x:c r="L41" s="318"/>
      <x:c r="M41" s="318"/>
      <x:c r="N41" s="318"/>
      <x:c r="O41" s="318"/>
      <x:c r="P41" s="318"/>
      <x:c r="Q41" s="318"/>
      <x:c r="R41" s="26"/>
      <x:c r="S41" s="318"/>
      <x:c r="T41" s="318"/>
      <x:c r="U41" s="318"/>
      <x:c r="V41" s="318"/>
      <x:c r="W41" s="318"/>
      <x:c r="X41" s="26"/>
    </x:row>
    <x:row r="42">
      <x:c r="A42" s="317" t="str">
        <x:v>confidence_level</x:v>
      </x:c>
      <x:c r="B42" s="317" t="str">
        <x:v>low</x:v>
      </x:c>
      <x:c r="C42" s="317" t="str"/>
      <x:c r="D42" s="317" t="str"/>
      <x:c r="E42" s="26"/>
      <x:c r="F42" s="26"/>
      <x:c r="G42" s="26"/>
      <x:c r="H42" s="26"/>
      <x:c r="I42" s="26"/>
      <x:c r="J42" s="26"/>
      <x:c r="K42" s="318"/>
      <x:c r="L42" s="318"/>
      <x:c r="M42" s="318"/>
      <x:c r="N42" s="318"/>
      <x:c r="O42" s="318"/>
      <x:c r="P42" s="318"/>
      <x:c r="Q42" s="318"/>
      <x:c r="R42" s="26"/>
      <x:c r="S42" s="318"/>
      <x:c r="T42" s="318"/>
      <x:c r="U42" s="318"/>
      <x:c r="V42" s="318"/>
      <x:c r="W42" s="318"/>
      <x:c r="X42" s="26"/>
    </x:row>
    <x:row r="43">
      <x:c r="A43" s="317" t="str">
        <x:v>contact_type</x:v>
      </x:c>
      <x:c r="B43" s="317" t="str">
        <x:v>mobile</x:v>
      </x:c>
      <x:c r="C43" s="317" t="str">
        <x:v>موبايل</x:v>
      </x:c>
      <x:c r="D43" s="317" t="str"/>
      <x:c r="E43" s="26"/>
      <x:c r="F43" s="26"/>
      <x:c r="G43" s="26"/>
      <x:c r="H43" s="26"/>
      <x:c r="I43" s="26"/>
      <x:c r="J43" s="26"/>
      <x:c r="K43" s="318"/>
      <x:c r="L43" s="318"/>
      <x:c r="M43" s="318"/>
      <x:c r="N43" s="318"/>
      <x:c r="O43" s="318"/>
      <x:c r="P43" s="318"/>
      <x:c r="Q43" s="318"/>
      <x:c r="R43" s="26"/>
      <x:c r="S43" s="318"/>
      <x:c r="T43" s="318"/>
      <x:c r="U43" s="318"/>
      <x:c r="V43" s="318"/>
      <x:c r="W43" s="318"/>
      <x:c r="X43" s="26"/>
    </x:row>
    <x:row r="44">
      <x:c r="A44" s="317" t="str">
        <x:v>contact_type</x:v>
      </x:c>
      <x:c r="B44" s="317" t="str">
        <x:v>landline</x:v>
      </x:c>
      <x:c r="C44" s="317" t="str">
        <x:v>أرضي</x:v>
      </x:c>
      <x:c r="D44" s="317" t="str"/>
      <x:c r="E44" s="26"/>
      <x:c r="F44" s="26"/>
      <x:c r="G44" s="26"/>
      <x:c r="H44" s="26"/>
      <x:c r="I44" s="26"/>
      <x:c r="J44" s="26"/>
      <x:c r="K44" s="318"/>
      <x:c r="L44" s="318"/>
      <x:c r="M44" s="318"/>
      <x:c r="N44" s="318"/>
      <x:c r="O44" s="318"/>
      <x:c r="P44" s="318"/>
      <x:c r="Q44" s="318"/>
      <x:c r="R44" s="26"/>
      <x:c r="S44" s="318"/>
      <x:c r="T44" s="318"/>
      <x:c r="U44" s="318"/>
      <x:c r="V44" s="318"/>
      <x:c r="W44" s="318"/>
      <x:c r="X44" s="26"/>
    </x:row>
    <x:row r="45">
      <x:c r="A45" s="317" t="str">
        <x:v>contact_type</x:v>
      </x:c>
      <x:c r="B45" s="317" t="str">
        <x:v>other</x:v>
      </x:c>
      <x:c r="C45" s="317" t="str">
        <x:v>آخر</x:v>
      </x:c>
      <x:c r="D45" s="317" t="str"/>
      <x:c r="E45" s="26"/>
      <x:c r="F45" s="26"/>
      <x:c r="G45" s="26"/>
      <x:c r="H45" s="26"/>
      <x:c r="I45" s="26"/>
      <x:c r="J45" s="26"/>
      <x:c r="K45" s="318"/>
      <x:c r="L45" s="318"/>
      <x:c r="M45" s="318"/>
      <x:c r="N45" s="318"/>
      <x:c r="O45" s="318"/>
      <x:c r="P45" s="318"/>
      <x:c r="Q45" s="318"/>
      <x:c r="R45" s="26"/>
      <x:c r="S45" s="318"/>
      <x:c r="T45" s="318"/>
      <x:c r="U45" s="318"/>
      <x:c r="V45" s="318"/>
      <x:c r="W45" s="318"/>
      <x:c r="X45" s="26"/>
    </x:row>
    <x:row r="46">
      <x:c r="A46" s="317" t="str">
        <x:v>contact_status</x:v>
      </x:c>
      <x:c r="B46" s="317" t="str">
        <x:v>active</x:v>
      </x:c>
      <x:c r="C46" s="317" t="str">
        <x:v>فعال</x:v>
      </x:c>
      <x:c r="D46" s="317" t="str"/>
      <x:c r="E46" s="26"/>
      <x:c r="F46" s="26"/>
      <x:c r="G46" s="26"/>
      <x:c r="H46" s="26"/>
      <x:c r="I46" s="26"/>
      <x:c r="J46" s="26"/>
      <x:c r="K46" s="318"/>
      <x:c r="L46" s="318"/>
      <x:c r="M46" s="318"/>
      <x:c r="N46" s="318"/>
      <x:c r="O46" s="318"/>
      <x:c r="P46" s="318"/>
      <x:c r="Q46" s="318"/>
      <x:c r="R46" s="26"/>
      <x:c r="S46" s="318"/>
      <x:c r="T46" s="318"/>
      <x:c r="U46" s="318"/>
      <x:c r="V46" s="318"/>
      <x:c r="W46" s="318"/>
      <x:c r="X46" s="26"/>
    </x:row>
    <x:row r="47">
      <x:c r="A47" s="317" t="str">
        <x:v>contact_status</x:v>
      </x:c>
      <x:c r="B47" s="317" t="str">
        <x:v>preferred</x:v>
      </x:c>
      <x:c r="C47" s="317" t="str">
        <x:v>مفضل</x:v>
      </x:c>
      <x:c r="D47" s="317" t="str"/>
      <x:c r="E47" s="26"/>
      <x:c r="F47" s="26"/>
      <x:c r="G47" s="26"/>
      <x:c r="H47" s="26"/>
      <x:c r="I47" s="26"/>
      <x:c r="J47" s="26"/>
      <x:c r="K47" s="318"/>
      <x:c r="L47" s="318"/>
      <x:c r="M47" s="318"/>
      <x:c r="N47" s="318"/>
      <x:c r="O47" s="318"/>
      <x:c r="P47" s="318"/>
      <x:c r="Q47" s="318"/>
      <x:c r="R47" s="26"/>
      <x:c r="S47" s="318"/>
      <x:c r="T47" s="318"/>
      <x:c r="U47" s="318"/>
      <x:c r="V47" s="318"/>
      <x:c r="W47" s="318"/>
      <x:c r="X47" s="26"/>
    </x:row>
    <x:row r="48">
      <x:c r="A48" s="317" t="str">
        <x:v>contact_status</x:v>
      </x:c>
      <x:c r="B48" s="317" t="str">
        <x:v>out-of-coverage</x:v>
      </x:c>
      <x:c r="C48" s="317" t="str">
        <x:v>خارج التغطية</x:v>
      </x:c>
      <x:c r="D48" s="317" t="str"/>
      <x:c r="E48" s="26"/>
      <x:c r="F48" s="26"/>
      <x:c r="G48" s="26"/>
      <x:c r="H48" s="26"/>
      <x:c r="I48" s="26"/>
      <x:c r="J48" s="26"/>
      <x:c r="K48" s="318"/>
      <x:c r="L48" s="318"/>
      <x:c r="M48" s="318"/>
      <x:c r="N48" s="318"/>
      <x:c r="O48" s="318"/>
      <x:c r="P48" s="318"/>
      <x:c r="Q48" s="318"/>
      <x:c r="R48" s="26"/>
      <x:c r="S48" s="318"/>
      <x:c r="T48" s="318"/>
      <x:c r="U48" s="318"/>
      <x:c r="V48" s="318"/>
      <x:c r="W48" s="318"/>
      <x:c r="X48" s="26"/>
    </x:row>
    <x:row r="49">
      <x:c r="A49" s="317" t="str">
        <x:v>contact_status</x:v>
      </x:c>
      <x:c r="B49" s="317" t="str">
        <x:v>unused</x:v>
      </x:c>
      <x:c r="C49" s="317" t="str">
        <x:v>غير مستخدم</x:v>
      </x:c>
      <x:c r="D49" s="317" t="str"/>
      <x:c r="E49" s="26"/>
      <x:c r="F49" s="26"/>
      <x:c r="G49" s="26"/>
      <x:c r="H49" s="26"/>
      <x:c r="I49" s="26"/>
      <x:c r="J49" s="26"/>
      <x:c r="K49" s="318"/>
      <x:c r="L49" s="318"/>
      <x:c r="M49" s="318"/>
      <x:c r="N49" s="318"/>
      <x:c r="O49" s="318"/>
      <x:c r="P49" s="318"/>
      <x:c r="Q49" s="318"/>
      <x:c r="R49" s="26"/>
      <x:c r="S49" s="318"/>
      <x:c r="T49" s="318"/>
      <x:c r="U49" s="318"/>
      <x:c r="V49" s="318"/>
      <x:c r="W49" s="318"/>
      <x:c r="X49" s="26"/>
    </x:row>
    <x:row r="50">
      <x:c r="A50" s="317" t="str">
        <x:v>contact_status</x:v>
      </x:c>
      <x:c r="B50" s="317" t="str">
        <x:v>invalid</x:v>
      </x:c>
      <x:c r="C50" s="317" t="str">
        <x:v>غير صالح</x:v>
      </x:c>
      <x:c r="D50" s="317" t="str"/>
      <x:c r="E50" s="26"/>
      <x:c r="F50" s="26"/>
      <x:c r="G50" s="26"/>
      <x:c r="H50" s="26"/>
      <x:c r="I50" s="26"/>
      <x:c r="J50" s="26"/>
      <x:c r="K50" s="318"/>
      <x:c r="L50" s="318"/>
      <x:c r="M50" s="318"/>
      <x:c r="N50" s="318"/>
      <x:c r="O50" s="318"/>
      <x:c r="P50" s="318"/>
      <x:c r="Q50" s="318"/>
      <x:c r="R50" s="26"/>
      <x:c r="S50" s="318"/>
      <x:c r="T50" s="318"/>
      <x:c r="U50" s="318"/>
      <x:c r="V50" s="318"/>
      <x:c r="W50" s="318"/>
      <x:c r="X50" s="26"/>
    </x:row>
    <x:row r="51">
      <x:c r="A51" s="317" t="str">
        <x:v>boolean</x:v>
      </x:c>
      <x:c r="B51" s="317" t="str">
        <x:v>TRUE</x:v>
      </x:c>
      <x:c r="C51" s="317" t="str">
        <x:v>نعم</x:v>
      </x:c>
      <x:c r="D51" s="317" t="str"/>
      <x:c r="E51" s="26"/>
      <x:c r="F51" s="26"/>
      <x:c r="G51" s="26"/>
      <x:c r="H51" s="26"/>
      <x:c r="I51" s="26"/>
      <x:c r="J51" s="26"/>
      <x:c r="K51" s="318"/>
      <x:c r="L51" s="318"/>
      <x:c r="M51" s="318"/>
      <x:c r="N51" s="318"/>
      <x:c r="O51" s="318"/>
      <x:c r="P51" s="318"/>
      <x:c r="Q51" s="318"/>
      <x:c r="R51" s="26"/>
      <x:c r="S51" s="318"/>
      <x:c r="T51" s="318"/>
      <x:c r="U51" s="318"/>
      <x:c r="V51" s="318"/>
      <x:c r="W51" s="318"/>
      <x:c r="X51" s="26"/>
    </x:row>
    <x:row r="52">
      <x:c r="A52" s="317" t="str">
        <x:v>boolean</x:v>
      </x:c>
      <x:c r="B52" s="317" t="str">
        <x:v>FALSE</x:v>
      </x:c>
      <x:c r="C52" s="317" t="str">
        <x:v>لا</x:v>
      </x:c>
      <x:c r="D52" s="317" t="str"/>
      <x:c r="E52" s="26"/>
      <x:c r="F52" s="26"/>
      <x:c r="G52" s="26"/>
      <x:c r="H52" s="26"/>
      <x:c r="I52" s="26"/>
      <x:c r="J52" s="26"/>
      <x:c r="K52" s="318"/>
      <x:c r="L52" s="318"/>
      <x:c r="M52" s="318"/>
      <x:c r="N52" s="318"/>
      <x:c r="O52" s="318"/>
      <x:c r="P52" s="318"/>
      <x:c r="Q52" s="318"/>
      <x:c r="R52" s="26"/>
      <x:c r="S52" s="318"/>
      <x:c r="T52" s="318"/>
      <x:c r="U52" s="318"/>
      <x:c r="V52" s="318"/>
      <x:c r="W52" s="318"/>
      <x:c r="X52" s="26"/>
    </x:row>
    <x:row r="53">
      <x:c r="A53" s="317" t="str">
        <x:v>source_channel</x:v>
      </x:c>
      <x:c r="B53" s="317" t="str">
        <x:v>PhoneCall</x:v>
      </x:c>
      <x:c r="C53" s="317" t="str"/>
      <x:c r="D53" s="317" t="str"/>
      <x:c r="E53" s="26"/>
      <x:c r="F53" s="26"/>
      <x:c r="G53" s="26"/>
      <x:c r="H53" s="26"/>
      <x:c r="I53" s="26"/>
      <x:c r="J53" s="26"/>
      <x:c r="K53" s="318"/>
      <x:c r="L53" s="318"/>
      <x:c r="M53" s="318"/>
      <x:c r="N53" s="318"/>
      <x:c r="O53" s="318"/>
      <x:c r="P53" s="318"/>
      <x:c r="Q53" s="318"/>
      <x:c r="R53" s="26"/>
      <x:c r="S53" s="318"/>
      <x:c r="T53" s="318"/>
      <x:c r="U53" s="318"/>
      <x:c r="V53" s="318"/>
      <x:c r="W53" s="318"/>
      <x:c r="X53" s="26"/>
    </x:row>
    <x:row r="54">
      <x:c r="A54" s="317" t="str">
        <x:v>source_channel</x:v>
      </x:c>
      <x:c r="B54" s="317" t="str">
        <x:v>SocialMedia</x:v>
      </x:c>
      <x:c r="C54" s="317" t="str"/>
      <x:c r="D54" s="317" t="str"/>
      <x:c r="E54" s="26"/>
      <x:c r="F54" s="26"/>
      <x:c r="G54" s="26"/>
      <x:c r="H54" s="26"/>
      <x:c r="I54" s="26"/>
      <x:c r="J54" s="26"/>
      <x:c r="K54" s="318"/>
      <x:c r="L54" s="318"/>
      <x:c r="M54" s="318"/>
      <x:c r="N54" s="318"/>
      <x:c r="O54" s="318"/>
      <x:c r="P54" s="318"/>
      <x:c r="Q54" s="318"/>
      <x:c r="R54" s="26"/>
      <x:c r="S54" s="318"/>
      <x:c r="T54" s="318"/>
      <x:c r="U54" s="318"/>
      <x:c r="V54" s="318"/>
      <x:c r="W54" s="318"/>
      <x:c r="X54" s="26"/>
    </x:row>
    <x:row r="55">
      <x:c r="A55" s="317" t="str">
        <x:v>source_channel</x:v>
      </x:c>
      <x:c r="B55" s="317" t="str">
        <x:v>Campaign</x:v>
      </x:c>
      <x:c r="C55" s="317" t="str"/>
      <x:c r="D55" s="317" t="str"/>
      <x:c r="E55" s="26"/>
      <x:c r="F55" s="26"/>
      <x:c r="G55" s="26"/>
      <x:c r="H55" s="26"/>
      <x:c r="I55" s="26"/>
      <x:c r="J55" s="26"/>
      <x:c r="K55" s="318"/>
      <x:c r="L55" s="318"/>
      <x:c r="M55" s="318"/>
      <x:c r="N55" s="318"/>
      <x:c r="O55" s="318"/>
      <x:c r="P55" s="318"/>
      <x:c r="Q55" s="318"/>
      <x:c r="R55" s="26"/>
      <x:c r="S55" s="318"/>
      <x:c r="T55" s="318"/>
      <x:c r="U55" s="318"/>
      <x:c r="V55" s="318"/>
      <x:c r="W55" s="318"/>
      <x:c r="X55" s="26"/>
    </x:row>
    <x:row r="56">
      <x:c r="A56" s="317" t="str">
        <x:v>source_channel</x:v>
      </x:c>
      <x:c r="B56" s="317" t="str">
        <x:v>Acquaintance</x:v>
      </x:c>
      <x:c r="C56" s="317" t="str"/>
      <x:c r="D56" s="317" t="str"/>
      <x:c r="E56" s="26"/>
      <x:c r="F56" s="26"/>
      <x:c r="G56" s="26"/>
      <x:c r="H56" s="26"/>
      <x:c r="I56" s="26"/>
      <x:c r="J56" s="26"/>
      <x:c r="K56" s="318"/>
      <x:c r="L56" s="318"/>
      <x:c r="M56" s="318"/>
      <x:c r="N56" s="318"/>
      <x:c r="O56" s="318"/>
      <x:c r="P56" s="318"/>
      <x:c r="Q56" s="318"/>
      <x:c r="R56" s="26"/>
      <x:c r="S56" s="318"/>
      <x:c r="T56" s="318"/>
      <x:c r="U56" s="318"/>
      <x:c r="V56" s="318"/>
      <x:c r="W56" s="318"/>
      <x:c r="X56" s="26"/>
    </x:row>
    <x:row r="57">
      <x:c r="A57" s="317" t="str">
        <x:v>referrer_type</x:v>
      </x:c>
      <x:c r="B57" s="317" t="str">
        <x:v>Personal</x:v>
      </x:c>
      <x:c r="C57" s="317" t="str"/>
      <x:c r="D57" s="317" t="str"/>
      <x:c r="E57" s="26"/>
      <x:c r="F57" s="26"/>
      <x:c r="G57" s="26"/>
      <x:c r="H57" s="26"/>
      <x:c r="I57" s="26"/>
      <x:c r="J57" s="26"/>
      <x:c r="K57" s="318"/>
      <x:c r="L57" s="318"/>
      <x:c r="M57" s="318"/>
      <x:c r="N57" s="318"/>
      <x:c r="O57" s="318"/>
      <x:c r="P57" s="318"/>
      <x:c r="Q57" s="318"/>
      <x:c r="R57" s="26"/>
      <x:c r="S57" s="318"/>
      <x:c r="T57" s="318"/>
      <x:c r="U57" s="318"/>
      <x:c r="V57" s="318"/>
      <x:c r="W57" s="318"/>
      <x:c r="X57" s="26"/>
    </x:row>
    <x:row r="58">
      <x:c r="A58" s="317" t="str">
        <x:v>referrer_type</x:v>
      </x:c>
      <x:c r="B58" s="317" t="str">
        <x:v>Employee</x:v>
      </x:c>
      <x:c r="C58" s="317" t="str"/>
      <x:c r="D58" s="317" t="str"/>
      <x:c r="E58" s="26"/>
      <x:c r="F58" s="26"/>
      <x:c r="G58" s="26"/>
      <x:c r="H58" s="26"/>
      <x:c r="I58" s="26"/>
      <x:c r="J58" s="26"/>
      <x:c r="K58" s="318"/>
      <x:c r="L58" s="318"/>
      <x:c r="M58" s="318"/>
      <x:c r="N58" s="318"/>
      <x:c r="O58" s="318"/>
      <x:c r="P58" s="318"/>
      <x:c r="Q58" s="318"/>
      <x:c r="R58" s="26"/>
      <x:c r="S58" s="318"/>
      <x:c r="T58" s="318"/>
      <x:c r="U58" s="318"/>
      <x:c r="V58" s="318"/>
      <x:c r="W58" s="318"/>
      <x:c r="X58" s="26"/>
    </x:row>
    <x:row r="59">
      <x:c r="A59" s="317" t="str">
        <x:v>referrer_type</x:v>
      </x:c>
      <x:c r="B59" s="317" t="str">
        <x:v>Client</x:v>
      </x:c>
      <x:c r="C59" s="317" t="str"/>
      <x:c r="D59" s="317" t="str"/>
      <x:c r="E59" s="26"/>
      <x:c r="F59" s="26"/>
      <x:c r="G59" s="26"/>
      <x:c r="H59" s="26"/>
      <x:c r="I59" s="26"/>
      <x:c r="J59" s="26"/>
      <x:c r="K59" s="318"/>
      <x:c r="L59" s="318"/>
      <x:c r="M59" s="318"/>
      <x:c r="N59" s="318"/>
      <x:c r="O59" s="318"/>
      <x:c r="P59" s="318"/>
      <x:c r="Q59" s="318"/>
      <x:c r="R59" s="26"/>
      <x:c r="S59" s="318"/>
      <x:c r="T59" s="318"/>
      <x:c r="U59" s="318"/>
      <x:c r="V59" s="318"/>
      <x:c r="W59" s="318"/>
      <x:c r="X59" s="26"/>
    </x:row>
    <x:row r="60">
      <x:c r="A60" s="317" t="str">
        <x:v>referrer_type</x:v>
      </x:c>
      <x:c r="B60" s="317" t="str">
        <x:v>Unknown</x:v>
      </x:c>
      <x:c r="C60" s="317" t="str"/>
      <x:c r="D60" s="317" t="str"/>
      <x:c r="E60" s="26"/>
      <x:c r="F60" s="26"/>
      <x:c r="G60" s="26"/>
      <x:c r="H60" s="26"/>
      <x:c r="I60" s="26"/>
      <x:c r="J60" s="26"/>
      <x:c r="K60" s="318"/>
      <x:c r="L60" s="318"/>
      <x:c r="M60" s="318"/>
      <x:c r="N60" s="318"/>
      <x:c r="O60" s="318"/>
      <x:c r="P60" s="318"/>
      <x:c r="Q60" s="318"/>
      <x:c r="R60" s="26"/>
      <x:c r="S60" s="318"/>
      <x:c r="T60" s="318"/>
      <x:c r="U60" s="318"/>
      <x:c r="V60" s="318"/>
      <x:c r="W60" s="318"/>
      <x:c r="X60" s="26"/>
    </x:row>
    <x:row r="61">
      <x:c r="A61" s="317" t="str">
        <x:v>candidate_status</x:v>
      </x:c>
      <x:c r="B61" s="317" t="str">
        <x:v>Lead</x:v>
      </x:c>
      <x:c r="C61" s="317" t="str"/>
      <x:c r="D61" s="317" t="str"/>
      <x:c r="E61" s="26"/>
      <x:c r="F61" s="26"/>
      <x:c r="G61" s="26"/>
      <x:c r="H61" s="26"/>
      <x:c r="I61" s="26"/>
      <x:c r="J61" s="26"/>
      <x:c r="K61" s="318"/>
      <x:c r="L61" s="318"/>
      <x:c r="M61" s="318"/>
      <x:c r="N61" s="318"/>
      <x:c r="O61" s="318"/>
      <x:c r="P61" s="318"/>
      <x:c r="Q61" s="318"/>
      <x:c r="R61" s="26"/>
      <x:c r="S61" s="26"/>
      <x:c r="T61" s="26"/>
      <x:c r="U61" s="26"/>
      <x:c r="V61" s="26"/>
      <x:c r="W61" s="26"/>
      <x:c r="X61" s="26"/>
    </x:row>
    <x:row r="62">
      <x:c r="A62" s="317" t="str">
        <x:v>candidate_status</x:v>
      </x:c>
      <x:c r="B62" s="317" t="str">
        <x:v>FOP</x:v>
      </x:c>
      <x:c r="C62" s="317" t="str"/>
      <x:c r="D62" s="317" t="str"/>
      <x:c r="E62" s="26"/>
      <x:c r="F62" s="26"/>
      <x:c r="G62" s="26"/>
      <x:c r="H62" s="26"/>
      <x:c r="I62" s="26"/>
      <x:c r="J62" s="26"/>
      <x:c r="K62" s="318"/>
      <x:c r="L62" s="318"/>
      <x:c r="M62" s="318"/>
      <x:c r="N62" s="318"/>
      <x:c r="O62" s="318"/>
      <x:c r="P62" s="318"/>
      <x:c r="Q62" s="318"/>
      <x:c r="R62" s="26"/>
      <x:c r="S62" s="26"/>
      <x:c r="T62" s="26"/>
      <x:c r="U62" s="26"/>
      <x:c r="V62" s="26"/>
      <x:c r="W62" s="26"/>
      <x:c r="X62" s="26"/>
    </x:row>
    <x:row r="63">
      <x:c r="A63" s="317" t="str">
        <x:v>candidate_status</x:v>
      </x:c>
      <x:c r="B63" s="317" t="str">
        <x:v>OP</x:v>
      </x:c>
      <x:c r="C63" s="317" t="str"/>
      <x:c r="D63" s="317" t="str"/>
      <x:c r="E63" s="26"/>
      <x:c r="F63" s="26"/>
      <x:c r="G63" s="26"/>
      <x:c r="H63" s="26"/>
      <x:c r="I63" s="26"/>
      <x:c r="J63" s="26"/>
      <x:c r="K63" s="318"/>
      <x:c r="L63" s="318"/>
      <x:c r="M63" s="318"/>
      <x:c r="N63" s="318"/>
      <x:c r="O63" s="318"/>
      <x:c r="P63" s="318"/>
      <x:c r="Q63" s="318"/>
      <x:c r="R63" s="26"/>
      <x:c r="S63" s="26"/>
      <x:c r="T63" s="26"/>
      <x:c r="U63" s="26"/>
      <x:c r="V63" s="26"/>
      <x:c r="W63" s="26"/>
      <x:c r="X63" s="26"/>
    </x:row>
    <x:row r="64">
      <x:c r="A64" s="317" t="str">
        <x:v>gender</x:v>
      </x:c>
      <x:c r="B64" s="317" t="str">
        <x:v>male</x:v>
      </x:c>
      <x:c r="C64" s="317" t="str"/>
      <x:c r="D64" s="317" t="str"/>
      <x:c r="E64" s="26"/>
      <x:c r="F64" s="26"/>
      <x:c r="G64" s="26"/>
      <x:c r="H64" s="26"/>
      <x:c r="I64" s="26"/>
      <x:c r="J64" s="26"/>
      <x:c r="K64" s="318"/>
      <x:c r="L64" s="318"/>
      <x:c r="M64" s="318"/>
      <x:c r="N64" s="318"/>
      <x:c r="O64" s="318"/>
      <x:c r="P64" s="318"/>
      <x:c r="Q64" s="318"/>
      <x:c r="R64" s="26"/>
      <x:c r="S64" s="26"/>
      <x:c r="T64" s="26"/>
      <x:c r="U64" s="26"/>
      <x:c r="V64" s="26"/>
      <x:c r="W64" s="26"/>
      <x:c r="X64" s="26"/>
    </x:row>
    <x:row r="65">
      <x:c r="A65" s="317" t="str">
        <x:v>gender</x:v>
      </x:c>
      <x:c r="B65" s="317" t="str">
        <x:v>female</x:v>
      </x:c>
      <x:c r="C65" s="317" t="str"/>
      <x:c r="D65" s="317" t="str"/>
      <x:c r="E65" s="26"/>
      <x:c r="F65" s="26"/>
      <x:c r="G65" s="26"/>
      <x:c r="H65" s="26"/>
      <x:c r="I65" s="26"/>
      <x:c r="J65" s="26"/>
      <x:c r="K65" s="318"/>
      <x:c r="L65" s="318"/>
      <x:c r="M65" s="318"/>
      <x:c r="N65" s="318"/>
      <x:c r="O65" s="318"/>
      <x:c r="P65" s="318"/>
      <x:c r="Q65" s="318"/>
      <x:c r="R65" s="26"/>
      <x:c r="S65" s="26"/>
      <x:c r="T65" s="26"/>
      <x:c r="U65" s="26"/>
      <x:c r="V65" s="26"/>
      <x:c r="W65" s="26"/>
      <x:c r="X65" s="26"/>
    </x:row>
    <x:row r="66">
      <x:c r="A66" s="317" t="str">
        <x:v>data_quality</x:v>
      </x:c>
      <x:c r="B66" s="317" t="str">
        <x:v>correct</x:v>
      </x:c>
      <x:c r="C66" s="317" t="str"/>
      <x:c r="D66" s="317" t="str"/>
      <x:c r="E66" s="26"/>
      <x:c r="F66" s="26"/>
      <x:c r="G66" s="26"/>
      <x:c r="H66" s="26"/>
      <x:c r="I66" s="26"/>
      <x:c r="J66" s="26"/>
      <x:c r="K66" s="318"/>
      <x:c r="L66" s="318"/>
      <x:c r="M66" s="318"/>
      <x:c r="N66" s="318"/>
      <x:c r="O66" s="318"/>
      <x:c r="P66" s="318"/>
      <x:c r="Q66" s="318"/>
      <x:c r="R66" s="26"/>
      <x:c r="S66" s="26"/>
      <x:c r="T66" s="26"/>
      <x:c r="U66" s="26"/>
      <x:c r="V66" s="26"/>
      <x:c r="W66" s="26"/>
      <x:c r="X66" s="26"/>
    </x:row>
    <x:row r="67">
      <x:c r="A67" s="317" t="str">
        <x:v>data_quality</x:v>
      </x:c>
      <x:c r="B67" s="317" t="str">
        <x:v>incorrect</x:v>
      </x:c>
      <x:c r="C67" s="317" t="str"/>
      <x:c r="D67" s="317" t="str"/>
      <x:c r="E67" s="26"/>
      <x:c r="F67" s="26"/>
      <x:c r="G67" s="26"/>
      <x:c r="H67" s="26"/>
      <x:c r="I67" s="26"/>
      <x:c r="J67" s="26"/>
      <x:c r="K67" s="318"/>
      <x:c r="L67" s="318"/>
      <x:c r="M67" s="318"/>
      <x:c r="N67" s="318"/>
      <x:c r="O67" s="318"/>
      <x:c r="P67" s="318"/>
      <x:c r="Q67" s="318"/>
      <x:c r="R67" s="26"/>
      <x:c r="S67" s="26"/>
      <x:c r="T67" s="26"/>
      <x:c r="U67" s="26"/>
      <x:c r="V67" s="26"/>
      <x:c r="W67" s="26"/>
      <x:c r="X67" s="26"/>
    </x:row>
    <x:row r="68">
      <x:c r="A68" s="317" t="str">
        <x:v>data_quality</x:v>
      </x:c>
      <x:c r="B68" s="317" t="str">
        <x:v>needs_edit</x:v>
      </x:c>
      <x:c r="C68" s="317" t="str"/>
      <x:c r="D68" s="317" t="str"/>
      <x:c r="E68" s="26"/>
      <x:c r="F68" s="26"/>
      <x:c r="G68" s="26"/>
      <x:c r="H68" s="26"/>
      <x:c r="I68" s="26"/>
      <x:c r="J68" s="26"/>
      <x:c r="K68" s="318"/>
      <x:c r="L68" s="318"/>
      <x:c r="M68" s="318"/>
      <x:c r="N68" s="318"/>
      <x:c r="O68" s="318"/>
      <x:c r="P68" s="318"/>
      <x:c r="Q68" s="318"/>
      <x:c r="R68" s="26"/>
      <x:c r="S68" s="26"/>
      <x:c r="T68" s="26"/>
      <x:c r="U68" s="26"/>
      <x:c r="V68" s="26"/>
      <x:c r="W68" s="26"/>
      <x:c r="X68" s="26"/>
    </x:row>
    <x:row r="69">
      <x:c r="A69" s="317" t="str">
        <x:v>rating</x:v>
      </x:c>
      <x:c r="B69" s="317" t="str">
        <x:v>Undefined</x:v>
      </x:c>
      <x:c r="C69" s="317" t="str"/>
      <x:c r="D69" s="317" t="str"/>
      <x:c r="E69" s="26"/>
      <x:c r="F69" s="26"/>
      <x:c r="G69" s="26"/>
      <x:c r="H69" s="26"/>
      <x:c r="I69" s="26"/>
      <x:c r="J69" s="26"/>
      <x:c r="K69" s="318"/>
      <x:c r="L69" s="318"/>
      <x:c r="M69" s="318"/>
      <x:c r="N69" s="318"/>
      <x:c r="O69" s="318"/>
      <x:c r="P69" s="318"/>
      <x:c r="Q69" s="318"/>
      <x:c r="R69" s="26"/>
      <x:c r="S69" s="26"/>
      <x:c r="T69" s="26"/>
      <x:c r="U69" s="26"/>
      <x:c r="V69" s="26"/>
      <x:c r="W69" s="26"/>
      <x:c r="X69" s="26"/>
    </x:row>
    <x:row r="70">
      <x:c r="A70" s="317" t="str">
        <x:v>rating</x:v>
      </x:c>
      <x:c r="B70" s="317" t="str">
        <x:v>Committed</x:v>
      </x:c>
      <x:c r="C70" s="317" t="str"/>
      <x:c r="D70" s="317" t="str"/>
      <x:c r="E70" s="26"/>
      <x:c r="F70" s="26"/>
      <x:c r="G70" s="26"/>
      <x:c r="H70" s="26"/>
      <x:c r="I70" s="26"/>
      <x:c r="J70" s="26"/>
      <x:c r="K70" s="318"/>
      <x:c r="L70" s="318"/>
      <x:c r="M70" s="318"/>
      <x:c r="N70" s="318"/>
      <x:c r="O70" s="318"/>
      <x:c r="P70" s="318"/>
      <x:c r="Q70" s="318"/>
      <x:c r="R70" s="26"/>
      <x:c r="S70" s="26"/>
      <x:c r="T70" s="26"/>
      <x:c r="U70" s="26"/>
      <x:c r="V70" s="26"/>
      <x:c r="W70" s="26"/>
      <x:c r="X70" s="26"/>
    </x:row>
    <x:row r="71">
      <x:c r="A71" s="317" t="str">
        <x:v>rating</x:v>
      </x:c>
      <x:c r="B71" s="317" t="str">
        <x:v>NotCommitted</x:v>
      </x:c>
      <x:c r="C71" s="317" t="str"/>
      <x:c r="D71" s="317" t="str"/>
      <x:c r="E71" s="26"/>
      <x:c r="F71" s="26"/>
      <x:c r="G71" s="26"/>
      <x:c r="H71" s="26"/>
      <x:c r="I71" s="26"/>
      <x:c r="J71" s="26"/>
      <x:c r="K71" s="318"/>
      <x:c r="L71" s="318"/>
      <x:c r="M71" s="318"/>
      <x:c r="N71" s="318"/>
      <x:c r="O71" s="318"/>
      <x:c r="P71" s="318"/>
      <x:c r="Q71" s="318"/>
      <x:c r="R71" s="26"/>
      <x:c r="S71" s="26"/>
      <x:c r="T71" s="26"/>
      <x:c r="U71" s="26"/>
      <x:c r="V71" s="26"/>
      <x:c r="W71" s="26"/>
      <x:c r="X71" s="26"/>
    </x:row>
    <x:row r="72">
      <x:c r="A72" s="317" t="str">
        <x:v>cleanup_status</x:v>
      </x:c>
      <x:c r="B72" s="317" t="str">
        <x:v>raw</x:v>
      </x:c>
      <x:c r="C72" s="317" t="str"/>
      <x:c r="D72" s="317" t="str"/>
      <x:c r="E72" s="26"/>
      <x:c r="F72" s="26"/>
      <x:c r="G72" s="26"/>
      <x:c r="H72" s="26"/>
      <x:c r="I72" s="26"/>
      <x:c r="J72" s="26"/>
      <x:c r="K72" s="318"/>
      <x:c r="L72" s="318"/>
      <x:c r="M72" s="318"/>
      <x:c r="N72" s="318"/>
      <x:c r="O72" s="318"/>
      <x:c r="P72" s="318"/>
      <x:c r="Q72" s="318"/>
      <x:c r="R72" s="26"/>
      <x:c r="S72" s="26"/>
      <x:c r="T72" s="26"/>
      <x:c r="U72" s="26"/>
      <x:c r="V72" s="26"/>
      <x:c r="W72" s="26"/>
      <x:c r="X72" s="26"/>
    </x:row>
    <x:row r="73">
      <x:c r="A73" s="317" t="str">
        <x:v>cleanup_status</x:v>
      </x:c>
      <x:c r="B73" s="317" t="str">
        <x:v>cleaned</x:v>
      </x:c>
      <x:c r="C73" s="317" t="str"/>
      <x:c r="D73" s="317" t="str"/>
      <x:c r="E73" s="26"/>
      <x:c r="F73" s="26"/>
      <x:c r="G73" s="26"/>
      <x:c r="H73" s="26"/>
      <x:c r="I73" s="26"/>
      <x:c r="J73" s="26"/>
      <x:c r="K73" s="318"/>
      <x:c r="L73" s="318"/>
      <x:c r="M73" s="318"/>
      <x:c r="N73" s="318"/>
      <x:c r="O73" s="318"/>
      <x:c r="P73" s="318"/>
      <x:c r="Q73" s="318"/>
      <x:c r="R73" s="26"/>
      <x:c r="S73" s="26"/>
      <x:c r="T73" s="26"/>
      <x:c r="U73" s="26"/>
      <x:c r="V73" s="26"/>
      <x:c r="W73" s="26"/>
      <x:c r="X73" s="26"/>
    </x:row>
    <x:row r="74">
      <x:c r="A74" s="317" t="str">
        <x:v>cleanup_status</x:v>
      </x:c>
      <x:c r="B74" s="317" t="str">
        <x:v>review_needed</x:v>
      </x:c>
      <x:c r="C74" s="317" t="str"/>
      <x:c r="D74" s="317" t="str"/>
      <x:c r="E74" s="26"/>
      <x:c r="F74" s="26"/>
      <x:c r="G74" s="26"/>
      <x:c r="H74" s="26"/>
      <x:c r="I74" s="26"/>
      <x:c r="J74" s="26"/>
      <x:c r="K74" s="318"/>
      <x:c r="L74" s="318"/>
      <x:c r="M74" s="318"/>
      <x:c r="N74" s="318"/>
      <x:c r="O74" s="318"/>
      <x:c r="P74" s="318"/>
      <x:c r="Q74" s="318"/>
      <x:c r="R74" s="26"/>
      <x:c r="S74" s="26"/>
      <x:c r="T74" s="26"/>
      <x:c r="U74" s="26"/>
      <x:c r="V74" s="26"/>
      <x:c r="W74" s="26"/>
      <x:c r="X74" s="26"/>
    </x:row>
    <x:row r="75">
      <x:c r="A75" s="317" t="str">
        <x:v>cleanup_status</x:v>
      </x:c>
      <x:c r="B75" s="317" t="str">
        <x:v>blocked</x:v>
      </x:c>
      <x:c r="C75" s="317" t="str"/>
      <x:c r="D75" s="317" t="str"/>
      <x:c r="E75" s="26"/>
      <x:c r="F75" s="26"/>
      <x:c r="G75" s="26"/>
      <x:c r="H75" s="26"/>
      <x:c r="I75" s="26"/>
      <x:c r="J75" s="26"/>
      <x:c r="K75" s="318"/>
      <x:c r="L75" s="318"/>
      <x:c r="M75" s="318"/>
      <x:c r="N75" s="318"/>
      <x:c r="O75" s="318"/>
      <x:c r="P75" s="318"/>
      <x:c r="Q75" s="318"/>
      <x:c r="R75" s="26"/>
      <x:c r="S75" s="26"/>
      <x:c r="T75" s="26"/>
      <x:c r="U75" s="26"/>
      <x:c r="V75" s="26"/>
      <x:c r="W75" s="26"/>
      <x:c r="X75" s="26"/>
    </x:row>
    <x:row r="76">
      <x:c r="A76" s="317" t="str">
        <x:v>entity_type</x:v>
      </x:c>
      <x:c r="B76" s="317" t="str">
        <x:v>client</x:v>
      </x:c>
      <x:c r="C76" s="317" t="str">
        <x:v>زبون</x:v>
      </x:c>
      <x:c r="D76" s="317" t="str"/>
      <x:c r="E76" s="26"/>
      <x:c r="F76" s="26"/>
      <x:c r="G76" s="26"/>
      <x:c r="H76" s="26"/>
      <x:c r="I76" s="26"/>
      <x:c r="J76" s="26"/>
      <x:c r="K76" s="318"/>
      <x:c r="L76" s="318"/>
      <x:c r="M76" s="318"/>
      <x:c r="N76" s="318"/>
      <x:c r="O76" s="318"/>
      <x:c r="P76" s="318"/>
      <x:c r="Q76" s="318"/>
      <x:c r="R76" s="26"/>
      <x:c r="S76" s="26"/>
      <x:c r="T76" s="26"/>
      <x:c r="U76" s="26"/>
      <x:c r="V76" s="26"/>
      <x:c r="W76" s="26"/>
      <x:c r="X76" s="26"/>
    </x:row>
    <x:row r="77">
      <x:c r="A77" s="317" t="str">
        <x:v>entity_type</x:v>
      </x:c>
      <x:c r="B77" s="317" t="str">
        <x:v>proposed_name</x:v>
      </x:c>
      <x:c r="C77" s="317" t="str">
        <x:v>اسم مقترح</x:v>
      </x:c>
      <x:c r="D77" s="317" t="str"/>
      <x:c r="E77" s="26"/>
      <x:c r="F77" s="26"/>
      <x:c r="G77" s="26"/>
      <x:c r="H77" s="26"/>
      <x:c r="I77" s="26"/>
      <x:c r="J77" s="26"/>
      <x:c r="K77" s="318"/>
      <x:c r="L77" s="318"/>
      <x:c r="M77" s="318"/>
      <x:c r="N77" s="318"/>
      <x:c r="O77" s="318"/>
      <x:c r="P77" s="318"/>
      <x:c r="Q77" s="318"/>
      <x:c r="R77" s="26"/>
      <x:c r="S77" s="26"/>
      <x:c r="T77" s="26"/>
      <x:c r="U77" s="26"/>
      <x:c r="V77" s="26"/>
      <x:c r="W77" s="26"/>
      <x:c r="X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318"/>
      <x:c r="L78" s="318"/>
      <x:c r="M78" s="318"/>
      <x:c r="N78" s="318"/>
      <x:c r="O78" s="318"/>
      <x:c r="P78" s="318"/>
      <x:c r="Q78" s="318"/>
      <x:c r="R78" s="26"/>
      <x:c r="S78" s="26"/>
      <x:c r="T78" s="26"/>
      <x:c r="U78" s="26"/>
      <x:c r="V78" s="26"/>
      <x:c r="W78" s="26"/>
      <x:c r="X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318"/>
      <x:c r="L79" s="318"/>
      <x:c r="M79" s="318"/>
      <x:c r="N79" s="318"/>
      <x:c r="O79" s="318"/>
      <x:c r="P79" s="318"/>
      <x:c r="Q79" s="318"/>
      <x:c r="R79" s="26"/>
      <x:c r="S79" s="26"/>
      <x:c r="T79" s="26"/>
      <x:c r="U79" s="26"/>
      <x:c r="V79" s="26"/>
      <x:c r="W79" s="26"/>
      <x:c r="X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318"/>
      <x:c r="L80" s="318"/>
      <x:c r="M80" s="318"/>
      <x:c r="N80" s="318"/>
      <x:c r="O80" s="318"/>
      <x:c r="P80" s="318"/>
      <x:c r="Q80" s="318"/>
      <x:c r="R80" s="26"/>
      <x:c r="S80" s="26"/>
      <x:c r="T80" s="26"/>
      <x:c r="U80" s="26"/>
      <x:c r="V80" s="26"/>
      <x:c r="W80" s="26"/>
      <x:c r="X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318"/>
      <x:c r="L81" s="318"/>
      <x:c r="M81" s="318"/>
      <x:c r="N81" s="318"/>
      <x:c r="O81" s="318"/>
      <x:c r="P81" s="318"/>
      <x:c r="Q81" s="318"/>
      <x:c r="R81" s="26"/>
      <x:c r="S81" s="26"/>
      <x:c r="T81" s="26"/>
      <x:c r="U81" s="26"/>
      <x:c r="V81" s="26"/>
      <x:c r="W81" s="26"/>
      <x:c r="X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318"/>
      <x:c r="L82" s="318"/>
      <x:c r="M82" s="318"/>
      <x:c r="N82" s="318"/>
      <x:c r="O82" s="318"/>
      <x:c r="P82" s="318"/>
      <x:c r="Q82" s="318"/>
      <x:c r="R82" s="26"/>
      <x:c r="S82" s="26"/>
      <x:c r="T82" s="26"/>
      <x:c r="U82" s="26"/>
      <x:c r="V82" s="26"/>
      <x:c r="W82" s="26"/>
      <x:c r="X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318"/>
      <x:c r="L83" s="318"/>
      <x:c r="M83" s="318"/>
      <x:c r="N83" s="318"/>
      <x:c r="O83" s="318"/>
      <x:c r="P83" s="318"/>
      <x:c r="Q83" s="318"/>
      <x:c r="R83" s="26"/>
      <x:c r="S83" s="26"/>
      <x:c r="T83" s="26"/>
      <x:c r="U83" s="26"/>
      <x:c r="V83" s="26"/>
      <x:c r="W83" s="26"/>
      <x:c r="X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318"/>
      <x:c r="L84" s="318"/>
      <x:c r="M84" s="318"/>
      <x:c r="N84" s="318"/>
      <x:c r="O84" s="318"/>
      <x:c r="P84" s="318"/>
      <x:c r="Q84" s="318"/>
      <x:c r="R84" s="26"/>
      <x:c r="S84" s="26"/>
      <x:c r="T84" s="26"/>
      <x:c r="U84" s="26"/>
      <x:c r="V84" s="26"/>
      <x:c r="W84" s="26"/>
      <x:c r="X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318"/>
      <x:c r="L85" s="318"/>
      <x:c r="M85" s="318"/>
      <x:c r="N85" s="318"/>
      <x:c r="O85" s="318"/>
      <x:c r="P85" s="318"/>
      <x:c r="Q85" s="318"/>
      <x:c r="R85" s="26"/>
      <x:c r="S85" s="26"/>
      <x:c r="T85" s="26"/>
      <x:c r="U85" s="26"/>
      <x:c r="V85" s="26"/>
      <x:c r="W85" s="26"/>
      <x:c r="X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318"/>
      <x:c r="L86" s="318"/>
      <x:c r="M86" s="318"/>
      <x:c r="N86" s="318"/>
      <x:c r="O86" s="318"/>
      <x:c r="P86" s="318"/>
      <x:c r="Q86" s="318"/>
      <x:c r="R86" s="26"/>
      <x:c r="S86" s="26"/>
      <x:c r="T86" s="26"/>
      <x:c r="U86" s="26"/>
      <x:c r="V86" s="26"/>
      <x:c r="W86" s="26"/>
      <x:c r="X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318"/>
      <x:c r="L87" s="318"/>
      <x:c r="M87" s="318"/>
      <x:c r="N87" s="318"/>
      <x:c r="O87" s="318"/>
      <x:c r="P87" s="318"/>
      <x:c r="Q87" s="318"/>
      <x:c r="R87" s="26"/>
      <x:c r="S87" s="26"/>
      <x:c r="T87" s="26"/>
      <x:c r="U87" s="26"/>
      <x:c r="V87" s="26"/>
      <x:c r="W87" s="26"/>
      <x:c r="X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318"/>
      <x:c r="L88" s="318"/>
      <x:c r="M88" s="318"/>
      <x:c r="N88" s="318"/>
      <x:c r="O88" s="318"/>
      <x:c r="P88" s="318"/>
      <x:c r="Q88" s="318"/>
      <x:c r="R88" s="26"/>
      <x:c r="S88" s="26"/>
      <x:c r="T88" s="26"/>
      <x:c r="U88" s="26"/>
      <x:c r="V88" s="26"/>
      <x:c r="W88" s="26"/>
      <x:c r="X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318"/>
      <x:c r="L89" s="318"/>
      <x:c r="M89" s="318"/>
      <x:c r="N89" s="318"/>
      <x:c r="O89" s="318"/>
      <x:c r="P89" s="318"/>
      <x:c r="Q89" s="318"/>
      <x:c r="R89" s="26"/>
      <x:c r="S89" s="26"/>
      <x:c r="T89" s="26"/>
      <x:c r="U89" s="26"/>
      <x:c r="V89" s="26"/>
      <x:c r="W89" s="26"/>
      <x:c r="X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318"/>
      <x:c r="L90" s="318"/>
      <x:c r="M90" s="318"/>
      <x:c r="N90" s="318"/>
      <x:c r="O90" s="318"/>
      <x:c r="P90" s="318"/>
      <x:c r="Q90" s="318"/>
      <x:c r="R90" s="26"/>
      <x:c r="S90" s="26"/>
      <x:c r="T90" s="26"/>
      <x:c r="U90" s="26"/>
      <x:c r="V90" s="26"/>
      <x:c r="W90" s="26"/>
      <x:c r="X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318"/>
      <x:c r="L91" s="318"/>
      <x:c r="M91" s="318"/>
      <x:c r="N91" s="318"/>
      <x:c r="O91" s="318"/>
      <x:c r="P91" s="318"/>
      <x:c r="Q91" s="318"/>
      <x:c r="R91" s="26"/>
      <x:c r="S91" s="26"/>
      <x:c r="T91" s="26"/>
      <x:c r="U91" s="26"/>
      <x:c r="V91" s="26"/>
      <x:c r="W91" s="26"/>
      <x:c r="X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318"/>
      <x:c r="L92" s="318"/>
      <x:c r="M92" s="318"/>
      <x:c r="N92" s="318"/>
      <x:c r="O92" s="318"/>
      <x:c r="P92" s="318"/>
      <x:c r="Q92" s="318"/>
      <x:c r="R92" s="26"/>
      <x:c r="S92" s="26"/>
      <x:c r="T92" s="26"/>
      <x:c r="U92" s="26"/>
      <x:c r="V92" s="26"/>
      <x:c r="W92" s="26"/>
      <x:c r="X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318"/>
      <x:c r="L93" s="318"/>
      <x:c r="M93" s="318"/>
      <x:c r="N93" s="318"/>
      <x:c r="O93" s="318"/>
      <x:c r="P93" s="318"/>
      <x:c r="Q93" s="318"/>
      <x:c r="R93" s="26"/>
      <x:c r="S93" s="26"/>
      <x:c r="T93" s="26"/>
      <x:c r="U93" s="26"/>
      <x:c r="V93" s="26"/>
      <x:c r="W93" s="26"/>
      <x:c r="X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318"/>
      <x:c r="L94" s="318"/>
      <x:c r="M94" s="318"/>
      <x:c r="N94" s="318"/>
      <x:c r="O94" s="318"/>
      <x:c r="P94" s="318"/>
      <x:c r="Q94" s="318"/>
      <x:c r="R94" s="26"/>
      <x:c r="S94" s="26"/>
      <x:c r="T94" s="26"/>
      <x:c r="U94" s="26"/>
      <x:c r="V94" s="26"/>
      <x:c r="W94" s="26"/>
      <x:c r="X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318"/>
      <x:c r="L95" s="318"/>
      <x:c r="M95" s="318"/>
      <x:c r="N95" s="318"/>
      <x:c r="O95" s="318"/>
      <x:c r="P95" s="318"/>
      <x:c r="Q95" s="318"/>
      <x:c r="R95" s="26"/>
      <x:c r="S95" s="26"/>
      <x:c r="T95" s="26"/>
      <x:c r="U95" s="26"/>
      <x:c r="V95" s="26"/>
      <x:c r="W95" s="26"/>
      <x:c r="X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318"/>
      <x:c r="L96" s="318"/>
      <x:c r="M96" s="318"/>
      <x:c r="N96" s="318"/>
      <x:c r="O96" s="318"/>
      <x:c r="P96" s="318"/>
      <x:c r="Q96" s="318"/>
      <x:c r="R96" s="26"/>
      <x:c r="S96" s="26"/>
      <x:c r="T96" s="26"/>
      <x:c r="U96" s="26"/>
      <x:c r="V96" s="26"/>
      <x:c r="W96" s="26"/>
      <x:c r="X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318"/>
      <x:c r="L97" s="318"/>
      <x:c r="M97" s="318"/>
      <x:c r="N97" s="318"/>
      <x:c r="O97" s="318"/>
      <x:c r="P97" s="318"/>
      <x:c r="Q97" s="318"/>
      <x:c r="R97" s="26"/>
      <x:c r="S97" s="26"/>
      <x:c r="T97" s="26"/>
      <x:c r="U97" s="26"/>
      <x:c r="V97" s="26"/>
      <x:c r="W97" s="26"/>
      <x:c r="X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318"/>
      <x:c r="L98" s="318"/>
      <x:c r="M98" s="318"/>
      <x:c r="N98" s="318"/>
      <x:c r="O98" s="318"/>
      <x:c r="P98" s="318"/>
      <x:c r="Q98" s="318"/>
      <x:c r="R98" s="26"/>
      <x:c r="S98" s="26"/>
      <x:c r="T98" s="26"/>
      <x:c r="U98" s="26"/>
      <x:c r="V98" s="26"/>
      <x:c r="W98" s="26"/>
      <x:c r="X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318"/>
      <x:c r="L99" s="318"/>
      <x:c r="M99" s="318"/>
      <x:c r="N99" s="318"/>
      <x:c r="O99" s="318"/>
      <x:c r="P99" s="318"/>
      <x:c r="Q99" s="318"/>
      <x:c r="R99" s="26"/>
      <x:c r="S99" s="26"/>
      <x:c r="T99" s="26"/>
      <x:c r="U99" s="26"/>
      <x:c r="V99" s="26"/>
      <x:c r="W99" s="26"/>
      <x:c r="X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318"/>
      <x:c r="L100" s="318"/>
      <x:c r="M100" s="318"/>
      <x:c r="N100" s="318"/>
      <x:c r="O100" s="318"/>
      <x:c r="P100" s="318"/>
      <x:c r="Q100" s="318"/>
      <x:c r="R100" s="26"/>
      <x:c r="S100" s="26"/>
      <x:c r="T100" s="26"/>
      <x:c r="U100" s="26"/>
      <x:c r="V100" s="26"/>
      <x:c r="W100" s="26"/>
      <x:c r="X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</x:row>
  </x:sheetData>
  <x:mergeCells>
    <x:mergeCell ref="A1:X1"/>
    <x:mergeCell ref="A2:X2"/>
  </x:mergeCells>
  <x:pageMargins left="0.7" right="0.7" top="0.75" bottom="0.75" header="0.3" footer="0.3"/>
  <x:tableParts count="4">
    <x:tablePart xmlns:r="http://schemas.openxmlformats.org/officeDocument/2006/relationships" r:id="R58cd9ec9162a4ddb"/>
    <x:tablePart xmlns:r="http://schemas.openxmlformats.org/officeDocument/2006/relationships" r:id="Rccdfed7e4416477c"/>
    <x:tablePart xmlns:r="http://schemas.openxmlformats.org/officeDocument/2006/relationships" r:id="R096862fa398f44f7"/>
    <x:tablePart xmlns:r="http://schemas.openxmlformats.org/officeDocument/2006/relationships" r:id="R0ae2640cb1f148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8" hidden="0" customWidth="1"/>
    <x:col min="4" max="4" width="62" hidden="0" customWidth="1"/>
  </x:cols>
  <x:sheetData>
    <x:row r="1" ht="34" customHeight="1">
      <x:c r="A1" s="24" t="str">
        <x:v>أمثلة تعبئة سريعة V4</x:v>
      </x:c>
      <x:c r="B1" s="24" t="str">
        <x:v>أمثلة تعبئة سريعة V4</x:v>
      </x:c>
      <x:c r="C1" s="24" t="str">
        <x:v>أمثلة تعبئة سريعة V4</x:v>
      </x:c>
      <x:c r="D1" s="24" t="str">
        <x:v>أمثلة تعبئة سريعة V4</x:v>
      </x:c>
      <x:c r="E1" s="24" t="str">
        <x:v>أمثلة تعبئة سريعة V4</x:v>
      </x:c>
      <x:c r="F1" s="24" t="str">
        <x:v>أمثلة تعبئة سريعة V4</x:v>
      </x:c>
      <x:c r="G1" s="24" t="str">
        <x:v>أمثلة تعبئة سريعة V4</x:v>
      </x:c>
      <x:c r="H1" s="24" t="str">
        <x:v>أمثلة تعبئة سريعة V4</x:v>
      </x:c>
      <x:c r="I1" s="24" t="str">
        <x:v>أمثلة تعبئة سريعة V4</x:v>
      </x:c>
      <x:c r="J1" s="24" t="str">
        <x:v>أمثلة تعبئة سريعة V4</x:v>
      </x:c>
    </x:row>
    <x:row r="2" ht="28" customHeight="1">
      <x:c r="A2" s="25" t="str">
        <x:v>أمثلة تلخص طريقة الربط بدون تكرار الرقم أو الوسيط داخل شيت الزبائن.</x:v>
      </x:c>
      <x:c r="B2" s="25" t="str">
        <x:v>أمثلة تلخص طريقة الربط بدون تكرار الرقم أو الوسيط داخل شيت الزبائن.</x:v>
      </x:c>
      <x:c r="C2" s="25" t="str">
        <x:v>أمثلة تلخص طريقة الربط بدون تكرار الرقم أو الوسيط داخل شيت الزبائن.</x:v>
      </x:c>
      <x:c r="D2" s="25" t="str">
        <x:v>أمثلة تلخص طريقة الربط بدون تكرار الرقم أو الوسيط داخل شيت الزبائن.</x:v>
      </x:c>
      <x:c r="E2" s="25" t="str">
        <x:v>أمثلة تلخص طريقة الربط بدون تكرار الرقم أو الوسيط داخل شيت الزبائن.</x:v>
      </x:c>
      <x:c r="F2" s="25" t="str">
        <x:v>أمثلة تلخص طريقة الربط بدون تكرار الرقم أو الوسيط داخل شيت الزبائن.</x:v>
      </x:c>
      <x:c r="G2" s="25" t="str">
        <x:v>أمثلة تلخص طريقة الربط بدون تكرار الرقم أو الوسيط داخل شيت الزبائن.</x:v>
      </x:c>
      <x:c r="H2" s="25" t="str">
        <x:v>أمثلة تلخص طريقة الربط بدون تكرار الرقم أو الوسيط داخل شيت الزبائن.</x:v>
      </x:c>
      <x:c r="I2" s="25" t="str">
        <x:v>أمثلة تلخص طريقة الربط بدون تكرار الرقم أو الوسيط داخل شيت الزبائن.</x:v>
      </x:c>
      <x:c r="J2" s="25" t="str">
        <x:v>أمثلة تلخص طريقة الربط بدون تكرار الرقم أو الوسيط داخل شيت الزبائن.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>
      <x:c r="A4" s="27" t="str">
        <x:v>حالة</x:v>
      </x:c>
      <x:c r="B4" s="27" t="str">
        <x:v>ما تملأه</x:v>
      </x:c>
      <x:c r="C4" s="27" t="str">
        <x:v>مثال</x:v>
      </x:c>
      <x:c r="D4" s="27" t="str">
        <x:v>ملاحظة</x:v>
      </x:c>
      <x:c r="E4" s="26"/>
      <x:c r="F4" s="26"/>
      <x:c r="G4" s="26"/>
      <x:c r="H4" s="26"/>
      <x:c r="I4" s="26"/>
      <x:c r="J4" s="26"/>
    </x:row>
    <x:row r="5">
      <x:c r="A5" s="29" t="str">
        <x:v>زبون جاهز</x:v>
      </x:c>
      <x:c r="B5" s="29" t="str">
        <x:v>الزبائن + أرقام التواصل</x:v>
      </x:c>
      <x:c r="C5" s="29" t="str">
        <x:v>CUST-0001 في الزبائن، و CUST-0001/order=1 في أرقام التواصل</x:v>
      </x:c>
      <x:c r="D5" s="29" t="str">
        <x:v>الرقم الأساسي لا يكرر في شيت الزبائن.</x:v>
      </x:c>
      <x:c r="E5" s="26"/>
      <x:c r="F5" s="26"/>
      <x:c r="G5" s="26"/>
      <x:c r="H5" s="26"/>
      <x:c r="I5" s="26"/>
      <x:c r="J5" s="26"/>
    </x:row>
    <x:row r="6">
      <x:c r="A6" s="29" t="str">
        <x:v>اسم مقترح</x:v>
      </x:c>
      <x:c r="B6" s="29" t="str">
        <x:v>final_destination=proposed_name + proposed_name_key</x:v>
      </x:c>
      <x:c r="C6" s="29" t="str">
        <x:v>PN-CUST-0002</x:v>
      </x:c>
      <x:c r="D6" s="29" t="str">
        <x:v>أرقامه تضاف في أرقام التواصل مع entity_type=proposed_name.</x:v>
      </x:c>
      <x:c r="E6" s="26"/>
      <x:c r="F6" s="26"/>
      <x:c r="G6" s="26"/>
      <x:c r="H6" s="26"/>
      <x:c r="I6" s="26"/>
      <x:c r="J6" s="26"/>
    </x:row>
    <x:row r="7">
      <x:c r="A7" s="29" t="str">
        <x:v>داتا قديمة</x:v>
      </x:c>
      <x:c r="B7" s="29" t="str">
        <x:v>original_created_at + معلومات الموقع / قديم</x:v>
      </x:c>
      <x:c r="C7" s="29" t="str">
        <x:v>2022-09-04 / OLD-ZONE</x:v>
      </x:c>
      <x:c r="D7" s="29" t="str">
        <x:v>حقول تدقيق فقط ولا تغني عن geo ids.</x:v>
      </x:c>
      <x:c r="E7" s="26"/>
      <x:c r="F7" s="26"/>
      <x:c r="G7" s="26"/>
      <x:c r="H7" s="26"/>
      <x:c r="I7" s="26"/>
      <x:c r="J7" s="26"/>
    </x:row>
    <x:row r="8">
      <x:c r="A8" s="29" t="str">
        <x:v>حي مستوى رابع</x:v>
      </x:c>
      <x:c r="B8" s="29" t="str">
        <x:v>neighborhood_id</x:v>
      </x:c>
      <x:c r="C8" s="29" t="str">
        <x:v>125</x:v>
      </x:c>
      <x:c r="D8" s="29" t="str">
        <x:v>إذا غير معروف اتركه فارغا واستخدم sub_area_id حتى المراجعة.</x:v>
      </x:c>
      <x:c r="E8" s="26"/>
      <x:c r="F8" s="26"/>
      <x:c r="G8" s="26"/>
      <x:c r="H8" s="26"/>
      <x:c r="I8" s="26"/>
      <x:c r="J8" s="26"/>
    </x:row>
    <x:row r="9">
      <x:c r="A9" s="29" t="str">
        <x:v>وسيط أساسي</x:v>
      </x:c>
      <x:c r="B9" s="29" t="str">
        <x:v>الوسطاء referrer_order=1</x:v>
      </x:c>
      <x:c r="C9" s="29" t="str">
        <x:v>client/CUST-0001/order=1</x:v>
      </x:c>
      <x:c r="D9" s="29" t="str">
        <x:v>أول وسيط هو الأساسي.</x:v>
      </x:c>
      <x:c r="E9" s="26"/>
      <x:c r="F9" s="26"/>
      <x:c r="G9" s="26"/>
      <x:c r="H9" s="26"/>
      <x:c r="I9" s="26"/>
      <x:c r="J9" s="26"/>
    </x:row>
    <x:row r="10">
      <x:c r="A10" s="29" t="str">
        <x:v>رقم غير صالح</x:v>
      </x:c>
      <x:c r="B10" s="29" t="str">
        <x:v>status=invalid</x:v>
      </x:c>
      <x:c r="C10" s="29" t="str">
        <x:v>093 / invalid</x:v>
      </x:c>
      <x:c r="D10" s="29" t="str">
        <x:v>يسمح بتوثيق الرقم الخاطئ دون اعتباره جاهزا كرقم فعال.</x:v>
      </x:c>
      <x:c r="E10" s="26"/>
      <x:c r="F10" s="26"/>
      <x:c r="G10" s="26"/>
      <x:c r="H10" s="26"/>
      <x:c r="I10" s="26"/>
      <x:c r="J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</x:row>
  </x:sheetData>
  <x:mergeCells>
    <x:mergeCell ref="A1:J1"/>
    <x:mergeCell ref="A2:J2"/>
  </x:mergeCells>
  <x:pageMargins left="0.7" right="0.7" top="0.75" bottom="0.75" header="0.3" footer="0.3"/>
</x:worksheet>
</file>