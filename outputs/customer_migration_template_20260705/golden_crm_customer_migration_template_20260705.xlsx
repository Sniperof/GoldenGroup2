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50ab53a66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f431b468c05a472f"/>
    <x:sheet xmlns:r="http://schemas.openxmlformats.org/officeDocument/2006/relationships" name="الزبائن" sheetId="2" r:id="R135b8de28bfd4aee"/>
    <x:sheet xmlns:r="http://schemas.openxmlformats.org/officeDocument/2006/relationships" name="أرقام التواصل" sheetId="3" r:id="R8d0767ceadd647e1"/>
    <x:sheet xmlns:r="http://schemas.openxmlformats.org/officeDocument/2006/relationships" name="قاموس الأعمدة" sheetId="4" r:id="Ra19bcd20201f4ab6"/>
    <x:sheet xmlns:r="http://schemas.openxmlformats.org/officeDocument/2006/relationships" name="قوائم مرجعية" sheetId="5" r:id="Rd26bec1440bd479a"/>
    <x:sheet xmlns:r="http://schemas.openxmlformats.org/officeDocument/2006/relationships" name="عينات" sheetId="6" r:id="R78d8f6235e6a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0000"/>
  </x:numFmts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23047"/>
      <x:name val="Carlito"/>
    </x:font>
    <x:font>
      <x:b/>
      <x:sz val="16"/>
      <x:color rgb="FFFFFFFF"/>
      <x:name val="Arial"/>
    </x:font>
    <x:font>
      <x:sz val="10"/>
      <x:color rgb="FF475569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23047"/>
      <x:name val="Arial"/>
    </x:font>
    <x:font>
      <x:sz val="9"/>
      <x:color rgb="FF334155"/>
      <x:name val="Carlito"/>
    </x:font>
    <x:font>
      <x:b/>
      <x:sz val="10"/>
      <x:color rgb="FF123047"/>
      <x:name val="Carlito"/>
    </x:font>
    <x:font>
      <x:b/>
      <x:sz val="10"/>
      <x:color rgb="FFFFFFFF"/>
      <x:name val="Carlito"/>
    </x:font>
    <x:font>
      <x:sz val="11"/>
      <x:color rgb="FFBE123C"/>
      <x:name val="Carlito"/>
    </x:font>
    <x:font>
      <x:sz val="9"/>
      <x:color rgb="FF334155"/>
      <x:name val="Arial"/>
    </x:font>
    <x:font>
      <x:b/>
      <x:sz val="10"/>
      <x:color rgb="FF123047"/>
      <x:name val="Arial"/>
    </x:font>
    <x:font>
      <x:b/>
      <x:sz val="10"/>
      <x:color rgb="FFFFFFFF"/>
      <x:name val="Arial"/>
    </x:font>
    <x:font>
      <x:sz val="11"/>
      <x:color rgb="FFBE123C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4E6"/>
      </x:patternFill>
    </x:fill>
    <x:fill>
      <x:patternFill patternType="solid">
        <x:fgColor rgb="FFE0F2FE"/>
      </x:patternFill>
    </x:fill>
    <x:fill>
      <x:patternFill patternType="solid">
        <x:fgColor rgb="FFECFCCB"/>
      </x:patternFill>
    </x:fill>
    <x:fill>
      <x:patternFill patternType="solid">
        <x:fgColor rgb="FFBE123C"/>
      </x:patternFill>
    </x:fill>
    <x:fill>
      <x:patternFill patternType="solid">
        <x:fgColor rgb="FF1D4ED8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99F6E4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99F6E4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99F6E4"/>
      </x:bottom>
    </x:border>
  </x:borders>
  <x:cellStyleXfs count="1">
    <x:xf numFmtId="0" fontId="0" fillId="0" borderId="0"/>
  </x:cellStyleXfs>
  <x:cellXfs count="2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/>
    <x:xf numFmtId="0" fontId="9" fillId="5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3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/>
    </x:xf>
    <x:xf numFmtId="0" fontId="11" fillId="3" borderId="5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3" xfId="0" applyNumberFormat="1" applyFont="1" applyFill="1" applyBorder="1"/>
    <x:xf numFmtId="0" fontId="11" fillId="7" borderId="5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3" xfId="0" applyNumberFormat="1" applyFont="1" applyFill="1" applyBorder="1" applyAlignment="1">
      <x:alignment horizontal="center"/>
    </x:xf>
    <x:xf numFmtId="0" fontId="11" fillId="8" borderId="4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5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 vertical="center"/>
    </x:xf>
    <x:xf numFmtId="0" fontId="11" fillId="9" borderId="4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3" xfId="0" applyNumberFormat="1" applyFont="1" applyFill="1" applyBorder="1"/>
    <x:xf numFmtId="0" fontId="11" fillId="10" borderId="4" xfId="0" applyNumberFormat="1" applyFont="1" applyFill="1" applyBorder="1"/>
    <x:xf numFmtId="0" fontId="11" fillId="10" borderId="5" xfId="0" applyNumberFormat="1" applyFont="1" applyFill="1" applyBorder="1"/>
    <x:xf numFmtId="0" fontId="11" fillId="10" borderId="3" xfId="0" applyNumberFormat="1" applyFont="1" applyFill="1" applyBorder="1" applyAlignment="1">
      <x:alignment horizontal="center"/>
    </x:xf>
    <x:xf numFmtId="0" fontId="11" fillId="10" borderId="4" xfId="0" applyNumberFormat="1" applyFont="1" applyFill="1" applyBorder="1" applyAlignment="1">
      <x:alignment horizontal="center"/>
    </x:xf>
    <x:xf numFmtId="0" fontId="11" fillId="10" borderId="5" xfId="0" applyNumberFormat="1" applyFont="1" applyFill="1" applyBorder="1" applyAlignment="1">
      <x:alignment horizontal="center"/>
    </x:xf>
    <x:xf numFmtId="0" fontId="11" fillId="10" borderId="3" xfId="0" applyNumberFormat="1" applyFont="1" applyFill="1" applyBorder="1" applyAlignment="1">
      <x:alignment horizontal="center" vertical="center"/>
    </x:xf>
    <x:xf numFmtId="0" fontId="11" fillId="10" borderId="4" xfId="0" applyNumberFormat="1" applyFont="1" applyFill="1" applyBorder="1" applyAlignment="1">
      <x:alignment horizontal="center" vertical="center"/>
    </x:xf>
    <x:xf numFmtId="0" fontId="11" fillId="10" borderId="5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3" xfId="0" applyNumberFormat="1" applyFont="1" applyFill="1" applyBorder="1"/>
    <x:xf numFmtId="0" fontId="11" fillId="11" borderId="4" xfId="0" applyNumberFormat="1" applyFont="1" applyFill="1" applyBorder="1"/>
    <x:xf numFmtId="0" fontId="11" fillId="11" borderId="5" xfId="0" applyNumberFormat="1" applyFont="1" applyFill="1" applyBorder="1"/>
    <x:xf numFmtId="0" fontId="11" fillId="11" borderId="3" xfId="0" applyNumberFormat="1" applyFont="1" applyFill="1" applyBorder="1" applyAlignment="1">
      <x:alignment horizontal="center"/>
    </x:xf>
    <x:xf numFmtId="0" fontId="11" fillId="11" borderId="4" xfId="0" applyNumberFormat="1" applyFont="1" applyFill="1" applyBorder="1" applyAlignment="1">
      <x:alignment horizontal="center"/>
    </x:xf>
    <x:xf numFmtId="0" fontId="11" fillId="11" borderId="5" xfId="0" applyNumberFormat="1" applyFont="1" applyFill="1" applyBorder="1" applyAlignment="1">
      <x:alignment horizontal="center"/>
    </x:xf>
    <x:xf numFmtId="0" fontId="11" fillId="11" borderId="3" xfId="0" applyNumberFormat="1" applyFont="1" applyFill="1" applyBorder="1" applyAlignment="1">
      <x:alignment horizontal="center" vertical="center"/>
    </x:xf>
    <x:xf numFmtId="0" fontId="11" fillId="11" borderId="4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3" xfId="0" applyNumberFormat="1" applyFont="1" applyFill="1" applyBorder="1"/>
    <x:xf numFmtId="0" fontId="11" fillId="12" borderId="4" xfId="0" applyNumberFormat="1" applyFont="1" applyFill="1" applyBorder="1"/>
    <x:xf numFmtId="0" fontId="11" fillId="12" borderId="5" xfId="0" applyNumberFormat="1" applyFont="1" applyFill="1" applyBorder="1"/>
    <x:xf numFmtId="0" fontId="11" fillId="12" borderId="3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5" xfId="0" applyNumberFormat="1" applyFont="1" applyFill="1" applyBorder="1" applyAlignment="1">
      <x:alignment horizont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1" fillId="12" borderId="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3" xfId="0" applyNumberFormat="1" applyFont="1" applyFill="1" applyBorder="1"/>
    <x:xf numFmtId="0" fontId="11" fillId="13" borderId="4" xfId="0" applyNumberFormat="1" applyFont="1" applyFill="1" applyBorder="1"/>
    <x:xf numFmtId="0" fontId="11" fillId="13" borderId="5" xfId="0" applyNumberFormat="1" applyFont="1" applyFill="1" applyBorder="1"/>
    <x:xf numFmtId="0" fontId="11" fillId="13" borderId="3" xfId="0" applyNumberFormat="1" applyFont="1" applyFill="1" applyBorder="1" applyAlignment="1">
      <x:alignment horizontal="center"/>
    </x:xf>
    <x:xf numFmtId="0" fontId="11" fillId="13" borderId="4" xfId="0" applyNumberFormat="1" applyFont="1" applyFill="1" applyBorder="1" applyAlignment="1">
      <x:alignment horizontal="center"/>
    </x:xf>
    <x:xf numFmtId="0" fontId="11" fillId="13" borderId="5" xfId="0" applyNumberFormat="1" applyFont="1" applyFill="1" applyBorder="1" applyAlignment="1">
      <x:alignment horizontal="center"/>
    </x:xf>
    <x:xf numFmtId="0" fontId="11" fillId="13" borderId="3" xfId="0" applyNumberFormat="1" applyFont="1" applyFill="1" applyBorder="1" applyAlignment="1">
      <x:alignment horizontal="center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11" fillId="13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3" xfId="0" applyNumberFormat="1" applyFont="1" applyFill="1" applyBorder="1"/>
    <x:xf numFmtId="0" fontId="11" fillId="14" borderId="4" xfId="0" applyNumberFormat="1" applyFont="1" applyFill="1" applyBorder="1"/>
    <x:xf numFmtId="0" fontId="11" fillId="14" borderId="5" xfId="0" applyNumberFormat="1" applyFont="1" applyFill="1" applyBorder="1"/>
    <x:xf numFmtId="0" fontId="11" fillId="14" borderId="3" xfId="0" applyNumberFormat="1" applyFont="1" applyFill="1" applyBorder="1" applyAlignment="1">
      <x:alignment horizontal="center"/>
    </x:xf>
    <x:xf numFmtId="0" fontId="11" fillId="14" borderId="4" xfId="0" applyNumberFormat="1" applyFont="1" applyFill="1" applyBorder="1" applyAlignment="1">
      <x:alignment horizontal="center"/>
    </x:xf>
    <x:xf numFmtId="0" fontId="11" fillId="14" borderId="5" xfId="0" applyNumberFormat="1" applyFont="1" applyFill="1" applyBorder="1" applyAlignment="1">
      <x:alignment horizontal="center"/>
    </x:xf>
    <x:xf numFmtId="0" fontId="11" fillId="14" borderId="3" xfId="0" applyNumberFormat="1" applyFont="1" applyFill="1" applyBorder="1" applyAlignment="1">
      <x:alignment horizontal="center" vertical="center"/>
    </x:xf>
    <x:xf numFmtId="0" fontId="11" fillId="14" borderId="4" xfId="0" applyNumberFormat="1" applyFont="1" applyFill="1" applyBorder="1" applyAlignment="1">
      <x:alignment horizontal="center" vertical="center"/>
    </x:xf>
    <x:xf numFmtId="0" fontId="11" fillId="14" borderId="5" xfId="0" applyNumberFormat="1" applyFont="1" applyFill="1" applyBorder="1" applyAlignment="1">
      <x:alignment horizontal="center" vertical="center"/>
    </x:xf>
    <x:xf numFmtId="0" fontId="11" fillId="14" borderId="1" xfId="0" applyNumberFormat="1" applyFont="1" applyFill="1" applyBorder="1"/>
    <x:xf numFmtId="0" fontId="11" fillId="14" borderId="1" xfId="0" applyNumberFormat="1" applyFont="1" applyFill="1" applyBorder="1" applyAlignment="1">
      <x:alignment horizontal="center"/>
    </x:xf>
    <x:xf numFmtId="0" fontId="11" fillId="14" borderId="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3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6" xfId="0" applyNumberFormat="1" applyFont="1" applyFill="1" applyBorder="1"/>
    <x:xf numFmtId="0" fontId="12" fillId="4" borderId="6" xfId="0" applyNumberFormat="1" applyFont="1" applyFill="1" applyBorder="1" applyAlignment="1">
      <x:alignment wrapText="1"/>
    </x:xf>
    <x:xf numFmtId="0" fontId="12" fillId="4" borderId="6" xfId="0" applyNumberFormat="1" applyFont="1" applyFill="1" applyBorder="1" applyAlignment="1">
      <x:alignment horizont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2" fillId="4" borderId="8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2" xfId="0" applyNumberFormat="1" applyFont="1" applyFill="1" applyBorder="1"/>
    <x:xf numFmtId="200" fontId="0" fillId="0" borderId="13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1" fontId="0" fillId="0" borderId="2" xfId="0" applyNumberFormat="1" applyFont="1" applyFill="1" applyBorder="1"/>
    <x:xf numFmtId="201" fontId="0" fillId="0" borderId="13" xfId="0" applyNumberFormat="1" applyFont="1" applyFill="1" applyBorder="1"/>
    <x:xf numFmtId="202" fontId="0" fillId="0" borderId="2" xfId="0" applyNumberFormat="1" applyFont="1" applyFill="1" applyBorder="1"/>
    <x:xf numFmtId="202" fontId="0" fillId="0" borderId="13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2" fillId="15" borderId="7" xfId="0" applyNumberFormat="1" applyFont="1" applyFill="1" applyBorder="1" applyAlignment="1">
      <x:alignment horizontal="center" vertical="center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/>
    <x:xf numFmtId="0" fontId="15" fillId="3" borderId="3" xfId="0" applyNumberFormat="1" applyFont="1" applyFill="1" applyBorder="1" applyAlignment="1">
      <x:alignment horizontal="center" vertical="center"/>
    </x:xf>
    <x:xf numFmtId="0" fontId="15" fillId="3" borderId="4" xfId="0" applyNumberFormat="1" applyFont="1" applyFill="1" applyBorder="1" applyAlignment="1">
      <x:alignment horizontal="center" vertical="center"/>
    </x:xf>
    <x:xf numFmtId="0" fontId="15" fillId="3" borderId="5" xfId="0" applyNumberFormat="1" applyFont="1" applyFill="1" applyBorder="1" applyAlignment="1">
      <x:alignment horizontal="center" vertical="center"/>
    </x:xf>
    <x:xf numFmtId="0" fontId="15" fillId="7" borderId="3" xfId="0" applyNumberFormat="1" applyFont="1" applyFill="1" applyBorder="1" applyAlignment="1">
      <x:alignment horizontal="center" vertical="center"/>
    </x:xf>
    <x:xf numFmtId="0" fontId="15" fillId="7" borderId="5" xfId="0" applyNumberFormat="1" applyFont="1" applyFill="1" applyBorder="1" applyAlignment="1">
      <x:alignment horizontal="center" vertical="center"/>
    </x:xf>
    <x:xf numFmtId="0" fontId="15" fillId="8" borderId="3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15" fillId="8" borderId="5" xfId="0" applyNumberFormat="1" applyFont="1" applyFill="1" applyBorder="1" applyAlignment="1">
      <x:alignment horizontal="center" vertical="center"/>
    </x:xf>
    <x:xf numFmtId="0" fontId="15" fillId="9" borderId="3" xfId="0" applyNumberFormat="1" applyFont="1" applyFill="1" applyBorder="1" applyAlignment="1">
      <x:alignment horizontal="center" vertical="center"/>
    </x:xf>
    <x:xf numFmtId="0" fontId="15" fillId="9" borderId="4" xfId="0" applyNumberFormat="1" applyFont="1" applyFill="1" applyBorder="1" applyAlignment="1">
      <x:alignment horizontal="center" vertical="center"/>
    </x:xf>
    <x:xf numFmtId="0" fontId="15" fillId="9" borderId="5" xfId="0" applyNumberFormat="1" applyFont="1" applyFill="1" applyBorder="1" applyAlignment="1">
      <x:alignment horizontal="center" vertical="center"/>
    </x:xf>
    <x:xf numFmtId="0" fontId="15" fillId="10" borderId="3" xfId="0" applyNumberFormat="1" applyFont="1" applyFill="1" applyBorder="1" applyAlignment="1">
      <x:alignment horizontal="center" vertical="center"/>
    </x:xf>
    <x:xf numFmtId="0" fontId="15" fillId="10" borderId="4" xfId="0" applyNumberFormat="1" applyFont="1" applyFill="1" applyBorder="1" applyAlignment="1">
      <x:alignment horizontal="center" vertical="center"/>
    </x:xf>
    <x:xf numFmtId="0" fontId="15" fillId="10" borderId="5" xfId="0" applyNumberFormat="1" applyFont="1" applyFill="1" applyBorder="1" applyAlignment="1">
      <x:alignment horizontal="center" vertical="center"/>
    </x:xf>
    <x:xf numFmtId="0" fontId="15" fillId="11" borderId="3" xfId="0" applyNumberFormat="1" applyFont="1" applyFill="1" applyBorder="1" applyAlignment="1">
      <x:alignment horizontal="center" vertical="center"/>
    </x:xf>
    <x:xf numFmtId="0" fontId="15" fillId="11" borderId="4" xfId="0" applyNumberFormat="1" applyFont="1" applyFill="1" applyBorder="1" applyAlignment="1">
      <x:alignment horizontal="center" vertical="center"/>
    </x:xf>
    <x:xf numFmtId="0" fontId="15" fillId="11" borderId="5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15" fillId="12" borderId="3" xfId="0" applyNumberFormat="1" applyFont="1" applyFill="1" applyBorder="1" applyAlignment="1">
      <x:alignment horizontal="center" vertical="center"/>
    </x:xf>
    <x:xf numFmtId="0" fontId="15" fillId="12" borderId="4" xfId="0" applyNumberFormat="1" applyFont="1" applyFill="1" applyBorder="1" applyAlignment="1">
      <x:alignment horizontal="center" vertical="center"/>
    </x:xf>
    <x:xf numFmtId="0" fontId="15" fillId="12" borderId="5" xfId="0" applyNumberFormat="1" applyFont="1" applyFill="1" applyBorder="1" applyAlignment="1">
      <x:alignment horizontal="center" vertical="center"/>
    </x:xf>
    <x:xf numFmtId="0" fontId="15" fillId="13" borderId="3" xfId="0" applyNumberFormat="1" applyFont="1" applyFill="1" applyBorder="1" applyAlignment="1">
      <x:alignment horizontal="center" vertical="center"/>
    </x:xf>
    <x:xf numFmtId="0" fontId="15" fillId="13" borderId="4" xfId="0" applyNumberFormat="1" applyFont="1" applyFill="1" applyBorder="1" applyAlignment="1">
      <x:alignment horizontal="center" vertical="center"/>
    </x:xf>
    <x:xf numFmtId="0" fontId="15" fillId="13" borderId="5" xfId="0" applyNumberFormat="1" applyFont="1" applyFill="1" applyBorder="1" applyAlignment="1">
      <x:alignment horizontal="center" vertical="center"/>
    </x:xf>
    <x:xf numFmtId="0" fontId="15" fillId="14" borderId="3" xfId="0" applyNumberFormat="1" applyFont="1" applyFill="1" applyBorder="1" applyAlignment="1">
      <x:alignment horizontal="center" vertical="center"/>
    </x:xf>
    <x:xf numFmtId="0" fontId="15" fillId="14" borderId="4" xfId="0" applyNumberFormat="1" applyFont="1" applyFill="1" applyBorder="1" applyAlignment="1">
      <x:alignment horizontal="center" vertical="center"/>
    </x:xf>
    <x:xf numFmtId="0" fontId="15" fillId="14" borderId="5" xfId="0" applyNumberFormat="1" applyFont="1" applyFill="1" applyBorder="1" applyAlignment="1">
      <x:alignment horizontal="center" vertical="center"/>
    </x:xf>
    <x:xf numFmtId="0" fontId="15" fillId="14" borderId="1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5" borderId="8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1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200" fontId="7" fillId="0" borderId="13" xfId="0" applyNumberFormat="1" applyFont="1" applyFill="1" applyBorder="1" applyAlignment="1">
      <x:alignment vertical="top" wrapText="1"/>
    </x:xf>
    <x:xf numFmtId="202" fontId="7" fillId="0" borderId="13" xfId="0" applyNumberFormat="1" applyFont="1" applyFill="1" applyBorder="1" applyAlignment="1">
      <x:alignment vertical="top" wrapText="1"/>
    </x:xf>
    <x:xf numFmtId="201" fontId="7" fillId="0" borderId="13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horizontal="center"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5" fillId="3" borderId="1" xfId="0" applyNumberFormat="1" applyFont="1" applyFill="1" applyBorder="1" applyAlignment="1">
      <x:alignment horizontal="center" vertical="center"/>
    </x:xf>
    <x:xf numFmtId="0" fontId="16" fillId="4" borderId="7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20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20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" xfId="0" applyNumberFormat="1" applyFont="1" applyFill="1" applyBorder="1"/>
    <x:xf numFmtId="0" fontId="0" fillId="5" borderId="2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1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1" xfId="0" applyNumberFormat="1" applyFont="1" applyFill="1" applyBorder="1"/>
    <x:xf numFmtId="0" fontId="8" fillId="16" borderId="1" xfId="0" applyNumberFormat="1" applyFont="1" applyFill="1" applyBorder="1"/>
    <x:xf numFmtId="0" fontId="8" fillId="17" borderId="1" xfId="0" applyNumberFormat="1" applyFont="1" applyFill="1" applyBorder="1"/>
    <x:xf numFmtId="0" fontId="8" fillId="18" borderId="1" xfId="0" applyNumberFormat="1" applyFont="1" applyFill="1" applyBorder="1"/>
    <x:xf numFmtId="0" fontId="9" fillId="5" borderId="2" xfId="0" applyNumberFormat="1" applyFont="1" applyFill="1" applyBorder="1"/>
    <x:xf numFmtId="0" fontId="7" fillId="5" borderId="2" xfId="0" applyNumberFormat="1" applyFont="1" applyFill="1" applyBorder="1"/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afbf9e17c44e4" /><Relationship Type="http://schemas.openxmlformats.org/officeDocument/2006/relationships/theme" Target="/xl/theme/theme1.xml" Id="Ra708970bc1c34091" /><Relationship Type="http://schemas.openxmlformats.org/officeDocument/2006/relationships/sharedStrings" Target="/xl/sharedStrings.xml" Id="R54ba8a4424fd44e5" /><Relationship Type="http://schemas.openxmlformats.org/officeDocument/2006/relationships/worksheet" Target="/xl/worksheets/sheet1.xml" Id="Rf431b468c05a472f" /><Relationship Type="http://schemas.openxmlformats.org/officeDocument/2006/relationships/worksheet" Target="/xl/worksheets/sheet2.xml" Id="R135b8de28bfd4aee" /><Relationship Type="http://schemas.openxmlformats.org/officeDocument/2006/relationships/worksheet" Target="/xl/worksheets/sheet3.xml" Id="R8d0767ceadd647e1" /><Relationship Type="http://schemas.openxmlformats.org/officeDocument/2006/relationships/worksheet" Target="/xl/worksheets/sheet4.xml" Id="Ra19bcd20201f4ab6" /><Relationship Type="http://schemas.openxmlformats.org/officeDocument/2006/relationships/worksheet" Target="/xl/worksheets/sheet5.xml" Id="Rd26bec1440bd479a" /><Relationship Type="http://schemas.openxmlformats.org/officeDocument/2006/relationships/worksheet" Target="/xl/worksheets/sheet6.xml" Id="R78d8f6235e6a498e" /></Relationships>
</file>

<file path=xl/tables/table1.xml><?xml version="1.0" encoding="utf-8"?>
<x:table xmlns:x="http://schemas.openxmlformats.org/spreadsheetml/2006/main" id="1" name="CustomersImportTemplate" displayName="CustomersImportTemplate" ref="A5:BF505" headerRowCount="1" totalsRowCount="0" totalsRowShown="0">
  <x:autoFilter ref="A5:BF505"/>
  <x:tableColumns count="58">
    <x:tableColumn id="1" name="مفتاح الزبون للهجرة"/>
    <x:tableColumn id="2" name="إجراء الاستيراد"/>
    <x:tableColumn id="3" name="ID النظام القديم"/>
    <x:tableColumn id="4" name="مصدر/جدول قديم"/>
    <x:tableColumn id="5" name="ID الفرع"/>
    <x:tableColumn id="6" name="اسم الفرع للمراجعة"/>
    <x:tableColumn id="7" name="الاسم الأول"/>
    <x:tableColumn id="8" name="اسم الأب"/>
    <x:tableColumn id="9" name="الكنية/العائلة"/>
    <x:tableColumn id="10" name="اللقب"/>
    <x:tableColumn id="11" name="الاسم الكامل - تلقائي"/>
    <x:tableColumn id="12" name="نوع الرقم الأساسي"/>
    <x:tableColumn id="13" name="الرقم الأساسي"/>
    <x:tableColumn id="14" name="حالة الرقم الأساسي"/>
    <x:tableColumn id="15" name="واتساب للرقم الأساسي"/>
    <x:tableColumn id="16" name="ID المحافظة"/>
    <x:tableColumn id="17" name="المحافظة"/>
    <x:tableColumn id="18" name="ID المنطقة"/>
    <x:tableColumn id="19" name="المنطقة"/>
    <x:tableColumn id="20" name="ID الناحية/الحي النهائي"/>
    <x:tableColumn id="21" name="الناحية/الحي"/>
    <x:tableColumn id="22" name="العنوان التفصيلي"/>
    <x:tableColumn id="23" name="GPS Lat"/>
    <x:tableColumn id="24" name="GPS Lng"/>
    <x:tableColumn id="25" name="قناة المصدر"/>
    <x:tableColumn id="26" name="نوع الوسيط"/>
    <x:tableColumn id="27" name="ID الوسيط"/>
    <x:tableColumn id="28" name="اسم الوسيط"/>
    <x:tableColumn id="29" name="تاريخ الإحالة"/>
    <x:tableColumn id="30" name="سبب الإحالة"/>
    <x:tableColumn id="31" name="ملاحظات الوسيط"/>
    <x:tableColumn id="32" name="ID ورقة الإحالة"/>
    <x:tableColumn id="33" name="عنوان الإحالة"/>
    <x:tableColumn id="34" name="مسؤولو الزبون"/>
    <x:tableColumn id="35" name="هل هو اسم مرشح؟"/>
    <x:tableColumn id="36" name="حالة المرشح"/>
    <x:tableColumn id="37" name="الزبون المستهدف"/>
    <x:tableColumn id="38" name="الجنس"/>
    <x:tableColumn id="39" name="تاريخ الميلاد"/>
    <x:tableColumn id="40" name="اسم الأم"/>
    <x:tableColumn id="41" name="الرقم الوطني"/>
    <x:tableColumn id="42" name="القيد"/>
    <x:tableColumn id="43" name="أمانة السجل"/>
    <x:tableColumn id="44" name="تاريخ منح الهوية"/>
    <x:tableColumn id="45" name="الخانة"/>
    <x:tableColumn id="46" name="مهنة الزبون"/>
    <x:tableColumn id="47" name="مهنة الزوج/الزوجة"/>
    <x:tableColumn id="48" name="مصدر المياه"/>
    <x:tableColumn id="49" name="صحة البيانات"/>
    <x:tableColumn id="50" name="تقييم الزبون"/>
    <x:tableColumn id="51" name="عدم التواصل"/>
    <x:tableColumn id="52" name="تهدئة حتى"/>
    <x:tableColumn id="53" name="سبب التهدئة"/>
    <x:tableColumn id="54" name="ملاحظات عامة"/>
    <x:tableColumn id="55" name="حالة التنظيف"/>
    <x:tableColumn id="56" name="ملاحظات التنظيف"/>
    <x:tableColumn id="57" name="حالة الصف"/>
    <x:tableColumn id="58" name="رسائل التنظي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ontactsTemplate" displayName="CustomerContactsTemplate" ref="A5:M505" headerRowCount="1" totalsRowCount="0" totalsRowShown="0">
  <x:autoFilter ref="A5:M505"/>
  <x:tableColumns count="13">
    <x:tableColumn id="1" name="مفتاح الزبون للهجرة"/>
    <x:tableColumn id="2" name="ترتيب الرقم"/>
    <x:tableColumn id="3" name="نوع الرقم"/>
    <x:tableColumn id="4" name="الرقم"/>
    <x:tableColumn id="5" name="مفتاح الأرضي"/>
    <x:tableColumn id="6" name="العلاقة/الوصف"/>
    <x:tableColumn id="7" name="واتساب"/>
    <x:tableColumn id="8" name="أساسي؟"/>
    <x:tableColumn id="9" name="حالة الرقم"/>
    <x:tableColumn id="10" name="حالة التنظيف"/>
    <x:tableColumn id="11" name="ملاحظات"/>
    <x:tableColumn id="12" name="حالة الصف"/>
    <x:tableColumn id="13" name="رسائل التنظي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umnDictionary" displayName="ColumnDictionary" ref="A5:H76" headerRowCount="1" totalsRowCount="0" totalsRowShown="0">
  <x:autoFilter ref="A5:H76"/>
  <x:tableColumns count="8">
    <x:tableColumn id="1" name="الشيت"/>
    <x:tableColumn id="2" name="القسم"/>
    <x:tableColumn id="3" name="المفتاح التقني"/>
    <x:tableColumn id="4" name="العنوان"/>
    <x:tableColumn id="5" name="الإلزام"/>
    <x:tableColumn id="6" name="الوجهة"/>
    <x:tableColumn id="7" name="القيم المقبولة"/>
    <x:tableColumn id="8" name="ملاحظات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llowedValues" displayName="AllowedValues" ref="A5:D41" headerRowCount="1" totalsRowCount="0" totalsRowShown="0">
  <x:tableColumns count="4">
    <x:tableColumn id="1" name="القائمة"/>
    <x:tableColumn id="2" name="القيمة"/>
    <x:tableColumn id="3" name="شرح عربي"/>
    <x:tableColumn id="4" name="ملاحظا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ranchesReference" displayName="BranchesReference" ref="F5:I40" headerRowCount="1" totalsRowCount="0" totalsRowShown="0">
  <x:tableColumns count="4">
    <x:tableColumn id="1" name="branch_id"/>
    <x:tableColumn id="2" name="branch_name"/>
    <x:tableColumn id="3" name="status"/>
    <x:tableColumn id="4" name="notes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GeoUnitsReference" displayName="GeoUnitsReference" ref="K5:Q80" headerRowCount="1" totalsRowCount="0" totalsRowShown="0">
  <x:tableColumns count="7">
    <x:tableColumn id="1" name="geo_unit_id"/>
    <x:tableColumn id="2" name="name"/>
    <x:tableColumn id="3" name="level"/>
    <x:tableColumn id="4" name="parent_id"/>
    <x:tableColumn id="5" name="parent_name"/>
    <x:tableColumn id="6" name="status"/>
    <x:tableColumn id="7" name="covered_branch_i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AssignableUsersReference" displayName="AssignableUsersReference" ref="S5:W50" headerRowCount="1" totalsRowCount="0" totalsRowShown="0">
  <x:tableColumns count="5">
    <x:tableColumn id="1" name="hr_user_id"/>
    <x:tableColumn id="2" name="name"/>
    <x:tableColumn id="3" name="branch_id"/>
    <x:tableColumn id="4" name="role"/>
    <x:tableColumn id="5" name="assignable_note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16b19b16849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d5d6ea3bac44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7a0c6cbdb04a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157f3c85d44f2" /><Relationship Type="http://schemas.openxmlformats.org/officeDocument/2006/relationships/table" Target="/xl/tables/table5.xml" Id="R55adec0c259340cd" /><Relationship Type="http://schemas.openxmlformats.org/officeDocument/2006/relationships/table" Target="/xl/tables/table6.xml" Id="R8da292b461cf46e6" /><Relationship Type="http://schemas.openxmlformats.org/officeDocument/2006/relationships/table" Target="/xl/tables/table7.xml" Id="Re8606079df0948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3" max="3" width="5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18" t="str">
        <x:v>قالب تهجير بيانات الزبائن - Golden CRM</x:v>
      </x:c>
      <x:c r="B1" s="18" t="str">
        <x:v>قالب تهجير بيانات الزبائن - Golden CRM</x:v>
      </x:c>
      <x:c r="C1" s="18" t="str">
        <x:v>قالب تهجير بيانات الزبائن - Golden CRM</x:v>
      </x:c>
      <x:c r="D1" s="18" t="str">
        <x:v>قالب تهجير بيانات الزبائن - Golden CRM</x:v>
      </x:c>
      <x:c r="E1" s="18" t="str">
        <x:v>قالب تهجير بيانات الزبائن - Golden CRM</x:v>
      </x:c>
      <x:c r="F1" s="18" t="str">
        <x:v>قالب تهجير بيانات الزبائن - Golden CRM</x:v>
      </x:c>
      <x:c r="G1" s="18" t="str">
        <x:v>قالب تهجير بيانات الزبائن - Golden CRM</x:v>
      </x:c>
      <x:c r="H1" s="18" t="str">
        <x:v>قالب تهجير بيانات الزبائن - Golden CRM</x:v>
      </x:c>
    </x:row>
    <x:row r="2" ht="28" customHeight="1">
      <x:c r="A2" s="19" t="str">
        <x:v>استخدم هذا الملف لتصدير بيانات النظام القديم، تنظيفها، مطابقة المراجع، ثم تسليمها كمدخل آمن لعملية الاستيراد.</x:v>
      </x:c>
      <x:c r="B2" s="19" t="str">
        <x:v>استخدم هذا الملف لتصدير بيانات النظام القديم، تنظيفها، مطابقة المراجع، ثم تسليمها كمدخل آمن لعملية الاستيراد.</x:v>
      </x:c>
      <x:c r="C2" s="19" t="str">
        <x:v>استخدم هذا الملف لتصدير بيانات النظام القديم، تنظيفها، مطابقة المراجع، ثم تسليمها كمدخل آمن لعملية الاستيراد.</x:v>
      </x:c>
      <x:c r="D2" s="19" t="str">
        <x:v>استخدم هذا الملف لتصدير بيانات النظام القديم، تنظيفها، مطابقة المراجع، ثم تسليمها كمدخل آمن لعملية الاستيراد.</x:v>
      </x:c>
      <x:c r="E2" s="19" t="str">
        <x:v>استخدم هذا الملف لتصدير بيانات النظام القديم، تنظيفها، مطابقة المراجع، ثم تسليمها كمدخل آمن لعملية الاستيراد.</x:v>
      </x:c>
      <x:c r="F2" s="19" t="str">
        <x:v>استخدم هذا الملف لتصدير بيانات النظام القديم، تنظيفها، مطابقة المراجع، ثم تسليمها كمدخل آمن لعملية الاستيراد.</x:v>
      </x:c>
      <x:c r="G2" s="19" t="str">
        <x:v>استخدم هذا الملف لتصدير بيانات النظام القديم، تنظيفها، مطابقة المراجع، ثم تسليمها كمدخل آمن لعملية الاستيراد.</x:v>
      </x:c>
      <x:c r="H2" s="19" t="str">
        <x:v>استخدم هذا الملف لتصدير بيانات النظام القديم، تنظيفها، مطابقة المراجع، ثم تسليمها كمدخل آمن لعملية الاستيراد.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15" hidden="0" customHeight="1">
      <x:c r="A4" s="21" t="str">
        <x:v>الخطوة</x:v>
      </x:c>
      <x:c r="B4" s="21" t="str">
        <x:v>ما الذي يجب فعله</x:v>
      </x:c>
      <x:c r="C4" s="21" t="str">
        <x:v>لماذا مهم؟</x:v>
      </x:c>
      <x:c r="D4" s="20"/>
      <x:c r="E4" s="29" t="str">
        <x:v>الحد الأدنى قبل الاستيراد</x:v>
      </x:c>
      <x:c r="F4" s="29" t="str"/>
      <x:c r="G4" s="29" t="str"/>
      <x:c r="H4" s="29" t="str"/>
    </x:row>
    <x:row r="5" ht="145.1999969482422" hidden="0" customHeight="1">
      <x:c r="A5" s="22" t="str">
        <x:v>1</x:v>
      </x:c>
      <x:c r="B5" s="22" t="str">
        <x:v>املأ شيت «قوائم مرجعية» من قاعدة staging: الفروع، المناطق geo_units، والمستخدمين القابلين للإسناد.</x:v>
      </x:c>
      <x:c r="C5" s="22" t="str">
        <x:v>الاستيراد يحتاج IDs وليس أسماء فقط.</x:v>
      </x:c>
      <x:c r="D5" s="20"/>
      <x:c r="E5" s="26" t="str">
        <x:v>READY</x:v>
      </x:c>
      <x:c r="F5" s="26" t="str">
        <x:v>لا توجد مشاكل أساسية في الصف.</x:v>
      </x:c>
      <x:c r="G5" s="26" t="str"/>
      <x:c r="H5" s="26" t="str"/>
    </x:row>
    <x:row r="6" ht="105.5999984741211" hidden="0" customHeight="1">
      <x:c r="A6" s="22" t="str">
        <x:v>2</x:v>
      </x:c>
      <x:c r="B6" s="22" t="str">
        <x:v>انسخ الزبائن إلى شيت «الزبائن». كل صف يمثل زبوناً واحداً، والبيانات تبدأ من الصف 6.</x:v>
      </x:c>
      <x:c r="C6" s="22" t="str">
        <x:v>يحافظ على صفوف العناوين والقواعد.</x:v>
      </x:c>
      <x:c r="D6" s="20"/>
      <x:c r="E6" s="26" t="str">
        <x:v>REVIEW</x:v>
      </x:c>
      <x:c r="F6" s="26" t="str">
        <x:v>أحد الحقول المطلوبة ناقص أو يوجد تكرار/صيغة غير صحيحة.</x:v>
      </x:c>
      <x:c r="G6" s="26" t="str"/>
      <x:c r="H6" s="26" t="str"/>
    </x:row>
    <x:row r="7" ht="145.1999969482422" hidden="0" customHeight="1">
      <x:c r="A7" s="22" t="str">
        <x:v>3</x:v>
      </x:c>
      <x:c r="B7" s="22" t="str">
        <x:v>استخدم migration_customer_key كقيمة فريدة لا تتغير، واربط بها أرقام التواصل الإضافية في شيت «أرقام التواصل».</x:v>
      </x:c>
      <x:c r="C7" s="22" t="str">
        <x:v>هذا هو مفتاح الربط بين التبويبات وبين النظام القديم والجديد.</x:v>
      </x:c>
      <x:c r="D7" s="20"/>
      <x:c r="E7" s="26" t="str">
        <x:v>SKIP</x:v>
      </x:c>
      <x:c r="F7" s="26" t="str">
        <x:v>الصف مستبعد بإرادة الفريق.</x:v>
      </x:c>
      <x:c r="G7" s="26" t="str"/>
      <x:c r="H7" s="26" t="str"/>
    </x:row>
    <x:row r="8" ht="184.8000030517578" hidden="0" customHeight="1">
      <x:c r="A8" s="22" t="str">
        <x:v>4</x:v>
      </x:c>
      <x:c r="B8" s="22" t="str">
        <x:v>اجعل الأعمدة الإلزامية مكتملة: branch_id، first_name، last_name، primary_phone، neighborhood_id.</x:v>
      </x:c>
      <x:c r="C8" s="22" t="str">
        <x:v>هذه الحقول مطلوبة أو لازمة للسياسات الحالية في النظام.</x:v>
      </x:c>
      <x:c r="D8" s="20"/>
      <x:c r="E8" s="26" t="str">
        <x:v>ملاحظة</x:v>
      </x:c>
      <x:c r="F8" s="26" t="str">
        <x:v>هذا الملف لا يغيّر قاعدة البيانات وحده؛ هو قالب تنظيف وتحضير لسكربت استيراد لاحق.</x:v>
      </x:c>
      <x:c r="G8" s="26" t="str"/>
      <x:c r="H8" s="26" t="str"/>
    </x:row>
    <x:row r="9" ht="158.39999389648438" hidden="0" customHeight="1">
      <x:c r="A9" s="22" t="str">
        <x:v>5</x:v>
      </x:c>
      <x:c r="B9" s="22" t="str">
        <x:v>راجع row_status و row_issues. الصف الجاهز فقط يجب أن يكون READY، والصف SKIP لن يستورد.</x:v>
      </x:c>
      <x:c r="C9" s="22" t="str">
        <x:v>يعطي قائمة تنظيف واضحة قبل كتابة أي سكربت استيراد.</x:v>
      </x:c>
      <x:c r="D9" s="20"/>
      <x:c r="E9" s="26" t="str">
        <x:v>تحذير</x:v>
      </x:c>
      <x:c r="F9" s="26" t="str">
        <x:v>لا تعتمد على branch_name أو neighborhood_name فقط. يجب مطابقة IDs من staging.</x:v>
      </x:c>
      <x:c r="G9" s="26" t="str"/>
      <x:c r="H9" s="26" t="str"/>
    </x:row>
    <x:row r="10" ht="118.80000305175781" hidden="0" customHeight="1">
      <x:c r="A10" s="22" t="str">
        <x:v>6</x:v>
      </x:c>
      <x:c r="B10" s="22" t="str">
        <x:v>لا تعدل أعمدة full_name_preview و row_status و row_issues يدوياً.</x:v>
      </x:c>
      <x:c r="C10" s="22" t="str">
        <x:v>هذه أعمدة محسوبة للتدقيق.</x:v>
      </x:c>
      <x:c r="D10" s="20"/>
      <x:c r="E10" s="26" t="str">
        <x:v>مصدر الحقول</x:v>
      </x:c>
      <x:c r="F10" s="26" t="str">
        <x:v>clients schema + API create/update + واجهة ClientModal داخل المشروع.</x:v>
      </x:c>
      <x:c r="G10" s="26" t="str"/>
      <x:c r="H10" s="26" t="str"/>
    </x:row>
    <x:row r="11" ht="132" hidden="0" customHeight="1">
      <x:c r="A11" s="22" t="str">
        <x:v>7</x:v>
      </x:c>
      <x:c r="B11" s="22" t="str">
        <x:v>الرقم الأساسي للموبايل يجب أن يكون 09XXXXXXXX وفريداً، إلا إذا كانت حالة الرقم invalid.</x:v>
      </x:c>
      <x:c r="C11" s="22" t="str">
        <x:v>النظام يمنع تكرار الرقم الأساسي عند إنشاء الزبون.</x:v>
      </x:c>
      <x:c r="D11" s="20"/>
      <x:c r="E11" s="26" t="str">
        <x:v>تاريخ القالب</x:v>
      </x:c>
      <x:c r="F11" s="26" t="str">
        <x:v>2026-07-05</x:v>
      </x:c>
      <x:c r="G11" s="26" t="str"/>
      <x:c r="H11" s="26" t="str"/>
    </x:row>
    <x:row r="12" ht="118.80000305175781" hidden="0" customHeight="1">
      <x:c r="A12" s="22" t="str">
        <x:v>8</x:v>
      </x:c>
      <x:c r="B12" s="22" t="str">
        <x:v>استخدم الأعمدة التي تنتهي بـ _name للمراجعة البشرية، لكن اعتمد على أعمدة _id عند الاستيراد.</x:v>
      </x:c>
      <x:c r="C12" s="22" t="str">
        <x:v>الأسماء قد تتكرر أو تختلف كتابتها.</x:v>
      </x:c>
      <x:c r="D12" s="20"/>
      <x:c r="E12" s="26" t="str">
        <x:v>نطاق الصفوف</x:v>
      </x:c>
      <x:c r="F12" s="26" t="str">
        <x:v>الزبائن: 6-505، أرقام التواصل: 6-505</x:v>
      </x:c>
      <x:c r="G12" s="26" t="str"/>
      <x:c r="H12" s="26" t="str"/>
    </x:row>
    <x:row r="13" ht="132" hidden="0" customHeight="1">
      <x:c r="A13" s="22" t="str">
        <x:v>9</x:v>
      </x:c>
      <x:c r="B13" s="22" t="str">
        <x:v>أي بيانات غير مؤكدة ضعها review_needed في cleanup_status واكتب السبب في cleanup_notes.</x:v>
      </x:c>
      <x:c r="C13" s="22" t="str">
        <x:v>حتى لا تدخل بيانات ناقصة بصمت.</x:v>
      </x:c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2" hidden="0" customWidth="1"/>
    <x:col min="19" max="19" width="18" hidden="0" customWidth="1"/>
    <x:col min="20" max="20" width="16" hidden="0" customWidth="1"/>
    <x:col min="21" max="21" width="18" hidden="0" customWidth="1"/>
    <x:col min="22" max="22" width="34" hidden="0" customWidth="1"/>
    <x:col min="23" max="23" width="12" hidden="0" customWidth="1"/>
    <x:col min="24" max="24" width="12" hidden="0" customWidth="1"/>
    <x:col min="25" max="25" width="16" hidden="0" customWidth="1"/>
    <x:col min="26" max="26" width="14" hidden="0" customWidth="1"/>
    <x:col min="27" max="27" width="14" hidden="0" customWidth="1"/>
    <x:col min="28" max="28" width="20" hidden="0" customWidth="1"/>
    <x:col min="29" max="29" width="14" hidden="0" customWidth="1"/>
    <x:col min="30" max="30" width="24" hidden="0" customWidth="1"/>
    <x:col min="31" max="31" width="28" hidden="0" customWidth="1"/>
    <x:col min="32" max="32" width="12" hidden="0" customWidth="1"/>
    <x:col min="33" max="33" width="24" hidden="0" customWidth="1"/>
    <x:col min="34" max="34" width="22" hidden="0" customWidth="1"/>
    <x:col min="35" max="35" width="12" hidden="0" customWidth="1"/>
    <x:col min="36" max="36" width="14" hidden="0" customWidth="1"/>
    <x:col min="37" max="37" width="18" hidden="0" customWidth="1"/>
    <x:col min="38" max="38" width="12" hidden="0" customWidth="1"/>
    <x:col min="39" max="39" width="14" hidden="0" customWidth="1"/>
    <x:col min="40" max="40" width="16" hidden="0" customWidth="1"/>
    <x:col min="41" max="41" width="16" hidden="0" customWidth="1"/>
    <x:col min="42" max="42" width="18" hidden="0" customWidth="1"/>
    <x:col min="43" max="43" width="18" hidden="0" customWidth="1"/>
    <x:col min="44" max="44" width="18" hidden="0" customWidth="1"/>
    <x:col min="45" max="45" width="14" hidden="0" customWidth="1"/>
    <x:col min="46" max="46" width="16" hidden="0" customWidth="1"/>
    <x:col min="47" max="47" width="18" hidden="0" customWidth="1"/>
    <x:col min="48" max="48" width="18" hidden="0" customWidth="1"/>
    <x:col min="49" max="49" width="16" hidden="0" customWidth="1"/>
    <x:col min="50" max="50" width="16" hidden="0" customWidth="1"/>
    <x:col min="51" max="51" width="12" hidden="0" customWidth="1"/>
    <x:col min="52" max="52" width="14" hidden="0" customWidth="1"/>
    <x:col min="53" max="53" width="20" hidden="0" customWidth="1"/>
    <x:col min="54" max="54" width="34" hidden="0" customWidth="1"/>
    <x:col min="55" max="55" width="18" hidden="0" customWidth="1"/>
    <x:col min="56" max="56" width="30" hidden="0" customWidth="1"/>
    <x:col min="57" max="57" width="14" hidden="0" customWidth="1"/>
    <x:col min="58" max="58" width="42" hidden="0" customWidth="1"/>
  </x:cols>
  <x:sheetData>
    <x:row r="1" ht="34" customHeight="1">
      <x:c r="A1" s="18" t="str">
        <x:v>الزبائن - قالب التنظيف والاستيراد</x:v>
      </x:c>
      <x:c r="B1" s="18" t="str">
        <x:v>الزبائن - قالب التنظيف والاستيراد</x:v>
      </x:c>
      <x:c r="C1" s="18" t="str">
        <x:v>الزبائن - قالب التنظيف والاستيراد</x:v>
      </x:c>
      <x:c r="D1" s="18" t="str">
        <x:v>الزبائن - قالب التنظيف والاستيراد</x:v>
      </x:c>
      <x:c r="E1" s="18" t="str">
        <x:v>الزبائن - قالب التنظيف والاستيراد</x:v>
      </x:c>
      <x:c r="F1" s="18" t="str">
        <x:v>الزبائن - قالب التنظيف والاستيراد</x:v>
      </x:c>
      <x:c r="G1" s="18" t="str">
        <x:v>الزبائن - قالب التنظيف والاستيراد</x:v>
      </x:c>
      <x:c r="H1" s="18" t="str">
        <x:v>الزبائن - قالب التنظيف والاستيراد</x:v>
      </x:c>
      <x:c r="I1" s="18" t="str">
        <x:v>الزبائن - قالب التنظيف والاستيراد</x:v>
      </x:c>
      <x:c r="J1" s="18" t="str">
        <x:v>الزبائن - قالب التنظيف والاستيراد</x:v>
      </x:c>
      <x:c r="K1" s="18" t="str">
        <x:v>الزبائن - قالب التنظيف والاستيراد</x:v>
      </x:c>
      <x:c r="L1" s="18" t="str">
        <x:v>الزبائن - قالب التنظيف والاستيراد</x:v>
      </x:c>
      <x:c r="M1" s="18" t="str">
        <x:v>الزبائن - قالب التنظيف والاستيراد</x:v>
      </x:c>
      <x:c r="N1" s="18" t="str">
        <x:v>الزبائن - قالب التنظيف والاستيراد</x:v>
      </x:c>
      <x:c r="O1" s="18" t="str">
        <x:v>الزبائن - قالب التنظيف والاستيراد</x:v>
      </x:c>
      <x:c r="P1" s="18" t="str">
        <x:v>الزبائن - قالب التنظيف والاستيراد</x:v>
      </x:c>
      <x:c r="Q1" s="18" t="str">
        <x:v>الزبائن - قالب التنظيف والاستيراد</x:v>
      </x:c>
      <x:c r="R1" s="18" t="str">
        <x:v>الزبائن - قالب التنظيف والاستيراد</x:v>
      </x:c>
      <x:c r="S1" s="18" t="str">
        <x:v>الزبائن - قالب التنظيف والاستيراد</x:v>
      </x:c>
      <x:c r="T1" s="18" t="str">
        <x:v>الزبائن - قالب التنظيف والاستيراد</x:v>
      </x:c>
      <x:c r="U1" s="18" t="str">
        <x:v>الزبائن - قالب التنظيف والاستيراد</x:v>
      </x:c>
      <x:c r="V1" s="18" t="str">
        <x:v>الزبائن - قالب التنظيف والاستيراد</x:v>
      </x:c>
      <x:c r="W1" s="18" t="str">
        <x:v>الزبائن - قالب التنظيف والاستيراد</x:v>
      </x:c>
      <x:c r="X1" s="18" t="str">
        <x:v>الزبائن - قالب التنظيف والاستيراد</x:v>
      </x:c>
      <x:c r="Y1" s="18" t="str">
        <x:v>الزبائن - قالب التنظيف والاستيراد</x:v>
      </x:c>
      <x:c r="Z1" s="18" t="str">
        <x:v>الزبائن - قالب التنظيف والاستيراد</x:v>
      </x:c>
      <x:c r="AA1" s="18" t="str">
        <x:v>الزبائن - قالب التنظيف والاستيراد</x:v>
      </x:c>
      <x:c r="AB1" s="18" t="str">
        <x:v>الزبائن - قالب التنظيف والاستيراد</x:v>
      </x:c>
      <x:c r="AC1" s="18" t="str">
        <x:v>الزبائن - قالب التنظيف والاستيراد</x:v>
      </x:c>
      <x:c r="AD1" s="18" t="str">
        <x:v>الزبائن - قالب التنظيف والاستيراد</x:v>
      </x:c>
      <x:c r="AE1" s="18" t="str">
        <x:v>الزبائن - قالب التنظيف والاستيراد</x:v>
      </x:c>
      <x:c r="AF1" s="18" t="str">
        <x:v>الزبائن - قالب التنظيف والاستيراد</x:v>
      </x:c>
      <x:c r="AG1" s="18" t="str">
        <x:v>الزبائن - قالب التنظيف والاستيراد</x:v>
      </x:c>
      <x:c r="AH1" s="18" t="str">
        <x:v>الزبائن - قالب التنظيف والاستيراد</x:v>
      </x:c>
      <x:c r="AI1" s="18" t="str">
        <x:v>الزبائن - قالب التنظيف والاستيراد</x:v>
      </x:c>
      <x:c r="AJ1" s="18" t="str">
        <x:v>الزبائن - قالب التنظيف والاستيراد</x:v>
      </x:c>
      <x:c r="AK1" s="18" t="str">
        <x:v>الزبائن - قالب التنظيف والاستيراد</x:v>
      </x:c>
      <x:c r="AL1" s="18" t="str">
        <x:v>الزبائن - قالب التنظيف والاستيراد</x:v>
      </x:c>
      <x:c r="AM1" s="18" t="str">
        <x:v>الزبائن - قالب التنظيف والاستيراد</x:v>
      </x:c>
      <x:c r="AN1" s="18" t="str">
        <x:v>الزبائن - قالب التنظيف والاستيراد</x:v>
      </x:c>
      <x:c r="AO1" s="18" t="str">
        <x:v>الزبائن - قالب التنظيف والاستيراد</x:v>
      </x:c>
      <x:c r="AP1" s="18" t="str">
        <x:v>الزبائن - قالب التنظيف والاستيراد</x:v>
      </x:c>
      <x:c r="AQ1" s="18" t="str">
        <x:v>الزبائن - قالب التنظيف والاستيراد</x:v>
      </x:c>
      <x:c r="AR1" s="18" t="str">
        <x:v>الزبائن - قالب التنظيف والاستيراد</x:v>
      </x:c>
      <x:c r="AS1" s="18" t="str">
        <x:v>الزبائن - قالب التنظيف والاستيراد</x:v>
      </x:c>
      <x:c r="AT1" s="18" t="str">
        <x:v>الزبائن - قالب التنظيف والاستيراد</x:v>
      </x:c>
      <x:c r="AU1" s="18" t="str">
        <x:v>الزبائن - قالب التنظيف والاستيراد</x:v>
      </x:c>
      <x:c r="AV1" s="18" t="str">
        <x:v>الزبائن - قالب التنظيف والاستيراد</x:v>
      </x:c>
      <x:c r="AW1" s="18" t="str">
        <x:v>الزبائن - قالب التنظيف والاستيراد</x:v>
      </x:c>
      <x:c r="AX1" s="18" t="str">
        <x:v>الزبائن - قالب التنظيف والاستيراد</x:v>
      </x:c>
      <x:c r="AY1" s="18" t="str">
        <x:v>الزبائن - قالب التنظيف والاستيراد</x:v>
      </x:c>
      <x:c r="AZ1" s="18" t="str">
        <x:v>الزبائن - قالب التنظيف والاستيراد</x:v>
      </x:c>
      <x:c r="BA1" s="18" t="str">
        <x:v>الزبائن - قالب التنظيف والاستيراد</x:v>
      </x:c>
      <x:c r="BB1" s="18" t="str">
        <x:v>الزبائن - قالب التنظيف والاستيراد</x:v>
      </x:c>
      <x:c r="BC1" s="18" t="str">
        <x:v>الزبائن - قالب التنظيف والاستيراد</x:v>
      </x:c>
      <x:c r="BD1" s="18" t="str">
        <x:v>الزبائن - قالب التنظيف والاستيراد</x:v>
      </x:c>
      <x:c r="BE1" s="18" t="str">
        <x:v>الزبائن - قالب التنظيف والاستيراد</x:v>
      </x:c>
      <x:c r="BF1" s="18" t="str">
        <x:v>الزبائن - قالب التنظيف والاستيراد</x:v>
      </x:c>
    </x:row>
    <x:row r="2" ht="28" customHeight="1">
      <x:c r="A2" s="19" t="str">
        <x:v>املأ صفاً واحداً لكل زبون. البيانات تبدأ من الصف 6. الأعمدة المحسوبة في K و BE و BF لا تعدل يدوياً.</x:v>
      </x:c>
      <x:c r="B2" s="19" t="str">
        <x:v>املأ صفاً واحداً لكل زبون. البيانات تبدأ من الصف 6. الأعمدة المحسوبة في K و BE و BF لا تعدل يدوياً.</x:v>
      </x:c>
      <x:c r="C2" s="19" t="str">
        <x:v>املأ صفاً واحداً لكل زبون. البيانات تبدأ من الصف 6. الأعمدة المحسوبة في K و BE و BF لا تعدل يدوياً.</x:v>
      </x:c>
      <x:c r="D2" s="19" t="str">
        <x:v>املأ صفاً واحداً لكل زبون. البيانات تبدأ من الصف 6. الأعمدة المحسوبة في K و BE و BF لا تعدل يدوياً.</x:v>
      </x:c>
      <x:c r="E2" s="19" t="str">
        <x:v>املأ صفاً واحداً لكل زبون. البيانات تبدأ من الصف 6. الأعمدة المحسوبة في K و BE و BF لا تعدل يدوياً.</x:v>
      </x:c>
      <x:c r="F2" s="19" t="str">
        <x:v>املأ صفاً واحداً لكل زبون. البيانات تبدأ من الصف 6. الأعمدة المحسوبة في K و BE و BF لا تعدل يدوياً.</x:v>
      </x:c>
      <x:c r="G2" s="19" t="str">
        <x:v>املأ صفاً واحداً لكل زبون. البيانات تبدأ من الصف 6. الأعمدة المحسوبة في K و BE و BF لا تعدل يدوياً.</x:v>
      </x:c>
      <x:c r="H2" s="19" t="str">
        <x:v>املأ صفاً واحداً لكل زبون. البيانات تبدأ من الصف 6. الأعمدة المحسوبة في K و BE و BF لا تعدل يدوياً.</x:v>
      </x:c>
      <x:c r="I2" s="19" t="str">
        <x:v>املأ صفاً واحداً لكل زبون. البيانات تبدأ من الصف 6. الأعمدة المحسوبة في K و BE و BF لا تعدل يدوياً.</x:v>
      </x:c>
      <x:c r="J2" s="19" t="str">
        <x:v>املأ صفاً واحداً لكل زبون. البيانات تبدأ من الصف 6. الأعمدة المحسوبة في K و BE و BF لا تعدل يدوياً.</x:v>
      </x:c>
      <x:c r="K2" s="19" t="str">
        <x:v>املأ صفاً واحداً لكل زبون. البيانات تبدأ من الصف 6. الأعمدة المحسوبة في K و BE و BF لا تعدل يدوياً.</x:v>
      </x:c>
      <x:c r="L2" s="19" t="str">
        <x:v>املأ صفاً واحداً لكل زبون. البيانات تبدأ من الصف 6. الأعمدة المحسوبة في K و BE و BF لا تعدل يدوياً.</x:v>
      </x:c>
      <x:c r="M2" s="19" t="str">
        <x:v>املأ صفاً واحداً لكل زبون. البيانات تبدأ من الصف 6. الأعمدة المحسوبة في K و BE و BF لا تعدل يدوياً.</x:v>
      </x:c>
      <x:c r="N2" s="19" t="str">
        <x:v>املأ صفاً واحداً لكل زبون. البيانات تبدأ من الصف 6. الأعمدة المحسوبة في K و BE و BF لا تعدل يدوياً.</x:v>
      </x:c>
      <x:c r="O2" s="19" t="str">
        <x:v>املأ صفاً واحداً لكل زبون. البيانات تبدأ من الصف 6. الأعمدة المحسوبة في K و BE و BF لا تعدل يدوياً.</x:v>
      </x:c>
      <x:c r="P2" s="19" t="str">
        <x:v>املأ صفاً واحداً لكل زبون. البيانات تبدأ من الصف 6. الأعمدة المحسوبة في K و BE و BF لا تعدل يدوياً.</x:v>
      </x:c>
      <x:c r="Q2" s="19" t="str">
        <x:v>املأ صفاً واحداً لكل زبون. البيانات تبدأ من الصف 6. الأعمدة المحسوبة في K و BE و BF لا تعدل يدوياً.</x:v>
      </x:c>
      <x:c r="R2" s="19" t="str">
        <x:v>املأ صفاً واحداً لكل زبون. البيانات تبدأ من الصف 6. الأعمدة المحسوبة في K و BE و BF لا تعدل يدوياً.</x:v>
      </x:c>
      <x:c r="S2" s="19" t="str">
        <x:v>املأ صفاً واحداً لكل زبون. البيانات تبدأ من الصف 6. الأعمدة المحسوبة في K و BE و BF لا تعدل يدوياً.</x:v>
      </x:c>
      <x:c r="T2" s="19" t="str">
        <x:v>املأ صفاً واحداً لكل زبون. البيانات تبدأ من الصف 6. الأعمدة المحسوبة في K و BE و BF لا تعدل يدوياً.</x:v>
      </x:c>
      <x:c r="U2" s="19" t="str">
        <x:v>املأ صفاً واحداً لكل زبون. البيانات تبدأ من الصف 6. الأعمدة المحسوبة في K و BE و BF لا تعدل يدوياً.</x:v>
      </x:c>
      <x:c r="V2" s="19" t="str">
        <x:v>املأ صفاً واحداً لكل زبون. البيانات تبدأ من الصف 6. الأعمدة المحسوبة في K و BE و BF لا تعدل يدوياً.</x:v>
      </x:c>
      <x:c r="W2" s="19" t="str">
        <x:v>املأ صفاً واحداً لكل زبون. البيانات تبدأ من الصف 6. الأعمدة المحسوبة في K و BE و BF لا تعدل يدوياً.</x:v>
      </x:c>
      <x:c r="X2" s="19" t="str">
        <x:v>املأ صفاً واحداً لكل زبون. البيانات تبدأ من الصف 6. الأعمدة المحسوبة في K و BE و BF لا تعدل يدوياً.</x:v>
      </x:c>
      <x:c r="Y2" s="19" t="str">
        <x:v>املأ صفاً واحداً لكل زبون. البيانات تبدأ من الصف 6. الأعمدة المحسوبة في K و BE و BF لا تعدل يدوياً.</x:v>
      </x:c>
      <x:c r="Z2" s="19" t="str">
        <x:v>املأ صفاً واحداً لكل زبون. البيانات تبدأ من الصف 6. الأعمدة المحسوبة في K و BE و BF لا تعدل يدوياً.</x:v>
      </x:c>
      <x:c r="AA2" s="19" t="str">
        <x:v>املأ صفاً واحداً لكل زبون. البيانات تبدأ من الصف 6. الأعمدة المحسوبة في K و BE و BF لا تعدل يدوياً.</x:v>
      </x:c>
      <x:c r="AB2" s="19" t="str">
        <x:v>املأ صفاً واحداً لكل زبون. البيانات تبدأ من الصف 6. الأعمدة المحسوبة في K و BE و BF لا تعدل يدوياً.</x:v>
      </x:c>
      <x:c r="AC2" s="19" t="str">
        <x:v>املأ صفاً واحداً لكل زبون. البيانات تبدأ من الصف 6. الأعمدة المحسوبة في K و BE و BF لا تعدل يدوياً.</x:v>
      </x:c>
      <x:c r="AD2" s="19" t="str">
        <x:v>املأ صفاً واحداً لكل زبون. البيانات تبدأ من الصف 6. الأعمدة المحسوبة في K و BE و BF لا تعدل يدوياً.</x:v>
      </x:c>
      <x:c r="AE2" s="19" t="str">
        <x:v>املأ صفاً واحداً لكل زبون. البيانات تبدأ من الصف 6. الأعمدة المحسوبة في K و BE و BF لا تعدل يدوياً.</x:v>
      </x:c>
      <x:c r="AF2" s="19" t="str">
        <x:v>املأ صفاً واحداً لكل زبون. البيانات تبدأ من الصف 6. الأعمدة المحسوبة في K و BE و BF لا تعدل يدوياً.</x:v>
      </x:c>
      <x:c r="AG2" s="19" t="str">
        <x:v>املأ صفاً واحداً لكل زبون. البيانات تبدأ من الصف 6. الأعمدة المحسوبة في K و BE و BF لا تعدل يدوياً.</x:v>
      </x:c>
      <x:c r="AH2" s="19" t="str">
        <x:v>املأ صفاً واحداً لكل زبون. البيانات تبدأ من الصف 6. الأعمدة المحسوبة في K و BE و BF لا تعدل يدوياً.</x:v>
      </x:c>
      <x:c r="AI2" s="19" t="str">
        <x:v>املأ صفاً واحداً لكل زبون. البيانات تبدأ من الصف 6. الأعمدة المحسوبة في K و BE و BF لا تعدل يدوياً.</x:v>
      </x:c>
      <x:c r="AJ2" s="19" t="str">
        <x:v>املأ صفاً واحداً لكل زبون. البيانات تبدأ من الصف 6. الأعمدة المحسوبة في K و BE و BF لا تعدل يدوياً.</x:v>
      </x:c>
      <x:c r="AK2" s="19" t="str">
        <x:v>املأ صفاً واحداً لكل زبون. البيانات تبدأ من الصف 6. الأعمدة المحسوبة في K و BE و BF لا تعدل يدوياً.</x:v>
      </x:c>
      <x:c r="AL2" s="19" t="str">
        <x:v>املأ صفاً واحداً لكل زبون. البيانات تبدأ من الصف 6. الأعمدة المحسوبة في K و BE و BF لا تعدل يدوياً.</x:v>
      </x:c>
      <x:c r="AM2" s="19" t="str">
        <x:v>املأ صفاً واحداً لكل زبون. البيانات تبدأ من الصف 6. الأعمدة المحسوبة في K و BE و BF لا تعدل يدوياً.</x:v>
      </x:c>
      <x:c r="AN2" s="19" t="str">
        <x:v>املأ صفاً واحداً لكل زبون. البيانات تبدأ من الصف 6. الأعمدة المحسوبة في K و BE و BF لا تعدل يدوياً.</x:v>
      </x:c>
      <x:c r="AO2" s="19" t="str">
        <x:v>املأ صفاً واحداً لكل زبون. البيانات تبدأ من الصف 6. الأعمدة المحسوبة في K و BE و BF لا تعدل يدوياً.</x:v>
      </x:c>
      <x:c r="AP2" s="19" t="str">
        <x:v>املأ صفاً واحداً لكل زبون. البيانات تبدأ من الصف 6. الأعمدة المحسوبة في K و BE و BF لا تعدل يدوياً.</x:v>
      </x:c>
      <x:c r="AQ2" s="19" t="str">
        <x:v>املأ صفاً واحداً لكل زبون. البيانات تبدأ من الصف 6. الأعمدة المحسوبة في K و BE و BF لا تعدل يدوياً.</x:v>
      </x:c>
      <x:c r="AR2" s="19" t="str">
        <x:v>املأ صفاً واحداً لكل زبون. البيانات تبدأ من الصف 6. الأعمدة المحسوبة في K و BE و BF لا تعدل يدوياً.</x:v>
      </x:c>
      <x:c r="AS2" s="19" t="str">
        <x:v>املأ صفاً واحداً لكل زبون. البيانات تبدأ من الصف 6. الأعمدة المحسوبة في K و BE و BF لا تعدل يدوياً.</x:v>
      </x:c>
      <x:c r="AT2" s="19" t="str">
        <x:v>املأ صفاً واحداً لكل زبون. البيانات تبدأ من الصف 6. الأعمدة المحسوبة في K و BE و BF لا تعدل يدوياً.</x:v>
      </x:c>
      <x:c r="AU2" s="19" t="str">
        <x:v>املأ صفاً واحداً لكل زبون. البيانات تبدأ من الصف 6. الأعمدة المحسوبة في K و BE و BF لا تعدل يدوياً.</x:v>
      </x:c>
      <x:c r="AV2" s="19" t="str">
        <x:v>املأ صفاً واحداً لكل زبون. البيانات تبدأ من الصف 6. الأعمدة المحسوبة في K و BE و BF لا تعدل يدوياً.</x:v>
      </x:c>
      <x:c r="AW2" s="19" t="str">
        <x:v>املأ صفاً واحداً لكل زبون. البيانات تبدأ من الصف 6. الأعمدة المحسوبة في K و BE و BF لا تعدل يدوياً.</x:v>
      </x:c>
      <x:c r="AX2" s="19" t="str">
        <x:v>املأ صفاً واحداً لكل زبون. البيانات تبدأ من الصف 6. الأعمدة المحسوبة في K و BE و BF لا تعدل يدوياً.</x:v>
      </x:c>
      <x:c r="AY2" s="19" t="str">
        <x:v>املأ صفاً واحداً لكل زبون. البيانات تبدأ من الصف 6. الأعمدة المحسوبة في K و BE و BF لا تعدل يدوياً.</x:v>
      </x:c>
      <x:c r="AZ2" s="19" t="str">
        <x:v>املأ صفاً واحداً لكل زبون. البيانات تبدأ من الصف 6. الأعمدة المحسوبة في K و BE و BF لا تعدل يدوياً.</x:v>
      </x:c>
      <x:c r="BA2" s="19" t="str">
        <x:v>املأ صفاً واحداً لكل زبون. البيانات تبدأ من الصف 6. الأعمدة المحسوبة في K و BE و BF لا تعدل يدوياً.</x:v>
      </x:c>
      <x:c r="BB2" s="19" t="str">
        <x:v>املأ صفاً واحداً لكل زبون. البيانات تبدأ من الصف 6. الأعمدة المحسوبة في K و BE و BF لا تعدل يدوياً.</x:v>
      </x:c>
      <x:c r="BC2" s="19" t="str">
        <x:v>املأ صفاً واحداً لكل زبون. البيانات تبدأ من الصف 6. الأعمدة المحسوبة في K و BE و BF لا تعدل يدوياً.</x:v>
      </x:c>
      <x:c r="BD2" s="19" t="str">
        <x:v>املأ صفاً واحداً لكل زبون. البيانات تبدأ من الصف 6. الأعمدة المحسوبة في K و BE و BF لا تعدل يدوياً.</x:v>
      </x:c>
      <x:c r="BE2" s="19" t="str">
        <x:v>املأ صفاً واحداً لكل زبون. البيانات تبدأ من الصف 6. الأعمدة المحسوبة في K و BE و BF لا تعدل يدوياً.</x:v>
      </x:c>
      <x:c r="BF2" s="19" t="str">
        <x:v>املأ صفاً واحداً لكل زبون. البيانات تبدأ من الصف 6. الأعمدة المحسوبة في K و BE و BF لا تعدل يدوياً.</x:v>
      </x:c>
    </x:row>
    <x:row r="3">
      <x:c r="A3" s="196" t="str">
        <x:v>migration_customer_key</x:v>
      </x:c>
      <x:c r="B3" s="196" t="str">
        <x:v>import_action</x:v>
      </x:c>
      <x:c r="C3" s="196" t="str">
        <x:v>old_system_customer_id</x:v>
      </x:c>
      <x:c r="D3" s="196" t="str">
        <x:v>old_source_note</x:v>
      </x:c>
      <x:c r="E3" s="196" t="str">
        <x:v>branch_id</x:v>
      </x:c>
      <x:c r="F3" s="196" t="str">
        <x:v>branch_name</x:v>
      </x:c>
      <x:c r="G3" s="196" t="str">
        <x:v>first_name</x:v>
      </x:c>
      <x:c r="H3" s="196" t="str">
        <x:v>father_name</x:v>
      </x:c>
      <x:c r="I3" s="196" t="str">
        <x:v>last_name</x:v>
      </x:c>
      <x:c r="J3" s="196" t="str">
        <x:v>nickname</x:v>
      </x:c>
      <x:c r="K3" s="196" t="str">
        <x:v>full_name_preview</x:v>
      </x:c>
      <x:c r="L3" s="196" t="str">
        <x:v>primary_contact_type</x:v>
      </x:c>
      <x:c r="M3" s="196" t="str">
        <x:v>primary_phone</x:v>
      </x:c>
      <x:c r="N3" s="196" t="str">
        <x:v>primary_phone_status</x:v>
      </x:c>
      <x:c r="O3" s="196" t="str">
        <x:v>primary_has_whatsapp</x:v>
      </x:c>
      <x:c r="P3" s="196" t="str">
        <x:v>governorate_id</x:v>
      </x:c>
      <x:c r="Q3" s="196" t="str">
        <x:v>governorate_name</x:v>
      </x:c>
      <x:c r="R3" s="196" t="str">
        <x:v>district_id</x:v>
      </x:c>
      <x:c r="S3" s="196" t="str">
        <x:v>district_name</x:v>
      </x:c>
      <x:c r="T3" s="196" t="str">
        <x:v>neighborhood_id</x:v>
      </x:c>
      <x:c r="U3" s="196" t="str">
        <x:v>neighborhood_name</x:v>
      </x:c>
      <x:c r="V3" s="196" t="str">
        <x:v>detailed_address</x:v>
      </x:c>
      <x:c r="W3" s="196" t="str">
        <x:v>gps_lat</x:v>
      </x:c>
      <x:c r="X3" s="196" t="str">
        <x:v>gps_lng</x:v>
      </x:c>
      <x:c r="Y3" s="196" t="str">
        <x:v>source_channel</x:v>
      </x:c>
      <x:c r="Z3" s="196" t="str">
        <x:v>referrer_type</x:v>
      </x:c>
      <x:c r="AA3" s="196" t="str">
        <x:v>referrer_entity_id</x:v>
      </x:c>
      <x:c r="AB3" s="196" t="str">
        <x:v>referrer_name</x:v>
      </x:c>
      <x:c r="AC3" s="196" t="str">
        <x:v>referral_date</x:v>
      </x:c>
      <x:c r="AD3" s="196" t="str">
        <x:v>referral_reason</x:v>
      </x:c>
      <x:c r="AE3" s="196" t="str">
        <x:v>referral_notes</x:v>
      </x:c>
      <x:c r="AF3" s="196" t="str">
        <x:v>referral_sheet_id</x:v>
      </x:c>
      <x:c r="AG3" s="196" t="str">
        <x:v>referral_address_text</x:v>
      </x:c>
      <x:c r="AH3" s="196" t="str">
        <x:v>assignment_user_ids</x:v>
      </x:c>
      <x:c r="AI3" s="196" t="str">
        <x:v>is_candidate</x:v>
      </x:c>
      <x:c r="AJ3" s="196" t="str">
        <x:v>candidate_status</x:v>
      </x:c>
      <x:c r="AK3" s="196" t="str">
        <x:v>target_client</x:v>
      </x:c>
      <x:c r="AL3" s="196" t="str">
        <x:v>gender</x:v>
      </x:c>
      <x:c r="AM3" s="196" t="str">
        <x:v>birth_date</x:v>
      </x:c>
      <x:c r="AN3" s="196" t="str">
        <x:v>mother_name</x:v>
      </x:c>
      <x:c r="AO3" s="196" t="str">
        <x:v>national_id</x:v>
      </x:c>
      <x:c r="AP3" s="196" t="str">
        <x:v>national_id_registry</x:v>
      </x:c>
      <x:c r="AQ3" s="196" t="str">
        <x:v>national_id_issued_by</x:v>
      </x:c>
      <x:c r="AR3" s="196" t="str">
        <x:v>national_id_issue_date</x:v>
      </x:c>
      <x:c r="AS3" s="196" t="str">
        <x:v>national_id_box</x:v>
      </x:c>
      <x:c r="AT3" s="196" t="str">
        <x:v>occupation</x:v>
      </x:c>
      <x:c r="AU3" s="196" t="str">
        <x:v>spouse_occupation</x:v>
      </x:c>
      <x:c r="AV3" s="196" t="str">
        <x:v>water_source</x:v>
      </x:c>
      <x:c r="AW3" s="196" t="str">
        <x:v>data_quality</x:v>
      </x:c>
      <x:c r="AX3" s="196" t="str">
        <x:v>rating</x:v>
      </x:c>
      <x:c r="AY3" s="196" t="str">
        <x:v>do_not_contact</x:v>
      </x:c>
      <x:c r="AZ3" s="196" t="str">
        <x:v>cooldown_until</x:v>
      </x:c>
      <x:c r="BA3" s="196" t="str">
        <x:v>cooldown_reason</x:v>
      </x:c>
      <x:c r="BB3" s="196" t="str">
        <x:v>notes</x:v>
      </x:c>
      <x:c r="BC3" s="196" t="str">
        <x:v>cleanup_status</x:v>
      </x:c>
      <x:c r="BD3" s="196" t="str">
        <x:v>cleanup_notes</x:v>
      </x:c>
      <x:c r="BE3" s="196" t="str">
        <x:v>row_status</x:v>
      </x:c>
      <x:c r="BF3" s="196" t="str">
        <x:v>row_issues</x:v>
      </x:c>
    </x:row>
    <x:row r="4">
      <x:c r="A4" s="197" t="str">
        <x:v>ربط الهجرة</x:v>
      </x:c>
      <x:c r="B4" s="198" t="str">
        <x:v>ربط الهجرة</x:v>
      </x:c>
      <x:c r="C4" s="198" t="str">
        <x:v>ربط الهجرة</x:v>
      </x:c>
      <x:c r="D4" s="199" t="str">
        <x:v>ربط الهجرة</x:v>
      </x:c>
      <x:c r="E4" s="200" t="str">
        <x:v>الفرع والملكية</x:v>
      </x:c>
      <x:c r="F4" s="201" t="str">
        <x:v>الفرع والملكية</x:v>
      </x:c>
      <x:c r="G4" s="202" t="str">
        <x:v>هوية الزبون</x:v>
      </x:c>
      <x:c r="H4" s="203" t="str">
        <x:v>هوية الزبون</x:v>
      </x:c>
      <x:c r="I4" s="203" t="str">
        <x:v>هوية الزبون</x:v>
      </x:c>
      <x:c r="J4" s="203" t="str">
        <x:v>هوية الزبون</x:v>
      </x:c>
      <x:c r="K4" s="204" t="str">
        <x:v>هوية الزبون</x:v>
      </x:c>
      <x:c r="L4" s="205" t="str">
        <x:v>التواصل الأساسي</x:v>
      </x:c>
      <x:c r="M4" s="206" t="str">
        <x:v>التواصل الأساسي</x:v>
      </x:c>
      <x:c r="N4" s="206" t="str">
        <x:v>التواصل الأساسي</x:v>
      </x:c>
      <x:c r="O4" s="207" t="str">
        <x:v>التواصل الأساسي</x:v>
      </x:c>
      <x:c r="P4" s="208" t="str">
        <x:v>العنوان</x:v>
      </x:c>
      <x:c r="Q4" s="209" t="str">
        <x:v>العنوان</x:v>
      </x:c>
      <x:c r="R4" s="209" t="str">
        <x:v>العنوان</x:v>
      </x:c>
      <x:c r="S4" s="209" t="str">
        <x:v>العنوان</x:v>
      </x:c>
      <x:c r="T4" s="209" t="str">
        <x:v>العنوان</x:v>
      </x:c>
      <x:c r="U4" s="209" t="str">
        <x:v>العنوان</x:v>
      </x:c>
      <x:c r="V4" s="209" t="str">
        <x:v>العنوان</x:v>
      </x:c>
      <x:c r="W4" s="209" t="str">
        <x:v>العنوان</x:v>
      </x:c>
      <x:c r="X4" s="210" t="str">
        <x:v>العنوان</x:v>
      </x:c>
      <x:c r="Y4" s="211" t="str">
        <x:v>المصدر والوسيط</x:v>
      </x:c>
      <x:c r="Z4" s="212" t="str">
        <x:v>المصدر والوسيط</x:v>
      </x:c>
      <x:c r="AA4" s="212" t="str">
        <x:v>المصدر والوسيط</x:v>
      </x:c>
      <x:c r="AB4" s="212" t="str">
        <x:v>المصدر والوسيط</x:v>
      </x:c>
      <x:c r="AC4" s="212" t="str">
        <x:v>المصدر والوسيط</x:v>
      </x:c>
      <x:c r="AD4" s="212" t="str">
        <x:v>المصدر والوسيط</x:v>
      </x:c>
      <x:c r="AE4" s="212" t="str">
        <x:v>المصدر والوسيط</x:v>
      </x:c>
      <x:c r="AF4" s="212" t="str">
        <x:v>المصدر والوسيط</x:v>
      </x:c>
      <x:c r="AG4" s="213" t="str">
        <x:v>المصدر والوسيط</x:v>
      </x:c>
      <x:c r="AH4" s="214" t="str">
        <x:v>الفرع والملكية</x:v>
      </x:c>
      <x:c r="AI4" s="215" t="str">
        <x:v>الحالة</x:v>
      </x:c>
      <x:c r="AJ4" s="216" t="str">
        <x:v>الحالة</x:v>
      </x:c>
      <x:c r="AK4" s="217" t="str">
        <x:v>الحالة</x:v>
      </x:c>
      <x:c r="AL4" s="218" t="str">
        <x:v>بيانات مدنية</x:v>
      </x:c>
      <x:c r="AM4" s="219" t="str">
        <x:v>بيانات مدنية</x:v>
      </x:c>
      <x:c r="AN4" s="219" t="str">
        <x:v>بيانات مدنية</x:v>
      </x:c>
      <x:c r="AO4" s="219" t="str">
        <x:v>بيانات مدنية</x:v>
      </x:c>
      <x:c r="AP4" s="219" t="str">
        <x:v>بيانات مدنية</x:v>
      </x:c>
      <x:c r="AQ4" s="219" t="str">
        <x:v>بيانات مدنية</x:v>
      </x:c>
      <x:c r="AR4" s="219" t="str">
        <x:v>بيانات مدنية</x:v>
      </x:c>
      <x:c r="AS4" s="220" t="str">
        <x:v>بيانات مدنية</x:v>
      </x:c>
      <x:c r="AT4" s="221" t="str">
        <x:v>بيانات إضافية</x:v>
      </x:c>
      <x:c r="AU4" s="222" t="str">
        <x:v>بيانات إضافية</x:v>
      </x:c>
      <x:c r="AV4" s="222" t="str">
        <x:v>بيانات إضافية</x:v>
      </x:c>
      <x:c r="AW4" s="222" t="str">
        <x:v>بيانات إضافية</x:v>
      </x:c>
      <x:c r="AX4" s="223" t="str">
        <x:v>بيانات إضافية</x:v>
      </x:c>
      <x:c r="AY4" s="205" t="str">
        <x:v>ضبط التواصل</x:v>
      </x:c>
      <x:c r="AZ4" s="206" t="str">
        <x:v>ضبط التواصل</x:v>
      </x:c>
      <x:c r="BA4" s="207" t="str">
        <x:v>ضبط التواصل</x:v>
      </x:c>
      <x:c r="BB4" s="224" t="str">
        <x:v>بيانات إضافية</x:v>
      </x:c>
      <x:c r="BC4" s="225" t="str">
        <x:v>مراجعة التنظيف</x:v>
      </x:c>
      <x:c r="BD4" s="226" t="str">
        <x:v>مراجعة التنظيف</x:v>
      </x:c>
      <x:c r="BE4" s="226" t="str">
        <x:v>مراجعة التنظيف</x:v>
      </x:c>
      <x:c r="BF4" s="227" t="str">
        <x:v>مراجعة التنظيف</x:v>
      </x:c>
    </x:row>
    <x:row r="5" ht="42" customHeight="1">
      <x:c r="A5" s="228" t="str">
        <x:v>مفتاح الزبون للهجرة</x:v>
      </x:c>
      <x:c r="B5" s="229" t="str">
        <x:v>إجراء الاستيراد</x:v>
      </x:c>
      <x:c r="C5" s="230" t="str">
        <x:v>ID النظام القديم</x:v>
      </x:c>
      <x:c r="D5" s="230" t="str">
        <x:v>مصدر/جدول قديم</x:v>
      </x:c>
      <x:c r="E5" s="229" t="str">
        <x:v>ID الفرع</x:v>
      </x:c>
      <x:c r="F5" s="230" t="str">
        <x:v>اسم الفرع للمراجعة</x:v>
      </x:c>
      <x:c r="G5" s="229" t="str">
        <x:v>الاسم الأول</x:v>
      </x:c>
      <x:c r="H5" s="230" t="str">
        <x:v>اسم الأب</x:v>
      </x:c>
      <x:c r="I5" s="229" t="str">
        <x:v>الكنية/العائلة</x:v>
      </x:c>
      <x:c r="J5" s="230" t="str">
        <x:v>اللقب</x:v>
      </x:c>
      <x:c r="K5" s="230" t="str">
        <x:v>الاسم الكامل - تلقائي</x:v>
      </x:c>
      <x:c r="L5" s="229" t="str">
        <x:v>نوع الرقم الأساسي</x:v>
      </x:c>
      <x:c r="M5" s="229" t="str">
        <x:v>الرقم الأساسي</x:v>
      </x:c>
      <x:c r="N5" s="229" t="str">
        <x:v>حالة الرقم الأساسي</x:v>
      </x:c>
      <x:c r="O5" s="230" t="str">
        <x:v>واتساب للرقم الأساسي</x:v>
      </x:c>
      <x:c r="P5" s="230" t="str">
        <x:v>ID المحافظة</x:v>
      </x:c>
      <x:c r="Q5" s="230" t="str">
        <x:v>المحافظة</x:v>
      </x:c>
      <x:c r="R5" s="230" t="str">
        <x:v>ID المنطقة</x:v>
      </x:c>
      <x:c r="S5" s="230" t="str">
        <x:v>المنطقة</x:v>
      </x:c>
      <x:c r="T5" s="229" t="str">
        <x:v>ID الناحية/الحي النهائي</x:v>
      </x:c>
      <x:c r="U5" s="230" t="str">
        <x:v>الناحية/الحي</x:v>
      </x:c>
      <x:c r="V5" s="230" t="str">
        <x:v>العنوان التفصيلي</x:v>
      </x:c>
      <x:c r="W5" s="230" t="str">
        <x:v>GPS Lat</x:v>
      </x:c>
      <x:c r="X5" s="230" t="str">
        <x:v>GPS Lng</x:v>
      </x:c>
      <x:c r="Y5" s="230" t="str">
        <x:v>قناة المصدر</x:v>
      </x:c>
      <x:c r="Z5" s="230" t="str">
        <x:v>نوع الوسيط</x:v>
      </x:c>
      <x:c r="AA5" s="230" t="str">
        <x:v>ID الوسيط</x:v>
      </x:c>
      <x:c r="AB5" s="230" t="str">
        <x:v>اسم الوسيط</x:v>
      </x:c>
      <x:c r="AC5" s="230" t="str">
        <x:v>تاريخ الإحالة</x:v>
      </x:c>
      <x:c r="AD5" s="230" t="str">
        <x:v>سبب الإحالة</x:v>
      </x:c>
      <x:c r="AE5" s="230" t="str">
        <x:v>ملاحظات الوسيط</x:v>
      </x:c>
      <x:c r="AF5" s="230" t="str">
        <x:v>ID ورقة الإحالة</x:v>
      </x:c>
      <x:c r="AG5" s="230" t="str">
        <x:v>عنوان الإحالة</x:v>
      </x:c>
      <x:c r="AH5" s="230" t="str">
        <x:v>مسؤولو الزبون</x:v>
      </x:c>
      <x:c r="AI5" s="230" t="str">
        <x:v>هل هو اسم مرشح؟</x:v>
      </x:c>
      <x:c r="AJ5" s="230" t="str">
        <x:v>حالة المرشح</x:v>
      </x:c>
      <x:c r="AK5" s="230" t="str">
        <x:v>الزبون المستهدف</x:v>
      </x:c>
      <x:c r="AL5" s="230" t="str">
        <x:v>الجنس</x:v>
      </x:c>
      <x:c r="AM5" s="230" t="str">
        <x:v>تاريخ الميلاد</x:v>
      </x:c>
      <x:c r="AN5" s="230" t="str">
        <x:v>اسم الأم</x:v>
      </x:c>
      <x:c r="AO5" s="230" t="str">
        <x:v>الرقم الوطني</x:v>
      </x:c>
      <x:c r="AP5" s="230" t="str">
        <x:v>القيد</x:v>
      </x:c>
      <x:c r="AQ5" s="230" t="str">
        <x:v>أمانة السجل</x:v>
      </x:c>
      <x:c r="AR5" s="230" t="str">
        <x:v>تاريخ منح الهوية</x:v>
      </x:c>
      <x:c r="AS5" s="230" t="str">
        <x:v>الخانة</x:v>
      </x:c>
      <x:c r="AT5" s="230" t="str">
        <x:v>مهنة الزبون</x:v>
      </x:c>
      <x:c r="AU5" s="230" t="str">
        <x:v>مهنة الزوج/الزوجة</x:v>
      </x:c>
      <x:c r="AV5" s="230" t="str">
        <x:v>مصدر المياه</x:v>
      </x:c>
      <x:c r="AW5" s="230" t="str">
        <x:v>صحة البيانات</x:v>
      </x:c>
      <x:c r="AX5" s="230" t="str">
        <x:v>تقييم الزبون</x:v>
      </x:c>
      <x:c r="AY5" s="230" t="str">
        <x:v>عدم التواصل</x:v>
      </x:c>
      <x:c r="AZ5" s="230" t="str">
        <x:v>تهدئة حتى</x:v>
      </x:c>
      <x:c r="BA5" s="230" t="str">
        <x:v>سبب التهدئة</x:v>
      </x:c>
      <x:c r="BB5" s="230" t="str">
        <x:v>ملاحظات عامة</x:v>
      </x:c>
      <x:c r="BC5" s="230" t="str">
        <x:v>حالة التنظيف</x:v>
      </x:c>
      <x:c r="BD5" s="230" t="str">
        <x:v>ملاحظات التنظيف</x:v>
      </x:c>
      <x:c r="BE5" s="230" t="str">
        <x:v>حالة الصف</x:v>
      </x:c>
      <x:c r="BF5" s="231" t="str">
        <x:v>رسائل التنظيف</x:v>
      </x:c>
    </x:row>
    <x:row r="6">
      <x:c r="A6" s="232" t="str">
        <x:v>CUST-0001</x:v>
      </x:c>
      <x:c r="B6" s="233" t="str">
        <x:v>create</x:v>
      </x:c>
      <x:c r="C6" s="234" t="str">
        <x:v>old-1388</x:v>
      </x:c>
      <x:c r="D6" s="233" t="str">
        <x:v>legacy_customers</x:v>
      </x:c>
      <x:c r="E6" s="233" t="n">
        <x:v>1</x:v>
      </x:c>
      <x:c r="F6" s="233" t="str">
        <x:v>دمشق</x:v>
      </x:c>
      <x:c r="G6" s="233" t="str">
        <x:v>أحمد</x:v>
      </x:c>
      <x:c r="H6" s="233" t="str">
        <x:v>خالد</x:v>
      </x:c>
      <x:c r="I6" s="233" t="str">
        <x:v>زيتون</x:v>
      </x:c>
      <x:c r="J6" s="233" t="str">
        <x:v>أبو أيوب</x:v>
      </x:c>
      <x:c r="K6" s="233" t="str">
        <x:f>TRIM(G6&amp;" "&amp;H6&amp;" "&amp;I6&amp;IF(J6&lt;&gt;""," ("&amp;J6&amp;")",""))</x:f>
        <x:v>أحمد خالد زيتون (أبو أيوب)</x:v>
      </x:c>
      <x:c r="L6" s="233" t="str">
        <x:v>mobile</x:v>
      </x:c>
      <x:c r="M6" s="234" t="str">
        <x:v>0912345678</x:v>
      </x:c>
      <x:c r="N6" s="233" t="str">
        <x:v>active</x:v>
      </x:c>
      <x:c r="O6" s="233" t="str">
        <x:v>TRUE</x:v>
      </x:c>
      <x:c r="P6" s="233" t="n">
        <x:v>10</x:v>
      </x:c>
      <x:c r="Q6" s="233" t="str">
        <x:v>دمشق</x:v>
      </x:c>
      <x:c r="R6" s="233" t="n">
        <x:v>24</x:v>
      </x:c>
      <x:c r="S6" s="233" t="str">
        <x:v>دمشق</x:v>
      </x:c>
      <x:c r="T6" s="233" t="n">
        <x:v>125</x:v>
      </x:c>
      <x:c r="U6" s="233" t="str">
        <x:v>المزة</x:v>
      </x:c>
      <x:c r="V6" s="233" t="str">
        <x:v>المزة - جانب الحديقة - بناء 12</x:v>
      </x:c>
      <x:c r="W6" s="235" t="n">
        <x:v>33.5102</x:v>
      </x:c>
      <x:c r="X6" s="235" t="n">
        <x:v>36.2784</x:v>
      </x:c>
      <x:c r="Y6" s="233" t="str">
        <x:v>PhoneCall</x:v>
      </x:c>
      <x:c r="Z6" s="233" t="str">
        <x:v>Personal</x:v>
      </x:c>
      <x:c r="AA6" s="233"/>
      <x:c r="AB6" s="233" t="str">
        <x:v>مستخدم النظام</x:v>
      </x:c>
      <x:c r="AC6" s="236" t="n">
        <x:v>46204</x:v>
      </x:c>
      <x:c r="AD6" s="233" t="str">
        <x:v>استيراد أولي</x:v>
      </x:c>
      <x:c r="AE6" s="233" t="str">
        <x:v>تأكد من العنوان</x:v>
      </x:c>
      <x:c r="AF6" s="233"/>
      <x:c r="AG6" s="233" t="str"/>
      <x:c r="AH6" s="234" t="str">
        <x:v>12,18</x:v>
      </x:c>
      <x:c r="AI6" s="233" t="str">
        <x:v>FALSE</x:v>
      </x:c>
      <x:c r="AJ6" s="233" t="str"/>
      <x:c r="AK6" s="233" t="str"/>
      <x:c r="AL6" s="236" t="str">
        <x:v>male</x:v>
      </x:c>
      <x:c r="AM6" s="233" t="n">
        <x:v>31179</x:v>
      </x:c>
      <x:c r="AN6" s="233" t="str">
        <x:v>فاطمة</x:v>
      </x:c>
      <x:c r="AO6" s="234" t="str">
        <x:v>01234567890</x:v>
      </x:c>
      <x:c r="AP6" s="234" t="str">
        <x:v>123</x:v>
      </x:c>
      <x:c r="AQ6" s="233" t="str">
        <x:v>دمشق</x:v>
      </x:c>
      <x:c r="AR6" s="236" t="n">
        <x:v>43845</x:v>
      </x:c>
      <x:c r="AS6" s="234" t="str">
        <x:v>45</x:v>
      </x:c>
      <x:c r="AT6" s="233" t="str">
        <x:v>موظف</x:v>
      </x:c>
      <x:c r="AU6" s="233" t="str"/>
      <x:c r="AV6" s="233" t="str">
        <x:v>شبكة</x:v>
      </x:c>
      <x:c r="AW6" s="233" t="str">
        <x:v>correct</x:v>
      </x:c>
      <x:c r="AX6" s="233" t="str">
        <x:v>Undefined</x:v>
      </x:c>
      <x:c r="AY6" s="233" t="str">
        <x:v>FALSE</x:v>
      </x:c>
      <x:c r="AZ6" s="236"/>
      <x:c r="BA6" s="233" t="str"/>
      <x:c r="BB6" s="233" t="str">
        <x:v>ملاحظة تجريبية</x:v>
      </x:c>
      <x:c r="BC6" s="233" t="str">
        <x:v>cleaned</x:v>
      </x:c>
      <x:c r="BD6" s="233" t="str">
        <x:v>صف مثال - احذفه قبل الاستيراد</x:v>
      </x:c>
      <x:c r="BE6" s="237" t="str">
        <x:f>IF(AND(A6="",B6="",C6="",E6="",G6="",I6="",M6="",T6="",BB6="",BD6=""),"",IF(B6="skip","SKIP",IF(OR(B6="",A6="",E6="",G6="",I6="",M6="",T6="",COUNTIF($A$6:$A$505,A6)&gt;1,COUNTIF($M$6:$M$505,M6)&gt;1,AND(L6="mobile",N6&lt;&gt;"invalid",OR(LEN(M6)&lt;&gt;10,LEFT(M6,2)&lt;&gt;"09"))),"REVIEW","READY")))</x:f>
        <x:v>REVIEW</x:v>
      </x:c>
      <x:c r="BF6" s="238" t="str">
        <x:f>IF(BE6="","",IF(BE6="READY","",IF(B6="skip","Skipped by import_action",TRIM(IF(B6="","missing import_action; ","")&amp;IF(A6="","missing migration_customer_key; ","")&amp;IF(AND(A6&lt;&gt;"",COUNTIF($A$6:$A$505,A6)&gt;1),"duplicate migration_customer_key; ","")&amp;IF(E6="","missing branch_id; ","")&amp;IF(G6="","missing first_name; ","")&amp;IF(I6="","missing last_name; ","")&amp;IF(M6="","missing primary_phone; ","")&amp;IF(AND(M6&lt;&gt;"",COUNTIF($M$6:$M$505,M6)&gt;1),"duplicate primary_phone; ","")&amp;IF(AND(L6="mobile",N6&lt;&gt;"invalid",OR(LEN(M6)&lt;&gt;10,LEFT(M6,2)&lt;&gt;"09")),"mobile must be 09XXXXXXXX or status invalid; ","")&amp;IF(T6="","missing neighborhood_id; ","")))))</x:f>
        <x:v>mobile must be 09XXXXXXXX or status invalid;</x:v>
      </x:c>
    </x:row>
    <x:row r="7">
      <x:c r="A7" s="232" t="str">
        <x:v>CUST-0002</x:v>
      </x:c>
      <x:c r="B7" s="233" t="str">
        <x:v>create</x:v>
      </x:c>
      <x:c r="C7" s="234" t="str">
        <x:v>old-1401</x:v>
      </x:c>
      <x:c r="D7" s="233" t="str">
        <x:v>legacy_excel</x:v>
      </x:c>
      <x:c r="E7" s="233" t="n">
        <x:v>2</x:v>
      </x:c>
      <x:c r="F7" s="233" t="str">
        <x:v>حلب</x:v>
      </x:c>
      <x:c r="G7" s="233" t="str">
        <x:v>سارة</x:v>
      </x:c>
      <x:c r="H7" s="233" t="str"/>
      <x:c r="I7" s="233" t="str">
        <x:v>حسن</x:v>
      </x:c>
      <x:c r="J7" s="233" t="str"/>
      <x:c r="K7" s="233" t="str">
        <x:f>TRIM(G7&amp;" "&amp;H7&amp;" "&amp;I7&amp;IF(J7&lt;&gt;""," ("&amp;J7&amp;")",""))</x:f>
        <x:v>سارة حسن</x:v>
      </x:c>
      <x:c r="L7" s="233" t="str">
        <x:v>mobile</x:v>
      </x:c>
      <x:c r="M7" s="234" t="str">
        <x:v>0998765432</x:v>
      </x:c>
      <x:c r="N7" s="233" t="str">
        <x:v>preferred</x:v>
      </x:c>
      <x:c r="O7" s="233" t="str">
        <x:v>TRUE</x:v>
      </x:c>
      <x:c r="P7" s="233" t="n">
        <x:v>11</x:v>
      </x:c>
      <x:c r="Q7" s="233" t="str">
        <x:v>حلب</x:v>
      </x:c>
      <x:c r="R7" s="233" t="n">
        <x:v>31</x:v>
      </x:c>
      <x:c r="S7" s="233" t="str">
        <x:v>حلب</x:v>
      </x:c>
      <x:c r="T7" s="233" t="n">
        <x:v>166</x:v>
      </x:c>
      <x:c r="U7" s="233" t="str">
        <x:v>الجميلية</x:v>
      </x:c>
      <x:c r="V7" s="233" t="str">
        <x:v>قرب الدوار</x:v>
      </x:c>
      <x:c r="W7" s="235"/>
      <x:c r="X7" s="235"/>
      <x:c r="Y7" s="233" t="str">
        <x:v>SocialMedia</x:v>
      </x:c>
      <x:c r="Z7" s="233" t="str">
        <x:v>Unknown</x:v>
      </x:c>
      <x:c r="AA7" s="233"/>
      <x:c r="AB7" s="233" t="str">
        <x:v>مجهول</x:v>
      </x:c>
      <x:c r="AC7" s="236"/>
      <x:c r="AD7" s="233" t="str"/>
      <x:c r="AE7" s="233" t="str"/>
      <x:c r="AF7" s="233"/>
      <x:c r="AG7" s="233" t="str"/>
      <x:c r="AH7" s="234" t="str"/>
      <x:c r="AI7" s="233" t="str">
        <x:v>FALSE</x:v>
      </x:c>
      <x:c r="AJ7" s="233" t="str"/>
      <x:c r="AK7" s="233" t="str"/>
      <x:c r="AL7" s="236" t="str">
        <x:v>female</x:v>
      </x:c>
      <x:c r="AM7" s="233"/>
      <x:c r="AN7" s="233" t="str"/>
      <x:c r="AO7" s="234" t="str"/>
      <x:c r="AP7" s="234" t="str"/>
      <x:c r="AQ7" s="233" t="str"/>
      <x:c r="AR7" s="236"/>
      <x:c r="AS7" s="234" t="str"/>
      <x:c r="AT7" s="233" t="str"/>
      <x:c r="AU7" s="233" t="str"/>
      <x:c r="AV7" s="233" t="str"/>
      <x:c r="AW7" s="233" t="str">
        <x:v>needs_edit</x:v>
      </x:c>
      <x:c r="AX7" s="233" t="str">
        <x:v>Undefined</x:v>
      </x:c>
      <x:c r="AY7" s="233" t="str">
        <x:v>FALSE</x:v>
      </x:c>
      <x:c r="AZ7" s="236"/>
      <x:c r="BA7" s="233" t="str"/>
      <x:c r="BB7" s="233" t="str">
        <x:v>تحتاج تأكيد الحي</x:v>
      </x:c>
      <x:c r="BC7" s="233" t="str">
        <x:v>review_needed</x:v>
      </x:c>
      <x:c r="BD7" s="233" t="str">
        <x:v>العنوان بحاجة مطابقة ID</x:v>
      </x:c>
      <x:c r="BE7" s="237" t="str">
        <x:f>IF(AND(A7="",B7="",C7="",E7="",G7="",I7="",M7="",T7="",BB7="",BD7=""),"",IF(B7="skip","SKIP",IF(OR(B7="",A7="",E7="",G7="",I7="",M7="",T7="",COUNTIF($A$6:$A$505,A7)&gt;1,COUNTIF($M$6:$M$505,M7)&gt;1,AND(L7="mobile",N7&lt;&gt;"invalid",OR(LEN(M7)&lt;&gt;10,LEFT(M7,2)&lt;&gt;"09"))),"REVIEW","READY")))</x:f>
        <x:v>REVIEW</x:v>
      </x:c>
      <x:c r="BF7" s="238" t="str">
        <x:f>IF(BE7="","",IF(BE7="READY","",IF(B7="skip","Skipped by import_action",TRIM(IF(B7="","missing import_action; ","")&amp;IF(A7="","missing migration_customer_key; ","")&amp;IF(AND(A7&lt;&gt;"",COUNTIF($A$6:$A$505,A7)&gt;1),"duplicate migration_customer_key; ","")&amp;IF(E7="","missing branch_id; ","")&amp;IF(G7="","missing first_name; ","")&amp;IF(I7="","missing last_name; ","")&amp;IF(M7="","missing primary_phone; ","")&amp;IF(AND(M7&lt;&gt;"",COUNTIF($M$6:$M$505,M7)&gt;1),"duplicate primary_phone; ","")&amp;IF(AND(L7="mobile",N7&lt;&gt;"invalid",OR(LEN(M7)&lt;&gt;10,LEFT(M7,2)&lt;&gt;"09")),"mobile must be 09XXXXXXXX or status invalid; ","")&amp;IF(T7="","missing neighborhood_id; ","")))))</x:f>
        <x:v>mobile must be 09XXXXXXXX or status invalid;</x:v>
      </x:c>
    </x:row>
    <x:row r="8">
      <x:c r="A8" s="232"/>
      <x:c r="B8" s="233"/>
      <x:c r="C8" s="234"/>
      <x:c r="D8" s="233"/>
      <x:c r="E8" s="233"/>
      <x:c r="F8" s="233"/>
      <x:c r="G8" s="233"/>
      <x:c r="H8" s="233"/>
      <x:c r="I8" s="233"/>
      <x:c r="J8" s="233"/>
      <x:c r="K8" s="233" t="str">
        <x:f>TRIM(G8&amp;" "&amp;H8&amp;" "&amp;I8&amp;IF(J8&lt;&gt;""," ("&amp;J8&amp;")",""))</x:f>
      </x:c>
      <x:c r="L8" s="233"/>
      <x:c r="M8" s="234"/>
      <x:c r="N8" s="233"/>
      <x:c r="O8" s="233"/>
      <x:c r="P8" s="233"/>
      <x:c r="Q8" s="233"/>
      <x:c r="R8" s="233"/>
      <x:c r="S8" s="233"/>
      <x:c r="T8" s="233"/>
      <x:c r="U8" s="233"/>
      <x:c r="V8" s="233"/>
      <x:c r="W8" s="235"/>
      <x:c r="X8" s="235"/>
      <x:c r="Y8" s="233"/>
      <x:c r="Z8" s="233"/>
      <x:c r="AA8" s="233"/>
      <x:c r="AB8" s="233"/>
      <x:c r="AC8" s="236"/>
      <x:c r="AD8" s="233"/>
      <x:c r="AE8" s="233"/>
      <x:c r="AF8" s="233"/>
      <x:c r="AG8" s="233"/>
      <x:c r="AH8" s="234"/>
      <x:c r="AI8" s="233"/>
      <x:c r="AJ8" s="233"/>
      <x:c r="AK8" s="233"/>
      <x:c r="AL8" s="236"/>
      <x:c r="AM8" s="233"/>
      <x:c r="AN8" s="233"/>
      <x:c r="AO8" s="234"/>
      <x:c r="AP8" s="234"/>
      <x:c r="AQ8" s="233"/>
      <x:c r="AR8" s="236"/>
      <x:c r="AS8" s="234"/>
      <x:c r="AT8" s="233"/>
      <x:c r="AU8" s="233"/>
      <x:c r="AV8" s="233"/>
      <x:c r="AW8" s="233"/>
      <x:c r="AX8" s="233"/>
      <x:c r="AY8" s="233"/>
      <x:c r="AZ8" s="236"/>
      <x:c r="BA8" s="233"/>
      <x:c r="BB8" s="233"/>
      <x:c r="BC8" s="233"/>
      <x:c r="BD8" s="233"/>
      <x:c r="BE8" s="237" t="str">
        <x:f>IF(AND(A8="",B8="",C8="",E8="",G8="",I8="",M8="",T8="",BB8="",BD8=""),"",IF(B8="skip","SKIP",IF(OR(B8="",A8="",E8="",G8="",I8="",M8="",T8="",COUNTIF($A$6:$A$505,A8)&gt;1,COUNTIF($M$6:$M$505,M8)&gt;1,AND(L8="mobile",N8&lt;&gt;"invalid",OR(LEN(M8)&lt;&gt;10,LEFT(M8,2)&lt;&gt;"09"))),"REVIEW","READY")))</x:f>
      </x:c>
      <x:c r="BF8" s="238" t="str">
        <x:f>IF(BE8="","",IF(BE8="READY","",IF(B8="skip","Skipped by import_action",TRIM(IF(B8="","missing import_action; ","")&amp;IF(A8="","missing migration_customer_key; ","")&amp;IF(AND(A8&lt;&gt;"",COUNTIF($A$6:$A$505,A8)&gt;1),"duplicate migration_customer_key; ","")&amp;IF(E8="","missing branch_id; ","")&amp;IF(G8="","missing first_name; ","")&amp;IF(I8="","missing last_name; ","")&amp;IF(M8="","missing primary_phone; ","")&amp;IF(AND(M8&lt;&gt;"",COUNTIF($M$6:$M$505,M8)&gt;1),"duplicate primary_phone; ","")&amp;IF(AND(L8="mobile",N8&lt;&gt;"invalid",OR(LEN(M8)&lt;&gt;10,LEFT(M8,2)&lt;&gt;"09")),"mobile must be 09XXXXXXXX or status invalid; ","")&amp;IF(T8="","missing neighborhood_id; ","")))))</x:f>
      </x:c>
    </x:row>
    <x:row r="9">
      <x:c r="A9" s="232"/>
      <x:c r="B9" s="233"/>
      <x:c r="C9" s="234"/>
      <x:c r="D9" s="233"/>
      <x:c r="E9" s="233"/>
      <x:c r="F9" s="233"/>
      <x:c r="G9" s="233"/>
      <x:c r="H9" s="233"/>
      <x:c r="I9" s="233"/>
      <x:c r="J9" s="233"/>
      <x:c r="K9" s="233" t="str">
        <x:f>TRIM(G9&amp;" "&amp;H9&amp;" "&amp;I9&amp;IF(J9&lt;&gt;""," ("&amp;J9&amp;")",""))</x:f>
      </x:c>
      <x:c r="L9" s="233"/>
      <x:c r="M9" s="234"/>
      <x:c r="N9" s="233"/>
      <x:c r="O9" s="233"/>
      <x:c r="P9" s="233"/>
      <x:c r="Q9" s="233"/>
      <x:c r="R9" s="233"/>
      <x:c r="S9" s="233"/>
      <x:c r="T9" s="233"/>
      <x:c r="U9" s="233"/>
      <x:c r="V9" s="233"/>
      <x:c r="W9" s="235"/>
      <x:c r="X9" s="235"/>
      <x:c r="Y9" s="233"/>
      <x:c r="Z9" s="233"/>
      <x:c r="AA9" s="233"/>
      <x:c r="AB9" s="233"/>
      <x:c r="AC9" s="236"/>
      <x:c r="AD9" s="233"/>
      <x:c r="AE9" s="233"/>
      <x:c r="AF9" s="233"/>
      <x:c r="AG9" s="233"/>
      <x:c r="AH9" s="234"/>
      <x:c r="AI9" s="233"/>
      <x:c r="AJ9" s="233"/>
      <x:c r="AK9" s="233"/>
      <x:c r="AL9" s="236"/>
      <x:c r="AM9" s="233"/>
      <x:c r="AN9" s="233"/>
      <x:c r="AO9" s="234"/>
      <x:c r="AP9" s="234"/>
      <x:c r="AQ9" s="233"/>
      <x:c r="AR9" s="236"/>
      <x:c r="AS9" s="234"/>
      <x:c r="AT9" s="233"/>
      <x:c r="AU9" s="233"/>
      <x:c r="AV9" s="233"/>
      <x:c r="AW9" s="233"/>
      <x:c r="AX9" s="233"/>
      <x:c r="AY9" s="233"/>
      <x:c r="AZ9" s="236"/>
      <x:c r="BA9" s="233"/>
      <x:c r="BB9" s="233"/>
      <x:c r="BC9" s="233"/>
      <x:c r="BD9" s="233"/>
      <x:c r="BE9" s="237" t="str">
        <x:f>IF(AND(A9="",B9="",C9="",E9="",G9="",I9="",M9="",T9="",BB9="",BD9=""),"",IF(B9="skip","SKIP",IF(OR(B9="",A9="",E9="",G9="",I9="",M9="",T9="",COUNTIF($A$6:$A$505,A9)&gt;1,COUNTIF($M$6:$M$505,M9)&gt;1,AND(L9="mobile",N9&lt;&gt;"invalid",OR(LEN(M9)&lt;&gt;10,LEFT(M9,2)&lt;&gt;"09"))),"REVIEW","READY")))</x:f>
      </x:c>
      <x:c r="BF9" s="238" t="str">
        <x:f>IF(BE9="","",IF(BE9="READY","",IF(B9="skip","Skipped by import_action",TRIM(IF(B9="","missing import_action; ","")&amp;IF(A9="","missing migration_customer_key; ","")&amp;IF(AND(A9&lt;&gt;"",COUNTIF($A$6:$A$505,A9)&gt;1),"duplicate migration_customer_key; ","")&amp;IF(E9="","missing branch_id; ","")&amp;IF(G9="","missing first_name; ","")&amp;IF(I9="","missing last_name; ","")&amp;IF(M9="","missing primary_phone; ","")&amp;IF(AND(M9&lt;&gt;"",COUNTIF($M$6:$M$505,M9)&gt;1),"duplicate primary_phone; ","")&amp;IF(AND(L9="mobile",N9&lt;&gt;"invalid",OR(LEN(M9)&lt;&gt;10,LEFT(M9,2)&lt;&gt;"09")),"mobile must be 09XXXXXXXX or status invalid; ","")&amp;IF(T9="","missing neighborhood_id; ","")))))</x:f>
      </x:c>
    </x:row>
    <x:row r="10">
      <x:c r="A10" s="232"/>
      <x:c r="B10" s="233"/>
      <x:c r="C10" s="234"/>
      <x:c r="D10" s="233"/>
      <x:c r="E10" s="233"/>
      <x:c r="F10" s="233"/>
      <x:c r="G10" s="233"/>
      <x:c r="H10" s="233"/>
      <x:c r="I10" s="233"/>
      <x:c r="J10" s="233"/>
      <x:c r="K10" s="233" t="str">
        <x:f>TRIM(G10&amp;" "&amp;H10&amp;" "&amp;I10&amp;IF(J10&lt;&gt;""," ("&amp;J10&amp;")",""))</x:f>
      </x:c>
      <x:c r="L10" s="233"/>
      <x:c r="M10" s="234"/>
      <x:c r="N10" s="233"/>
      <x:c r="O10" s="233"/>
      <x:c r="P10" s="233"/>
      <x:c r="Q10" s="233"/>
      <x:c r="R10" s="233"/>
      <x:c r="S10" s="233"/>
      <x:c r="T10" s="233"/>
      <x:c r="U10" s="233"/>
      <x:c r="V10" s="233"/>
      <x:c r="W10" s="235"/>
      <x:c r="X10" s="235"/>
      <x:c r="Y10" s="233"/>
      <x:c r="Z10" s="233"/>
      <x:c r="AA10" s="233"/>
      <x:c r="AB10" s="233"/>
      <x:c r="AC10" s="236"/>
      <x:c r="AD10" s="233"/>
      <x:c r="AE10" s="233"/>
      <x:c r="AF10" s="233"/>
      <x:c r="AG10" s="233"/>
      <x:c r="AH10" s="234"/>
      <x:c r="AI10" s="233"/>
      <x:c r="AJ10" s="233"/>
      <x:c r="AK10" s="233"/>
      <x:c r="AL10" s="236"/>
      <x:c r="AM10" s="233"/>
      <x:c r="AN10" s="233"/>
      <x:c r="AO10" s="234"/>
      <x:c r="AP10" s="234"/>
      <x:c r="AQ10" s="233"/>
      <x:c r="AR10" s="236"/>
      <x:c r="AS10" s="234"/>
      <x:c r="AT10" s="233"/>
      <x:c r="AU10" s="233"/>
      <x:c r="AV10" s="233"/>
      <x:c r="AW10" s="233"/>
      <x:c r="AX10" s="233"/>
      <x:c r="AY10" s="233"/>
      <x:c r="AZ10" s="236"/>
      <x:c r="BA10" s="233"/>
      <x:c r="BB10" s="233"/>
      <x:c r="BC10" s="233"/>
      <x:c r="BD10" s="233"/>
      <x:c r="BE10" s="237" t="str">
        <x:f>IF(AND(A10="",B10="",C10="",E10="",G10="",I10="",M10="",T10="",BB10="",BD10=""),"",IF(B10="skip","SKIP",IF(OR(B10="",A10="",E10="",G10="",I10="",M10="",T10="",COUNTIF($A$6:$A$505,A10)&gt;1,COUNTIF($M$6:$M$505,M10)&gt;1,AND(L10="mobile",N10&lt;&gt;"invalid",OR(LEN(M10)&lt;&gt;10,LEFT(M10,2)&lt;&gt;"09"))),"REVIEW","READY")))</x:f>
      </x:c>
      <x:c r="BF10" s="238" t="str">
        <x:f>IF(BE10="","",IF(BE10="READY","",IF(B10="skip","Skipped by import_action",TRIM(IF(B10="","missing import_action; ","")&amp;IF(A10="","missing migration_customer_key; ","")&amp;IF(AND(A10&lt;&gt;"",COUNTIF($A$6:$A$505,A10)&gt;1),"duplicate migration_customer_key; ","")&amp;IF(E10="","missing branch_id; ","")&amp;IF(G10="","missing first_name; ","")&amp;IF(I10="","missing last_name; ","")&amp;IF(M10="","missing primary_phone; ","")&amp;IF(AND(M10&lt;&gt;"",COUNTIF($M$6:$M$505,M10)&gt;1),"duplicate primary_phone; ","")&amp;IF(AND(L10="mobile",N10&lt;&gt;"invalid",OR(LEN(M10)&lt;&gt;10,LEFT(M10,2)&lt;&gt;"09")),"mobile must be 09XXXXXXXX or status invalid; ","")&amp;IF(T10="","missing neighborhood_id; ","")))))</x:f>
      </x:c>
    </x:row>
    <x:row r="11">
      <x:c r="A11" s="232"/>
      <x:c r="B11" s="233"/>
      <x:c r="C11" s="234"/>
      <x:c r="D11" s="233"/>
      <x:c r="E11" s="233"/>
      <x:c r="F11" s="233"/>
      <x:c r="G11" s="233"/>
      <x:c r="H11" s="233"/>
      <x:c r="I11" s="233"/>
      <x:c r="J11" s="233"/>
      <x:c r="K11" s="233" t="str">
        <x:f>TRIM(G11&amp;" "&amp;H11&amp;" "&amp;I11&amp;IF(J11&lt;&gt;""," ("&amp;J11&amp;")",""))</x:f>
      </x:c>
      <x:c r="L11" s="233"/>
      <x:c r="M11" s="234"/>
      <x:c r="N11" s="233"/>
      <x:c r="O11" s="233"/>
      <x:c r="P11" s="233"/>
      <x:c r="Q11" s="233"/>
      <x:c r="R11" s="233"/>
      <x:c r="S11" s="233"/>
      <x:c r="T11" s="233"/>
      <x:c r="U11" s="233"/>
      <x:c r="V11" s="233"/>
      <x:c r="W11" s="235"/>
      <x:c r="X11" s="235"/>
      <x:c r="Y11" s="233"/>
      <x:c r="Z11" s="233"/>
      <x:c r="AA11" s="233"/>
      <x:c r="AB11" s="233"/>
      <x:c r="AC11" s="236"/>
      <x:c r="AD11" s="233"/>
      <x:c r="AE11" s="233"/>
      <x:c r="AF11" s="233"/>
      <x:c r="AG11" s="233"/>
      <x:c r="AH11" s="234"/>
      <x:c r="AI11" s="233"/>
      <x:c r="AJ11" s="233"/>
      <x:c r="AK11" s="233"/>
      <x:c r="AL11" s="236"/>
      <x:c r="AM11" s="233"/>
      <x:c r="AN11" s="233"/>
      <x:c r="AO11" s="234"/>
      <x:c r="AP11" s="234"/>
      <x:c r="AQ11" s="233"/>
      <x:c r="AR11" s="236"/>
      <x:c r="AS11" s="234"/>
      <x:c r="AT11" s="233"/>
      <x:c r="AU11" s="233"/>
      <x:c r="AV11" s="233"/>
      <x:c r="AW11" s="233"/>
      <x:c r="AX11" s="233"/>
      <x:c r="AY11" s="233"/>
      <x:c r="AZ11" s="236"/>
      <x:c r="BA11" s="233"/>
      <x:c r="BB11" s="233"/>
      <x:c r="BC11" s="233"/>
      <x:c r="BD11" s="233"/>
      <x:c r="BE11" s="237" t="str">
        <x:f>IF(AND(A11="",B11="",C11="",E11="",G11="",I11="",M11="",T11="",BB11="",BD11=""),"",IF(B11="skip","SKIP",IF(OR(B11="",A11="",E11="",G11="",I11="",M11="",T11="",COUNTIF($A$6:$A$505,A11)&gt;1,COUNTIF($M$6:$M$505,M11)&gt;1,AND(L11="mobile",N11&lt;&gt;"invalid",OR(LEN(M11)&lt;&gt;10,LEFT(M11,2)&lt;&gt;"09"))),"REVIEW","READY")))</x:f>
      </x:c>
      <x:c r="BF11" s="238" t="str">
        <x:f>IF(BE11="","",IF(BE11="READY","",IF(B11="skip","Skipped by import_action",TRIM(IF(B11="","missing import_action; ","")&amp;IF(A11="","missing migration_customer_key; ","")&amp;IF(AND(A11&lt;&gt;"",COUNTIF($A$6:$A$505,A11)&gt;1),"duplicate migration_customer_key; ","")&amp;IF(E11="","missing branch_id; ","")&amp;IF(G11="","missing first_name; ","")&amp;IF(I11="","missing last_name; ","")&amp;IF(M11="","missing primary_phone; ","")&amp;IF(AND(M11&lt;&gt;"",COUNTIF($M$6:$M$505,M11)&gt;1),"duplicate primary_phone; ","")&amp;IF(AND(L11="mobile",N11&lt;&gt;"invalid",OR(LEN(M11)&lt;&gt;10,LEFT(M11,2)&lt;&gt;"09")),"mobile must be 09XXXXXXXX or status invalid; ","")&amp;IF(T11="","missing neighborhood_id; ","")))))</x:f>
      </x:c>
    </x:row>
    <x:row r="12">
      <x:c r="A12" s="232"/>
      <x:c r="B12" s="233"/>
      <x:c r="C12" s="234"/>
      <x:c r="D12" s="233"/>
      <x:c r="E12" s="233"/>
      <x:c r="F12" s="233"/>
      <x:c r="G12" s="233"/>
      <x:c r="H12" s="233"/>
      <x:c r="I12" s="233"/>
      <x:c r="J12" s="233"/>
      <x:c r="K12" s="233" t="str">
        <x:f>TRIM(G12&amp;" "&amp;H12&amp;" "&amp;I12&amp;IF(J12&lt;&gt;""," ("&amp;J12&amp;")",""))</x:f>
      </x:c>
      <x:c r="L12" s="233"/>
      <x:c r="M12" s="234"/>
      <x:c r="N12" s="233"/>
      <x:c r="O12" s="233"/>
      <x:c r="P12" s="233"/>
      <x:c r="Q12" s="233"/>
      <x:c r="R12" s="233"/>
      <x:c r="S12" s="233"/>
      <x:c r="T12" s="233"/>
      <x:c r="U12" s="233"/>
      <x:c r="V12" s="233"/>
      <x:c r="W12" s="235"/>
      <x:c r="X12" s="235"/>
      <x:c r="Y12" s="233"/>
      <x:c r="Z12" s="233"/>
      <x:c r="AA12" s="233"/>
      <x:c r="AB12" s="233"/>
      <x:c r="AC12" s="236"/>
      <x:c r="AD12" s="233"/>
      <x:c r="AE12" s="233"/>
      <x:c r="AF12" s="233"/>
      <x:c r="AG12" s="233"/>
      <x:c r="AH12" s="234"/>
      <x:c r="AI12" s="233"/>
      <x:c r="AJ12" s="233"/>
      <x:c r="AK12" s="233"/>
      <x:c r="AL12" s="236"/>
      <x:c r="AM12" s="233"/>
      <x:c r="AN12" s="233"/>
      <x:c r="AO12" s="234"/>
      <x:c r="AP12" s="234"/>
      <x:c r="AQ12" s="233"/>
      <x:c r="AR12" s="236"/>
      <x:c r="AS12" s="234"/>
      <x:c r="AT12" s="233"/>
      <x:c r="AU12" s="233"/>
      <x:c r="AV12" s="233"/>
      <x:c r="AW12" s="233"/>
      <x:c r="AX12" s="233"/>
      <x:c r="AY12" s="233"/>
      <x:c r="AZ12" s="236"/>
      <x:c r="BA12" s="233"/>
      <x:c r="BB12" s="233"/>
      <x:c r="BC12" s="233"/>
      <x:c r="BD12" s="233"/>
      <x:c r="BE12" s="237" t="str">
        <x:f>IF(AND(A12="",B12="",C12="",E12="",G12="",I12="",M12="",T12="",BB12="",BD12=""),"",IF(B12="skip","SKIP",IF(OR(B12="",A12="",E12="",G12="",I12="",M12="",T12="",COUNTIF($A$6:$A$505,A12)&gt;1,COUNTIF($M$6:$M$505,M12)&gt;1,AND(L12="mobile",N12&lt;&gt;"invalid",OR(LEN(M12)&lt;&gt;10,LEFT(M12,2)&lt;&gt;"09"))),"REVIEW","READY")))</x:f>
      </x:c>
      <x:c r="BF12" s="238" t="str">
        <x:f>IF(BE12="","",IF(BE12="READY","",IF(B12="skip","Skipped by import_action",TRIM(IF(B12="","missing import_action; ","")&amp;IF(A12="","missing migration_customer_key; ","")&amp;IF(AND(A12&lt;&gt;"",COUNTIF($A$6:$A$505,A12)&gt;1),"duplicate migration_customer_key; ","")&amp;IF(E12="","missing branch_id; ","")&amp;IF(G12="","missing first_name; ","")&amp;IF(I12="","missing last_name; ","")&amp;IF(M12="","missing primary_phone; ","")&amp;IF(AND(M12&lt;&gt;"",COUNTIF($M$6:$M$505,M12)&gt;1),"duplicate primary_phone; ","")&amp;IF(AND(L12="mobile",N12&lt;&gt;"invalid",OR(LEN(M12)&lt;&gt;10,LEFT(M12,2)&lt;&gt;"09")),"mobile must be 09XXXXXXXX or status invalid; ","")&amp;IF(T12="","missing neighborhood_id; ","")))))</x:f>
      </x:c>
    </x:row>
    <x:row r="13">
      <x:c r="A13" s="232"/>
      <x:c r="B13" s="233"/>
      <x:c r="C13" s="234"/>
      <x:c r="D13" s="233"/>
      <x:c r="E13" s="233"/>
      <x:c r="F13" s="233"/>
      <x:c r="G13" s="233"/>
      <x:c r="H13" s="233"/>
      <x:c r="I13" s="233"/>
      <x:c r="J13" s="233"/>
      <x:c r="K13" s="233" t="str">
        <x:f>TRIM(G13&amp;" "&amp;H13&amp;" "&amp;I13&amp;IF(J13&lt;&gt;""," ("&amp;J13&amp;")",""))</x:f>
      </x:c>
      <x:c r="L13" s="233"/>
      <x:c r="M13" s="234"/>
      <x:c r="N13" s="233"/>
      <x:c r="O13" s="233"/>
      <x:c r="P13" s="233"/>
      <x:c r="Q13" s="233"/>
      <x:c r="R13" s="233"/>
      <x:c r="S13" s="233"/>
      <x:c r="T13" s="233"/>
      <x:c r="U13" s="233"/>
      <x:c r="V13" s="233"/>
      <x:c r="W13" s="235"/>
      <x:c r="X13" s="235"/>
      <x:c r="Y13" s="233"/>
      <x:c r="Z13" s="233"/>
      <x:c r="AA13" s="233"/>
      <x:c r="AB13" s="233"/>
      <x:c r="AC13" s="236"/>
      <x:c r="AD13" s="233"/>
      <x:c r="AE13" s="233"/>
      <x:c r="AF13" s="233"/>
      <x:c r="AG13" s="233"/>
      <x:c r="AH13" s="234"/>
      <x:c r="AI13" s="233"/>
      <x:c r="AJ13" s="233"/>
      <x:c r="AK13" s="233"/>
      <x:c r="AL13" s="236"/>
      <x:c r="AM13" s="233"/>
      <x:c r="AN13" s="233"/>
      <x:c r="AO13" s="234"/>
      <x:c r="AP13" s="234"/>
      <x:c r="AQ13" s="233"/>
      <x:c r="AR13" s="236"/>
      <x:c r="AS13" s="234"/>
      <x:c r="AT13" s="233"/>
      <x:c r="AU13" s="233"/>
      <x:c r="AV13" s="233"/>
      <x:c r="AW13" s="233"/>
      <x:c r="AX13" s="233"/>
      <x:c r="AY13" s="233"/>
      <x:c r="AZ13" s="236"/>
      <x:c r="BA13" s="233"/>
      <x:c r="BB13" s="233"/>
      <x:c r="BC13" s="233"/>
      <x:c r="BD13" s="233"/>
      <x:c r="BE13" s="237" t="str">
        <x:f>IF(AND(A13="",B13="",C13="",E13="",G13="",I13="",M13="",T13="",BB13="",BD13=""),"",IF(B13="skip","SKIP",IF(OR(B13="",A13="",E13="",G13="",I13="",M13="",T13="",COUNTIF($A$6:$A$505,A13)&gt;1,COUNTIF($M$6:$M$505,M13)&gt;1,AND(L13="mobile",N13&lt;&gt;"invalid",OR(LEN(M13)&lt;&gt;10,LEFT(M13,2)&lt;&gt;"09"))),"REVIEW","READY")))</x:f>
      </x:c>
      <x:c r="BF13" s="238" t="str">
        <x:f>IF(BE13="","",IF(BE13="READY","",IF(B13="skip","Skipped by import_action",TRIM(IF(B13="","missing import_action; ","")&amp;IF(A13="","missing migration_customer_key; ","")&amp;IF(AND(A13&lt;&gt;"",COUNTIF($A$6:$A$505,A13)&gt;1),"duplicate migration_customer_key; ","")&amp;IF(E13="","missing branch_id; ","")&amp;IF(G13="","missing first_name; ","")&amp;IF(I13="","missing last_name; ","")&amp;IF(M13="","missing primary_phone; ","")&amp;IF(AND(M13&lt;&gt;"",COUNTIF($M$6:$M$505,M13)&gt;1),"duplicate primary_phone; ","")&amp;IF(AND(L13="mobile",N13&lt;&gt;"invalid",OR(LEN(M13)&lt;&gt;10,LEFT(M13,2)&lt;&gt;"09")),"mobile must be 09XXXXXXXX or status invalid; ","")&amp;IF(T13="","missing neighborhood_id; ","")))))</x:f>
      </x:c>
    </x:row>
    <x:row r="14">
      <x:c r="A14" s="232"/>
      <x:c r="B14" s="233"/>
      <x:c r="C14" s="234"/>
      <x:c r="D14" s="233"/>
      <x:c r="E14" s="233"/>
      <x:c r="F14" s="233"/>
      <x:c r="G14" s="233"/>
      <x:c r="H14" s="233"/>
      <x:c r="I14" s="233"/>
      <x:c r="J14" s="233"/>
      <x:c r="K14" s="233" t="str">
        <x:f>TRIM(G14&amp;" "&amp;H14&amp;" "&amp;I14&amp;IF(J14&lt;&gt;""," ("&amp;J14&amp;")",""))</x:f>
      </x:c>
      <x:c r="L14" s="233"/>
      <x:c r="M14" s="234"/>
      <x:c r="N14" s="233"/>
      <x:c r="O14" s="233"/>
      <x:c r="P14" s="233"/>
      <x:c r="Q14" s="233"/>
      <x:c r="R14" s="233"/>
      <x:c r="S14" s="233"/>
      <x:c r="T14" s="233"/>
      <x:c r="U14" s="233"/>
      <x:c r="V14" s="233"/>
      <x:c r="W14" s="235"/>
      <x:c r="X14" s="235"/>
      <x:c r="Y14" s="233"/>
      <x:c r="Z14" s="233"/>
      <x:c r="AA14" s="233"/>
      <x:c r="AB14" s="233"/>
      <x:c r="AC14" s="236"/>
      <x:c r="AD14" s="233"/>
      <x:c r="AE14" s="233"/>
      <x:c r="AF14" s="233"/>
      <x:c r="AG14" s="233"/>
      <x:c r="AH14" s="234"/>
      <x:c r="AI14" s="233"/>
      <x:c r="AJ14" s="233"/>
      <x:c r="AK14" s="233"/>
      <x:c r="AL14" s="236"/>
      <x:c r="AM14" s="233"/>
      <x:c r="AN14" s="233"/>
      <x:c r="AO14" s="234"/>
      <x:c r="AP14" s="234"/>
      <x:c r="AQ14" s="233"/>
      <x:c r="AR14" s="236"/>
      <x:c r="AS14" s="234"/>
      <x:c r="AT14" s="233"/>
      <x:c r="AU14" s="233"/>
      <x:c r="AV14" s="233"/>
      <x:c r="AW14" s="233"/>
      <x:c r="AX14" s="233"/>
      <x:c r="AY14" s="233"/>
      <x:c r="AZ14" s="236"/>
      <x:c r="BA14" s="233"/>
      <x:c r="BB14" s="233"/>
      <x:c r="BC14" s="233"/>
      <x:c r="BD14" s="233"/>
      <x:c r="BE14" s="237" t="str">
        <x:f>IF(AND(A14="",B14="",C14="",E14="",G14="",I14="",M14="",T14="",BB14="",BD14=""),"",IF(B14="skip","SKIP",IF(OR(B14="",A14="",E14="",G14="",I14="",M14="",T14="",COUNTIF($A$6:$A$505,A14)&gt;1,COUNTIF($M$6:$M$505,M14)&gt;1,AND(L14="mobile",N14&lt;&gt;"invalid",OR(LEN(M14)&lt;&gt;10,LEFT(M14,2)&lt;&gt;"09"))),"REVIEW","READY")))</x:f>
      </x:c>
      <x:c r="BF14" s="238" t="str">
        <x:f>IF(BE14="","",IF(BE14="READY","",IF(B14="skip","Skipped by import_action",TRIM(IF(B14="","missing import_action; ","")&amp;IF(A14="","missing migration_customer_key; ","")&amp;IF(AND(A14&lt;&gt;"",COUNTIF($A$6:$A$505,A14)&gt;1),"duplicate migration_customer_key; ","")&amp;IF(E14="","missing branch_id; ","")&amp;IF(G14="","missing first_name; ","")&amp;IF(I14="","missing last_name; ","")&amp;IF(M14="","missing primary_phone; ","")&amp;IF(AND(M14&lt;&gt;"",COUNTIF($M$6:$M$505,M14)&gt;1),"duplicate primary_phone; ","")&amp;IF(AND(L14="mobile",N14&lt;&gt;"invalid",OR(LEN(M14)&lt;&gt;10,LEFT(M14,2)&lt;&gt;"09")),"mobile must be 09XXXXXXXX or status invalid; ","")&amp;IF(T14="","missing neighborhood_id; ","")))))</x:f>
      </x:c>
    </x:row>
    <x:row r="15">
      <x:c r="A15" s="232"/>
      <x:c r="B15" s="233"/>
      <x:c r="C15" s="234"/>
      <x:c r="D15" s="233"/>
      <x:c r="E15" s="233"/>
      <x:c r="F15" s="233"/>
      <x:c r="G15" s="233"/>
      <x:c r="H15" s="233"/>
      <x:c r="I15" s="233"/>
      <x:c r="J15" s="233"/>
      <x:c r="K15" s="233" t="str">
        <x:f>TRIM(G15&amp;" "&amp;H15&amp;" "&amp;I15&amp;IF(J15&lt;&gt;""," ("&amp;J15&amp;")",""))</x:f>
      </x:c>
      <x:c r="L15" s="233"/>
      <x:c r="M15" s="234"/>
      <x:c r="N15" s="233"/>
      <x:c r="O15" s="233"/>
      <x:c r="P15" s="233"/>
      <x:c r="Q15" s="233"/>
      <x:c r="R15" s="233"/>
      <x:c r="S15" s="233"/>
      <x:c r="T15" s="233"/>
      <x:c r="U15" s="233"/>
      <x:c r="V15" s="233"/>
      <x:c r="W15" s="235"/>
      <x:c r="X15" s="235"/>
      <x:c r="Y15" s="233"/>
      <x:c r="Z15" s="233"/>
      <x:c r="AA15" s="233"/>
      <x:c r="AB15" s="233"/>
      <x:c r="AC15" s="236"/>
      <x:c r="AD15" s="233"/>
      <x:c r="AE15" s="233"/>
      <x:c r="AF15" s="233"/>
      <x:c r="AG15" s="233"/>
      <x:c r="AH15" s="234"/>
      <x:c r="AI15" s="233"/>
      <x:c r="AJ15" s="233"/>
      <x:c r="AK15" s="233"/>
      <x:c r="AL15" s="236"/>
      <x:c r="AM15" s="233"/>
      <x:c r="AN15" s="233"/>
      <x:c r="AO15" s="234"/>
      <x:c r="AP15" s="234"/>
      <x:c r="AQ15" s="233"/>
      <x:c r="AR15" s="236"/>
      <x:c r="AS15" s="234"/>
      <x:c r="AT15" s="233"/>
      <x:c r="AU15" s="233"/>
      <x:c r="AV15" s="233"/>
      <x:c r="AW15" s="233"/>
      <x:c r="AX15" s="233"/>
      <x:c r="AY15" s="233"/>
      <x:c r="AZ15" s="236"/>
      <x:c r="BA15" s="233"/>
      <x:c r="BB15" s="233"/>
      <x:c r="BC15" s="233"/>
      <x:c r="BD15" s="233"/>
      <x:c r="BE15" s="237" t="str">
        <x:f>IF(AND(A15="",B15="",C15="",E15="",G15="",I15="",M15="",T15="",BB15="",BD15=""),"",IF(B15="skip","SKIP",IF(OR(B15="",A15="",E15="",G15="",I15="",M15="",T15="",COUNTIF($A$6:$A$505,A15)&gt;1,COUNTIF($M$6:$M$505,M15)&gt;1,AND(L15="mobile",N15&lt;&gt;"invalid",OR(LEN(M15)&lt;&gt;10,LEFT(M15,2)&lt;&gt;"09"))),"REVIEW","READY")))</x:f>
      </x:c>
      <x:c r="BF15" s="238" t="str">
        <x:f>IF(BE15="","",IF(BE15="READY","",IF(B15="skip","Skipped by import_action",TRIM(IF(B15="","missing import_action; ","")&amp;IF(A15="","missing migration_customer_key; ","")&amp;IF(AND(A15&lt;&gt;"",COUNTIF($A$6:$A$505,A15)&gt;1),"duplicate migration_customer_key; ","")&amp;IF(E15="","missing branch_id; ","")&amp;IF(G15="","missing first_name; ","")&amp;IF(I15="","missing last_name; ","")&amp;IF(M15="","missing primary_phone; ","")&amp;IF(AND(M15&lt;&gt;"",COUNTIF($M$6:$M$505,M15)&gt;1),"duplicate primary_phone; ","")&amp;IF(AND(L15="mobile",N15&lt;&gt;"invalid",OR(LEN(M15)&lt;&gt;10,LEFT(M15,2)&lt;&gt;"09")),"mobile must be 09XXXXXXXX or status invalid; ","")&amp;IF(T15="","missing neighborhood_id; ","")))))</x:f>
      </x:c>
    </x:row>
    <x:row r="16">
      <x:c r="A16" s="232"/>
      <x:c r="B16" s="233"/>
      <x:c r="C16" s="234"/>
      <x:c r="D16" s="233"/>
      <x:c r="E16" s="233"/>
      <x:c r="F16" s="233"/>
      <x:c r="G16" s="233"/>
      <x:c r="H16" s="233"/>
      <x:c r="I16" s="233"/>
      <x:c r="J16" s="233"/>
      <x:c r="K16" s="233" t="str">
        <x:f>TRIM(G16&amp;" "&amp;H16&amp;" "&amp;I16&amp;IF(J16&lt;&gt;""," ("&amp;J16&amp;")",""))</x:f>
      </x:c>
      <x:c r="L16" s="233"/>
      <x:c r="M16" s="234"/>
      <x:c r="N16" s="233"/>
      <x:c r="O16" s="233"/>
      <x:c r="P16" s="233"/>
      <x:c r="Q16" s="233"/>
      <x:c r="R16" s="233"/>
      <x:c r="S16" s="233"/>
      <x:c r="T16" s="233"/>
      <x:c r="U16" s="233"/>
      <x:c r="V16" s="233"/>
      <x:c r="W16" s="235"/>
      <x:c r="X16" s="235"/>
      <x:c r="Y16" s="233"/>
      <x:c r="Z16" s="233"/>
      <x:c r="AA16" s="233"/>
      <x:c r="AB16" s="233"/>
      <x:c r="AC16" s="236"/>
      <x:c r="AD16" s="233"/>
      <x:c r="AE16" s="233"/>
      <x:c r="AF16" s="233"/>
      <x:c r="AG16" s="233"/>
      <x:c r="AH16" s="234"/>
      <x:c r="AI16" s="233"/>
      <x:c r="AJ16" s="233"/>
      <x:c r="AK16" s="233"/>
      <x:c r="AL16" s="236"/>
      <x:c r="AM16" s="233"/>
      <x:c r="AN16" s="233"/>
      <x:c r="AO16" s="234"/>
      <x:c r="AP16" s="234"/>
      <x:c r="AQ16" s="233"/>
      <x:c r="AR16" s="236"/>
      <x:c r="AS16" s="234"/>
      <x:c r="AT16" s="233"/>
      <x:c r="AU16" s="233"/>
      <x:c r="AV16" s="233"/>
      <x:c r="AW16" s="233"/>
      <x:c r="AX16" s="233"/>
      <x:c r="AY16" s="233"/>
      <x:c r="AZ16" s="236"/>
      <x:c r="BA16" s="233"/>
      <x:c r="BB16" s="233"/>
      <x:c r="BC16" s="233"/>
      <x:c r="BD16" s="233"/>
      <x:c r="BE16" s="237" t="str">
        <x:f>IF(AND(A16="",B16="",C16="",E16="",G16="",I16="",M16="",T16="",BB16="",BD16=""),"",IF(B16="skip","SKIP",IF(OR(B16="",A16="",E16="",G16="",I16="",M16="",T16="",COUNTIF($A$6:$A$505,A16)&gt;1,COUNTIF($M$6:$M$505,M16)&gt;1,AND(L16="mobile",N16&lt;&gt;"invalid",OR(LEN(M16)&lt;&gt;10,LEFT(M16,2)&lt;&gt;"09"))),"REVIEW","READY")))</x:f>
      </x:c>
      <x:c r="BF16" s="238" t="str">
        <x:f>IF(BE16="","",IF(BE16="READY","",IF(B16="skip","Skipped by import_action",TRIM(IF(B16="","missing import_action; ","")&amp;IF(A16="","missing migration_customer_key; ","")&amp;IF(AND(A16&lt;&gt;"",COUNTIF($A$6:$A$505,A16)&gt;1),"duplicate migration_customer_key; ","")&amp;IF(E16="","missing branch_id; ","")&amp;IF(G16="","missing first_name; ","")&amp;IF(I16="","missing last_name; ","")&amp;IF(M16="","missing primary_phone; ","")&amp;IF(AND(M16&lt;&gt;"",COUNTIF($M$6:$M$505,M16)&gt;1),"duplicate primary_phone; ","")&amp;IF(AND(L16="mobile",N16&lt;&gt;"invalid",OR(LEN(M16)&lt;&gt;10,LEFT(M16,2)&lt;&gt;"09")),"mobile must be 09XXXXXXXX or status invalid; ","")&amp;IF(T16="","missing neighborhood_id; ","")))))</x:f>
      </x:c>
    </x:row>
    <x:row r="17">
      <x:c r="A17" s="232"/>
      <x:c r="B17" s="233"/>
      <x:c r="C17" s="234"/>
      <x:c r="D17" s="233"/>
      <x:c r="E17" s="233"/>
      <x:c r="F17" s="233"/>
      <x:c r="G17" s="233"/>
      <x:c r="H17" s="233"/>
      <x:c r="I17" s="233"/>
      <x:c r="J17" s="233"/>
      <x:c r="K17" s="233" t="str">
        <x:f>TRIM(G17&amp;" "&amp;H17&amp;" "&amp;I17&amp;IF(J17&lt;&gt;""," ("&amp;J17&amp;")",""))</x:f>
      </x:c>
      <x:c r="L17" s="233"/>
      <x:c r="M17" s="234"/>
      <x:c r="N17" s="233"/>
      <x:c r="O17" s="233"/>
      <x:c r="P17" s="233"/>
      <x:c r="Q17" s="233"/>
      <x:c r="R17" s="233"/>
      <x:c r="S17" s="233"/>
      <x:c r="T17" s="233"/>
      <x:c r="U17" s="233"/>
      <x:c r="V17" s="233"/>
      <x:c r="W17" s="235"/>
      <x:c r="X17" s="235"/>
      <x:c r="Y17" s="233"/>
      <x:c r="Z17" s="233"/>
      <x:c r="AA17" s="233"/>
      <x:c r="AB17" s="233"/>
      <x:c r="AC17" s="236"/>
      <x:c r="AD17" s="233"/>
      <x:c r="AE17" s="233"/>
      <x:c r="AF17" s="233"/>
      <x:c r="AG17" s="233"/>
      <x:c r="AH17" s="234"/>
      <x:c r="AI17" s="233"/>
      <x:c r="AJ17" s="233"/>
      <x:c r="AK17" s="233"/>
      <x:c r="AL17" s="236"/>
      <x:c r="AM17" s="233"/>
      <x:c r="AN17" s="233"/>
      <x:c r="AO17" s="234"/>
      <x:c r="AP17" s="234"/>
      <x:c r="AQ17" s="233"/>
      <x:c r="AR17" s="236"/>
      <x:c r="AS17" s="234"/>
      <x:c r="AT17" s="233"/>
      <x:c r="AU17" s="233"/>
      <x:c r="AV17" s="233"/>
      <x:c r="AW17" s="233"/>
      <x:c r="AX17" s="233"/>
      <x:c r="AY17" s="233"/>
      <x:c r="AZ17" s="236"/>
      <x:c r="BA17" s="233"/>
      <x:c r="BB17" s="233"/>
      <x:c r="BC17" s="233"/>
      <x:c r="BD17" s="233"/>
      <x:c r="BE17" s="237" t="str">
        <x:f>IF(AND(A17="",B17="",C17="",E17="",G17="",I17="",M17="",T17="",BB17="",BD17=""),"",IF(B17="skip","SKIP",IF(OR(B17="",A17="",E17="",G17="",I17="",M17="",T17="",COUNTIF($A$6:$A$505,A17)&gt;1,COUNTIF($M$6:$M$505,M17)&gt;1,AND(L17="mobile",N17&lt;&gt;"invalid",OR(LEN(M17)&lt;&gt;10,LEFT(M17,2)&lt;&gt;"09"))),"REVIEW","READY")))</x:f>
      </x:c>
      <x:c r="BF17" s="238" t="str">
        <x:f>IF(BE17="","",IF(BE17="READY","",IF(B17="skip","Skipped by import_action",TRIM(IF(B17="","missing import_action; ","")&amp;IF(A17="","missing migration_customer_key; ","")&amp;IF(AND(A17&lt;&gt;"",COUNTIF($A$6:$A$505,A17)&gt;1),"duplicate migration_customer_key; ","")&amp;IF(E17="","missing branch_id; ","")&amp;IF(G17="","missing first_name; ","")&amp;IF(I17="","missing last_name; ","")&amp;IF(M17="","missing primary_phone; ","")&amp;IF(AND(M17&lt;&gt;"",COUNTIF($M$6:$M$505,M17)&gt;1),"duplicate primary_phone; ","")&amp;IF(AND(L17="mobile",N17&lt;&gt;"invalid",OR(LEN(M17)&lt;&gt;10,LEFT(M17,2)&lt;&gt;"09")),"mobile must be 09XXXXXXXX or status invalid; ","")&amp;IF(T17="","missing neighborhood_id; ","")))))</x:f>
      </x:c>
    </x:row>
    <x:row r="18">
      <x:c r="A18" s="232"/>
      <x:c r="B18" s="233"/>
      <x:c r="C18" s="234"/>
      <x:c r="D18" s="233"/>
      <x:c r="E18" s="233"/>
      <x:c r="F18" s="233"/>
      <x:c r="G18" s="233"/>
      <x:c r="H18" s="233"/>
      <x:c r="I18" s="233"/>
      <x:c r="J18" s="233"/>
      <x:c r="K18" s="233" t="str">
        <x:f>TRIM(G18&amp;" "&amp;H18&amp;" "&amp;I18&amp;IF(J18&lt;&gt;""," ("&amp;J18&amp;")",""))</x:f>
      </x:c>
      <x:c r="L18" s="233"/>
      <x:c r="M18" s="234"/>
      <x:c r="N18" s="233"/>
      <x:c r="O18" s="233"/>
      <x:c r="P18" s="233"/>
      <x:c r="Q18" s="233"/>
      <x:c r="R18" s="233"/>
      <x:c r="S18" s="233"/>
      <x:c r="T18" s="233"/>
      <x:c r="U18" s="233"/>
      <x:c r="V18" s="233"/>
      <x:c r="W18" s="235"/>
      <x:c r="X18" s="235"/>
      <x:c r="Y18" s="233"/>
      <x:c r="Z18" s="233"/>
      <x:c r="AA18" s="233"/>
      <x:c r="AB18" s="233"/>
      <x:c r="AC18" s="236"/>
      <x:c r="AD18" s="233"/>
      <x:c r="AE18" s="233"/>
      <x:c r="AF18" s="233"/>
      <x:c r="AG18" s="233"/>
      <x:c r="AH18" s="234"/>
      <x:c r="AI18" s="233"/>
      <x:c r="AJ18" s="233"/>
      <x:c r="AK18" s="233"/>
      <x:c r="AL18" s="236"/>
      <x:c r="AM18" s="233"/>
      <x:c r="AN18" s="233"/>
      <x:c r="AO18" s="234"/>
      <x:c r="AP18" s="234"/>
      <x:c r="AQ18" s="233"/>
      <x:c r="AR18" s="236"/>
      <x:c r="AS18" s="234"/>
      <x:c r="AT18" s="233"/>
      <x:c r="AU18" s="233"/>
      <x:c r="AV18" s="233"/>
      <x:c r="AW18" s="233"/>
      <x:c r="AX18" s="233"/>
      <x:c r="AY18" s="233"/>
      <x:c r="AZ18" s="236"/>
      <x:c r="BA18" s="233"/>
      <x:c r="BB18" s="233"/>
      <x:c r="BC18" s="233"/>
      <x:c r="BD18" s="233"/>
      <x:c r="BE18" s="237" t="str">
        <x:f>IF(AND(A18="",B18="",C18="",E18="",G18="",I18="",M18="",T18="",BB18="",BD18=""),"",IF(B18="skip","SKIP",IF(OR(B18="",A18="",E18="",G18="",I18="",M18="",T18="",COUNTIF($A$6:$A$505,A18)&gt;1,COUNTIF($M$6:$M$505,M18)&gt;1,AND(L18="mobile",N18&lt;&gt;"invalid",OR(LEN(M18)&lt;&gt;10,LEFT(M18,2)&lt;&gt;"09"))),"REVIEW","READY")))</x:f>
      </x:c>
      <x:c r="BF18" s="238" t="str">
        <x:f>IF(BE18="","",IF(BE18="READY","",IF(B18="skip","Skipped by import_action",TRIM(IF(B18="","missing import_action; ","")&amp;IF(A18="","missing migration_customer_key; ","")&amp;IF(AND(A18&lt;&gt;"",COUNTIF($A$6:$A$505,A18)&gt;1),"duplicate migration_customer_key; ","")&amp;IF(E18="","missing branch_id; ","")&amp;IF(G18="","missing first_name; ","")&amp;IF(I18="","missing last_name; ","")&amp;IF(M18="","missing primary_phone; ","")&amp;IF(AND(M18&lt;&gt;"",COUNTIF($M$6:$M$505,M18)&gt;1),"duplicate primary_phone; ","")&amp;IF(AND(L18="mobile",N18&lt;&gt;"invalid",OR(LEN(M18)&lt;&gt;10,LEFT(M18,2)&lt;&gt;"09")),"mobile must be 09XXXXXXXX or status invalid; ","")&amp;IF(T18="","missing neighborhood_id; ","")))))</x:f>
      </x:c>
    </x:row>
    <x:row r="19">
      <x:c r="A19" s="232"/>
      <x:c r="B19" s="233"/>
      <x:c r="C19" s="234"/>
      <x:c r="D19" s="233"/>
      <x:c r="E19" s="233"/>
      <x:c r="F19" s="233"/>
      <x:c r="G19" s="233"/>
      <x:c r="H19" s="233"/>
      <x:c r="I19" s="233"/>
      <x:c r="J19" s="233"/>
      <x:c r="K19" s="233" t="str">
        <x:f>TRIM(G19&amp;" "&amp;H19&amp;" "&amp;I19&amp;IF(J19&lt;&gt;""," ("&amp;J19&amp;")",""))</x:f>
      </x:c>
      <x:c r="L19" s="233"/>
      <x:c r="M19" s="234"/>
      <x:c r="N19" s="233"/>
      <x:c r="O19" s="233"/>
      <x:c r="P19" s="233"/>
      <x:c r="Q19" s="233"/>
      <x:c r="R19" s="233"/>
      <x:c r="S19" s="233"/>
      <x:c r="T19" s="233"/>
      <x:c r="U19" s="233"/>
      <x:c r="V19" s="233"/>
      <x:c r="W19" s="235"/>
      <x:c r="X19" s="235"/>
      <x:c r="Y19" s="233"/>
      <x:c r="Z19" s="233"/>
      <x:c r="AA19" s="233"/>
      <x:c r="AB19" s="233"/>
      <x:c r="AC19" s="236"/>
      <x:c r="AD19" s="233"/>
      <x:c r="AE19" s="233"/>
      <x:c r="AF19" s="233"/>
      <x:c r="AG19" s="233"/>
      <x:c r="AH19" s="234"/>
      <x:c r="AI19" s="233"/>
      <x:c r="AJ19" s="233"/>
      <x:c r="AK19" s="233"/>
      <x:c r="AL19" s="236"/>
      <x:c r="AM19" s="233"/>
      <x:c r="AN19" s="233"/>
      <x:c r="AO19" s="234"/>
      <x:c r="AP19" s="234"/>
      <x:c r="AQ19" s="233"/>
      <x:c r="AR19" s="236"/>
      <x:c r="AS19" s="234"/>
      <x:c r="AT19" s="233"/>
      <x:c r="AU19" s="233"/>
      <x:c r="AV19" s="233"/>
      <x:c r="AW19" s="233"/>
      <x:c r="AX19" s="233"/>
      <x:c r="AY19" s="233"/>
      <x:c r="AZ19" s="236"/>
      <x:c r="BA19" s="233"/>
      <x:c r="BB19" s="233"/>
      <x:c r="BC19" s="233"/>
      <x:c r="BD19" s="233"/>
      <x:c r="BE19" s="237" t="str">
        <x:f>IF(AND(A19="",B19="",C19="",E19="",G19="",I19="",M19="",T19="",BB19="",BD19=""),"",IF(B19="skip","SKIP",IF(OR(B19="",A19="",E19="",G19="",I19="",M19="",T19="",COUNTIF($A$6:$A$505,A19)&gt;1,COUNTIF($M$6:$M$505,M19)&gt;1,AND(L19="mobile",N19&lt;&gt;"invalid",OR(LEN(M19)&lt;&gt;10,LEFT(M19,2)&lt;&gt;"09"))),"REVIEW","READY")))</x:f>
      </x:c>
      <x:c r="BF19" s="238" t="str">
        <x:f>IF(BE19="","",IF(BE19="READY","",IF(B19="skip","Skipped by import_action",TRIM(IF(B19="","missing import_action; ","")&amp;IF(A19="","missing migration_customer_key; ","")&amp;IF(AND(A19&lt;&gt;"",COUNTIF($A$6:$A$505,A19)&gt;1),"duplicate migration_customer_key; ","")&amp;IF(E19="","missing branch_id; ","")&amp;IF(G19="","missing first_name; ","")&amp;IF(I19="","missing last_name; ","")&amp;IF(M19="","missing primary_phone; ","")&amp;IF(AND(M19&lt;&gt;"",COUNTIF($M$6:$M$505,M19)&gt;1),"duplicate primary_phone; ","")&amp;IF(AND(L19="mobile",N19&lt;&gt;"invalid",OR(LEN(M19)&lt;&gt;10,LEFT(M19,2)&lt;&gt;"09")),"mobile must be 09XXXXXXXX or status invalid; ","")&amp;IF(T19="","missing neighborhood_id; ","")))))</x:f>
      </x:c>
    </x:row>
    <x:row r="20">
      <x:c r="A20" s="232"/>
      <x:c r="B20" s="233"/>
      <x:c r="C20" s="234"/>
      <x:c r="D20" s="233"/>
      <x:c r="E20" s="233"/>
      <x:c r="F20" s="233"/>
      <x:c r="G20" s="233"/>
      <x:c r="H20" s="233"/>
      <x:c r="I20" s="233"/>
      <x:c r="J20" s="233"/>
      <x:c r="K20" s="233" t="str">
        <x:f>TRIM(G20&amp;" "&amp;H20&amp;" "&amp;I20&amp;IF(J20&lt;&gt;""," ("&amp;J20&amp;")",""))</x:f>
      </x:c>
      <x:c r="L20" s="233"/>
      <x:c r="M20" s="234"/>
      <x:c r="N20" s="233"/>
      <x:c r="O20" s="233"/>
      <x:c r="P20" s="233"/>
      <x:c r="Q20" s="233"/>
      <x:c r="R20" s="233"/>
      <x:c r="S20" s="233"/>
      <x:c r="T20" s="233"/>
      <x:c r="U20" s="233"/>
      <x:c r="V20" s="233"/>
      <x:c r="W20" s="235"/>
      <x:c r="X20" s="235"/>
      <x:c r="Y20" s="233"/>
      <x:c r="Z20" s="233"/>
      <x:c r="AA20" s="233"/>
      <x:c r="AB20" s="233"/>
      <x:c r="AC20" s="236"/>
      <x:c r="AD20" s="233"/>
      <x:c r="AE20" s="233"/>
      <x:c r="AF20" s="233"/>
      <x:c r="AG20" s="233"/>
      <x:c r="AH20" s="234"/>
      <x:c r="AI20" s="233"/>
      <x:c r="AJ20" s="233"/>
      <x:c r="AK20" s="233"/>
      <x:c r="AL20" s="236"/>
      <x:c r="AM20" s="233"/>
      <x:c r="AN20" s="233"/>
      <x:c r="AO20" s="234"/>
      <x:c r="AP20" s="234"/>
      <x:c r="AQ20" s="233"/>
      <x:c r="AR20" s="236"/>
      <x:c r="AS20" s="234"/>
      <x:c r="AT20" s="233"/>
      <x:c r="AU20" s="233"/>
      <x:c r="AV20" s="233"/>
      <x:c r="AW20" s="233"/>
      <x:c r="AX20" s="233"/>
      <x:c r="AY20" s="233"/>
      <x:c r="AZ20" s="236"/>
      <x:c r="BA20" s="233"/>
      <x:c r="BB20" s="233"/>
      <x:c r="BC20" s="233"/>
      <x:c r="BD20" s="233"/>
      <x:c r="BE20" s="237" t="str">
        <x:f>IF(AND(A20="",B20="",C20="",E20="",G20="",I20="",M20="",T20="",BB20="",BD20=""),"",IF(B20="skip","SKIP",IF(OR(B20="",A20="",E20="",G20="",I20="",M20="",T20="",COUNTIF($A$6:$A$505,A20)&gt;1,COUNTIF($M$6:$M$505,M20)&gt;1,AND(L20="mobile",N20&lt;&gt;"invalid",OR(LEN(M20)&lt;&gt;10,LEFT(M20,2)&lt;&gt;"09"))),"REVIEW","READY")))</x:f>
      </x:c>
      <x:c r="BF20" s="238" t="str">
        <x:f>IF(BE20="","",IF(BE20="READY","",IF(B20="skip","Skipped by import_action",TRIM(IF(B20="","missing import_action; ","")&amp;IF(A20="","missing migration_customer_key; ","")&amp;IF(AND(A20&lt;&gt;"",COUNTIF($A$6:$A$505,A20)&gt;1),"duplicate migration_customer_key; ","")&amp;IF(E20="","missing branch_id; ","")&amp;IF(G20="","missing first_name; ","")&amp;IF(I20="","missing last_name; ","")&amp;IF(M20="","missing primary_phone; ","")&amp;IF(AND(M20&lt;&gt;"",COUNTIF($M$6:$M$505,M20)&gt;1),"duplicate primary_phone; ","")&amp;IF(AND(L20="mobile",N20&lt;&gt;"invalid",OR(LEN(M20)&lt;&gt;10,LEFT(M20,2)&lt;&gt;"09")),"mobile must be 09XXXXXXXX or status invalid; ","")&amp;IF(T20="","missing neighborhood_id; ","")))))</x:f>
      </x:c>
    </x:row>
    <x:row r="21">
      <x:c r="A21" s="232"/>
      <x:c r="B21" s="233"/>
      <x:c r="C21" s="234"/>
      <x:c r="D21" s="233"/>
      <x:c r="E21" s="233"/>
      <x:c r="F21" s="233"/>
      <x:c r="G21" s="233"/>
      <x:c r="H21" s="233"/>
      <x:c r="I21" s="233"/>
      <x:c r="J21" s="233"/>
      <x:c r="K21" s="233" t="str">
        <x:f>TRIM(G21&amp;" "&amp;H21&amp;" "&amp;I21&amp;IF(J21&lt;&gt;""," ("&amp;J21&amp;")",""))</x:f>
      </x:c>
      <x:c r="L21" s="233"/>
      <x:c r="M21" s="234"/>
      <x:c r="N21" s="233"/>
      <x:c r="O21" s="233"/>
      <x:c r="P21" s="233"/>
      <x:c r="Q21" s="233"/>
      <x:c r="R21" s="233"/>
      <x:c r="S21" s="233"/>
      <x:c r="T21" s="233"/>
      <x:c r="U21" s="233"/>
      <x:c r="V21" s="233"/>
      <x:c r="W21" s="235"/>
      <x:c r="X21" s="235"/>
      <x:c r="Y21" s="233"/>
      <x:c r="Z21" s="233"/>
      <x:c r="AA21" s="233"/>
      <x:c r="AB21" s="233"/>
      <x:c r="AC21" s="236"/>
      <x:c r="AD21" s="233"/>
      <x:c r="AE21" s="233"/>
      <x:c r="AF21" s="233"/>
      <x:c r="AG21" s="233"/>
      <x:c r="AH21" s="234"/>
      <x:c r="AI21" s="233"/>
      <x:c r="AJ21" s="233"/>
      <x:c r="AK21" s="233"/>
      <x:c r="AL21" s="236"/>
      <x:c r="AM21" s="233"/>
      <x:c r="AN21" s="233"/>
      <x:c r="AO21" s="234"/>
      <x:c r="AP21" s="234"/>
      <x:c r="AQ21" s="233"/>
      <x:c r="AR21" s="236"/>
      <x:c r="AS21" s="234"/>
      <x:c r="AT21" s="233"/>
      <x:c r="AU21" s="233"/>
      <x:c r="AV21" s="233"/>
      <x:c r="AW21" s="233"/>
      <x:c r="AX21" s="233"/>
      <x:c r="AY21" s="233"/>
      <x:c r="AZ21" s="236"/>
      <x:c r="BA21" s="233"/>
      <x:c r="BB21" s="233"/>
      <x:c r="BC21" s="233"/>
      <x:c r="BD21" s="233"/>
      <x:c r="BE21" s="237" t="str">
        <x:f>IF(AND(A21="",B21="",C21="",E21="",G21="",I21="",M21="",T21="",BB21="",BD21=""),"",IF(B21="skip","SKIP",IF(OR(B21="",A21="",E21="",G21="",I21="",M21="",T21="",COUNTIF($A$6:$A$505,A21)&gt;1,COUNTIF($M$6:$M$505,M21)&gt;1,AND(L21="mobile",N21&lt;&gt;"invalid",OR(LEN(M21)&lt;&gt;10,LEFT(M21,2)&lt;&gt;"09"))),"REVIEW","READY")))</x:f>
      </x:c>
      <x:c r="BF21" s="238" t="str">
        <x:f>IF(BE21="","",IF(BE21="READY","",IF(B21="skip","Skipped by import_action",TRIM(IF(B21="","missing import_action; ","")&amp;IF(A21="","missing migration_customer_key; ","")&amp;IF(AND(A21&lt;&gt;"",COUNTIF($A$6:$A$505,A21)&gt;1),"duplicate migration_customer_key; ","")&amp;IF(E21="","missing branch_id; ","")&amp;IF(G21="","missing first_name; ","")&amp;IF(I21="","missing last_name; ","")&amp;IF(M21="","missing primary_phone; ","")&amp;IF(AND(M21&lt;&gt;"",COUNTIF($M$6:$M$505,M21)&gt;1),"duplicate primary_phone; ","")&amp;IF(AND(L21="mobile",N21&lt;&gt;"invalid",OR(LEN(M21)&lt;&gt;10,LEFT(M21,2)&lt;&gt;"09")),"mobile must be 09XXXXXXXX or status invalid; ","")&amp;IF(T21="","missing neighborhood_id; ","")))))</x:f>
      </x:c>
    </x:row>
    <x:row r="22">
      <x:c r="A22" s="232"/>
      <x:c r="B22" s="233"/>
      <x:c r="C22" s="234"/>
      <x:c r="D22" s="233"/>
      <x:c r="E22" s="233"/>
      <x:c r="F22" s="233"/>
      <x:c r="G22" s="233"/>
      <x:c r="H22" s="233"/>
      <x:c r="I22" s="233"/>
      <x:c r="J22" s="233"/>
      <x:c r="K22" s="233" t="str">
        <x:f>TRIM(G22&amp;" "&amp;H22&amp;" "&amp;I22&amp;IF(J22&lt;&gt;""," ("&amp;J22&amp;")",""))</x:f>
      </x:c>
      <x:c r="L22" s="233"/>
      <x:c r="M22" s="234"/>
      <x:c r="N22" s="233"/>
      <x:c r="O22" s="233"/>
      <x:c r="P22" s="233"/>
      <x:c r="Q22" s="233"/>
      <x:c r="R22" s="233"/>
      <x:c r="S22" s="233"/>
      <x:c r="T22" s="233"/>
      <x:c r="U22" s="233"/>
      <x:c r="V22" s="233"/>
      <x:c r="W22" s="235"/>
      <x:c r="X22" s="235"/>
      <x:c r="Y22" s="233"/>
      <x:c r="Z22" s="233"/>
      <x:c r="AA22" s="233"/>
      <x:c r="AB22" s="233"/>
      <x:c r="AC22" s="236"/>
      <x:c r="AD22" s="233"/>
      <x:c r="AE22" s="233"/>
      <x:c r="AF22" s="233"/>
      <x:c r="AG22" s="233"/>
      <x:c r="AH22" s="234"/>
      <x:c r="AI22" s="233"/>
      <x:c r="AJ22" s="233"/>
      <x:c r="AK22" s="233"/>
      <x:c r="AL22" s="236"/>
      <x:c r="AM22" s="233"/>
      <x:c r="AN22" s="233"/>
      <x:c r="AO22" s="234"/>
      <x:c r="AP22" s="234"/>
      <x:c r="AQ22" s="233"/>
      <x:c r="AR22" s="236"/>
      <x:c r="AS22" s="234"/>
      <x:c r="AT22" s="233"/>
      <x:c r="AU22" s="233"/>
      <x:c r="AV22" s="233"/>
      <x:c r="AW22" s="233"/>
      <x:c r="AX22" s="233"/>
      <x:c r="AY22" s="233"/>
      <x:c r="AZ22" s="236"/>
      <x:c r="BA22" s="233"/>
      <x:c r="BB22" s="233"/>
      <x:c r="BC22" s="233"/>
      <x:c r="BD22" s="233"/>
      <x:c r="BE22" s="237" t="str">
        <x:f>IF(AND(A22="",B22="",C22="",E22="",G22="",I22="",M22="",T22="",BB22="",BD22=""),"",IF(B22="skip","SKIP",IF(OR(B22="",A22="",E22="",G22="",I22="",M22="",T22="",COUNTIF($A$6:$A$505,A22)&gt;1,COUNTIF($M$6:$M$505,M22)&gt;1,AND(L22="mobile",N22&lt;&gt;"invalid",OR(LEN(M22)&lt;&gt;10,LEFT(M22,2)&lt;&gt;"09"))),"REVIEW","READY")))</x:f>
      </x:c>
      <x:c r="BF22" s="238" t="str">
        <x:f>IF(BE22="","",IF(BE22="READY","",IF(B22="skip","Skipped by import_action",TRIM(IF(B22="","missing import_action; ","")&amp;IF(A22="","missing migration_customer_key; ","")&amp;IF(AND(A22&lt;&gt;"",COUNTIF($A$6:$A$505,A22)&gt;1),"duplicate migration_customer_key; ","")&amp;IF(E22="","missing branch_id; ","")&amp;IF(G22="","missing first_name; ","")&amp;IF(I22="","missing last_name; ","")&amp;IF(M22="","missing primary_phone; ","")&amp;IF(AND(M22&lt;&gt;"",COUNTIF($M$6:$M$505,M22)&gt;1),"duplicate primary_phone; ","")&amp;IF(AND(L22="mobile",N22&lt;&gt;"invalid",OR(LEN(M22)&lt;&gt;10,LEFT(M22,2)&lt;&gt;"09")),"mobile must be 09XXXXXXXX or status invalid; ","")&amp;IF(T22="","missing neighborhood_id; ","")))))</x:f>
      </x:c>
    </x:row>
    <x:row r="23">
      <x:c r="A23" s="232"/>
      <x:c r="B23" s="233"/>
      <x:c r="C23" s="234"/>
      <x:c r="D23" s="233"/>
      <x:c r="E23" s="233"/>
      <x:c r="F23" s="233"/>
      <x:c r="G23" s="233"/>
      <x:c r="H23" s="233"/>
      <x:c r="I23" s="233"/>
      <x:c r="J23" s="233"/>
      <x:c r="K23" s="233" t="str">
        <x:f>TRIM(G23&amp;" "&amp;H23&amp;" "&amp;I23&amp;IF(J23&lt;&gt;""," ("&amp;J23&amp;")",""))</x:f>
      </x:c>
      <x:c r="L23" s="233"/>
      <x:c r="M23" s="234"/>
      <x:c r="N23" s="233"/>
      <x:c r="O23" s="233"/>
      <x:c r="P23" s="233"/>
      <x:c r="Q23" s="233"/>
      <x:c r="R23" s="233"/>
      <x:c r="S23" s="233"/>
      <x:c r="T23" s="233"/>
      <x:c r="U23" s="233"/>
      <x:c r="V23" s="233"/>
      <x:c r="W23" s="235"/>
      <x:c r="X23" s="235"/>
      <x:c r="Y23" s="233"/>
      <x:c r="Z23" s="233"/>
      <x:c r="AA23" s="233"/>
      <x:c r="AB23" s="233"/>
      <x:c r="AC23" s="236"/>
      <x:c r="AD23" s="233"/>
      <x:c r="AE23" s="233"/>
      <x:c r="AF23" s="233"/>
      <x:c r="AG23" s="233"/>
      <x:c r="AH23" s="234"/>
      <x:c r="AI23" s="233"/>
      <x:c r="AJ23" s="233"/>
      <x:c r="AK23" s="233"/>
      <x:c r="AL23" s="236"/>
      <x:c r="AM23" s="233"/>
      <x:c r="AN23" s="233"/>
      <x:c r="AO23" s="234"/>
      <x:c r="AP23" s="234"/>
      <x:c r="AQ23" s="233"/>
      <x:c r="AR23" s="236"/>
      <x:c r="AS23" s="234"/>
      <x:c r="AT23" s="233"/>
      <x:c r="AU23" s="233"/>
      <x:c r="AV23" s="233"/>
      <x:c r="AW23" s="233"/>
      <x:c r="AX23" s="233"/>
      <x:c r="AY23" s="233"/>
      <x:c r="AZ23" s="236"/>
      <x:c r="BA23" s="233"/>
      <x:c r="BB23" s="233"/>
      <x:c r="BC23" s="233"/>
      <x:c r="BD23" s="233"/>
      <x:c r="BE23" s="237" t="str">
        <x:f>IF(AND(A23="",B23="",C23="",E23="",G23="",I23="",M23="",T23="",BB23="",BD23=""),"",IF(B23="skip","SKIP",IF(OR(B23="",A23="",E23="",G23="",I23="",M23="",T23="",COUNTIF($A$6:$A$505,A23)&gt;1,COUNTIF($M$6:$M$505,M23)&gt;1,AND(L23="mobile",N23&lt;&gt;"invalid",OR(LEN(M23)&lt;&gt;10,LEFT(M23,2)&lt;&gt;"09"))),"REVIEW","READY")))</x:f>
      </x:c>
      <x:c r="BF23" s="238" t="str">
        <x:f>IF(BE23="","",IF(BE23="READY","",IF(B23="skip","Skipped by import_action",TRIM(IF(B23="","missing import_action; ","")&amp;IF(A23="","missing migration_customer_key; ","")&amp;IF(AND(A23&lt;&gt;"",COUNTIF($A$6:$A$505,A23)&gt;1),"duplicate migration_customer_key; ","")&amp;IF(E23="","missing branch_id; ","")&amp;IF(G23="","missing first_name; ","")&amp;IF(I23="","missing last_name; ","")&amp;IF(M23="","missing primary_phone; ","")&amp;IF(AND(M23&lt;&gt;"",COUNTIF($M$6:$M$505,M23)&gt;1),"duplicate primary_phone; ","")&amp;IF(AND(L23="mobile",N23&lt;&gt;"invalid",OR(LEN(M23)&lt;&gt;10,LEFT(M23,2)&lt;&gt;"09")),"mobile must be 09XXXXXXXX or status invalid; ","")&amp;IF(T23="","missing neighborhood_id; ","")))))</x:f>
      </x:c>
    </x:row>
    <x:row r="24">
      <x:c r="A24" s="232"/>
      <x:c r="B24" s="233"/>
      <x:c r="C24" s="234"/>
      <x:c r="D24" s="233"/>
      <x:c r="E24" s="233"/>
      <x:c r="F24" s="233"/>
      <x:c r="G24" s="233"/>
      <x:c r="H24" s="233"/>
      <x:c r="I24" s="233"/>
      <x:c r="J24" s="233"/>
      <x:c r="K24" s="233" t="str">
        <x:f>TRIM(G24&amp;" "&amp;H24&amp;" "&amp;I24&amp;IF(J24&lt;&gt;""," ("&amp;J24&amp;")",""))</x:f>
      </x:c>
      <x:c r="L24" s="233"/>
      <x:c r="M24" s="234"/>
      <x:c r="N24" s="233"/>
      <x:c r="O24" s="233"/>
      <x:c r="P24" s="233"/>
      <x:c r="Q24" s="233"/>
      <x:c r="R24" s="233"/>
      <x:c r="S24" s="233"/>
      <x:c r="T24" s="233"/>
      <x:c r="U24" s="233"/>
      <x:c r="V24" s="233"/>
      <x:c r="W24" s="235"/>
      <x:c r="X24" s="235"/>
      <x:c r="Y24" s="233"/>
      <x:c r="Z24" s="233"/>
      <x:c r="AA24" s="233"/>
      <x:c r="AB24" s="233"/>
      <x:c r="AC24" s="236"/>
      <x:c r="AD24" s="233"/>
      <x:c r="AE24" s="233"/>
      <x:c r="AF24" s="233"/>
      <x:c r="AG24" s="233"/>
      <x:c r="AH24" s="234"/>
      <x:c r="AI24" s="233"/>
      <x:c r="AJ24" s="233"/>
      <x:c r="AK24" s="233"/>
      <x:c r="AL24" s="236"/>
      <x:c r="AM24" s="233"/>
      <x:c r="AN24" s="233"/>
      <x:c r="AO24" s="234"/>
      <x:c r="AP24" s="234"/>
      <x:c r="AQ24" s="233"/>
      <x:c r="AR24" s="236"/>
      <x:c r="AS24" s="234"/>
      <x:c r="AT24" s="233"/>
      <x:c r="AU24" s="233"/>
      <x:c r="AV24" s="233"/>
      <x:c r="AW24" s="233"/>
      <x:c r="AX24" s="233"/>
      <x:c r="AY24" s="233"/>
      <x:c r="AZ24" s="236"/>
      <x:c r="BA24" s="233"/>
      <x:c r="BB24" s="233"/>
      <x:c r="BC24" s="233"/>
      <x:c r="BD24" s="233"/>
      <x:c r="BE24" s="237" t="str">
        <x:f>IF(AND(A24="",B24="",C24="",E24="",G24="",I24="",M24="",T24="",BB24="",BD24=""),"",IF(B24="skip","SKIP",IF(OR(B24="",A24="",E24="",G24="",I24="",M24="",T24="",COUNTIF($A$6:$A$505,A24)&gt;1,COUNTIF($M$6:$M$505,M24)&gt;1,AND(L24="mobile",N24&lt;&gt;"invalid",OR(LEN(M24)&lt;&gt;10,LEFT(M24,2)&lt;&gt;"09"))),"REVIEW","READY")))</x:f>
      </x:c>
      <x:c r="BF24" s="238" t="str">
        <x:f>IF(BE24="","",IF(BE24="READY","",IF(B24="skip","Skipped by import_action",TRIM(IF(B24="","missing import_action; ","")&amp;IF(A24="","missing migration_customer_key; ","")&amp;IF(AND(A24&lt;&gt;"",COUNTIF($A$6:$A$505,A24)&gt;1),"duplicate migration_customer_key; ","")&amp;IF(E24="","missing branch_id; ","")&amp;IF(G24="","missing first_name; ","")&amp;IF(I24="","missing last_name; ","")&amp;IF(M24="","missing primary_phone; ","")&amp;IF(AND(M24&lt;&gt;"",COUNTIF($M$6:$M$505,M24)&gt;1),"duplicate primary_phone; ","")&amp;IF(AND(L24="mobile",N24&lt;&gt;"invalid",OR(LEN(M24)&lt;&gt;10,LEFT(M24,2)&lt;&gt;"09")),"mobile must be 09XXXXXXXX or status invalid; ","")&amp;IF(T24="","missing neighborhood_id; ","")))))</x:f>
      </x:c>
    </x:row>
    <x:row r="25">
      <x:c r="A25" s="232"/>
      <x:c r="B25" s="233"/>
      <x:c r="C25" s="234"/>
      <x:c r="D25" s="233"/>
      <x:c r="E25" s="233"/>
      <x:c r="F25" s="233"/>
      <x:c r="G25" s="233"/>
      <x:c r="H25" s="233"/>
      <x:c r="I25" s="233"/>
      <x:c r="J25" s="233"/>
      <x:c r="K25" s="233" t="str">
        <x:f>TRIM(G25&amp;" "&amp;H25&amp;" "&amp;I25&amp;IF(J25&lt;&gt;""," ("&amp;J25&amp;")",""))</x:f>
      </x:c>
      <x:c r="L25" s="233"/>
      <x:c r="M25" s="234"/>
      <x:c r="N25" s="233"/>
      <x:c r="O25" s="233"/>
      <x:c r="P25" s="233"/>
      <x:c r="Q25" s="233"/>
      <x:c r="R25" s="233"/>
      <x:c r="S25" s="233"/>
      <x:c r="T25" s="233"/>
      <x:c r="U25" s="233"/>
      <x:c r="V25" s="233"/>
      <x:c r="W25" s="235"/>
      <x:c r="X25" s="235"/>
      <x:c r="Y25" s="233"/>
      <x:c r="Z25" s="233"/>
      <x:c r="AA25" s="233"/>
      <x:c r="AB25" s="233"/>
      <x:c r="AC25" s="236"/>
      <x:c r="AD25" s="233"/>
      <x:c r="AE25" s="233"/>
      <x:c r="AF25" s="233"/>
      <x:c r="AG25" s="233"/>
      <x:c r="AH25" s="234"/>
      <x:c r="AI25" s="233"/>
      <x:c r="AJ25" s="233"/>
      <x:c r="AK25" s="233"/>
      <x:c r="AL25" s="236"/>
      <x:c r="AM25" s="233"/>
      <x:c r="AN25" s="233"/>
      <x:c r="AO25" s="234"/>
      <x:c r="AP25" s="234"/>
      <x:c r="AQ25" s="233"/>
      <x:c r="AR25" s="236"/>
      <x:c r="AS25" s="234"/>
      <x:c r="AT25" s="233"/>
      <x:c r="AU25" s="233"/>
      <x:c r="AV25" s="233"/>
      <x:c r="AW25" s="233"/>
      <x:c r="AX25" s="233"/>
      <x:c r="AY25" s="233"/>
      <x:c r="AZ25" s="236"/>
      <x:c r="BA25" s="233"/>
      <x:c r="BB25" s="233"/>
      <x:c r="BC25" s="233"/>
      <x:c r="BD25" s="233"/>
      <x:c r="BE25" s="237" t="str">
        <x:f>IF(AND(A25="",B25="",C25="",E25="",G25="",I25="",M25="",T25="",BB25="",BD25=""),"",IF(B25="skip","SKIP",IF(OR(B25="",A25="",E25="",G25="",I25="",M25="",T25="",COUNTIF($A$6:$A$505,A25)&gt;1,COUNTIF($M$6:$M$505,M25)&gt;1,AND(L25="mobile",N25&lt;&gt;"invalid",OR(LEN(M25)&lt;&gt;10,LEFT(M25,2)&lt;&gt;"09"))),"REVIEW","READY")))</x:f>
      </x:c>
      <x:c r="BF25" s="238" t="str">
        <x:f>IF(BE25="","",IF(BE25="READY","",IF(B25="skip","Skipped by import_action",TRIM(IF(B25="","missing import_action; ","")&amp;IF(A25="","missing migration_customer_key; ","")&amp;IF(AND(A25&lt;&gt;"",COUNTIF($A$6:$A$505,A25)&gt;1),"duplicate migration_customer_key; ","")&amp;IF(E25="","missing branch_id; ","")&amp;IF(G25="","missing first_name; ","")&amp;IF(I25="","missing last_name; ","")&amp;IF(M25="","missing primary_phone; ","")&amp;IF(AND(M25&lt;&gt;"",COUNTIF($M$6:$M$505,M25)&gt;1),"duplicate primary_phone; ","")&amp;IF(AND(L25="mobile",N25&lt;&gt;"invalid",OR(LEN(M25)&lt;&gt;10,LEFT(M25,2)&lt;&gt;"09")),"mobile must be 09XXXXXXXX or status invalid; ","")&amp;IF(T25="","missing neighborhood_id; ","")))))</x:f>
      </x:c>
    </x:row>
    <x:row r="26">
      <x:c r="A26" s="232"/>
      <x:c r="B26" s="233"/>
      <x:c r="C26" s="234"/>
      <x:c r="D26" s="233"/>
      <x:c r="E26" s="233"/>
      <x:c r="F26" s="233"/>
      <x:c r="G26" s="233"/>
      <x:c r="H26" s="233"/>
      <x:c r="I26" s="233"/>
      <x:c r="J26" s="233"/>
      <x:c r="K26" s="233" t="str">
        <x:f>TRIM(G26&amp;" "&amp;H26&amp;" "&amp;I26&amp;IF(J26&lt;&gt;""," ("&amp;J26&amp;")",""))</x:f>
      </x:c>
      <x:c r="L26" s="233"/>
      <x:c r="M26" s="234"/>
      <x:c r="N26" s="233"/>
      <x:c r="O26" s="233"/>
      <x:c r="P26" s="233"/>
      <x:c r="Q26" s="233"/>
      <x:c r="R26" s="233"/>
      <x:c r="S26" s="233"/>
      <x:c r="T26" s="233"/>
      <x:c r="U26" s="233"/>
      <x:c r="V26" s="233"/>
      <x:c r="W26" s="235"/>
      <x:c r="X26" s="235"/>
      <x:c r="Y26" s="233"/>
      <x:c r="Z26" s="233"/>
      <x:c r="AA26" s="233"/>
      <x:c r="AB26" s="233"/>
      <x:c r="AC26" s="236"/>
      <x:c r="AD26" s="233"/>
      <x:c r="AE26" s="233"/>
      <x:c r="AF26" s="233"/>
      <x:c r="AG26" s="233"/>
      <x:c r="AH26" s="234"/>
      <x:c r="AI26" s="233"/>
      <x:c r="AJ26" s="233"/>
      <x:c r="AK26" s="233"/>
      <x:c r="AL26" s="236"/>
      <x:c r="AM26" s="233"/>
      <x:c r="AN26" s="233"/>
      <x:c r="AO26" s="234"/>
      <x:c r="AP26" s="234"/>
      <x:c r="AQ26" s="233"/>
      <x:c r="AR26" s="236"/>
      <x:c r="AS26" s="234"/>
      <x:c r="AT26" s="233"/>
      <x:c r="AU26" s="233"/>
      <x:c r="AV26" s="233"/>
      <x:c r="AW26" s="233"/>
      <x:c r="AX26" s="233"/>
      <x:c r="AY26" s="233"/>
      <x:c r="AZ26" s="236"/>
      <x:c r="BA26" s="233"/>
      <x:c r="BB26" s="233"/>
      <x:c r="BC26" s="233"/>
      <x:c r="BD26" s="233"/>
      <x:c r="BE26" s="237" t="str">
        <x:f>IF(AND(A26="",B26="",C26="",E26="",G26="",I26="",M26="",T26="",BB26="",BD26=""),"",IF(B26="skip","SKIP",IF(OR(B26="",A26="",E26="",G26="",I26="",M26="",T26="",COUNTIF($A$6:$A$505,A26)&gt;1,COUNTIF($M$6:$M$505,M26)&gt;1,AND(L26="mobile",N26&lt;&gt;"invalid",OR(LEN(M26)&lt;&gt;10,LEFT(M26,2)&lt;&gt;"09"))),"REVIEW","READY")))</x:f>
      </x:c>
      <x:c r="BF26" s="238" t="str">
        <x:f>IF(BE26="","",IF(BE26="READY","",IF(B26="skip","Skipped by import_action",TRIM(IF(B26="","missing import_action; ","")&amp;IF(A26="","missing migration_customer_key; ","")&amp;IF(AND(A26&lt;&gt;"",COUNTIF($A$6:$A$505,A26)&gt;1),"duplicate migration_customer_key; ","")&amp;IF(E26="","missing branch_id; ","")&amp;IF(G26="","missing first_name; ","")&amp;IF(I26="","missing last_name; ","")&amp;IF(M26="","missing primary_phone; ","")&amp;IF(AND(M26&lt;&gt;"",COUNTIF($M$6:$M$505,M26)&gt;1),"duplicate primary_phone; ","")&amp;IF(AND(L26="mobile",N26&lt;&gt;"invalid",OR(LEN(M26)&lt;&gt;10,LEFT(M26,2)&lt;&gt;"09")),"mobile must be 09XXXXXXXX or status invalid; ","")&amp;IF(T26="","missing neighborhood_id; ","")))))</x:f>
      </x:c>
    </x:row>
    <x:row r="27">
      <x:c r="A27" s="232"/>
      <x:c r="B27" s="233"/>
      <x:c r="C27" s="234"/>
      <x:c r="D27" s="233"/>
      <x:c r="E27" s="233"/>
      <x:c r="F27" s="233"/>
      <x:c r="G27" s="233"/>
      <x:c r="H27" s="233"/>
      <x:c r="I27" s="233"/>
      <x:c r="J27" s="233"/>
      <x:c r="K27" s="233" t="str">
        <x:f>TRIM(G27&amp;" "&amp;H27&amp;" "&amp;I27&amp;IF(J27&lt;&gt;""," ("&amp;J27&amp;")",""))</x:f>
      </x:c>
      <x:c r="L27" s="233"/>
      <x:c r="M27" s="234"/>
      <x:c r="N27" s="233"/>
      <x:c r="O27" s="233"/>
      <x:c r="P27" s="233"/>
      <x:c r="Q27" s="233"/>
      <x:c r="R27" s="233"/>
      <x:c r="S27" s="233"/>
      <x:c r="T27" s="233"/>
      <x:c r="U27" s="233"/>
      <x:c r="V27" s="233"/>
      <x:c r="W27" s="235"/>
      <x:c r="X27" s="235"/>
      <x:c r="Y27" s="233"/>
      <x:c r="Z27" s="233"/>
      <x:c r="AA27" s="233"/>
      <x:c r="AB27" s="233"/>
      <x:c r="AC27" s="236"/>
      <x:c r="AD27" s="233"/>
      <x:c r="AE27" s="233"/>
      <x:c r="AF27" s="233"/>
      <x:c r="AG27" s="233"/>
      <x:c r="AH27" s="234"/>
      <x:c r="AI27" s="233"/>
      <x:c r="AJ27" s="233"/>
      <x:c r="AK27" s="233"/>
      <x:c r="AL27" s="236"/>
      <x:c r="AM27" s="233"/>
      <x:c r="AN27" s="233"/>
      <x:c r="AO27" s="234"/>
      <x:c r="AP27" s="234"/>
      <x:c r="AQ27" s="233"/>
      <x:c r="AR27" s="236"/>
      <x:c r="AS27" s="234"/>
      <x:c r="AT27" s="233"/>
      <x:c r="AU27" s="233"/>
      <x:c r="AV27" s="233"/>
      <x:c r="AW27" s="233"/>
      <x:c r="AX27" s="233"/>
      <x:c r="AY27" s="233"/>
      <x:c r="AZ27" s="236"/>
      <x:c r="BA27" s="233"/>
      <x:c r="BB27" s="233"/>
      <x:c r="BC27" s="233"/>
      <x:c r="BD27" s="233"/>
      <x:c r="BE27" s="237" t="str">
        <x:f>IF(AND(A27="",B27="",C27="",E27="",G27="",I27="",M27="",T27="",BB27="",BD27=""),"",IF(B27="skip","SKIP",IF(OR(B27="",A27="",E27="",G27="",I27="",M27="",T27="",COUNTIF($A$6:$A$505,A27)&gt;1,COUNTIF($M$6:$M$505,M27)&gt;1,AND(L27="mobile",N27&lt;&gt;"invalid",OR(LEN(M27)&lt;&gt;10,LEFT(M27,2)&lt;&gt;"09"))),"REVIEW","READY")))</x:f>
      </x:c>
      <x:c r="BF27" s="238" t="str">
        <x:f>IF(BE27="","",IF(BE27="READY","",IF(B27="skip","Skipped by import_action",TRIM(IF(B27="","missing import_action; ","")&amp;IF(A27="","missing migration_customer_key; ","")&amp;IF(AND(A27&lt;&gt;"",COUNTIF($A$6:$A$505,A27)&gt;1),"duplicate migration_customer_key; ","")&amp;IF(E27="","missing branch_id; ","")&amp;IF(G27="","missing first_name; ","")&amp;IF(I27="","missing last_name; ","")&amp;IF(M27="","missing primary_phone; ","")&amp;IF(AND(M27&lt;&gt;"",COUNTIF($M$6:$M$505,M27)&gt;1),"duplicate primary_phone; ","")&amp;IF(AND(L27="mobile",N27&lt;&gt;"invalid",OR(LEN(M27)&lt;&gt;10,LEFT(M27,2)&lt;&gt;"09")),"mobile must be 09XXXXXXXX or status invalid; ","")&amp;IF(T27="","missing neighborhood_id; ","")))))</x:f>
      </x:c>
    </x:row>
    <x:row r="28">
      <x:c r="A28" s="232"/>
      <x:c r="B28" s="233"/>
      <x:c r="C28" s="234"/>
      <x:c r="D28" s="233"/>
      <x:c r="E28" s="233"/>
      <x:c r="F28" s="233"/>
      <x:c r="G28" s="233"/>
      <x:c r="H28" s="233"/>
      <x:c r="I28" s="233"/>
      <x:c r="J28" s="233"/>
      <x:c r="K28" s="233" t="str">
        <x:f>TRIM(G28&amp;" "&amp;H28&amp;" "&amp;I28&amp;IF(J28&lt;&gt;""," ("&amp;J28&amp;")",""))</x:f>
      </x:c>
      <x:c r="L28" s="233"/>
      <x:c r="M28" s="234"/>
      <x:c r="N28" s="233"/>
      <x:c r="O28" s="233"/>
      <x:c r="P28" s="233"/>
      <x:c r="Q28" s="233"/>
      <x:c r="R28" s="233"/>
      <x:c r="S28" s="233"/>
      <x:c r="T28" s="233"/>
      <x:c r="U28" s="233"/>
      <x:c r="V28" s="233"/>
      <x:c r="W28" s="235"/>
      <x:c r="X28" s="235"/>
      <x:c r="Y28" s="233"/>
      <x:c r="Z28" s="233"/>
      <x:c r="AA28" s="233"/>
      <x:c r="AB28" s="233"/>
      <x:c r="AC28" s="236"/>
      <x:c r="AD28" s="233"/>
      <x:c r="AE28" s="233"/>
      <x:c r="AF28" s="233"/>
      <x:c r="AG28" s="233"/>
      <x:c r="AH28" s="234"/>
      <x:c r="AI28" s="233"/>
      <x:c r="AJ28" s="233"/>
      <x:c r="AK28" s="233"/>
      <x:c r="AL28" s="236"/>
      <x:c r="AM28" s="233"/>
      <x:c r="AN28" s="233"/>
      <x:c r="AO28" s="234"/>
      <x:c r="AP28" s="234"/>
      <x:c r="AQ28" s="233"/>
      <x:c r="AR28" s="236"/>
      <x:c r="AS28" s="234"/>
      <x:c r="AT28" s="233"/>
      <x:c r="AU28" s="233"/>
      <x:c r="AV28" s="233"/>
      <x:c r="AW28" s="233"/>
      <x:c r="AX28" s="233"/>
      <x:c r="AY28" s="233"/>
      <x:c r="AZ28" s="236"/>
      <x:c r="BA28" s="233"/>
      <x:c r="BB28" s="233"/>
      <x:c r="BC28" s="233"/>
      <x:c r="BD28" s="233"/>
      <x:c r="BE28" s="237" t="str">
        <x:f>IF(AND(A28="",B28="",C28="",E28="",G28="",I28="",M28="",T28="",BB28="",BD28=""),"",IF(B28="skip","SKIP",IF(OR(B28="",A28="",E28="",G28="",I28="",M28="",T28="",COUNTIF($A$6:$A$505,A28)&gt;1,COUNTIF($M$6:$M$505,M28)&gt;1,AND(L28="mobile",N28&lt;&gt;"invalid",OR(LEN(M28)&lt;&gt;10,LEFT(M28,2)&lt;&gt;"09"))),"REVIEW","READY")))</x:f>
      </x:c>
      <x:c r="BF28" s="238" t="str">
        <x:f>IF(BE28="","",IF(BE28="READY","",IF(B28="skip","Skipped by import_action",TRIM(IF(B28="","missing import_action; ","")&amp;IF(A28="","missing migration_customer_key; ","")&amp;IF(AND(A28&lt;&gt;"",COUNTIF($A$6:$A$505,A28)&gt;1),"duplicate migration_customer_key; ","")&amp;IF(E28="","missing branch_id; ","")&amp;IF(G28="","missing first_name; ","")&amp;IF(I28="","missing last_name; ","")&amp;IF(M28="","missing primary_phone; ","")&amp;IF(AND(M28&lt;&gt;"",COUNTIF($M$6:$M$505,M28)&gt;1),"duplicate primary_phone; ","")&amp;IF(AND(L28="mobile",N28&lt;&gt;"invalid",OR(LEN(M28)&lt;&gt;10,LEFT(M28,2)&lt;&gt;"09")),"mobile must be 09XXXXXXXX or status invalid; ","")&amp;IF(T28="","missing neighborhood_id; ","")))))</x:f>
      </x:c>
    </x:row>
    <x:row r="29">
      <x:c r="A29" s="232"/>
      <x:c r="B29" s="233"/>
      <x:c r="C29" s="234"/>
      <x:c r="D29" s="233"/>
      <x:c r="E29" s="233"/>
      <x:c r="F29" s="233"/>
      <x:c r="G29" s="233"/>
      <x:c r="H29" s="233"/>
      <x:c r="I29" s="233"/>
      <x:c r="J29" s="233"/>
      <x:c r="K29" s="233" t="str">
        <x:f>TRIM(G29&amp;" "&amp;H29&amp;" "&amp;I29&amp;IF(J29&lt;&gt;""," ("&amp;J29&amp;")",""))</x:f>
      </x:c>
      <x:c r="L29" s="233"/>
      <x:c r="M29" s="234"/>
      <x:c r="N29" s="233"/>
      <x:c r="O29" s="233"/>
      <x:c r="P29" s="233"/>
      <x:c r="Q29" s="233"/>
      <x:c r="R29" s="233"/>
      <x:c r="S29" s="233"/>
      <x:c r="T29" s="233"/>
      <x:c r="U29" s="233"/>
      <x:c r="V29" s="233"/>
      <x:c r="W29" s="235"/>
      <x:c r="X29" s="235"/>
      <x:c r="Y29" s="233"/>
      <x:c r="Z29" s="233"/>
      <x:c r="AA29" s="233"/>
      <x:c r="AB29" s="233"/>
      <x:c r="AC29" s="236"/>
      <x:c r="AD29" s="233"/>
      <x:c r="AE29" s="233"/>
      <x:c r="AF29" s="233"/>
      <x:c r="AG29" s="233"/>
      <x:c r="AH29" s="234"/>
      <x:c r="AI29" s="233"/>
      <x:c r="AJ29" s="233"/>
      <x:c r="AK29" s="233"/>
      <x:c r="AL29" s="236"/>
      <x:c r="AM29" s="233"/>
      <x:c r="AN29" s="233"/>
      <x:c r="AO29" s="234"/>
      <x:c r="AP29" s="234"/>
      <x:c r="AQ29" s="233"/>
      <x:c r="AR29" s="236"/>
      <x:c r="AS29" s="234"/>
      <x:c r="AT29" s="233"/>
      <x:c r="AU29" s="233"/>
      <x:c r="AV29" s="233"/>
      <x:c r="AW29" s="233"/>
      <x:c r="AX29" s="233"/>
      <x:c r="AY29" s="233"/>
      <x:c r="AZ29" s="236"/>
      <x:c r="BA29" s="233"/>
      <x:c r="BB29" s="233"/>
      <x:c r="BC29" s="233"/>
      <x:c r="BD29" s="233"/>
      <x:c r="BE29" s="237" t="str">
        <x:f>IF(AND(A29="",B29="",C29="",E29="",G29="",I29="",M29="",T29="",BB29="",BD29=""),"",IF(B29="skip","SKIP",IF(OR(B29="",A29="",E29="",G29="",I29="",M29="",T29="",COUNTIF($A$6:$A$505,A29)&gt;1,COUNTIF($M$6:$M$505,M29)&gt;1,AND(L29="mobile",N29&lt;&gt;"invalid",OR(LEN(M29)&lt;&gt;10,LEFT(M29,2)&lt;&gt;"09"))),"REVIEW","READY")))</x:f>
      </x:c>
      <x:c r="BF29" s="238" t="str">
        <x:f>IF(BE29="","",IF(BE29="READY","",IF(B29="skip","Skipped by import_action",TRIM(IF(B29="","missing import_action; ","")&amp;IF(A29="","missing migration_customer_key; ","")&amp;IF(AND(A29&lt;&gt;"",COUNTIF($A$6:$A$505,A29)&gt;1),"duplicate migration_customer_key; ","")&amp;IF(E29="","missing branch_id; ","")&amp;IF(G29="","missing first_name; ","")&amp;IF(I29="","missing last_name; ","")&amp;IF(M29="","missing primary_phone; ","")&amp;IF(AND(M29&lt;&gt;"",COUNTIF($M$6:$M$505,M29)&gt;1),"duplicate primary_phone; ","")&amp;IF(AND(L29="mobile",N29&lt;&gt;"invalid",OR(LEN(M29)&lt;&gt;10,LEFT(M29,2)&lt;&gt;"09")),"mobile must be 09XXXXXXXX or status invalid; ","")&amp;IF(T29="","missing neighborhood_id; ","")))))</x:f>
      </x:c>
    </x:row>
    <x:row r="30">
      <x:c r="A30" s="232"/>
      <x:c r="B30" s="233"/>
      <x:c r="C30" s="234"/>
      <x:c r="D30" s="233"/>
      <x:c r="E30" s="233"/>
      <x:c r="F30" s="233"/>
      <x:c r="G30" s="233"/>
      <x:c r="H30" s="233"/>
      <x:c r="I30" s="233"/>
      <x:c r="J30" s="233"/>
      <x:c r="K30" s="233" t="str">
        <x:f>TRIM(G30&amp;" "&amp;H30&amp;" "&amp;I30&amp;IF(J30&lt;&gt;""," ("&amp;J30&amp;")",""))</x:f>
      </x:c>
      <x:c r="L30" s="233"/>
      <x:c r="M30" s="234"/>
      <x:c r="N30" s="233"/>
      <x:c r="O30" s="233"/>
      <x:c r="P30" s="233"/>
      <x:c r="Q30" s="233"/>
      <x:c r="R30" s="233"/>
      <x:c r="S30" s="233"/>
      <x:c r="T30" s="233"/>
      <x:c r="U30" s="233"/>
      <x:c r="V30" s="233"/>
      <x:c r="W30" s="235"/>
      <x:c r="X30" s="235"/>
      <x:c r="Y30" s="233"/>
      <x:c r="Z30" s="233"/>
      <x:c r="AA30" s="233"/>
      <x:c r="AB30" s="233"/>
      <x:c r="AC30" s="236"/>
      <x:c r="AD30" s="233"/>
      <x:c r="AE30" s="233"/>
      <x:c r="AF30" s="233"/>
      <x:c r="AG30" s="233"/>
      <x:c r="AH30" s="234"/>
      <x:c r="AI30" s="233"/>
      <x:c r="AJ30" s="233"/>
      <x:c r="AK30" s="233"/>
      <x:c r="AL30" s="236"/>
      <x:c r="AM30" s="233"/>
      <x:c r="AN30" s="233"/>
      <x:c r="AO30" s="234"/>
      <x:c r="AP30" s="234"/>
      <x:c r="AQ30" s="233"/>
      <x:c r="AR30" s="236"/>
      <x:c r="AS30" s="234"/>
      <x:c r="AT30" s="233"/>
      <x:c r="AU30" s="233"/>
      <x:c r="AV30" s="233"/>
      <x:c r="AW30" s="233"/>
      <x:c r="AX30" s="233"/>
      <x:c r="AY30" s="233"/>
      <x:c r="AZ30" s="236"/>
      <x:c r="BA30" s="233"/>
      <x:c r="BB30" s="233"/>
      <x:c r="BC30" s="233"/>
      <x:c r="BD30" s="233"/>
      <x:c r="BE30" s="237" t="str">
        <x:f>IF(AND(A30="",B30="",C30="",E30="",G30="",I30="",M30="",T30="",BB30="",BD30=""),"",IF(B30="skip","SKIP",IF(OR(B30="",A30="",E30="",G30="",I30="",M30="",T30="",COUNTIF($A$6:$A$505,A30)&gt;1,COUNTIF($M$6:$M$505,M30)&gt;1,AND(L30="mobile",N30&lt;&gt;"invalid",OR(LEN(M30)&lt;&gt;10,LEFT(M30,2)&lt;&gt;"09"))),"REVIEW","READY")))</x:f>
      </x:c>
      <x:c r="BF30" s="238" t="str">
        <x:f>IF(BE30="","",IF(BE30="READY","",IF(B30="skip","Skipped by import_action",TRIM(IF(B30="","missing import_action; ","")&amp;IF(A30="","missing migration_customer_key; ","")&amp;IF(AND(A30&lt;&gt;"",COUNTIF($A$6:$A$505,A30)&gt;1),"duplicate migration_customer_key; ","")&amp;IF(E30="","missing branch_id; ","")&amp;IF(G30="","missing first_name; ","")&amp;IF(I30="","missing last_name; ","")&amp;IF(M30="","missing primary_phone; ","")&amp;IF(AND(M30&lt;&gt;"",COUNTIF($M$6:$M$505,M30)&gt;1),"duplicate primary_phone; ","")&amp;IF(AND(L30="mobile",N30&lt;&gt;"invalid",OR(LEN(M30)&lt;&gt;10,LEFT(M30,2)&lt;&gt;"09")),"mobile must be 09XXXXXXXX or status invalid; ","")&amp;IF(T30="","missing neighborhood_id; ","")))))</x:f>
      </x:c>
    </x:row>
    <x:row r="31">
      <x:c r="A31" s="232"/>
      <x:c r="B31" s="233"/>
      <x:c r="C31" s="234"/>
      <x:c r="D31" s="233"/>
      <x:c r="E31" s="233"/>
      <x:c r="F31" s="233"/>
      <x:c r="G31" s="233"/>
      <x:c r="H31" s="233"/>
      <x:c r="I31" s="233"/>
      <x:c r="J31" s="233"/>
      <x:c r="K31" s="233" t="str">
        <x:f>TRIM(G31&amp;" "&amp;H31&amp;" "&amp;I31&amp;IF(J31&lt;&gt;""," ("&amp;J31&amp;")",""))</x:f>
      </x:c>
      <x:c r="L31" s="233"/>
      <x:c r="M31" s="234"/>
      <x:c r="N31" s="233"/>
      <x:c r="O31" s="233"/>
      <x:c r="P31" s="233"/>
      <x:c r="Q31" s="233"/>
      <x:c r="R31" s="233"/>
      <x:c r="S31" s="233"/>
      <x:c r="T31" s="233"/>
      <x:c r="U31" s="233"/>
      <x:c r="V31" s="233"/>
      <x:c r="W31" s="235"/>
      <x:c r="X31" s="235"/>
      <x:c r="Y31" s="233"/>
      <x:c r="Z31" s="233"/>
      <x:c r="AA31" s="233"/>
      <x:c r="AB31" s="233"/>
      <x:c r="AC31" s="236"/>
      <x:c r="AD31" s="233"/>
      <x:c r="AE31" s="233"/>
      <x:c r="AF31" s="233"/>
      <x:c r="AG31" s="233"/>
      <x:c r="AH31" s="234"/>
      <x:c r="AI31" s="233"/>
      <x:c r="AJ31" s="233"/>
      <x:c r="AK31" s="233"/>
      <x:c r="AL31" s="236"/>
      <x:c r="AM31" s="233"/>
      <x:c r="AN31" s="233"/>
      <x:c r="AO31" s="234"/>
      <x:c r="AP31" s="234"/>
      <x:c r="AQ31" s="233"/>
      <x:c r="AR31" s="236"/>
      <x:c r="AS31" s="234"/>
      <x:c r="AT31" s="233"/>
      <x:c r="AU31" s="233"/>
      <x:c r="AV31" s="233"/>
      <x:c r="AW31" s="233"/>
      <x:c r="AX31" s="233"/>
      <x:c r="AY31" s="233"/>
      <x:c r="AZ31" s="236"/>
      <x:c r="BA31" s="233"/>
      <x:c r="BB31" s="233"/>
      <x:c r="BC31" s="233"/>
      <x:c r="BD31" s="233"/>
      <x:c r="BE31" s="237" t="str">
        <x:f>IF(AND(A31="",B31="",C31="",E31="",G31="",I31="",M31="",T31="",BB31="",BD31=""),"",IF(B31="skip","SKIP",IF(OR(B31="",A31="",E31="",G31="",I31="",M31="",T31="",COUNTIF($A$6:$A$505,A31)&gt;1,COUNTIF($M$6:$M$505,M31)&gt;1,AND(L31="mobile",N31&lt;&gt;"invalid",OR(LEN(M31)&lt;&gt;10,LEFT(M31,2)&lt;&gt;"09"))),"REVIEW","READY")))</x:f>
      </x:c>
      <x:c r="BF31" s="238" t="str">
        <x:f>IF(BE31="","",IF(BE31="READY","",IF(B31="skip","Skipped by import_action",TRIM(IF(B31="","missing import_action; ","")&amp;IF(A31="","missing migration_customer_key; ","")&amp;IF(AND(A31&lt;&gt;"",COUNTIF($A$6:$A$505,A31)&gt;1),"duplicate migration_customer_key; ","")&amp;IF(E31="","missing branch_id; ","")&amp;IF(G31="","missing first_name; ","")&amp;IF(I31="","missing last_name; ","")&amp;IF(M31="","missing primary_phone; ","")&amp;IF(AND(M31&lt;&gt;"",COUNTIF($M$6:$M$505,M31)&gt;1),"duplicate primary_phone; ","")&amp;IF(AND(L31="mobile",N31&lt;&gt;"invalid",OR(LEN(M31)&lt;&gt;10,LEFT(M31,2)&lt;&gt;"09")),"mobile must be 09XXXXXXXX or status invalid; ","")&amp;IF(T31="","missing neighborhood_id; ","")))))</x:f>
      </x:c>
    </x:row>
    <x:row r="32">
      <x:c r="A32" s="232"/>
      <x:c r="B32" s="233"/>
      <x:c r="C32" s="234"/>
      <x:c r="D32" s="233"/>
      <x:c r="E32" s="233"/>
      <x:c r="F32" s="233"/>
      <x:c r="G32" s="233"/>
      <x:c r="H32" s="233"/>
      <x:c r="I32" s="233"/>
      <x:c r="J32" s="233"/>
      <x:c r="K32" s="233" t="str">
        <x:f>TRIM(G32&amp;" "&amp;H32&amp;" "&amp;I32&amp;IF(J32&lt;&gt;""," ("&amp;J32&amp;")",""))</x:f>
      </x:c>
      <x:c r="L32" s="233"/>
      <x:c r="M32" s="234"/>
      <x:c r="N32" s="233"/>
      <x:c r="O32" s="233"/>
      <x:c r="P32" s="233"/>
      <x:c r="Q32" s="233"/>
      <x:c r="R32" s="233"/>
      <x:c r="S32" s="233"/>
      <x:c r="T32" s="233"/>
      <x:c r="U32" s="233"/>
      <x:c r="V32" s="233"/>
      <x:c r="W32" s="235"/>
      <x:c r="X32" s="235"/>
      <x:c r="Y32" s="233"/>
      <x:c r="Z32" s="233"/>
      <x:c r="AA32" s="233"/>
      <x:c r="AB32" s="233"/>
      <x:c r="AC32" s="236"/>
      <x:c r="AD32" s="233"/>
      <x:c r="AE32" s="233"/>
      <x:c r="AF32" s="233"/>
      <x:c r="AG32" s="233"/>
      <x:c r="AH32" s="234"/>
      <x:c r="AI32" s="233"/>
      <x:c r="AJ32" s="233"/>
      <x:c r="AK32" s="233"/>
      <x:c r="AL32" s="236"/>
      <x:c r="AM32" s="233"/>
      <x:c r="AN32" s="233"/>
      <x:c r="AO32" s="234"/>
      <x:c r="AP32" s="234"/>
      <x:c r="AQ32" s="233"/>
      <x:c r="AR32" s="236"/>
      <x:c r="AS32" s="234"/>
      <x:c r="AT32" s="233"/>
      <x:c r="AU32" s="233"/>
      <x:c r="AV32" s="233"/>
      <x:c r="AW32" s="233"/>
      <x:c r="AX32" s="233"/>
      <x:c r="AY32" s="233"/>
      <x:c r="AZ32" s="236"/>
      <x:c r="BA32" s="233"/>
      <x:c r="BB32" s="233"/>
      <x:c r="BC32" s="233"/>
      <x:c r="BD32" s="233"/>
      <x:c r="BE32" s="237" t="str">
        <x:f>IF(AND(A32="",B32="",C32="",E32="",G32="",I32="",M32="",T32="",BB32="",BD32=""),"",IF(B32="skip","SKIP",IF(OR(B32="",A32="",E32="",G32="",I32="",M32="",T32="",COUNTIF($A$6:$A$505,A32)&gt;1,COUNTIF($M$6:$M$505,M32)&gt;1,AND(L32="mobile",N32&lt;&gt;"invalid",OR(LEN(M32)&lt;&gt;10,LEFT(M32,2)&lt;&gt;"09"))),"REVIEW","READY")))</x:f>
      </x:c>
      <x:c r="BF32" s="238" t="str">
        <x:f>IF(BE32="","",IF(BE32="READY","",IF(B32="skip","Skipped by import_action",TRIM(IF(B32="","missing import_action; ","")&amp;IF(A32="","missing migration_customer_key; ","")&amp;IF(AND(A32&lt;&gt;"",COUNTIF($A$6:$A$505,A32)&gt;1),"duplicate migration_customer_key; ","")&amp;IF(E32="","missing branch_id; ","")&amp;IF(G32="","missing first_name; ","")&amp;IF(I32="","missing last_name; ","")&amp;IF(M32="","missing primary_phone; ","")&amp;IF(AND(M32&lt;&gt;"",COUNTIF($M$6:$M$505,M32)&gt;1),"duplicate primary_phone; ","")&amp;IF(AND(L32="mobile",N32&lt;&gt;"invalid",OR(LEN(M32)&lt;&gt;10,LEFT(M32,2)&lt;&gt;"09")),"mobile must be 09XXXXXXXX or status invalid; ","")&amp;IF(T32="","missing neighborhood_id; ","")))))</x:f>
      </x:c>
    </x:row>
    <x:row r="33">
      <x:c r="A33" s="232"/>
      <x:c r="B33" s="233"/>
      <x:c r="C33" s="234"/>
      <x:c r="D33" s="233"/>
      <x:c r="E33" s="233"/>
      <x:c r="F33" s="233"/>
      <x:c r="G33" s="233"/>
      <x:c r="H33" s="233"/>
      <x:c r="I33" s="233"/>
      <x:c r="J33" s="233"/>
      <x:c r="K33" s="233" t="str">
        <x:f>TRIM(G33&amp;" "&amp;H33&amp;" "&amp;I33&amp;IF(J33&lt;&gt;""," ("&amp;J33&amp;")",""))</x:f>
      </x:c>
      <x:c r="L33" s="233"/>
      <x:c r="M33" s="234"/>
      <x:c r="N33" s="233"/>
      <x:c r="O33" s="233"/>
      <x:c r="P33" s="233"/>
      <x:c r="Q33" s="233"/>
      <x:c r="R33" s="233"/>
      <x:c r="S33" s="233"/>
      <x:c r="T33" s="233"/>
      <x:c r="U33" s="233"/>
      <x:c r="V33" s="233"/>
      <x:c r="W33" s="235"/>
      <x:c r="X33" s="235"/>
      <x:c r="Y33" s="233"/>
      <x:c r="Z33" s="233"/>
      <x:c r="AA33" s="233"/>
      <x:c r="AB33" s="233"/>
      <x:c r="AC33" s="236"/>
      <x:c r="AD33" s="233"/>
      <x:c r="AE33" s="233"/>
      <x:c r="AF33" s="233"/>
      <x:c r="AG33" s="233"/>
      <x:c r="AH33" s="234"/>
      <x:c r="AI33" s="233"/>
      <x:c r="AJ33" s="233"/>
      <x:c r="AK33" s="233"/>
      <x:c r="AL33" s="236"/>
      <x:c r="AM33" s="233"/>
      <x:c r="AN33" s="233"/>
      <x:c r="AO33" s="234"/>
      <x:c r="AP33" s="234"/>
      <x:c r="AQ33" s="233"/>
      <x:c r="AR33" s="236"/>
      <x:c r="AS33" s="234"/>
      <x:c r="AT33" s="233"/>
      <x:c r="AU33" s="233"/>
      <x:c r="AV33" s="233"/>
      <x:c r="AW33" s="233"/>
      <x:c r="AX33" s="233"/>
      <x:c r="AY33" s="233"/>
      <x:c r="AZ33" s="236"/>
      <x:c r="BA33" s="233"/>
      <x:c r="BB33" s="233"/>
      <x:c r="BC33" s="233"/>
      <x:c r="BD33" s="233"/>
      <x:c r="BE33" s="237" t="str">
        <x:f>IF(AND(A33="",B33="",C33="",E33="",G33="",I33="",M33="",T33="",BB33="",BD33=""),"",IF(B33="skip","SKIP",IF(OR(B33="",A33="",E33="",G33="",I33="",M33="",T33="",COUNTIF($A$6:$A$505,A33)&gt;1,COUNTIF($M$6:$M$505,M33)&gt;1,AND(L33="mobile",N33&lt;&gt;"invalid",OR(LEN(M33)&lt;&gt;10,LEFT(M33,2)&lt;&gt;"09"))),"REVIEW","READY")))</x:f>
      </x:c>
      <x:c r="BF33" s="238" t="str">
        <x:f>IF(BE33="","",IF(BE33="READY","",IF(B33="skip","Skipped by import_action",TRIM(IF(B33="","missing import_action; ","")&amp;IF(A33="","missing migration_customer_key; ","")&amp;IF(AND(A33&lt;&gt;"",COUNTIF($A$6:$A$505,A33)&gt;1),"duplicate migration_customer_key; ","")&amp;IF(E33="","missing branch_id; ","")&amp;IF(G33="","missing first_name; ","")&amp;IF(I33="","missing last_name; ","")&amp;IF(M33="","missing primary_phone; ","")&amp;IF(AND(M33&lt;&gt;"",COUNTIF($M$6:$M$505,M33)&gt;1),"duplicate primary_phone; ","")&amp;IF(AND(L33="mobile",N33&lt;&gt;"invalid",OR(LEN(M33)&lt;&gt;10,LEFT(M33,2)&lt;&gt;"09")),"mobile must be 09XXXXXXXX or status invalid; ","")&amp;IF(T33="","missing neighborhood_id; ","")))))</x:f>
      </x:c>
    </x:row>
    <x:row r="34">
      <x:c r="A34" s="232"/>
      <x:c r="B34" s="233"/>
      <x:c r="C34" s="234"/>
      <x:c r="D34" s="233"/>
      <x:c r="E34" s="233"/>
      <x:c r="F34" s="233"/>
      <x:c r="G34" s="233"/>
      <x:c r="H34" s="233"/>
      <x:c r="I34" s="233"/>
      <x:c r="J34" s="233"/>
      <x:c r="K34" s="233" t="str">
        <x:f>TRIM(G34&amp;" "&amp;H34&amp;" "&amp;I34&amp;IF(J34&lt;&gt;""," ("&amp;J34&amp;")",""))</x:f>
      </x:c>
      <x:c r="L34" s="233"/>
      <x:c r="M34" s="234"/>
      <x:c r="N34" s="233"/>
      <x:c r="O34" s="233"/>
      <x:c r="P34" s="233"/>
      <x:c r="Q34" s="233"/>
      <x:c r="R34" s="233"/>
      <x:c r="S34" s="233"/>
      <x:c r="T34" s="233"/>
      <x:c r="U34" s="233"/>
      <x:c r="V34" s="233"/>
      <x:c r="W34" s="235"/>
      <x:c r="X34" s="235"/>
      <x:c r="Y34" s="233"/>
      <x:c r="Z34" s="233"/>
      <x:c r="AA34" s="233"/>
      <x:c r="AB34" s="233"/>
      <x:c r="AC34" s="236"/>
      <x:c r="AD34" s="233"/>
      <x:c r="AE34" s="233"/>
      <x:c r="AF34" s="233"/>
      <x:c r="AG34" s="233"/>
      <x:c r="AH34" s="234"/>
      <x:c r="AI34" s="233"/>
      <x:c r="AJ34" s="233"/>
      <x:c r="AK34" s="233"/>
      <x:c r="AL34" s="236"/>
      <x:c r="AM34" s="233"/>
      <x:c r="AN34" s="233"/>
      <x:c r="AO34" s="234"/>
      <x:c r="AP34" s="234"/>
      <x:c r="AQ34" s="233"/>
      <x:c r="AR34" s="236"/>
      <x:c r="AS34" s="234"/>
      <x:c r="AT34" s="233"/>
      <x:c r="AU34" s="233"/>
      <x:c r="AV34" s="233"/>
      <x:c r="AW34" s="233"/>
      <x:c r="AX34" s="233"/>
      <x:c r="AY34" s="233"/>
      <x:c r="AZ34" s="236"/>
      <x:c r="BA34" s="233"/>
      <x:c r="BB34" s="233"/>
      <x:c r="BC34" s="233"/>
      <x:c r="BD34" s="233"/>
      <x:c r="BE34" s="237" t="str">
        <x:f>IF(AND(A34="",B34="",C34="",E34="",G34="",I34="",M34="",T34="",BB34="",BD34=""),"",IF(B34="skip","SKIP",IF(OR(B34="",A34="",E34="",G34="",I34="",M34="",T34="",COUNTIF($A$6:$A$505,A34)&gt;1,COUNTIF($M$6:$M$505,M34)&gt;1,AND(L34="mobile",N34&lt;&gt;"invalid",OR(LEN(M34)&lt;&gt;10,LEFT(M34,2)&lt;&gt;"09"))),"REVIEW","READY")))</x:f>
      </x:c>
      <x:c r="BF34" s="238" t="str">
        <x:f>IF(BE34="","",IF(BE34="READY","",IF(B34="skip","Skipped by import_action",TRIM(IF(B34="","missing import_action; ","")&amp;IF(A34="","missing migration_customer_key; ","")&amp;IF(AND(A34&lt;&gt;"",COUNTIF($A$6:$A$505,A34)&gt;1),"duplicate migration_customer_key; ","")&amp;IF(E34="","missing branch_id; ","")&amp;IF(G34="","missing first_name; ","")&amp;IF(I34="","missing last_name; ","")&amp;IF(M34="","missing primary_phone; ","")&amp;IF(AND(M34&lt;&gt;"",COUNTIF($M$6:$M$505,M34)&gt;1),"duplicate primary_phone; ","")&amp;IF(AND(L34="mobile",N34&lt;&gt;"invalid",OR(LEN(M34)&lt;&gt;10,LEFT(M34,2)&lt;&gt;"09")),"mobile must be 09XXXXXXXX or status invalid; ","")&amp;IF(T34="","missing neighborhood_id; ","")))))</x:f>
      </x:c>
    </x:row>
    <x:row r="35">
      <x:c r="A35" s="232"/>
      <x:c r="B35" s="233"/>
      <x:c r="C35" s="234"/>
      <x:c r="D35" s="233"/>
      <x:c r="E35" s="233"/>
      <x:c r="F35" s="233"/>
      <x:c r="G35" s="233"/>
      <x:c r="H35" s="233"/>
      <x:c r="I35" s="233"/>
      <x:c r="J35" s="233"/>
      <x:c r="K35" s="233" t="str">
        <x:f>TRIM(G35&amp;" "&amp;H35&amp;" "&amp;I35&amp;IF(J35&lt;&gt;""," ("&amp;J35&amp;")",""))</x:f>
      </x:c>
      <x:c r="L35" s="233"/>
      <x:c r="M35" s="234"/>
      <x:c r="N35" s="233"/>
      <x:c r="O35" s="233"/>
      <x:c r="P35" s="233"/>
      <x:c r="Q35" s="233"/>
      <x:c r="R35" s="233"/>
      <x:c r="S35" s="233"/>
      <x:c r="T35" s="233"/>
      <x:c r="U35" s="233"/>
      <x:c r="V35" s="233"/>
      <x:c r="W35" s="235"/>
      <x:c r="X35" s="235"/>
      <x:c r="Y35" s="233"/>
      <x:c r="Z35" s="233"/>
      <x:c r="AA35" s="233"/>
      <x:c r="AB35" s="233"/>
      <x:c r="AC35" s="236"/>
      <x:c r="AD35" s="233"/>
      <x:c r="AE35" s="233"/>
      <x:c r="AF35" s="233"/>
      <x:c r="AG35" s="233"/>
      <x:c r="AH35" s="234"/>
      <x:c r="AI35" s="233"/>
      <x:c r="AJ35" s="233"/>
      <x:c r="AK35" s="233"/>
      <x:c r="AL35" s="236"/>
      <x:c r="AM35" s="233"/>
      <x:c r="AN35" s="233"/>
      <x:c r="AO35" s="234"/>
      <x:c r="AP35" s="234"/>
      <x:c r="AQ35" s="233"/>
      <x:c r="AR35" s="236"/>
      <x:c r="AS35" s="234"/>
      <x:c r="AT35" s="233"/>
      <x:c r="AU35" s="233"/>
      <x:c r="AV35" s="233"/>
      <x:c r="AW35" s="233"/>
      <x:c r="AX35" s="233"/>
      <x:c r="AY35" s="233"/>
      <x:c r="AZ35" s="236"/>
      <x:c r="BA35" s="233"/>
      <x:c r="BB35" s="233"/>
      <x:c r="BC35" s="233"/>
      <x:c r="BD35" s="233"/>
      <x:c r="BE35" s="237" t="str">
        <x:f>IF(AND(A35="",B35="",C35="",E35="",G35="",I35="",M35="",T35="",BB35="",BD35=""),"",IF(B35="skip","SKIP",IF(OR(B35="",A35="",E35="",G35="",I35="",M35="",T35="",COUNTIF($A$6:$A$505,A35)&gt;1,COUNTIF($M$6:$M$505,M35)&gt;1,AND(L35="mobile",N35&lt;&gt;"invalid",OR(LEN(M35)&lt;&gt;10,LEFT(M35,2)&lt;&gt;"09"))),"REVIEW","READY")))</x:f>
      </x:c>
      <x:c r="BF35" s="238" t="str">
        <x:f>IF(BE35="","",IF(BE35="READY","",IF(B35="skip","Skipped by import_action",TRIM(IF(B35="","missing import_action; ","")&amp;IF(A35="","missing migration_customer_key; ","")&amp;IF(AND(A35&lt;&gt;"",COUNTIF($A$6:$A$505,A35)&gt;1),"duplicate migration_customer_key; ","")&amp;IF(E35="","missing branch_id; ","")&amp;IF(G35="","missing first_name; ","")&amp;IF(I35="","missing last_name; ","")&amp;IF(M35="","missing primary_phone; ","")&amp;IF(AND(M35&lt;&gt;"",COUNTIF($M$6:$M$505,M35)&gt;1),"duplicate primary_phone; ","")&amp;IF(AND(L35="mobile",N35&lt;&gt;"invalid",OR(LEN(M35)&lt;&gt;10,LEFT(M35,2)&lt;&gt;"09")),"mobile must be 09XXXXXXXX or status invalid; ","")&amp;IF(T35="","missing neighborhood_id; ","")))))</x:f>
      </x:c>
    </x:row>
    <x:row r="36">
      <x:c r="A36" s="232"/>
      <x:c r="B36" s="233"/>
      <x:c r="C36" s="234"/>
      <x:c r="D36" s="233"/>
      <x:c r="E36" s="233"/>
      <x:c r="F36" s="233"/>
      <x:c r="G36" s="233"/>
      <x:c r="H36" s="233"/>
      <x:c r="I36" s="233"/>
      <x:c r="J36" s="233"/>
      <x:c r="K36" s="233" t="str">
        <x:f>TRIM(G36&amp;" "&amp;H36&amp;" "&amp;I36&amp;IF(J36&lt;&gt;""," ("&amp;J36&amp;")",""))</x:f>
      </x:c>
      <x:c r="L36" s="233"/>
      <x:c r="M36" s="234"/>
      <x:c r="N36" s="233"/>
      <x:c r="O36" s="233"/>
      <x:c r="P36" s="233"/>
      <x:c r="Q36" s="233"/>
      <x:c r="R36" s="233"/>
      <x:c r="S36" s="233"/>
      <x:c r="T36" s="233"/>
      <x:c r="U36" s="233"/>
      <x:c r="V36" s="233"/>
      <x:c r="W36" s="235"/>
      <x:c r="X36" s="235"/>
      <x:c r="Y36" s="233"/>
      <x:c r="Z36" s="233"/>
      <x:c r="AA36" s="233"/>
      <x:c r="AB36" s="233"/>
      <x:c r="AC36" s="236"/>
      <x:c r="AD36" s="233"/>
      <x:c r="AE36" s="233"/>
      <x:c r="AF36" s="233"/>
      <x:c r="AG36" s="233"/>
      <x:c r="AH36" s="234"/>
      <x:c r="AI36" s="233"/>
      <x:c r="AJ36" s="233"/>
      <x:c r="AK36" s="233"/>
      <x:c r="AL36" s="236"/>
      <x:c r="AM36" s="233"/>
      <x:c r="AN36" s="233"/>
      <x:c r="AO36" s="234"/>
      <x:c r="AP36" s="234"/>
      <x:c r="AQ36" s="233"/>
      <x:c r="AR36" s="236"/>
      <x:c r="AS36" s="234"/>
      <x:c r="AT36" s="233"/>
      <x:c r="AU36" s="233"/>
      <x:c r="AV36" s="233"/>
      <x:c r="AW36" s="233"/>
      <x:c r="AX36" s="233"/>
      <x:c r="AY36" s="233"/>
      <x:c r="AZ36" s="236"/>
      <x:c r="BA36" s="233"/>
      <x:c r="BB36" s="233"/>
      <x:c r="BC36" s="233"/>
      <x:c r="BD36" s="233"/>
      <x:c r="BE36" s="237" t="str">
        <x:f>IF(AND(A36="",B36="",C36="",E36="",G36="",I36="",M36="",T36="",BB36="",BD36=""),"",IF(B36="skip","SKIP",IF(OR(B36="",A36="",E36="",G36="",I36="",M36="",T36="",COUNTIF($A$6:$A$505,A36)&gt;1,COUNTIF($M$6:$M$505,M36)&gt;1,AND(L36="mobile",N36&lt;&gt;"invalid",OR(LEN(M36)&lt;&gt;10,LEFT(M36,2)&lt;&gt;"09"))),"REVIEW","READY")))</x:f>
      </x:c>
      <x:c r="BF36" s="238" t="str">
        <x:f>IF(BE36="","",IF(BE36="READY","",IF(B36="skip","Skipped by import_action",TRIM(IF(B36="","missing import_action; ","")&amp;IF(A36="","missing migration_customer_key; ","")&amp;IF(AND(A36&lt;&gt;"",COUNTIF($A$6:$A$505,A36)&gt;1),"duplicate migration_customer_key; ","")&amp;IF(E36="","missing branch_id; ","")&amp;IF(G36="","missing first_name; ","")&amp;IF(I36="","missing last_name; ","")&amp;IF(M36="","missing primary_phone; ","")&amp;IF(AND(M36&lt;&gt;"",COUNTIF($M$6:$M$505,M36)&gt;1),"duplicate primary_phone; ","")&amp;IF(AND(L36="mobile",N36&lt;&gt;"invalid",OR(LEN(M36)&lt;&gt;10,LEFT(M36,2)&lt;&gt;"09")),"mobile must be 09XXXXXXXX or status invalid; ","")&amp;IF(T36="","missing neighborhood_id; ","")))))</x:f>
      </x:c>
    </x:row>
    <x:row r="37">
      <x:c r="A37" s="232"/>
      <x:c r="B37" s="233"/>
      <x:c r="C37" s="234"/>
      <x:c r="D37" s="233"/>
      <x:c r="E37" s="233"/>
      <x:c r="F37" s="233"/>
      <x:c r="G37" s="233"/>
      <x:c r="H37" s="233"/>
      <x:c r="I37" s="233"/>
      <x:c r="J37" s="233"/>
      <x:c r="K37" s="233" t="str">
        <x:f>TRIM(G37&amp;" "&amp;H37&amp;" "&amp;I37&amp;IF(J37&lt;&gt;""," ("&amp;J37&amp;")",""))</x:f>
      </x:c>
      <x:c r="L37" s="233"/>
      <x:c r="M37" s="234"/>
      <x:c r="N37" s="233"/>
      <x:c r="O37" s="233"/>
      <x:c r="P37" s="233"/>
      <x:c r="Q37" s="233"/>
      <x:c r="R37" s="233"/>
      <x:c r="S37" s="233"/>
      <x:c r="T37" s="233"/>
      <x:c r="U37" s="233"/>
      <x:c r="V37" s="233"/>
      <x:c r="W37" s="235"/>
      <x:c r="X37" s="235"/>
      <x:c r="Y37" s="233"/>
      <x:c r="Z37" s="233"/>
      <x:c r="AA37" s="233"/>
      <x:c r="AB37" s="233"/>
      <x:c r="AC37" s="236"/>
      <x:c r="AD37" s="233"/>
      <x:c r="AE37" s="233"/>
      <x:c r="AF37" s="233"/>
      <x:c r="AG37" s="233"/>
      <x:c r="AH37" s="234"/>
      <x:c r="AI37" s="233"/>
      <x:c r="AJ37" s="233"/>
      <x:c r="AK37" s="233"/>
      <x:c r="AL37" s="236"/>
      <x:c r="AM37" s="233"/>
      <x:c r="AN37" s="233"/>
      <x:c r="AO37" s="234"/>
      <x:c r="AP37" s="234"/>
      <x:c r="AQ37" s="233"/>
      <x:c r="AR37" s="236"/>
      <x:c r="AS37" s="234"/>
      <x:c r="AT37" s="233"/>
      <x:c r="AU37" s="233"/>
      <x:c r="AV37" s="233"/>
      <x:c r="AW37" s="233"/>
      <x:c r="AX37" s="233"/>
      <x:c r="AY37" s="233"/>
      <x:c r="AZ37" s="236"/>
      <x:c r="BA37" s="233"/>
      <x:c r="BB37" s="233"/>
      <x:c r="BC37" s="233"/>
      <x:c r="BD37" s="233"/>
      <x:c r="BE37" s="237" t="str">
        <x:f>IF(AND(A37="",B37="",C37="",E37="",G37="",I37="",M37="",T37="",BB37="",BD37=""),"",IF(B37="skip","SKIP",IF(OR(B37="",A37="",E37="",G37="",I37="",M37="",T37="",COUNTIF($A$6:$A$505,A37)&gt;1,COUNTIF($M$6:$M$505,M37)&gt;1,AND(L37="mobile",N37&lt;&gt;"invalid",OR(LEN(M37)&lt;&gt;10,LEFT(M37,2)&lt;&gt;"09"))),"REVIEW","READY")))</x:f>
      </x:c>
      <x:c r="BF37" s="238" t="str">
        <x:f>IF(BE37="","",IF(BE37="READY","",IF(B37="skip","Skipped by import_action",TRIM(IF(B37="","missing import_action; ","")&amp;IF(A37="","missing migration_customer_key; ","")&amp;IF(AND(A37&lt;&gt;"",COUNTIF($A$6:$A$505,A37)&gt;1),"duplicate migration_customer_key; ","")&amp;IF(E37="","missing branch_id; ","")&amp;IF(G37="","missing first_name; ","")&amp;IF(I37="","missing last_name; ","")&amp;IF(M37="","missing primary_phone; ","")&amp;IF(AND(M37&lt;&gt;"",COUNTIF($M$6:$M$505,M37)&gt;1),"duplicate primary_phone; ","")&amp;IF(AND(L37="mobile",N37&lt;&gt;"invalid",OR(LEN(M37)&lt;&gt;10,LEFT(M37,2)&lt;&gt;"09")),"mobile must be 09XXXXXXXX or status invalid; ","")&amp;IF(T37="","missing neighborhood_id; ","")))))</x:f>
      </x:c>
    </x:row>
    <x:row r="38">
      <x:c r="A38" s="232"/>
      <x:c r="B38" s="233"/>
      <x:c r="C38" s="234"/>
      <x:c r="D38" s="233"/>
      <x:c r="E38" s="233"/>
      <x:c r="F38" s="233"/>
      <x:c r="G38" s="233"/>
      <x:c r="H38" s="233"/>
      <x:c r="I38" s="233"/>
      <x:c r="J38" s="233"/>
      <x:c r="K38" s="233" t="str">
        <x:f>TRIM(G38&amp;" "&amp;H38&amp;" "&amp;I38&amp;IF(J38&lt;&gt;""," ("&amp;J38&amp;")",""))</x:f>
      </x:c>
      <x:c r="L38" s="233"/>
      <x:c r="M38" s="234"/>
      <x:c r="N38" s="233"/>
      <x:c r="O38" s="233"/>
      <x:c r="P38" s="233"/>
      <x:c r="Q38" s="233"/>
      <x:c r="R38" s="233"/>
      <x:c r="S38" s="233"/>
      <x:c r="T38" s="233"/>
      <x:c r="U38" s="233"/>
      <x:c r="V38" s="233"/>
      <x:c r="W38" s="235"/>
      <x:c r="X38" s="235"/>
      <x:c r="Y38" s="233"/>
      <x:c r="Z38" s="233"/>
      <x:c r="AA38" s="233"/>
      <x:c r="AB38" s="233"/>
      <x:c r="AC38" s="236"/>
      <x:c r="AD38" s="233"/>
      <x:c r="AE38" s="233"/>
      <x:c r="AF38" s="233"/>
      <x:c r="AG38" s="233"/>
      <x:c r="AH38" s="234"/>
      <x:c r="AI38" s="233"/>
      <x:c r="AJ38" s="233"/>
      <x:c r="AK38" s="233"/>
      <x:c r="AL38" s="236"/>
      <x:c r="AM38" s="233"/>
      <x:c r="AN38" s="233"/>
      <x:c r="AO38" s="234"/>
      <x:c r="AP38" s="234"/>
      <x:c r="AQ38" s="233"/>
      <x:c r="AR38" s="236"/>
      <x:c r="AS38" s="234"/>
      <x:c r="AT38" s="233"/>
      <x:c r="AU38" s="233"/>
      <x:c r="AV38" s="233"/>
      <x:c r="AW38" s="233"/>
      <x:c r="AX38" s="233"/>
      <x:c r="AY38" s="233"/>
      <x:c r="AZ38" s="236"/>
      <x:c r="BA38" s="233"/>
      <x:c r="BB38" s="233"/>
      <x:c r="BC38" s="233"/>
      <x:c r="BD38" s="233"/>
      <x:c r="BE38" s="237" t="str">
        <x:f>IF(AND(A38="",B38="",C38="",E38="",G38="",I38="",M38="",T38="",BB38="",BD38=""),"",IF(B38="skip","SKIP",IF(OR(B38="",A38="",E38="",G38="",I38="",M38="",T38="",COUNTIF($A$6:$A$505,A38)&gt;1,COUNTIF($M$6:$M$505,M38)&gt;1,AND(L38="mobile",N38&lt;&gt;"invalid",OR(LEN(M38)&lt;&gt;10,LEFT(M38,2)&lt;&gt;"09"))),"REVIEW","READY")))</x:f>
      </x:c>
      <x:c r="BF38" s="238" t="str">
        <x:f>IF(BE38="","",IF(BE38="READY","",IF(B38="skip","Skipped by import_action",TRIM(IF(B38="","missing import_action; ","")&amp;IF(A38="","missing migration_customer_key; ","")&amp;IF(AND(A38&lt;&gt;"",COUNTIF($A$6:$A$505,A38)&gt;1),"duplicate migration_customer_key; ","")&amp;IF(E38="","missing branch_id; ","")&amp;IF(G38="","missing first_name; ","")&amp;IF(I38="","missing last_name; ","")&amp;IF(M38="","missing primary_phone; ","")&amp;IF(AND(M38&lt;&gt;"",COUNTIF($M$6:$M$505,M38)&gt;1),"duplicate primary_phone; ","")&amp;IF(AND(L38="mobile",N38&lt;&gt;"invalid",OR(LEN(M38)&lt;&gt;10,LEFT(M38,2)&lt;&gt;"09")),"mobile must be 09XXXXXXXX or status invalid; ","")&amp;IF(T38="","missing neighborhood_id; ","")))))</x:f>
      </x:c>
    </x:row>
    <x:row r="39">
      <x:c r="A39" s="232"/>
      <x:c r="B39" s="233"/>
      <x:c r="C39" s="234"/>
      <x:c r="D39" s="233"/>
      <x:c r="E39" s="233"/>
      <x:c r="F39" s="233"/>
      <x:c r="G39" s="233"/>
      <x:c r="H39" s="233"/>
      <x:c r="I39" s="233"/>
      <x:c r="J39" s="233"/>
      <x:c r="K39" s="233" t="str">
        <x:f>TRIM(G39&amp;" "&amp;H39&amp;" "&amp;I39&amp;IF(J39&lt;&gt;""," ("&amp;J39&amp;")",""))</x:f>
      </x:c>
      <x:c r="L39" s="233"/>
      <x:c r="M39" s="234"/>
      <x:c r="N39" s="233"/>
      <x:c r="O39" s="233"/>
      <x:c r="P39" s="233"/>
      <x:c r="Q39" s="233"/>
      <x:c r="R39" s="233"/>
      <x:c r="S39" s="233"/>
      <x:c r="T39" s="233"/>
      <x:c r="U39" s="233"/>
      <x:c r="V39" s="233"/>
      <x:c r="W39" s="235"/>
      <x:c r="X39" s="235"/>
      <x:c r="Y39" s="233"/>
      <x:c r="Z39" s="233"/>
      <x:c r="AA39" s="233"/>
      <x:c r="AB39" s="233"/>
      <x:c r="AC39" s="236"/>
      <x:c r="AD39" s="233"/>
      <x:c r="AE39" s="233"/>
      <x:c r="AF39" s="233"/>
      <x:c r="AG39" s="233"/>
      <x:c r="AH39" s="234"/>
      <x:c r="AI39" s="233"/>
      <x:c r="AJ39" s="233"/>
      <x:c r="AK39" s="233"/>
      <x:c r="AL39" s="236"/>
      <x:c r="AM39" s="233"/>
      <x:c r="AN39" s="233"/>
      <x:c r="AO39" s="234"/>
      <x:c r="AP39" s="234"/>
      <x:c r="AQ39" s="233"/>
      <x:c r="AR39" s="236"/>
      <x:c r="AS39" s="234"/>
      <x:c r="AT39" s="233"/>
      <x:c r="AU39" s="233"/>
      <x:c r="AV39" s="233"/>
      <x:c r="AW39" s="233"/>
      <x:c r="AX39" s="233"/>
      <x:c r="AY39" s="233"/>
      <x:c r="AZ39" s="236"/>
      <x:c r="BA39" s="233"/>
      <x:c r="BB39" s="233"/>
      <x:c r="BC39" s="233"/>
      <x:c r="BD39" s="233"/>
      <x:c r="BE39" s="237" t="str">
        <x:f>IF(AND(A39="",B39="",C39="",E39="",G39="",I39="",M39="",T39="",BB39="",BD39=""),"",IF(B39="skip","SKIP",IF(OR(B39="",A39="",E39="",G39="",I39="",M39="",T39="",COUNTIF($A$6:$A$505,A39)&gt;1,COUNTIF($M$6:$M$505,M39)&gt;1,AND(L39="mobile",N39&lt;&gt;"invalid",OR(LEN(M39)&lt;&gt;10,LEFT(M39,2)&lt;&gt;"09"))),"REVIEW","READY")))</x:f>
      </x:c>
      <x:c r="BF39" s="238" t="str">
        <x:f>IF(BE39="","",IF(BE39="READY","",IF(B39="skip","Skipped by import_action",TRIM(IF(B39="","missing import_action; ","")&amp;IF(A39="","missing migration_customer_key; ","")&amp;IF(AND(A39&lt;&gt;"",COUNTIF($A$6:$A$505,A39)&gt;1),"duplicate migration_customer_key; ","")&amp;IF(E39="","missing branch_id; ","")&amp;IF(G39="","missing first_name; ","")&amp;IF(I39="","missing last_name; ","")&amp;IF(M39="","missing primary_phone; ","")&amp;IF(AND(M39&lt;&gt;"",COUNTIF($M$6:$M$505,M39)&gt;1),"duplicate primary_phone; ","")&amp;IF(AND(L39="mobile",N39&lt;&gt;"invalid",OR(LEN(M39)&lt;&gt;10,LEFT(M39,2)&lt;&gt;"09")),"mobile must be 09XXXXXXXX or status invalid; ","")&amp;IF(T39="","missing neighborhood_id; ","")))))</x:f>
      </x:c>
    </x:row>
    <x:row r="40">
      <x:c r="A40" s="232"/>
      <x:c r="B40" s="233"/>
      <x:c r="C40" s="234"/>
      <x:c r="D40" s="233"/>
      <x:c r="E40" s="233"/>
      <x:c r="F40" s="233"/>
      <x:c r="G40" s="233"/>
      <x:c r="H40" s="233"/>
      <x:c r="I40" s="233"/>
      <x:c r="J40" s="233"/>
      <x:c r="K40" s="233" t="str">
        <x:f>TRIM(G40&amp;" "&amp;H40&amp;" "&amp;I40&amp;IF(J40&lt;&gt;""," ("&amp;J40&amp;")",""))</x:f>
      </x:c>
      <x:c r="L40" s="233"/>
      <x:c r="M40" s="234"/>
      <x:c r="N40" s="233"/>
      <x:c r="O40" s="233"/>
      <x:c r="P40" s="233"/>
      <x:c r="Q40" s="233"/>
      <x:c r="R40" s="233"/>
      <x:c r="S40" s="233"/>
      <x:c r="T40" s="233"/>
      <x:c r="U40" s="233"/>
      <x:c r="V40" s="233"/>
      <x:c r="W40" s="235"/>
      <x:c r="X40" s="235"/>
      <x:c r="Y40" s="233"/>
      <x:c r="Z40" s="233"/>
      <x:c r="AA40" s="233"/>
      <x:c r="AB40" s="233"/>
      <x:c r="AC40" s="236"/>
      <x:c r="AD40" s="233"/>
      <x:c r="AE40" s="233"/>
      <x:c r="AF40" s="233"/>
      <x:c r="AG40" s="233"/>
      <x:c r="AH40" s="234"/>
      <x:c r="AI40" s="233"/>
      <x:c r="AJ40" s="233"/>
      <x:c r="AK40" s="233"/>
      <x:c r="AL40" s="236"/>
      <x:c r="AM40" s="233"/>
      <x:c r="AN40" s="233"/>
      <x:c r="AO40" s="234"/>
      <x:c r="AP40" s="234"/>
      <x:c r="AQ40" s="233"/>
      <x:c r="AR40" s="236"/>
      <x:c r="AS40" s="234"/>
      <x:c r="AT40" s="233"/>
      <x:c r="AU40" s="233"/>
      <x:c r="AV40" s="233"/>
      <x:c r="AW40" s="233"/>
      <x:c r="AX40" s="233"/>
      <x:c r="AY40" s="233"/>
      <x:c r="AZ40" s="236"/>
      <x:c r="BA40" s="233"/>
      <x:c r="BB40" s="233"/>
      <x:c r="BC40" s="233"/>
      <x:c r="BD40" s="233"/>
      <x:c r="BE40" s="237" t="str">
        <x:f>IF(AND(A40="",B40="",C40="",E40="",G40="",I40="",M40="",T40="",BB40="",BD40=""),"",IF(B40="skip","SKIP",IF(OR(B40="",A40="",E40="",G40="",I40="",M40="",T40="",COUNTIF($A$6:$A$505,A40)&gt;1,COUNTIF($M$6:$M$505,M40)&gt;1,AND(L40="mobile",N40&lt;&gt;"invalid",OR(LEN(M40)&lt;&gt;10,LEFT(M40,2)&lt;&gt;"09"))),"REVIEW","READY")))</x:f>
      </x:c>
      <x:c r="BF40" s="238" t="str">
        <x:f>IF(BE40="","",IF(BE40="READY","",IF(B40="skip","Skipped by import_action",TRIM(IF(B40="","missing import_action; ","")&amp;IF(A40="","missing migration_customer_key; ","")&amp;IF(AND(A40&lt;&gt;"",COUNTIF($A$6:$A$505,A40)&gt;1),"duplicate migration_customer_key; ","")&amp;IF(E40="","missing branch_id; ","")&amp;IF(G40="","missing first_name; ","")&amp;IF(I40="","missing last_name; ","")&amp;IF(M40="","missing primary_phone; ","")&amp;IF(AND(M40&lt;&gt;"",COUNTIF($M$6:$M$505,M40)&gt;1),"duplicate primary_phone; ","")&amp;IF(AND(L40="mobile",N40&lt;&gt;"invalid",OR(LEN(M40)&lt;&gt;10,LEFT(M40,2)&lt;&gt;"09")),"mobile must be 09XXXXXXXX or status invalid; ","")&amp;IF(T40="","missing neighborhood_id; ","")))))</x:f>
      </x:c>
    </x:row>
    <x:row r="41">
      <x:c r="A41" s="232"/>
      <x:c r="B41" s="233"/>
      <x:c r="C41" s="234"/>
      <x:c r="D41" s="233"/>
      <x:c r="E41" s="233"/>
      <x:c r="F41" s="233"/>
      <x:c r="G41" s="233"/>
      <x:c r="H41" s="233"/>
      <x:c r="I41" s="233"/>
      <x:c r="J41" s="233"/>
      <x:c r="K41" s="233" t="str">
        <x:f>TRIM(G41&amp;" "&amp;H41&amp;" "&amp;I41&amp;IF(J41&lt;&gt;""," ("&amp;J41&amp;")",""))</x:f>
      </x:c>
      <x:c r="L41" s="233"/>
      <x:c r="M41" s="234"/>
      <x:c r="N41" s="233"/>
      <x:c r="O41" s="233"/>
      <x:c r="P41" s="233"/>
      <x:c r="Q41" s="233"/>
      <x:c r="R41" s="233"/>
      <x:c r="S41" s="233"/>
      <x:c r="T41" s="233"/>
      <x:c r="U41" s="233"/>
      <x:c r="V41" s="233"/>
      <x:c r="W41" s="235"/>
      <x:c r="X41" s="235"/>
      <x:c r="Y41" s="233"/>
      <x:c r="Z41" s="233"/>
      <x:c r="AA41" s="233"/>
      <x:c r="AB41" s="233"/>
      <x:c r="AC41" s="236"/>
      <x:c r="AD41" s="233"/>
      <x:c r="AE41" s="233"/>
      <x:c r="AF41" s="233"/>
      <x:c r="AG41" s="233"/>
      <x:c r="AH41" s="234"/>
      <x:c r="AI41" s="233"/>
      <x:c r="AJ41" s="233"/>
      <x:c r="AK41" s="233"/>
      <x:c r="AL41" s="236"/>
      <x:c r="AM41" s="233"/>
      <x:c r="AN41" s="233"/>
      <x:c r="AO41" s="234"/>
      <x:c r="AP41" s="234"/>
      <x:c r="AQ41" s="233"/>
      <x:c r="AR41" s="236"/>
      <x:c r="AS41" s="234"/>
      <x:c r="AT41" s="233"/>
      <x:c r="AU41" s="233"/>
      <x:c r="AV41" s="233"/>
      <x:c r="AW41" s="233"/>
      <x:c r="AX41" s="233"/>
      <x:c r="AY41" s="233"/>
      <x:c r="AZ41" s="236"/>
      <x:c r="BA41" s="233"/>
      <x:c r="BB41" s="233"/>
      <x:c r="BC41" s="233"/>
      <x:c r="BD41" s="233"/>
      <x:c r="BE41" s="237" t="str">
        <x:f>IF(AND(A41="",B41="",C41="",E41="",G41="",I41="",M41="",T41="",BB41="",BD41=""),"",IF(B41="skip","SKIP",IF(OR(B41="",A41="",E41="",G41="",I41="",M41="",T41="",COUNTIF($A$6:$A$505,A41)&gt;1,COUNTIF($M$6:$M$505,M41)&gt;1,AND(L41="mobile",N41&lt;&gt;"invalid",OR(LEN(M41)&lt;&gt;10,LEFT(M41,2)&lt;&gt;"09"))),"REVIEW","READY")))</x:f>
      </x:c>
      <x:c r="BF41" s="238" t="str">
        <x:f>IF(BE41="","",IF(BE41="READY","",IF(B41="skip","Skipped by import_action",TRIM(IF(B41="","missing import_action; ","")&amp;IF(A41="","missing migration_customer_key; ","")&amp;IF(AND(A41&lt;&gt;"",COUNTIF($A$6:$A$505,A41)&gt;1),"duplicate migration_customer_key; ","")&amp;IF(E41="","missing branch_id; ","")&amp;IF(G41="","missing first_name; ","")&amp;IF(I41="","missing last_name; ","")&amp;IF(M41="","missing primary_phone; ","")&amp;IF(AND(M41&lt;&gt;"",COUNTIF($M$6:$M$505,M41)&gt;1),"duplicate primary_phone; ","")&amp;IF(AND(L41="mobile",N41&lt;&gt;"invalid",OR(LEN(M41)&lt;&gt;10,LEFT(M41,2)&lt;&gt;"09")),"mobile must be 09XXXXXXXX or status invalid; ","")&amp;IF(T41="","missing neighborhood_id; ","")))))</x:f>
      </x:c>
    </x:row>
    <x:row r="42">
      <x:c r="A42" s="232"/>
      <x:c r="B42" s="233"/>
      <x:c r="C42" s="234"/>
      <x:c r="D42" s="233"/>
      <x:c r="E42" s="233"/>
      <x:c r="F42" s="233"/>
      <x:c r="G42" s="233"/>
      <x:c r="H42" s="233"/>
      <x:c r="I42" s="233"/>
      <x:c r="J42" s="233"/>
      <x:c r="K42" s="233" t="str">
        <x:f>TRIM(G42&amp;" "&amp;H42&amp;" "&amp;I42&amp;IF(J42&lt;&gt;""," ("&amp;J42&amp;")",""))</x:f>
      </x:c>
      <x:c r="L42" s="233"/>
      <x:c r="M42" s="234"/>
      <x:c r="N42" s="233"/>
      <x:c r="O42" s="233"/>
      <x:c r="P42" s="233"/>
      <x:c r="Q42" s="233"/>
      <x:c r="R42" s="233"/>
      <x:c r="S42" s="233"/>
      <x:c r="T42" s="233"/>
      <x:c r="U42" s="233"/>
      <x:c r="V42" s="233"/>
      <x:c r="W42" s="235"/>
      <x:c r="X42" s="235"/>
      <x:c r="Y42" s="233"/>
      <x:c r="Z42" s="233"/>
      <x:c r="AA42" s="233"/>
      <x:c r="AB42" s="233"/>
      <x:c r="AC42" s="236"/>
      <x:c r="AD42" s="233"/>
      <x:c r="AE42" s="233"/>
      <x:c r="AF42" s="233"/>
      <x:c r="AG42" s="233"/>
      <x:c r="AH42" s="234"/>
      <x:c r="AI42" s="233"/>
      <x:c r="AJ42" s="233"/>
      <x:c r="AK42" s="233"/>
      <x:c r="AL42" s="236"/>
      <x:c r="AM42" s="233"/>
      <x:c r="AN42" s="233"/>
      <x:c r="AO42" s="234"/>
      <x:c r="AP42" s="234"/>
      <x:c r="AQ42" s="233"/>
      <x:c r="AR42" s="236"/>
      <x:c r="AS42" s="234"/>
      <x:c r="AT42" s="233"/>
      <x:c r="AU42" s="233"/>
      <x:c r="AV42" s="233"/>
      <x:c r="AW42" s="233"/>
      <x:c r="AX42" s="233"/>
      <x:c r="AY42" s="233"/>
      <x:c r="AZ42" s="236"/>
      <x:c r="BA42" s="233"/>
      <x:c r="BB42" s="233"/>
      <x:c r="BC42" s="233"/>
      <x:c r="BD42" s="233"/>
      <x:c r="BE42" s="237" t="str">
        <x:f>IF(AND(A42="",B42="",C42="",E42="",G42="",I42="",M42="",T42="",BB42="",BD42=""),"",IF(B42="skip","SKIP",IF(OR(B42="",A42="",E42="",G42="",I42="",M42="",T42="",COUNTIF($A$6:$A$505,A42)&gt;1,COUNTIF($M$6:$M$505,M42)&gt;1,AND(L42="mobile",N42&lt;&gt;"invalid",OR(LEN(M42)&lt;&gt;10,LEFT(M42,2)&lt;&gt;"09"))),"REVIEW","READY")))</x:f>
      </x:c>
      <x:c r="BF42" s="238" t="str">
        <x:f>IF(BE42="","",IF(BE42="READY","",IF(B42="skip","Skipped by import_action",TRIM(IF(B42="","missing import_action; ","")&amp;IF(A42="","missing migration_customer_key; ","")&amp;IF(AND(A42&lt;&gt;"",COUNTIF($A$6:$A$505,A42)&gt;1),"duplicate migration_customer_key; ","")&amp;IF(E42="","missing branch_id; ","")&amp;IF(G42="","missing first_name; ","")&amp;IF(I42="","missing last_name; ","")&amp;IF(M42="","missing primary_phone; ","")&amp;IF(AND(M42&lt;&gt;"",COUNTIF($M$6:$M$505,M42)&gt;1),"duplicate primary_phone; ","")&amp;IF(AND(L42="mobile",N42&lt;&gt;"invalid",OR(LEN(M42)&lt;&gt;10,LEFT(M42,2)&lt;&gt;"09")),"mobile must be 09XXXXXXXX or status invalid; ","")&amp;IF(T42="","missing neighborhood_id; ","")))))</x:f>
      </x:c>
    </x:row>
    <x:row r="43">
      <x:c r="A43" s="232"/>
      <x:c r="B43" s="233"/>
      <x:c r="C43" s="234"/>
      <x:c r="D43" s="233"/>
      <x:c r="E43" s="233"/>
      <x:c r="F43" s="233"/>
      <x:c r="G43" s="233"/>
      <x:c r="H43" s="233"/>
      <x:c r="I43" s="233"/>
      <x:c r="J43" s="233"/>
      <x:c r="K43" s="233" t="str">
        <x:f>TRIM(G43&amp;" "&amp;H43&amp;" "&amp;I43&amp;IF(J43&lt;&gt;""," ("&amp;J43&amp;")",""))</x:f>
      </x:c>
      <x:c r="L43" s="233"/>
      <x:c r="M43" s="234"/>
      <x:c r="N43" s="233"/>
      <x:c r="O43" s="233"/>
      <x:c r="P43" s="233"/>
      <x:c r="Q43" s="233"/>
      <x:c r="R43" s="233"/>
      <x:c r="S43" s="233"/>
      <x:c r="T43" s="233"/>
      <x:c r="U43" s="233"/>
      <x:c r="V43" s="233"/>
      <x:c r="W43" s="235"/>
      <x:c r="X43" s="235"/>
      <x:c r="Y43" s="233"/>
      <x:c r="Z43" s="233"/>
      <x:c r="AA43" s="233"/>
      <x:c r="AB43" s="233"/>
      <x:c r="AC43" s="236"/>
      <x:c r="AD43" s="233"/>
      <x:c r="AE43" s="233"/>
      <x:c r="AF43" s="233"/>
      <x:c r="AG43" s="233"/>
      <x:c r="AH43" s="234"/>
      <x:c r="AI43" s="233"/>
      <x:c r="AJ43" s="233"/>
      <x:c r="AK43" s="233"/>
      <x:c r="AL43" s="236"/>
      <x:c r="AM43" s="233"/>
      <x:c r="AN43" s="233"/>
      <x:c r="AO43" s="234"/>
      <x:c r="AP43" s="234"/>
      <x:c r="AQ43" s="233"/>
      <x:c r="AR43" s="236"/>
      <x:c r="AS43" s="234"/>
      <x:c r="AT43" s="233"/>
      <x:c r="AU43" s="233"/>
      <x:c r="AV43" s="233"/>
      <x:c r="AW43" s="233"/>
      <x:c r="AX43" s="233"/>
      <x:c r="AY43" s="233"/>
      <x:c r="AZ43" s="236"/>
      <x:c r="BA43" s="233"/>
      <x:c r="BB43" s="233"/>
      <x:c r="BC43" s="233"/>
      <x:c r="BD43" s="233"/>
      <x:c r="BE43" s="237" t="str">
        <x:f>IF(AND(A43="",B43="",C43="",E43="",G43="",I43="",M43="",T43="",BB43="",BD43=""),"",IF(B43="skip","SKIP",IF(OR(B43="",A43="",E43="",G43="",I43="",M43="",T43="",COUNTIF($A$6:$A$505,A43)&gt;1,COUNTIF($M$6:$M$505,M43)&gt;1,AND(L43="mobile",N43&lt;&gt;"invalid",OR(LEN(M43)&lt;&gt;10,LEFT(M43,2)&lt;&gt;"09"))),"REVIEW","READY")))</x:f>
      </x:c>
      <x:c r="BF43" s="238" t="str">
        <x:f>IF(BE43="","",IF(BE43="READY","",IF(B43="skip","Skipped by import_action",TRIM(IF(B43="","missing import_action; ","")&amp;IF(A43="","missing migration_customer_key; ","")&amp;IF(AND(A43&lt;&gt;"",COUNTIF($A$6:$A$505,A43)&gt;1),"duplicate migration_customer_key; ","")&amp;IF(E43="","missing branch_id; ","")&amp;IF(G43="","missing first_name; ","")&amp;IF(I43="","missing last_name; ","")&amp;IF(M43="","missing primary_phone; ","")&amp;IF(AND(M43&lt;&gt;"",COUNTIF($M$6:$M$505,M43)&gt;1),"duplicate primary_phone; ","")&amp;IF(AND(L43="mobile",N43&lt;&gt;"invalid",OR(LEN(M43)&lt;&gt;10,LEFT(M43,2)&lt;&gt;"09")),"mobile must be 09XXXXXXXX or status invalid; ","")&amp;IF(T43="","missing neighborhood_id; ","")))))</x:f>
      </x:c>
    </x:row>
    <x:row r="44">
      <x:c r="A44" s="232"/>
      <x:c r="B44" s="233"/>
      <x:c r="C44" s="234"/>
      <x:c r="D44" s="233"/>
      <x:c r="E44" s="233"/>
      <x:c r="F44" s="233"/>
      <x:c r="G44" s="233"/>
      <x:c r="H44" s="233"/>
      <x:c r="I44" s="233"/>
      <x:c r="J44" s="233"/>
      <x:c r="K44" s="233" t="str">
        <x:f>TRIM(G44&amp;" "&amp;H44&amp;" "&amp;I44&amp;IF(J44&lt;&gt;""," ("&amp;J44&amp;")",""))</x:f>
      </x:c>
      <x:c r="L44" s="233"/>
      <x:c r="M44" s="234"/>
      <x:c r="N44" s="233"/>
      <x:c r="O44" s="233"/>
      <x:c r="P44" s="233"/>
      <x:c r="Q44" s="233"/>
      <x:c r="R44" s="233"/>
      <x:c r="S44" s="233"/>
      <x:c r="T44" s="233"/>
      <x:c r="U44" s="233"/>
      <x:c r="V44" s="233"/>
      <x:c r="W44" s="235"/>
      <x:c r="X44" s="235"/>
      <x:c r="Y44" s="233"/>
      <x:c r="Z44" s="233"/>
      <x:c r="AA44" s="233"/>
      <x:c r="AB44" s="233"/>
      <x:c r="AC44" s="236"/>
      <x:c r="AD44" s="233"/>
      <x:c r="AE44" s="233"/>
      <x:c r="AF44" s="233"/>
      <x:c r="AG44" s="233"/>
      <x:c r="AH44" s="234"/>
      <x:c r="AI44" s="233"/>
      <x:c r="AJ44" s="233"/>
      <x:c r="AK44" s="233"/>
      <x:c r="AL44" s="236"/>
      <x:c r="AM44" s="233"/>
      <x:c r="AN44" s="233"/>
      <x:c r="AO44" s="234"/>
      <x:c r="AP44" s="234"/>
      <x:c r="AQ44" s="233"/>
      <x:c r="AR44" s="236"/>
      <x:c r="AS44" s="234"/>
      <x:c r="AT44" s="233"/>
      <x:c r="AU44" s="233"/>
      <x:c r="AV44" s="233"/>
      <x:c r="AW44" s="233"/>
      <x:c r="AX44" s="233"/>
      <x:c r="AY44" s="233"/>
      <x:c r="AZ44" s="236"/>
      <x:c r="BA44" s="233"/>
      <x:c r="BB44" s="233"/>
      <x:c r="BC44" s="233"/>
      <x:c r="BD44" s="233"/>
      <x:c r="BE44" s="237" t="str">
        <x:f>IF(AND(A44="",B44="",C44="",E44="",G44="",I44="",M44="",T44="",BB44="",BD44=""),"",IF(B44="skip","SKIP",IF(OR(B44="",A44="",E44="",G44="",I44="",M44="",T44="",COUNTIF($A$6:$A$505,A44)&gt;1,COUNTIF($M$6:$M$505,M44)&gt;1,AND(L44="mobile",N44&lt;&gt;"invalid",OR(LEN(M44)&lt;&gt;10,LEFT(M44,2)&lt;&gt;"09"))),"REVIEW","READY")))</x:f>
      </x:c>
      <x:c r="BF44" s="238" t="str">
        <x:f>IF(BE44="","",IF(BE44="READY","",IF(B44="skip","Skipped by import_action",TRIM(IF(B44="","missing import_action; ","")&amp;IF(A44="","missing migration_customer_key; ","")&amp;IF(AND(A44&lt;&gt;"",COUNTIF($A$6:$A$505,A44)&gt;1),"duplicate migration_customer_key; ","")&amp;IF(E44="","missing branch_id; ","")&amp;IF(G44="","missing first_name; ","")&amp;IF(I44="","missing last_name; ","")&amp;IF(M44="","missing primary_phone; ","")&amp;IF(AND(M44&lt;&gt;"",COUNTIF($M$6:$M$505,M44)&gt;1),"duplicate primary_phone; ","")&amp;IF(AND(L44="mobile",N44&lt;&gt;"invalid",OR(LEN(M44)&lt;&gt;10,LEFT(M44,2)&lt;&gt;"09")),"mobile must be 09XXXXXXXX or status invalid; ","")&amp;IF(T44="","missing neighborhood_id; ","")))))</x:f>
      </x:c>
    </x:row>
    <x:row r="45">
      <x:c r="A45" s="232"/>
      <x:c r="B45" s="233"/>
      <x:c r="C45" s="234"/>
      <x:c r="D45" s="233"/>
      <x:c r="E45" s="233"/>
      <x:c r="F45" s="233"/>
      <x:c r="G45" s="233"/>
      <x:c r="H45" s="233"/>
      <x:c r="I45" s="233"/>
      <x:c r="J45" s="233"/>
      <x:c r="K45" s="233" t="str">
        <x:f>TRIM(G45&amp;" "&amp;H45&amp;" "&amp;I45&amp;IF(J45&lt;&gt;""," ("&amp;J45&amp;")",""))</x:f>
      </x:c>
      <x:c r="L45" s="233"/>
      <x:c r="M45" s="234"/>
      <x:c r="N45" s="233"/>
      <x:c r="O45" s="233"/>
      <x:c r="P45" s="233"/>
      <x:c r="Q45" s="233"/>
      <x:c r="R45" s="233"/>
      <x:c r="S45" s="233"/>
      <x:c r="T45" s="233"/>
      <x:c r="U45" s="233"/>
      <x:c r="V45" s="233"/>
      <x:c r="W45" s="235"/>
      <x:c r="X45" s="235"/>
      <x:c r="Y45" s="233"/>
      <x:c r="Z45" s="233"/>
      <x:c r="AA45" s="233"/>
      <x:c r="AB45" s="233"/>
      <x:c r="AC45" s="236"/>
      <x:c r="AD45" s="233"/>
      <x:c r="AE45" s="233"/>
      <x:c r="AF45" s="233"/>
      <x:c r="AG45" s="233"/>
      <x:c r="AH45" s="234"/>
      <x:c r="AI45" s="233"/>
      <x:c r="AJ45" s="233"/>
      <x:c r="AK45" s="233"/>
      <x:c r="AL45" s="236"/>
      <x:c r="AM45" s="233"/>
      <x:c r="AN45" s="233"/>
      <x:c r="AO45" s="234"/>
      <x:c r="AP45" s="234"/>
      <x:c r="AQ45" s="233"/>
      <x:c r="AR45" s="236"/>
      <x:c r="AS45" s="234"/>
      <x:c r="AT45" s="233"/>
      <x:c r="AU45" s="233"/>
      <x:c r="AV45" s="233"/>
      <x:c r="AW45" s="233"/>
      <x:c r="AX45" s="233"/>
      <x:c r="AY45" s="233"/>
      <x:c r="AZ45" s="236"/>
      <x:c r="BA45" s="233"/>
      <x:c r="BB45" s="233"/>
      <x:c r="BC45" s="233"/>
      <x:c r="BD45" s="233"/>
      <x:c r="BE45" s="237" t="str">
        <x:f>IF(AND(A45="",B45="",C45="",E45="",G45="",I45="",M45="",T45="",BB45="",BD45=""),"",IF(B45="skip","SKIP",IF(OR(B45="",A45="",E45="",G45="",I45="",M45="",T45="",COUNTIF($A$6:$A$505,A45)&gt;1,COUNTIF($M$6:$M$505,M45)&gt;1,AND(L45="mobile",N45&lt;&gt;"invalid",OR(LEN(M45)&lt;&gt;10,LEFT(M45,2)&lt;&gt;"09"))),"REVIEW","READY")))</x:f>
      </x:c>
      <x:c r="BF45" s="238" t="str">
        <x:f>IF(BE45="","",IF(BE45="READY","",IF(B45="skip","Skipped by import_action",TRIM(IF(B45="","missing import_action; ","")&amp;IF(A45="","missing migration_customer_key; ","")&amp;IF(AND(A45&lt;&gt;"",COUNTIF($A$6:$A$505,A45)&gt;1),"duplicate migration_customer_key; ","")&amp;IF(E45="","missing branch_id; ","")&amp;IF(G45="","missing first_name; ","")&amp;IF(I45="","missing last_name; ","")&amp;IF(M45="","missing primary_phone; ","")&amp;IF(AND(M45&lt;&gt;"",COUNTIF($M$6:$M$505,M45)&gt;1),"duplicate primary_phone; ","")&amp;IF(AND(L45="mobile",N45&lt;&gt;"invalid",OR(LEN(M45)&lt;&gt;10,LEFT(M45,2)&lt;&gt;"09")),"mobile must be 09XXXXXXXX or status invalid; ","")&amp;IF(T45="","missing neighborhood_id; ","")))))</x:f>
      </x:c>
    </x:row>
    <x:row r="46">
      <x:c r="A46" s="232"/>
      <x:c r="B46" s="233"/>
      <x:c r="C46" s="234"/>
      <x:c r="D46" s="233"/>
      <x:c r="E46" s="233"/>
      <x:c r="F46" s="233"/>
      <x:c r="G46" s="233"/>
      <x:c r="H46" s="233"/>
      <x:c r="I46" s="233"/>
      <x:c r="J46" s="233"/>
      <x:c r="K46" s="233" t="str">
        <x:f>TRIM(G46&amp;" "&amp;H46&amp;" "&amp;I46&amp;IF(J46&lt;&gt;""," ("&amp;J46&amp;")",""))</x:f>
      </x:c>
      <x:c r="L46" s="233"/>
      <x:c r="M46" s="234"/>
      <x:c r="N46" s="233"/>
      <x:c r="O46" s="233"/>
      <x:c r="P46" s="233"/>
      <x:c r="Q46" s="233"/>
      <x:c r="R46" s="233"/>
      <x:c r="S46" s="233"/>
      <x:c r="T46" s="233"/>
      <x:c r="U46" s="233"/>
      <x:c r="V46" s="233"/>
      <x:c r="W46" s="235"/>
      <x:c r="X46" s="235"/>
      <x:c r="Y46" s="233"/>
      <x:c r="Z46" s="233"/>
      <x:c r="AA46" s="233"/>
      <x:c r="AB46" s="233"/>
      <x:c r="AC46" s="236"/>
      <x:c r="AD46" s="233"/>
      <x:c r="AE46" s="233"/>
      <x:c r="AF46" s="233"/>
      <x:c r="AG46" s="233"/>
      <x:c r="AH46" s="234"/>
      <x:c r="AI46" s="233"/>
      <x:c r="AJ46" s="233"/>
      <x:c r="AK46" s="233"/>
      <x:c r="AL46" s="236"/>
      <x:c r="AM46" s="233"/>
      <x:c r="AN46" s="233"/>
      <x:c r="AO46" s="234"/>
      <x:c r="AP46" s="234"/>
      <x:c r="AQ46" s="233"/>
      <x:c r="AR46" s="236"/>
      <x:c r="AS46" s="234"/>
      <x:c r="AT46" s="233"/>
      <x:c r="AU46" s="233"/>
      <x:c r="AV46" s="233"/>
      <x:c r="AW46" s="233"/>
      <x:c r="AX46" s="233"/>
      <x:c r="AY46" s="233"/>
      <x:c r="AZ46" s="236"/>
      <x:c r="BA46" s="233"/>
      <x:c r="BB46" s="233"/>
      <x:c r="BC46" s="233"/>
      <x:c r="BD46" s="233"/>
      <x:c r="BE46" s="237" t="str">
        <x:f>IF(AND(A46="",B46="",C46="",E46="",G46="",I46="",M46="",T46="",BB46="",BD46=""),"",IF(B46="skip","SKIP",IF(OR(B46="",A46="",E46="",G46="",I46="",M46="",T46="",COUNTIF($A$6:$A$505,A46)&gt;1,COUNTIF($M$6:$M$505,M46)&gt;1,AND(L46="mobile",N46&lt;&gt;"invalid",OR(LEN(M46)&lt;&gt;10,LEFT(M46,2)&lt;&gt;"09"))),"REVIEW","READY")))</x:f>
      </x:c>
      <x:c r="BF46" s="238" t="str">
        <x:f>IF(BE46="","",IF(BE46="READY","",IF(B46="skip","Skipped by import_action",TRIM(IF(B46="","missing import_action; ","")&amp;IF(A46="","missing migration_customer_key; ","")&amp;IF(AND(A46&lt;&gt;"",COUNTIF($A$6:$A$505,A46)&gt;1),"duplicate migration_customer_key; ","")&amp;IF(E46="","missing branch_id; ","")&amp;IF(G46="","missing first_name; ","")&amp;IF(I46="","missing last_name; ","")&amp;IF(M46="","missing primary_phone; ","")&amp;IF(AND(M46&lt;&gt;"",COUNTIF($M$6:$M$505,M46)&gt;1),"duplicate primary_phone; ","")&amp;IF(AND(L46="mobile",N46&lt;&gt;"invalid",OR(LEN(M46)&lt;&gt;10,LEFT(M46,2)&lt;&gt;"09")),"mobile must be 09XXXXXXXX or status invalid; ","")&amp;IF(T46="","missing neighborhood_id; ","")))))</x:f>
      </x:c>
    </x:row>
    <x:row r="47">
      <x:c r="A47" s="232"/>
      <x:c r="B47" s="233"/>
      <x:c r="C47" s="234"/>
      <x:c r="D47" s="233"/>
      <x:c r="E47" s="233"/>
      <x:c r="F47" s="233"/>
      <x:c r="G47" s="233"/>
      <x:c r="H47" s="233"/>
      <x:c r="I47" s="233"/>
      <x:c r="J47" s="233"/>
      <x:c r="K47" s="233" t="str">
        <x:f>TRIM(G47&amp;" "&amp;H47&amp;" "&amp;I47&amp;IF(J47&lt;&gt;""," ("&amp;J47&amp;")",""))</x:f>
      </x:c>
      <x:c r="L47" s="233"/>
      <x:c r="M47" s="234"/>
      <x:c r="N47" s="233"/>
      <x:c r="O47" s="233"/>
      <x:c r="P47" s="233"/>
      <x:c r="Q47" s="233"/>
      <x:c r="R47" s="233"/>
      <x:c r="S47" s="233"/>
      <x:c r="T47" s="233"/>
      <x:c r="U47" s="233"/>
      <x:c r="V47" s="233"/>
      <x:c r="W47" s="235"/>
      <x:c r="X47" s="235"/>
      <x:c r="Y47" s="233"/>
      <x:c r="Z47" s="233"/>
      <x:c r="AA47" s="233"/>
      <x:c r="AB47" s="233"/>
      <x:c r="AC47" s="236"/>
      <x:c r="AD47" s="233"/>
      <x:c r="AE47" s="233"/>
      <x:c r="AF47" s="233"/>
      <x:c r="AG47" s="233"/>
      <x:c r="AH47" s="234"/>
      <x:c r="AI47" s="233"/>
      <x:c r="AJ47" s="233"/>
      <x:c r="AK47" s="233"/>
      <x:c r="AL47" s="236"/>
      <x:c r="AM47" s="233"/>
      <x:c r="AN47" s="233"/>
      <x:c r="AO47" s="234"/>
      <x:c r="AP47" s="234"/>
      <x:c r="AQ47" s="233"/>
      <x:c r="AR47" s="236"/>
      <x:c r="AS47" s="234"/>
      <x:c r="AT47" s="233"/>
      <x:c r="AU47" s="233"/>
      <x:c r="AV47" s="233"/>
      <x:c r="AW47" s="233"/>
      <x:c r="AX47" s="233"/>
      <x:c r="AY47" s="233"/>
      <x:c r="AZ47" s="236"/>
      <x:c r="BA47" s="233"/>
      <x:c r="BB47" s="233"/>
      <x:c r="BC47" s="233"/>
      <x:c r="BD47" s="233"/>
      <x:c r="BE47" s="237" t="str">
        <x:f>IF(AND(A47="",B47="",C47="",E47="",G47="",I47="",M47="",T47="",BB47="",BD47=""),"",IF(B47="skip","SKIP",IF(OR(B47="",A47="",E47="",G47="",I47="",M47="",T47="",COUNTIF($A$6:$A$505,A47)&gt;1,COUNTIF($M$6:$M$505,M47)&gt;1,AND(L47="mobile",N47&lt;&gt;"invalid",OR(LEN(M47)&lt;&gt;10,LEFT(M47,2)&lt;&gt;"09"))),"REVIEW","READY")))</x:f>
      </x:c>
      <x:c r="BF47" s="238" t="str">
        <x:f>IF(BE47="","",IF(BE47="READY","",IF(B47="skip","Skipped by import_action",TRIM(IF(B47="","missing import_action; ","")&amp;IF(A47="","missing migration_customer_key; ","")&amp;IF(AND(A47&lt;&gt;"",COUNTIF($A$6:$A$505,A47)&gt;1),"duplicate migration_customer_key; ","")&amp;IF(E47="","missing branch_id; ","")&amp;IF(G47="","missing first_name; ","")&amp;IF(I47="","missing last_name; ","")&amp;IF(M47="","missing primary_phone; ","")&amp;IF(AND(M47&lt;&gt;"",COUNTIF($M$6:$M$505,M47)&gt;1),"duplicate primary_phone; ","")&amp;IF(AND(L47="mobile",N47&lt;&gt;"invalid",OR(LEN(M47)&lt;&gt;10,LEFT(M47,2)&lt;&gt;"09")),"mobile must be 09XXXXXXXX or status invalid; ","")&amp;IF(T47="","missing neighborhood_id; ","")))))</x:f>
      </x:c>
    </x:row>
    <x:row r="48">
      <x:c r="A48" s="232"/>
      <x:c r="B48" s="233"/>
      <x:c r="C48" s="234"/>
      <x:c r="D48" s="233"/>
      <x:c r="E48" s="233"/>
      <x:c r="F48" s="233"/>
      <x:c r="G48" s="233"/>
      <x:c r="H48" s="233"/>
      <x:c r="I48" s="233"/>
      <x:c r="J48" s="233"/>
      <x:c r="K48" s="233" t="str">
        <x:f>TRIM(G48&amp;" "&amp;H48&amp;" "&amp;I48&amp;IF(J48&lt;&gt;""," ("&amp;J48&amp;")",""))</x:f>
      </x:c>
      <x:c r="L48" s="233"/>
      <x:c r="M48" s="234"/>
      <x:c r="N48" s="233"/>
      <x:c r="O48" s="233"/>
      <x:c r="P48" s="233"/>
      <x:c r="Q48" s="233"/>
      <x:c r="R48" s="233"/>
      <x:c r="S48" s="233"/>
      <x:c r="T48" s="233"/>
      <x:c r="U48" s="233"/>
      <x:c r="V48" s="233"/>
      <x:c r="W48" s="235"/>
      <x:c r="X48" s="235"/>
      <x:c r="Y48" s="233"/>
      <x:c r="Z48" s="233"/>
      <x:c r="AA48" s="233"/>
      <x:c r="AB48" s="233"/>
      <x:c r="AC48" s="236"/>
      <x:c r="AD48" s="233"/>
      <x:c r="AE48" s="233"/>
      <x:c r="AF48" s="233"/>
      <x:c r="AG48" s="233"/>
      <x:c r="AH48" s="234"/>
      <x:c r="AI48" s="233"/>
      <x:c r="AJ48" s="233"/>
      <x:c r="AK48" s="233"/>
      <x:c r="AL48" s="236"/>
      <x:c r="AM48" s="233"/>
      <x:c r="AN48" s="233"/>
      <x:c r="AO48" s="234"/>
      <x:c r="AP48" s="234"/>
      <x:c r="AQ48" s="233"/>
      <x:c r="AR48" s="236"/>
      <x:c r="AS48" s="234"/>
      <x:c r="AT48" s="233"/>
      <x:c r="AU48" s="233"/>
      <x:c r="AV48" s="233"/>
      <x:c r="AW48" s="233"/>
      <x:c r="AX48" s="233"/>
      <x:c r="AY48" s="233"/>
      <x:c r="AZ48" s="236"/>
      <x:c r="BA48" s="233"/>
      <x:c r="BB48" s="233"/>
      <x:c r="BC48" s="233"/>
      <x:c r="BD48" s="233"/>
      <x:c r="BE48" s="237" t="str">
        <x:f>IF(AND(A48="",B48="",C48="",E48="",G48="",I48="",M48="",T48="",BB48="",BD48=""),"",IF(B48="skip","SKIP",IF(OR(B48="",A48="",E48="",G48="",I48="",M48="",T48="",COUNTIF($A$6:$A$505,A48)&gt;1,COUNTIF($M$6:$M$505,M48)&gt;1,AND(L48="mobile",N48&lt;&gt;"invalid",OR(LEN(M48)&lt;&gt;10,LEFT(M48,2)&lt;&gt;"09"))),"REVIEW","READY")))</x:f>
      </x:c>
      <x:c r="BF48" s="238" t="str">
        <x:f>IF(BE48="","",IF(BE48="READY","",IF(B48="skip","Skipped by import_action",TRIM(IF(B48="","missing import_action; ","")&amp;IF(A48="","missing migration_customer_key; ","")&amp;IF(AND(A48&lt;&gt;"",COUNTIF($A$6:$A$505,A48)&gt;1),"duplicate migration_customer_key; ","")&amp;IF(E48="","missing branch_id; ","")&amp;IF(G48="","missing first_name; ","")&amp;IF(I48="","missing last_name; ","")&amp;IF(M48="","missing primary_phone; ","")&amp;IF(AND(M48&lt;&gt;"",COUNTIF($M$6:$M$505,M48)&gt;1),"duplicate primary_phone; ","")&amp;IF(AND(L48="mobile",N48&lt;&gt;"invalid",OR(LEN(M48)&lt;&gt;10,LEFT(M48,2)&lt;&gt;"09")),"mobile must be 09XXXXXXXX or status invalid; ","")&amp;IF(T48="","missing neighborhood_id; ","")))))</x:f>
      </x:c>
    </x:row>
    <x:row r="49">
      <x:c r="A49" s="232"/>
      <x:c r="B49" s="233"/>
      <x:c r="C49" s="234"/>
      <x:c r="D49" s="233"/>
      <x:c r="E49" s="233"/>
      <x:c r="F49" s="233"/>
      <x:c r="G49" s="233"/>
      <x:c r="H49" s="233"/>
      <x:c r="I49" s="233"/>
      <x:c r="J49" s="233"/>
      <x:c r="K49" s="233" t="str">
        <x:f>TRIM(G49&amp;" "&amp;H49&amp;" "&amp;I49&amp;IF(J49&lt;&gt;""," ("&amp;J49&amp;")",""))</x:f>
      </x:c>
      <x:c r="L49" s="233"/>
      <x:c r="M49" s="234"/>
      <x:c r="N49" s="233"/>
      <x:c r="O49" s="233"/>
      <x:c r="P49" s="233"/>
      <x:c r="Q49" s="233"/>
      <x:c r="R49" s="233"/>
      <x:c r="S49" s="233"/>
      <x:c r="T49" s="233"/>
      <x:c r="U49" s="233"/>
      <x:c r="V49" s="233"/>
      <x:c r="W49" s="235"/>
      <x:c r="X49" s="235"/>
      <x:c r="Y49" s="233"/>
      <x:c r="Z49" s="233"/>
      <x:c r="AA49" s="233"/>
      <x:c r="AB49" s="233"/>
      <x:c r="AC49" s="236"/>
      <x:c r="AD49" s="233"/>
      <x:c r="AE49" s="233"/>
      <x:c r="AF49" s="233"/>
      <x:c r="AG49" s="233"/>
      <x:c r="AH49" s="234"/>
      <x:c r="AI49" s="233"/>
      <x:c r="AJ49" s="233"/>
      <x:c r="AK49" s="233"/>
      <x:c r="AL49" s="236"/>
      <x:c r="AM49" s="233"/>
      <x:c r="AN49" s="233"/>
      <x:c r="AO49" s="234"/>
      <x:c r="AP49" s="234"/>
      <x:c r="AQ49" s="233"/>
      <x:c r="AR49" s="236"/>
      <x:c r="AS49" s="234"/>
      <x:c r="AT49" s="233"/>
      <x:c r="AU49" s="233"/>
      <x:c r="AV49" s="233"/>
      <x:c r="AW49" s="233"/>
      <x:c r="AX49" s="233"/>
      <x:c r="AY49" s="233"/>
      <x:c r="AZ49" s="236"/>
      <x:c r="BA49" s="233"/>
      <x:c r="BB49" s="233"/>
      <x:c r="BC49" s="233"/>
      <x:c r="BD49" s="233"/>
      <x:c r="BE49" s="237" t="str">
        <x:f>IF(AND(A49="",B49="",C49="",E49="",G49="",I49="",M49="",T49="",BB49="",BD49=""),"",IF(B49="skip","SKIP",IF(OR(B49="",A49="",E49="",G49="",I49="",M49="",T49="",COUNTIF($A$6:$A$505,A49)&gt;1,COUNTIF($M$6:$M$505,M49)&gt;1,AND(L49="mobile",N49&lt;&gt;"invalid",OR(LEN(M49)&lt;&gt;10,LEFT(M49,2)&lt;&gt;"09"))),"REVIEW","READY")))</x:f>
      </x:c>
      <x:c r="BF49" s="238" t="str">
        <x:f>IF(BE49="","",IF(BE49="READY","",IF(B49="skip","Skipped by import_action",TRIM(IF(B49="","missing import_action; ","")&amp;IF(A49="","missing migration_customer_key; ","")&amp;IF(AND(A49&lt;&gt;"",COUNTIF($A$6:$A$505,A49)&gt;1),"duplicate migration_customer_key; ","")&amp;IF(E49="","missing branch_id; ","")&amp;IF(G49="","missing first_name; ","")&amp;IF(I49="","missing last_name; ","")&amp;IF(M49="","missing primary_phone; ","")&amp;IF(AND(M49&lt;&gt;"",COUNTIF($M$6:$M$505,M49)&gt;1),"duplicate primary_phone; ","")&amp;IF(AND(L49="mobile",N49&lt;&gt;"invalid",OR(LEN(M49)&lt;&gt;10,LEFT(M49,2)&lt;&gt;"09")),"mobile must be 09XXXXXXXX or status invalid; ","")&amp;IF(T49="","missing neighborhood_id; ","")))))</x:f>
      </x:c>
    </x:row>
    <x:row r="50">
      <x:c r="A50" s="232"/>
      <x:c r="B50" s="233"/>
      <x:c r="C50" s="234"/>
      <x:c r="D50" s="233"/>
      <x:c r="E50" s="233"/>
      <x:c r="F50" s="233"/>
      <x:c r="G50" s="233"/>
      <x:c r="H50" s="233"/>
      <x:c r="I50" s="233"/>
      <x:c r="J50" s="233"/>
      <x:c r="K50" s="233" t="str">
        <x:f>TRIM(G50&amp;" "&amp;H50&amp;" "&amp;I50&amp;IF(J50&lt;&gt;""," ("&amp;J50&amp;")",""))</x:f>
      </x:c>
      <x:c r="L50" s="233"/>
      <x:c r="M50" s="234"/>
      <x:c r="N50" s="233"/>
      <x:c r="O50" s="233"/>
      <x:c r="P50" s="233"/>
      <x:c r="Q50" s="233"/>
      <x:c r="R50" s="233"/>
      <x:c r="S50" s="233"/>
      <x:c r="T50" s="233"/>
      <x:c r="U50" s="233"/>
      <x:c r="V50" s="233"/>
      <x:c r="W50" s="235"/>
      <x:c r="X50" s="235"/>
      <x:c r="Y50" s="233"/>
      <x:c r="Z50" s="233"/>
      <x:c r="AA50" s="233"/>
      <x:c r="AB50" s="233"/>
      <x:c r="AC50" s="236"/>
      <x:c r="AD50" s="233"/>
      <x:c r="AE50" s="233"/>
      <x:c r="AF50" s="233"/>
      <x:c r="AG50" s="233"/>
      <x:c r="AH50" s="234"/>
      <x:c r="AI50" s="233"/>
      <x:c r="AJ50" s="233"/>
      <x:c r="AK50" s="233"/>
      <x:c r="AL50" s="236"/>
      <x:c r="AM50" s="233"/>
      <x:c r="AN50" s="233"/>
      <x:c r="AO50" s="234"/>
      <x:c r="AP50" s="234"/>
      <x:c r="AQ50" s="233"/>
      <x:c r="AR50" s="236"/>
      <x:c r="AS50" s="234"/>
      <x:c r="AT50" s="233"/>
      <x:c r="AU50" s="233"/>
      <x:c r="AV50" s="233"/>
      <x:c r="AW50" s="233"/>
      <x:c r="AX50" s="233"/>
      <x:c r="AY50" s="233"/>
      <x:c r="AZ50" s="236"/>
      <x:c r="BA50" s="233"/>
      <x:c r="BB50" s="233"/>
      <x:c r="BC50" s="233"/>
      <x:c r="BD50" s="233"/>
      <x:c r="BE50" s="237" t="str">
        <x:f>IF(AND(A50="",B50="",C50="",E50="",G50="",I50="",M50="",T50="",BB50="",BD50=""),"",IF(B50="skip","SKIP",IF(OR(B50="",A50="",E50="",G50="",I50="",M50="",T50="",COUNTIF($A$6:$A$505,A50)&gt;1,COUNTIF($M$6:$M$505,M50)&gt;1,AND(L50="mobile",N50&lt;&gt;"invalid",OR(LEN(M50)&lt;&gt;10,LEFT(M50,2)&lt;&gt;"09"))),"REVIEW","READY")))</x:f>
      </x:c>
      <x:c r="BF50" s="238" t="str">
        <x:f>IF(BE50="","",IF(BE50="READY","",IF(B50="skip","Skipped by import_action",TRIM(IF(B50="","missing import_action; ","")&amp;IF(A50="","missing migration_customer_key; ","")&amp;IF(AND(A50&lt;&gt;"",COUNTIF($A$6:$A$505,A50)&gt;1),"duplicate migration_customer_key; ","")&amp;IF(E50="","missing branch_id; ","")&amp;IF(G50="","missing first_name; ","")&amp;IF(I50="","missing last_name; ","")&amp;IF(M50="","missing primary_phone; ","")&amp;IF(AND(M50&lt;&gt;"",COUNTIF($M$6:$M$505,M50)&gt;1),"duplicate primary_phone; ","")&amp;IF(AND(L50="mobile",N50&lt;&gt;"invalid",OR(LEN(M50)&lt;&gt;10,LEFT(M50,2)&lt;&gt;"09")),"mobile must be 09XXXXXXXX or status invalid; ","")&amp;IF(T50="","missing neighborhood_id; ","")))))</x:f>
      </x:c>
    </x:row>
    <x:row r="51">
      <x:c r="A51" s="232"/>
      <x:c r="B51" s="233"/>
      <x:c r="C51" s="234"/>
      <x:c r="D51" s="233"/>
      <x:c r="E51" s="233"/>
      <x:c r="F51" s="233"/>
      <x:c r="G51" s="233"/>
      <x:c r="H51" s="233"/>
      <x:c r="I51" s="233"/>
      <x:c r="J51" s="233"/>
      <x:c r="K51" s="233" t="str">
        <x:f>TRIM(G51&amp;" "&amp;H51&amp;" "&amp;I51&amp;IF(J51&lt;&gt;""," ("&amp;J51&amp;")",""))</x:f>
      </x:c>
      <x:c r="L51" s="233"/>
      <x:c r="M51" s="234"/>
      <x:c r="N51" s="233"/>
      <x:c r="O51" s="233"/>
      <x:c r="P51" s="233"/>
      <x:c r="Q51" s="233"/>
      <x:c r="R51" s="233"/>
      <x:c r="S51" s="233"/>
      <x:c r="T51" s="233"/>
      <x:c r="U51" s="233"/>
      <x:c r="V51" s="233"/>
      <x:c r="W51" s="235"/>
      <x:c r="X51" s="235"/>
      <x:c r="Y51" s="233"/>
      <x:c r="Z51" s="233"/>
      <x:c r="AA51" s="233"/>
      <x:c r="AB51" s="233"/>
      <x:c r="AC51" s="236"/>
      <x:c r="AD51" s="233"/>
      <x:c r="AE51" s="233"/>
      <x:c r="AF51" s="233"/>
      <x:c r="AG51" s="233"/>
      <x:c r="AH51" s="234"/>
      <x:c r="AI51" s="233"/>
      <x:c r="AJ51" s="233"/>
      <x:c r="AK51" s="233"/>
      <x:c r="AL51" s="236"/>
      <x:c r="AM51" s="233"/>
      <x:c r="AN51" s="233"/>
      <x:c r="AO51" s="234"/>
      <x:c r="AP51" s="234"/>
      <x:c r="AQ51" s="233"/>
      <x:c r="AR51" s="236"/>
      <x:c r="AS51" s="234"/>
      <x:c r="AT51" s="233"/>
      <x:c r="AU51" s="233"/>
      <x:c r="AV51" s="233"/>
      <x:c r="AW51" s="233"/>
      <x:c r="AX51" s="233"/>
      <x:c r="AY51" s="233"/>
      <x:c r="AZ51" s="236"/>
      <x:c r="BA51" s="233"/>
      <x:c r="BB51" s="233"/>
      <x:c r="BC51" s="233"/>
      <x:c r="BD51" s="233"/>
      <x:c r="BE51" s="237" t="str">
        <x:f>IF(AND(A51="",B51="",C51="",E51="",G51="",I51="",M51="",T51="",BB51="",BD51=""),"",IF(B51="skip","SKIP",IF(OR(B51="",A51="",E51="",G51="",I51="",M51="",T51="",COUNTIF($A$6:$A$505,A51)&gt;1,COUNTIF($M$6:$M$505,M51)&gt;1,AND(L51="mobile",N51&lt;&gt;"invalid",OR(LEN(M51)&lt;&gt;10,LEFT(M51,2)&lt;&gt;"09"))),"REVIEW","READY")))</x:f>
      </x:c>
      <x:c r="BF51" s="238" t="str">
        <x:f>IF(BE51="","",IF(BE51="READY","",IF(B51="skip","Skipped by import_action",TRIM(IF(B51="","missing import_action; ","")&amp;IF(A51="","missing migration_customer_key; ","")&amp;IF(AND(A51&lt;&gt;"",COUNTIF($A$6:$A$505,A51)&gt;1),"duplicate migration_customer_key; ","")&amp;IF(E51="","missing branch_id; ","")&amp;IF(G51="","missing first_name; ","")&amp;IF(I51="","missing last_name; ","")&amp;IF(M51="","missing primary_phone; ","")&amp;IF(AND(M51&lt;&gt;"",COUNTIF($M$6:$M$505,M51)&gt;1),"duplicate primary_phone; ","")&amp;IF(AND(L51="mobile",N51&lt;&gt;"invalid",OR(LEN(M51)&lt;&gt;10,LEFT(M51,2)&lt;&gt;"09")),"mobile must be 09XXXXXXXX or status invalid; ","")&amp;IF(T51="","missing neighborhood_id; ","")))))</x:f>
      </x:c>
    </x:row>
    <x:row r="52">
      <x:c r="A52" s="232"/>
      <x:c r="B52" s="233"/>
      <x:c r="C52" s="234"/>
      <x:c r="D52" s="233"/>
      <x:c r="E52" s="233"/>
      <x:c r="F52" s="233"/>
      <x:c r="G52" s="233"/>
      <x:c r="H52" s="233"/>
      <x:c r="I52" s="233"/>
      <x:c r="J52" s="233"/>
      <x:c r="K52" s="233" t="str">
        <x:f>TRIM(G52&amp;" "&amp;H52&amp;" "&amp;I52&amp;IF(J52&lt;&gt;""," ("&amp;J52&amp;")",""))</x:f>
      </x:c>
      <x:c r="L52" s="233"/>
      <x:c r="M52" s="234"/>
      <x:c r="N52" s="233"/>
      <x:c r="O52" s="233"/>
      <x:c r="P52" s="233"/>
      <x:c r="Q52" s="233"/>
      <x:c r="R52" s="233"/>
      <x:c r="S52" s="233"/>
      <x:c r="T52" s="233"/>
      <x:c r="U52" s="233"/>
      <x:c r="V52" s="233"/>
      <x:c r="W52" s="235"/>
      <x:c r="X52" s="235"/>
      <x:c r="Y52" s="233"/>
      <x:c r="Z52" s="233"/>
      <x:c r="AA52" s="233"/>
      <x:c r="AB52" s="233"/>
      <x:c r="AC52" s="236"/>
      <x:c r="AD52" s="233"/>
      <x:c r="AE52" s="233"/>
      <x:c r="AF52" s="233"/>
      <x:c r="AG52" s="233"/>
      <x:c r="AH52" s="234"/>
      <x:c r="AI52" s="233"/>
      <x:c r="AJ52" s="233"/>
      <x:c r="AK52" s="233"/>
      <x:c r="AL52" s="236"/>
      <x:c r="AM52" s="233"/>
      <x:c r="AN52" s="233"/>
      <x:c r="AO52" s="234"/>
      <x:c r="AP52" s="234"/>
      <x:c r="AQ52" s="233"/>
      <x:c r="AR52" s="236"/>
      <x:c r="AS52" s="234"/>
      <x:c r="AT52" s="233"/>
      <x:c r="AU52" s="233"/>
      <x:c r="AV52" s="233"/>
      <x:c r="AW52" s="233"/>
      <x:c r="AX52" s="233"/>
      <x:c r="AY52" s="233"/>
      <x:c r="AZ52" s="236"/>
      <x:c r="BA52" s="233"/>
      <x:c r="BB52" s="233"/>
      <x:c r="BC52" s="233"/>
      <x:c r="BD52" s="233"/>
      <x:c r="BE52" s="237" t="str">
        <x:f>IF(AND(A52="",B52="",C52="",E52="",G52="",I52="",M52="",T52="",BB52="",BD52=""),"",IF(B52="skip","SKIP",IF(OR(B52="",A52="",E52="",G52="",I52="",M52="",T52="",COUNTIF($A$6:$A$505,A52)&gt;1,COUNTIF($M$6:$M$505,M52)&gt;1,AND(L52="mobile",N52&lt;&gt;"invalid",OR(LEN(M52)&lt;&gt;10,LEFT(M52,2)&lt;&gt;"09"))),"REVIEW","READY")))</x:f>
      </x:c>
      <x:c r="BF52" s="238" t="str">
        <x:f>IF(BE52="","",IF(BE52="READY","",IF(B52="skip","Skipped by import_action",TRIM(IF(B52="","missing import_action; ","")&amp;IF(A52="","missing migration_customer_key; ","")&amp;IF(AND(A52&lt;&gt;"",COUNTIF($A$6:$A$505,A52)&gt;1),"duplicate migration_customer_key; ","")&amp;IF(E52="","missing branch_id; ","")&amp;IF(G52="","missing first_name; ","")&amp;IF(I52="","missing last_name; ","")&amp;IF(M52="","missing primary_phone; ","")&amp;IF(AND(M52&lt;&gt;"",COUNTIF($M$6:$M$505,M52)&gt;1),"duplicate primary_phone; ","")&amp;IF(AND(L52="mobile",N52&lt;&gt;"invalid",OR(LEN(M52)&lt;&gt;10,LEFT(M52,2)&lt;&gt;"09")),"mobile must be 09XXXXXXXX or status invalid; ","")&amp;IF(T52="","missing neighborhood_id; ","")))))</x:f>
      </x:c>
    </x:row>
    <x:row r="53">
      <x:c r="A53" s="232"/>
      <x:c r="B53" s="233"/>
      <x:c r="C53" s="234"/>
      <x:c r="D53" s="233"/>
      <x:c r="E53" s="233"/>
      <x:c r="F53" s="233"/>
      <x:c r="G53" s="233"/>
      <x:c r="H53" s="233"/>
      <x:c r="I53" s="233"/>
      <x:c r="J53" s="233"/>
      <x:c r="K53" s="233" t="str">
        <x:f>TRIM(G53&amp;" "&amp;H53&amp;" "&amp;I53&amp;IF(J53&lt;&gt;""," ("&amp;J53&amp;")",""))</x:f>
      </x:c>
      <x:c r="L53" s="233"/>
      <x:c r="M53" s="234"/>
      <x:c r="N53" s="233"/>
      <x:c r="O53" s="233"/>
      <x:c r="P53" s="233"/>
      <x:c r="Q53" s="233"/>
      <x:c r="R53" s="233"/>
      <x:c r="S53" s="233"/>
      <x:c r="T53" s="233"/>
      <x:c r="U53" s="233"/>
      <x:c r="V53" s="233"/>
      <x:c r="W53" s="235"/>
      <x:c r="X53" s="235"/>
      <x:c r="Y53" s="233"/>
      <x:c r="Z53" s="233"/>
      <x:c r="AA53" s="233"/>
      <x:c r="AB53" s="233"/>
      <x:c r="AC53" s="236"/>
      <x:c r="AD53" s="233"/>
      <x:c r="AE53" s="233"/>
      <x:c r="AF53" s="233"/>
      <x:c r="AG53" s="233"/>
      <x:c r="AH53" s="234"/>
      <x:c r="AI53" s="233"/>
      <x:c r="AJ53" s="233"/>
      <x:c r="AK53" s="233"/>
      <x:c r="AL53" s="236"/>
      <x:c r="AM53" s="233"/>
      <x:c r="AN53" s="233"/>
      <x:c r="AO53" s="234"/>
      <x:c r="AP53" s="234"/>
      <x:c r="AQ53" s="233"/>
      <x:c r="AR53" s="236"/>
      <x:c r="AS53" s="234"/>
      <x:c r="AT53" s="233"/>
      <x:c r="AU53" s="233"/>
      <x:c r="AV53" s="233"/>
      <x:c r="AW53" s="233"/>
      <x:c r="AX53" s="233"/>
      <x:c r="AY53" s="233"/>
      <x:c r="AZ53" s="236"/>
      <x:c r="BA53" s="233"/>
      <x:c r="BB53" s="233"/>
      <x:c r="BC53" s="233"/>
      <x:c r="BD53" s="233"/>
      <x:c r="BE53" s="237" t="str">
        <x:f>IF(AND(A53="",B53="",C53="",E53="",G53="",I53="",M53="",T53="",BB53="",BD53=""),"",IF(B53="skip","SKIP",IF(OR(B53="",A53="",E53="",G53="",I53="",M53="",T53="",COUNTIF($A$6:$A$505,A53)&gt;1,COUNTIF($M$6:$M$505,M53)&gt;1,AND(L53="mobile",N53&lt;&gt;"invalid",OR(LEN(M53)&lt;&gt;10,LEFT(M53,2)&lt;&gt;"09"))),"REVIEW","READY")))</x:f>
      </x:c>
      <x:c r="BF53" s="238" t="str">
        <x:f>IF(BE53="","",IF(BE53="READY","",IF(B53="skip","Skipped by import_action",TRIM(IF(B53="","missing import_action; ","")&amp;IF(A53="","missing migration_customer_key; ","")&amp;IF(AND(A53&lt;&gt;"",COUNTIF($A$6:$A$505,A53)&gt;1),"duplicate migration_customer_key; ","")&amp;IF(E53="","missing branch_id; ","")&amp;IF(G53="","missing first_name; ","")&amp;IF(I53="","missing last_name; ","")&amp;IF(M53="","missing primary_phone; ","")&amp;IF(AND(M53&lt;&gt;"",COUNTIF($M$6:$M$505,M53)&gt;1),"duplicate primary_phone; ","")&amp;IF(AND(L53="mobile",N53&lt;&gt;"invalid",OR(LEN(M53)&lt;&gt;10,LEFT(M53,2)&lt;&gt;"09")),"mobile must be 09XXXXXXXX or status invalid; ","")&amp;IF(T53="","missing neighborhood_id; ","")))))</x:f>
      </x:c>
    </x:row>
    <x:row r="54">
      <x:c r="A54" s="232"/>
      <x:c r="B54" s="233"/>
      <x:c r="C54" s="234"/>
      <x:c r="D54" s="233"/>
      <x:c r="E54" s="233"/>
      <x:c r="F54" s="233"/>
      <x:c r="G54" s="233"/>
      <x:c r="H54" s="233"/>
      <x:c r="I54" s="233"/>
      <x:c r="J54" s="233"/>
      <x:c r="K54" s="233" t="str">
        <x:f>TRIM(G54&amp;" "&amp;H54&amp;" "&amp;I54&amp;IF(J54&lt;&gt;""," ("&amp;J54&amp;")",""))</x:f>
      </x:c>
      <x:c r="L54" s="233"/>
      <x:c r="M54" s="234"/>
      <x:c r="N54" s="233"/>
      <x:c r="O54" s="233"/>
      <x:c r="P54" s="233"/>
      <x:c r="Q54" s="233"/>
      <x:c r="R54" s="233"/>
      <x:c r="S54" s="233"/>
      <x:c r="T54" s="233"/>
      <x:c r="U54" s="233"/>
      <x:c r="V54" s="233"/>
      <x:c r="W54" s="235"/>
      <x:c r="X54" s="235"/>
      <x:c r="Y54" s="233"/>
      <x:c r="Z54" s="233"/>
      <x:c r="AA54" s="233"/>
      <x:c r="AB54" s="233"/>
      <x:c r="AC54" s="236"/>
      <x:c r="AD54" s="233"/>
      <x:c r="AE54" s="233"/>
      <x:c r="AF54" s="233"/>
      <x:c r="AG54" s="233"/>
      <x:c r="AH54" s="234"/>
      <x:c r="AI54" s="233"/>
      <x:c r="AJ54" s="233"/>
      <x:c r="AK54" s="233"/>
      <x:c r="AL54" s="236"/>
      <x:c r="AM54" s="233"/>
      <x:c r="AN54" s="233"/>
      <x:c r="AO54" s="234"/>
      <x:c r="AP54" s="234"/>
      <x:c r="AQ54" s="233"/>
      <x:c r="AR54" s="236"/>
      <x:c r="AS54" s="234"/>
      <x:c r="AT54" s="233"/>
      <x:c r="AU54" s="233"/>
      <x:c r="AV54" s="233"/>
      <x:c r="AW54" s="233"/>
      <x:c r="AX54" s="233"/>
      <x:c r="AY54" s="233"/>
      <x:c r="AZ54" s="236"/>
      <x:c r="BA54" s="233"/>
      <x:c r="BB54" s="233"/>
      <x:c r="BC54" s="233"/>
      <x:c r="BD54" s="233"/>
      <x:c r="BE54" s="237" t="str">
        <x:f>IF(AND(A54="",B54="",C54="",E54="",G54="",I54="",M54="",T54="",BB54="",BD54=""),"",IF(B54="skip","SKIP",IF(OR(B54="",A54="",E54="",G54="",I54="",M54="",T54="",COUNTIF($A$6:$A$505,A54)&gt;1,COUNTIF($M$6:$M$505,M54)&gt;1,AND(L54="mobile",N54&lt;&gt;"invalid",OR(LEN(M54)&lt;&gt;10,LEFT(M54,2)&lt;&gt;"09"))),"REVIEW","READY")))</x:f>
      </x:c>
      <x:c r="BF54" s="238" t="str">
        <x:f>IF(BE54="","",IF(BE54="READY","",IF(B54="skip","Skipped by import_action",TRIM(IF(B54="","missing import_action; ","")&amp;IF(A54="","missing migration_customer_key; ","")&amp;IF(AND(A54&lt;&gt;"",COUNTIF($A$6:$A$505,A54)&gt;1),"duplicate migration_customer_key; ","")&amp;IF(E54="","missing branch_id; ","")&amp;IF(G54="","missing first_name; ","")&amp;IF(I54="","missing last_name; ","")&amp;IF(M54="","missing primary_phone; ","")&amp;IF(AND(M54&lt;&gt;"",COUNTIF($M$6:$M$505,M54)&gt;1),"duplicate primary_phone; ","")&amp;IF(AND(L54="mobile",N54&lt;&gt;"invalid",OR(LEN(M54)&lt;&gt;10,LEFT(M54,2)&lt;&gt;"09")),"mobile must be 09XXXXXXXX or status invalid; ","")&amp;IF(T54="","missing neighborhood_id; ","")))))</x:f>
      </x:c>
    </x:row>
    <x:row r="55">
      <x:c r="A55" s="232"/>
      <x:c r="B55" s="233"/>
      <x:c r="C55" s="234"/>
      <x:c r="D55" s="233"/>
      <x:c r="E55" s="233"/>
      <x:c r="F55" s="233"/>
      <x:c r="G55" s="233"/>
      <x:c r="H55" s="233"/>
      <x:c r="I55" s="233"/>
      <x:c r="J55" s="233"/>
      <x:c r="K55" s="233" t="str">
        <x:f>TRIM(G55&amp;" "&amp;H55&amp;" "&amp;I55&amp;IF(J55&lt;&gt;""," ("&amp;J55&amp;")",""))</x:f>
      </x:c>
      <x:c r="L55" s="233"/>
      <x:c r="M55" s="234"/>
      <x:c r="N55" s="233"/>
      <x:c r="O55" s="233"/>
      <x:c r="P55" s="233"/>
      <x:c r="Q55" s="233"/>
      <x:c r="R55" s="233"/>
      <x:c r="S55" s="233"/>
      <x:c r="T55" s="233"/>
      <x:c r="U55" s="233"/>
      <x:c r="V55" s="233"/>
      <x:c r="W55" s="235"/>
      <x:c r="X55" s="235"/>
      <x:c r="Y55" s="233"/>
      <x:c r="Z55" s="233"/>
      <x:c r="AA55" s="233"/>
      <x:c r="AB55" s="233"/>
      <x:c r="AC55" s="236"/>
      <x:c r="AD55" s="233"/>
      <x:c r="AE55" s="233"/>
      <x:c r="AF55" s="233"/>
      <x:c r="AG55" s="233"/>
      <x:c r="AH55" s="234"/>
      <x:c r="AI55" s="233"/>
      <x:c r="AJ55" s="233"/>
      <x:c r="AK55" s="233"/>
      <x:c r="AL55" s="236"/>
      <x:c r="AM55" s="233"/>
      <x:c r="AN55" s="233"/>
      <x:c r="AO55" s="234"/>
      <x:c r="AP55" s="234"/>
      <x:c r="AQ55" s="233"/>
      <x:c r="AR55" s="236"/>
      <x:c r="AS55" s="234"/>
      <x:c r="AT55" s="233"/>
      <x:c r="AU55" s="233"/>
      <x:c r="AV55" s="233"/>
      <x:c r="AW55" s="233"/>
      <x:c r="AX55" s="233"/>
      <x:c r="AY55" s="233"/>
      <x:c r="AZ55" s="236"/>
      <x:c r="BA55" s="233"/>
      <x:c r="BB55" s="233"/>
      <x:c r="BC55" s="233"/>
      <x:c r="BD55" s="233"/>
      <x:c r="BE55" s="237" t="str">
        <x:f>IF(AND(A55="",B55="",C55="",E55="",G55="",I55="",M55="",T55="",BB55="",BD55=""),"",IF(B55="skip","SKIP",IF(OR(B55="",A55="",E55="",G55="",I55="",M55="",T55="",COUNTIF($A$6:$A$505,A55)&gt;1,COUNTIF($M$6:$M$505,M55)&gt;1,AND(L55="mobile",N55&lt;&gt;"invalid",OR(LEN(M55)&lt;&gt;10,LEFT(M55,2)&lt;&gt;"09"))),"REVIEW","READY")))</x:f>
      </x:c>
      <x:c r="BF55" s="238" t="str">
        <x:f>IF(BE55="","",IF(BE55="READY","",IF(B55="skip","Skipped by import_action",TRIM(IF(B55="","missing import_action; ","")&amp;IF(A55="","missing migration_customer_key; ","")&amp;IF(AND(A55&lt;&gt;"",COUNTIF($A$6:$A$505,A55)&gt;1),"duplicate migration_customer_key; ","")&amp;IF(E55="","missing branch_id; ","")&amp;IF(G55="","missing first_name; ","")&amp;IF(I55="","missing last_name; ","")&amp;IF(M55="","missing primary_phone; ","")&amp;IF(AND(M55&lt;&gt;"",COUNTIF($M$6:$M$505,M55)&gt;1),"duplicate primary_phone; ","")&amp;IF(AND(L55="mobile",N55&lt;&gt;"invalid",OR(LEN(M55)&lt;&gt;10,LEFT(M55,2)&lt;&gt;"09")),"mobile must be 09XXXXXXXX or status invalid; ","")&amp;IF(T55="","missing neighborhood_id; ","")))))</x:f>
      </x:c>
    </x:row>
    <x:row r="56">
      <x:c r="A56" s="232"/>
      <x:c r="B56" s="233"/>
      <x:c r="C56" s="234"/>
      <x:c r="D56" s="233"/>
      <x:c r="E56" s="233"/>
      <x:c r="F56" s="233"/>
      <x:c r="G56" s="233"/>
      <x:c r="H56" s="233"/>
      <x:c r="I56" s="233"/>
      <x:c r="J56" s="233"/>
      <x:c r="K56" s="233" t="str">
        <x:f>TRIM(G56&amp;" "&amp;H56&amp;" "&amp;I56&amp;IF(J56&lt;&gt;""," ("&amp;J56&amp;")",""))</x:f>
      </x:c>
      <x:c r="L56" s="233"/>
      <x:c r="M56" s="234"/>
      <x:c r="N56" s="233"/>
      <x:c r="O56" s="233"/>
      <x:c r="P56" s="233"/>
      <x:c r="Q56" s="233"/>
      <x:c r="R56" s="233"/>
      <x:c r="S56" s="233"/>
      <x:c r="T56" s="233"/>
      <x:c r="U56" s="233"/>
      <x:c r="V56" s="233"/>
      <x:c r="W56" s="235"/>
      <x:c r="X56" s="235"/>
      <x:c r="Y56" s="233"/>
      <x:c r="Z56" s="233"/>
      <x:c r="AA56" s="233"/>
      <x:c r="AB56" s="233"/>
      <x:c r="AC56" s="236"/>
      <x:c r="AD56" s="233"/>
      <x:c r="AE56" s="233"/>
      <x:c r="AF56" s="233"/>
      <x:c r="AG56" s="233"/>
      <x:c r="AH56" s="234"/>
      <x:c r="AI56" s="233"/>
      <x:c r="AJ56" s="233"/>
      <x:c r="AK56" s="233"/>
      <x:c r="AL56" s="236"/>
      <x:c r="AM56" s="233"/>
      <x:c r="AN56" s="233"/>
      <x:c r="AO56" s="234"/>
      <x:c r="AP56" s="234"/>
      <x:c r="AQ56" s="233"/>
      <x:c r="AR56" s="236"/>
      <x:c r="AS56" s="234"/>
      <x:c r="AT56" s="233"/>
      <x:c r="AU56" s="233"/>
      <x:c r="AV56" s="233"/>
      <x:c r="AW56" s="233"/>
      <x:c r="AX56" s="233"/>
      <x:c r="AY56" s="233"/>
      <x:c r="AZ56" s="236"/>
      <x:c r="BA56" s="233"/>
      <x:c r="BB56" s="233"/>
      <x:c r="BC56" s="233"/>
      <x:c r="BD56" s="233"/>
      <x:c r="BE56" s="237" t="str">
        <x:f>IF(AND(A56="",B56="",C56="",E56="",G56="",I56="",M56="",T56="",BB56="",BD56=""),"",IF(B56="skip","SKIP",IF(OR(B56="",A56="",E56="",G56="",I56="",M56="",T56="",COUNTIF($A$6:$A$505,A56)&gt;1,COUNTIF($M$6:$M$505,M56)&gt;1,AND(L56="mobile",N56&lt;&gt;"invalid",OR(LEN(M56)&lt;&gt;10,LEFT(M56,2)&lt;&gt;"09"))),"REVIEW","READY")))</x:f>
      </x:c>
      <x:c r="BF56" s="238" t="str">
        <x:f>IF(BE56="","",IF(BE56="READY","",IF(B56="skip","Skipped by import_action",TRIM(IF(B56="","missing import_action; ","")&amp;IF(A56="","missing migration_customer_key; ","")&amp;IF(AND(A56&lt;&gt;"",COUNTIF($A$6:$A$505,A56)&gt;1),"duplicate migration_customer_key; ","")&amp;IF(E56="","missing branch_id; ","")&amp;IF(G56="","missing first_name; ","")&amp;IF(I56="","missing last_name; ","")&amp;IF(M56="","missing primary_phone; ","")&amp;IF(AND(M56&lt;&gt;"",COUNTIF($M$6:$M$505,M56)&gt;1),"duplicate primary_phone; ","")&amp;IF(AND(L56="mobile",N56&lt;&gt;"invalid",OR(LEN(M56)&lt;&gt;10,LEFT(M56,2)&lt;&gt;"09")),"mobile must be 09XXXXXXXX or status invalid; ","")&amp;IF(T56="","missing neighborhood_id; ","")))))</x:f>
      </x:c>
    </x:row>
    <x:row r="57">
      <x:c r="A57" s="232"/>
      <x:c r="B57" s="233"/>
      <x:c r="C57" s="234"/>
      <x:c r="D57" s="233"/>
      <x:c r="E57" s="233"/>
      <x:c r="F57" s="233"/>
      <x:c r="G57" s="233"/>
      <x:c r="H57" s="233"/>
      <x:c r="I57" s="233"/>
      <x:c r="J57" s="233"/>
      <x:c r="K57" s="233" t="str">
        <x:f>TRIM(G57&amp;" "&amp;H57&amp;" "&amp;I57&amp;IF(J57&lt;&gt;""," ("&amp;J57&amp;")",""))</x:f>
      </x:c>
      <x:c r="L57" s="233"/>
      <x:c r="M57" s="234"/>
      <x:c r="N57" s="233"/>
      <x:c r="O57" s="233"/>
      <x:c r="P57" s="233"/>
      <x:c r="Q57" s="233"/>
      <x:c r="R57" s="233"/>
      <x:c r="S57" s="233"/>
      <x:c r="T57" s="233"/>
      <x:c r="U57" s="233"/>
      <x:c r="V57" s="233"/>
      <x:c r="W57" s="235"/>
      <x:c r="X57" s="235"/>
      <x:c r="Y57" s="233"/>
      <x:c r="Z57" s="233"/>
      <x:c r="AA57" s="233"/>
      <x:c r="AB57" s="233"/>
      <x:c r="AC57" s="236"/>
      <x:c r="AD57" s="233"/>
      <x:c r="AE57" s="233"/>
      <x:c r="AF57" s="233"/>
      <x:c r="AG57" s="233"/>
      <x:c r="AH57" s="234"/>
      <x:c r="AI57" s="233"/>
      <x:c r="AJ57" s="233"/>
      <x:c r="AK57" s="233"/>
      <x:c r="AL57" s="236"/>
      <x:c r="AM57" s="233"/>
      <x:c r="AN57" s="233"/>
      <x:c r="AO57" s="234"/>
      <x:c r="AP57" s="234"/>
      <x:c r="AQ57" s="233"/>
      <x:c r="AR57" s="236"/>
      <x:c r="AS57" s="234"/>
      <x:c r="AT57" s="233"/>
      <x:c r="AU57" s="233"/>
      <x:c r="AV57" s="233"/>
      <x:c r="AW57" s="233"/>
      <x:c r="AX57" s="233"/>
      <x:c r="AY57" s="233"/>
      <x:c r="AZ57" s="236"/>
      <x:c r="BA57" s="233"/>
      <x:c r="BB57" s="233"/>
      <x:c r="BC57" s="233"/>
      <x:c r="BD57" s="233"/>
      <x:c r="BE57" s="237" t="str">
        <x:f>IF(AND(A57="",B57="",C57="",E57="",G57="",I57="",M57="",T57="",BB57="",BD57=""),"",IF(B57="skip","SKIP",IF(OR(B57="",A57="",E57="",G57="",I57="",M57="",T57="",COUNTIF($A$6:$A$505,A57)&gt;1,COUNTIF($M$6:$M$505,M57)&gt;1,AND(L57="mobile",N57&lt;&gt;"invalid",OR(LEN(M57)&lt;&gt;10,LEFT(M57,2)&lt;&gt;"09"))),"REVIEW","READY")))</x:f>
      </x:c>
      <x:c r="BF57" s="238" t="str">
        <x:f>IF(BE57="","",IF(BE57="READY","",IF(B57="skip","Skipped by import_action",TRIM(IF(B57="","missing import_action; ","")&amp;IF(A57="","missing migration_customer_key; ","")&amp;IF(AND(A57&lt;&gt;"",COUNTIF($A$6:$A$505,A57)&gt;1),"duplicate migration_customer_key; ","")&amp;IF(E57="","missing branch_id; ","")&amp;IF(G57="","missing first_name; ","")&amp;IF(I57="","missing last_name; ","")&amp;IF(M57="","missing primary_phone; ","")&amp;IF(AND(M57&lt;&gt;"",COUNTIF($M$6:$M$505,M57)&gt;1),"duplicate primary_phone; ","")&amp;IF(AND(L57="mobile",N57&lt;&gt;"invalid",OR(LEN(M57)&lt;&gt;10,LEFT(M57,2)&lt;&gt;"09")),"mobile must be 09XXXXXXXX or status invalid; ","")&amp;IF(T57="","missing neighborhood_id; ","")))))</x:f>
      </x:c>
    </x:row>
    <x:row r="58">
      <x:c r="A58" s="232"/>
      <x:c r="B58" s="233"/>
      <x:c r="C58" s="234"/>
      <x:c r="D58" s="233"/>
      <x:c r="E58" s="233"/>
      <x:c r="F58" s="233"/>
      <x:c r="G58" s="233"/>
      <x:c r="H58" s="233"/>
      <x:c r="I58" s="233"/>
      <x:c r="J58" s="233"/>
      <x:c r="K58" s="233" t="str">
        <x:f>TRIM(G58&amp;" "&amp;H58&amp;" "&amp;I58&amp;IF(J58&lt;&gt;""," ("&amp;J58&amp;")",""))</x:f>
      </x:c>
      <x:c r="L58" s="233"/>
      <x:c r="M58" s="234"/>
      <x:c r="N58" s="233"/>
      <x:c r="O58" s="233"/>
      <x:c r="P58" s="233"/>
      <x:c r="Q58" s="233"/>
      <x:c r="R58" s="233"/>
      <x:c r="S58" s="233"/>
      <x:c r="T58" s="233"/>
      <x:c r="U58" s="233"/>
      <x:c r="V58" s="233"/>
      <x:c r="W58" s="235"/>
      <x:c r="X58" s="235"/>
      <x:c r="Y58" s="233"/>
      <x:c r="Z58" s="233"/>
      <x:c r="AA58" s="233"/>
      <x:c r="AB58" s="233"/>
      <x:c r="AC58" s="236"/>
      <x:c r="AD58" s="233"/>
      <x:c r="AE58" s="233"/>
      <x:c r="AF58" s="233"/>
      <x:c r="AG58" s="233"/>
      <x:c r="AH58" s="234"/>
      <x:c r="AI58" s="233"/>
      <x:c r="AJ58" s="233"/>
      <x:c r="AK58" s="233"/>
      <x:c r="AL58" s="236"/>
      <x:c r="AM58" s="233"/>
      <x:c r="AN58" s="233"/>
      <x:c r="AO58" s="234"/>
      <x:c r="AP58" s="234"/>
      <x:c r="AQ58" s="233"/>
      <x:c r="AR58" s="236"/>
      <x:c r="AS58" s="234"/>
      <x:c r="AT58" s="233"/>
      <x:c r="AU58" s="233"/>
      <x:c r="AV58" s="233"/>
      <x:c r="AW58" s="233"/>
      <x:c r="AX58" s="233"/>
      <x:c r="AY58" s="233"/>
      <x:c r="AZ58" s="236"/>
      <x:c r="BA58" s="233"/>
      <x:c r="BB58" s="233"/>
      <x:c r="BC58" s="233"/>
      <x:c r="BD58" s="233"/>
      <x:c r="BE58" s="237" t="str">
        <x:f>IF(AND(A58="",B58="",C58="",E58="",G58="",I58="",M58="",T58="",BB58="",BD58=""),"",IF(B58="skip","SKIP",IF(OR(B58="",A58="",E58="",G58="",I58="",M58="",T58="",COUNTIF($A$6:$A$505,A58)&gt;1,COUNTIF($M$6:$M$505,M58)&gt;1,AND(L58="mobile",N58&lt;&gt;"invalid",OR(LEN(M58)&lt;&gt;10,LEFT(M58,2)&lt;&gt;"09"))),"REVIEW","READY")))</x:f>
      </x:c>
      <x:c r="BF58" s="238" t="str">
        <x:f>IF(BE58="","",IF(BE58="READY","",IF(B58="skip","Skipped by import_action",TRIM(IF(B58="","missing import_action; ","")&amp;IF(A58="","missing migration_customer_key; ","")&amp;IF(AND(A58&lt;&gt;"",COUNTIF($A$6:$A$505,A58)&gt;1),"duplicate migration_customer_key; ","")&amp;IF(E58="","missing branch_id; ","")&amp;IF(G58="","missing first_name; ","")&amp;IF(I58="","missing last_name; ","")&amp;IF(M58="","missing primary_phone; ","")&amp;IF(AND(M58&lt;&gt;"",COUNTIF($M$6:$M$505,M58)&gt;1),"duplicate primary_phone; ","")&amp;IF(AND(L58="mobile",N58&lt;&gt;"invalid",OR(LEN(M58)&lt;&gt;10,LEFT(M58,2)&lt;&gt;"09")),"mobile must be 09XXXXXXXX or status invalid; ","")&amp;IF(T58="","missing neighborhood_id; ","")))))</x:f>
      </x:c>
    </x:row>
    <x:row r="59">
      <x:c r="A59" s="232"/>
      <x:c r="B59" s="233"/>
      <x:c r="C59" s="234"/>
      <x:c r="D59" s="233"/>
      <x:c r="E59" s="233"/>
      <x:c r="F59" s="233"/>
      <x:c r="G59" s="233"/>
      <x:c r="H59" s="233"/>
      <x:c r="I59" s="233"/>
      <x:c r="J59" s="233"/>
      <x:c r="K59" s="233" t="str">
        <x:f>TRIM(G59&amp;" "&amp;H59&amp;" "&amp;I59&amp;IF(J59&lt;&gt;""," ("&amp;J59&amp;")",""))</x:f>
      </x:c>
      <x:c r="L59" s="233"/>
      <x:c r="M59" s="234"/>
      <x:c r="N59" s="233"/>
      <x:c r="O59" s="233"/>
      <x:c r="P59" s="233"/>
      <x:c r="Q59" s="233"/>
      <x:c r="R59" s="233"/>
      <x:c r="S59" s="233"/>
      <x:c r="T59" s="233"/>
      <x:c r="U59" s="233"/>
      <x:c r="V59" s="233"/>
      <x:c r="W59" s="235"/>
      <x:c r="X59" s="235"/>
      <x:c r="Y59" s="233"/>
      <x:c r="Z59" s="233"/>
      <x:c r="AA59" s="233"/>
      <x:c r="AB59" s="233"/>
      <x:c r="AC59" s="236"/>
      <x:c r="AD59" s="233"/>
      <x:c r="AE59" s="233"/>
      <x:c r="AF59" s="233"/>
      <x:c r="AG59" s="233"/>
      <x:c r="AH59" s="234"/>
      <x:c r="AI59" s="233"/>
      <x:c r="AJ59" s="233"/>
      <x:c r="AK59" s="233"/>
      <x:c r="AL59" s="236"/>
      <x:c r="AM59" s="233"/>
      <x:c r="AN59" s="233"/>
      <x:c r="AO59" s="234"/>
      <x:c r="AP59" s="234"/>
      <x:c r="AQ59" s="233"/>
      <x:c r="AR59" s="236"/>
      <x:c r="AS59" s="234"/>
      <x:c r="AT59" s="233"/>
      <x:c r="AU59" s="233"/>
      <x:c r="AV59" s="233"/>
      <x:c r="AW59" s="233"/>
      <x:c r="AX59" s="233"/>
      <x:c r="AY59" s="233"/>
      <x:c r="AZ59" s="236"/>
      <x:c r="BA59" s="233"/>
      <x:c r="BB59" s="233"/>
      <x:c r="BC59" s="233"/>
      <x:c r="BD59" s="233"/>
      <x:c r="BE59" s="237" t="str">
        <x:f>IF(AND(A59="",B59="",C59="",E59="",G59="",I59="",M59="",T59="",BB59="",BD59=""),"",IF(B59="skip","SKIP",IF(OR(B59="",A59="",E59="",G59="",I59="",M59="",T59="",COUNTIF($A$6:$A$505,A59)&gt;1,COUNTIF($M$6:$M$505,M59)&gt;1,AND(L59="mobile",N59&lt;&gt;"invalid",OR(LEN(M59)&lt;&gt;10,LEFT(M59,2)&lt;&gt;"09"))),"REVIEW","READY")))</x:f>
      </x:c>
      <x:c r="BF59" s="238" t="str">
        <x:f>IF(BE59="","",IF(BE59="READY","",IF(B59="skip","Skipped by import_action",TRIM(IF(B59="","missing import_action; ","")&amp;IF(A59="","missing migration_customer_key; ","")&amp;IF(AND(A59&lt;&gt;"",COUNTIF($A$6:$A$505,A59)&gt;1),"duplicate migration_customer_key; ","")&amp;IF(E59="","missing branch_id; ","")&amp;IF(G59="","missing first_name; ","")&amp;IF(I59="","missing last_name; ","")&amp;IF(M59="","missing primary_phone; ","")&amp;IF(AND(M59&lt;&gt;"",COUNTIF($M$6:$M$505,M59)&gt;1),"duplicate primary_phone; ","")&amp;IF(AND(L59="mobile",N59&lt;&gt;"invalid",OR(LEN(M59)&lt;&gt;10,LEFT(M59,2)&lt;&gt;"09")),"mobile must be 09XXXXXXXX or status invalid; ","")&amp;IF(T59="","missing neighborhood_id; ","")))))</x:f>
      </x:c>
    </x:row>
    <x:row r="60">
      <x:c r="A60" s="232"/>
      <x:c r="B60" s="233"/>
      <x:c r="C60" s="234"/>
      <x:c r="D60" s="233"/>
      <x:c r="E60" s="233"/>
      <x:c r="F60" s="233"/>
      <x:c r="G60" s="233"/>
      <x:c r="H60" s="233"/>
      <x:c r="I60" s="233"/>
      <x:c r="J60" s="233"/>
      <x:c r="K60" s="233" t="str">
        <x:f>TRIM(G60&amp;" "&amp;H60&amp;" "&amp;I60&amp;IF(J60&lt;&gt;""," ("&amp;J60&amp;")",""))</x:f>
      </x:c>
      <x:c r="L60" s="233"/>
      <x:c r="M60" s="234"/>
      <x:c r="N60" s="233"/>
      <x:c r="O60" s="233"/>
      <x:c r="P60" s="233"/>
      <x:c r="Q60" s="233"/>
      <x:c r="R60" s="233"/>
      <x:c r="S60" s="233"/>
      <x:c r="T60" s="233"/>
      <x:c r="U60" s="233"/>
      <x:c r="V60" s="233"/>
      <x:c r="W60" s="235"/>
      <x:c r="X60" s="235"/>
      <x:c r="Y60" s="233"/>
      <x:c r="Z60" s="233"/>
      <x:c r="AA60" s="233"/>
      <x:c r="AB60" s="233"/>
      <x:c r="AC60" s="236"/>
      <x:c r="AD60" s="233"/>
      <x:c r="AE60" s="233"/>
      <x:c r="AF60" s="233"/>
      <x:c r="AG60" s="233"/>
      <x:c r="AH60" s="234"/>
      <x:c r="AI60" s="233"/>
      <x:c r="AJ60" s="233"/>
      <x:c r="AK60" s="233"/>
      <x:c r="AL60" s="236"/>
      <x:c r="AM60" s="233"/>
      <x:c r="AN60" s="233"/>
      <x:c r="AO60" s="234"/>
      <x:c r="AP60" s="234"/>
      <x:c r="AQ60" s="233"/>
      <x:c r="AR60" s="236"/>
      <x:c r="AS60" s="234"/>
      <x:c r="AT60" s="233"/>
      <x:c r="AU60" s="233"/>
      <x:c r="AV60" s="233"/>
      <x:c r="AW60" s="233"/>
      <x:c r="AX60" s="233"/>
      <x:c r="AY60" s="233"/>
      <x:c r="AZ60" s="236"/>
      <x:c r="BA60" s="233"/>
      <x:c r="BB60" s="233"/>
      <x:c r="BC60" s="233"/>
      <x:c r="BD60" s="233"/>
      <x:c r="BE60" s="237" t="str">
        <x:f>IF(AND(A60="",B60="",C60="",E60="",G60="",I60="",M60="",T60="",BB60="",BD60=""),"",IF(B60="skip","SKIP",IF(OR(B60="",A60="",E60="",G60="",I60="",M60="",T60="",COUNTIF($A$6:$A$505,A60)&gt;1,COUNTIF($M$6:$M$505,M60)&gt;1,AND(L60="mobile",N60&lt;&gt;"invalid",OR(LEN(M60)&lt;&gt;10,LEFT(M60,2)&lt;&gt;"09"))),"REVIEW","READY")))</x:f>
      </x:c>
      <x:c r="BF60" s="238" t="str">
        <x:f>IF(BE60="","",IF(BE60="READY","",IF(B60="skip","Skipped by import_action",TRIM(IF(B60="","missing import_action; ","")&amp;IF(A60="","missing migration_customer_key; ","")&amp;IF(AND(A60&lt;&gt;"",COUNTIF($A$6:$A$505,A60)&gt;1),"duplicate migration_customer_key; ","")&amp;IF(E60="","missing branch_id; ","")&amp;IF(G60="","missing first_name; ","")&amp;IF(I60="","missing last_name; ","")&amp;IF(M60="","missing primary_phone; ","")&amp;IF(AND(M60&lt;&gt;"",COUNTIF($M$6:$M$505,M60)&gt;1),"duplicate primary_phone; ","")&amp;IF(AND(L60="mobile",N60&lt;&gt;"invalid",OR(LEN(M60)&lt;&gt;10,LEFT(M60,2)&lt;&gt;"09")),"mobile must be 09XXXXXXXX or status invalid; ","")&amp;IF(T60="","missing neighborhood_id; ","")))))</x:f>
      </x:c>
    </x:row>
    <x:row r="61">
      <x:c r="A61" s="232"/>
      <x:c r="B61" s="233"/>
      <x:c r="C61" s="234"/>
      <x:c r="D61" s="233"/>
      <x:c r="E61" s="233"/>
      <x:c r="F61" s="233"/>
      <x:c r="G61" s="233"/>
      <x:c r="H61" s="233"/>
      <x:c r="I61" s="233"/>
      <x:c r="J61" s="233"/>
      <x:c r="K61" s="233" t="str">
        <x:f>TRIM(G61&amp;" "&amp;H61&amp;" "&amp;I61&amp;IF(J61&lt;&gt;""," ("&amp;J61&amp;")",""))</x:f>
      </x:c>
      <x:c r="L61" s="233"/>
      <x:c r="M61" s="234"/>
      <x:c r="N61" s="233"/>
      <x:c r="O61" s="233"/>
      <x:c r="P61" s="233"/>
      <x:c r="Q61" s="233"/>
      <x:c r="R61" s="233"/>
      <x:c r="S61" s="233"/>
      <x:c r="T61" s="233"/>
      <x:c r="U61" s="233"/>
      <x:c r="V61" s="233"/>
      <x:c r="W61" s="235"/>
      <x:c r="X61" s="235"/>
      <x:c r="Y61" s="233"/>
      <x:c r="Z61" s="233"/>
      <x:c r="AA61" s="233"/>
      <x:c r="AB61" s="233"/>
      <x:c r="AC61" s="236"/>
      <x:c r="AD61" s="233"/>
      <x:c r="AE61" s="233"/>
      <x:c r="AF61" s="233"/>
      <x:c r="AG61" s="233"/>
      <x:c r="AH61" s="234"/>
      <x:c r="AI61" s="233"/>
      <x:c r="AJ61" s="233"/>
      <x:c r="AK61" s="233"/>
      <x:c r="AL61" s="236"/>
      <x:c r="AM61" s="233"/>
      <x:c r="AN61" s="233"/>
      <x:c r="AO61" s="234"/>
      <x:c r="AP61" s="234"/>
      <x:c r="AQ61" s="233"/>
      <x:c r="AR61" s="236"/>
      <x:c r="AS61" s="234"/>
      <x:c r="AT61" s="233"/>
      <x:c r="AU61" s="233"/>
      <x:c r="AV61" s="233"/>
      <x:c r="AW61" s="233"/>
      <x:c r="AX61" s="233"/>
      <x:c r="AY61" s="233"/>
      <x:c r="AZ61" s="236"/>
      <x:c r="BA61" s="233"/>
      <x:c r="BB61" s="233"/>
      <x:c r="BC61" s="233"/>
      <x:c r="BD61" s="233"/>
      <x:c r="BE61" s="237" t="str">
        <x:f>IF(AND(A61="",B61="",C61="",E61="",G61="",I61="",M61="",T61="",BB61="",BD61=""),"",IF(B61="skip","SKIP",IF(OR(B61="",A61="",E61="",G61="",I61="",M61="",T61="",COUNTIF($A$6:$A$505,A61)&gt;1,COUNTIF($M$6:$M$505,M61)&gt;1,AND(L61="mobile",N61&lt;&gt;"invalid",OR(LEN(M61)&lt;&gt;10,LEFT(M61,2)&lt;&gt;"09"))),"REVIEW","READY")))</x:f>
      </x:c>
      <x:c r="BF61" s="238" t="str">
        <x:f>IF(BE61="","",IF(BE61="READY","",IF(B61="skip","Skipped by import_action",TRIM(IF(B61="","missing import_action; ","")&amp;IF(A61="","missing migration_customer_key; ","")&amp;IF(AND(A61&lt;&gt;"",COUNTIF($A$6:$A$505,A61)&gt;1),"duplicate migration_customer_key; ","")&amp;IF(E61="","missing branch_id; ","")&amp;IF(G61="","missing first_name; ","")&amp;IF(I61="","missing last_name; ","")&amp;IF(M61="","missing primary_phone; ","")&amp;IF(AND(M61&lt;&gt;"",COUNTIF($M$6:$M$505,M61)&gt;1),"duplicate primary_phone; ","")&amp;IF(AND(L61="mobile",N61&lt;&gt;"invalid",OR(LEN(M61)&lt;&gt;10,LEFT(M61,2)&lt;&gt;"09")),"mobile must be 09XXXXXXXX or status invalid; ","")&amp;IF(T61="","missing neighborhood_id; ","")))))</x:f>
      </x:c>
    </x:row>
    <x:row r="62">
      <x:c r="A62" s="232"/>
      <x:c r="B62" s="233"/>
      <x:c r="C62" s="234"/>
      <x:c r="D62" s="233"/>
      <x:c r="E62" s="233"/>
      <x:c r="F62" s="233"/>
      <x:c r="G62" s="233"/>
      <x:c r="H62" s="233"/>
      <x:c r="I62" s="233"/>
      <x:c r="J62" s="233"/>
      <x:c r="K62" s="233" t="str">
        <x:f>TRIM(G62&amp;" "&amp;H62&amp;" "&amp;I62&amp;IF(J62&lt;&gt;""," ("&amp;J62&amp;")",""))</x:f>
      </x:c>
      <x:c r="L62" s="233"/>
      <x:c r="M62" s="234"/>
      <x:c r="N62" s="233"/>
      <x:c r="O62" s="233"/>
      <x:c r="P62" s="233"/>
      <x:c r="Q62" s="233"/>
      <x:c r="R62" s="233"/>
      <x:c r="S62" s="233"/>
      <x:c r="T62" s="233"/>
      <x:c r="U62" s="233"/>
      <x:c r="V62" s="233"/>
      <x:c r="W62" s="235"/>
      <x:c r="X62" s="235"/>
      <x:c r="Y62" s="233"/>
      <x:c r="Z62" s="233"/>
      <x:c r="AA62" s="233"/>
      <x:c r="AB62" s="233"/>
      <x:c r="AC62" s="236"/>
      <x:c r="AD62" s="233"/>
      <x:c r="AE62" s="233"/>
      <x:c r="AF62" s="233"/>
      <x:c r="AG62" s="233"/>
      <x:c r="AH62" s="234"/>
      <x:c r="AI62" s="233"/>
      <x:c r="AJ62" s="233"/>
      <x:c r="AK62" s="233"/>
      <x:c r="AL62" s="236"/>
      <x:c r="AM62" s="233"/>
      <x:c r="AN62" s="233"/>
      <x:c r="AO62" s="234"/>
      <x:c r="AP62" s="234"/>
      <x:c r="AQ62" s="233"/>
      <x:c r="AR62" s="236"/>
      <x:c r="AS62" s="234"/>
      <x:c r="AT62" s="233"/>
      <x:c r="AU62" s="233"/>
      <x:c r="AV62" s="233"/>
      <x:c r="AW62" s="233"/>
      <x:c r="AX62" s="233"/>
      <x:c r="AY62" s="233"/>
      <x:c r="AZ62" s="236"/>
      <x:c r="BA62" s="233"/>
      <x:c r="BB62" s="233"/>
      <x:c r="BC62" s="233"/>
      <x:c r="BD62" s="233"/>
      <x:c r="BE62" s="237" t="str">
        <x:f>IF(AND(A62="",B62="",C62="",E62="",G62="",I62="",M62="",T62="",BB62="",BD62=""),"",IF(B62="skip","SKIP",IF(OR(B62="",A62="",E62="",G62="",I62="",M62="",T62="",COUNTIF($A$6:$A$505,A62)&gt;1,COUNTIF($M$6:$M$505,M62)&gt;1,AND(L62="mobile",N62&lt;&gt;"invalid",OR(LEN(M62)&lt;&gt;10,LEFT(M62,2)&lt;&gt;"09"))),"REVIEW","READY")))</x:f>
      </x:c>
      <x:c r="BF62" s="238" t="str">
        <x:f>IF(BE62="","",IF(BE62="READY","",IF(B62="skip","Skipped by import_action",TRIM(IF(B62="","missing import_action; ","")&amp;IF(A62="","missing migration_customer_key; ","")&amp;IF(AND(A62&lt;&gt;"",COUNTIF($A$6:$A$505,A62)&gt;1),"duplicate migration_customer_key; ","")&amp;IF(E62="","missing branch_id; ","")&amp;IF(G62="","missing first_name; ","")&amp;IF(I62="","missing last_name; ","")&amp;IF(M62="","missing primary_phone; ","")&amp;IF(AND(M62&lt;&gt;"",COUNTIF($M$6:$M$505,M62)&gt;1),"duplicate primary_phone; ","")&amp;IF(AND(L62="mobile",N62&lt;&gt;"invalid",OR(LEN(M62)&lt;&gt;10,LEFT(M62,2)&lt;&gt;"09")),"mobile must be 09XXXXXXXX or status invalid; ","")&amp;IF(T62="","missing neighborhood_id; ","")))))</x:f>
      </x:c>
    </x:row>
    <x:row r="63">
      <x:c r="A63" s="232"/>
      <x:c r="B63" s="233"/>
      <x:c r="C63" s="234"/>
      <x:c r="D63" s="233"/>
      <x:c r="E63" s="233"/>
      <x:c r="F63" s="233"/>
      <x:c r="G63" s="233"/>
      <x:c r="H63" s="233"/>
      <x:c r="I63" s="233"/>
      <x:c r="J63" s="233"/>
      <x:c r="K63" s="233" t="str">
        <x:f>TRIM(G63&amp;" "&amp;H63&amp;" "&amp;I63&amp;IF(J63&lt;&gt;""," ("&amp;J63&amp;")",""))</x:f>
      </x:c>
      <x:c r="L63" s="233"/>
      <x:c r="M63" s="234"/>
      <x:c r="N63" s="233"/>
      <x:c r="O63" s="233"/>
      <x:c r="P63" s="233"/>
      <x:c r="Q63" s="233"/>
      <x:c r="R63" s="233"/>
      <x:c r="S63" s="233"/>
      <x:c r="T63" s="233"/>
      <x:c r="U63" s="233"/>
      <x:c r="V63" s="233"/>
      <x:c r="W63" s="235"/>
      <x:c r="X63" s="235"/>
      <x:c r="Y63" s="233"/>
      <x:c r="Z63" s="233"/>
      <x:c r="AA63" s="233"/>
      <x:c r="AB63" s="233"/>
      <x:c r="AC63" s="236"/>
      <x:c r="AD63" s="233"/>
      <x:c r="AE63" s="233"/>
      <x:c r="AF63" s="233"/>
      <x:c r="AG63" s="233"/>
      <x:c r="AH63" s="234"/>
      <x:c r="AI63" s="233"/>
      <x:c r="AJ63" s="233"/>
      <x:c r="AK63" s="233"/>
      <x:c r="AL63" s="236"/>
      <x:c r="AM63" s="233"/>
      <x:c r="AN63" s="233"/>
      <x:c r="AO63" s="234"/>
      <x:c r="AP63" s="234"/>
      <x:c r="AQ63" s="233"/>
      <x:c r="AR63" s="236"/>
      <x:c r="AS63" s="234"/>
      <x:c r="AT63" s="233"/>
      <x:c r="AU63" s="233"/>
      <x:c r="AV63" s="233"/>
      <x:c r="AW63" s="233"/>
      <x:c r="AX63" s="233"/>
      <x:c r="AY63" s="233"/>
      <x:c r="AZ63" s="236"/>
      <x:c r="BA63" s="233"/>
      <x:c r="BB63" s="233"/>
      <x:c r="BC63" s="233"/>
      <x:c r="BD63" s="233"/>
      <x:c r="BE63" s="237" t="str">
        <x:f>IF(AND(A63="",B63="",C63="",E63="",G63="",I63="",M63="",T63="",BB63="",BD63=""),"",IF(B63="skip","SKIP",IF(OR(B63="",A63="",E63="",G63="",I63="",M63="",T63="",COUNTIF($A$6:$A$505,A63)&gt;1,COUNTIF($M$6:$M$505,M63)&gt;1,AND(L63="mobile",N63&lt;&gt;"invalid",OR(LEN(M63)&lt;&gt;10,LEFT(M63,2)&lt;&gt;"09"))),"REVIEW","READY")))</x:f>
      </x:c>
      <x:c r="BF63" s="238" t="str">
        <x:f>IF(BE63="","",IF(BE63="READY","",IF(B63="skip","Skipped by import_action",TRIM(IF(B63="","missing import_action; ","")&amp;IF(A63="","missing migration_customer_key; ","")&amp;IF(AND(A63&lt;&gt;"",COUNTIF($A$6:$A$505,A63)&gt;1),"duplicate migration_customer_key; ","")&amp;IF(E63="","missing branch_id; ","")&amp;IF(G63="","missing first_name; ","")&amp;IF(I63="","missing last_name; ","")&amp;IF(M63="","missing primary_phone; ","")&amp;IF(AND(M63&lt;&gt;"",COUNTIF($M$6:$M$505,M63)&gt;1),"duplicate primary_phone; ","")&amp;IF(AND(L63="mobile",N63&lt;&gt;"invalid",OR(LEN(M63)&lt;&gt;10,LEFT(M63,2)&lt;&gt;"09")),"mobile must be 09XXXXXXXX or status invalid; ","")&amp;IF(T63="","missing neighborhood_id; ","")))))</x:f>
      </x:c>
    </x:row>
    <x:row r="64">
      <x:c r="A64" s="232"/>
      <x:c r="B64" s="233"/>
      <x:c r="C64" s="234"/>
      <x:c r="D64" s="233"/>
      <x:c r="E64" s="233"/>
      <x:c r="F64" s="233"/>
      <x:c r="G64" s="233"/>
      <x:c r="H64" s="233"/>
      <x:c r="I64" s="233"/>
      <x:c r="J64" s="233"/>
      <x:c r="K64" s="233" t="str">
        <x:f>TRIM(G64&amp;" "&amp;H64&amp;" "&amp;I64&amp;IF(J64&lt;&gt;""," ("&amp;J64&amp;")",""))</x:f>
      </x:c>
      <x:c r="L64" s="233"/>
      <x:c r="M64" s="234"/>
      <x:c r="N64" s="233"/>
      <x:c r="O64" s="233"/>
      <x:c r="P64" s="233"/>
      <x:c r="Q64" s="233"/>
      <x:c r="R64" s="233"/>
      <x:c r="S64" s="233"/>
      <x:c r="T64" s="233"/>
      <x:c r="U64" s="233"/>
      <x:c r="V64" s="233"/>
      <x:c r="W64" s="235"/>
      <x:c r="X64" s="235"/>
      <x:c r="Y64" s="233"/>
      <x:c r="Z64" s="233"/>
      <x:c r="AA64" s="233"/>
      <x:c r="AB64" s="233"/>
      <x:c r="AC64" s="236"/>
      <x:c r="AD64" s="233"/>
      <x:c r="AE64" s="233"/>
      <x:c r="AF64" s="233"/>
      <x:c r="AG64" s="233"/>
      <x:c r="AH64" s="234"/>
      <x:c r="AI64" s="233"/>
      <x:c r="AJ64" s="233"/>
      <x:c r="AK64" s="233"/>
      <x:c r="AL64" s="236"/>
      <x:c r="AM64" s="233"/>
      <x:c r="AN64" s="233"/>
      <x:c r="AO64" s="234"/>
      <x:c r="AP64" s="234"/>
      <x:c r="AQ64" s="233"/>
      <x:c r="AR64" s="236"/>
      <x:c r="AS64" s="234"/>
      <x:c r="AT64" s="233"/>
      <x:c r="AU64" s="233"/>
      <x:c r="AV64" s="233"/>
      <x:c r="AW64" s="233"/>
      <x:c r="AX64" s="233"/>
      <x:c r="AY64" s="233"/>
      <x:c r="AZ64" s="236"/>
      <x:c r="BA64" s="233"/>
      <x:c r="BB64" s="233"/>
      <x:c r="BC64" s="233"/>
      <x:c r="BD64" s="233"/>
      <x:c r="BE64" s="237" t="str">
        <x:f>IF(AND(A64="",B64="",C64="",E64="",G64="",I64="",M64="",T64="",BB64="",BD64=""),"",IF(B64="skip","SKIP",IF(OR(B64="",A64="",E64="",G64="",I64="",M64="",T64="",COUNTIF($A$6:$A$505,A64)&gt;1,COUNTIF($M$6:$M$505,M64)&gt;1,AND(L64="mobile",N64&lt;&gt;"invalid",OR(LEN(M64)&lt;&gt;10,LEFT(M64,2)&lt;&gt;"09"))),"REVIEW","READY")))</x:f>
      </x:c>
      <x:c r="BF64" s="238" t="str">
        <x:f>IF(BE64="","",IF(BE64="READY","",IF(B64="skip","Skipped by import_action",TRIM(IF(B64="","missing import_action; ","")&amp;IF(A64="","missing migration_customer_key; ","")&amp;IF(AND(A64&lt;&gt;"",COUNTIF($A$6:$A$505,A64)&gt;1),"duplicate migration_customer_key; ","")&amp;IF(E64="","missing branch_id; ","")&amp;IF(G64="","missing first_name; ","")&amp;IF(I64="","missing last_name; ","")&amp;IF(M64="","missing primary_phone; ","")&amp;IF(AND(M64&lt;&gt;"",COUNTIF($M$6:$M$505,M64)&gt;1),"duplicate primary_phone; ","")&amp;IF(AND(L64="mobile",N64&lt;&gt;"invalid",OR(LEN(M64)&lt;&gt;10,LEFT(M64,2)&lt;&gt;"09")),"mobile must be 09XXXXXXXX or status invalid; ","")&amp;IF(T64="","missing neighborhood_id; ","")))))</x:f>
      </x:c>
    </x:row>
    <x:row r="65">
      <x:c r="A65" s="232"/>
      <x:c r="B65" s="233"/>
      <x:c r="C65" s="234"/>
      <x:c r="D65" s="233"/>
      <x:c r="E65" s="233"/>
      <x:c r="F65" s="233"/>
      <x:c r="G65" s="233"/>
      <x:c r="H65" s="233"/>
      <x:c r="I65" s="233"/>
      <x:c r="J65" s="233"/>
      <x:c r="K65" s="233" t="str">
        <x:f>TRIM(G65&amp;" "&amp;H65&amp;" "&amp;I65&amp;IF(J65&lt;&gt;""," ("&amp;J65&amp;")",""))</x:f>
      </x:c>
      <x:c r="L65" s="233"/>
      <x:c r="M65" s="234"/>
      <x:c r="N65" s="233"/>
      <x:c r="O65" s="233"/>
      <x:c r="P65" s="233"/>
      <x:c r="Q65" s="233"/>
      <x:c r="R65" s="233"/>
      <x:c r="S65" s="233"/>
      <x:c r="T65" s="233"/>
      <x:c r="U65" s="233"/>
      <x:c r="V65" s="233"/>
      <x:c r="W65" s="235"/>
      <x:c r="X65" s="235"/>
      <x:c r="Y65" s="233"/>
      <x:c r="Z65" s="233"/>
      <x:c r="AA65" s="233"/>
      <x:c r="AB65" s="233"/>
      <x:c r="AC65" s="236"/>
      <x:c r="AD65" s="233"/>
      <x:c r="AE65" s="233"/>
      <x:c r="AF65" s="233"/>
      <x:c r="AG65" s="233"/>
      <x:c r="AH65" s="234"/>
      <x:c r="AI65" s="233"/>
      <x:c r="AJ65" s="233"/>
      <x:c r="AK65" s="233"/>
      <x:c r="AL65" s="236"/>
      <x:c r="AM65" s="233"/>
      <x:c r="AN65" s="233"/>
      <x:c r="AO65" s="234"/>
      <x:c r="AP65" s="234"/>
      <x:c r="AQ65" s="233"/>
      <x:c r="AR65" s="236"/>
      <x:c r="AS65" s="234"/>
      <x:c r="AT65" s="233"/>
      <x:c r="AU65" s="233"/>
      <x:c r="AV65" s="233"/>
      <x:c r="AW65" s="233"/>
      <x:c r="AX65" s="233"/>
      <x:c r="AY65" s="233"/>
      <x:c r="AZ65" s="236"/>
      <x:c r="BA65" s="233"/>
      <x:c r="BB65" s="233"/>
      <x:c r="BC65" s="233"/>
      <x:c r="BD65" s="233"/>
      <x:c r="BE65" s="237" t="str">
        <x:f>IF(AND(A65="",B65="",C65="",E65="",G65="",I65="",M65="",T65="",BB65="",BD65=""),"",IF(B65="skip","SKIP",IF(OR(B65="",A65="",E65="",G65="",I65="",M65="",T65="",COUNTIF($A$6:$A$505,A65)&gt;1,COUNTIF($M$6:$M$505,M65)&gt;1,AND(L65="mobile",N65&lt;&gt;"invalid",OR(LEN(M65)&lt;&gt;10,LEFT(M65,2)&lt;&gt;"09"))),"REVIEW","READY")))</x:f>
      </x:c>
      <x:c r="BF65" s="238" t="str">
        <x:f>IF(BE65="","",IF(BE65="READY","",IF(B65="skip","Skipped by import_action",TRIM(IF(B65="","missing import_action; ","")&amp;IF(A65="","missing migration_customer_key; ","")&amp;IF(AND(A65&lt;&gt;"",COUNTIF($A$6:$A$505,A65)&gt;1),"duplicate migration_customer_key; ","")&amp;IF(E65="","missing branch_id; ","")&amp;IF(G65="","missing first_name; ","")&amp;IF(I65="","missing last_name; ","")&amp;IF(M65="","missing primary_phone; ","")&amp;IF(AND(M65&lt;&gt;"",COUNTIF($M$6:$M$505,M65)&gt;1),"duplicate primary_phone; ","")&amp;IF(AND(L65="mobile",N65&lt;&gt;"invalid",OR(LEN(M65)&lt;&gt;10,LEFT(M65,2)&lt;&gt;"09")),"mobile must be 09XXXXXXXX or status invalid; ","")&amp;IF(T65="","missing neighborhood_id; ","")))))</x:f>
      </x:c>
    </x:row>
    <x:row r="66">
      <x:c r="A66" s="232"/>
      <x:c r="B66" s="233"/>
      <x:c r="C66" s="234"/>
      <x:c r="D66" s="233"/>
      <x:c r="E66" s="233"/>
      <x:c r="F66" s="233"/>
      <x:c r="G66" s="233"/>
      <x:c r="H66" s="233"/>
      <x:c r="I66" s="233"/>
      <x:c r="J66" s="233"/>
      <x:c r="K66" s="233" t="str">
        <x:f>TRIM(G66&amp;" "&amp;H66&amp;" "&amp;I66&amp;IF(J66&lt;&gt;""," ("&amp;J66&amp;")",""))</x:f>
      </x:c>
      <x:c r="L66" s="233"/>
      <x:c r="M66" s="234"/>
      <x:c r="N66" s="233"/>
      <x:c r="O66" s="233"/>
      <x:c r="P66" s="233"/>
      <x:c r="Q66" s="233"/>
      <x:c r="R66" s="233"/>
      <x:c r="S66" s="233"/>
      <x:c r="T66" s="233"/>
      <x:c r="U66" s="233"/>
      <x:c r="V66" s="233"/>
      <x:c r="W66" s="235"/>
      <x:c r="X66" s="235"/>
      <x:c r="Y66" s="233"/>
      <x:c r="Z66" s="233"/>
      <x:c r="AA66" s="233"/>
      <x:c r="AB66" s="233"/>
      <x:c r="AC66" s="236"/>
      <x:c r="AD66" s="233"/>
      <x:c r="AE66" s="233"/>
      <x:c r="AF66" s="233"/>
      <x:c r="AG66" s="233"/>
      <x:c r="AH66" s="234"/>
      <x:c r="AI66" s="233"/>
      <x:c r="AJ66" s="233"/>
      <x:c r="AK66" s="233"/>
      <x:c r="AL66" s="236"/>
      <x:c r="AM66" s="233"/>
      <x:c r="AN66" s="233"/>
      <x:c r="AO66" s="234"/>
      <x:c r="AP66" s="234"/>
      <x:c r="AQ66" s="233"/>
      <x:c r="AR66" s="236"/>
      <x:c r="AS66" s="234"/>
      <x:c r="AT66" s="233"/>
      <x:c r="AU66" s="233"/>
      <x:c r="AV66" s="233"/>
      <x:c r="AW66" s="233"/>
      <x:c r="AX66" s="233"/>
      <x:c r="AY66" s="233"/>
      <x:c r="AZ66" s="236"/>
      <x:c r="BA66" s="233"/>
      <x:c r="BB66" s="233"/>
      <x:c r="BC66" s="233"/>
      <x:c r="BD66" s="233"/>
      <x:c r="BE66" s="237" t="str">
        <x:f>IF(AND(A66="",B66="",C66="",E66="",G66="",I66="",M66="",T66="",BB66="",BD66=""),"",IF(B66="skip","SKIP",IF(OR(B66="",A66="",E66="",G66="",I66="",M66="",T66="",COUNTIF($A$6:$A$505,A66)&gt;1,COUNTIF($M$6:$M$505,M66)&gt;1,AND(L66="mobile",N66&lt;&gt;"invalid",OR(LEN(M66)&lt;&gt;10,LEFT(M66,2)&lt;&gt;"09"))),"REVIEW","READY")))</x:f>
      </x:c>
      <x:c r="BF66" s="238" t="str">
        <x:f>IF(BE66="","",IF(BE66="READY","",IF(B66="skip","Skipped by import_action",TRIM(IF(B66="","missing import_action; ","")&amp;IF(A66="","missing migration_customer_key; ","")&amp;IF(AND(A66&lt;&gt;"",COUNTIF($A$6:$A$505,A66)&gt;1),"duplicate migration_customer_key; ","")&amp;IF(E66="","missing branch_id; ","")&amp;IF(G66="","missing first_name; ","")&amp;IF(I66="","missing last_name; ","")&amp;IF(M66="","missing primary_phone; ","")&amp;IF(AND(M66&lt;&gt;"",COUNTIF($M$6:$M$505,M66)&gt;1),"duplicate primary_phone; ","")&amp;IF(AND(L66="mobile",N66&lt;&gt;"invalid",OR(LEN(M66)&lt;&gt;10,LEFT(M66,2)&lt;&gt;"09")),"mobile must be 09XXXXXXXX or status invalid; ","")&amp;IF(T66="","missing neighborhood_id; ","")))))</x:f>
      </x:c>
    </x:row>
    <x:row r="67">
      <x:c r="A67" s="232"/>
      <x:c r="B67" s="233"/>
      <x:c r="C67" s="234"/>
      <x:c r="D67" s="233"/>
      <x:c r="E67" s="233"/>
      <x:c r="F67" s="233"/>
      <x:c r="G67" s="233"/>
      <x:c r="H67" s="233"/>
      <x:c r="I67" s="233"/>
      <x:c r="J67" s="233"/>
      <x:c r="K67" s="233" t="str">
        <x:f>TRIM(G67&amp;" "&amp;H67&amp;" "&amp;I67&amp;IF(J67&lt;&gt;""," ("&amp;J67&amp;")",""))</x:f>
      </x:c>
      <x:c r="L67" s="233"/>
      <x:c r="M67" s="234"/>
      <x:c r="N67" s="233"/>
      <x:c r="O67" s="233"/>
      <x:c r="P67" s="233"/>
      <x:c r="Q67" s="233"/>
      <x:c r="R67" s="233"/>
      <x:c r="S67" s="233"/>
      <x:c r="T67" s="233"/>
      <x:c r="U67" s="233"/>
      <x:c r="V67" s="233"/>
      <x:c r="W67" s="235"/>
      <x:c r="X67" s="235"/>
      <x:c r="Y67" s="233"/>
      <x:c r="Z67" s="233"/>
      <x:c r="AA67" s="233"/>
      <x:c r="AB67" s="233"/>
      <x:c r="AC67" s="236"/>
      <x:c r="AD67" s="233"/>
      <x:c r="AE67" s="233"/>
      <x:c r="AF67" s="233"/>
      <x:c r="AG67" s="233"/>
      <x:c r="AH67" s="234"/>
      <x:c r="AI67" s="233"/>
      <x:c r="AJ67" s="233"/>
      <x:c r="AK67" s="233"/>
      <x:c r="AL67" s="236"/>
      <x:c r="AM67" s="233"/>
      <x:c r="AN67" s="233"/>
      <x:c r="AO67" s="234"/>
      <x:c r="AP67" s="234"/>
      <x:c r="AQ67" s="233"/>
      <x:c r="AR67" s="236"/>
      <x:c r="AS67" s="234"/>
      <x:c r="AT67" s="233"/>
      <x:c r="AU67" s="233"/>
      <x:c r="AV67" s="233"/>
      <x:c r="AW67" s="233"/>
      <x:c r="AX67" s="233"/>
      <x:c r="AY67" s="233"/>
      <x:c r="AZ67" s="236"/>
      <x:c r="BA67" s="233"/>
      <x:c r="BB67" s="233"/>
      <x:c r="BC67" s="233"/>
      <x:c r="BD67" s="233"/>
      <x:c r="BE67" s="237" t="str">
        <x:f>IF(AND(A67="",B67="",C67="",E67="",G67="",I67="",M67="",T67="",BB67="",BD67=""),"",IF(B67="skip","SKIP",IF(OR(B67="",A67="",E67="",G67="",I67="",M67="",T67="",COUNTIF($A$6:$A$505,A67)&gt;1,COUNTIF($M$6:$M$505,M67)&gt;1,AND(L67="mobile",N67&lt;&gt;"invalid",OR(LEN(M67)&lt;&gt;10,LEFT(M67,2)&lt;&gt;"09"))),"REVIEW","READY")))</x:f>
      </x:c>
      <x:c r="BF67" s="238" t="str">
        <x:f>IF(BE67="","",IF(BE67="READY","",IF(B67="skip","Skipped by import_action",TRIM(IF(B67="","missing import_action; ","")&amp;IF(A67="","missing migration_customer_key; ","")&amp;IF(AND(A67&lt;&gt;"",COUNTIF($A$6:$A$505,A67)&gt;1),"duplicate migration_customer_key; ","")&amp;IF(E67="","missing branch_id; ","")&amp;IF(G67="","missing first_name; ","")&amp;IF(I67="","missing last_name; ","")&amp;IF(M67="","missing primary_phone; ","")&amp;IF(AND(M67&lt;&gt;"",COUNTIF($M$6:$M$505,M67)&gt;1),"duplicate primary_phone; ","")&amp;IF(AND(L67="mobile",N67&lt;&gt;"invalid",OR(LEN(M67)&lt;&gt;10,LEFT(M67,2)&lt;&gt;"09")),"mobile must be 09XXXXXXXX or status invalid; ","")&amp;IF(T67="","missing neighborhood_id; ","")))))</x:f>
      </x:c>
    </x:row>
    <x:row r="68">
      <x:c r="A68" s="232"/>
      <x:c r="B68" s="233"/>
      <x:c r="C68" s="234"/>
      <x:c r="D68" s="233"/>
      <x:c r="E68" s="233"/>
      <x:c r="F68" s="233"/>
      <x:c r="G68" s="233"/>
      <x:c r="H68" s="233"/>
      <x:c r="I68" s="233"/>
      <x:c r="J68" s="233"/>
      <x:c r="K68" s="233" t="str">
        <x:f>TRIM(G68&amp;" "&amp;H68&amp;" "&amp;I68&amp;IF(J68&lt;&gt;""," ("&amp;J68&amp;")",""))</x:f>
      </x:c>
      <x:c r="L68" s="233"/>
      <x:c r="M68" s="234"/>
      <x:c r="N68" s="233"/>
      <x:c r="O68" s="233"/>
      <x:c r="P68" s="233"/>
      <x:c r="Q68" s="233"/>
      <x:c r="R68" s="233"/>
      <x:c r="S68" s="233"/>
      <x:c r="T68" s="233"/>
      <x:c r="U68" s="233"/>
      <x:c r="V68" s="233"/>
      <x:c r="W68" s="235"/>
      <x:c r="X68" s="235"/>
      <x:c r="Y68" s="233"/>
      <x:c r="Z68" s="233"/>
      <x:c r="AA68" s="233"/>
      <x:c r="AB68" s="233"/>
      <x:c r="AC68" s="236"/>
      <x:c r="AD68" s="233"/>
      <x:c r="AE68" s="233"/>
      <x:c r="AF68" s="233"/>
      <x:c r="AG68" s="233"/>
      <x:c r="AH68" s="234"/>
      <x:c r="AI68" s="233"/>
      <x:c r="AJ68" s="233"/>
      <x:c r="AK68" s="233"/>
      <x:c r="AL68" s="236"/>
      <x:c r="AM68" s="233"/>
      <x:c r="AN68" s="233"/>
      <x:c r="AO68" s="234"/>
      <x:c r="AP68" s="234"/>
      <x:c r="AQ68" s="233"/>
      <x:c r="AR68" s="236"/>
      <x:c r="AS68" s="234"/>
      <x:c r="AT68" s="233"/>
      <x:c r="AU68" s="233"/>
      <x:c r="AV68" s="233"/>
      <x:c r="AW68" s="233"/>
      <x:c r="AX68" s="233"/>
      <x:c r="AY68" s="233"/>
      <x:c r="AZ68" s="236"/>
      <x:c r="BA68" s="233"/>
      <x:c r="BB68" s="233"/>
      <x:c r="BC68" s="233"/>
      <x:c r="BD68" s="233"/>
      <x:c r="BE68" s="237" t="str">
        <x:f>IF(AND(A68="",B68="",C68="",E68="",G68="",I68="",M68="",T68="",BB68="",BD68=""),"",IF(B68="skip","SKIP",IF(OR(B68="",A68="",E68="",G68="",I68="",M68="",T68="",COUNTIF($A$6:$A$505,A68)&gt;1,COUNTIF($M$6:$M$505,M68)&gt;1,AND(L68="mobile",N68&lt;&gt;"invalid",OR(LEN(M68)&lt;&gt;10,LEFT(M68,2)&lt;&gt;"09"))),"REVIEW","READY")))</x:f>
      </x:c>
      <x:c r="BF68" s="238" t="str">
        <x:f>IF(BE68="","",IF(BE68="READY","",IF(B68="skip","Skipped by import_action",TRIM(IF(B68="","missing import_action; ","")&amp;IF(A68="","missing migration_customer_key; ","")&amp;IF(AND(A68&lt;&gt;"",COUNTIF($A$6:$A$505,A68)&gt;1),"duplicate migration_customer_key; ","")&amp;IF(E68="","missing branch_id; ","")&amp;IF(G68="","missing first_name; ","")&amp;IF(I68="","missing last_name; ","")&amp;IF(M68="","missing primary_phone; ","")&amp;IF(AND(M68&lt;&gt;"",COUNTIF($M$6:$M$505,M68)&gt;1),"duplicate primary_phone; ","")&amp;IF(AND(L68="mobile",N68&lt;&gt;"invalid",OR(LEN(M68)&lt;&gt;10,LEFT(M68,2)&lt;&gt;"09")),"mobile must be 09XXXXXXXX or status invalid; ","")&amp;IF(T68="","missing neighborhood_id; ","")))))</x:f>
      </x:c>
    </x:row>
    <x:row r="69">
      <x:c r="A69" s="232"/>
      <x:c r="B69" s="233"/>
      <x:c r="C69" s="234"/>
      <x:c r="D69" s="233"/>
      <x:c r="E69" s="233"/>
      <x:c r="F69" s="233"/>
      <x:c r="G69" s="233"/>
      <x:c r="H69" s="233"/>
      <x:c r="I69" s="233"/>
      <x:c r="J69" s="233"/>
      <x:c r="K69" s="233" t="str">
        <x:f>TRIM(G69&amp;" "&amp;H69&amp;" "&amp;I69&amp;IF(J69&lt;&gt;""," ("&amp;J69&amp;")",""))</x:f>
      </x:c>
      <x:c r="L69" s="233"/>
      <x:c r="M69" s="234"/>
      <x:c r="N69" s="233"/>
      <x:c r="O69" s="233"/>
      <x:c r="P69" s="233"/>
      <x:c r="Q69" s="233"/>
      <x:c r="R69" s="233"/>
      <x:c r="S69" s="233"/>
      <x:c r="T69" s="233"/>
      <x:c r="U69" s="233"/>
      <x:c r="V69" s="233"/>
      <x:c r="W69" s="235"/>
      <x:c r="X69" s="235"/>
      <x:c r="Y69" s="233"/>
      <x:c r="Z69" s="233"/>
      <x:c r="AA69" s="233"/>
      <x:c r="AB69" s="233"/>
      <x:c r="AC69" s="236"/>
      <x:c r="AD69" s="233"/>
      <x:c r="AE69" s="233"/>
      <x:c r="AF69" s="233"/>
      <x:c r="AG69" s="233"/>
      <x:c r="AH69" s="234"/>
      <x:c r="AI69" s="233"/>
      <x:c r="AJ69" s="233"/>
      <x:c r="AK69" s="233"/>
      <x:c r="AL69" s="236"/>
      <x:c r="AM69" s="233"/>
      <x:c r="AN69" s="233"/>
      <x:c r="AO69" s="234"/>
      <x:c r="AP69" s="234"/>
      <x:c r="AQ69" s="233"/>
      <x:c r="AR69" s="236"/>
      <x:c r="AS69" s="234"/>
      <x:c r="AT69" s="233"/>
      <x:c r="AU69" s="233"/>
      <x:c r="AV69" s="233"/>
      <x:c r="AW69" s="233"/>
      <x:c r="AX69" s="233"/>
      <x:c r="AY69" s="233"/>
      <x:c r="AZ69" s="236"/>
      <x:c r="BA69" s="233"/>
      <x:c r="BB69" s="233"/>
      <x:c r="BC69" s="233"/>
      <x:c r="BD69" s="233"/>
      <x:c r="BE69" s="237" t="str">
        <x:f>IF(AND(A69="",B69="",C69="",E69="",G69="",I69="",M69="",T69="",BB69="",BD69=""),"",IF(B69="skip","SKIP",IF(OR(B69="",A69="",E69="",G69="",I69="",M69="",T69="",COUNTIF($A$6:$A$505,A69)&gt;1,COUNTIF($M$6:$M$505,M69)&gt;1,AND(L69="mobile",N69&lt;&gt;"invalid",OR(LEN(M69)&lt;&gt;10,LEFT(M69,2)&lt;&gt;"09"))),"REVIEW","READY")))</x:f>
      </x:c>
      <x:c r="BF69" s="238" t="str">
        <x:f>IF(BE69="","",IF(BE69="READY","",IF(B69="skip","Skipped by import_action",TRIM(IF(B69="","missing import_action; ","")&amp;IF(A69="","missing migration_customer_key; ","")&amp;IF(AND(A69&lt;&gt;"",COUNTIF($A$6:$A$505,A69)&gt;1),"duplicate migration_customer_key; ","")&amp;IF(E69="","missing branch_id; ","")&amp;IF(G69="","missing first_name; ","")&amp;IF(I69="","missing last_name; ","")&amp;IF(M69="","missing primary_phone; ","")&amp;IF(AND(M69&lt;&gt;"",COUNTIF($M$6:$M$505,M69)&gt;1),"duplicate primary_phone; ","")&amp;IF(AND(L69="mobile",N69&lt;&gt;"invalid",OR(LEN(M69)&lt;&gt;10,LEFT(M69,2)&lt;&gt;"09")),"mobile must be 09XXXXXXXX or status invalid; ","")&amp;IF(T69="","missing neighborhood_id; ","")))))</x:f>
      </x:c>
    </x:row>
    <x:row r="70">
      <x:c r="A70" s="232"/>
      <x:c r="B70" s="233"/>
      <x:c r="C70" s="234"/>
      <x:c r="D70" s="233"/>
      <x:c r="E70" s="233"/>
      <x:c r="F70" s="233"/>
      <x:c r="G70" s="233"/>
      <x:c r="H70" s="233"/>
      <x:c r="I70" s="233"/>
      <x:c r="J70" s="233"/>
      <x:c r="K70" s="233" t="str">
        <x:f>TRIM(G70&amp;" "&amp;H70&amp;" "&amp;I70&amp;IF(J70&lt;&gt;""," ("&amp;J70&amp;")",""))</x:f>
      </x:c>
      <x:c r="L70" s="233"/>
      <x:c r="M70" s="234"/>
      <x:c r="N70" s="233"/>
      <x:c r="O70" s="233"/>
      <x:c r="P70" s="233"/>
      <x:c r="Q70" s="233"/>
      <x:c r="R70" s="233"/>
      <x:c r="S70" s="233"/>
      <x:c r="T70" s="233"/>
      <x:c r="U70" s="233"/>
      <x:c r="V70" s="233"/>
      <x:c r="W70" s="235"/>
      <x:c r="X70" s="235"/>
      <x:c r="Y70" s="233"/>
      <x:c r="Z70" s="233"/>
      <x:c r="AA70" s="233"/>
      <x:c r="AB70" s="233"/>
      <x:c r="AC70" s="236"/>
      <x:c r="AD70" s="233"/>
      <x:c r="AE70" s="233"/>
      <x:c r="AF70" s="233"/>
      <x:c r="AG70" s="233"/>
      <x:c r="AH70" s="234"/>
      <x:c r="AI70" s="233"/>
      <x:c r="AJ70" s="233"/>
      <x:c r="AK70" s="233"/>
      <x:c r="AL70" s="236"/>
      <x:c r="AM70" s="233"/>
      <x:c r="AN70" s="233"/>
      <x:c r="AO70" s="234"/>
      <x:c r="AP70" s="234"/>
      <x:c r="AQ70" s="233"/>
      <x:c r="AR70" s="236"/>
      <x:c r="AS70" s="234"/>
      <x:c r="AT70" s="233"/>
      <x:c r="AU70" s="233"/>
      <x:c r="AV70" s="233"/>
      <x:c r="AW70" s="233"/>
      <x:c r="AX70" s="233"/>
      <x:c r="AY70" s="233"/>
      <x:c r="AZ70" s="236"/>
      <x:c r="BA70" s="233"/>
      <x:c r="BB70" s="233"/>
      <x:c r="BC70" s="233"/>
      <x:c r="BD70" s="233"/>
      <x:c r="BE70" s="237" t="str">
        <x:f>IF(AND(A70="",B70="",C70="",E70="",G70="",I70="",M70="",T70="",BB70="",BD70=""),"",IF(B70="skip","SKIP",IF(OR(B70="",A70="",E70="",G70="",I70="",M70="",T70="",COUNTIF($A$6:$A$505,A70)&gt;1,COUNTIF($M$6:$M$505,M70)&gt;1,AND(L70="mobile",N70&lt;&gt;"invalid",OR(LEN(M70)&lt;&gt;10,LEFT(M70,2)&lt;&gt;"09"))),"REVIEW","READY")))</x:f>
      </x:c>
      <x:c r="BF70" s="238" t="str">
        <x:f>IF(BE70="","",IF(BE70="READY","",IF(B70="skip","Skipped by import_action",TRIM(IF(B70="","missing import_action; ","")&amp;IF(A70="","missing migration_customer_key; ","")&amp;IF(AND(A70&lt;&gt;"",COUNTIF($A$6:$A$505,A70)&gt;1),"duplicate migration_customer_key; ","")&amp;IF(E70="","missing branch_id; ","")&amp;IF(G70="","missing first_name; ","")&amp;IF(I70="","missing last_name; ","")&amp;IF(M70="","missing primary_phone; ","")&amp;IF(AND(M70&lt;&gt;"",COUNTIF($M$6:$M$505,M70)&gt;1),"duplicate primary_phone; ","")&amp;IF(AND(L70="mobile",N70&lt;&gt;"invalid",OR(LEN(M70)&lt;&gt;10,LEFT(M70,2)&lt;&gt;"09")),"mobile must be 09XXXXXXXX or status invalid; ","")&amp;IF(T70="","missing neighborhood_id; ","")))))</x:f>
      </x:c>
    </x:row>
    <x:row r="71">
      <x:c r="A71" s="232"/>
      <x:c r="B71" s="233"/>
      <x:c r="C71" s="234"/>
      <x:c r="D71" s="233"/>
      <x:c r="E71" s="233"/>
      <x:c r="F71" s="233"/>
      <x:c r="G71" s="233"/>
      <x:c r="H71" s="233"/>
      <x:c r="I71" s="233"/>
      <x:c r="J71" s="233"/>
      <x:c r="K71" s="233" t="str">
        <x:f>TRIM(G71&amp;" "&amp;H71&amp;" "&amp;I71&amp;IF(J71&lt;&gt;""," ("&amp;J71&amp;")",""))</x:f>
      </x:c>
      <x:c r="L71" s="233"/>
      <x:c r="M71" s="234"/>
      <x:c r="N71" s="233"/>
      <x:c r="O71" s="233"/>
      <x:c r="P71" s="233"/>
      <x:c r="Q71" s="233"/>
      <x:c r="R71" s="233"/>
      <x:c r="S71" s="233"/>
      <x:c r="T71" s="233"/>
      <x:c r="U71" s="233"/>
      <x:c r="V71" s="233"/>
      <x:c r="W71" s="235"/>
      <x:c r="X71" s="235"/>
      <x:c r="Y71" s="233"/>
      <x:c r="Z71" s="233"/>
      <x:c r="AA71" s="233"/>
      <x:c r="AB71" s="233"/>
      <x:c r="AC71" s="236"/>
      <x:c r="AD71" s="233"/>
      <x:c r="AE71" s="233"/>
      <x:c r="AF71" s="233"/>
      <x:c r="AG71" s="233"/>
      <x:c r="AH71" s="234"/>
      <x:c r="AI71" s="233"/>
      <x:c r="AJ71" s="233"/>
      <x:c r="AK71" s="233"/>
      <x:c r="AL71" s="236"/>
      <x:c r="AM71" s="233"/>
      <x:c r="AN71" s="233"/>
      <x:c r="AO71" s="234"/>
      <x:c r="AP71" s="234"/>
      <x:c r="AQ71" s="233"/>
      <x:c r="AR71" s="236"/>
      <x:c r="AS71" s="234"/>
      <x:c r="AT71" s="233"/>
      <x:c r="AU71" s="233"/>
      <x:c r="AV71" s="233"/>
      <x:c r="AW71" s="233"/>
      <x:c r="AX71" s="233"/>
      <x:c r="AY71" s="233"/>
      <x:c r="AZ71" s="236"/>
      <x:c r="BA71" s="233"/>
      <x:c r="BB71" s="233"/>
      <x:c r="BC71" s="233"/>
      <x:c r="BD71" s="233"/>
      <x:c r="BE71" s="237" t="str">
        <x:f>IF(AND(A71="",B71="",C71="",E71="",G71="",I71="",M71="",T71="",BB71="",BD71=""),"",IF(B71="skip","SKIP",IF(OR(B71="",A71="",E71="",G71="",I71="",M71="",T71="",COUNTIF($A$6:$A$505,A71)&gt;1,COUNTIF($M$6:$M$505,M71)&gt;1,AND(L71="mobile",N71&lt;&gt;"invalid",OR(LEN(M71)&lt;&gt;10,LEFT(M71,2)&lt;&gt;"09"))),"REVIEW","READY")))</x:f>
      </x:c>
      <x:c r="BF71" s="238" t="str">
        <x:f>IF(BE71="","",IF(BE71="READY","",IF(B71="skip","Skipped by import_action",TRIM(IF(B71="","missing import_action; ","")&amp;IF(A71="","missing migration_customer_key; ","")&amp;IF(AND(A71&lt;&gt;"",COUNTIF($A$6:$A$505,A71)&gt;1),"duplicate migration_customer_key; ","")&amp;IF(E71="","missing branch_id; ","")&amp;IF(G71="","missing first_name; ","")&amp;IF(I71="","missing last_name; ","")&amp;IF(M71="","missing primary_phone; ","")&amp;IF(AND(M71&lt;&gt;"",COUNTIF($M$6:$M$505,M71)&gt;1),"duplicate primary_phone; ","")&amp;IF(AND(L71="mobile",N71&lt;&gt;"invalid",OR(LEN(M71)&lt;&gt;10,LEFT(M71,2)&lt;&gt;"09")),"mobile must be 09XXXXXXXX or status invalid; ","")&amp;IF(T71="","missing neighborhood_id; ","")))))</x:f>
      </x:c>
    </x:row>
    <x:row r="72">
      <x:c r="A72" s="232"/>
      <x:c r="B72" s="233"/>
      <x:c r="C72" s="234"/>
      <x:c r="D72" s="233"/>
      <x:c r="E72" s="233"/>
      <x:c r="F72" s="233"/>
      <x:c r="G72" s="233"/>
      <x:c r="H72" s="233"/>
      <x:c r="I72" s="233"/>
      <x:c r="J72" s="233"/>
      <x:c r="K72" s="233" t="str">
        <x:f>TRIM(G72&amp;" "&amp;H72&amp;" "&amp;I72&amp;IF(J72&lt;&gt;""," ("&amp;J72&amp;")",""))</x:f>
      </x:c>
      <x:c r="L72" s="233"/>
      <x:c r="M72" s="234"/>
      <x:c r="N72" s="233"/>
      <x:c r="O72" s="233"/>
      <x:c r="P72" s="233"/>
      <x:c r="Q72" s="233"/>
      <x:c r="R72" s="233"/>
      <x:c r="S72" s="233"/>
      <x:c r="T72" s="233"/>
      <x:c r="U72" s="233"/>
      <x:c r="V72" s="233"/>
      <x:c r="W72" s="235"/>
      <x:c r="X72" s="235"/>
      <x:c r="Y72" s="233"/>
      <x:c r="Z72" s="233"/>
      <x:c r="AA72" s="233"/>
      <x:c r="AB72" s="233"/>
      <x:c r="AC72" s="236"/>
      <x:c r="AD72" s="233"/>
      <x:c r="AE72" s="233"/>
      <x:c r="AF72" s="233"/>
      <x:c r="AG72" s="233"/>
      <x:c r="AH72" s="234"/>
      <x:c r="AI72" s="233"/>
      <x:c r="AJ72" s="233"/>
      <x:c r="AK72" s="233"/>
      <x:c r="AL72" s="236"/>
      <x:c r="AM72" s="233"/>
      <x:c r="AN72" s="233"/>
      <x:c r="AO72" s="234"/>
      <x:c r="AP72" s="234"/>
      <x:c r="AQ72" s="233"/>
      <x:c r="AR72" s="236"/>
      <x:c r="AS72" s="234"/>
      <x:c r="AT72" s="233"/>
      <x:c r="AU72" s="233"/>
      <x:c r="AV72" s="233"/>
      <x:c r="AW72" s="233"/>
      <x:c r="AX72" s="233"/>
      <x:c r="AY72" s="233"/>
      <x:c r="AZ72" s="236"/>
      <x:c r="BA72" s="233"/>
      <x:c r="BB72" s="233"/>
      <x:c r="BC72" s="233"/>
      <x:c r="BD72" s="233"/>
      <x:c r="BE72" s="237" t="str">
        <x:f>IF(AND(A72="",B72="",C72="",E72="",G72="",I72="",M72="",T72="",BB72="",BD72=""),"",IF(B72="skip","SKIP",IF(OR(B72="",A72="",E72="",G72="",I72="",M72="",T72="",COUNTIF($A$6:$A$505,A72)&gt;1,COUNTIF($M$6:$M$505,M72)&gt;1,AND(L72="mobile",N72&lt;&gt;"invalid",OR(LEN(M72)&lt;&gt;10,LEFT(M72,2)&lt;&gt;"09"))),"REVIEW","READY")))</x:f>
      </x:c>
      <x:c r="BF72" s="238" t="str">
        <x:f>IF(BE72="","",IF(BE72="READY","",IF(B72="skip","Skipped by import_action",TRIM(IF(B72="","missing import_action; ","")&amp;IF(A72="","missing migration_customer_key; ","")&amp;IF(AND(A72&lt;&gt;"",COUNTIF($A$6:$A$505,A72)&gt;1),"duplicate migration_customer_key; ","")&amp;IF(E72="","missing branch_id; ","")&amp;IF(G72="","missing first_name; ","")&amp;IF(I72="","missing last_name; ","")&amp;IF(M72="","missing primary_phone; ","")&amp;IF(AND(M72&lt;&gt;"",COUNTIF($M$6:$M$505,M72)&gt;1),"duplicate primary_phone; ","")&amp;IF(AND(L72="mobile",N72&lt;&gt;"invalid",OR(LEN(M72)&lt;&gt;10,LEFT(M72,2)&lt;&gt;"09")),"mobile must be 09XXXXXXXX or status invalid; ","")&amp;IF(T72="","missing neighborhood_id; ","")))))</x:f>
      </x:c>
    </x:row>
    <x:row r="73">
      <x:c r="A73" s="232"/>
      <x:c r="B73" s="233"/>
      <x:c r="C73" s="234"/>
      <x:c r="D73" s="233"/>
      <x:c r="E73" s="233"/>
      <x:c r="F73" s="233"/>
      <x:c r="G73" s="233"/>
      <x:c r="H73" s="233"/>
      <x:c r="I73" s="233"/>
      <x:c r="J73" s="233"/>
      <x:c r="K73" s="233" t="str">
        <x:f>TRIM(G73&amp;" "&amp;H73&amp;" "&amp;I73&amp;IF(J73&lt;&gt;""," ("&amp;J73&amp;")",""))</x:f>
      </x:c>
      <x:c r="L73" s="233"/>
      <x:c r="M73" s="234"/>
      <x:c r="N73" s="233"/>
      <x:c r="O73" s="233"/>
      <x:c r="P73" s="233"/>
      <x:c r="Q73" s="233"/>
      <x:c r="R73" s="233"/>
      <x:c r="S73" s="233"/>
      <x:c r="T73" s="233"/>
      <x:c r="U73" s="233"/>
      <x:c r="V73" s="233"/>
      <x:c r="W73" s="235"/>
      <x:c r="X73" s="235"/>
      <x:c r="Y73" s="233"/>
      <x:c r="Z73" s="233"/>
      <x:c r="AA73" s="233"/>
      <x:c r="AB73" s="233"/>
      <x:c r="AC73" s="236"/>
      <x:c r="AD73" s="233"/>
      <x:c r="AE73" s="233"/>
      <x:c r="AF73" s="233"/>
      <x:c r="AG73" s="233"/>
      <x:c r="AH73" s="234"/>
      <x:c r="AI73" s="233"/>
      <x:c r="AJ73" s="233"/>
      <x:c r="AK73" s="233"/>
      <x:c r="AL73" s="236"/>
      <x:c r="AM73" s="233"/>
      <x:c r="AN73" s="233"/>
      <x:c r="AO73" s="234"/>
      <x:c r="AP73" s="234"/>
      <x:c r="AQ73" s="233"/>
      <x:c r="AR73" s="236"/>
      <x:c r="AS73" s="234"/>
      <x:c r="AT73" s="233"/>
      <x:c r="AU73" s="233"/>
      <x:c r="AV73" s="233"/>
      <x:c r="AW73" s="233"/>
      <x:c r="AX73" s="233"/>
      <x:c r="AY73" s="233"/>
      <x:c r="AZ73" s="236"/>
      <x:c r="BA73" s="233"/>
      <x:c r="BB73" s="233"/>
      <x:c r="BC73" s="233"/>
      <x:c r="BD73" s="233"/>
      <x:c r="BE73" s="237" t="str">
        <x:f>IF(AND(A73="",B73="",C73="",E73="",G73="",I73="",M73="",T73="",BB73="",BD73=""),"",IF(B73="skip","SKIP",IF(OR(B73="",A73="",E73="",G73="",I73="",M73="",T73="",COUNTIF($A$6:$A$505,A73)&gt;1,COUNTIF($M$6:$M$505,M73)&gt;1,AND(L73="mobile",N73&lt;&gt;"invalid",OR(LEN(M73)&lt;&gt;10,LEFT(M73,2)&lt;&gt;"09"))),"REVIEW","READY")))</x:f>
      </x:c>
      <x:c r="BF73" s="238" t="str">
        <x:f>IF(BE73="","",IF(BE73="READY","",IF(B73="skip","Skipped by import_action",TRIM(IF(B73="","missing import_action; ","")&amp;IF(A73="","missing migration_customer_key; ","")&amp;IF(AND(A73&lt;&gt;"",COUNTIF($A$6:$A$505,A73)&gt;1),"duplicate migration_customer_key; ","")&amp;IF(E73="","missing branch_id; ","")&amp;IF(G73="","missing first_name; ","")&amp;IF(I73="","missing last_name; ","")&amp;IF(M73="","missing primary_phone; ","")&amp;IF(AND(M73&lt;&gt;"",COUNTIF($M$6:$M$505,M73)&gt;1),"duplicate primary_phone; ","")&amp;IF(AND(L73="mobile",N73&lt;&gt;"invalid",OR(LEN(M73)&lt;&gt;10,LEFT(M73,2)&lt;&gt;"09")),"mobile must be 09XXXXXXXX or status invalid; ","")&amp;IF(T73="","missing neighborhood_id; ","")))))</x:f>
      </x:c>
    </x:row>
    <x:row r="74">
      <x:c r="A74" s="232"/>
      <x:c r="B74" s="233"/>
      <x:c r="C74" s="234"/>
      <x:c r="D74" s="233"/>
      <x:c r="E74" s="233"/>
      <x:c r="F74" s="233"/>
      <x:c r="G74" s="233"/>
      <x:c r="H74" s="233"/>
      <x:c r="I74" s="233"/>
      <x:c r="J74" s="233"/>
      <x:c r="K74" s="233" t="str">
        <x:f>TRIM(G74&amp;" "&amp;H74&amp;" "&amp;I74&amp;IF(J74&lt;&gt;""," ("&amp;J74&amp;")",""))</x:f>
      </x:c>
      <x:c r="L74" s="233"/>
      <x:c r="M74" s="234"/>
      <x:c r="N74" s="233"/>
      <x:c r="O74" s="233"/>
      <x:c r="P74" s="233"/>
      <x:c r="Q74" s="233"/>
      <x:c r="R74" s="233"/>
      <x:c r="S74" s="233"/>
      <x:c r="T74" s="233"/>
      <x:c r="U74" s="233"/>
      <x:c r="V74" s="233"/>
      <x:c r="W74" s="235"/>
      <x:c r="X74" s="235"/>
      <x:c r="Y74" s="233"/>
      <x:c r="Z74" s="233"/>
      <x:c r="AA74" s="233"/>
      <x:c r="AB74" s="233"/>
      <x:c r="AC74" s="236"/>
      <x:c r="AD74" s="233"/>
      <x:c r="AE74" s="233"/>
      <x:c r="AF74" s="233"/>
      <x:c r="AG74" s="233"/>
      <x:c r="AH74" s="234"/>
      <x:c r="AI74" s="233"/>
      <x:c r="AJ74" s="233"/>
      <x:c r="AK74" s="233"/>
      <x:c r="AL74" s="236"/>
      <x:c r="AM74" s="233"/>
      <x:c r="AN74" s="233"/>
      <x:c r="AO74" s="234"/>
      <x:c r="AP74" s="234"/>
      <x:c r="AQ74" s="233"/>
      <x:c r="AR74" s="236"/>
      <x:c r="AS74" s="234"/>
      <x:c r="AT74" s="233"/>
      <x:c r="AU74" s="233"/>
      <x:c r="AV74" s="233"/>
      <x:c r="AW74" s="233"/>
      <x:c r="AX74" s="233"/>
      <x:c r="AY74" s="233"/>
      <x:c r="AZ74" s="236"/>
      <x:c r="BA74" s="233"/>
      <x:c r="BB74" s="233"/>
      <x:c r="BC74" s="233"/>
      <x:c r="BD74" s="233"/>
      <x:c r="BE74" s="237" t="str">
        <x:f>IF(AND(A74="",B74="",C74="",E74="",G74="",I74="",M74="",T74="",BB74="",BD74=""),"",IF(B74="skip","SKIP",IF(OR(B74="",A74="",E74="",G74="",I74="",M74="",T74="",COUNTIF($A$6:$A$505,A74)&gt;1,COUNTIF($M$6:$M$505,M74)&gt;1,AND(L74="mobile",N74&lt;&gt;"invalid",OR(LEN(M74)&lt;&gt;10,LEFT(M74,2)&lt;&gt;"09"))),"REVIEW","READY")))</x:f>
      </x:c>
      <x:c r="BF74" s="238" t="str">
        <x:f>IF(BE74="","",IF(BE74="READY","",IF(B74="skip","Skipped by import_action",TRIM(IF(B74="","missing import_action; ","")&amp;IF(A74="","missing migration_customer_key; ","")&amp;IF(AND(A74&lt;&gt;"",COUNTIF($A$6:$A$505,A74)&gt;1),"duplicate migration_customer_key; ","")&amp;IF(E74="","missing branch_id; ","")&amp;IF(G74="","missing first_name; ","")&amp;IF(I74="","missing last_name; ","")&amp;IF(M74="","missing primary_phone; ","")&amp;IF(AND(M74&lt;&gt;"",COUNTIF($M$6:$M$505,M74)&gt;1),"duplicate primary_phone; ","")&amp;IF(AND(L74="mobile",N74&lt;&gt;"invalid",OR(LEN(M74)&lt;&gt;10,LEFT(M74,2)&lt;&gt;"09")),"mobile must be 09XXXXXXXX or status invalid; ","")&amp;IF(T74="","missing neighborhood_id; ","")))))</x:f>
      </x:c>
    </x:row>
    <x:row r="75">
      <x:c r="A75" s="232"/>
      <x:c r="B75" s="233"/>
      <x:c r="C75" s="234"/>
      <x:c r="D75" s="233"/>
      <x:c r="E75" s="233"/>
      <x:c r="F75" s="233"/>
      <x:c r="G75" s="233"/>
      <x:c r="H75" s="233"/>
      <x:c r="I75" s="233"/>
      <x:c r="J75" s="233"/>
      <x:c r="K75" s="233" t="str">
        <x:f>TRIM(G75&amp;" "&amp;H75&amp;" "&amp;I75&amp;IF(J75&lt;&gt;""," ("&amp;J75&amp;")",""))</x:f>
      </x:c>
      <x:c r="L75" s="233"/>
      <x:c r="M75" s="234"/>
      <x:c r="N75" s="233"/>
      <x:c r="O75" s="233"/>
      <x:c r="P75" s="233"/>
      <x:c r="Q75" s="233"/>
      <x:c r="R75" s="233"/>
      <x:c r="S75" s="233"/>
      <x:c r="T75" s="233"/>
      <x:c r="U75" s="233"/>
      <x:c r="V75" s="233"/>
      <x:c r="W75" s="235"/>
      <x:c r="X75" s="235"/>
      <x:c r="Y75" s="233"/>
      <x:c r="Z75" s="233"/>
      <x:c r="AA75" s="233"/>
      <x:c r="AB75" s="233"/>
      <x:c r="AC75" s="236"/>
      <x:c r="AD75" s="233"/>
      <x:c r="AE75" s="233"/>
      <x:c r="AF75" s="233"/>
      <x:c r="AG75" s="233"/>
      <x:c r="AH75" s="234"/>
      <x:c r="AI75" s="233"/>
      <x:c r="AJ75" s="233"/>
      <x:c r="AK75" s="233"/>
      <x:c r="AL75" s="236"/>
      <x:c r="AM75" s="233"/>
      <x:c r="AN75" s="233"/>
      <x:c r="AO75" s="234"/>
      <x:c r="AP75" s="234"/>
      <x:c r="AQ75" s="233"/>
      <x:c r="AR75" s="236"/>
      <x:c r="AS75" s="234"/>
      <x:c r="AT75" s="233"/>
      <x:c r="AU75" s="233"/>
      <x:c r="AV75" s="233"/>
      <x:c r="AW75" s="233"/>
      <x:c r="AX75" s="233"/>
      <x:c r="AY75" s="233"/>
      <x:c r="AZ75" s="236"/>
      <x:c r="BA75" s="233"/>
      <x:c r="BB75" s="233"/>
      <x:c r="BC75" s="233"/>
      <x:c r="BD75" s="233"/>
      <x:c r="BE75" s="237" t="str">
        <x:f>IF(AND(A75="",B75="",C75="",E75="",G75="",I75="",M75="",T75="",BB75="",BD75=""),"",IF(B75="skip","SKIP",IF(OR(B75="",A75="",E75="",G75="",I75="",M75="",T75="",COUNTIF($A$6:$A$505,A75)&gt;1,COUNTIF($M$6:$M$505,M75)&gt;1,AND(L75="mobile",N75&lt;&gt;"invalid",OR(LEN(M75)&lt;&gt;10,LEFT(M75,2)&lt;&gt;"09"))),"REVIEW","READY")))</x:f>
      </x:c>
      <x:c r="BF75" s="238" t="str">
        <x:f>IF(BE75="","",IF(BE75="READY","",IF(B75="skip","Skipped by import_action",TRIM(IF(B75="","missing import_action; ","")&amp;IF(A75="","missing migration_customer_key; ","")&amp;IF(AND(A75&lt;&gt;"",COUNTIF($A$6:$A$505,A75)&gt;1),"duplicate migration_customer_key; ","")&amp;IF(E75="","missing branch_id; ","")&amp;IF(G75="","missing first_name; ","")&amp;IF(I75="","missing last_name; ","")&amp;IF(M75="","missing primary_phone; ","")&amp;IF(AND(M75&lt;&gt;"",COUNTIF($M$6:$M$505,M75)&gt;1),"duplicate primary_phone; ","")&amp;IF(AND(L75="mobile",N75&lt;&gt;"invalid",OR(LEN(M75)&lt;&gt;10,LEFT(M75,2)&lt;&gt;"09")),"mobile must be 09XXXXXXXX or status invalid; ","")&amp;IF(T75="","missing neighborhood_id; ","")))))</x:f>
      </x:c>
    </x:row>
    <x:row r="76">
      <x:c r="A76" s="232"/>
      <x:c r="B76" s="233"/>
      <x:c r="C76" s="234"/>
      <x:c r="D76" s="233"/>
      <x:c r="E76" s="233"/>
      <x:c r="F76" s="233"/>
      <x:c r="G76" s="233"/>
      <x:c r="H76" s="233"/>
      <x:c r="I76" s="233"/>
      <x:c r="J76" s="233"/>
      <x:c r="K76" s="233" t="str">
        <x:f>TRIM(G76&amp;" "&amp;H76&amp;" "&amp;I76&amp;IF(J76&lt;&gt;""," ("&amp;J76&amp;")",""))</x:f>
      </x:c>
      <x:c r="L76" s="233"/>
      <x:c r="M76" s="234"/>
      <x:c r="N76" s="233"/>
      <x:c r="O76" s="233"/>
      <x:c r="P76" s="233"/>
      <x:c r="Q76" s="233"/>
      <x:c r="R76" s="233"/>
      <x:c r="S76" s="233"/>
      <x:c r="T76" s="233"/>
      <x:c r="U76" s="233"/>
      <x:c r="V76" s="233"/>
      <x:c r="W76" s="235"/>
      <x:c r="X76" s="235"/>
      <x:c r="Y76" s="233"/>
      <x:c r="Z76" s="233"/>
      <x:c r="AA76" s="233"/>
      <x:c r="AB76" s="233"/>
      <x:c r="AC76" s="236"/>
      <x:c r="AD76" s="233"/>
      <x:c r="AE76" s="233"/>
      <x:c r="AF76" s="233"/>
      <x:c r="AG76" s="233"/>
      <x:c r="AH76" s="234"/>
      <x:c r="AI76" s="233"/>
      <x:c r="AJ76" s="233"/>
      <x:c r="AK76" s="233"/>
      <x:c r="AL76" s="236"/>
      <x:c r="AM76" s="233"/>
      <x:c r="AN76" s="233"/>
      <x:c r="AO76" s="234"/>
      <x:c r="AP76" s="234"/>
      <x:c r="AQ76" s="233"/>
      <x:c r="AR76" s="236"/>
      <x:c r="AS76" s="234"/>
      <x:c r="AT76" s="233"/>
      <x:c r="AU76" s="233"/>
      <x:c r="AV76" s="233"/>
      <x:c r="AW76" s="233"/>
      <x:c r="AX76" s="233"/>
      <x:c r="AY76" s="233"/>
      <x:c r="AZ76" s="236"/>
      <x:c r="BA76" s="233"/>
      <x:c r="BB76" s="233"/>
      <x:c r="BC76" s="233"/>
      <x:c r="BD76" s="233"/>
      <x:c r="BE76" s="237" t="str">
        <x:f>IF(AND(A76="",B76="",C76="",E76="",G76="",I76="",M76="",T76="",BB76="",BD76=""),"",IF(B76="skip","SKIP",IF(OR(B76="",A76="",E76="",G76="",I76="",M76="",T76="",COUNTIF($A$6:$A$505,A76)&gt;1,COUNTIF($M$6:$M$505,M76)&gt;1,AND(L76="mobile",N76&lt;&gt;"invalid",OR(LEN(M76)&lt;&gt;10,LEFT(M76,2)&lt;&gt;"09"))),"REVIEW","READY")))</x:f>
      </x:c>
      <x:c r="BF76" s="238" t="str">
        <x:f>IF(BE76="","",IF(BE76="READY","",IF(B76="skip","Skipped by import_action",TRIM(IF(B76="","missing import_action; ","")&amp;IF(A76="","missing migration_customer_key; ","")&amp;IF(AND(A76&lt;&gt;"",COUNTIF($A$6:$A$505,A76)&gt;1),"duplicate migration_customer_key; ","")&amp;IF(E76="","missing branch_id; ","")&amp;IF(G76="","missing first_name; ","")&amp;IF(I76="","missing last_name; ","")&amp;IF(M76="","missing primary_phone; ","")&amp;IF(AND(M76&lt;&gt;"",COUNTIF($M$6:$M$505,M76)&gt;1),"duplicate primary_phone; ","")&amp;IF(AND(L76="mobile",N76&lt;&gt;"invalid",OR(LEN(M76)&lt;&gt;10,LEFT(M76,2)&lt;&gt;"09")),"mobile must be 09XXXXXXXX or status invalid; ","")&amp;IF(T76="","missing neighborhood_id; ","")))))</x:f>
      </x:c>
    </x:row>
    <x:row r="77">
      <x:c r="A77" s="232"/>
      <x:c r="B77" s="233"/>
      <x:c r="C77" s="234"/>
      <x:c r="D77" s="233"/>
      <x:c r="E77" s="233"/>
      <x:c r="F77" s="233"/>
      <x:c r="G77" s="233"/>
      <x:c r="H77" s="233"/>
      <x:c r="I77" s="233"/>
      <x:c r="J77" s="233"/>
      <x:c r="K77" s="233" t="str">
        <x:f>TRIM(G77&amp;" "&amp;H77&amp;" "&amp;I77&amp;IF(J77&lt;&gt;""," ("&amp;J77&amp;")",""))</x:f>
      </x:c>
      <x:c r="L77" s="233"/>
      <x:c r="M77" s="234"/>
      <x:c r="N77" s="233"/>
      <x:c r="O77" s="233"/>
      <x:c r="P77" s="233"/>
      <x:c r="Q77" s="233"/>
      <x:c r="R77" s="233"/>
      <x:c r="S77" s="233"/>
      <x:c r="T77" s="233"/>
      <x:c r="U77" s="233"/>
      <x:c r="V77" s="233"/>
      <x:c r="W77" s="235"/>
      <x:c r="X77" s="235"/>
      <x:c r="Y77" s="233"/>
      <x:c r="Z77" s="233"/>
      <x:c r="AA77" s="233"/>
      <x:c r="AB77" s="233"/>
      <x:c r="AC77" s="236"/>
      <x:c r="AD77" s="233"/>
      <x:c r="AE77" s="233"/>
      <x:c r="AF77" s="233"/>
      <x:c r="AG77" s="233"/>
      <x:c r="AH77" s="234"/>
      <x:c r="AI77" s="233"/>
      <x:c r="AJ77" s="233"/>
      <x:c r="AK77" s="233"/>
      <x:c r="AL77" s="236"/>
      <x:c r="AM77" s="233"/>
      <x:c r="AN77" s="233"/>
      <x:c r="AO77" s="234"/>
      <x:c r="AP77" s="234"/>
      <x:c r="AQ77" s="233"/>
      <x:c r="AR77" s="236"/>
      <x:c r="AS77" s="234"/>
      <x:c r="AT77" s="233"/>
      <x:c r="AU77" s="233"/>
      <x:c r="AV77" s="233"/>
      <x:c r="AW77" s="233"/>
      <x:c r="AX77" s="233"/>
      <x:c r="AY77" s="233"/>
      <x:c r="AZ77" s="236"/>
      <x:c r="BA77" s="233"/>
      <x:c r="BB77" s="233"/>
      <x:c r="BC77" s="233"/>
      <x:c r="BD77" s="233"/>
      <x:c r="BE77" s="237" t="str">
        <x:f>IF(AND(A77="",B77="",C77="",E77="",G77="",I77="",M77="",T77="",BB77="",BD77=""),"",IF(B77="skip","SKIP",IF(OR(B77="",A77="",E77="",G77="",I77="",M77="",T77="",COUNTIF($A$6:$A$505,A77)&gt;1,COUNTIF($M$6:$M$505,M77)&gt;1,AND(L77="mobile",N77&lt;&gt;"invalid",OR(LEN(M77)&lt;&gt;10,LEFT(M77,2)&lt;&gt;"09"))),"REVIEW","READY")))</x:f>
      </x:c>
      <x:c r="BF77" s="238" t="str">
        <x:f>IF(BE77="","",IF(BE77="READY","",IF(B77="skip","Skipped by import_action",TRIM(IF(B77="","missing import_action; ","")&amp;IF(A77="","missing migration_customer_key; ","")&amp;IF(AND(A77&lt;&gt;"",COUNTIF($A$6:$A$505,A77)&gt;1),"duplicate migration_customer_key; ","")&amp;IF(E77="","missing branch_id; ","")&amp;IF(G77="","missing first_name; ","")&amp;IF(I77="","missing last_name; ","")&amp;IF(M77="","missing primary_phone; ","")&amp;IF(AND(M77&lt;&gt;"",COUNTIF($M$6:$M$505,M77)&gt;1),"duplicate primary_phone; ","")&amp;IF(AND(L77="mobile",N77&lt;&gt;"invalid",OR(LEN(M77)&lt;&gt;10,LEFT(M77,2)&lt;&gt;"09")),"mobile must be 09XXXXXXXX or status invalid; ","")&amp;IF(T77="","missing neighborhood_id; ","")))))</x:f>
      </x:c>
    </x:row>
    <x:row r="78">
      <x:c r="A78" s="232"/>
      <x:c r="B78" s="233"/>
      <x:c r="C78" s="234"/>
      <x:c r="D78" s="233"/>
      <x:c r="E78" s="233"/>
      <x:c r="F78" s="233"/>
      <x:c r="G78" s="233"/>
      <x:c r="H78" s="233"/>
      <x:c r="I78" s="233"/>
      <x:c r="J78" s="233"/>
      <x:c r="K78" s="233" t="str">
        <x:f>TRIM(G78&amp;" "&amp;H78&amp;" "&amp;I78&amp;IF(J78&lt;&gt;""," ("&amp;J78&amp;")",""))</x:f>
      </x:c>
      <x:c r="L78" s="233"/>
      <x:c r="M78" s="234"/>
      <x:c r="N78" s="233"/>
      <x:c r="O78" s="233"/>
      <x:c r="P78" s="233"/>
      <x:c r="Q78" s="233"/>
      <x:c r="R78" s="233"/>
      <x:c r="S78" s="233"/>
      <x:c r="T78" s="233"/>
      <x:c r="U78" s="233"/>
      <x:c r="V78" s="233"/>
      <x:c r="W78" s="235"/>
      <x:c r="X78" s="235"/>
      <x:c r="Y78" s="233"/>
      <x:c r="Z78" s="233"/>
      <x:c r="AA78" s="233"/>
      <x:c r="AB78" s="233"/>
      <x:c r="AC78" s="236"/>
      <x:c r="AD78" s="233"/>
      <x:c r="AE78" s="233"/>
      <x:c r="AF78" s="233"/>
      <x:c r="AG78" s="233"/>
      <x:c r="AH78" s="234"/>
      <x:c r="AI78" s="233"/>
      <x:c r="AJ78" s="233"/>
      <x:c r="AK78" s="233"/>
      <x:c r="AL78" s="236"/>
      <x:c r="AM78" s="233"/>
      <x:c r="AN78" s="233"/>
      <x:c r="AO78" s="234"/>
      <x:c r="AP78" s="234"/>
      <x:c r="AQ78" s="233"/>
      <x:c r="AR78" s="236"/>
      <x:c r="AS78" s="234"/>
      <x:c r="AT78" s="233"/>
      <x:c r="AU78" s="233"/>
      <x:c r="AV78" s="233"/>
      <x:c r="AW78" s="233"/>
      <x:c r="AX78" s="233"/>
      <x:c r="AY78" s="233"/>
      <x:c r="AZ78" s="236"/>
      <x:c r="BA78" s="233"/>
      <x:c r="BB78" s="233"/>
      <x:c r="BC78" s="233"/>
      <x:c r="BD78" s="233"/>
      <x:c r="BE78" s="237" t="str">
        <x:f>IF(AND(A78="",B78="",C78="",E78="",G78="",I78="",M78="",T78="",BB78="",BD78=""),"",IF(B78="skip","SKIP",IF(OR(B78="",A78="",E78="",G78="",I78="",M78="",T78="",COUNTIF($A$6:$A$505,A78)&gt;1,COUNTIF($M$6:$M$505,M78)&gt;1,AND(L78="mobile",N78&lt;&gt;"invalid",OR(LEN(M78)&lt;&gt;10,LEFT(M78,2)&lt;&gt;"09"))),"REVIEW","READY")))</x:f>
      </x:c>
      <x:c r="BF78" s="238" t="str">
        <x:f>IF(BE78="","",IF(BE78="READY","",IF(B78="skip","Skipped by import_action",TRIM(IF(B78="","missing import_action; ","")&amp;IF(A78="","missing migration_customer_key; ","")&amp;IF(AND(A78&lt;&gt;"",COUNTIF($A$6:$A$505,A78)&gt;1),"duplicate migration_customer_key; ","")&amp;IF(E78="","missing branch_id; ","")&amp;IF(G78="","missing first_name; ","")&amp;IF(I78="","missing last_name; ","")&amp;IF(M78="","missing primary_phone; ","")&amp;IF(AND(M78&lt;&gt;"",COUNTIF($M$6:$M$505,M78)&gt;1),"duplicate primary_phone; ","")&amp;IF(AND(L78="mobile",N78&lt;&gt;"invalid",OR(LEN(M78)&lt;&gt;10,LEFT(M78,2)&lt;&gt;"09")),"mobile must be 09XXXXXXXX or status invalid; ","")&amp;IF(T78="","missing neighborhood_id; ","")))))</x:f>
      </x:c>
    </x:row>
    <x:row r="79">
      <x:c r="A79" s="232"/>
      <x:c r="B79" s="233"/>
      <x:c r="C79" s="234"/>
      <x:c r="D79" s="233"/>
      <x:c r="E79" s="233"/>
      <x:c r="F79" s="233"/>
      <x:c r="G79" s="233"/>
      <x:c r="H79" s="233"/>
      <x:c r="I79" s="233"/>
      <x:c r="J79" s="233"/>
      <x:c r="K79" s="233" t="str">
        <x:f>TRIM(G79&amp;" "&amp;H79&amp;" "&amp;I79&amp;IF(J79&lt;&gt;""," ("&amp;J79&amp;")",""))</x:f>
      </x:c>
      <x:c r="L79" s="233"/>
      <x:c r="M79" s="234"/>
      <x:c r="N79" s="233"/>
      <x:c r="O79" s="233"/>
      <x:c r="P79" s="233"/>
      <x:c r="Q79" s="233"/>
      <x:c r="R79" s="233"/>
      <x:c r="S79" s="233"/>
      <x:c r="T79" s="233"/>
      <x:c r="U79" s="233"/>
      <x:c r="V79" s="233"/>
      <x:c r="W79" s="235"/>
      <x:c r="X79" s="235"/>
      <x:c r="Y79" s="233"/>
      <x:c r="Z79" s="233"/>
      <x:c r="AA79" s="233"/>
      <x:c r="AB79" s="233"/>
      <x:c r="AC79" s="236"/>
      <x:c r="AD79" s="233"/>
      <x:c r="AE79" s="233"/>
      <x:c r="AF79" s="233"/>
      <x:c r="AG79" s="233"/>
      <x:c r="AH79" s="234"/>
      <x:c r="AI79" s="233"/>
      <x:c r="AJ79" s="233"/>
      <x:c r="AK79" s="233"/>
      <x:c r="AL79" s="236"/>
      <x:c r="AM79" s="233"/>
      <x:c r="AN79" s="233"/>
      <x:c r="AO79" s="234"/>
      <x:c r="AP79" s="234"/>
      <x:c r="AQ79" s="233"/>
      <x:c r="AR79" s="236"/>
      <x:c r="AS79" s="234"/>
      <x:c r="AT79" s="233"/>
      <x:c r="AU79" s="233"/>
      <x:c r="AV79" s="233"/>
      <x:c r="AW79" s="233"/>
      <x:c r="AX79" s="233"/>
      <x:c r="AY79" s="233"/>
      <x:c r="AZ79" s="236"/>
      <x:c r="BA79" s="233"/>
      <x:c r="BB79" s="233"/>
      <x:c r="BC79" s="233"/>
      <x:c r="BD79" s="233"/>
      <x:c r="BE79" s="237" t="str">
        <x:f>IF(AND(A79="",B79="",C79="",E79="",G79="",I79="",M79="",T79="",BB79="",BD79=""),"",IF(B79="skip","SKIP",IF(OR(B79="",A79="",E79="",G79="",I79="",M79="",T79="",COUNTIF($A$6:$A$505,A79)&gt;1,COUNTIF($M$6:$M$505,M79)&gt;1,AND(L79="mobile",N79&lt;&gt;"invalid",OR(LEN(M79)&lt;&gt;10,LEFT(M79,2)&lt;&gt;"09"))),"REVIEW","READY")))</x:f>
      </x:c>
      <x:c r="BF79" s="238" t="str">
        <x:f>IF(BE79="","",IF(BE79="READY","",IF(B79="skip","Skipped by import_action",TRIM(IF(B79="","missing import_action; ","")&amp;IF(A79="","missing migration_customer_key; ","")&amp;IF(AND(A79&lt;&gt;"",COUNTIF($A$6:$A$505,A79)&gt;1),"duplicate migration_customer_key; ","")&amp;IF(E79="","missing branch_id; ","")&amp;IF(G79="","missing first_name; ","")&amp;IF(I79="","missing last_name; ","")&amp;IF(M79="","missing primary_phone; ","")&amp;IF(AND(M79&lt;&gt;"",COUNTIF($M$6:$M$505,M79)&gt;1),"duplicate primary_phone; ","")&amp;IF(AND(L79="mobile",N79&lt;&gt;"invalid",OR(LEN(M79)&lt;&gt;10,LEFT(M79,2)&lt;&gt;"09")),"mobile must be 09XXXXXXXX or status invalid; ","")&amp;IF(T79="","missing neighborhood_id; ","")))))</x:f>
      </x:c>
    </x:row>
    <x:row r="80">
      <x:c r="A80" s="232"/>
      <x:c r="B80" s="233"/>
      <x:c r="C80" s="234"/>
      <x:c r="D80" s="233"/>
      <x:c r="E80" s="233"/>
      <x:c r="F80" s="233"/>
      <x:c r="G80" s="233"/>
      <x:c r="H80" s="233"/>
      <x:c r="I80" s="233"/>
      <x:c r="J80" s="233"/>
      <x:c r="K80" s="233" t="str">
        <x:f>TRIM(G80&amp;" "&amp;H80&amp;" "&amp;I80&amp;IF(J80&lt;&gt;""," ("&amp;J80&amp;")",""))</x:f>
      </x:c>
      <x:c r="L80" s="233"/>
      <x:c r="M80" s="234"/>
      <x:c r="N80" s="233"/>
      <x:c r="O80" s="233"/>
      <x:c r="P80" s="233"/>
      <x:c r="Q80" s="233"/>
      <x:c r="R80" s="233"/>
      <x:c r="S80" s="233"/>
      <x:c r="T80" s="233"/>
      <x:c r="U80" s="233"/>
      <x:c r="V80" s="233"/>
      <x:c r="W80" s="235"/>
      <x:c r="X80" s="235"/>
      <x:c r="Y80" s="233"/>
      <x:c r="Z80" s="233"/>
      <x:c r="AA80" s="233"/>
      <x:c r="AB80" s="233"/>
      <x:c r="AC80" s="236"/>
      <x:c r="AD80" s="233"/>
      <x:c r="AE80" s="233"/>
      <x:c r="AF80" s="233"/>
      <x:c r="AG80" s="233"/>
      <x:c r="AH80" s="234"/>
      <x:c r="AI80" s="233"/>
      <x:c r="AJ80" s="233"/>
      <x:c r="AK80" s="233"/>
      <x:c r="AL80" s="236"/>
      <x:c r="AM80" s="233"/>
      <x:c r="AN80" s="233"/>
      <x:c r="AO80" s="234"/>
      <x:c r="AP80" s="234"/>
      <x:c r="AQ80" s="233"/>
      <x:c r="AR80" s="236"/>
      <x:c r="AS80" s="234"/>
      <x:c r="AT80" s="233"/>
      <x:c r="AU80" s="233"/>
      <x:c r="AV80" s="233"/>
      <x:c r="AW80" s="233"/>
      <x:c r="AX80" s="233"/>
      <x:c r="AY80" s="233"/>
      <x:c r="AZ80" s="236"/>
      <x:c r="BA80" s="233"/>
      <x:c r="BB80" s="233"/>
      <x:c r="BC80" s="233"/>
      <x:c r="BD80" s="233"/>
      <x:c r="BE80" s="237" t="str">
        <x:f>IF(AND(A80="",B80="",C80="",E80="",G80="",I80="",M80="",T80="",BB80="",BD80=""),"",IF(B80="skip","SKIP",IF(OR(B80="",A80="",E80="",G80="",I80="",M80="",T80="",COUNTIF($A$6:$A$505,A80)&gt;1,COUNTIF($M$6:$M$505,M80)&gt;1,AND(L80="mobile",N80&lt;&gt;"invalid",OR(LEN(M80)&lt;&gt;10,LEFT(M80,2)&lt;&gt;"09"))),"REVIEW","READY")))</x:f>
      </x:c>
      <x:c r="BF80" s="238" t="str">
        <x:f>IF(BE80="","",IF(BE80="READY","",IF(B80="skip","Skipped by import_action",TRIM(IF(B80="","missing import_action; ","")&amp;IF(A80="","missing migration_customer_key; ","")&amp;IF(AND(A80&lt;&gt;"",COUNTIF($A$6:$A$505,A80)&gt;1),"duplicate migration_customer_key; ","")&amp;IF(E80="","missing branch_id; ","")&amp;IF(G80="","missing first_name; ","")&amp;IF(I80="","missing last_name; ","")&amp;IF(M80="","missing primary_phone; ","")&amp;IF(AND(M80&lt;&gt;"",COUNTIF($M$6:$M$505,M80)&gt;1),"duplicate primary_phone; ","")&amp;IF(AND(L80="mobile",N80&lt;&gt;"invalid",OR(LEN(M80)&lt;&gt;10,LEFT(M80,2)&lt;&gt;"09")),"mobile must be 09XXXXXXXX or status invalid; ","")&amp;IF(T80="","missing neighborhood_id; ","")))))</x:f>
      </x:c>
    </x:row>
    <x:row r="81">
      <x:c r="A81" s="232"/>
      <x:c r="B81" s="233"/>
      <x:c r="C81" s="234"/>
      <x:c r="D81" s="233"/>
      <x:c r="E81" s="233"/>
      <x:c r="F81" s="233"/>
      <x:c r="G81" s="233"/>
      <x:c r="H81" s="233"/>
      <x:c r="I81" s="233"/>
      <x:c r="J81" s="233"/>
      <x:c r="K81" s="233" t="str">
        <x:f>TRIM(G81&amp;" "&amp;H81&amp;" "&amp;I81&amp;IF(J81&lt;&gt;""," ("&amp;J81&amp;")",""))</x:f>
      </x:c>
      <x:c r="L81" s="233"/>
      <x:c r="M81" s="234"/>
      <x:c r="N81" s="233"/>
      <x:c r="O81" s="233"/>
      <x:c r="P81" s="233"/>
      <x:c r="Q81" s="233"/>
      <x:c r="R81" s="233"/>
      <x:c r="S81" s="233"/>
      <x:c r="T81" s="233"/>
      <x:c r="U81" s="233"/>
      <x:c r="V81" s="233"/>
      <x:c r="W81" s="235"/>
      <x:c r="X81" s="235"/>
      <x:c r="Y81" s="233"/>
      <x:c r="Z81" s="233"/>
      <x:c r="AA81" s="233"/>
      <x:c r="AB81" s="233"/>
      <x:c r="AC81" s="236"/>
      <x:c r="AD81" s="233"/>
      <x:c r="AE81" s="233"/>
      <x:c r="AF81" s="233"/>
      <x:c r="AG81" s="233"/>
      <x:c r="AH81" s="234"/>
      <x:c r="AI81" s="233"/>
      <x:c r="AJ81" s="233"/>
      <x:c r="AK81" s="233"/>
      <x:c r="AL81" s="236"/>
      <x:c r="AM81" s="233"/>
      <x:c r="AN81" s="233"/>
      <x:c r="AO81" s="234"/>
      <x:c r="AP81" s="234"/>
      <x:c r="AQ81" s="233"/>
      <x:c r="AR81" s="236"/>
      <x:c r="AS81" s="234"/>
      <x:c r="AT81" s="233"/>
      <x:c r="AU81" s="233"/>
      <x:c r="AV81" s="233"/>
      <x:c r="AW81" s="233"/>
      <x:c r="AX81" s="233"/>
      <x:c r="AY81" s="233"/>
      <x:c r="AZ81" s="236"/>
      <x:c r="BA81" s="233"/>
      <x:c r="BB81" s="233"/>
      <x:c r="BC81" s="233"/>
      <x:c r="BD81" s="233"/>
      <x:c r="BE81" s="237" t="str">
        <x:f>IF(AND(A81="",B81="",C81="",E81="",G81="",I81="",M81="",T81="",BB81="",BD81=""),"",IF(B81="skip","SKIP",IF(OR(B81="",A81="",E81="",G81="",I81="",M81="",T81="",COUNTIF($A$6:$A$505,A81)&gt;1,COUNTIF($M$6:$M$505,M81)&gt;1,AND(L81="mobile",N81&lt;&gt;"invalid",OR(LEN(M81)&lt;&gt;10,LEFT(M81,2)&lt;&gt;"09"))),"REVIEW","READY")))</x:f>
      </x:c>
      <x:c r="BF81" s="238" t="str">
        <x:f>IF(BE81="","",IF(BE81="READY","",IF(B81="skip","Skipped by import_action",TRIM(IF(B81="","missing import_action; ","")&amp;IF(A81="","missing migration_customer_key; ","")&amp;IF(AND(A81&lt;&gt;"",COUNTIF($A$6:$A$505,A81)&gt;1),"duplicate migration_customer_key; ","")&amp;IF(E81="","missing branch_id; ","")&amp;IF(G81="","missing first_name; ","")&amp;IF(I81="","missing last_name; ","")&amp;IF(M81="","missing primary_phone; ","")&amp;IF(AND(M81&lt;&gt;"",COUNTIF($M$6:$M$505,M81)&gt;1),"duplicate primary_phone; ","")&amp;IF(AND(L81="mobile",N81&lt;&gt;"invalid",OR(LEN(M81)&lt;&gt;10,LEFT(M81,2)&lt;&gt;"09")),"mobile must be 09XXXXXXXX or status invalid; ","")&amp;IF(T81="","missing neighborhood_id; ","")))))</x:f>
      </x:c>
    </x:row>
    <x:row r="82">
      <x:c r="A82" s="232"/>
      <x:c r="B82" s="233"/>
      <x:c r="C82" s="234"/>
      <x:c r="D82" s="233"/>
      <x:c r="E82" s="233"/>
      <x:c r="F82" s="233"/>
      <x:c r="G82" s="233"/>
      <x:c r="H82" s="233"/>
      <x:c r="I82" s="233"/>
      <x:c r="J82" s="233"/>
      <x:c r="K82" s="233" t="str">
        <x:f>TRIM(G82&amp;" "&amp;H82&amp;" "&amp;I82&amp;IF(J82&lt;&gt;""," ("&amp;J82&amp;")",""))</x:f>
      </x:c>
      <x:c r="L82" s="233"/>
      <x:c r="M82" s="234"/>
      <x:c r="N82" s="233"/>
      <x:c r="O82" s="233"/>
      <x:c r="P82" s="233"/>
      <x:c r="Q82" s="233"/>
      <x:c r="R82" s="233"/>
      <x:c r="S82" s="233"/>
      <x:c r="T82" s="233"/>
      <x:c r="U82" s="233"/>
      <x:c r="V82" s="233"/>
      <x:c r="W82" s="235"/>
      <x:c r="X82" s="235"/>
      <x:c r="Y82" s="233"/>
      <x:c r="Z82" s="233"/>
      <x:c r="AA82" s="233"/>
      <x:c r="AB82" s="233"/>
      <x:c r="AC82" s="236"/>
      <x:c r="AD82" s="233"/>
      <x:c r="AE82" s="233"/>
      <x:c r="AF82" s="233"/>
      <x:c r="AG82" s="233"/>
      <x:c r="AH82" s="234"/>
      <x:c r="AI82" s="233"/>
      <x:c r="AJ82" s="233"/>
      <x:c r="AK82" s="233"/>
      <x:c r="AL82" s="236"/>
      <x:c r="AM82" s="233"/>
      <x:c r="AN82" s="233"/>
      <x:c r="AO82" s="234"/>
      <x:c r="AP82" s="234"/>
      <x:c r="AQ82" s="233"/>
      <x:c r="AR82" s="236"/>
      <x:c r="AS82" s="234"/>
      <x:c r="AT82" s="233"/>
      <x:c r="AU82" s="233"/>
      <x:c r="AV82" s="233"/>
      <x:c r="AW82" s="233"/>
      <x:c r="AX82" s="233"/>
      <x:c r="AY82" s="233"/>
      <x:c r="AZ82" s="236"/>
      <x:c r="BA82" s="233"/>
      <x:c r="BB82" s="233"/>
      <x:c r="BC82" s="233"/>
      <x:c r="BD82" s="233"/>
      <x:c r="BE82" s="237" t="str">
        <x:f>IF(AND(A82="",B82="",C82="",E82="",G82="",I82="",M82="",T82="",BB82="",BD82=""),"",IF(B82="skip","SKIP",IF(OR(B82="",A82="",E82="",G82="",I82="",M82="",T82="",COUNTIF($A$6:$A$505,A82)&gt;1,COUNTIF($M$6:$M$505,M82)&gt;1,AND(L82="mobile",N82&lt;&gt;"invalid",OR(LEN(M82)&lt;&gt;10,LEFT(M82,2)&lt;&gt;"09"))),"REVIEW","READY")))</x:f>
      </x:c>
      <x:c r="BF82" s="238" t="str">
        <x:f>IF(BE82="","",IF(BE82="READY","",IF(B82="skip","Skipped by import_action",TRIM(IF(B82="","missing import_action; ","")&amp;IF(A82="","missing migration_customer_key; ","")&amp;IF(AND(A82&lt;&gt;"",COUNTIF($A$6:$A$505,A82)&gt;1),"duplicate migration_customer_key; ","")&amp;IF(E82="","missing branch_id; ","")&amp;IF(G82="","missing first_name; ","")&amp;IF(I82="","missing last_name; ","")&amp;IF(M82="","missing primary_phone; ","")&amp;IF(AND(M82&lt;&gt;"",COUNTIF($M$6:$M$505,M82)&gt;1),"duplicate primary_phone; ","")&amp;IF(AND(L82="mobile",N82&lt;&gt;"invalid",OR(LEN(M82)&lt;&gt;10,LEFT(M82,2)&lt;&gt;"09")),"mobile must be 09XXXXXXXX or status invalid; ","")&amp;IF(T82="","missing neighborhood_id; ","")))))</x:f>
      </x:c>
    </x:row>
    <x:row r="83">
      <x:c r="A83" s="232"/>
      <x:c r="B83" s="233"/>
      <x:c r="C83" s="234"/>
      <x:c r="D83" s="233"/>
      <x:c r="E83" s="233"/>
      <x:c r="F83" s="233"/>
      <x:c r="G83" s="233"/>
      <x:c r="H83" s="233"/>
      <x:c r="I83" s="233"/>
      <x:c r="J83" s="233"/>
      <x:c r="K83" s="233" t="str">
        <x:f>TRIM(G83&amp;" "&amp;H83&amp;" "&amp;I83&amp;IF(J83&lt;&gt;""," ("&amp;J83&amp;")",""))</x:f>
      </x:c>
      <x:c r="L83" s="233"/>
      <x:c r="M83" s="234"/>
      <x:c r="N83" s="233"/>
      <x:c r="O83" s="233"/>
      <x:c r="P83" s="233"/>
      <x:c r="Q83" s="233"/>
      <x:c r="R83" s="233"/>
      <x:c r="S83" s="233"/>
      <x:c r="T83" s="233"/>
      <x:c r="U83" s="233"/>
      <x:c r="V83" s="233"/>
      <x:c r="W83" s="235"/>
      <x:c r="X83" s="235"/>
      <x:c r="Y83" s="233"/>
      <x:c r="Z83" s="233"/>
      <x:c r="AA83" s="233"/>
      <x:c r="AB83" s="233"/>
      <x:c r="AC83" s="236"/>
      <x:c r="AD83" s="233"/>
      <x:c r="AE83" s="233"/>
      <x:c r="AF83" s="233"/>
      <x:c r="AG83" s="233"/>
      <x:c r="AH83" s="234"/>
      <x:c r="AI83" s="233"/>
      <x:c r="AJ83" s="233"/>
      <x:c r="AK83" s="233"/>
      <x:c r="AL83" s="236"/>
      <x:c r="AM83" s="233"/>
      <x:c r="AN83" s="233"/>
      <x:c r="AO83" s="234"/>
      <x:c r="AP83" s="234"/>
      <x:c r="AQ83" s="233"/>
      <x:c r="AR83" s="236"/>
      <x:c r="AS83" s="234"/>
      <x:c r="AT83" s="233"/>
      <x:c r="AU83" s="233"/>
      <x:c r="AV83" s="233"/>
      <x:c r="AW83" s="233"/>
      <x:c r="AX83" s="233"/>
      <x:c r="AY83" s="233"/>
      <x:c r="AZ83" s="236"/>
      <x:c r="BA83" s="233"/>
      <x:c r="BB83" s="233"/>
      <x:c r="BC83" s="233"/>
      <x:c r="BD83" s="233"/>
      <x:c r="BE83" s="237" t="str">
        <x:f>IF(AND(A83="",B83="",C83="",E83="",G83="",I83="",M83="",T83="",BB83="",BD83=""),"",IF(B83="skip","SKIP",IF(OR(B83="",A83="",E83="",G83="",I83="",M83="",T83="",COUNTIF($A$6:$A$505,A83)&gt;1,COUNTIF($M$6:$M$505,M83)&gt;1,AND(L83="mobile",N83&lt;&gt;"invalid",OR(LEN(M83)&lt;&gt;10,LEFT(M83,2)&lt;&gt;"09"))),"REVIEW","READY")))</x:f>
      </x:c>
      <x:c r="BF83" s="238" t="str">
        <x:f>IF(BE83="","",IF(BE83="READY","",IF(B83="skip","Skipped by import_action",TRIM(IF(B83="","missing import_action; ","")&amp;IF(A83="","missing migration_customer_key; ","")&amp;IF(AND(A83&lt;&gt;"",COUNTIF($A$6:$A$505,A83)&gt;1),"duplicate migration_customer_key; ","")&amp;IF(E83="","missing branch_id; ","")&amp;IF(G83="","missing first_name; ","")&amp;IF(I83="","missing last_name; ","")&amp;IF(M83="","missing primary_phone; ","")&amp;IF(AND(M83&lt;&gt;"",COUNTIF($M$6:$M$505,M83)&gt;1),"duplicate primary_phone; ","")&amp;IF(AND(L83="mobile",N83&lt;&gt;"invalid",OR(LEN(M83)&lt;&gt;10,LEFT(M83,2)&lt;&gt;"09")),"mobile must be 09XXXXXXXX or status invalid; ","")&amp;IF(T83="","missing neighborhood_id; ","")))))</x:f>
      </x:c>
    </x:row>
    <x:row r="84">
      <x:c r="A84" s="232"/>
      <x:c r="B84" s="233"/>
      <x:c r="C84" s="234"/>
      <x:c r="D84" s="233"/>
      <x:c r="E84" s="233"/>
      <x:c r="F84" s="233"/>
      <x:c r="G84" s="233"/>
      <x:c r="H84" s="233"/>
      <x:c r="I84" s="233"/>
      <x:c r="J84" s="233"/>
      <x:c r="K84" s="233" t="str">
        <x:f>TRIM(G84&amp;" "&amp;H84&amp;" "&amp;I84&amp;IF(J84&lt;&gt;""," ("&amp;J84&amp;")",""))</x:f>
      </x:c>
      <x:c r="L84" s="233"/>
      <x:c r="M84" s="234"/>
      <x:c r="N84" s="233"/>
      <x:c r="O84" s="233"/>
      <x:c r="P84" s="233"/>
      <x:c r="Q84" s="233"/>
      <x:c r="R84" s="233"/>
      <x:c r="S84" s="233"/>
      <x:c r="T84" s="233"/>
      <x:c r="U84" s="233"/>
      <x:c r="V84" s="233"/>
      <x:c r="W84" s="235"/>
      <x:c r="X84" s="235"/>
      <x:c r="Y84" s="233"/>
      <x:c r="Z84" s="233"/>
      <x:c r="AA84" s="233"/>
      <x:c r="AB84" s="233"/>
      <x:c r="AC84" s="236"/>
      <x:c r="AD84" s="233"/>
      <x:c r="AE84" s="233"/>
      <x:c r="AF84" s="233"/>
      <x:c r="AG84" s="233"/>
      <x:c r="AH84" s="234"/>
      <x:c r="AI84" s="233"/>
      <x:c r="AJ84" s="233"/>
      <x:c r="AK84" s="233"/>
      <x:c r="AL84" s="236"/>
      <x:c r="AM84" s="233"/>
      <x:c r="AN84" s="233"/>
      <x:c r="AO84" s="234"/>
      <x:c r="AP84" s="234"/>
      <x:c r="AQ84" s="233"/>
      <x:c r="AR84" s="236"/>
      <x:c r="AS84" s="234"/>
      <x:c r="AT84" s="233"/>
      <x:c r="AU84" s="233"/>
      <x:c r="AV84" s="233"/>
      <x:c r="AW84" s="233"/>
      <x:c r="AX84" s="233"/>
      <x:c r="AY84" s="233"/>
      <x:c r="AZ84" s="236"/>
      <x:c r="BA84" s="233"/>
      <x:c r="BB84" s="233"/>
      <x:c r="BC84" s="233"/>
      <x:c r="BD84" s="233"/>
      <x:c r="BE84" s="237" t="str">
        <x:f>IF(AND(A84="",B84="",C84="",E84="",G84="",I84="",M84="",T84="",BB84="",BD84=""),"",IF(B84="skip","SKIP",IF(OR(B84="",A84="",E84="",G84="",I84="",M84="",T84="",COUNTIF($A$6:$A$505,A84)&gt;1,COUNTIF($M$6:$M$505,M84)&gt;1,AND(L84="mobile",N84&lt;&gt;"invalid",OR(LEN(M84)&lt;&gt;10,LEFT(M84,2)&lt;&gt;"09"))),"REVIEW","READY")))</x:f>
      </x:c>
      <x:c r="BF84" s="238" t="str">
        <x:f>IF(BE84="","",IF(BE84="READY","",IF(B84="skip","Skipped by import_action",TRIM(IF(B84="","missing import_action; ","")&amp;IF(A84="","missing migration_customer_key; ","")&amp;IF(AND(A84&lt;&gt;"",COUNTIF($A$6:$A$505,A84)&gt;1),"duplicate migration_customer_key; ","")&amp;IF(E84="","missing branch_id; ","")&amp;IF(G84="","missing first_name; ","")&amp;IF(I84="","missing last_name; ","")&amp;IF(M84="","missing primary_phone; ","")&amp;IF(AND(M84&lt;&gt;"",COUNTIF($M$6:$M$505,M84)&gt;1),"duplicate primary_phone; ","")&amp;IF(AND(L84="mobile",N84&lt;&gt;"invalid",OR(LEN(M84)&lt;&gt;10,LEFT(M84,2)&lt;&gt;"09")),"mobile must be 09XXXXXXXX or status invalid; ","")&amp;IF(T84="","missing neighborhood_id; ","")))))</x:f>
      </x:c>
    </x:row>
    <x:row r="85">
      <x:c r="A85" s="232"/>
      <x:c r="B85" s="233"/>
      <x:c r="C85" s="234"/>
      <x:c r="D85" s="233"/>
      <x:c r="E85" s="233"/>
      <x:c r="F85" s="233"/>
      <x:c r="G85" s="233"/>
      <x:c r="H85" s="233"/>
      <x:c r="I85" s="233"/>
      <x:c r="J85" s="233"/>
      <x:c r="K85" s="233" t="str">
        <x:f>TRIM(G85&amp;" "&amp;H85&amp;" "&amp;I85&amp;IF(J85&lt;&gt;""," ("&amp;J85&amp;")",""))</x:f>
      </x:c>
      <x:c r="L85" s="233"/>
      <x:c r="M85" s="234"/>
      <x:c r="N85" s="233"/>
      <x:c r="O85" s="233"/>
      <x:c r="P85" s="233"/>
      <x:c r="Q85" s="233"/>
      <x:c r="R85" s="233"/>
      <x:c r="S85" s="233"/>
      <x:c r="T85" s="233"/>
      <x:c r="U85" s="233"/>
      <x:c r="V85" s="233"/>
      <x:c r="W85" s="235"/>
      <x:c r="X85" s="235"/>
      <x:c r="Y85" s="233"/>
      <x:c r="Z85" s="233"/>
      <x:c r="AA85" s="233"/>
      <x:c r="AB85" s="233"/>
      <x:c r="AC85" s="236"/>
      <x:c r="AD85" s="233"/>
      <x:c r="AE85" s="233"/>
      <x:c r="AF85" s="233"/>
      <x:c r="AG85" s="233"/>
      <x:c r="AH85" s="234"/>
      <x:c r="AI85" s="233"/>
      <x:c r="AJ85" s="233"/>
      <x:c r="AK85" s="233"/>
      <x:c r="AL85" s="236"/>
      <x:c r="AM85" s="233"/>
      <x:c r="AN85" s="233"/>
      <x:c r="AO85" s="234"/>
      <x:c r="AP85" s="234"/>
      <x:c r="AQ85" s="233"/>
      <x:c r="AR85" s="236"/>
      <x:c r="AS85" s="234"/>
      <x:c r="AT85" s="233"/>
      <x:c r="AU85" s="233"/>
      <x:c r="AV85" s="233"/>
      <x:c r="AW85" s="233"/>
      <x:c r="AX85" s="233"/>
      <x:c r="AY85" s="233"/>
      <x:c r="AZ85" s="236"/>
      <x:c r="BA85" s="233"/>
      <x:c r="BB85" s="233"/>
      <x:c r="BC85" s="233"/>
      <x:c r="BD85" s="233"/>
      <x:c r="BE85" s="237" t="str">
        <x:f>IF(AND(A85="",B85="",C85="",E85="",G85="",I85="",M85="",T85="",BB85="",BD85=""),"",IF(B85="skip","SKIP",IF(OR(B85="",A85="",E85="",G85="",I85="",M85="",T85="",COUNTIF($A$6:$A$505,A85)&gt;1,COUNTIF($M$6:$M$505,M85)&gt;1,AND(L85="mobile",N85&lt;&gt;"invalid",OR(LEN(M85)&lt;&gt;10,LEFT(M85,2)&lt;&gt;"09"))),"REVIEW","READY")))</x:f>
      </x:c>
      <x:c r="BF85" s="238" t="str">
        <x:f>IF(BE85="","",IF(BE85="READY","",IF(B85="skip","Skipped by import_action",TRIM(IF(B85="","missing import_action; ","")&amp;IF(A85="","missing migration_customer_key; ","")&amp;IF(AND(A85&lt;&gt;"",COUNTIF($A$6:$A$505,A85)&gt;1),"duplicate migration_customer_key; ","")&amp;IF(E85="","missing branch_id; ","")&amp;IF(G85="","missing first_name; ","")&amp;IF(I85="","missing last_name; ","")&amp;IF(M85="","missing primary_phone; ","")&amp;IF(AND(M85&lt;&gt;"",COUNTIF($M$6:$M$505,M85)&gt;1),"duplicate primary_phone; ","")&amp;IF(AND(L85="mobile",N85&lt;&gt;"invalid",OR(LEN(M85)&lt;&gt;10,LEFT(M85,2)&lt;&gt;"09")),"mobile must be 09XXXXXXXX or status invalid; ","")&amp;IF(T85="","missing neighborhood_id; ","")))))</x:f>
      </x:c>
    </x:row>
    <x:row r="86">
      <x:c r="A86" s="232"/>
      <x:c r="B86" s="233"/>
      <x:c r="C86" s="234"/>
      <x:c r="D86" s="233"/>
      <x:c r="E86" s="233"/>
      <x:c r="F86" s="233"/>
      <x:c r="G86" s="233"/>
      <x:c r="H86" s="233"/>
      <x:c r="I86" s="233"/>
      <x:c r="J86" s="233"/>
      <x:c r="K86" s="233" t="str">
        <x:f>TRIM(G86&amp;" "&amp;H86&amp;" "&amp;I86&amp;IF(J86&lt;&gt;""," ("&amp;J86&amp;")",""))</x:f>
      </x:c>
      <x:c r="L86" s="233"/>
      <x:c r="M86" s="234"/>
      <x:c r="N86" s="233"/>
      <x:c r="O86" s="233"/>
      <x:c r="P86" s="233"/>
      <x:c r="Q86" s="233"/>
      <x:c r="R86" s="233"/>
      <x:c r="S86" s="233"/>
      <x:c r="T86" s="233"/>
      <x:c r="U86" s="233"/>
      <x:c r="V86" s="233"/>
      <x:c r="W86" s="235"/>
      <x:c r="X86" s="235"/>
      <x:c r="Y86" s="233"/>
      <x:c r="Z86" s="233"/>
      <x:c r="AA86" s="233"/>
      <x:c r="AB86" s="233"/>
      <x:c r="AC86" s="236"/>
      <x:c r="AD86" s="233"/>
      <x:c r="AE86" s="233"/>
      <x:c r="AF86" s="233"/>
      <x:c r="AG86" s="233"/>
      <x:c r="AH86" s="234"/>
      <x:c r="AI86" s="233"/>
      <x:c r="AJ86" s="233"/>
      <x:c r="AK86" s="233"/>
      <x:c r="AL86" s="236"/>
      <x:c r="AM86" s="233"/>
      <x:c r="AN86" s="233"/>
      <x:c r="AO86" s="234"/>
      <x:c r="AP86" s="234"/>
      <x:c r="AQ86" s="233"/>
      <x:c r="AR86" s="236"/>
      <x:c r="AS86" s="234"/>
      <x:c r="AT86" s="233"/>
      <x:c r="AU86" s="233"/>
      <x:c r="AV86" s="233"/>
      <x:c r="AW86" s="233"/>
      <x:c r="AX86" s="233"/>
      <x:c r="AY86" s="233"/>
      <x:c r="AZ86" s="236"/>
      <x:c r="BA86" s="233"/>
      <x:c r="BB86" s="233"/>
      <x:c r="BC86" s="233"/>
      <x:c r="BD86" s="233"/>
      <x:c r="BE86" s="237" t="str">
        <x:f>IF(AND(A86="",B86="",C86="",E86="",G86="",I86="",M86="",T86="",BB86="",BD86=""),"",IF(B86="skip","SKIP",IF(OR(B86="",A86="",E86="",G86="",I86="",M86="",T86="",COUNTIF($A$6:$A$505,A86)&gt;1,COUNTIF($M$6:$M$505,M86)&gt;1,AND(L86="mobile",N86&lt;&gt;"invalid",OR(LEN(M86)&lt;&gt;10,LEFT(M86,2)&lt;&gt;"09"))),"REVIEW","READY")))</x:f>
      </x:c>
      <x:c r="BF86" s="238" t="str">
        <x:f>IF(BE86="","",IF(BE86="READY","",IF(B86="skip","Skipped by import_action",TRIM(IF(B86="","missing import_action; ","")&amp;IF(A86="","missing migration_customer_key; ","")&amp;IF(AND(A86&lt;&gt;"",COUNTIF($A$6:$A$505,A86)&gt;1),"duplicate migration_customer_key; ","")&amp;IF(E86="","missing branch_id; ","")&amp;IF(G86="","missing first_name; ","")&amp;IF(I86="","missing last_name; ","")&amp;IF(M86="","missing primary_phone; ","")&amp;IF(AND(M86&lt;&gt;"",COUNTIF($M$6:$M$505,M86)&gt;1),"duplicate primary_phone; ","")&amp;IF(AND(L86="mobile",N86&lt;&gt;"invalid",OR(LEN(M86)&lt;&gt;10,LEFT(M86,2)&lt;&gt;"09")),"mobile must be 09XXXXXXXX or status invalid; ","")&amp;IF(T86="","missing neighborhood_id; ","")))))</x:f>
      </x:c>
    </x:row>
    <x:row r="87">
      <x:c r="A87" s="232"/>
      <x:c r="B87" s="233"/>
      <x:c r="C87" s="234"/>
      <x:c r="D87" s="233"/>
      <x:c r="E87" s="233"/>
      <x:c r="F87" s="233"/>
      <x:c r="G87" s="233"/>
      <x:c r="H87" s="233"/>
      <x:c r="I87" s="233"/>
      <x:c r="J87" s="233"/>
      <x:c r="K87" s="233" t="str">
        <x:f>TRIM(G87&amp;" "&amp;H87&amp;" "&amp;I87&amp;IF(J87&lt;&gt;""," ("&amp;J87&amp;")",""))</x:f>
      </x:c>
      <x:c r="L87" s="233"/>
      <x:c r="M87" s="234"/>
      <x:c r="N87" s="233"/>
      <x:c r="O87" s="233"/>
      <x:c r="P87" s="233"/>
      <x:c r="Q87" s="233"/>
      <x:c r="R87" s="233"/>
      <x:c r="S87" s="233"/>
      <x:c r="T87" s="233"/>
      <x:c r="U87" s="233"/>
      <x:c r="V87" s="233"/>
      <x:c r="W87" s="235"/>
      <x:c r="X87" s="235"/>
      <x:c r="Y87" s="233"/>
      <x:c r="Z87" s="233"/>
      <x:c r="AA87" s="233"/>
      <x:c r="AB87" s="233"/>
      <x:c r="AC87" s="236"/>
      <x:c r="AD87" s="233"/>
      <x:c r="AE87" s="233"/>
      <x:c r="AF87" s="233"/>
      <x:c r="AG87" s="233"/>
      <x:c r="AH87" s="234"/>
      <x:c r="AI87" s="233"/>
      <x:c r="AJ87" s="233"/>
      <x:c r="AK87" s="233"/>
      <x:c r="AL87" s="236"/>
      <x:c r="AM87" s="233"/>
      <x:c r="AN87" s="233"/>
      <x:c r="AO87" s="234"/>
      <x:c r="AP87" s="234"/>
      <x:c r="AQ87" s="233"/>
      <x:c r="AR87" s="236"/>
      <x:c r="AS87" s="234"/>
      <x:c r="AT87" s="233"/>
      <x:c r="AU87" s="233"/>
      <x:c r="AV87" s="233"/>
      <x:c r="AW87" s="233"/>
      <x:c r="AX87" s="233"/>
      <x:c r="AY87" s="233"/>
      <x:c r="AZ87" s="236"/>
      <x:c r="BA87" s="233"/>
      <x:c r="BB87" s="233"/>
      <x:c r="BC87" s="233"/>
      <x:c r="BD87" s="233"/>
      <x:c r="BE87" s="237" t="str">
        <x:f>IF(AND(A87="",B87="",C87="",E87="",G87="",I87="",M87="",T87="",BB87="",BD87=""),"",IF(B87="skip","SKIP",IF(OR(B87="",A87="",E87="",G87="",I87="",M87="",T87="",COUNTIF($A$6:$A$505,A87)&gt;1,COUNTIF($M$6:$M$505,M87)&gt;1,AND(L87="mobile",N87&lt;&gt;"invalid",OR(LEN(M87)&lt;&gt;10,LEFT(M87,2)&lt;&gt;"09"))),"REVIEW","READY")))</x:f>
      </x:c>
      <x:c r="BF87" s="238" t="str">
        <x:f>IF(BE87="","",IF(BE87="READY","",IF(B87="skip","Skipped by import_action",TRIM(IF(B87="","missing import_action; ","")&amp;IF(A87="","missing migration_customer_key; ","")&amp;IF(AND(A87&lt;&gt;"",COUNTIF($A$6:$A$505,A87)&gt;1),"duplicate migration_customer_key; ","")&amp;IF(E87="","missing branch_id; ","")&amp;IF(G87="","missing first_name; ","")&amp;IF(I87="","missing last_name; ","")&amp;IF(M87="","missing primary_phone; ","")&amp;IF(AND(M87&lt;&gt;"",COUNTIF($M$6:$M$505,M87)&gt;1),"duplicate primary_phone; ","")&amp;IF(AND(L87="mobile",N87&lt;&gt;"invalid",OR(LEN(M87)&lt;&gt;10,LEFT(M87,2)&lt;&gt;"09")),"mobile must be 09XXXXXXXX or status invalid; ","")&amp;IF(T87="","missing neighborhood_id; ","")))))</x:f>
      </x:c>
    </x:row>
    <x:row r="88">
      <x:c r="A88" s="232"/>
      <x:c r="B88" s="233"/>
      <x:c r="C88" s="234"/>
      <x:c r="D88" s="233"/>
      <x:c r="E88" s="233"/>
      <x:c r="F88" s="233"/>
      <x:c r="G88" s="233"/>
      <x:c r="H88" s="233"/>
      <x:c r="I88" s="233"/>
      <x:c r="J88" s="233"/>
      <x:c r="K88" s="233" t="str">
        <x:f>TRIM(G88&amp;" "&amp;H88&amp;" "&amp;I88&amp;IF(J88&lt;&gt;""," ("&amp;J88&amp;")",""))</x:f>
      </x:c>
      <x:c r="L88" s="233"/>
      <x:c r="M88" s="234"/>
      <x:c r="N88" s="233"/>
      <x:c r="O88" s="233"/>
      <x:c r="P88" s="233"/>
      <x:c r="Q88" s="233"/>
      <x:c r="R88" s="233"/>
      <x:c r="S88" s="233"/>
      <x:c r="T88" s="233"/>
      <x:c r="U88" s="233"/>
      <x:c r="V88" s="233"/>
      <x:c r="W88" s="235"/>
      <x:c r="X88" s="235"/>
      <x:c r="Y88" s="233"/>
      <x:c r="Z88" s="233"/>
      <x:c r="AA88" s="233"/>
      <x:c r="AB88" s="233"/>
      <x:c r="AC88" s="236"/>
      <x:c r="AD88" s="233"/>
      <x:c r="AE88" s="233"/>
      <x:c r="AF88" s="233"/>
      <x:c r="AG88" s="233"/>
      <x:c r="AH88" s="234"/>
      <x:c r="AI88" s="233"/>
      <x:c r="AJ88" s="233"/>
      <x:c r="AK88" s="233"/>
      <x:c r="AL88" s="236"/>
      <x:c r="AM88" s="233"/>
      <x:c r="AN88" s="233"/>
      <x:c r="AO88" s="234"/>
      <x:c r="AP88" s="234"/>
      <x:c r="AQ88" s="233"/>
      <x:c r="AR88" s="236"/>
      <x:c r="AS88" s="234"/>
      <x:c r="AT88" s="233"/>
      <x:c r="AU88" s="233"/>
      <x:c r="AV88" s="233"/>
      <x:c r="AW88" s="233"/>
      <x:c r="AX88" s="233"/>
      <x:c r="AY88" s="233"/>
      <x:c r="AZ88" s="236"/>
      <x:c r="BA88" s="233"/>
      <x:c r="BB88" s="233"/>
      <x:c r="BC88" s="233"/>
      <x:c r="BD88" s="233"/>
      <x:c r="BE88" s="237" t="str">
        <x:f>IF(AND(A88="",B88="",C88="",E88="",G88="",I88="",M88="",T88="",BB88="",BD88=""),"",IF(B88="skip","SKIP",IF(OR(B88="",A88="",E88="",G88="",I88="",M88="",T88="",COUNTIF($A$6:$A$505,A88)&gt;1,COUNTIF($M$6:$M$505,M88)&gt;1,AND(L88="mobile",N88&lt;&gt;"invalid",OR(LEN(M88)&lt;&gt;10,LEFT(M88,2)&lt;&gt;"09"))),"REVIEW","READY")))</x:f>
      </x:c>
      <x:c r="BF88" s="238" t="str">
        <x:f>IF(BE88="","",IF(BE88="READY","",IF(B88="skip","Skipped by import_action",TRIM(IF(B88="","missing import_action; ","")&amp;IF(A88="","missing migration_customer_key; ","")&amp;IF(AND(A88&lt;&gt;"",COUNTIF($A$6:$A$505,A88)&gt;1),"duplicate migration_customer_key; ","")&amp;IF(E88="","missing branch_id; ","")&amp;IF(G88="","missing first_name; ","")&amp;IF(I88="","missing last_name; ","")&amp;IF(M88="","missing primary_phone; ","")&amp;IF(AND(M88&lt;&gt;"",COUNTIF($M$6:$M$505,M88)&gt;1),"duplicate primary_phone; ","")&amp;IF(AND(L88="mobile",N88&lt;&gt;"invalid",OR(LEN(M88)&lt;&gt;10,LEFT(M88,2)&lt;&gt;"09")),"mobile must be 09XXXXXXXX or status invalid; ","")&amp;IF(T88="","missing neighborhood_id; ","")))))</x:f>
      </x:c>
    </x:row>
    <x:row r="89">
      <x:c r="A89" s="232"/>
      <x:c r="B89" s="233"/>
      <x:c r="C89" s="234"/>
      <x:c r="D89" s="233"/>
      <x:c r="E89" s="233"/>
      <x:c r="F89" s="233"/>
      <x:c r="G89" s="233"/>
      <x:c r="H89" s="233"/>
      <x:c r="I89" s="233"/>
      <x:c r="J89" s="233"/>
      <x:c r="K89" s="233" t="str">
        <x:f>TRIM(G89&amp;" "&amp;H89&amp;" "&amp;I89&amp;IF(J89&lt;&gt;""," ("&amp;J89&amp;")",""))</x:f>
      </x:c>
      <x:c r="L89" s="233"/>
      <x:c r="M89" s="234"/>
      <x:c r="N89" s="233"/>
      <x:c r="O89" s="233"/>
      <x:c r="P89" s="233"/>
      <x:c r="Q89" s="233"/>
      <x:c r="R89" s="233"/>
      <x:c r="S89" s="233"/>
      <x:c r="T89" s="233"/>
      <x:c r="U89" s="233"/>
      <x:c r="V89" s="233"/>
      <x:c r="W89" s="235"/>
      <x:c r="X89" s="235"/>
      <x:c r="Y89" s="233"/>
      <x:c r="Z89" s="233"/>
      <x:c r="AA89" s="233"/>
      <x:c r="AB89" s="233"/>
      <x:c r="AC89" s="236"/>
      <x:c r="AD89" s="233"/>
      <x:c r="AE89" s="233"/>
      <x:c r="AF89" s="233"/>
      <x:c r="AG89" s="233"/>
      <x:c r="AH89" s="234"/>
      <x:c r="AI89" s="233"/>
      <x:c r="AJ89" s="233"/>
      <x:c r="AK89" s="233"/>
      <x:c r="AL89" s="236"/>
      <x:c r="AM89" s="233"/>
      <x:c r="AN89" s="233"/>
      <x:c r="AO89" s="234"/>
      <x:c r="AP89" s="234"/>
      <x:c r="AQ89" s="233"/>
      <x:c r="AR89" s="236"/>
      <x:c r="AS89" s="234"/>
      <x:c r="AT89" s="233"/>
      <x:c r="AU89" s="233"/>
      <x:c r="AV89" s="233"/>
      <x:c r="AW89" s="233"/>
      <x:c r="AX89" s="233"/>
      <x:c r="AY89" s="233"/>
      <x:c r="AZ89" s="236"/>
      <x:c r="BA89" s="233"/>
      <x:c r="BB89" s="233"/>
      <x:c r="BC89" s="233"/>
      <x:c r="BD89" s="233"/>
      <x:c r="BE89" s="237" t="str">
        <x:f>IF(AND(A89="",B89="",C89="",E89="",G89="",I89="",M89="",T89="",BB89="",BD89=""),"",IF(B89="skip","SKIP",IF(OR(B89="",A89="",E89="",G89="",I89="",M89="",T89="",COUNTIF($A$6:$A$505,A89)&gt;1,COUNTIF($M$6:$M$505,M89)&gt;1,AND(L89="mobile",N89&lt;&gt;"invalid",OR(LEN(M89)&lt;&gt;10,LEFT(M89,2)&lt;&gt;"09"))),"REVIEW","READY")))</x:f>
      </x:c>
      <x:c r="BF89" s="238" t="str">
        <x:f>IF(BE89="","",IF(BE89="READY","",IF(B89="skip","Skipped by import_action",TRIM(IF(B89="","missing import_action; ","")&amp;IF(A89="","missing migration_customer_key; ","")&amp;IF(AND(A89&lt;&gt;"",COUNTIF($A$6:$A$505,A89)&gt;1),"duplicate migration_customer_key; ","")&amp;IF(E89="","missing branch_id; ","")&amp;IF(G89="","missing first_name; ","")&amp;IF(I89="","missing last_name; ","")&amp;IF(M89="","missing primary_phone; ","")&amp;IF(AND(M89&lt;&gt;"",COUNTIF($M$6:$M$505,M89)&gt;1),"duplicate primary_phone; ","")&amp;IF(AND(L89="mobile",N89&lt;&gt;"invalid",OR(LEN(M89)&lt;&gt;10,LEFT(M89,2)&lt;&gt;"09")),"mobile must be 09XXXXXXXX or status invalid; ","")&amp;IF(T89="","missing neighborhood_id; ","")))))</x:f>
      </x:c>
    </x:row>
    <x:row r="90">
      <x:c r="A90" s="232"/>
      <x:c r="B90" s="233"/>
      <x:c r="C90" s="234"/>
      <x:c r="D90" s="233"/>
      <x:c r="E90" s="233"/>
      <x:c r="F90" s="233"/>
      <x:c r="G90" s="233"/>
      <x:c r="H90" s="233"/>
      <x:c r="I90" s="233"/>
      <x:c r="J90" s="233"/>
      <x:c r="K90" s="233" t="str">
        <x:f>TRIM(G90&amp;" "&amp;H90&amp;" "&amp;I90&amp;IF(J90&lt;&gt;""," ("&amp;J90&amp;")",""))</x:f>
      </x:c>
      <x:c r="L90" s="233"/>
      <x:c r="M90" s="234"/>
      <x:c r="N90" s="233"/>
      <x:c r="O90" s="233"/>
      <x:c r="P90" s="233"/>
      <x:c r="Q90" s="233"/>
      <x:c r="R90" s="233"/>
      <x:c r="S90" s="233"/>
      <x:c r="T90" s="233"/>
      <x:c r="U90" s="233"/>
      <x:c r="V90" s="233"/>
      <x:c r="W90" s="235"/>
      <x:c r="X90" s="235"/>
      <x:c r="Y90" s="233"/>
      <x:c r="Z90" s="233"/>
      <x:c r="AA90" s="233"/>
      <x:c r="AB90" s="233"/>
      <x:c r="AC90" s="236"/>
      <x:c r="AD90" s="233"/>
      <x:c r="AE90" s="233"/>
      <x:c r="AF90" s="233"/>
      <x:c r="AG90" s="233"/>
      <x:c r="AH90" s="234"/>
      <x:c r="AI90" s="233"/>
      <x:c r="AJ90" s="233"/>
      <x:c r="AK90" s="233"/>
      <x:c r="AL90" s="236"/>
      <x:c r="AM90" s="233"/>
      <x:c r="AN90" s="233"/>
      <x:c r="AO90" s="234"/>
      <x:c r="AP90" s="234"/>
      <x:c r="AQ90" s="233"/>
      <x:c r="AR90" s="236"/>
      <x:c r="AS90" s="234"/>
      <x:c r="AT90" s="233"/>
      <x:c r="AU90" s="233"/>
      <x:c r="AV90" s="233"/>
      <x:c r="AW90" s="233"/>
      <x:c r="AX90" s="233"/>
      <x:c r="AY90" s="233"/>
      <x:c r="AZ90" s="236"/>
      <x:c r="BA90" s="233"/>
      <x:c r="BB90" s="233"/>
      <x:c r="BC90" s="233"/>
      <x:c r="BD90" s="233"/>
      <x:c r="BE90" s="237" t="str">
        <x:f>IF(AND(A90="",B90="",C90="",E90="",G90="",I90="",M90="",T90="",BB90="",BD90=""),"",IF(B90="skip","SKIP",IF(OR(B90="",A90="",E90="",G90="",I90="",M90="",T90="",COUNTIF($A$6:$A$505,A90)&gt;1,COUNTIF($M$6:$M$505,M90)&gt;1,AND(L90="mobile",N90&lt;&gt;"invalid",OR(LEN(M90)&lt;&gt;10,LEFT(M90,2)&lt;&gt;"09"))),"REVIEW","READY")))</x:f>
      </x:c>
      <x:c r="BF90" s="238" t="str">
        <x:f>IF(BE90="","",IF(BE90="READY","",IF(B90="skip","Skipped by import_action",TRIM(IF(B90="","missing import_action; ","")&amp;IF(A90="","missing migration_customer_key; ","")&amp;IF(AND(A90&lt;&gt;"",COUNTIF($A$6:$A$505,A90)&gt;1),"duplicate migration_customer_key; ","")&amp;IF(E90="","missing branch_id; ","")&amp;IF(G90="","missing first_name; ","")&amp;IF(I90="","missing last_name; ","")&amp;IF(M90="","missing primary_phone; ","")&amp;IF(AND(M90&lt;&gt;"",COUNTIF($M$6:$M$505,M90)&gt;1),"duplicate primary_phone; ","")&amp;IF(AND(L90="mobile",N90&lt;&gt;"invalid",OR(LEN(M90)&lt;&gt;10,LEFT(M90,2)&lt;&gt;"09")),"mobile must be 09XXXXXXXX or status invalid; ","")&amp;IF(T90="","missing neighborhood_id; ","")))))</x:f>
      </x:c>
    </x:row>
    <x:row r="91">
      <x:c r="A91" s="232"/>
      <x:c r="B91" s="233"/>
      <x:c r="C91" s="234"/>
      <x:c r="D91" s="233"/>
      <x:c r="E91" s="233"/>
      <x:c r="F91" s="233"/>
      <x:c r="G91" s="233"/>
      <x:c r="H91" s="233"/>
      <x:c r="I91" s="233"/>
      <x:c r="J91" s="233"/>
      <x:c r="K91" s="233" t="str">
        <x:f>TRIM(G91&amp;" "&amp;H91&amp;" "&amp;I91&amp;IF(J91&lt;&gt;""," ("&amp;J91&amp;")",""))</x:f>
      </x:c>
      <x:c r="L91" s="233"/>
      <x:c r="M91" s="234"/>
      <x:c r="N91" s="233"/>
      <x:c r="O91" s="233"/>
      <x:c r="P91" s="233"/>
      <x:c r="Q91" s="233"/>
      <x:c r="R91" s="233"/>
      <x:c r="S91" s="233"/>
      <x:c r="T91" s="233"/>
      <x:c r="U91" s="233"/>
      <x:c r="V91" s="233"/>
      <x:c r="W91" s="235"/>
      <x:c r="X91" s="235"/>
      <x:c r="Y91" s="233"/>
      <x:c r="Z91" s="233"/>
      <x:c r="AA91" s="233"/>
      <x:c r="AB91" s="233"/>
      <x:c r="AC91" s="236"/>
      <x:c r="AD91" s="233"/>
      <x:c r="AE91" s="233"/>
      <x:c r="AF91" s="233"/>
      <x:c r="AG91" s="233"/>
      <x:c r="AH91" s="234"/>
      <x:c r="AI91" s="233"/>
      <x:c r="AJ91" s="233"/>
      <x:c r="AK91" s="233"/>
      <x:c r="AL91" s="236"/>
      <x:c r="AM91" s="233"/>
      <x:c r="AN91" s="233"/>
      <x:c r="AO91" s="234"/>
      <x:c r="AP91" s="234"/>
      <x:c r="AQ91" s="233"/>
      <x:c r="AR91" s="236"/>
      <x:c r="AS91" s="234"/>
      <x:c r="AT91" s="233"/>
      <x:c r="AU91" s="233"/>
      <x:c r="AV91" s="233"/>
      <x:c r="AW91" s="233"/>
      <x:c r="AX91" s="233"/>
      <x:c r="AY91" s="233"/>
      <x:c r="AZ91" s="236"/>
      <x:c r="BA91" s="233"/>
      <x:c r="BB91" s="233"/>
      <x:c r="BC91" s="233"/>
      <x:c r="BD91" s="233"/>
      <x:c r="BE91" s="237" t="str">
        <x:f>IF(AND(A91="",B91="",C91="",E91="",G91="",I91="",M91="",T91="",BB91="",BD91=""),"",IF(B91="skip","SKIP",IF(OR(B91="",A91="",E91="",G91="",I91="",M91="",T91="",COUNTIF($A$6:$A$505,A91)&gt;1,COUNTIF($M$6:$M$505,M91)&gt;1,AND(L91="mobile",N91&lt;&gt;"invalid",OR(LEN(M91)&lt;&gt;10,LEFT(M91,2)&lt;&gt;"09"))),"REVIEW","READY")))</x:f>
      </x:c>
      <x:c r="BF91" s="238" t="str">
        <x:f>IF(BE91="","",IF(BE91="READY","",IF(B91="skip","Skipped by import_action",TRIM(IF(B91="","missing import_action; ","")&amp;IF(A91="","missing migration_customer_key; ","")&amp;IF(AND(A91&lt;&gt;"",COUNTIF($A$6:$A$505,A91)&gt;1),"duplicate migration_customer_key; ","")&amp;IF(E91="","missing branch_id; ","")&amp;IF(G91="","missing first_name; ","")&amp;IF(I91="","missing last_name; ","")&amp;IF(M91="","missing primary_phone; ","")&amp;IF(AND(M91&lt;&gt;"",COUNTIF($M$6:$M$505,M91)&gt;1),"duplicate primary_phone; ","")&amp;IF(AND(L91="mobile",N91&lt;&gt;"invalid",OR(LEN(M91)&lt;&gt;10,LEFT(M91,2)&lt;&gt;"09")),"mobile must be 09XXXXXXXX or status invalid; ","")&amp;IF(T91="","missing neighborhood_id; ","")))))</x:f>
      </x:c>
    </x:row>
    <x:row r="92">
      <x:c r="A92" s="232"/>
      <x:c r="B92" s="233"/>
      <x:c r="C92" s="234"/>
      <x:c r="D92" s="233"/>
      <x:c r="E92" s="233"/>
      <x:c r="F92" s="233"/>
      <x:c r="G92" s="233"/>
      <x:c r="H92" s="233"/>
      <x:c r="I92" s="233"/>
      <x:c r="J92" s="233"/>
      <x:c r="K92" s="233" t="str">
        <x:f>TRIM(G92&amp;" "&amp;H92&amp;" "&amp;I92&amp;IF(J92&lt;&gt;""," ("&amp;J92&amp;")",""))</x:f>
      </x:c>
      <x:c r="L92" s="233"/>
      <x:c r="M92" s="234"/>
      <x:c r="N92" s="233"/>
      <x:c r="O92" s="233"/>
      <x:c r="P92" s="233"/>
      <x:c r="Q92" s="233"/>
      <x:c r="R92" s="233"/>
      <x:c r="S92" s="233"/>
      <x:c r="T92" s="233"/>
      <x:c r="U92" s="233"/>
      <x:c r="V92" s="233"/>
      <x:c r="W92" s="235"/>
      <x:c r="X92" s="235"/>
      <x:c r="Y92" s="233"/>
      <x:c r="Z92" s="233"/>
      <x:c r="AA92" s="233"/>
      <x:c r="AB92" s="233"/>
      <x:c r="AC92" s="236"/>
      <x:c r="AD92" s="233"/>
      <x:c r="AE92" s="233"/>
      <x:c r="AF92" s="233"/>
      <x:c r="AG92" s="233"/>
      <x:c r="AH92" s="234"/>
      <x:c r="AI92" s="233"/>
      <x:c r="AJ92" s="233"/>
      <x:c r="AK92" s="233"/>
      <x:c r="AL92" s="236"/>
      <x:c r="AM92" s="233"/>
      <x:c r="AN92" s="233"/>
      <x:c r="AO92" s="234"/>
      <x:c r="AP92" s="234"/>
      <x:c r="AQ92" s="233"/>
      <x:c r="AR92" s="236"/>
      <x:c r="AS92" s="234"/>
      <x:c r="AT92" s="233"/>
      <x:c r="AU92" s="233"/>
      <x:c r="AV92" s="233"/>
      <x:c r="AW92" s="233"/>
      <x:c r="AX92" s="233"/>
      <x:c r="AY92" s="233"/>
      <x:c r="AZ92" s="236"/>
      <x:c r="BA92" s="233"/>
      <x:c r="BB92" s="233"/>
      <x:c r="BC92" s="233"/>
      <x:c r="BD92" s="233"/>
      <x:c r="BE92" s="237" t="str">
        <x:f>IF(AND(A92="",B92="",C92="",E92="",G92="",I92="",M92="",T92="",BB92="",BD92=""),"",IF(B92="skip","SKIP",IF(OR(B92="",A92="",E92="",G92="",I92="",M92="",T92="",COUNTIF($A$6:$A$505,A92)&gt;1,COUNTIF($M$6:$M$505,M92)&gt;1,AND(L92="mobile",N92&lt;&gt;"invalid",OR(LEN(M92)&lt;&gt;10,LEFT(M92,2)&lt;&gt;"09"))),"REVIEW","READY")))</x:f>
      </x:c>
      <x:c r="BF92" s="238" t="str">
        <x:f>IF(BE92="","",IF(BE92="READY","",IF(B92="skip","Skipped by import_action",TRIM(IF(B92="","missing import_action; ","")&amp;IF(A92="","missing migration_customer_key; ","")&amp;IF(AND(A92&lt;&gt;"",COUNTIF($A$6:$A$505,A92)&gt;1),"duplicate migration_customer_key; ","")&amp;IF(E92="","missing branch_id; ","")&amp;IF(G92="","missing first_name; ","")&amp;IF(I92="","missing last_name; ","")&amp;IF(M92="","missing primary_phone; ","")&amp;IF(AND(M92&lt;&gt;"",COUNTIF($M$6:$M$505,M92)&gt;1),"duplicate primary_phone; ","")&amp;IF(AND(L92="mobile",N92&lt;&gt;"invalid",OR(LEN(M92)&lt;&gt;10,LEFT(M92,2)&lt;&gt;"09")),"mobile must be 09XXXXXXXX or status invalid; ","")&amp;IF(T92="","missing neighborhood_id; ","")))))</x:f>
      </x:c>
    </x:row>
    <x:row r="93">
      <x:c r="A93" s="232"/>
      <x:c r="B93" s="233"/>
      <x:c r="C93" s="234"/>
      <x:c r="D93" s="233"/>
      <x:c r="E93" s="233"/>
      <x:c r="F93" s="233"/>
      <x:c r="G93" s="233"/>
      <x:c r="H93" s="233"/>
      <x:c r="I93" s="233"/>
      <x:c r="J93" s="233"/>
      <x:c r="K93" s="233" t="str">
        <x:f>TRIM(G93&amp;" "&amp;H93&amp;" "&amp;I93&amp;IF(J93&lt;&gt;""," ("&amp;J93&amp;")",""))</x:f>
      </x:c>
      <x:c r="L93" s="233"/>
      <x:c r="M93" s="234"/>
      <x:c r="N93" s="233"/>
      <x:c r="O93" s="233"/>
      <x:c r="P93" s="233"/>
      <x:c r="Q93" s="233"/>
      <x:c r="R93" s="233"/>
      <x:c r="S93" s="233"/>
      <x:c r="T93" s="233"/>
      <x:c r="U93" s="233"/>
      <x:c r="V93" s="233"/>
      <x:c r="W93" s="235"/>
      <x:c r="X93" s="235"/>
      <x:c r="Y93" s="233"/>
      <x:c r="Z93" s="233"/>
      <x:c r="AA93" s="233"/>
      <x:c r="AB93" s="233"/>
      <x:c r="AC93" s="236"/>
      <x:c r="AD93" s="233"/>
      <x:c r="AE93" s="233"/>
      <x:c r="AF93" s="233"/>
      <x:c r="AG93" s="233"/>
      <x:c r="AH93" s="234"/>
      <x:c r="AI93" s="233"/>
      <x:c r="AJ93" s="233"/>
      <x:c r="AK93" s="233"/>
      <x:c r="AL93" s="236"/>
      <x:c r="AM93" s="233"/>
      <x:c r="AN93" s="233"/>
      <x:c r="AO93" s="234"/>
      <x:c r="AP93" s="234"/>
      <x:c r="AQ93" s="233"/>
      <x:c r="AR93" s="236"/>
      <x:c r="AS93" s="234"/>
      <x:c r="AT93" s="233"/>
      <x:c r="AU93" s="233"/>
      <x:c r="AV93" s="233"/>
      <x:c r="AW93" s="233"/>
      <x:c r="AX93" s="233"/>
      <x:c r="AY93" s="233"/>
      <x:c r="AZ93" s="236"/>
      <x:c r="BA93" s="233"/>
      <x:c r="BB93" s="233"/>
      <x:c r="BC93" s="233"/>
      <x:c r="BD93" s="233"/>
      <x:c r="BE93" s="237" t="str">
        <x:f>IF(AND(A93="",B93="",C93="",E93="",G93="",I93="",M93="",T93="",BB93="",BD93=""),"",IF(B93="skip","SKIP",IF(OR(B93="",A93="",E93="",G93="",I93="",M93="",T93="",COUNTIF($A$6:$A$505,A93)&gt;1,COUNTIF($M$6:$M$505,M93)&gt;1,AND(L93="mobile",N93&lt;&gt;"invalid",OR(LEN(M93)&lt;&gt;10,LEFT(M93,2)&lt;&gt;"09"))),"REVIEW","READY")))</x:f>
      </x:c>
      <x:c r="BF93" s="238" t="str">
        <x:f>IF(BE93="","",IF(BE93="READY","",IF(B93="skip","Skipped by import_action",TRIM(IF(B93="","missing import_action; ","")&amp;IF(A93="","missing migration_customer_key; ","")&amp;IF(AND(A93&lt;&gt;"",COUNTIF($A$6:$A$505,A93)&gt;1),"duplicate migration_customer_key; ","")&amp;IF(E93="","missing branch_id; ","")&amp;IF(G93="","missing first_name; ","")&amp;IF(I93="","missing last_name; ","")&amp;IF(M93="","missing primary_phone; ","")&amp;IF(AND(M93&lt;&gt;"",COUNTIF($M$6:$M$505,M93)&gt;1),"duplicate primary_phone; ","")&amp;IF(AND(L93="mobile",N93&lt;&gt;"invalid",OR(LEN(M93)&lt;&gt;10,LEFT(M93,2)&lt;&gt;"09")),"mobile must be 09XXXXXXXX or status invalid; ","")&amp;IF(T93="","missing neighborhood_id; ","")))))</x:f>
      </x:c>
    </x:row>
    <x:row r="94">
      <x:c r="A94" s="232"/>
      <x:c r="B94" s="233"/>
      <x:c r="C94" s="234"/>
      <x:c r="D94" s="233"/>
      <x:c r="E94" s="233"/>
      <x:c r="F94" s="233"/>
      <x:c r="G94" s="233"/>
      <x:c r="H94" s="233"/>
      <x:c r="I94" s="233"/>
      <x:c r="J94" s="233"/>
      <x:c r="K94" s="233" t="str">
        <x:f>TRIM(G94&amp;" "&amp;H94&amp;" "&amp;I94&amp;IF(J94&lt;&gt;""," ("&amp;J94&amp;")",""))</x:f>
      </x:c>
      <x:c r="L94" s="233"/>
      <x:c r="M94" s="234"/>
      <x:c r="N94" s="233"/>
      <x:c r="O94" s="233"/>
      <x:c r="P94" s="233"/>
      <x:c r="Q94" s="233"/>
      <x:c r="R94" s="233"/>
      <x:c r="S94" s="233"/>
      <x:c r="T94" s="233"/>
      <x:c r="U94" s="233"/>
      <x:c r="V94" s="233"/>
      <x:c r="W94" s="235"/>
      <x:c r="X94" s="235"/>
      <x:c r="Y94" s="233"/>
      <x:c r="Z94" s="233"/>
      <x:c r="AA94" s="233"/>
      <x:c r="AB94" s="233"/>
      <x:c r="AC94" s="236"/>
      <x:c r="AD94" s="233"/>
      <x:c r="AE94" s="233"/>
      <x:c r="AF94" s="233"/>
      <x:c r="AG94" s="233"/>
      <x:c r="AH94" s="234"/>
      <x:c r="AI94" s="233"/>
      <x:c r="AJ94" s="233"/>
      <x:c r="AK94" s="233"/>
      <x:c r="AL94" s="236"/>
      <x:c r="AM94" s="233"/>
      <x:c r="AN94" s="233"/>
      <x:c r="AO94" s="234"/>
      <x:c r="AP94" s="234"/>
      <x:c r="AQ94" s="233"/>
      <x:c r="AR94" s="236"/>
      <x:c r="AS94" s="234"/>
      <x:c r="AT94" s="233"/>
      <x:c r="AU94" s="233"/>
      <x:c r="AV94" s="233"/>
      <x:c r="AW94" s="233"/>
      <x:c r="AX94" s="233"/>
      <x:c r="AY94" s="233"/>
      <x:c r="AZ94" s="236"/>
      <x:c r="BA94" s="233"/>
      <x:c r="BB94" s="233"/>
      <x:c r="BC94" s="233"/>
      <x:c r="BD94" s="233"/>
      <x:c r="BE94" s="237" t="str">
        <x:f>IF(AND(A94="",B94="",C94="",E94="",G94="",I94="",M94="",T94="",BB94="",BD94=""),"",IF(B94="skip","SKIP",IF(OR(B94="",A94="",E94="",G94="",I94="",M94="",T94="",COUNTIF($A$6:$A$505,A94)&gt;1,COUNTIF($M$6:$M$505,M94)&gt;1,AND(L94="mobile",N94&lt;&gt;"invalid",OR(LEN(M94)&lt;&gt;10,LEFT(M94,2)&lt;&gt;"09"))),"REVIEW","READY")))</x:f>
      </x:c>
      <x:c r="BF94" s="238" t="str">
        <x:f>IF(BE94="","",IF(BE94="READY","",IF(B94="skip","Skipped by import_action",TRIM(IF(B94="","missing import_action; ","")&amp;IF(A94="","missing migration_customer_key; ","")&amp;IF(AND(A94&lt;&gt;"",COUNTIF($A$6:$A$505,A94)&gt;1),"duplicate migration_customer_key; ","")&amp;IF(E94="","missing branch_id; ","")&amp;IF(G94="","missing first_name; ","")&amp;IF(I94="","missing last_name; ","")&amp;IF(M94="","missing primary_phone; ","")&amp;IF(AND(M94&lt;&gt;"",COUNTIF($M$6:$M$505,M94)&gt;1),"duplicate primary_phone; ","")&amp;IF(AND(L94="mobile",N94&lt;&gt;"invalid",OR(LEN(M94)&lt;&gt;10,LEFT(M94,2)&lt;&gt;"09")),"mobile must be 09XXXXXXXX or status invalid; ","")&amp;IF(T94="","missing neighborhood_id; ","")))))</x:f>
      </x:c>
    </x:row>
    <x:row r="95">
      <x:c r="A95" s="232"/>
      <x:c r="B95" s="233"/>
      <x:c r="C95" s="234"/>
      <x:c r="D95" s="233"/>
      <x:c r="E95" s="233"/>
      <x:c r="F95" s="233"/>
      <x:c r="G95" s="233"/>
      <x:c r="H95" s="233"/>
      <x:c r="I95" s="233"/>
      <x:c r="J95" s="233"/>
      <x:c r="K95" s="233" t="str">
        <x:f>TRIM(G95&amp;" "&amp;H95&amp;" "&amp;I95&amp;IF(J95&lt;&gt;""," ("&amp;J95&amp;")",""))</x:f>
      </x:c>
      <x:c r="L95" s="233"/>
      <x:c r="M95" s="234"/>
      <x:c r="N95" s="233"/>
      <x:c r="O95" s="233"/>
      <x:c r="P95" s="233"/>
      <x:c r="Q95" s="233"/>
      <x:c r="R95" s="233"/>
      <x:c r="S95" s="233"/>
      <x:c r="T95" s="233"/>
      <x:c r="U95" s="233"/>
      <x:c r="V95" s="233"/>
      <x:c r="W95" s="235"/>
      <x:c r="X95" s="235"/>
      <x:c r="Y95" s="233"/>
      <x:c r="Z95" s="233"/>
      <x:c r="AA95" s="233"/>
      <x:c r="AB95" s="233"/>
      <x:c r="AC95" s="236"/>
      <x:c r="AD95" s="233"/>
      <x:c r="AE95" s="233"/>
      <x:c r="AF95" s="233"/>
      <x:c r="AG95" s="233"/>
      <x:c r="AH95" s="234"/>
      <x:c r="AI95" s="233"/>
      <x:c r="AJ95" s="233"/>
      <x:c r="AK95" s="233"/>
      <x:c r="AL95" s="236"/>
      <x:c r="AM95" s="233"/>
      <x:c r="AN95" s="233"/>
      <x:c r="AO95" s="234"/>
      <x:c r="AP95" s="234"/>
      <x:c r="AQ95" s="233"/>
      <x:c r="AR95" s="236"/>
      <x:c r="AS95" s="234"/>
      <x:c r="AT95" s="233"/>
      <x:c r="AU95" s="233"/>
      <x:c r="AV95" s="233"/>
      <x:c r="AW95" s="233"/>
      <x:c r="AX95" s="233"/>
      <x:c r="AY95" s="233"/>
      <x:c r="AZ95" s="236"/>
      <x:c r="BA95" s="233"/>
      <x:c r="BB95" s="233"/>
      <x:c r="BC95" s="233"/>
      <x:c r="BD95" s="233"/>
      <x:c r="BE95" s="237" t="str">
        <x:f>IF(AND(A95="",B95="",C95="",E95="",G95="",I95="",M95="",T95="",BB95="",BD95=""),"",IF(B95="skip","SKIP",IF(OR(B95="",A95="",E95="",G95="",I95="",M95="",T95="",COUNTIF($A$6:$A$505,A95)&gt;1,COUNTIF($M$6:$M$505,M95)&gt;1,AND(L95="mobile",N95&lt;&gt;"invalid",OR(LEN(M95)&lt;&gt;10,LEFT(M95,2)&lt;&gt;"09"))),"REVIEW","READY")))</x:f>
      </x:c>
      <x:c r="BF95" s="238" t="str">
        <x:f>IF(BE95="","",IF(BE95="READY","",IF(B95="skip","Skipped by import_action",TRIM(IF(B95="","missing import_action; ","")&amp;IF(A95="","missing migration_customer_key; ","")&amp;IF(AND(A95&lt;&gt;"",COUNTIF($A$6:$A$505,A95)&gt;1),"duplicate migration_customer_key; ","")&amp;IF(E95="","missing branch_id; ","")&amp;IF(G95="","missing first_name; ","")&amp;IF(I95="","missing last_name; ","")&amp;IF(M95="","missing primary_phone; ","")&amp;IF(AND(M95&lt;&gt;"",COUNTIF($M$6:$M$505,M95)&gt;1),"duplicate primary_phone; ","")&amp;IF(AND(L95="mobile",N95&lt;&gt;"invalid",OR(LEN(M95)&lt;&gt;10,LEFT(M95,2)&lt;&gt;"09")),"mobile must be 09XXXXXXXX or status invalid; ","")&amp;IF(T95="","missing neighborhood_id; ","")))))</x:f>
      </x:c>
    </x:row>
    <x:row r="96">
      <x:c r="A96" s="232"/>
      <x:c r="B96" s="233"/>
      <x:c r="C96" s="234"/>
      <x:c r="D96" s="233"/>
      <x:c r="E96" s="233"/>
      <x:c r="F96" s="233"/>
      <x:c r="G96" s="233"/>
      <x:c r="H96" s="233"/>
      <x:c r="I96" s="233"/>
      <x:c r="J96" s="233"/>
      <x:c r="K96" s="233" t="str">
        <x:f>TRIM(G96&amp;" "&amp;H96&amp;" "&amp;I96&amp;IF(J96&lt;&gt;""," ("&amp;J96&amp;")",""))</x:f>
      </x:c>
      <x:c r="L96" s="233"/>
      <x:c r="M96" s="234"/>
      <x:c r="N96" s="233"/>
      <x:c r="O96" s="233"/>
      <x:c r="P96" s="233"/>
      <x:c r="Q96" s="233"/>
      <x:c r="R96" s="233"/>
      <x:c r="S96" s="233"/>
      <x:c r="T96" s="233"/>
      <x:c r="U96" s="233"/>
      <x:c r="V96" s="233"/>
      <x:c r="W96" s="235"/>
      <x:c r="X96" s="235"/>
      <x:c r="Y96" s="233"/>
      <x:c r="Z96" s="233"/>
      <x:c r="AA96" s="233"/>
      <x:c r="AB96" s="233"/>
      <x:c r="AC96" s="236"/>
      <x:c r="AD96" s="233"/>
      <x:c r="AE96" s="233"/>
      <x:c r="AF96" s="233"/>
      <x:c r="AG96" s="233"/>
      <x:c r="AH96" s="234"/>
      <x:c r="AI96" s="233"/>
      <x:c r="AJ96" s="233"/>
      <x:c r="AK96" s="233"/>
      <x:c r="AL96" s="236"/>
      <x:c r="AM96" s="233"/>
      <x:c r="AN96" s="233"/>
      <x:c r="AO96" s="234"/>
      <x:c r="AP96" s="234"/>
      <x:c r="AQ96" s="233"/>
      <x:c r="AR96" s="236"/>
      <x:c r="AS96" s="234"/>
      <x:c r="AT96" s="233"/>
      <x:c r="AU96" s="233"/>
      <x:c r="AV96" s="233"/>
      <x:c r="AW96" s="233"/>
      <x:c r="AX96" s="233"/>
      <x:c r="AY96" s="233"/>
      <x:c r="AZ96" s="236"/>
      <x:c r="BA96" s="233"/>
      <x:c r="BB96" s="233"/>
      <x:c r="BC96" s="233"/>
      <x:c r="BD96" s="233"/>
      <x:c r="BE96" s="237" t="str">
        <x:f>IF(AND(A96="",B96="",C96="",E96="",G96="",I96="",M96="",T96="",BB96="",BD96=""),"",IF(B96="skip","SKIP",IF(OR(B96="",A96="",E96="",G96="",I96="",M96="",T96="",COUNTIF($A$6:$A$505,A96)&gt;1,COUNTIF($M$6:$M$505,M96)&gt;1,AND(L96="mobile",N96&lt;&gt;"invalid",OR(LEN(M96)&lt;&gt;10,LEFT(M96,2)&lt;&gt;"09"))),"REVIEW","READY")))</x:f>
      </x:c>
      <x:c r="BF96" s="238" t="str">
        <x:f>IF(BE96="","",IF(BE96="READY","",IF(B96="skip","Skipped by import_action",TRIM(IF(B96="","missing import_action; ","")&amp;IF(A96="","missing migration_customer_key; ","")&amp;IF(AND(A96&lt;&gt;"",COUNTIF($A$6:$A$505,A96)&gt;1),"duplicate migration_customer_key; ","")&amp;IF(E96="","missing branch_id; ","")&amp;IF(G96="","missing first_name; ","")&amp;IF(I96="","missing last_name; ","")&amp;IF(M96="","missing primary_phone; ","")&amp;IF(AND(M96&lt;&gt;"",COUNTIF($M$6:$M$505,M96)&gt;1),"duplicate primary_phone; ","")&amp;IF(AND(L96="mobile",N96&lt;&gt;"invalid",OR(LEN(M96)&lt;&gt;10,LEFT(M96,2)&lt;&gt;"09")),"mobile must be 09XXXXXXXX or status invalid; ","")&amp;IF(T96="","missing neighborhood_id; ","")))))</x:f>
      </x:c>
    </x:row>
    <x:row r="97">
      <x:c r="A97" s="232"/>
      <x:c r="B97" s="233"/>
      <x:c r="C97" s="234"/>
      <x:c r="D97" s="233"/>
      <x:c r="E97" s="233"/>
      <x:c r="F97" s="233"/>
      <x:c r="G97" s="233"/>
      <x:c r="H97" s="233"/>
      <x:c r="I97" s="233"/>
      <x:c r="J97" s="233"/>
      <x:c r="K97" s="233" t="str">
        <x:f>TRIM(G97&amp;" "&amp;H97&amp;" "&amp;I97&amp;IF(J97&lt;&gt;""," ("&amp;J97&amp;")",""))</x:f>
      </x:c>
      <x:c r="L97" s="233"/>
      <x:c r="M97" s="234"/>
      <x:c r="N97" s="233"/>
      <x:c r="O97" s="233"/>
      <x:c r="P97" s="233"/>
      <x:c r="Q97" s="233"/>
      <x:c r="R97" s="233"/>
      <x:c r="S97" s="233"/>
      <x:c r="T97" s="233"/>
      <x:c r="U97" s="233"/>
      <x:c r="V97" s="233"/>
      <x:c r="W97" s="235"/>
      <x:c r="X97" s="235"/>
      <x:c r="Y97" s="233"/>
      <x:c r="Z97" s="233"/>
      <x:c r="AA97" s="233"/>
      <x:c r="AB97" s="233"/>
      <x:c r="AC97" s="236"/>
      <x:c r="AD97" s="233"/>
      <x:c r="AE97" s="233"/>
      <x:c r="AF97" s="233"/>
      <x:c r="AG97" s="233"/>
      <x:c r="AH97" s="234"/>
      <x:c r="AI97" s="233"/>
      <x:c r="AJ97" s="233"/>
      <x:c r="AK97" s="233"/>
      <x:c r="AL97" s="236"/>
      <x:c r="AM97" s="233"/>
      <x:c r="AN97" s="233"/>
      <x:c r="AO97" s="234"/>
      <x:c r="AP97" s="234"/>
      <x:c r="AQ97" s="233"/>
      <x:c r="AR97" s="236"/>
      <x:c r="AS97" s="234"/>
      <x:c r="AT97" s="233"/>
      <x:c r="AU97" s="233"/>
      <x:c r="AV97" s="233"/>
      <x:c r="AW97" s="233"/>
      <x:c r="AX97" s="233"/>
      <x:c r="AY97" s="233"/>
      <x:c r="AZ97" s="236"/>
      <x:c r="BA97" s="233"/>
      <x:c r="BB97" s="233"/>
      <x:c r="BC97" s="233"/>
      <x:c r="BD97" s="233"/>
      <x:c r="BE97" s="237" t="str">
        <x:f>IF(AND(A97="",B97="",C97="",E97="",G97="",I97="",M97="",T97="",BB97="",BD97=""),"",IF(B97="skip","SKIP",IF(OR(B97="",A97="",E97="",G97="",I97="",M97="",T97="",COUNTIF($A$6:$A$505,A97)&gt;1,COUNTIF($M$6:$M$505,M97)&gt;1,AND(L97="mobile",N97&lt;&gt;"invalid",OR(LEN(M97)&lt;&gt;10,LEFT(M97,2)&lt;&gt;"09"))),"REVIEW","READY")))</x:f>
      </x:c>
      <x:c r="BF97" s="238" t="str">
        <x:f>IF(BE97="","",IF(BE97="READY","",IF(B97="skip","Skipped by import_action",TRIM(IF(B97="","missing import_action; ","")&amp;IF(A97="","missing migration_customer_key; ","")&amp;IF(AND(A97&lt;&gt;"",COUNTIF($A$6:$A$505,A97)&gt;1),"duplicate migration_customer_key; ","")&amp;IF(E97="","missing branch_id; ","")&amp;IF(G97="","missing first_name; ","")&amp;IF(I97="","missing last_name; ","")&amp;IF(M97="","missing primary_phone; ","")&amp;IF(AND(M97&lt;&gt;"",COUNTIF($M$6:$M$505,M97)&gt;1),"duplicate primary_phone; ","")&amp;IF(AND(L97="mobile",N97&lt;&gt;"invalid",OR(LEN(M97)&lt;&gt;10,LEFT(M97,2)&lt;&gt;"09")),"mobile must be 09XXXXXXXX or status invalid; ","")&amp;IF(T97="","missing neighborhood_id; ","")))))</x:f>
      </x:c>
    </x:row>
    <x:row r="98">
      <x:c r="A98" s="232"/>
      <x:c r="B98" s="233"/>
      <x:c r="C98" s="234"/>
      <x:c r="D98" s="233"/>
      <x:c r="E98" s="233"/>
      <x:c r="F98" s="233"/>
      <x:c r="G98" s="233"/>
      <x:c r="H98" s="233"/>
      <x:c r="I98" s="233"/>
      <x:c r="J98" s="233"/>
      <x:c r="K98" s="233" t="str">
        <x:f>TRIM(G98&amp;" "&amp;H98&amp;" "&amp;I98&amp;IF(J98&lt;&gt;""," ("&amp;J98&amp;")",""))</x:f>
      </x:c>
      <x:c r="L98" s="233"/>
      <x:c r="M98" s="234"/>
      <x:c r="N98" s="233"/>
      <x:c r="O98" s="233"/>
      <x:c r="P98" s="233"/>
      <x:c r="Q98" s="233"/>
      <x:c r="R98" s="233"/>
      <x:c r="S98" s="233"/>
      <x:c r="T98" s="233"/>
      <x:c r="U98" s="233"/>
      <x:c r="V98" s="233"/>
      <x:c r="W98" s="235"/>
      <x:c r="X98" s="235"/>
      <x:c r="Y98" s="233"/>
      <x:c r="Z98" s="233"/>
      <x:c r="AA98" s="233"/>
      <x:c r="AB98" s="233"/>
      <x:c r="AC98" s="236"/>
      <x:c r="AD98" s="233"/>
      <x:c r="AE98" s="233"/>
      <x:c r="AF98" s="233"/>
      <x:c r="AG98" s="233"/>
      <x:c r="AH98" s="234"/>
      <x:c r="AI98" s="233"/>
      <x:c r="AJ98" s="233"/>
      <x:c r="AK98" s="233"/>
      <x:c r="AL98" s="236"/>
      <x:c r="AM98" s="233"/>
      <x:c r="AN98" s="233"/>
      <x:c r="AO98" s="234"/>
      <x:c r="AP98" s="234"/>
      <x:c r="AQ98" s="233"/>
      <x:c r="AR98" s="236"/>
      <x:c r="AS98" s="234"/>
      <x:c r="AT98" s="233"/>
      <x:c r="AU98" s="233"/>
      <x:c r="AV98" s="233"/>
      <x:c r="AW98" s="233"/>
      <x:c r="AX98" s="233"/>
      <x:c r="AY98" s="233"/>
      <x:c r="AZ98" s="236"/>
      <x:c r="BA98" s="233"/>
      <x:c r="BB98" s="233"/>
      <x:c r="BC98" s="233"/>
      <x:c r="BD98" s="233"/>
      <x:c r="BE98" s="237" t="str">
        <x:f>IF(AND(A98="",B98="",C98="",E98="",G98="",I98="",M98="",T98="",BB98="",BD98=""),"",IF(B98="skip","SKIP",IF(OR(B98="",A98="",E98="",G98="",I98="",M98="",T98="",COUNTIF($A$6:$A$505,A98)&gt;1,COUNTIF($M$6:$M$505,M98)&gt;1,AND(L98="mobile",N98&lt;&gt;"invalid",OR(LEN(M98)&lt;&gt;10,LEFT(M98,2)&lt;&gt;"09"))),"REVIEW","READY")))</x:f>
      </x:c>
      <x:c r="BF98" s="238" t="str">
        <x:f>IF(BE98="","",IF(BE98="READY","",IF(B98="skip","Skipped by import_action",TRIM(IF(B98="","missing import_action; ","")&amp;IF(A98="","missing migration_customer_key; ","")&amp;IF(AND(A98&lt;&gt;"",COUNTIF($A$6:$A$505,A98)&gt;1),"duplicate migration_customer_key; ","")&amp;IF(E98="","missing branch_id; ","")&amp;IF(G98="","missing first_name; ","")&amp;IF(I98="","missing last_name; ","")&amp;IF(M98="","missing primary_phone; ","")&amp;IF(AND(M98&lt;&gt;"",COUNTIF($M$6:$M$505,M98)&gt;1),"duplicate primary_phone; ","")&amp;IF(AND(L98="mobile",N98&lt;&gt;"invalid",OR(LEN(M98)&lt;&gt;10,LEFT(M98,2)&lt;&gt;"09")),"mobile must be 09XXXXXXXX or status invalid; ","")&amp;IF(T98="","missing neighborhood_id; ","")))))</x:f>
      </x:c>
    </x:row>
    <x:row r="99">
      <x:c r="A99" s="232"/>
      <x:c r="B99" s="233"/>
      <x:c r="C99" s="234"/>
      <x:c r="D99" s="233"/>
      <x:c r="E99" s="233"/>
      <x:c r="F99" s="233"/>
      <x:c r="G99" s="233"/>
      <x:c r="H99" s="233"/>
      <x:c r="I99" s="233"/>
      <x:c r="J99" s="233"/>
      <x:c r="K99" s="233" t="str">
        <x:f>TRIM(G99&amp;" "&amp;H99&amp;" "&amp;I99&amp;IF(J99&lt;&gt;""," ("&amp;J99&amp;")",""))</x:f>
      </x:c>
      <x:c r="L99" s="233"/>
      <x:c r="M99" s="234"/>
      <x:c r="N99" s="233"/>
      <x:c r="O99" s="233"/>
      <x:c r="P99" s="233"/>
      <x:c r="Q99" s="233"/>
      <x:c r="R99" s="233"/>
      <x:c r="S99" s="233"/>
      <x:c r="T99" s="233"/>
      <x:c r="U99" s="233"/>
      <x:c r="V99" s="233"/>
      <x:c r="W99" s="235"/>
      <x:c r="X99" s="235"/>
      <x:c r="Y99" s="233"/>
      <x:c r="Z99" s="233"/>
      <x:c r="AA99" s="233"/>
      <x:c r="AB99" s="233"/>
      <x:c r="AC99" s="236"/>
      <x:c r="AD99" s="233"/>
      <x:c r="AE99" s="233"/>
      <x:c r="AF99" s="233"/>
      <x:c r="AG99" s="233"/>
      <x:c r="AH99" s="234"/>
      <x:c r="AI99" s="233"/>
      <x:c r="AJ99" s="233"/>
      <x:c r="AK99" s="233"/>
      <x:c r="AL99" s="236"/>
      <x:c r="AM99" s="233"/>
      <x:c r="AN99" s="233"/>
      <x:c r="AO99" s="234"/>
      <x:c r="AP99" s="234"/>
      <x:c r="AQ99" s="233"/>
      <x:c r="AR99" s="236"/>
      <x:c r="AS99" s="234"/>
      <x:c r="AT99" s="233"/>
      <x:c r="AU99" s="233"/>
      <x:c r="AV99" s="233"/>
      <x:c r="AW99" s="233"/>
      <x:c r="AX99" s="233"/>
      <x:c r="AY99" s="233"/>
      <x:c r="AZ99" s="236"/>
      <x:c r="BA99" s="233"/>
      <x:c r="BB99" s="233"/>
      <x:c r="BC99" s="233"/>
      <x:c r="BD99" s="233"/>
      <x:c r="BE99" s="237" t="str">
        <x:f>IF(AND(A99="",B99="",C99="",E99="",G99="",I99="",M99="",T99="",BB99="",BD99=""),"",IF(B99="skip","SKIP",IF(OR(B99="",A99="",E99="",G99="",I99="",M99="",T99="",COUNTIF($A$6:$A$505,A99)&gt;1,COUNTIF($M$6:$M$505,M99)&gt;1,AND(L99="mobile",N99&lt;&gt;"invalid",OR(LEN(M99)&lt;&gt;10,LEFT(M99,2)&lt;&gt;"09"))),"REVIEW","READY")))</x:f>
      </x:c>
      <x:c r="BF99" s="238" t="str">
        <x:f>IF(BE99="","",IF(BE99="READY","",IF(B99="skip","Skipped by import_action",TRIM(IF(B99="","missing import_action; ","")&amp;IF(A99="","missing migration_customer_key; ","")&amp;IF(AND(A99&lt;&gt;"",COUNTIF($A$6:$A$505,A99)&gt;1),"duplicate migration_customer_key; ","")&amp;IF(E99="","missing branch_id; ","")&amp;IF(G99="","missing first_name; ","")&amp;IF(I99="","missing last_name; ","")&amp;IF(M99="","missing primary_phone; ","")&amp;IF(AND(M99&lt;&gt;"",COUNTIF($M$6:$M$505,M99)&gt;1),"duplicate primary_phone; ","")&amp;IF(AND(L99="mobile",N99&lt;&gt;"invalid",OR(LEN(M99)&lt;&gt;10,LEFT(M99,2)&lt;&gt;"09")),"mobile must be 09XXXXXXXX or status invalid; ","")&amp;IF(T99="","missing neighborhood_id; ","")))))</x:f>
      </x:c>
    </x:row>
    <x:row r="100">
      <x:c r="A100" s="232"/>
      <x:c r="B100" s="233"/>
      <x:c r="C100" s="234"/>
      <x:c r="D100" s="233"/>
      <x:c r="E100" s="233"/>
      <x:c r="F100" s="233"/>
      <x:c r="G100" s="233"/>
      <x:c r="H100" s="233"/>
      <x:c r="I100" s="233"/>
      <x:c r="J100" s="233"/>
      <x:c r="K100" s="233" t="str">
        <x:f>TRIM(G100&amp;" "&amp;H100&amp;" "&amp;I100&amp;IF(J100&lt;&gt;""," ("&amp;J100&amp;")",""))</x:f>
      </x:c>
      <x:c r="L100" s="233"/>
      <x:c r="M100" s="234"/>
      <x:c r="N100" s="233"/>
      <x:c r="O100" s="233"/>
      <x:c r="P100" s="233"/>
      <x:c r="Q100" s="233"/>
      <x:c r="R100" s="233"/>
      <x:c r="S100" s="233"/>
      <x:c r="T100" s="233"/>
      <x:c r="U100" s="233"/>
      <x:c r="V100" s="233"/>
      <x:c r="W100" s="235"/>
      <x:c r="X100" s="235"/>
      <x:c r="Y100" s="233"/>
      <x:c r="Z100" s="233"/>
      <x:c r="AA100" s="233"/>
      <x:c r="AB100" s="233"/>
      <x:c r="AC100" s="236"/>
      <x:c r="AD100" s="233"/>
      <x:c r="AE100" s="233"/>
      <x:c r="AF100" s="233"/>
      <x:c r="AG100" s="233"/>
      <x:c r="AH100" s="234"/>
      <x:c r="AI100" s="233"/>
      <x:c r="AJ100" s="233"/>
      <x:c r="AK100" s="233"/>
      <x:c r="AL100" s="236"/>
      <x:c r="AM100" s="233"/>
      <x:c r="AN100" s="233"/>
      <x:c r="AO100" s="234"/>
      <x:c r="AP100" s="234"/>
      <x:c r="AQ100" s="233"/>
      <x:c r="AR100" s="236"/>
      <x:c r="AS100" s="234"/>
      <x:c r="AT100" s="233"/>
      <x:c r="AU100" s="233"/>
      <x:c r="AV100" s="233"/>
      <x:c r="AW100" s="233"/>
      <x:c r="AX100" s="233"/>
      <x:c r="AY100" s="233"/>
      <x:c r="AZ100" s="236"/>
      <x:c r="BA100" s="233"/>
      <x:c r="BB100" s="233"/>
      <x:c r="BC100" s="233"/>
      <x:c r="BD100" s="233"/>
      <x:c r="BE100" s="237" t="str">
        <x:f>IF(AND(A100="",B100="",C100="",E100="",G100="",I100="",M100="",T100="",BB100="",BD100=""),"",IF(B100="skip","SKIP",IF(OR(B100="",A100="",E100="",G100="",I100="",M100="",T100="",COUNTIF($A$6:$A$505,A100)&gt;1,COUNTIF($M$6:$M$505,M100)&gt;1,AND(L100="mobile",N100&lt;&gt;"invalid",OR(LEN(M100)&lt;&gt;10,LEFT(M100,2)&lt;&gt;"09"))),"REVIEW","READY")))</x:f>
      </x:c>
      <x:c r="BF100" s="238" t="str">
        <x:f>IF(BE100="","",IF(BE100="READY","",IF(B100="skip","Skipped by import_action",TRIM(IF(B100="","missing import_action; ","")&amp;IF(A100="","missing migration_customer_key; ","")&amp;IF(AND(A100&lt;&gt;"",COUNTIF($A$6:$A$505,A100)&gt;1),"duplicate migration_customer_key; ","")&amp;IF(E100="","missing branch_id; ","")&amp;IF(G100="","missing first_name; ","")&amp;IF(I100="","missing last_name; ","")&amp;IF(M100="","missing primary_phone; ","")&amp;IF(AND(M100&lt;&gt;"",COUNTIF($M$6:$M$505,M100)&gt;1),"duplicate primary_phone; ","")&amp;IF(AND(L100="mobile",N100&lt;&gt;"invalid",OR(LEN(M100)&lt;&gt;10,LEFT(M100,2)&lt;&gt;"09")),"mobile must be 09XXXXXXXX or status invalid; ","")&amp;IF(T100="","missing neighborhood_id; ","")))))</x:f>
      </x:c>
    </x:row>
    <x:row r="101">
      <x:c r="A101" s="232"/>
      <x:c r="B101" s="233"/>
      <x:c r="C101" s="234"/>
      <x:c r="D101" s="233"/>
      <x:c r="E101" s="233"/>
      <x:c r="F101" s="233"/>
      <x:c r="G101" s="233"/>
      <x:c r="H101" s="233"/>
      <x:c r="I101" s="233"/>
      <x:c r="J101" s="233"/>
      <x:c r="K101" s="233" t="str">
        <x:f>TRIM(G101&amp;" "&amp;H101&amp;" "&amp;I101&amp;IF(J101&lt;&gt;""," ("&amp;J101&amp;")",""))</x:f>
      </x:c>
      <x:c r="L101" s="233"/>
      <x:c r="M101" s="234"/>
      <x:c r="N101" s="233"/>
      <x:c r="O101" s="233"/>
      <x:c r="P101" s="233"/>
      <x:c r="Q101" s="233"/>
      <x:c r="R101" s="233"/>
      <x:c r="S101" s="233"/>
      <x:c r="T101" s="233"/>
      <x:c r="U101" s="233"/>
      <x:c r="V101" s="233"/>
      <x:c r="W101" s="235"/>
      <x:c r="X101" s="235"/>
      <x:c r="Y101" s="233"/>
      <x:c r="Z101" s="233"/>
      <x:c r="AA101" s="233"/>
      <x:c r="AB101" s="233"/>
      <x:c r="AC101" s="236"/>
      <x:c r="AD101" s="233"/>
      <x:c r="AE101" s="233"/>
      <x:c r="AF101" s="233"/>
      <x:c r="AG101" s="233"/>
      <x:c r="AH101" s="234"/>
      <x:c r="AI101" s="233"/>
      <x:c r="AJ101" s="233"/>
      <x:c r="AK101" s="233"/>
      <x:c r="AL101" s="236"/>
      <x:c r="AM101" s="233"/>
      <x:c r="AN101" s="233"/>
      <x:c r="AO101" s="234"/>
      <x:c r="AP101" s="234"/>
      <x:c r="AQ101" s="233"/>
      <x:c r="AR101" s="236"/>
      <x:c r="AS101" s="234"/>
      <x:c r="AT101" s="233"/>
      <x:c r="AU101" s="233"/>
      <x:c r="AV101" s="233"/>
      <x:c r="AW101" s="233"/>
      <x:c r="AX101" s="233"/>
      <x:c r="AY101" s="233"/>
      <x:c r="AZ101" s="236"/>
      <x:c r="BA101" s="233"/>
      <x:c r="BB101" s="233"/>
      <x:c r="BC101" s="233"/>
      <x:c r="BD101" s="233"/>
      <x:c r="BE101" s="237" t="str">
        <x:f>IF(AND(A101="",B101="",C101="",E101="",G101="",I101="",M101="",T101="",BB101="",BD101=""),"",IF(B101="skip","SKIP",IF(OR(B101="",A101="",E101="",G101="",I101="",M101="",T101="",COUNTIF($A$6:$A$505,A101)&gt;1,COUNTIF($M$6:$M$505,M101)&gt;1,AND(L101="mobile",N101&lt;&gt;"invalid",OR(LEN(M101)&lt;&gt;10,LEFT(M101,2)&lt;&gt;"09"))),"REVIEW","READY")))</x:f>
      </x:c>
      <x:c r="BF101" s="238" t="str">
        <x:f>IF(BE101="","",IF(BE101="READY","",IF(B101="skip","Skipped by import_action",TRIM(IF(B101="","missing import_action; ","")&amp;IF(A101="","missing migration_customer_key; ","")&amp;IF(AND(A101&lt;&gt;"",COUNTIF($A$6:$A$505,A101)&gt;1),"duplicate migration_customer_key; ","")&amp;IF(E101="","missing branch_id; ","")&amp;IF(G101="","missing first_name; ","")&amp;IF(I101="","missing last_name; ","")&amp;IF(M101="","missing primary_phone; ","")&amp;IF(AND(M101&lt;&gt;"",COUNTIF($M$6:$M$505,M101)&gt;1),"duplicate primary_phone; ","")&amp;IF(AND(L101="mobile",N101&lt;&gt;"invalid",OR(LEN(M101)&lt;&gt;10,LEFT(M101,2)&lt;&gt;"09")),"mobile must be 09XXXXXXXX or status invalid; ","")&amp;IF(T101="","missing neighborhood_id; ","")))))</x:f>
      </x:c>
    </x:row>
    <x:row r="102">
      <x:c r="A102" s="232"/>
      <x:c r="B102" s="233"/>
      <x:c r="C102" s="234"/>
      <x:c r="D102" s="233"/>
      <x:c r="E102" s="233"/>
      <x:c r="F102" s="233"/>
      <x:c r="G102" s="233"/>
      <x:c r="H102" s="233"/>
      <x:c r="I102" s="233"/>
      <x:c r="J102" s="233"/>
      <x:c r="K102" s="233" t="str">
        <x:f>TRIM(G102&amp;" "&amp;H102&amp;" "&amp;I102&amp;IF(J102&lt;&gt;""," ("&amp;J102&amp;")",""))</x:f>
      </x:c>
      <x:c r="L102" s="233"/>
      <x:c r="M102" s="234"/>
      <x:c r="N102" s="233"/>
      <x:c r="O102" s="233"/>
      <x:c r="P102" s="233"/>
      <x:c r="Q102" s="233"/>
      <x:c r="R102" s="233"/>
      <x:c r="S102" s="233"/>
      <x:c r="T102" s="233"/>
      <x:c r="U102" s="233"/>
      <x:c r="V102" s="233"/>
      <x:c r="W102" s="235"/>
      <x:c r="X102" s="235"/>
      <x:c r="Y102" s="233"/>
      <x:c r="Z102" s="233"/>
      <x:c r="AA102" s="233"/>
      <x:c r="AB102" s="233"/>
      <x:c r="AC102" s="236"/>
      <x:c r="AD102" s="233"/>
      <x:c r="AE102" s="233"/>
      <x:c r="AF102" s="233"/>
      <x:c r="AG102" s="233"/>
      <x:c r="AH102" s="234"/>
      <x:c r="AI102" s="233"/>
      <x:c r="AJ102" s="233"/>
      <x:c r="AK102" s="233"/>
      <x:c r="AL102" s="236"/>
      <x:c r="AM102" s="233"/>
      <x:c r="AN102" s="233"/>
      <x:c r="AO102" s="234"/>
      <x:c r="AP102" s="234"/>
      <x:c r="AQ102" s="233"/>
      <x:c r="AR102" s="236"/>
      <x:c r="AS102" s="234"/>
      <x:c r="AT102" s="233"/>
      <x:c r="AU102" s="233"/>
      <x:c r="AV102" s="233"/>
      <x:c r="AW102" s="233"/>
      <x:c r="AX102" s="233"/>
      <x:c r="AY102" s="233"/>
      <x:c r="AZ102" s="236"/>
      <x:c r="BA102" s="233"/>
      <x:c r="BB102" s="233"/>
      <x:c r="BC102" s="233"/>
      <x:c r="BD102" s="233"/>
      <x:c r="BE102" s="237" t="str">
        <x:f>IF(AND(A102="",B102="",C102="",E102="",G102="",I102="",M102="",T102="",BB102="",BD102=""),"",IF(B102="skip","SKIP",IF(OR(B102="",A102="",E102="",G102="",I102="",M102="",T102="",COUNTIF($A$6:$A$505,A102)&gt;1,COUNTIF($M$6:$M$505,M102)&gt;1,AND(L102="mobile",N102&lt;&gt;"invalid",OR(LEN(M102)&lt;&gt;10,LEFT(M102,2)&lt;&gt;"09"))),"REVIEW","READY")))</x:f>
      </x:c>
      <x:c r="BF102" s="238" t="str">
        <x:f>IF(BE102="","",IF(BE102="READY","",IF(B102="skip","Skipped by import_action",TRIM(IF(B102="","missing import_action; ","")&amp;IF(A102="","missing migration_customer_key; ","")&amp;IF(AND(A102&lt;&gt;"",COUNTIF($A$6:$A$505,A102)&gt;1),"duplicate migration_customer_key; ","")&amp;IF(E102="","missing branch_id; ","")&amp;IF(G102="","missing first_name; ","")&amp;IF(I102="","missing last_name; ","")&amp;IF(M102="","missing primary_phone; ","")&amp;IF(AND(M102&lt;&gt;"",COUNTIF($M$6:$M$505,M102)&gt;1),"duplicate primary_phone; ","")&amp;IF(AND(L102="mobile",N102&lt;&gt;"invalid",OR(LEN(M102)&lt;&gt;10,LEFT(M102,2)&lt;&gt;"09")),"mobile must be 09XXXXXXXX or status invalid; ","")&amp;IF(T102="","missing neighborhood_id; ","")))))</x:f>
      </x:c>
    </x:row>
    <x:row r="103">
      <x:c r="A103" s="232"/>
      <x:c r="B103" s="233"/>
      <x:c r="C103" s="234"/>
      <x:c r="D103" s="233"/>
      <x:c r="E103" s="233"/>
      <x:c r="F103" s="233"/>
      <x:c r="G103" s="233"/>
      <x:c r="H103" s="233"/>
      <x:c r="I103" s="233"/>
      <x:c r="J103" s="233"/>
      <x:c r="K103" s="233" t="str">
        <x:f>TRIM(G103&amp;" "&amp;H103&amp;" "&amp;I103&amp;IF(J103&lt;&gt;""," ("&amp;J103&amp;")",""))</x:f>
      </x:c>
      <x:c r="L103" s="233"/>
      <x:c r="M103" s="234"/>
      <x:c r="N103" s="233"/>
      <x:c r="O103" s="233"/>
      <x:c r="P103" s="233"/>
      <x:c r="Q103" s="233"/>
      <x:c r="R103" s="233"/>
      <x:c r="S103" s="233"/>
      <x:c r="T103" s="233"/>
      <x:c r="U103" s="233"/>
      <x:c r="V103" s="233"/>
      <x:c r="W103" s="235"/>
      <x:c r="X103" s="235"/>
      <x:c r="Y103" s="233"/>
      <x:c r="Z103" s="233"/>
      <x:c r="AA103" s="233"/>
      <x:c r="AB103" s="233"/>
      <x:c r="AC103" s="236"/>
      <x:c r="AD103" s="233"/>
      <x:c r="AE103" s="233"/>
      <x:c r="AF103" s="233"/>
      <x:c r="AG103" s="233"/>
      <x:c r="AH103" s="234"/>
      <x:c r="AI103" s="233"/>
      <x:c r="AJ103" s="233"/>
      <x:c r="AK103" s="233"/>
      <x:c r="AL103" s="236"/>
      <x:c r="AM103" s="233"/>
      <x:c r="AN103" s="233"/>
      <x:c r="AO103" s="234"/>
      <x:c r="AP103" s="234"/>
      <x:c r="AQ103" s="233"/>
      <x:c r="AR103" s="236"/>
      <x:c r="AS103" s="234"/>
      <x:c r="AT103" s="233"/>
      <x:c r="AU103" s="233"/>
      <x:c r="AV103" s="233"/>
      <x:c r="AW103" s="233"/>
      <x:c r="AX103" s="233"/>
      <x:c r="AY103" s="233"/>
      <x:c r="AZ103" s="236"/>
      <x:c r="BA103" s="233"/>
      <x:c r="BB103" s="233"/>
      <x:c r="BC103" s="233"/>
      <x:c r="BD103" s="233"/>
      <x:c r="BE103" s="237" t="str">
        <x:f>IF(AND(A103="",B103="",C103="",E103="",G103="",I103="",M103="",T103="",BB103="",BD103=""),"",IF(B103="skip","SKIP",IF(OR(B103="",A103="",E103="",G103="",I103="",M103="",T103="",COUNTIF($A$6:$A$505,A103)&gt;1,COUNTIF($M$6:$M$505,M103)&gt;1,AND(L103="mobile",N103&lt;&gt;"invalid",OR(LEN(M103)&lt;&gt;10,LEFT(M103,2)&lt;&gt;"09"))),"REVIEW","READY")))</x:f>
      </x:c>
      <x:c r="BF103" s="238" t="str">
        <x:f>IF(BE103="","",IF(BE103="READY","",IF(B103="skip","Skipped by import_action",TRIM(IF(B103="","missing import_action; ","")&amp;IF(A103="","missing migration_customer_key; ","")&amp;IF(AND(A103&lt;&gt;"",COUNTIF($A$6:$A$505,A103)&gt;1),"duplicate migration_customer_key; ","")&amp;IF(E103="","missing branch_id; ","")&amp;IF(G103="","missing first_name; ","")&amp;IF(I103="","missing last_name; ","")&amp;IF(M103="","missing primary_phone; ","")&amp;IF(AND(M103&lt;&gt;"",COUNTIF($M$6:$M$505,M103)&gt;1),"duplicate primary_phone; ","")&amp;IF(AND(L103="mobile",N103&lt;&gt;"invalid",OR(LEN(M103)&lt;&gt;10,LEFT(M103,2)&lt;&gt;"09")),"mobile must be 09XXXXXXXX or status invalid; ","")&amp;IF(T103="","missing neighborhood_id; ","")))))</x:f>
      </x:c>
    </x:row>
    <x:row r="104">
      <x:c r="A104" s="232"/>
      <x:c r="B104" s="233"/>
      <x:c r="C104" s="234"/>
      <x:c r="D104" s="233"/>
      <x:c r="E104" s="233"/>
      <x:c r="F104" s="233"/>
      <x:c r="G104" s="233"/>
      <x:c r="H104" s="233"/>
      <x:c r="I104" s="233"/>
      <x:c r="J104" s="233"/>
      <x:c r="K104" s="233" t="str">
        <x:f>TRIM(G104&amp;" "&amp;H104&amp;" "&amp;I104&amp;IF(J104&lt;&gt;""," ("&amp;J104&amp;")",""))</x:f>
      </x:c>
      <x:c r="L104" s="233"/>
      <x:c r="M104" s="234"/>
      <x:c r="N104" s="233"/>
      <x:c r="O104" s="233"/>
      <x:c r="P104" s="233"/>
      <x:c r="Q104" s="233"/>
      <x:c r="R104" s="233"/>
      <x:c r="S104" s="233"/>
      <x:c r="T104" s="233"/>
      <x:c r="U104" s="233"/>
      <x:c r="V104" s="233"/>
      <x:c r="W104" s="235"/>
      <x:c r="X104" s="235"/>
      <x:c r="Y104" s="233"/>
      <x:c r="Z104" s="233"/>
      <x:c r="AA104" s="233"/>
      <x:c r="AB104" s="233"/>
      <x:c r="AC104" s="236"/>
      <x:c r="AD104" s="233"/>
      <x:c r="AE104" s="233"/>
      <x:c r="AF104" s="233"/>
      <x:c r="AG104" s="233"/>
      <x:c r="AH104" s="234"/>
      <x:c r="AI104" s="233"/>
      <x:c r="AJ104" s="233"/>
      <x:c r="AK104" s="233"/>
      <x:c r="AL104" s="236"/>
      <x:c r="AM104" s="233"/>
      <x:c r="AN104" s="233"/>
      <x:c r="AO104" s="234"/>
      <x:c r="AP104" s="234"/>
      <x:c r="AQ104" s="233"/>
      <x:c r="AR104" s="236"/>
      <x:c r="AS104" s="234"/>
      <x:c r="AT104" s="233"/>
      <x:c r="AU104" s="233"/>
      <x:c r="AV104" s="233"/>
      <x:c r="AW104" s="233"/>
      <x:c r="AX104" s="233"/>
      <x:c r="AY104" s="233"/>
      <x:c r="AZ104" s="236"/>
      <x:c r="BA104" s="233"/>
      <x:c r="BB104" s="233"/>
      <x:c r="BC104" s="233"/>
      <x:c r="BD104" s="233"/>
      <x:c r="BE104" s="237" t="str">
        <x:f>IF(AND(A104="",B104="",C104="",E104="",G104="",I104="",M104="",T104="",BB104="",BD104=""),"",IF(B104="skip","SKIP",IF(OR(B104="",A104="",E104="",G104="",I104="",M104="",T104="",COUNTIF($A$6:$A$505,A104)&gt;1,COUNTIF($M$6:$M$505,M104)&gt;1,AND(L104="mobile",N104&lt;&gt;"invalid",OR(LEN(M104)&lt;&gt;10,LEFT(M104,2)&lt;&gt;"09"))),"REVIEW","READY")))</x:f>
      </x:c>
      <x:c r="BF104" s="238" t="str">
        <x:f>IF(BE104="","",IF(BE104="READY","",IF(B104="skip","Skipped by import_action",TRIM(IF(B104="","missing import_action; ","")&amp;IF(A104="","missing migration_customer_key; ","")&amp;IF(AND(A104&lt;&gt;"",COUNTIF($A$6:$A$505,A104)&gt;1),"duplicate migration_customer_key; ","")&amp;IF(E104="","missing branch_id; ","")&amp;IF(G104="","missing first_name; ","")&amp;IF(I104="","missing last_name; ","")&amp;IF(M104="","missing primary_phone; ","")&amp;IF(AND(M104&lt;&gt;"",COUNTIF($M$6:$M$505,M104)&gt;1),"duplicate primary_phone; ","")&amp;IF(AND(L104="mobile",N104&lt;&gt;"invalid",OR(LEN(M104)&lt;&gt;10,LEFT(M104,2)&lt;&gt;"09")),"mobile must be 09XXXXXXXX or status invalid; ","")&amp;IF(T104="","missing neighborhood_id; ","")))))</x:f>
      </x:c>
    </x:row>
    <x:row r="105">
      <x:c r="A105" s="232"/>
      <x:c r="B105" s="233"/>
      <x:c r="C105" s="234"/>
      <x:c r="D105" s="233"/>
      <x:c r="E105" s="233"/>
      <x:c r="F105" s="233"/>
      <x:c r="G105" s="233"/>
      <x:c r="H105" s="233"/>
      <x:c r="I105" s="233"/>
      <x:c r="J105" s="233"/>
      <x:c r="K105" s="233" t="str">
        <x:f>TRIM(G105&amp;" "&amp;H105&amp;" "&amp;I105&amp;IF(J105&lt;&gt;""," ("&amp;J105&amp;")",""))</x:f>
      </x:c>
      <x:c r="L105" s="233"/>
      <x:c r="M105" s="234"/>
      <x:c r="N105" s="233"/>
      <x:c r="O105" s="233"/>
      <x:c r="P105" s="233"/>
      <x:c r="Q105" s="233"/>
      <x:c r="R105" s="233"/>
      <x:c r="S105" s="233"/>
      <x:c r="T105" s="233"/>
      <x:c r="U105" s="233"/>
      <x:c r="V105" s="233"/>
      <x:c r="W105" s="235"/>
      <x:c r="X105" s="235"/>
      <x:c r="Y105" s="233"/>
      <x:c r="Z105" s="233"/>
      <x:c r="AA105" s="233"/>
      <x:c r="AB105" s="233"/>
      <x:c r="AC105" s="236"/>
      <x:c r="AD105" s="233"/>
      <x:c r="AE105" s="233"/>
      <x:c r="AF105" s="233"/>
      <x:c r="AG105" s="233"/>
      <x:c r="AH105" s="234"/>
      <x:c r="AI105" s="233"/>
      <x:c r="AJ105" s="233"/>
      <x:c r="AK105" s="233"/>
      <x:c r="AL105" s="236"/>
      <x:c r="AM105" s="233"/>
      <x:c r="AN105" s="233"/>
      <x:c r="AO105" s="234"/>
      <x:c r="AP105" s="234"/>
      <x:c r="AQ105" s="233"/>
      <x:c r="AR105" s="236"/>
      <x:c r="AS105" s="234"/>
      <x:c r="AT105" s="233"/>
      <x:c r="AU105" s="233"/>
      <x:c r="AV105" s="233"/>
      <x:c r="AW105" s="233"/>
      <x:c r="AX105" s="233"/>
      <x:c r="AY105" s="233"/>
      <x:c r="AZ105" s="236"/>
      <x:c r="BA105" s="233"/>
      <x:c r="BB105" s="233"/>
      <x:c r="BC105" s="233"/>
      <x:c r="BD105" s="233"/>
      <x:c r="BE105" s="237" t="str">
        <x:f>IF(AND(A105="",B105="",C105="",E105="",G105="",I105="",M105="",T105="",BB105="",BD105=""),"",IF(B105="skip","SKIP",IF(OR(B105="",A105="",E105="",G105="",I105="",M105="",T105="",COUNTIF($A$6:$A$505,A105)&gt;1,COUNTIF($M$6:$M$505,M105)&gt;1,AND(L105="mobile",N105&lt;&gt;"invalid",OR(LEN(M105)&lt;&gt;10,LEFT(M105,2)&lt;&gt;"09"))),"REVIEW","READY")))</x:f>
      </x:c>
      <x:c r="BF105" s="238" t="str">
        <x:f>IF(BE105="","",IF(BE105="READY","",IF(B105="skip","Skipped by import_action",TRIM(IF(B105="","missing import_action; ","")&amp;IF(A105="","missing migration_customer_key; ","")&amp;IF(AND(A105&lt;&gt;"",COUNTIF($A$6:$A$505,A105)&gt;1),"duplicate migration_customer_key; ","")&amp;IF(E105="","missing branch_id; ","")&amp;IF(G105="","missing first_name; ","")&amp;IF(I105="","missing last_name; ","")&amp;IF(M105="","missing primary_phone; ","")&amp;IF(AND(M105&lt;&gt;"",COUNTIF($M$6:$M$505,M105)&gt;1),"duplicate primary_phone; ","")&amp;IF(AND(L105="mobile",N105&lt;&gt;"invalid",OR(LEN(M105)&lt;&gt;10,LEFT(M105,2)&lt;&gt;"09")),"mobile must be 09XXXXXXXX or status invalid; ","")&amp;IF(T105="","missing neighborhood_id; ","")))))</x:f>
      </x:c>
    </x:row>
    <x:row r="106">
      <x:c r="A106" s="232"/>
      <x:c r="B106" s="233"/>
      <x:c r="C106" s="234"/>
      <x:c r="D106" s="233"/>
      <x:c r="E106" s="233"/>
      <x:c r="F106" s="233"/>
      <x:c r="G106" s="233"/>
      <x:c r="H106" s="233"/>
      <x:c r="I106" s="233"/>
      <x:c r="J106" s="233"/>
      <x:c r="K106" s="233" t="str">
        <x:f>TRIM(G106&amp;" "&amp;H106&amp;" "&amp;I106&amp;IF(J106&lt;&gt;""," ("&amp;J106&amp;")",""))</x:f>
      </x:c>
      <x:c r="L106" s="233"/>
      <x:c r="M106" s="234"/>
      <x:c r="N106" s="233"/>
      <x:c r="O106" s="233"/>
      <x:c r="P106" s="233"/>
      <x:c r="Q106" s="233"/>
      <x:c r="R106" s="233"/>
      <x:c r="S106" s="233"/>
      <x:c r="T106" s="233"/>
      <x:c r="U106" s="233"/>
      <x:c r="V106" s="233"/>
      <x:c r="W106" s="235"/>
      <x:c r="X106" s="235"/>
      <x:c r="Y106" s="233"/>
      <x:c r="Z106" s="233"/>
      <x:c r="AA106" s="233"/>
      <x:c r="AB106" s="233"/>
      <x:c r="AC106" s="236"/>
      <x:c r="AD106" s="233"/>
      <x:c r="AE106" s="233"/>
      <x:c r="AF106" s="233"/>
      <x:c r="AG106" s="233"/>
      <x:c r="AH106" s="234"/>
      <x:c r="AI106" s="233"/>
      <x:c r="AJ106" s="233"/>
      <x:c r="AK106" s="233"/>
      <x:c r="AL106" s="236"/>
      <x:c r="AM106" s="233"/>
      <x:c r="AN106" s="233"/>
      <x:c r="AO106" s="234"/>
      <x:c r="AP106" s="234"/>
      <x:c r="AQ106" s="233"/>
      <x:c r="AR106" s="236"/>
      <x:c r="AS106" s="234"/>
      <x:c r="AT106" s="233"/>
      <x:c r="AU106" s="233"/>
      <x:c r="AV106" s="233"/>
      <x:c r="AW106" s="233"/>
      <x:c r="AX106" s="233"/>
      <x:c r="AY106" s="233"/>
      <x:c r="AZ106" s="236"/>
      <x:c r="BA106" s="233"/>
      <x:c r="BB106" s="233"/>
      <x:c r="BC106" s="233"/>
      <x:c r="BD106" s="233"/>
      <x:c r="BE106" s="237" t="str">
        <x:f>IF(AND(A106="",B106="",C106="",E106="",G106="",I106="",M106="",T106="",BB106="",BD106=""),"",IF(B106="skip","SKIP",IF(OR(B106="",A106="",E106="",G106="",I106="",M106="",T106="",COUNTIF($A$6:$A$505,A106)&gt;1,COUNTIF($M$6:$M$505,M106)&gt;1,AND(L106="mobile",N106&lt;&gt;"invalid",OR(LEN(M106)&lt;&gt;10,LEFT(M106,2)&lt;&gt;"09"))),"REVIEW","READY")))</x:f>
      </x:c>
      <x:c r="BF106" s="238" t="str">
        <x:f>IF(BE106="","",IF(BE106="READY","",IF(B106="skip","Skipped by import_action",TRIM(IF(B106="","missing import_action; ","")&amp;IF(A106="","missing migration_customer_key; ","")&amp;IF(AND(A106&lt;&gt;"",COUNTIF($A$6:$A$505,A106)&gt;1),"duplicate migration_customer_key; ","")&amp;IF(E106="","missing branch_id; ","")&amp;IF(G106="","missing first_name; ","")&amp;IF(I106="","missing last_name; ","")&amp;IF(M106="","missing primary_phone; ","")&amp;IF(AND(M106&lt;&gt;"",COUNTIF($M$6:$M$505,M106)&gt;1),"duplicate primary_phone; ","")&amp;IF(AND(L106="mobile",N106&lt;&gt;"invalid",OR(LEN(M106)&lt;&gt;10,LEFT(M106,2)&lt;&gt;"09")),"mobile must be 09XXXXXXXX or status invalid; ","")&amp;IF(T106="","missing neighborhood_id; ","")))))</x:f>
      </x:c>
    </x:row>
    <x:row r="107">
      <x:c r="A107" s="232"/>
      <x:c r="B107" s="233"/>
      <x:c r="C107" s="234"/>
      <x:c r="D107" s="233"/>
      <x:c r="E107" s="233"/>
      <x:c r="F107" s="233"/>
      <x:c r="G107" s="233"/>
      <x:c r="H107" s="233"/>
      <x:c r="I107" s="233"/>
      <x:c r="J107" s="233"/>
      <x:c r="K107" s="233" t="str">
        <x:f>TRIM(G107&amp;" "&amp;H107&amp;" "&amp;I107&amp;IF(J107&lt;&gt;""," ("&amp;J107&amp;")",""))</x:f>
      </x:c>
      <x:c r="L107" s="233"/>
      <x:c r="M107" s="234"/>
      <x:c r="N107" s="233"/>
      <x:c r="O107" s="233"/>
      <x:c r="P107" s="233"/>
      <x:c r="Q107" s="233"/>
      <x:c r="R107" s="233"/>
      <x:c r="S107" s="233"/>
      <x:c r="T107" s="233"/>
      <x:c r="U107" s="233"/>
      <x:c r="V107" s="233"/>
      <x:c r="W107" s="235"/>
      <x:c r="X107" s="235"/>
      <x:c r="Y107" s="233"/>
      <x:c r="Z107" s="233"/>
      <x:c r="AA107" s="233"/>
      <x:c r="AB107" s="233"/>
      <x:c r="AC107" s="236"/>
      <x:c r="AD107" s="233"/>
      <x:c r="AE107" s="233"/>
      <x:c r="AF107" s="233"/>
      <x:c r="AG107" s="233"/>
      <x:c r="AH107" s="234"/>
      <x:c r="AI107" s="233"/>
      <x:c r="AJ107" s="233"/>
      <x:c r="AK107" s="233"/>
      <x:c r="AL107" s="236"/>
      <x:c r="AM107" s="233"/>
      <x:c r="AN107" s="233"/>
      <x:c r="AO107" s="234"/>
      <x:c r="AP107" s="234"/>
      <x:c r="AQ107" s="233"/>
      <x:c r="AR107" s="236"/>
      <x:c r="AS107" s="234"/>
      <x:c r="AT107" s="233"/>
      <x:c r="AU107" s="233"/>
      <x:c r="AV107" s="233"/>
      <x:c r="AW107" s="233"/>
      <x:c r="AX107" s="233"/>
      <x:c r="AY107" s="233"/>
      <x:c r="AZ107" s="236"/>
      <x:c r="BA107" s="233"/>
      <x:c r="BB107" s="233"/>
      <x:c r="BC107" s="233"/>
      <x:c r="BD107" s="233"/>
      <x:c r="BE107" s="237" t="str">
        <x:f>IF(AND(A107="",B107="",C107="",E107="",G107="",I107="",M107="",T107="",BB107="",BD107=""),"",IF(B107="skip","SKIP",IF(OR(B107="",A107="",E107="",G107="",I107="",M107="",T107="",COUNTIF($A$6:$A$505,A107)&gt;1,COUNTIF($M$6:$M$505,M107)&gt;1,AND(L107="mobile",N107&lt;&gt;"invalid",OR(LEN(M107)&lt;&gt;10,LEFT(M107,2)&lt;&gt;"09"))),"REVIEW","READY")))</x:f>
      </x:c>
      <x:c r="BF107" s="238" t="str">
        <x:f>IF(BE107="","",IF(BE107="READY","",IF(B107="skip","Skipped by import_action",TRIM(IF(B107="","missing import_action; ","")&amp;IF(A107="","missing migration_customer_key; ","")&amp;IF(AND(A107&lt;&gt;"",COUNTIF($A$6:$A$505,A107)&gt;1),"duplicate migration_customer_key; ","")&amp;IF(E107="","missing branch_id; ","")&amp;IF(G107="","missing first_name; ","")&amp;IF(I107="","missing last_name; ","")&amp;IF(M107="","missing primary_phone; ","")&amp;IF(AND(M107&lt;&gt;"",COUNTIF($M$6:$M$505,M107)&gt;1),"duplicate primary_phone; ","")&amp;IF(AND(L107="mobile",N107&lt;&gt;"invalid",OR(LEN(M107)&lt;&gt;10,LEFT(M107,2)&lt;&gt;"09")),"mobile must be 09XXXXXXXX or status invalid; ","")&amp;IF(T107="","missing neighborhood_id; ","")))))</x:f>
      </x:c>
    </x:row>
    <x:row r="108">
      <x:c r="A108" s="232"/>
      <x:c r="B108" s="233"/>
      <x:c r="C108" s="234"/>
      <x:c r="D108" s="233"/>
      <x:c r="E108" s="233"/>
      <x:c r="F108" s="233"/>
      <x:c r="G108" s="233"/>
      <x:c r="H108" s="233"/>
      <x:c r="I108" s="233"/>
      <x:c r="J108" s="233"/>
      <x:c r="K108" s="233" t="str">
        <x:f>TRIM(G108&amp;" "&amp;H108&amp;" "&amp;I108&amp;IF(J108&lt;&gt;""," ("&amp;J108&amp;")",""))</x:f>
      </x:c>
      <x:c r="L108" s="233"/>
      <x:c r="M108" s="234"/>
      <x:c r="N108" s="233"/>
      <x:c r="O108" s="233"/>
      <x:c r="P108" s="233"/>
      <x:c r="Q108" s="233"/>
      <x:c r="R108" s="233"/>
      <x:c r="S108" s="233"/>
      <x:c r="T108" s="233"/>
      <x:c r="U108" s="233"/>
      <x:c r="V108" s="233"/>
      <x:c r="W108" s="235"/>
      <x:c r="X108" s="235"/>
      <x:c r="Y108" s="233"/>
      <x:c r="Z108" s="233"/>
      <x:c r="AA108" s="233"/>
      <x:c r="AB108" s="233"/>
      <x:c r="AC108" s="236"/>
      <x:c r="AD108" s="233"/>
      <x:c r="AE108" s="233"/>
      <x:c r="AF108" s="233"/>
      <x:c r="AG108" s="233"/>
      <x:c r="AH108" s="234"/>
      <x:c r="AI108" s="233"/>
      <x:c r="AJ108" s="233"/>
      <x:c r="AK108" s="233"/>
      <x:c r="AL108" s="236"/>
      <x:c r="AM108" s="233"/>
      <x:c r="AN108" s="233"/>
      <x:c r="AO108" s="234"/>
      <x:c r="AP108" s="234"/>
      <x:c r="AQ108" s="233"/>
      <x:c r="AR108" s="236"/>
      <x:c r="AS108" s="234"/>
      <x:c r="AT108" s="233"/>
      <x:c r="AU108" s="233"/>
      <x:c r="AV108" s="233"/>
      <x:c r="AW108" s="233"/>
      <x:c r="AX108" s="233"/>
      <x:c r="AY108" s="233"/>
      <x:c r="AZ108" s="236"/>
      <x:c r="BA108" s="233"/>
      <x:c r="BB108" s="233"/>
      <x:c r="BC108" s="233"/>
      <x:c r="BD108" s="233"/>
      <x:c r="BE108" s="237" t="str">
        <x:f>IF(AND(A108="",B108="",C108="",E108="",G108="",I108="",M108="",T108="",BB108="",BD108=""),"",IF(B108="skip","SKIP",IF(OR(B108="",A108="",E108="",G108="",I108="",M108="",T108="",COUNTIF($A$6:$A$505,A108)&gt;1,COUNTIF($M$6:$M$505,M108)&gt;1,AND(L108="mobile",N108&lt;&gt;"invalid",OR(LEN(M108)&lt;&gt;10,LEFT(M108,2)&lt;&gt;"09"))),"REVIEW","READY")))</x:f>
      </x:c>
      <x:c r="BF108" s="238" t="str">
        <x:f>IF(BE108="","",IF(BE108="READY","",IF(B108="skip","Skipped by import_action",TRIM(IF(B108="","missing import_action; ","")&amp;IF(A108="","missing migration_customer_key; ","")&amp;IF(AND(A108&lt;&gt;"",COUNTIF($A$6:$A$505,A108)&gt;1),"duplicate migration_customer_key; ","")&amp;IF(E108="","missing branch_id; ","")&amp;IF(G108="","missing first_name; ","")&amp;IF(I108="","missing last_name; ","")&amp;IF(M108="","missing primary_phone; ","")&amp;IF(AND(M108&lt;&gt;"",COUNTIF($M$6:$M$505,M108)&gt;1),"duplicate primary_phone; ","")&amp;IF(AND(L108="mobile",N108&lt;&gt;"invalid",OR(LEN(M108)&lt;&gt;10,LEFT(M108,2)&lt;&gt;"09")),"mobile must be 09XXXXXXXX or status invalid; ","")&amp;IF(T108="","missing neighborhood_id; ","")))))</x:f>
      </x:c>
    </x:row>
    <x:row r="109">
      <x:c r="A109" s="232"/>
      <x:c r="B109" s="233"/>
      <x:c r="C109" s="234"/>
      <x:c r="D109" s="233"/>
      <x:c r="E109" s="233"/>
      <x:c r="F109" s="233"/>
      <x:c r="G109" s="233"/>
      <x:c r="H109" s="233"/>
      <x:c r="I109" s="233"/>
      <x:c r="J109" s="233"/>
      <x:c r="K109" s="233" t="str">
        <x:f>TRIM(G109&amp;" "&amp;H109&amp;" "&amp;I109&amp;IF(J109&lt;&gt;""," ("&amp;J109&amp;")",""))</x:f>
      </x:c>
      <x:c r="L109" s="233"/>
      <x:c r="M109" s="234"/>
      <x:c r="N109" s="233"/>
      <x:c r="O109" s="233"/>
      <x:c r="P109" s="233"/>
      <x:c r="Q109" s="233"/>
      <x:c r="R109" s="233"/>
      <x:c r="S109" s="233"/>
      <x:c r="T109" s="233"/>
      <x:c r="U109" s="233"/>
      <x:c r="V109" s="233"/>
      <x:c r="W109" s="235"/>
      <x:c r="X109" s="235"/>
      <x:c r="Y109" s="233"/>
      <x:c r="Z109" s="233"/>
      <x:c r="AA109" s="233"/>
      <x:c r="AB109" s="233"/>
      <x:c r="AC109" s="236"/>
      <x:c r="AD109" s="233"/>
      <x:c r="AE109" s="233"/>
      <x:c r="AF109" s="233"/>
      <x:c r="AG109" s="233"/>
      <x:c r="AH109" s="234"/>
      <x:c r="AI109" s="233"/>
      <x:c r="AJ109" s="233"/>
      <x:c r="AK109" s="233"/>
      <x:c r="AL109" s="236"/>
      <x:c r="AM109" s="233"/>
      <x:c r="AN109" s="233"/>
      <x:c r="AO109" s="234"/>
      <x:c r="AP109" s="234"/>
      <x:c r="AQ109" s="233"/>
      <x:c r="AR109" s="236"/>
      <x:c r="AS109" s="234"/>
      <x:c r="AT109" s="233"/>
      <x:c r="AU109" s="233"/>
      <x:c r="AV109" s="233"/>
      <x:c r="AW109" s="233"/>
      <x:c r="AX109" s="233"/>
      <x:c r="AY109" s="233"/>
      <x:c r="AZ109" s="236"/>
      <x:c r="BA109" s="233"/>
      <x:c r="BB109" s="233"/>
      <x:c r="BC109" s="233"/>
      <x:c r="BD109" s="233"/>
      <x:c r="BE109" s="237" t="str">
        <x:f>IF(AND(A109="",B109="",C109="",E109="",G109="",I109="",M109="",T109="",BB109="",BD109=""),"",IF(B109="skip","SKIP",IF(OR(B109="",A109="",E109="",G109="",I109="",M109="",T109="",COUNTIF($A$6:$A$505,A109)&gt;1,COUNTIF($M$6:$M$505,M109)&gt;1,AND(L109="mobile",N109&lt;&gt;"invalid",OR(LEN(M109)&lt;&gt;10,LEFT(M109,2)&lt;&gt;"09"))),"REVIEW","READY")))</x:f>
      </x:c>
      <x:c r="BF109" s="238" t="str">
        <x:f>IF(BE109="","",IF(BE109="READY","",IF(B109="skip","Skipped by import_action",TRIM(IF(B109="","missing import_action; ","")&amp;IF(A109="","missing migration_customer_key; ","")&amp;IF(AND(A109&lt;&gt;"",COUNTIF($A$6:$A$505,A109)&gt;1),"duplicate migration_customer_key; ","")&amp;IF(E109="","missing branch_id; ","")&amp;IF(G109="","missing first_name; ","")&amp;IF(I109="","missing last_name; ","")&amp;IF(M109="","missing primary_phone; ","")&amp;IF(AND(M109&lt;&gt;"",COUNTIF($M$6:$M$505,M109)&gt;1),"duplicate primary_phone; ","")&amp;IF(AND(L109="mobile",N109&lt;&gt;"invalid",OR(LEN(M109)&lt;&gt;10,LEFT(M109,2)&lt;&gt;"09")),"mobile must be 09XXXXXXXX or status invalid; ","")&amp;IF(T109="","missing neighborhood_id; ","")))))</x:f>
      </x:c>
    </x:row>
    <x:row r="110">
      <x:c r="A110" s="232"/>
      <x:c r="B110" s="233"/>
      <x:c r="C110" s="234"/>
      <x:c r="D110" s="233"/>
      <x:c r="E110" s="233"/>
      <x:c r="F110" s="233"/>
      <x:c r="G110" s="233"/>
      <x:c r="H110" s="233"/>
      <x:c r="I110" s="233"/>
      <x:c r="J110" s="233"/>
      <x:c r="K110" s="233" t="str">
        <x:f>TRIM(G110&amp;" "&amp;H110&amp;" "&amp;I110&amp;IF(J110&lt;&gt;""," ("&amp;J110&amp;")",""))</x:f>
      </x:c>
      <x:c r="L110" s="233"/>
      <x:c r="M110" s="234"/>
      <x:c r="N110" s="233"/>
      <x:c r="O110" s="233"/>
      <x:c r="P110" s="233"/>
      <x:c r="Q110" s="233"/>
      <x:c r="R110" s="233"/>
      <x:c r="S110" s="233"/>
      <x:c r="T110" s="233"/>
      <x:c r="U110" s="233"/>
      <x:c r="V110" s="233"/>
      <x:c r="W110" s="235"/>
      <x:c r="X110" s="235"/>
      <x:c r="Y110" s="233"/>
      <x:c r="Z110" s="233"/>
      <x:c r="AA110" s="233"/>
      <x:c r="AB110" s="233"/>
      <x:c r="AC110" s="236"/>
      <x:c r="AD110" s="233"/>
      <x:c r="AE110" s="233"/>
      <x:c r="AF110" s="233"/>
      <x:c r="AG110" s="233"/>
      <x:c r="AH110" s="234"/>
      <x:c r="AI110" s="233"/>
      <x:c r="AJ110" s="233"/>
      <x:c r="AK110" s="233"/>
      <x:c r="AL110" s="236"/>
      <x:c r="AM110" s="233"/>
      <x:c r="AN110" s="233"/>
      <x:c r="AO110" s="234"/>
      <x:c r="AP110" s="234"/>
      <x:c r="AQ110" s="233"/>
      <x:c r="AR110" s="236"/>
      <x:c r="AS110" s="234"/>
      <x:c r="AT110" s="233"/>
      <x:c r="AU110" s="233"/>
      <x:c r="AV110" s="233"/>
      <x:c r="AW110" s="233"/>
      <x:c r="AX110" s="233"/>
      <x:c r="AY110" s="233"/>
      <x:c r="AZ110" s="236"/>
      <x:c r="BA110" s="233"/>
      <x:c r="BB110" s="233"/>
      <x:c r="BC110" s="233"/>
      <x:c r="BD110" s="233"/>
      <x:c r="BE110" s="237" t="str">
        <x:f>IF(AND(A110="",B110="",C110="",E110="",G110="",I110="",M110="",T110="",BB110="",BD110=""),"",IF(B110="skip","SKIP",IF(OR(B110="",A110="",E110="",G110="",I110="",M110="",T110="",COUNTIF($A$6:$A$505,A110)&gt;1,COUNTIF($M$6:$M$505,M110)&gt;1,AND(L110="mobile",N110&lt;&gt;"invalid",OR(LEN(M110)&lt;&gt;10,LEFT(M110,2)&lt;&gt;"09"))),"REVIEW","READY")))</x:f>
      </x:c>
      <x:c r="BF110" s="238" t="str">
        <x:f>IF(BE110="","",IF(BE110="READY","",IF(B110="skip","Skipped by import_action",TRIM(IF(B110="","missing import_action; ","")&amp;IF(A110="","missing migration_customer_key; ","")&amp;IF(AND(A110&lt;&gt;"",COUNTIF($A$6:$A$505,A110)&gt;1),"duplicate migration_customer_key; ","")&amp;IF(E110="","missing branch_id; ","")&amp;IF(G110="","missing first_name; ","")&amp;IF(I110="","missing last_name; ","")&amp;IF(M110="","missing primary_phone; ","")&amp;IF(AND(M110&lt;&gt;"",COUNTIF($M$6:$M$505,M110)&gt;1),"duplicate primary_phone; ","")&amp;IF(AND(L110="mobile",N110&lt;&gt;"invalid",OR(LEN(M110)&lt;&gt;10,LEFT(M110,2)&lt;&gt;"09")),"mobile must be 09XXXXXXXX or status invalid; ","")&amp;IF(T110="","missing neighborhood_id; ","")))))</x:f>
      </x:c>
    </x:row>
    <x:row r="111">
      <x:c r="A111" s="232"/>
      <x:c r="B111" s="233"/>
      <x:c r="C111" s="234"/>
      <x:c r="D111" s="233"/>
      <x:c r="E111" s="233"/>
      <x:c r="F111" s="233"/>
      <x:c r="G111" s="233"/>
      <x:c r="H111" s="233"/>
      <x:c r="I111" s="233"/>
      <x:c r="J111" s="233"/>
      <x:c r="K111" s="233" t="str">
        <x:f>TRIM(G111&amp;" "&amp;H111&amp;" "&amp;I111&amp;IF(J111&lt;&gt;""," ("&amp;J111&amp;")",""))</x:f>
      </x:c>
      <x:c r="L111" s="233"/>
      <x:c r="M111" s="234"/>
      <x:c r="N111" s="233"/>
      <x:c r="O111" s="233"/>
      <x:c r="P111" s="233"/>
      <x:c r="Q111" s="233"/>
      <x:c r="R111" s="233"/>
      <x:c r="S111" s="233"/>
      <x:c r="T111" s="233"/>
      <x:c r="U111" s="233"/>
      <x:c r="V111" s="233"/>
      <x:c r="W111" s="235"/>
      <x:c r="X111" s="235"/>
      <x:c r="Y111" s="233"/>
      <x:c r="Z111" s="233"/>
      <x:c r="AA111" s="233"/>
      <x:c r="AB111" s="233"/>
      <x:c r="AC111" s="236"/>
      <x:c r="AD111" s="233"/>
      <x:c r="AE111" s="233"/>
      <x:c r="AF111" s="233"/>
      <x:c r="AG111" s="233"/>
      <x:c r="AH111" s="234"/>
      <x:c r="AI111" s="233"/>
      <x:c r="AJ111" s="233"/>
      <x:c r="AK111" s="233"/>
      <x:c r="AL111" s="236"/>
      <x:c r="AM111" s="233"/>
      <x:c r="AN111" s="233"/>
      <x:c r="AO111" s="234"/>
      <x:c r="AP111" s="234"/>
      <x:c r="AQ111" s="233"/>
      <x:c r="AR111" s="236"/>
      <x:c r="AS111" s="234"/>
      <x:c r="AT111" s="233"/>
      <x:c r="AU111" s="233"/>
      <x:c r="AV111" s="233"/>
      <x:c r="AW111" s="233"/>
      <x:c r="AX111" s="233"/>
      <x:c r="AY111" s="233"/>
      <x:c r="AZ111" s="236"/>
      <x:c r="BA111" s="233"/>
      <x:c r="BB111" s="233"/>
      <x:c r="BC111" s="233"/>
      <x:c r="BD111" s="233"/>
      <x:c r="BE111" s="237" t="str">
        <x:f>IF(AND(A111="",B111="",C111="",E111="",G111="",I111="",M111="",T111="",BB111="",BD111=""),"",IF(B111="skip","SKIP",IF(OR(B111="",A111="",E111="",G111="",I111="",M111="",T111="",COUNTIF($A$6:$A$505,A111)&gt;1,COUNTIF($M$6:$M$505,M111)&gt;1,AND(L111="mobile",N111&lt;&gt;"invalid",OR(LEN(M111)&lt;&gt;10,LEFT(M111,2)&lt;&gt;"09"))),"REVIEW","READY")))</x:f>
      </x:c>
      <x:c r="BF111" s="238" t="str">
        <x:f>IF(BE111="","",IF(BE111="READY","",IF(B111="skip","Skipped by import_action",TRIM(IF(B111="","missing import_action; ","")&amp;IF(A111="","missing migration_customer_key; ","")&amp;IF(AND(A111&lt;&gt;"",COUNTIF($A$6:$A$505,A111)&gt;1),"duplicate migration_customer_key; ","")&amp;IF(E111="","missing branch_id; ","")&amp;IF(G111="","missing first_name; ","")&amp;IF(I111="","missing last_name; ","")&amp;IF(M111="","missing primary_phone; ","")&amp;IF(AND(M111&lt;&gt;"",COUNTIF($M$6:$M$505,M111)&gt;1),"duplicate primary_phone; ","")&amp;IF(AND(L111="mobile",N111&lt;&gt;"invalid",OR(LEN(M111)&lt;&gt;10,LEFT(M111,2)&lt;&gt;"09")),"mobile must be 09XXXXXXXX or status invalid; ","")&amp;IF(T111="","missing neighborhood_id; ","")))))</x:f>
      </x:c>
    </x:row>
    <x:row r="112">
      <x:c r="A112" s="232"/>
      <x:c r="B112" s="233"/>
      <x:c r="C112" s="234"/>
      <x:c r="D112" s="233"/>
      <x:c r="E112" s="233"/>
      <x:c r="F112" s="233"/>
      <x:c r="G112" s="233"/>
      <x:c r="H112" s="233"/>
      <x:c r="I112" s="233"/>
      <x:c r="J112" s="233"/>
      <x:c r="K112" s="233" t="str">
        <x:f>TRIM(G112&amp;" "&amp;H112&amp;" "&amp;I112&amp;IF(J112&lt;&gt;""," ("&amp;J112&amp;")",""))</x:f>
      </x:c>
      <x:c r="L112" s="233"/>
      <x:c r="M112" s="234"/>
      <x:c r="N112" s="233"/>
      <x:c r="O112" s="233"/>
      <x:c r="P112" s="233"/>
      <x:c r="Q112" s="233"/>
      <x:c r="R112" s="233"/>
      <x:c r="S112" s="233"/>
      <x:c r="T112" s="233"/>
      <x:c r="U112" s="233"/>
      <x:c r="V112" s="233"/>
      <x:c r="W112" s="235"/>
      <x:c r="X112" s="235"/>
      <x:c r="Y112" s="233"/>
      <x:c r="Z112" s="233"/>
      <x:c r="AA112" s="233"/>
      <x:c r="AB112" s="233"/>
      <x:c r="AC112" s="236"/>
      <x:c r="AD112" s="233"/>
      <x:c r="AE112" s="233"/>
      <x:c r="AF112" s="233"/>
      <x:c r="AG112" s="233"/>
      <x:c r="AH112" s="234"/>
      <x:c r="AI112" s="233"/>
      <x:c r="AJ112" s="233"/>
      <x:c r="AK112" s="233"/>
      <x:c r="AL112" s="236"/>
      <x:c r="AM112" s="233"/>
      <x:c r="AN112" s="233"/>
      <x:c r="AO112" s="234"/>
      <x:c r="AP112" s="234"/>
      <x:c r="AQ112" s="233"/>
      <x:c r="AR112" s="236"/>
      <x:c r="AS112" s="234"/>
      <x:c r="AT112" s="233"/>
      <x:c r="AU112" s="233"/>
      <x:c r="AV112" s="233"/>
      <x:c r="AW112" s="233"/>
      <x:c r="AX112" s="233"/>
      <x:c r="AY112" s="233"/>
      <x:c r="AZ112" s="236"/>
      <x:c r="BA112" s="233"/>
      <x:c r="BB112" s="233"/>
      <x:c r="BC112" s="233"/>
      <x:c r="BD112" s="233"/>
      <x:c r="BE112" s="237" t="str">
        <x:f>IF(AND(A112="",B112="",C112="",E112="",G112="",I112="",M112="",T112="",BB112="",BD112=""),"",IF(B112="skip","SKIP",IF(OR(B112="",A112="",E112="",G112="",I112="",M112="",T112="",COUNTIF($A$6:$A$505,A112)&gt;1,COUNTIF($M$6:$M$505,M112)&gt;1,AND(L112="mobile",N112&lt;&gt;"invalid",OR(LEN(M112)&lt;&gt;10,LEFT(M112,2)&lt;&gt;"09"))),"REVIEW","READY")))</x:f>
      </x:c>
      <x:c r="BF112" s="238" t="str">
        <x:f>IF(BE112="","",IF(BE112="READY","",IF(B112="skip","Skipped by import_action",TRIM(IF(B112="","missing import_action; ","")&amp;IF(A112="","missing migration_customer_key; ","")&amp;IF(AND(A112&lt;&gt;"",COUNTIF($A$6:$A$505,A112)&gt;1),"duplicate migration_customer_key; ","")&amp;IF(E112="","missing branch_id; ","")&amp;IF(G112="","missing first_name; ","")&amp;IF(I112="","missing last_name; ","")&amp;IF(M112="","missing primary_phone; ","")&amp;IF(AND(M112&lt;&gt;"",COUNTIF($M$6:$M$505,M112)&gt;1),"duplicate primary_phone; ","")&amp;IF(AND(L112="mobile",N112&lt;&gt;"invalid",OR(LEN(M112)&lt;&gt;10,LEFT(M112,2)&lt;&gt;"09")),"mobile must be 09XXXXXXXX or status invalid; ","")&amp;IF(T112="","missing neighborhood_id; ","")))))</x:f>
      </x:c>
    </x:row>
    <x:row r="113">
      <x:c r="A113" s="232"/>
      <x:c r="B113" s="233"/>
      <x:c r="C113" s="234"/>
      <x:c r="D113" s="233"/>
      <x:c r="E113" s="233"/>
      <x:c r="F113" s="233"/>
      <x:c r="G113" s="233"/>
      <x:c r="H113" s="233"/>
      <x:c r="I113" s="233"/>
      <x:c r="J113" s="233"/>
      <x:c r="K113" s="233" t="str">
        <x:f>TRIM(G113&amp;" "&amp;H113&amp;" "&amp;I113&amp;IF(J113&lt;&gt;""," ("&amp;J113&amp;")",""))</x:f>
      </x:c>
      <x:c r="L113" s="233"/>
      <x:c r="M113" s="234"/>
      <x:c r="N113" s="233"/>
      <x:c r="O113" s="233"/>
      <x:c r="P113" s="233"/>
      <x:c r="Q113" s="233"/>
      <x:c r="R113" s="233"/>
      <x:c r="S113" s="233"/>
      <x:c r="T113" s="233"/>
      <x:c r="U113" s="233"/>
      <x:c r="V113" s="233"/>
      <x:c r="W113" s="235"/>
      <x:c r="X113" s="235"/>
      <x:c r="Y113" s="233"/>
      <x:c r="Z113" s="233"/>
      <x:c r="AA113" s="233"/>
      <x:c r="AB113" s="233"/>
      <x:c r="AC113" s="236"/>
      <x:c r="AD113" s="233"/>
      <x:c r="AE113" s="233"/>
      <x:c r="AF113" s="233"/>
      <x:c r="AG113" s="233"/>
      <x:c r="AH113" s="234"/>
      <x:c r="AI113" s="233"/>
      <x:c r="AJ113" s="233"/>
      <x:c r="AK113" s="233"/>
      <x:c r="AL113" s="236"/>
      <x:c r="AM113" s="233"/>
      <x:c r="AN113" s="233"/>
      <x:c r="AO113" s="234"/>
      <x:c r="AP113" s="234"/>
      <x:c r="AQ113" s="233"/>
      <x:c r="AR113" s="236"/>
      <x:c r="AS113" s="234"/>
      <x:c r="AT113" s="233"/>
      <x:c r="AU113" s="233"/>
      <x:c r="AV113" s="233"/>
      <x:c r="AW113" s="233"/>
      <x:c r="AX113" s="233"/>
      <x:c r="AY113" s="233"/>
      <x:c r="AZ113" s="236"/>
      <x:c r="BA113" s="233"/>
      <x:c r="BB113" s="233"/>
      <x:c r="BC113" s="233"/>
      <x:c r="BD113" s="233"/>
      <x:c r="BE113" s="237" t="str">
        <x:f>IF(AND(A113="",B113="",C113="",E113="",G113="",I113="",M113="",T113="",BB113="",BD113=""),"",IF(B113="skip","SKIP",IF(OR(B113="",A113="",E113="",G113="",I113="",M113="",T113="",COUNTIF($A$6:$A$505,A113)&gt;1,COUNTIF($M$6:$M$505,M113)&gt;1,AND(L113="mobile",N113&lt;&gt;"invalid",OR(LEN(M113)&lt;&gt;10,LEFT(M113,2)&lt;&gt;"09"))),"REVIEW","READY")))</x:f>
      </x:c>
      <x:c r="BF113" s="238" t="str">
        <x:f>IF(BE113="","",IF(BE113="READY","",IF(B113="skip","Skipped by import_action",TRIM(IF(B113="","missing import_action; ","")&amp;IF(A113="","missing migration_customer_key; ","")&amp;IF(AND(A113&lt;&gt;"",COUNTIF($A$6:$A$505,A113)&gt;1),"duplicate migration_customer_key; ","")&amp;IF(E113="","missing branch_id; ","")&amp;IF(G113="","missing first_name; ","")&amp;IF(I113="","missing last_name; ","")&amp;IF(M113="","missing primary_phone; ","")&amp;IF(AND(M113&lt;&gt;"",COUNTIF($M$6:$M$505,M113)&gt;1),"duplicate primary_phone; ","")&amp;IF(AND(L113="mobile",N113&lt;&gt;"invalid",OR(LEN(M113)&lt;&gt;10,LEFT(M113,2)&lt;&gt;"09")),"mobile must be 09XXXXXXXX or status invalid; ","")&amp;IF(T113="","missing neighborhood_id; ","")))))</x:f>
      </x:c>
    </x:row>
    <x:row r="114">
      <x:c r="A114" s="232"/>
      <x:c r="B114" s="233"/>
      <x:c r="C114" s="234"/>
      <x:c r="D114" s="233"/>
      <x:c r="E114" s="233"/>
      <x:c r="F114" s="233"/>
      <x:c r="G114" s="233"/>
      <x:c r="H114" s="233"/>
      <x:c r="I114" s="233"/>
      <x:c r="J114" s="233"/>
      <x:c r="K114" s="233" t="str">
        <x:f>TRIM(G114&amp;" "&amp;H114&amp;" "&amp;I114&amp;IF(J114&lt;&gt;""," ("&amp;J114&amp;")",""))</x:f>
      </x:c>
      <x:c r="L114" s="233"/>
      <x:c r="M114" s="234"/>
      <x:c r="N114" s="233"/>
      <x:c r="O114" s="233"/>
      <x:c r="P114" s="233"/>
      <x:c r="Q114" s="233"/>
      <x:c r="R114" s="233"/>
      <x:c r="S114" s="233"/>
      <x:c r="T114" s="233"/>
      <x:c r="U114" s="233"/>
      <x:c r="V114" s="233"/>
      <x:c r="W114" s="235"/>
      <x:c r="X114" s="235"/>
      <x:c r="Y114" s="233"/>
      <x:c r="Z114" s="233"/>
      <x:c r="AA114" s="233"/>
      <x:c r="AB114" s="233"/>
      <x:c r="AC114" s="236"/>
      <x:c r="AD114" s="233"/>
      <x:c r="AE114" s="233"/>
      <x:c r="AF114" s="233"/>
      <x:c r="AG114" s="233"/>
      <x:c r="AH114" s="234"/>
      <x:c r="AI114" s="233"/>
      <x:c r="AJ114" s="233"/>
      <x:c r="AK114" s="233"/>
      <x:c r="AL114" s="236"/>
      <x:c r="AM114" s="233"/>
      <x:c r="AN114" s="233"/>
      <x:c r="AO114" s="234"/>
      <x:c r="AP114" s="234"/>
      <x:c r="AQ114" s="233"/>
      <x:c r="AR114" s="236"/>
      <x:c r="AS114" s="234"/>
      <x:c r="AT114" s="233"/>
      <x:c r="AU114" s="233"/>
      <x:c r="AV114" s="233"/>
      <x:c r="AW114" s="233"/>
      <x:c r="AX114" s="233"/>
      <x:c r="AY114" s="233"/>
      <x:c r="AZ114" s="236"/>
      <x:c r="BA114" s="233"/>
      <x:c r="BB114" s="233"/>
      <x:c r="BC114" s="233"/>
      <x:c r="BD114" s="233"/>
      <x:c r="BE114" s="237" t="str">
        <x:f>IF(AND(A114="",B114="",C114="",E114="",G114="",I114="",M114="",T114="",BB114="",BD114=""),"",IF(B114="skip","SKIP",IF(OR(B114="",A114="",E114="",G114="",I114="",M114="",T114="",COUNTIF($A$6:$A$505,A114)&gt;1,COUNTIF($M$6:$M$505,M114)&gt;1,AND(L114="mobile",N114&lt;&gt;"invalid",OR(LEN(M114)&lt;&gt;10,LEFT(M114,2)&lt;&gt;"09"))),"REVIEW","READY")))</x:f>
      </x:c>
      <x:c r="BF114" s="238" t="str">
        <x:f>IF(BE114="","",IF(BE114="READY","",IF(B114="skip","Skipped by import_action",TRIM(IF(B114="","missing import_action; ","")&amp;IF(A114="","missing migration_customer_key; ","")&amp;IF(AND(A114&lt;&gt;"",COUNTIF($A$6:$A$505,A114)&gt;1),"duplicate migration_customer_key; ","")&amp;IF(E114="","missing branch_id; ","")&amp;IF(G114="","missing first_name; ","")&amp;IF(I114="","missing last_name; ","")&amp;IF(M114="","missing primary_phone; ","")&amp;IF(AND(M114&lt;&gt;"",COUNTIF($M$6:$M$505,M114)&gt;1),"duplicate primary_phone; ","")&amp;IF(AND(L114="mobile",N114&lt;&gt;"invalid",OR(LEN(M114)&lt;&gt;10,LEFT(M114,2)&lt;&gt;"09")),"mobile must be 09XXXXXXXX or status invalid; ","")&amp;IF(T114="","missing neighborhood_id; ","")))))</x:f>
      </x:c>
    </x:row>
    <x:row r="115">
      <x:c r="A115" s="232"/>
      <x:c r="B115" s="233"/>
      <x:c r="C115" s="234"/>
      <x:c r="D115" s="233"/>
      <x:c r="E115" s="233"/>
      <x:c r="F115" s="233"/>
      <x:c r="G115" s="233"/>
      <x:c r="H115" s="233"/>
      <x:c r="I115" s="233"/>
      <x:c r="J115" s="233"/>
      <x:c r="K115" s="233" t="str">
        <x:f>TRIM(G115&amp;" "&amp;H115&amp;" "&amp;I115&amp;IF(J115&lt;&gt;""," ("&amp;J115&amp;")",""))</x:f>
      </x:c>
      <x:c r="L115" s="233"/>
      <x:c r="M115" s="234"/>
      <x:c r="N115" s="233"/>
      <x:c r="O115" s="233"/>
      <x:c r="P115" s="233"/>
      <x:c r="Q115" s="233"/>
      <x:c r="R115" s="233"/>
      <x:c r="S115" s="233"/>
      <x:c r="T115" s="233"/>
      <x:c r="U115" s="233"/>
      <x:c r="V115" s="233"/>
      <x:c r="W115" s="235"/>
      <x:c r="X115" s="235"/>
      <x:c r="Y115" s="233"/>
      <x:c r="Z115" s="233"/>
      <x:c r="AA115" s="233"/>
      <x:c r="AB115" s="233"/>
      <x:c r="AC115" s="236"/>
      <x:c r="AD115" s="233"/>
      <x:c r="AE115" s="233"/>
      <x:c r="AF115" s="233"/>
      <x:c r="AG115" s="233"/>
      <x:c r="AH115" s="234"/>
      <x:c r="AI115" s="233"/>
      <x:c r="AJ115" s="233"/>
      <x:c r="AK115" s="233"/>
      <x:c r="AL115" s="236"/>
      <x:c r="AM115" s="233"/>
      <x:c r="AN115" s="233"/>
      <x:c r="AO115" s="234"/>
      <x:c r="AP115" s="234"/>
      <x:c r="AQ115" s="233"/>
      <x:c r="AR115" s="236"/>
      <x:c r="AS115" s="234"/>
      <x:c r="AT115" s="233"/>
      <x:c r="AU115" s="233"/>
      <x:c r="AV115" s="233"/>
      <x:c r="AW115" s="233"/>
      <x:c r="AX115" s="233"/>
      <x:c r="AY115" s="233"/>
      <x:c r="AZ115" s="236"/>
      <x:c r="BA115" s="233"/>
      <x:c r="BB115" s="233"/>
      <x:c r="BC115" s="233"/>
      <x:c r="BD115" s="233"/>
      <x:c r="BE115" s="237" t="str">
        <x:f>IF(AND(A115="",B115="",C115="",E115="",G115="",I115="",M115="",T115="",BB115="",BD115=""),"",IF(B115="skip","SKIP",IF(OR(B115="",A115="",E115="",G115="",I115="",M115="",T115="",COUNTIF($A$6:$A$505,A115)&gt;1,COUNTIF($M$6:$M$505,M115)&gt;1,AND(L115="mobile",N115&lt;&gt;"invalid",OR(LEN(M115)&lt;&gt;10,LEFT(M115,2)&lt;&gt;"09"))),"REVIEW","READY")))</x:f>
      </x:c>
      <x:c r="BF115" s="238" t="str">
        <x:f>IF(BE115="","",IF(BE115="READY","",IF(B115="skip","Skipped by import_action",TRIM(IF(B115="","missing import_action; ","")&amp;IF(A115="","missing migration_customer_key; ","")&amp;IF(AND(A115&lt;&gt;"",COUNTIF($A$6:$A$505,A115)&gt;1),"duplicate migration_customer_key; ","")&amp;IF(E115="","missing branch_id; ","")&amp;IF(G115="","missing first_name; ","")&amp;IF(I115="","missing last_name; ","")&amp;IF(M115="","missing primary_phone; ","")&amp;IF(AND(M115&lt;&gt;"",COUNTIF($M$6:$M$505,M115)&gt;1),"duplicate primary_phone; ","")&amp;IF(AND(L115="mobile",N115&lt;&gt;"invalid",OR(LEN(M115)&lt;&gt;10,LEFT(M115,2)&lt;&gt;"09")),"mobile must be 09XXXXXXXX or status invalid; ","")&amp;IF(T115="","missing neighborhood_id; ","")))))</x:f>
      </x:c>
    </x:row>
    <x:row r="116">
      <x:c r="A116" s="232"/>
      <x:c r="B116" s="233"/>
      <x:c r="C116" s="234"/>
      <x:c r="D116" s="233"/>
      <x:c r="E116" s="233"/>
      <x:c r="F116" s="233"/>
      <x:c r="G116" s="233"/>
      <x:c r="H116" s="233"/>
      <x:c r="I116" s="233"/>
      <x:c r="J116" s="233"/>
      <x:c r="K116" s="233" t="str">
        <x:f>TRIM(G116&amp;" "&amp;H116&amp;" "&amp;I116&amp;IF(J116&lt;&gt;""," ("&amp;J116&amp;")",""))</x:f>
      </x:c>
      <x:c r="L116" s="233"/>
      <x:c r="M116" s="234"/>
      <x:c r="N116" s="233"/>
      <x:c r="O116" s="233"/>
      <x:c r="P116" s="233"/>
      <x:c r="Q116" s="233"/>
      <x:c r="R116" s="233"/>
      <x:c r="S116" s="233"/>
      <x:c r="T116" s="233"/>
      <x:c r="U116" s="233"/>
      <x:c r="V116" s="233"/>
      <x:c r="W116" s="235"/>
      <x:c r="X116" s="235"/>
      <x:c r="Y116" s="233"/>
      <x:c r="Z116" s="233"/>
      <x:c r="AA116" s="233"/>
      <x:c r="AB116" s="233"/>
      <x:c r="AC116" s="236"/>
      <x:c r="AD116" s="233"/>
      <x:c r="AE116" s="233"/>
      <x:c r="AF116" s="233"/>
      <x:c r="AG116" s="233"/>
      <x:c r="AH116" s="234"/>
      <x:c r="AI116" s="233"/>
      <x:c r="AJ116" s="233"/>
      <x:c r="AK116" s="233"/>
      <x:c r="AL116" s="236"/>
      <x:c r="AM116" s="233"/>
      <x:c r="AN116" s="233"/>
      <x:c r="AO116" s="234"/>
      <x:c r="AP116" s="234"/>
      <x:c r="AQ116" s="233"/>
      <x:c r="AR116" s="236"/>
      <x:c r="AS116" s="234"/>
      <x:c r="AT116" s="233"/>
      <x:c r="AU116" s="233"/>
      <x:c r="AV116" s="233"/>
      <x:c r="AW116" s="233"/>
      <x:c r="AX116" s="233"/>
      <x:c r="AY116" s="233"/>
      <x:c r="AZ116" s="236"/>
      <x:c r="BA116" s="233"/>
      <x:c r="BB116" s="233"/>
      <x:c r="BC116" s="233"/>
      <x:c r="BD116" s="233"/>
      <x:c r="BE116" s="237" t="str">
        <x:f>IF(AND(A116="",B116="",C116="",E116="",G116="",I116="",M116="",T116="",BB116="",BD116=""),"",IF(B116="skip","SKIP",IF(OR(B116="",A116="",E116="",G116="",I116="",M116="",T116="",COUNTIF($A$6:$A$505,A116)&gt;1,COUNTIF($M$6:$M$505,M116)&gt;1,AND(L116="mobile",N116&lt;&gt;"invalid",OR(LEN(M116)&lt;&gt;10,LEFT(M116,2)&lt;&gt;"09"))),"REVIEW","READY")))</x:f>
      </x:c>
      <x:c r="BF116" s="238" t="str">
        <x:f>IF(BE116="","",IF(BE116="READY","",IF(B116="skip","Skipped by import_action",TRIM(IF(B116="","missing import_action; ","")&amp;IF(A116="","missing migration_customer_key; ","")&amp;IF(AND(A116&lt;&gt;"",COUNTIF($A$6:$A$505,A116)&gt;1),"duplicate migration_customer_key; ","")&amp;IF(E116="","missing branch_id; ","")&amp;IF(G116="","missing first_name; ","")&amp;IF(I116="","missing last_name; ","")&amp;IF(M116="","missing primary_phone; ","")&amp;IF(AND(M116&lt;&gt;"",COUNTIF($M$6:$M$505,M116)&gt;1),"duplicate primary_phone; ","")&amp;IF(AND(L116="mobile",N116&lt;&gt;"invalid",OR(LEN(M116)&lt;&gt;10,LEFT(M116,2)&lt;&gt;"09")),"mobile must be 09XXXXXXXX or status invalid; ","")&amp;IF(T116="","missing neighborhood_id; ","")))))</x:f>
      </x:c>
    </x:row>
    <x:row r="117">
      <x:c r="A117" s="232"/>
      <x:c r="B117" s="233"/>
      <x:c r="C117" s="234"/>
      <x:c r="D117" s="233"/>
      <x:c r="E117" s="233"/>
      <x:c r="F117" s="233"/>
      <x:c r="G117" s="233"/>
      <x:c r="H117" s="233"/>
      <x:c r="I117" s="233"/>
      <x:c r="J117" s="233"/>
      <x:c r="K117" s="233" t="str">
        <x:f>TRIM(G117&amp;" "&amp;H117&amp;" "&amp;I117&amp;IF(J117&lt;&gt;""," ("&amp;J117&amp;")",""))</x:f>
      </x:c>
      <x:c r="L117" s="233"/>
      <x:c r="M117" s="234"/>
      <x:c r="N117" s="233"/>
      <x:c r="O117" s="233"/>
      <x:c r="P117" s="233"/>
      <x:c r="Q117" s="233"/>
      <x:c r="R117" s="233"/>
      <x:c r="S117" s="233"/>
      <x:c r="T117" s="233"/>
      <x:c r="U117" s="233"/>
      <x:c r="V117" s="233"/>
      <x:c r="W117" s="235"/>
      <x:c r="X117" s="235"/>
      <x:c r="Y117" s="233"/>
      <x:c r="Z117" s="233"/>
      <x:c r="AA117" s="233"/>
      <x:c r="AB117" s="233"/>
      <x:c r="AC117" s="236"/>
      <x:c r="AD117" s="233"/>
      <x:c r="AE117" s="233"/>
      <x:c r="AF117" s="233"/>
      <x:c r="AG117" s="233"/>
      <x:c r="AH117" s="234"/>
      <x:c r="AI117" s="233"/>
      <x:c r="AJ117" s="233"/>
      <x:c r="AK117" s="233"/>
      <x:c r="AL117" s="236"/>
      <x:c r="AM117" s="233"/>
      <x:c r="AN117" s="233"/>
      <x:c r="AO117" s="234"/>
      <x:c r="AP117" s="234"/>
      <x:c r="AQ117" s="233"/>
      <x:c r="AR117" s="236"/>
      <x:c r="AS117" s="234"/>
      <x:c r="AT117" s="233"/>
      <x:c r="AU117" s="233"/>
      <x:c r="AV117" s="233"/>
      <x:c r="AW117" s="233"/>
      <x:c r="AX117" s="233"/>
      <x:c r="AY117" s="233"/>
      <x:c r="AZ117" s="236"/>
      <x:c r="BA117" s="233"/>
      <x:c r="BB117" s="233"/>
      <x:c r="BC117" s="233"/>
      <x:c r="BD117" s="233"/>
      <x:c r="BE117" s="237" t="str">
        <x:f>IF(AND(A117="",B117="",C117="",E117="",G117="",I117="",M117="",T117="",BB117="",BD117=""),"",IF(B117="skip","SKIP",IF(OR(B117="",A117="",E117="",G117="",I117="",M117="",T117="",COUNTIF($A$6:$A$505,A117)&gt;1,COUNTIF($M$6:$M$505,M117)&gt;1,AND(L117="mobile",N117&lt;&gt;"invalid",OR(LEN(M117)&lt;&gt;10,LEFT(M117,2)&lt;&gt;"09"))),"REVIEW","READY")))</x:f>
      </x:c>
      <x:c r="BF117" s="238" t="str">
        <x:f>IF(BE117="","",IF(BE117="READY","",IF(B117="skip","Skipped by import_action",TRIM(IF(B117="","missing import_action; ","")&amp;IF(A117="","missing migration_customer_key; ","")&amp;IF(AND(A117&lt;&gt;"",COUNTIF($A$6:$A$505,A117)&gt;1),"duplicate migration_customer_key; ","")&amp;IF(E117="","missing branch_id; ","")&amp;IF(G117="","missing first_name; ","")&amp;IF(I117="","missing last_name; ","")&amp;IF(M117="","missing primary_phone; ","")&amp;IF(AND(M117&lt;&gt;"",COUNTIF($M$6:$M$505,M117)&gt;1),"duplicate primary_phone; ","")&amp;IF(AND(L117="mobile",N117&lt;&gt;"invalid",OR(LEN(M117)&lt;&gt;10,LEFT(M117,2)&lt;&gt;"09")),"mobile must be 09XXXXXXXX or status invalid; ","")&amp;IF(T117="","missing neighborhood_id; ","")))))</x:f>
      </x:c>
    </x:row>
    <x:row r="118">
      <x:c r="A118" s="232"/>
      <x:c r="B118" s="233"/>
      <x:c r="C118" s="234"/>
      <x:c r="D118" s="233"/>
      <x:c r="E118" s="233"/>
      <x:c r="F118" s="233"/>
      <x:c r="G118" s="233"/>
      <x:c r="H118" s="233"/>
      <x:c r="I118" s="233"/>
      <x:c r="J118" s="233"/>
      <x:c r="K118" s="233" t="str">
        <x:f>TRIM(G118&amp;" "&amp;H118&amp;" "&amp;I118&amp;IF(J118&lt;&gt;""," ("&amp;J118&amp;")",""))</x:f>
      </x:c>
      <x:c r="L118" s="233"/>
      <x:c r="M118" s="234"/>
      <x:c r="N118" s="233"/>
      <x:c r="O118" s="233"/>
      <x:c r="P118" s="233"/>
      <x:c r="Q118" s="233"/>
      <x:c r="R118" s="233"/>
      <x:c r="S118" s="233"/>
      <x:c r="T118" s="233"/>
      <x:c r="U118" s="233"/>
      <x:c r="V118" s="233"/>
      <x:c r="W118" s="235"/>
      <x:c r="X118" s="235"/>
      <x:c r="Y118" s="233"/>
      <x:c r="Z118" s="233"/>
      <x:c r="AA118" s="233"/>
      <x:c r="AB118" s="233"/>
      <x:c r="AC118" s="236"/>
      <x:c r="AD118" s="233"/>
      <x:c r="AE118" s="233"/>
      <x:c r="AF118" s="233"/>
      <x:c r="AG118" s="233"/>
      <x:c r="AH118" s="234"/>
      <x:c r="AI118" s="233"/>
      <x:c r="AJ118" s="233"/>
      <x:c r="AK118" s="233"/>
      <x:c r="AL118" s="236"/>
      <x:c r="AM118" s="233"/>
      <x:c r="AN118" s="233"/>
      <x:c r="AO118" s="234"/>
      <x:c r="AP118" s="234"/>
      <x:c r="AQ118" s="233"/>
      <x:c r="AR118" s="236"/>
      <x:c r="AS118" s="234"/>
      <x:c r="AT118" s="233"/>
      <x:c r="AU118" s="233"/>
      <x:c r="AV118" s="233"/>
      <x:c r="AW118" s="233"/>
      <x:c r="AX118" s="233"/>
      <x:c r="AY118" s="233"/>
      <x:c r="AZ118" s="236"/>
      <x:c r="BA118" s="233"/>
      <x:c r="BB118" s="233"/>
      <x:c r="BC118" s="233"/>
      <x:c r="BD118" s="233"/>
      <x:c r="BE118" s="237" t="str">
        <x:f>IF(AND(A118="",B118="",C118="",E118="",G118="",I118="",M118="",T118="",BB118="",BD118=""),"",IF(B118="skip","SKIP",IF(OR(B118="",A118="",E118="",G118="",I118="",M118="",T118="",COUNTIF($A$6:$A$505,A118)&gt;1,COUNTIF($M$6:$M$505,M118)&gt;1,AND(L118="mobile",N118&lt;&gt;"invalid",OR(LEN(M118)&lt;&gt;10,LEFT(M118,2)&lt;&gt;"09"))),"REVIEW","READY")))</x:f>
      </x:c>
      <x:c r="BF118" s="238" t="str">
        <x:f>IF(BE118="","",IF(BE118="READY","",IF(B118="skip","Skipped by import_action",TRIM(IF(B118="","missing import_action; ","")&amp;IF(A118="","missing migration_customer_key; ","")&amp;IF(AND(A118&lt;&gt;"",COUNTIF($A$6:$A$505,A118)&gt;1),"duplicate migration_customer_key; ","")&amp;IF(E118="","missing branch_id; ","")&amp;IF(G118="","missing first_name; ","")&amp;IF(I118="","missing last_name; ","")&amp;IF(M118="","missing primary_phone; ","")&amp;IF(AND(M118&lt;&gt;"",COUNTIF($M$6:$M$505,M118)&gt;1),"duplicate primary_phone; ","")&amp;IF(AND(L118="mobile",N118&lt;&gt;"invalid",OR(LEN(M118)&lt;&gt;10,LEFT(M118,2)&lt;&gt;"09")),"mobile must be 09XXXXXXXX or status invalid; ","")&amp;IF(T118="","missing neighborhood_id; ","")))))</x:f>
      </x:c>
    </x:row>
    <x:row r="119">
      <x:c r="A119" s="232"/>
      <x:c r="B119" s="233"/>
      <x:c r="C119" s="234"/>
      <x:c r="D119" s="233"/>
      <x:c r="E119" s="233"/>
      <x:c r="F119" s="233"/>
      <x:c r="G119" s="233"/>
      <x:c r="H119" s="233"/>
      <x:c r="I119" s="233"/>
      <x:c r="J119" s="233"/>
      <x:c r="K119" s="233" t="str">
        <x:f>TRIM(G119&amp;" "&amp;H119&amp;" "&amp;I119&amp;IF(J119&lt;&gt;""," ("&amp;J119&amp;")",""))</x:f>
      </x:c>
      <x:c r="L119" s="233"/>
      <x:c r="M119" s="234"/>
      <x:c r="N119" s="233"/>
      <x:c r="O119" s="233"/>
      <x:c r="P119" s="233"/>
      <x:c r="Q119" s="233"/>
      <x:c r="R119" s="233"/>
      <x:c r="S119" s="233"/>
      <x:c r="T119" s="233"/>
      <x:c r="U119" s="233"/>
      <x:c r="V119" s="233"/>
      <x:c r="W119" s="235"/>
      <x:c r="X119" s="235"/>
      <x:c r="Y119" s="233"/>
      <x:c r="Z119" s="233"/>
      <x:c r="AA119" s="233"/>
      <x:c r="AB119" s="233"/>
      <x:c r="AC119" s="236"/>
      <x:c r="AD119" s="233"/>
      <x:c r="AE119" s="233"/>
      <x:c r="AF119" s="233"/>
      <x:c r="AG119" s="233"/>
      <x:c r="AH119" s="234"/>
      <x:c r="AI119" s="233"/>
      <x:c r="AJ119" s="233"/>
      <x:c r="AK119" s="233"/>
      <x:c r="AL119" s="236"/>
      <x:c r="AM119" s="233"/>
      <x:c r="AN119" s="233"/>
      <x:c r="AO119" s="234"/>
      <x:c r="AP119" s="234"/>
      <x:c r="AQ119" s="233"/>
      <x:c r="AR119" s="236"/>
      <x:c r="AS119" s="234"/>
      <x:c r="AT119" s="233"/>
      <x:c r="AU119" s="233"/>
      <x:c r="AV119" s="233"/>
      <x:c r="AW119" s="233"/>
      <x:c r="AX119" s="233"/>
      <x:c r="AY119" s="233"/>
      <x:c r="AZ119" s="236"/>
      <x:c r="BA119" s="233"/>
      <x:c r="BB119" s="233"/>
      <x:c r="BC119" s="233"/>
      <x:c r="BD119" s="233"/>
      <x:c r="BE119" s="237" t="str">
        <x:f>IF(AND(A119="",B119="",C119="",E119="",G119="",I119="",M119="",T119="",BB119="",BD119=""),"",IF(B119="skip","SKIP",IF(OR(B119="",A119="",E119="",G119="",I119="",M119="",T119="",COUNTIF($A$6:$A$505,A119)&gt;1,COUNTIF($M$6:$M$505,M119)&gt;1,AND(L119="mobile",N119&lt;&gt;"invalid",OR(LEN(M119)&lt;&gt;10,LEFT(M119,2)&lt;&gt;"09"))),"REVIEW","READY")))</x:f>
      </x:c>
      <x:c r="BF119" s="238" t="str">
        <x:f>IF(BE119="","",IF(BE119="READY","",IF(B119="skip","Skipped by import_action",TRIM(IF(B119="","missing import_action; ","")&amp;IF(A119="","missing migration_customer_key; ","")&amp;IF(AND(A119&lt;&gt;"",COUNTIF($A$6:$A$505,A119)&gt;1),"duplicate migration_customer_key; ","")&amp;IF(E119="","missing branch_id; ","")&amp;IF(G119="","missing first_name; ","")&amp;IF(I119="","missing last_name; ","")&amp;IF(M119="","missing primary_phone; ","")&amp;IF(AND(M119&lt;&gt;"",COUNTIF($M$6:$M$505,M119)&gt;1),"duplicate primary_phone; ","")&amp;IF(AND(L119="mobile",N119&lt;&gt;"invalid",OR(LEN(M119)&lt;&gt;10,LEFT(M119,2)&lt;&gt;"09")),"mobile must be 09XXXXXXXX or status invalid; ","")&amp;IF(T119="","missing neighborhood_id; ","")))))</x:f>
      </x:c>
    </x:row>
    <x:row r="120">
      <x:c r="A120" s="232"/>
      <x:c r="B120" s="233"/>
      <x:c r="C120" s="234"/>
      <x:c r="D120" s="233"/>
      <x:c r="E120" s="233"/>
      <x:c r="F120" s="233"/>
      <x:c r="G120" s="233"/>
      <x:c r="H120" s="233"/>
      <x:c r="I120" s="233"/>
      <x:c r="J120" s="233"/>
      <x:c r="K120" s="233" t="str">
        <x:f>TRIM(G120&amp;" "&amp;H120&amp;" "&amp;I120&amp;IF(J120&lt;&gt;""," ("&amp;J120&amp;")",""))</x:f>
      </x:c>
      <x:c r="L120" s="233"/>
      <x:c r="M120" s="234"/>
      <x:c r="N120" s="233"/>
      <x:c r="O120" s="233"/>
      <x:c r="P120" s="233"/>
      <x:c r="Q120" s="233"/>
      <x:c r="R120" s="233"/>
      <x:c r="S120" s="233"/>
      <x:c r="T120" s="233"/>
      <x:c r="U120" s="233"/>
      <x:c r="V120" s="233"/>
      <x:c r="W120" s="235"/>
      <x:c r="X120" s="235"/>
      <x:c r="Y120" s="233"/>
      <x:c r="Z120" s="233"/>
      <x:c r="AA120" s="233"/>
      <x:c r="AB120" s="233"/>
      <x:c r="AC120" s="236"/>
      <x:c r="AD120" s="233"/>
      <x:c r="AE120" s="233"/>
      <x:c r="AF120" s="233"/>
      <x:c r="AG120" s="233"/>
      <x:c r="AH120" s="234"/>
      <x:c r="AI120" s="233"/>
      <x:c r="AJ120" s="233"/>
      <x:c r="AK120" s="233"/>
      <x:c r="AL120" s="236"/>
      <x:c r="AM120" s="233"/>
      <x:c r="AN120" s="233"/>
      <x:c r="AO120" s="234"/>
      <x:c r="AP120" s="234"/>
      <x:c r="AQ120" s="233"/>
      <x:c r="AR120" s="236"/>
      <x:c r="AS120" s="234"/>
      <x:c r="AT120" s="233"/>
      <x:c r="AU120" s="233"/>
      <x:c r="AV120" s="233"/>
      <x:c r="AW120" s="233"/>
      <x:c r="AX120" s="233"/>
      <x:c r="AY120" s="233"/>
      <x:c r="AZ120" s="236"/>
      <x:c r="BA120" s="233"/>
      <x:c r="BB120" s="233"/>
      <x:c r="BC120" s="233"/>
      <x:c r="BD120" s="233"/>
      <x:c r="BE120" s="237" t="str">
        <x:f>IF(AND(A120="",B120="",C120="",E120="",G120="",I120="",M120="",T120="",BB120="",BD120=""),"",IF(B120="skip","SKIP",IF(OR(B120="",A120="",E120="",G120="",I120="",M120="",T120="",COUNTIF($A$6:$A$505,A120)&gt;1,COUNTIF($M$6:$M$505,M120)&gt;1,AND(L120="mobile",N120&lt;&gt;"invalid",OR(LEN(M120)&lt;&gt;10,LEFT(M120,2)&lt;&gt;"09"))),"REVIEW","READY")))</x:f>
      </x:c>
      <x:c r="BF120" s="238" t="str">
        <x:f>IF(BE120="","",IF(BE120="READY","",IF(B120="skip","Skipped by import_action",TRIM(IF(B120="","missing import_action; ","")&amp;IF(A120="","missing migration_customer_key; ","")&amp;IF(AND(A120&lt;&gt;"",COUNTIF($A$6:$A$505,A120)&gt;1),"duplicate migration_customer_key; ","")&amp;IF(E120="","missing branch_id; ","")&amp;IF(G120="","missing first_name; ","")&amp;IF(I120="","missing last_name; ","")&amp;IF(M120="","missing primary_phone; ","")&amp;IF(AND(M120&lt;&gt;"",COUNTIF($M$6:$M$505,M120)&gt;1),"duplicate primary_phone; ","")&amp;IF(AND(L120="mobile",N120&lt;&gt;"invalid",OR(LEN(M120)&lt;&gt;10,LEFT(M120,2)&lt;&gt;"09")),"mobile must be 09XXXXXXXX or status invalid; ","")&amp;IF(T120="","missing neighborhood_id; ","")))))</x:f>
      </x:c>
    </x:row>
    <x:row r="121">
      <x:c r="A121" s="232"/>
      <x:c r="B121" s="233"/>
      <x:c r="C121" s="234"/>
      <x:c r="D121" s="233"/>
      <x:c r="E121" s="233"/>
      <x:c r="F121" s="233"/>
      <x:c r="G121" s="233"/>
      <x:c r="H121" s="233"/>
      <x:c r="I121" s="233"/>
      <x:c r="J121" s="233"/>
      <x:c r="K121" s="233" t="str">
        <x:f>TRIM(G121&amp;" "&amp;H121&amp;" "&amp;I121&amp;IF(J121&lt;&gt;""," ("&amp;J121&amp;")",""))</x:f>
      </x:c>
      <x:c r="L121" s="233"/>
      <x:c r="M121" s="234"/>
      <x:c r="N121" s="233"/>
      <x:c r="O121" s="233"/>
      <x:c r="P121" s="233"/>
      <x:c r="Q121" s="233"/>
      <x:c r="R121" s="233"/>
      <x:c r="S121" s="233"/>
      <x:c r="T121" s="233"/>
      <x:c r="U121" s="233"/>
      <x:c r="V121" s="233"/>
      <x:c r="W121" s="235"/>
      <x:c r="X121" s="235"/>
      <x:c r="Y121" s="233"/>
      <x:c r="Z121" s="233"/>
      <x:c r="AA121" s="233"/>
      <x:c r="AB121" s="233"/>
      <x:c r="AC121" s="236"/>
      <x:c r="AD121" s="233"/>
      <x:c r="AE121" s="233"/>
      <x:c r="AF121" s="233"/>
      <x:c r="AG121" s="233"/>
      <x:c r="AH121" s="234"/>
      <x:c r="AI121" s="233"/>
      <x:c r="AJ121" s="233"/>
      <x:c r="AK121" s="233"/>
      <x:c r="AL121" s="236"/>
      <x:c r="AM121" s="233"/>
      <x:c r="AN121" s="233"/>
      <x:c r="AO121" s="234"/>
      <x:c r="AP121" s="234"/>
      <x:c r="AQ121" s="233"/>
      <x:c r="AR121" s="236"/>
      <x:c r="AS121" s="234"/>
      <x:c r="AT121" s="233"/>
      <x:c r="AU121" s="233"/>
      <x:c r="AV121" s="233"/>
      <x:c r="AW121" s="233"/>
      <x:c r="AX121" s="233"/>
      <x:c r="AY121" s="233"/>
      <x:c r="AZ121" s="236"/>
      <x:c r="BA121" s="233"/>
      <x:c r="BB121" s="233"/>
      <x:c r="BC121" s="233"/>
      <x:c r="BD121" s="233"/>
      <x:c r="BE121" s="237" t="str">
        <x:f>IF(AND(A121="",B121="",C121="",E121="",G121="",I121="",M121="",T121="",BB121="",BD121=""),"",IF(B121="skip","SKIP",IF(OR(B121="",A121="",E121="",G121="",I121="",M121="",T121="",COUNTIF($A$6:$A$505,A121)&gt;1,COUNTIF($M$6:$M$505,M121)&gt;1,AND(L121="mobile",N121&lt;&gt;"invalid",OR(LEN(M121)&lt;&gt;10,LEFT(M121,2)&lt;&gt;"09"))),"REVIEW","READY")))</x:f>
      </x:c>
      <x:c r="BF121" s="238" t="str">
        <x:f>IF(BE121="","",IF(BE121="READY","",IF(B121="skip","Skipped by import_action",TRIM(IF(B121="","missing import_action; ","")&amp;IF(A121="","missing migration_customer_key; ","")&amp;IF(AND(A121&lt;&gt;"",COUNTIF($A$6:$A$505,A121)&gt;1),"duplicate migration_customer_key; ","")&amp;IF(E121="","missing branch_id; ","")&amp;IF(G121="","missing first_name; ","")&amp;IF(I121="","missing last_name; ","")&amp;IF(M121="","missing primary_phone; ","")&amp;IF(AND(M121&lt;&gt;"",COUNTIF($M$6:$M$505,M121)&gt;1),"duplicate primary_phone; ","")&amp;IF(AND(L121="mobile",N121&lt;&gt;"invalid",OR(LEN(M121)&lt;&gt;10,LEFT(M121,2)&lt;&gt;"09")),"mobile must be 09XXXXXXXX or status invalid; ","")&amp;IF(T121="","missing neighborhood_id; ","")))))</x:f>
      </x:c>
    </x:row>
    <x:row r="122">
      <x:c r="A122" s="232"/>
      <x:c r="B122" s="233"/>
      <x:c r="C122" s="234"/>
      <x:c r="D122" s="233"/>
      <x:c r="E122" s="233"/>
      <x:c r="F122" s="233"/>
      <x:c r="G122" s="233"/>
      <x:c r="H122" s="233"/>
      <x:c r="I122" s="233"/>
      <x:c r="J122" s="233"/>
      <x:c r="K122" s="233" t="str">
        <x:f>TRIM(G122&amp;" "&amp;H122&amp;" "&amp;I122&amp;IF(J122&lt;&gt;""," ("&amp;J122&amp;")",""))</x:f>
      </x:c>
      <x:c r="L122" s="233"/>
      <x:c r="M122" s="234"/>
      <x:c r="N122" s="233"/>
      <x:c r="O122" s="233"/>
      <x:c r="P122" s="233"/>
      <x:c r="Q122" s="233"/>
      <x:c r="R122" s="233"/>
      <x:c r="S122" s="233"/>
      <x:c r="T122" s="233"/>
      <x:c r="U122" s="233"/>
      <x:c r="V122" s="233"/>
      <x:c r="W122" s="235"/>
      <x:c r="X122" s="235"/>
      <x:c r="Y122" s="233"/>
      <x:c r="Z122" s="233"/>
      <x:c r="AA122" s="233"/>
      <x:c r="AB122" s="233"/>
      <x:c r="AC122" s="236"/>
      <x:c r="AD122" s="233"/>
      <x:c r="AE122" s="233"/>
      <x:c r="AF122" s="233"/>
      <x:c r="AG122" s="233"/>
      <x:c r="AH122" s="234"/>
      <x:c r="AI122" s="233"/>
      <x:c r="AJ122" s="233"/>
      <x:c r="AK122" s="233"/>
      <x:c r="AL122" s="236"/>
      <x:c r="AM122" s="233"/>
      <x:c r="AN122" s="233"/>
      <x:c r="AO122" s="234"/>
      <x:c r="AP122" s="234"/>
      <x:c r="AQ122" s="233"/>
      <x:c r="AR122" s="236"/>
      <x:c r="AS122" s="234"/>
      <x:c r="AT122" s="233"/>
      <x:c r="AU122" s="233"/>
      <x:c r="AV122" s="233"/>
      <x:c r="AW122" s="233"/>
      <x:c r="AX122" s="233"/>
      <x:c r="AY122" s="233"/>
      <x:c r="AZ122" s="236"/>
      <x:c r="BA122" s="233"/>
      <x:c r="BB122" s="233"/>
      <x:c r="BC122" s="233"/>
      <x:c r="BD122" s="233"/>
      <x:c r="BE122" s="237" t="str">
        <x:f>IF(AND(A122="",B122="",C122="",E122="",G122="",I122="",M122="",T122="",BB122="",BD122=""),"",IF(B122="skip","SKIP",IF(OR(B122="",A122="",E122="",G122="",I122="",M122="",T122="",COUNTIF($A$6:$A$505,A122)&gt;1,COUNTIF($M$6:$M$505,M122)&gt;1,AND(L122="mobile",N122&lt;&gt;"invalid",OR(LEN(M122)&lt;&gt;10,LEFT(M122,2)&lt;&gt;"09"))),"REVIEW","READY")))</x:f>
      </x:c>
      <x:c r="BF122" s="238" t="str">
        <x:f>IF(BE122="","",IF(BE122="READY","",IF(B122="skip","Skipped by import_action",TRIM(IF(B122="","missing import_action; ","")&amp;IF(A122="","missing migration_customer_key; ","")&amp;IF(AND(A122&lt;&gt;"",COUNTIF($A$6:$A$505,A122)&gt;1),"duplicate migration_customer_key; ","")&amp;IF(E122="","missing branch_id; ","")&amp;IF(G122="","missing first_name; ","")&amp;IF(I122="","missing last_name; ","")&amp;IF(M122="","missing primary_phone; ","")&amp;IF(AND(M122&lt;&gt;"",COUNTIF($M$6:$M$505,M122)&gt;1),"duplicate primary_phone; ","")&amp;IF(AND(L122="mobile",N122&lt;&gt;"invalid",OR(LEN(M122)&lt;&gt;10,LEFT(M122,2)&lt;&gt;"09")),"mobile must be 09XXXXXXXX or status invalid; ","")&amp;IF(T122="","missing neighborhood_id; ","")))))</x:f>
      </x:c>
    </x:row>
    <x:row r="123">
      <x:c r="A123" s="232"/>
      <x:c r="B123" s="233"/>
      <x:c r="C123" s="234"/>
      <x:c r="D123" s="233"/>
      <x:c r="E123" s="233"/>
      <x:c r="F123" s="233"/>
      <x:c r="G123" s="233"/>
      <x:c r="H123" s="233"/>
      <x:c r="I123" s="233"/>
      <x:c r="J123" s="233"/>
      <x:c r="K123" s="233" t="str">
        <x:f>TRIM(G123&amp;" "&amp;H123&amp;" "&amp;I123&amp;IF(J123&lt;&gt;""," ("&amp;J123&amp;")",""))</x:f>
      </x:c>
      <x:c r="L123" s="233"/>
      <x:c r="M123" s="234"/>
      <x:c r="N123" s="233"/>
      <x:c r="O123" s="233"/>
      <x:c r="P123" s="233"/>
      <x:c r="Q123" s="233"/>
      <x:c r="R123" s="233"/>
      <x:c r="S123" s="233"/>
      <x:c r="T123" s="233"/>
      <x:c r="U123" s="233"/>
      <x:c r="V123" s="233"/>
      <x:c r="W123" s="235"/>
      <x:c r="X123" s="235"/>
      <x:c r="Y123" s="233"/>
      <x:c r="Z123" s="233"/>
      <x:c r="AA123" s="233"/>
      <x:c r="AB123" s="233"/>
      <x:c r="AC123" s="236"/>
      <x:c r="AD123" s="233"/>
      <x:c r="AE123" s="233"/>
      <x:c r="AF123" s="233"/>
      <x:c r="AG123" s="233"/>
      <x:c r="AH123" s="234"/>
      <x:c r="AI123" s="233"/>
      <x:c r="AJ123" s="233"/>
      <x:c r="AK123" s="233"/>
      <x:c r="AL123" s="236"/>
      <x:c r="AM123" s="233"/>
      <x:c r="AN123" s="233"/>
      <x:c r="AO123" s="234"/>
      <x:c r="AP123" s="234"/>
      <x:c r="AQ123" s="233"/>
      <x:c r="AR123" s="236"/>
      <x:c r="AS123" s="234"/>
      <x:c r="AT123" s="233"/>
      <x:c r="AU123" s="233"/>
      <x:c r="AV123" s="233"/>
      <x:c r="AW123" s="233"/>
      <x:c r="AX123" s="233"/>
      <x:c r="AY123" s="233"/>
      <x:c r="AZ123" s="236"/>
      <x:c r="BA123" s="233"/>
      <x:c r="BB123" s="233"/>
      <x:c r="BC123" s="233"/>
      <x:c r="BD123" s="233"/>
      <x:c r="BE123" s="237" t="str">
        <x:f>IF(AND(A123="",B123="",C123="",E123="",G123="",I123="",M123="",T123="",BB123="",BD123=""),"",IF(B123="skip","SKIP",IF(OR(B123="",A123="",E123="",G123="",I123="",M123="",T123="",COUNTIF($A$6:$A$505,A123)&gt;1,COUNTIF($M$6:$M$505,M123)&gt;1,AND(L123="mobile",N123&lt;&gt;"invalid",OR(LEN(M123)&lt;&gt;10,LEFT(M123,2)&lt;&gt;"09"))),"REVIEW","READY")))</x:f>
      </x:c>
      <x:c r="BF123" s="238" t="str">
        <x:f>IF(BE123="","",IF(BE123="READY","",IF(B123="skip","Skipped by import_action",TRIM(IF(B123="","missing import_action; ","")&amp;IF(A123="","missing migration_customer_key; ","")&amp;IF(AND(A123&lt;&gt;"",COUNTIF($A$6:$A$505,A123)&gt;1),"duplicate migration_customer_key; ","")&amp;IF(E123="","missing branch_id; ","")&amp;IF(G123="","missing first_name; ","")&amp;IF(I123="","missing last_name; ","")&amp;IF(M123="","missing primary_phone; ","")&amp;IF(AND(M123&lt;&gt;"",COUNTIF($M$6:$M$505,M123)&gt;1),"duplicate primary_phone; ","")&amp;IF(AND(L123="mobile",N123&lt;&gt;"invalid",OR(LEN(M123)&lt;&gt;10,LEFT(M123,2)&lt;&gt;"09")),"mobile must be 09XXXXXXXX or status invalid; ","")&amp;IF(T123="","missing neighborhood_id; ","")))))</x:f>
      </x:c>
    </x:row>
    <x:row r="124">
      <x:c r="A124" s="232"/>
      <x:c r="B124" s="233"/>
      <x:c r="C124" s="234"/>
      <x:c r="D124" s="233"/>
      <x:c r="E124" s="233"/>
      <x:c r="F124" s="233"/>
      <x:c r="G124" s="233"/>
      <x:c r="H124" s="233"/>
      <x:c r="I124" s="233"/>
      <x:c r="J124" s="233"/>
      <x:c r="K124" s="233" t="str">
        <x:f>TRIM(G124&amp;" "&amp;H124&amp;" "&amp;I124&amp;IF(J124&lt;&gt;""," ("&amp;J124&amp;")",""))</x:f>
      </x:c>
      <x:c r="L124" s="233"/>
      <x:c r="M124" s="234"/>
      <x:c r="N124" s="233"/>
      <x:c r="O124" s="233"/>
      <x:c r="P124" s="233"/>
      <x:c r="Q124" s="233"/>
      <x:c r="R124" s="233"/>
      <x:c r="S124" s="233"/>
      <x:c r="T124" s="233"/>
      <x:c r="U124" s="233"/>
      <x:c r="V124" s="233"/>
      <x:c r="W124" s="235"/>
      <x:c r="X124" s="235"/>
      <x:c r="Y124" s="233"/>
      <x:c r="Z124" s="233"/>
      <x:c r="AA124" s="233"/>
      <x:c r="AB124" s="233"/>
      <x:c r="AC124" s="236"/>
      <x:c r="AD124" s="233"/>
      <x:c r="AE124" s="233"/>
      <x:c r="AF124" s="233"/>
      <x:c r="AG124" s="233"/>
      <x:c r="AH124" s="234"/>
      <x:c r="AI124" s="233"/>
      <x:c r="AJ124" s="233"/>
      <x:c r="AK124" s="233"/>
      <x:c r="AL124" s="236"/>
      <x:c r="AM124" s="233"/>
      <x:c r="AN124" s="233"/>
      <x:c r="AO124" s="234"/>
      <x:c r="AP124" s="234"/>
      <x:c r="AQ124" s="233"/>
      <x:c r="AR124" s="236"/>
      <x:c r="AS124" s="234"/>
      <x:c r="AT124" s="233"/>
      <x:c r="AU124" s="233"/>
      <x:c r="AV124" s="233"/>
      <x:c r="AW124" s="233"/>
      <x:c r="AX124" s="233"/>
      <x:c r="AY124" s="233"/>
      <x:c r="AZ124" s="236"/>
      <x:c r="BA124" s="233"/>
      <x:c r="BB124" s="233"/>
      <x:c r="BC124" s="233"/>
      <x:c r="BD124" s="233"/>
      <x:c r="BE124" s="237" t="str">
        <x:f>IF(AND(A124="",B124="",C124="",E124="",G124="",I124="",M124="",T124="",BB124="",BD124=""),"",IF(B124="skip","SKIP",IF(OR(B124="",A124="",E124="",G124="",I124="",M124="",T124="",COUNTIF($A$6:$A$505,A124)&gt;1,COUNTIF($M$6:$M$505,M124)&gt;1,AND(L124="mobile",N124&lt;&gt;"invalid",OR(LEN(M124)&lt;&gt;10,LEFT(M124,2)&lt;&gt;"09"))),"REVIEW","READY")))</x:f>
      </x:c>
      <x:c r="BF124" s="238" t="str">
        <x:f>IF(BE124="","",IF(BE124="READY","",IF(B124="skip","Skipped by import_action",TRIM(IF(B124="","missing import_action; ","")&amp;IF(A124="","missing migration_customer_key; ","")&amp;IF(AND(A124&lt;&gt;"",COUNTIF($A$6:$A$505,A124)&gt;1),"duplicate migration_customer_key; ","")&amp;IF(E124="","missing branch_id; ","")&amp;IF(G124="","missing first_name; ","")&amp;IF(I124="","missing last_name; ","")&amp;IF(M124="","missing primary_phone; ","")&amp;IF(AND(M124&lt;&gt;"",COUNTIF($M$6:$M$505,M124)&gt;1),"duplicate primary_phone; ","")&amp;IF(AND(L124="mobile",N124&lt;&gt;"invalid",OR(LEN(M124)&lt;&gt;10,LEFT(M124,2)&lt;&gt;"09")),"mobile must be 09XXXXXXXX or status invalid; ","")&amp;IF(T124="","missing neighborhood_id; ","")))))</x:f>
      </x:c>
    </x:row>
    <x:row r="125">
      <x:c r="A125" s="232"/>
      <x:c r="B125" s="233"/>
      <x:c r="C125" s="234"/>
      <x:c r="D125" s="233"/>
      <x:c r="E125" s="233"/>
      <x:c r="F125" s="233"/>
      <x:c r="G125" s="233"/>
      <x:c r="H125" s="233"/>
      <x:c r="I125" s="233"/>
      <x:c r="J125" s="233"/>
      <x:c r="K125" s="233" t="str">
        <x:f>TRIM(G125&amp;" "&amp;H125&amp;" "&amp;I125&amp;IF(J125&lt;&gt;""," ("&amp;J125&amp;")",""))</x:f>
      </x:c>
      <x:c r="L125" s="233"/>
      <x:c r="M125" s="234"/>
      <x:c r="N125" s="233"/>
      <x:c r="O125" s="233"/>
      <x:c r="P125" s="233"/>
      <x:c r="Q125" s="233"/>
      <x:c r="R125" s="233"/>
      <x:c r="S125" s="233"/>
      <x:c r="T125" s="233"/>
      <x:c r="U125" s="233"/>
      <x:c r="V125" s="233"/>
      <x:c r="W125" s="235"/>
      <x:c r="X125" s="235"/>
      <x:c r="Y125" s="233"/>
      <x:c r="Z125" s="233"/>
      <x:c r="AA125" s="233"/>
      <x:c r="AB125" s="233"/>
      <x:c r="AC125" s="236"/>
      <x:c r="AD125" s="233"/>
      <x:c r="AE125" s="233"/>
      <x:c r="AF125" s="233"/>
      <x:c r="AG125" s="233"/>
      <x:c r="AH125" s="234"/>
      <x:c r="AI125" s="233"/>
      <x:c r="AJ125" s="233"/>
      <x:c r="AK125" s="233"/>
      <x:c r="AL125" s="236"/>
      <x:c r="AM125" s="233"/>
      <x:c r="AN125" s="233"/>
      <x:c r="AO125" s="234"/>
      <x:c r="AP125" s="234"/>
      <x:c r="AQ125" s="233"/>
      <x:c r="AR125" s="236"/>
      <x:c r="AS125" s="234"/>
      <x:c r="AT125" s="233"/>
      <x:c r="AU125" s="233"/>
      <x:c r="AV125" s="233"/>
      <x:c r="AW125" s="233"/>
      <x:c r="AX125" s="233"/>
      <x:c r="AY125" s="233"/>
      <x:c r="AZ125" s="236"/>
      <x:c r="BA125" s="233"/>
      <x:c r="BB125" s="233"/>
      <x:c r="BC125" s="233"/>
      <x:c r="BD125" s="233"/>
      <x:c r="BE125" s="237" t="str">
        <x:f>IF(AND(A125="",B125="",C125="",E125="",G125="",I125="",M125="",T125="",BB125="",BD125=""),"",IF(B125="skip","SKIP",IF(OR(B125="",A125="",E125="",G125="",I125="",M125="",T125="",COUNTIF($A$6:$A$505,A125)&gt;1,COUNTIF($M$6:$M$505,M125)&gt;1,AND(L125="mobile",N125&lt;&gt;"invalid",OR(LEN(M125)&lt;&gt;10,LEFT(M125,2)&lt;&gt;"09"))),"REVIEW","READY")))</x:f>
      </x:c>
      <x:c r="BF125" s="238" t="str">
        <x:f>IF(BE125="","",IF(BE125="READY","",IF(B125="skip","Skipped by import_action",TRIM(IF(B125="","missing import_action; ","")&amp;IF(A125="","missing migration_customer_key; ","")&amp;IF(AND(A125&lt;&gt;"",COUNTIF($A$6:$A$505,A125)&gt;1),"duplicate migration_customer_key; ","")&amp;IF(E125="","missing branch_id; ","")&amp;IF(G125="","missing first_name; ","")&amp;IF(I125="","missing last_name; ","")&amp;IF(M125="","missing primary_phone; ","")&amp;IF(AND(M125&lt;&gt;"",COUNTIF($M$6:$M$505,M125)&gt;1),"duplicate primary_phone; ","")&amp;IF(AND(L125="mobile",N125&lt;&gt;"invalid",OR(LEN(M125)&lt;&gt;10,LEFT(M125,2)&lt;&gt;"09")),"mobile must be 09XXXXXXXX or status invalid; ","")&amp;IF(T125="","missing neighborhood_id; ","")))))</x:f>
      </x:c>
    </x:row>
    <x:row r="126">
      <x:c r="A126" s="232"/>
      <x:c r="B126" s="233"/>
      <x:c r="C126" s="234"/>
      <x:c r="D126" s="233"/>
      <x:c r="E126" s="233"/>
      <x:c r="F126" s="233"/>
      <x:c r="G126" s="233"/>
      <x:c r="H126" s="233"/>
      <x:c r="I126" s="233"/>
      <x:c r="J126" s="233"/>
      <x:c r="K126" s="233" t="str">
        <x:f>TRIM(G126&amp;" "&amp;H126&amp;" "&amp;I126&amp;IF(J126&lt;&gt;""," ("&amp;J126&amp;")",""))</x:f>
      </x:c>
      <x:c r="L126" s="233"/>
      <x:c r="M126" s="234"/>
      <x:c r="N126" s="233"/>
      <x:c r="O126" s="233"/>
      <x:c r="P126" s="233"/>
      <x:c r="Q126" s="233"/>
      <x:c r="R126" s="233"/>
      <x:c r="S126" s="233"/>
      <x:c r="T126" s="233"/>
      <x:c r="U126" s="233"/>
      <x:c r="V126" s="233"/>
      <x:c r="W126" s="235"/>
      <x:c r="X126" s="235"/>
      <x:c r="Y126" s="233"/>
      <x:c r="Z126" s="233"/>
      <x:c r="AA126" s="233"/>
      <x:c r="AB126" s="233"/>
      <x:c r="AC126" s="236"/>
      <x:c r="AD126" s="233"/>
      <x:c r="AE126" s="233"/>
      <x:c r="AF126" s="233"/>
      <x:c r="AG126" s="233"/>
      <x:c r="AH126" s="234"/>
      <x:c r="AI126" s="233"/>
      <x:c r="AJ126" s="233"/>
      <x:c r="AK126" s="233"/>
      <x:c r="AL126" s="236"/>
      <x:c r="AM126" s="233"/>
      <x:c r="AN126" s="233"/>
      <x:c r="AO126" s="234"/>
      <x:c r="AP126" s="234"/>
      <x:c r="AQ126" s="233"/>
      <x:c r="AR126" s="236"/>
      <x:c r="AS126" s="234"/>
      <x:c r="AT126" s="233"/>
      <x:c r="AU126" s="233"/>
      <x:c r="AV126" s="233"/>
      <x:c r="AW126" s="233"/>
      <x:c r="AX126" s="233"/>
      <x:c r="AY126" s="233"/>
      <x:c r="AZ126" s="236"/>
      <x:c r="BA126" s="233"/>
      <x:c r="BB126" s="233"/>
      <x:c r="BC126" s="233"/>
      <x:c r="BD126" s="233"/>
      <x:c r="BE126" s="237" t="str">
        <x:f>IF(AND(A126="",B126="",C126="",E126="",G126="",I126="",M126="",T126="",BB126="",BD126=""),"",IF(B126="skip","SKIP",IF(OR(B126="",A126="",E126="",G126="",I126="",M126="",T126="",COUNTIF($A$6:$A$505,A126)&gt;1,COUNTIF($M$6:$M$505,M126)&gt;1,AND(L126="mobile",N126&lt;&gt;"invalid",OR(LEN(M126)&lt;&gt;10,LEFT(M126,2)&lt;&gt;"09"))),"REVIEW","READY")))</x:f>
      </x:c>
      <x:c r="BF126" s="238" t="str">
        <x:f>IF(BE126="","",IF(BE126="READY","",IF(B126="skip","Skipped by import_action",TRIM(IF(B126="","missing import_action; ","")&amp;IF(A126="","missing migration_customer_key; ","")&amp;IF(AND(A126&lt;&gt;"",COUNTIF($A$6:$A$505,A126)&gt;1),"duplicate migration_customer_key; ","")&amp;IF(E126="","missing branch_id; ","")&amp;IF(G126="","missing first_name; ","")&amp;IF(I126="","missing last_name; ","")&amp;IF(M126="","missing primary_phone; ","")&amp;IF(AND(M126&lt;&gt;"",COUNTIF($M$6:$M$505,M126)&gt;1),"duplicate primary_phone; ","")&amp;IF(AND(L126="mobile",N126&lt;&gt;"invalid",OR(LEN(M126)&lt;&gt;10,LEFT(M126,2)&lt;&gt;"09")),"mobile must be 09XXXXXXXX or status invalid; ","")&amp;IF(T126="","missing neighborhood_id; ","")))))</x:f>
      </x:c>
    </x:row>
    <x:row r="127">
      <x:c r="A127" s="232"/>
      <x:c r="B127" s="233"/>
      <x:c r="C127" s="234"/>
      <x:c r="D127" s="233"/>
      <x:c r="E127" s="233"/>
      <x:c r="F127" s="233"/>
      <x:c r="G127" s="233"/>
      <x:c r="H127" s="233"/>
      <x:c r="I127" s="233"/>
      <x:c r="J127" s="233"/>
      <x:c r="K127" s="233" t="str">
        <x:f>TRIM(G127&amp;" "&amp;H127&amp;" "&amp;I127&amp;IF(J127&lt;&gt;""," ("&amp;J127&amp;")",""))</x:f>
      </x:c>
      <x:c r="L127" s="233"/>
      <x:c r="M127" s="234"/>
      <x:c r="N127" s="233"/>
      <x:c r="O127" s="233"/>
      <x:c r="P127" s="233"/>
      <x:c r="Q127" s="233"/>
      <x:c r="R127" s="233"/>
      <x:c r="S127" s="233"/>
      <x:c r="T127" s="233"/>
      <x:c r="U127" s="233"/>
      <x:c r="V127" s="233"/>
      <x:c r="W127" s="235"/>
      <x:c r="X127" s="235"/>
      <x:c r="Y127" s="233"/>
      <x:c r="Z127" s="233"/>
      <x:c r="AA127" s="233"/>
      <x:c r="AB127" s="233"/>
      <x:c r="AC127" s="236"/>
      <x:c r="AD127" s="233"/>
      <x:c r="AE127" s="233"/>
      <x:c r="AF127" s="233"/>
      <x:c r="AG127" s="233"/>
      <x:c r="AH127" s="234"/>
      <x:c r="AI127" s="233"/>
      <x:c r="AJ127" s="233"/>
      <x:c r="AK127" s="233"/>
      <x:c r="AL127" s="236"/>
      <x:c r="AM127" s="233"/>
      <x:c r="AN127" s="233"/>
      <x:c r="AO127" s="234"/>
      <x:c r="AP127" s="234"/>
      <x:c r="AQ127" s="233"/>
      <x:c r="AR127" s="236"/>
      <x:c r="AS127" s="234"/>
      <x:c r="AT127" s="233"/>
      <x:c r="AU127" s="233"/>
      <x:c r="AV127" s="233"/>
      <x:c r="AW127" s="233"/>
      <x:c r="AX127" s="233"/>
      <x:c r="AY127" s="233"/>
      <x:c r="AZ127" s="236"/>
      <x:c r="BA127" s="233"/>
      <x:c r="BB127" s="233"/>
      <x:c r="BC127" s="233"/>
      <x:c r="BD127" s="233"/>
      <x:c r="BE127" s="237" t="str">
        <x:f>IF(AND(A127="",B127="",C127="",E127="",G127="",I127="",M127="",T127="",BB127="",BD127=""),"",IF(B127="skip","SKIP",IF(OR(B127="",A127="",E127="",G127="",I127="",M127="",T127="",COUNTIF($A$6:$A$505,A127)&gt;1,COUNTIF($M$6:$M$505,M127)&gt;1,AND(L127="mobile",N127&lt;&gt;"invalid",OR(LEN(M127)&lt;&gt;10,LEFT(M127,2)&lt;&gt;"09"))),"REVIEW","READY")))</x:f>
      </x:c>
      <x:c r="BF127" s="238" t="str">
        <x:f>IF(BE127="","",IF(BE127="READY","",IF(B127="skip","Skipped by import_action",TRIM(IF(B127="","missing import_action; ","")&amp;IF(A127="","missing migration_customer_key; ","")&amp;IF(AND(A127&lt;&gt;"",COUNTIF($A$6:$A$505,A127)&gt;1),"duplicate migration_customer_key; ","")&amp;IF(E127="","missing branch_id; ","")&amp;IF(G127="","missing first_name; ","")&amp;IF(I127="","missing last_name; ","")&amp;IF(M127="","missing primary_phone; ","")&amp;IF(AND(M127&lt;&gt;"",COUNTIF($M$6:$M$505,M127)&gt;1),"duplicate primary_phone; ","")&amp;IF(AND(L127="mobile",N127&lt;&gt;"invalid",OR(LEN(M127)&lt;&gt;10,LEFT(M127,2)&lt;&gt;"09")),"mobile must be 09XXXXXXXX or status invalid; ","")&amp;IF(T127="","missing neighborhood_id; ","")))))</x:f>
      </x:c>
    </x:row>
    <x:row r="128">
      <x:c r="A128" s="232"/>
      <x:c r="B128" s="233"/>
      <x:c r="C128" s="234"/>
      <x:c r="D128" s="233"/>
      <x:c r="E128" s="233"/>
      <x:c r="F128" s="233"/>
      <x:c r="G128" s="233"/>
      <x:c r="H128" s="233"/>
      <x:c r="I128" s="233"/>
      <x:c r="J128" s="233"/>
      <x:c r="K128" s="233" t="str">
        <x:f>TRIM(G128&amp;" "&amp;H128&amp;" "&amp;I128&amp;IF(J128&lt;&gt;""," ("&amp;J128&amp;")",""))</x:f>
      </x:c>
      <x:c r="L128" s="233"/>
      <x:c r="M128" s="234"/>
      <x:c r="N128" s="233"/>
      <x:c r="O128" s="233"/>
      <x:c r="P128" s="233"/>
      <x:c r="Q128" s="233"/>
      <x:c r="R128" s="233"/>
      <x:c r="S128" s="233"/>
      <x:c r="T128" s="233"/>
      <x:c r="U128" s="233"/>
      <x:c r="V128" s="233"/>
      <x:c r="W128" s="235"/>
      <x:c r="X128" s="235"/>
      <x:c r="Y128" s="233"/>
      <x:c r="Z128" s="233"/>
      <x:c r="AA128" s="233"/>
      <x:c r="AB128" s="233"/>
      <x:c r="AC128" s="236"/>
      <x:c r="AD128" s="233"/>
      <x:c r="AE128" s="233"/>
      <x:c r="AF128" s="233"/>
      <x:c r="AG128" s="233"/>
      <x:c r="AH128" s="234"/>
      <x:c r="AI128" s="233"/>
      <x:c r="AJ128" s="233"/>
      <x:c r="AK128" s="233"/>
      <x:c r="AL128" s="236"/>
      <x:c r="AM128" s="233"/>
      <x:c r="AN128" s="233"/>
      <x:c r="AO128" s="234"/>
      <x:c r="AP128" s="234"/>
      <x:c r="AQ128" s="233"/>
      <x:c r="AR128" s="236"/>
      <x:c r="AS128" s="234"/>
      <x:c r="AT128" s="233"/>
      <x:c r="AU128" s="233"/>
      <x:c r="AV128" s="233"/>
      <x:c r="AW128" s="233"/>
      <x:c r="AX128" s="233"/>
      <x:c r="AY128" s="233"/>
      <x:c r="AZ128" s="236"/>
      <x:c r="BA128" s="233"/>
      <x:c r="BB128" s="233"/>
      <x:c r="BC128" s="233"/>
      <x:c r="BD128" s="233"/>
      <x:c r="BE128" s="237" t="str">
        <x:f>IF(AND(A128="",B128="",C128="",E128="",G128="",I128="",M128="",T128="",BB128="",BD128=""),"",IF(B128="skip","SKIP",IF(OR(B128="",A128="",E128="",G128="",I128="",M128="",T128="",COUNTIF($A$6:$A$505,A128)&gt;1,COUNTIF($M$6:$M$505,M128)&gt;1,AND(L128="mobile",N128&lt;&gt;"invalid",OR(LEN(M128)&lt;&gt;10,LEFT(M128,2)&lt;&gt;"09"))),"REVIEW","READY")))</x:f>
      </x:c>
      <x:c r="BF128" s="238" t="str">
        <x:f>IF(BE128="","",IF(BE128="READY","",IF(B128="skip","Skipped by import_action",TRIM(IF(B128="","missing import_action; ","")&amp;IF(A128="","missing migration_customer_key; ","")&amp;IF(AND(A128&lt;&gt;"",COUNTIF($A$6:$A$505,A128)&gt;1),"duplicate migration_customer_key; ","")&amp;IF(E128="","missing branch_id; ","")&amp;IF(G128="","missing first_name; ","")&amp;IF(I128="","missing last_name; ","")&amp;IF(M128="","missing primary_phone; ","")&amp;IF(AND(M128&lt;&gt;"",COUNTIF($M$6:$M$505,M128)&gt;1),"duplicate primary_phone; ","")&amp;IF(AND(L128="mobile",N128&lt;&gt;"invalid",OR(LEN(M128)&lt;&gt;10,LEFT(M128,2)&lt;&gt;"09")),"mobile must be 09XXXXXXXX or status invalid; ","")&amp;IF(T128="","missing neighborhood_id; ","")))))</x:f>
      </x:c>
    </x:row>
    <x:row r="129">
      <x:c r="A129" s="232"/>
      <x:c r="B129" s="233"/>
      <x:c r="C129" s="234"/>
      <x:c r="D129" s="233"/>
      <x:c r="E129" s="233"/>
      <x:c r="F129" s="233"/>
      <x:c r="G129" s="233"/>
      <x:c r="H129" s="233"/>
      <x:c r="I129" s="233"/>
      <x:c r="J129" s="233"/>
      <x:c r="K129" s="233" t="str">
        <x:f>TRIM(G129&amp;" "&amp;H129&amp;" "&amp;I129&amp;IF(J129&lt;&gt;""," ("&amp;J129&amp;")",""))</x:f>
      </x:c>
      <x:c r="L129" s="233"/>
      <x:c r="M129" s="234"/>
      <x:c r="N129" s="233"/>
      <x:c r="O129" s="233"/>
      <x:c r="P129" s="233"/>
      <x:c r="Q129" s="233"/>
      <x:c r="R129" s="233"/>
      <x:c r="S129" s="233"/>
      <x:c r="T129" s="233"/>
      <x:c r="U129" s="233"/>
      <x:c r="V129" s="233"/>
      <x:c r="W129" s="235"/>
      <x:c r="X129" s="235"/>
      <x:c r="Y129" s="233"/>
      <x:c r="Z129" s="233"/>
      <x:c r="AA129" s="233"/>
      <x:c r="AB129" s="233"/>
      <x:c r="AC129" s="236"/>
      <x:c r="AD129" s="233"/>
      <x:c r="AE129" s="233"/>
      <x:c r="AF129" s="233"/>
      <x:c r="AG129" s="233"/>
      <x:c r="AH129" s="234"/>
      <x:c r="AI129" s="233"/>
      <x:c r="AJ129" s="233"/>
      <x:c r="AK129" s="233"/>
      <x:c r="AL129" s="236"/>
      <x:c r="AM129" s="233"/>
      <x:c r="AN129" s="233"/>
      <x:c r="AO129" s="234"/>
      <x:c r="AP129" s="234"/>
      <x:c r="AQ129" s="233"/>
      <x:c r="AR129" s="236"/>
      <x:c r="AS129" s="234"/>
      <x:c r="AT129" s="233"/>
      <x:c r="AU129" s="233"/>
      <x:c r="AV129" s="233"/>
      <x:c r="AW129" s="233"/>
      <x:c r="AX129" s="233"/>
      <x:c r="AY129" s="233"/>
      <x:c r="AZ129" s="236"/>
      <x:c r="BA129" s="233"/>
      <x:c r="BB129" s="233"/>
      <x:c r="BC129" s="233"/>
      <x:c r="BD129" s="233"/>
      <x:c r="BE129" s="237" t="str">
        <x:f>IF(AND(A129="",B129="",C129="",E129="",G129="",I129="",M129="",T129="",BB129="",BD129=""),"",IF(B129="skip","SKIP",IF(OR(B129="",A129="",E129="",G129="",I129="",M129="",T129="",COUNTIF($A$6:$A$505,A129)&gt;1,COUNTIF($M$6:$M$505,M129)&gt;1,AND(L129="mobile",N129&lt;&gt;"invalid",OR(LEN(M129)&lt;&gt;10,LEFT(M129,2)&lt;&gt;"09"))),"REVIEW","READY")))</x:f>
      </x:c>
      <x:c r="BF129" s="238" t="str">
        <x:f>IF(BE129="","",IF(BE129="READY","",IF(B129="skip","Skipped by import_action",TRIM(IF(B129="","missing import_action; ","")&amp;IF(A129="","missing migration_customer_key; ","")&amp;IF(AND(A129&lt;&gt;"",COUNTIF($A$6:$A$505,A129)&gt;1),"duplicate migration_customer_key; ","")&amp;IF(E129="","missing branch_id; ","")&amp;IF(G129="","missing first_name; ","")&amp;IF(I129="","missing last_name; ","")&amp;IF(M129="","missing primary_phone; ","")&amp;IF(AND(M129&lt;&gt;"",COUNTIF($M$6:$M$505,M129)&gt;1),"duplicate primary_phone; ","")&amp;IF(AND(L129="mobile",N129&lt;&gt;"invalid",OR(LEN(M129)&lt;&gt;10,LEFT(M129,2)&lt;&gt;"09")),"mobile must be 09XXXXXXXX or status invalid; ","")&amp;IF(T129="","missing neighborhood_id; ","")))))</x:f>
      </x:c>
    </x:row>
    <x:row r="130">
      <x:c r="A130" s="232"/>
      <x:c r="B130" s="233"/>
      <x:c r="C130" s="234"/>
      <x:c r="D130" s="233"/>
      <x:c r="E130" s="233"/>
      <x:c r="F130" s="233"/>
      <x:c r="G130" s="233"/>
      <x:c r="H130" s="233"/>
      <x:c r="I130" s="233"/>
      <x:c r="J130" s="233"/>
      <x:c r="K130" s="233" t="str">
        <x:f>TRIM(G130&amp;" "&amp;H130&amp;" "&amp;I130&amp;IF(J130&lt;&gt;""," ("&amp;J130&amp;")",""))</x:f>
      </x:c>
      <x:c r="L130" s="233"/>
      <x:c r="M130" s="234"/>
      <x:c r="N130" s="233"/>
      <x:c r="O130" s="233"/>
      <x:c r="P130" s="233"/>
      <x:c r="Q130" s="233"/>
      <x:c r="R130" s="233"/>
      <x:c r="S130" s="233"/>
      <x:c r="T130" s="233"/>
      <x:c r="U130" s="233"/>
      <x:c r="V130" s="233"/>
      <x:c r="W130" s="235"/>
      <x:c r="X130" s="235"/>
      <x:c r="Y130" s="233"/>
      <x:c r="Z130" s="233"/>
      <x:c r="AA130" s="233"/>
      <x:c r="AB130" s="233"/>
      <x:c r="AC130" s="236"/>
      <x:c r="AD130" s="233"/>
      <x:c r="AE130" s="233"/>
      <x:c r="AF130" s="233"/>
      <x:c r="AG130" s="233"/>
      <x:c r="AH130" s="234"/>
      <x:c r="AI130" s="233"/>
      <x:c r="AJ130" s="233"/>
      <x:c r="AK130" s="233"/>
      <x:c r="AL130" s="236"/>
      <x:c r="AM130" s="233"/>
      <x:c r="AN130" s="233"/>
      <x:c r="AO130" s="234"/>
      <x:c r="AP130" s="234"/>
      <x:c r="AQ130" s="233"/>
      <x:c r="AR130" s="236"/>
      <x:c r="AS130" s="234"/>
      <x:c r="AT130" s="233"/>
      <x:c r="AU130" s="233"/>
      <x:c r="AV130" s="233"/>
      <x:c r="AW130" s="233"/>
      <x:c r="AX130" s="233"/>
      <x:c r="AY130" s="233"/>
      <x:c r="AZ130" s="236"/>
      <x:c r="BA130" s="233"/>
      <x:c r="BB130" s="233"/>
      <x:c r="BC130" s="233"/>
      <x:c r="BD130" s="233"/>
      <x:c r="BE130" s="237" t="str">
        <x:f>IF(AND(A130="",B130="",C130="",E130="",G130="",I130="",M130="",T130="",BB130="",BD130=""),"",IF(B130="skip","SKIP",IF(OR(B130="",A130="",E130="",G130="",I130="",M130="",T130="",COUNTIF($A$6:$A$505,A130)&gt;1,COUNTIF($M$6:$M$505,M130)&gt;1,AND(L130="mobile",N130&lt;&gt;"invalid",OR(LEN(M130)&lt;&gt;10,LEFT(M130,2)&lt;&gt;"09"))),"REVIEW","READY")))</x:f>
      </x:c>
      <x:c r="BF130" s="238" t="str">
        <x:f>IF(BE130="","",IF(BE130="READY","",IF(B130="skip","Skipped by import_action",TRIM(IF(B130="","missing import_action; ","")&amp;IF(A130="","missing migration_customer_key; ","")&amp;IF(AND(A130&lt;&gt;"",COUNTIF($A$6:$A$505,A130)&gt;1),"duplicate migration_customer_key; ","")&amp;IF(E130="","missing branch_id; ","")&amp;IF(G130="","missing first_name; ","")&amp;IF(I130="","missing last_name; ","")&amp;IF(M130="","missing primary_phone; ","")&amp;IF(AND(M130&lt;&gt;"",COUNTIF($M$6:$M$505,M130)&gt;1),"duplicate primary_phone; ","")&amp;IF(AND(L130="mobile",N130&lt;&gt;"invalid",OR(LEN(M130)&lt;&gt;10,LEFT(M130,2)&lt;&gt;"09")),"mobile must be 09XXXXXXXX or status invalid; ","")&amp;IF(T130="","missing neighborhood_id; ","")))))</x:f>
      </x:c>
    </x:row>
    <x:row r="131">
      <x:c r="A131" s="232"/>
      <x:c r="B131" s="233"/>
      <x:c r="C131" s="234"/>
      <x:c r="D131" s="233"/>
      <x:c r="E131" s="233"/>
      <x:c r="F131" s="233"/>
      <x:c r="G131" s="233"/>
      <x:c r="H131" s="233"/>
      <x:c r="I131" s="233"/>
      <x:c r="J131" s="233"/>
      <x:c r="K131" s="233" t="str">
        <x:f>TRIM(G131&amp;" "&amp;H131&amp;" "&amp;I131&amp;IF(J131&lt;&gt;""," ("&amp;J131&amp;")",""))</x:f>
      </x:c>
      <x:c r="L131" s="233"/>
      <x:c r="M131" s="234"/>
      <x:c r="N131" s="233"/>
      <x:c r="O131" s="233"/>
      <x:c r="P131" s="233"/>
      <x:c r="Q131" s="233"/>
      <x:c r="R131" s="233"/>
      <x:c r="S131" s="233"/>
      <x:c r="T131" s="233"/>
      <x:c r="U131" s="233"/>
      <x:c r="V131" s="233"/>
      <x:c r="W131" s="235"/>
      <x:c r="X131" s="235"/>
      <x:c r="Y131" s="233"/>
      <x:c r="Z131" s="233"/>
      <x:c r="AA131" s="233"/>
      <x:c r="AB131" s="233"/>
      <x:c r="AC131" s="236"/>
      <x:c r="AD131" s="233"/>
      <x:c r="AE131" s="233"/>
      <x:c r="AF131" s="233"/>
      <x:c r="AG131" s="233"/>
      <x:c r="AH131" s="234"/>
      <x:c r="AI131" s="233"/>
      <x:c r="AJ131" s="233"/>
      <x:c r="AK131" s="233"/>
      <x:c r="AL131" s="236"/>
      <x:c r="AM131" s="233"/>
      <x:c r="AN131" s="233"/>
      <x:c r="AO131" s="234"/>
      <x:c r="AP131" s="234"/>
      <x:c r="AQ131" s="233"/>
      <x:c r="AR131" s="236"/>
      <x:c r="AS131" s="234"/>
      <x:c r="AT131" s="233"/>
      <x:c r="AU131" s="233"/>
      <x:c r="AV131" s="233"/>
      <x:c r="AW131" s="233"/>
      <x:c r="AX131" s="233"/>
      <x:c r="AY131" s="233"/>
      <x:c r="AZ131" s="236"/>
      <x:c r="BA131" s="233"/>
      <x:c r="BB131" s="233"/>
      <x:c r="BC131" s="233"/>
      <x:c r="BD131" s="233"/>
      <x:c r="BE131" s="237" t="str">
        <x:f>IF(AND(A131="",B131="",C131="",E131="",G131="",I131="",M131="",T131="",BB131="",BD131=""),"",IF(B131="skip","SKIP",IF(OR(B131="",A131="",E131="",G131="",I131="",M131="",T131="",COUNTIF($A$6:$A$505,A131)&gt;1,COUNTIF($M$6:$M$505,M131)&gt;1,AND(L131="mobile",N131&lt;&gt;"invalid",OR(LEN(M131)&lt;&gt;10,LEFT(M131,2)&lt;&gt;"09"))),"REVIEW","READY")))</x:f>
      </x:c>
      <x:c r="BF131" s="238" t="str">
        <x:f>IF(BE131="","",IF(BE131="READY","",IF(B131="skip","Skipped by import_action",TRIM(IF(B131="","missing import_action; ","")&amp;IF(A131="","missing migration_customer_key; ","")&amp;IF(AND(A131&lt;&gt;"",COUNTIF($A$6:$A$505,A131)&gt;1),"duplicate migration_customer_key; ","")&amp;IF(E131="","missing branch_id; ","")&amp;IF(G131="","missing first_name; ","")&amp;IF(I131="","missing last_name; ","")&amp;IF(M131="","missing primary_phone; ","")&amp;IF(AND(M131&lt;&gt;"",COUNTIF($M$6:$M$505,M131)&gt;1),"duplicate primary_phone; ","")&amp;IF(AND(L131="mobile",N131&lt;&gt;"invalid",OR(LEN(M131)&lt;&gt;10,LEFT(M131,2)&lt;&gt;"09")),"mobile must be 09XXXXXXXX or status invalid; ","")&amp;IF(T131="","missing neighborhood_id; ","")))))</x:f>
      </x:c>
    </x:row>
    <x:row r="132">
      <x:c r="A132" s="232"/>
      <x:c r="B132" s="233"/>
      <x:c r="C132" s="234"/>
      <x:c r="D132" s="233"/>
      <x:c r="E132" s="233"/>
      <x:c r="F132" s="233"/>
      <x:c r="G132" s="233"/>
      <x:c r="H132" s="233"/>
      <x:c r="I132" s="233"/>
      <x:c r="J132" s="233"/>
      <x:c r="K132" s="233" t="str">
        <x:f>TRIM(G132&amp;" "&amp;H132&amp;" "&amp;I132&amp;IF(J132&lt;&gt;""," ("&amp;J132&amp;")",""))</x:f>
      </x:c>
      <x:c r="L132" s="233"/>
      <x:c r="M132" s="234"/>
      <x:c r="N132" s="233"/>
      <x:c r="O132" s="233"/>
      <x:c r="P132" s="233"/>
      <x:c r="Q132" s="233"/>
      <x:c r="R132" s="233"/>
      <x:c r="S132" s="233"/>
      <x:c r="T132" s="233"/>
      <x:c r="U132" s="233"/>
      <x:c r="V132" s="233"/>
      <x:c r="W132" s="235"/>
      <x:c r="X132" s="235"/>
      <x:c r="Y132" s="233"/>
      <x:c r="Z132" s="233"/>
      <x:c r="AA132" s="233"/>
      <x:c r="AB132" s="233"/>
      <x:c r="AC132" s="236"/>
      <x:c r="AD132" s="233"/>
      <x:c r="AE132" s="233"/>
      <x:c r="AF132" s="233"/>
      <x:c r="AG132" s="233"/>
      <x:c r="AH132" s="234"/>
      <x:c r="AI132" s="233"/>
      <x:c r="AJ132" s="233"/>
      <x:c r="AK132" s="233"/>
      <x:c r="AL132" s="236"/>
      <x:c r="AM132" s="233"/>
      <x:c r="AN132" s="233"/>
      <x:c r="AO132" s="234"/>
      <x:c r="AP132" s="234"/>
      <x:c r="AQ132" s="233"/>
      <x:c r="AR132" s="236"/>
      <x:c r="AS132" s="234"/>
      <x:c r="AT132" s="233"/>
      <x:c r="AU132" s="233"/>
      <x:c r="AV132" s="233"/>
      <x:c r="AW132" s="233"/>
      <x:c r="AX132" s="233"/>
      <x:c r="AY132" s="233"/>
      <x:c r="AZ132" s="236"/>
      <x:c r="BA132" s="233"/>
      <x:c r="BB132" s="233"/>
      <x:c r="BC132" s="233"/>
      <x:c r="BD132" s="233"/>
      <x:c r="BE132" s="237" t="str">
        <x:f>IF(AND(A132="",B132="",C132="",E132="",G132="",I132="",M132="",T132="",BB132="",BD132=""),"",IF(B132="skip","SKIP",IF(OR(B132="",A132="",E132="",G132="",I132="",M132="",T132="",COUNTIF($A$6:$A$505,A132)&gt;1,COUNTIF($M$6:$M$505,M132)&gt;1,AND(L132="mobile",N132&lt;&gt;"invalid",OR(LEN(M132)&lt;&gt;10,LEFT(M132,2)&lt;&gt;"09"))),"REVIEW","READY")))</x:f>
      </x:c>
      <x:c r="BF132" s="238" t="str">
        <x:f>IF(BE132="","",IF(BE132="READY","",IF(B132="skip","Skipped by import_action",TRIM(IF(B132="","missing import_action; ","")&amp;IF(A132="","missing migration_customer_key; ","")&amp;IF(AND(A132&lt;&gt;"",COUNTIF($A$6:$A$505,A132)&gt;1),"duplicate migration_customer_key; ","")&amp;IF(E132="","missing branch_id; ","")&amp;IF(G132="","missing first_name; ","")&amp;IF(I132="","missing last_name; ","")&amp;IF(M132="","missing primary_phone; ","")&amp;IF(AND(M132&lt;&gt;"",COUNTIF($M$6:$M$505,M132)&gt;1),"duplicate primary_phone; ","")&amp;IF(AND(L132="mobile",N132&lt;&gt;"invalid",OR(LEN(M132)&lt;&gt;10,LEFT(M132,2)&lt;&gt;"09")),"mobile must be 09XXXXXXXX or status invalid; ","")&amp;IF(T132="","missing neighborhood_id; ","")))))</x:f>
      </x:c>
    </x:row>
    <x:row r="133">
      <x:c r="A133" s="232"/>
      <x:c r="B133" s="233"/>
      <x:c r="C133" s="234"/>
      <x:c r="D133" s="233"/>
      <x:c r="E133" s="233"/>
      <x:c r="F133" s="233"/>
      <x:c r="G133" s="233"/>
      <x:c r="H133" s="233"/>
      <x:c r="I133" s="233"/>
      <x:c r="J133" s="233"/>
      <x:c r="K133" s="233" t="str">
        <x:f>TRIM(G133&amp;" "&amp;H133&amp;" "&amp;I133&amp;IF(J133&lt;&gt;""," ("&amp;J133&amp;")",""))</x:f>
      </x:c>
      <x:c r="L133" s="233"/>
      <x:c r="M133" s="234"/>
      <x:c r="N133" s="233"/>
      <x:c r="O133" s="233"/>
      <x:c r="P133" s="233"/>
      <x:c r="Q133" s="233"/>
      <x:c r="R133" s="233"/>
      <x:c r="S133" s="233"/>
      <x:c r="T133" s="233"/>
      <x:c r="U133" s="233"/>
      <x:c r="V133" s="233"/>
      <x:c r="W133" s="235"/>
      <x:c r="X133" s="235"/>
      <x:c r="Y133" s="233"/>
      <x:c r="Z133" s="233"/>
      <x:c r="AA133" s="233"/>
      <x:c r="AB133" s="233"/>
      <x:c r="AC133" s="236"/>
      <x:c r="AD133" s="233"/>
      <x:c r="AE133" s="233"/>
      <x:c r="AF133" s="233"/>
      <x:c r="AG133" s="233"/>
      <x:c r="AH133" s="234"/>
      <x:c r="AI133" s="233"/>
      <x:c r="AJ133" s="233"/>
      <x:c r="AK133" s="233"/>
      <x:c r="AL133" s="236"/>
      <x:c r="AM133" s="233"/>
      <x:c r="AN133" s="233"/>
      <x:c r="AO133" s="234"/>
      <x:c r="AP133" s="234"/>
      <x:c r="AQ133" s="233"/>
      <x:c r="AR133" s="236"/>
      <x:c r="AS133" s="234"/>
      <x:c r="AT133" s="233"/>
      <x:c r="AU133" s="233"/>
      <x:c r="AV133" s="233"/>
      <x:c r="AW133" s="233"/>
      <x:c r="AX133" s="233"/>
      <x:c r="AY133" s="233"/>
      <x:c r="AZ133" s="236"/>
      <x:c r="BA133" s="233"/>
      <x:c r="BB133" s="233"/>
      <x:c r="BC133" s="233"/>
      <x:c r="BD133" s="233"/>
      <x:c r="BE133" s="237" t="str">
        <x:f>IF(AND(A133="",B133="",C133="",E133="",G133="",I133="",M133="",T133="",BB133="",BD133=""),"",IF(B133="skip","SKIP",IF(OR(B133="",A133="",E133="",G133="",I133="",M133="",T133="",COUNTIF($A$6:$A$505,A133)&gt;1,COUNTIF($M$6:$M$505,M133)&gt;1,AND(L133="mobile",N133&lt;&gt;"invalid",OR(LEN(M133)&lt;&gt;10,LEFT(M133,2)&lt;&gt;"09"))),"REVIEW","READY")))</x:f>
      </x:c>
      <x:c r="BF133" s="238" t="str">
        <x:f>IF(BE133="","",IF(BE133="READY","",IF(B133="skip","Skipped by import_action",TRIM(IF(B133="","missing import_action; ","")&amp;IF(A133="","missing migration_customer_key; ","")&amp;IF(AND(A133&lt;&gt;"",COUNTIF($A$6:$A$505,A133)&gt;1),"duplicate migration_customer_key; ","")&amp;IF(E133="","missing branch_id; ","")&amp;IF(G133="","missing first_name; ","")&amp;IF(I133="","missing last_name; ","")&amp;IF(M133="","missing primary_phone; ","")&amp;IF(AND(M133&lt;&gt;"",COUNTIF($M$6:$M$505,M133)&gt;1),"duplicate primary_phone; ","")&amp;IF(AND(L133="mobile",N133&lt;&gt;"invalid",OR(LEN(M133)&lt;&gt;10,LEFT(M133,2)&lt;&gt;"09")),"mobile must be 09XXXXXXXX or status invalid; ","")&amp;IF(T133="","missing neighborhood_id; ","")))))</x:f>
      </x:c>
    </x:row>
    <x:row r="134">
      <x:c r="A134" s="232"/>
      <x:c r="B134" s="233"/>
      <x:c r="C134" s="234"/>
      <x:c r="D134" s="233"/>
      <x:c r="E134" s="233"/>
      <x:c r="F134" s="233"/>
      <x:c r="G134" s="233"/>
      <x:c r="H134" s="233"/>
      <x:c r="I134" s="233"/>
      <x:c r="J134" s="233"/>
      <x:c r="K134" s="233" t="str">
        <x:f>TRIM(G134&amp;" "&amp;H134&amp;" "&amp;I134&amp;IF(J134&lt;&gt;""," ("&amp;J134&amp;")",""))</x:f>
      </x:c>
      <x:c r="L134" s="233"/>
      <x:c r="M134" s="234"/>
      <x:c r="N134" s="233"/>
      <x:c r="O134" s="233"/>
      <x:c r="P134" s="233"/>
      <x:c r="Q134" s="233"/>
      <x:c r="R134" s="233"/>
      <x:c r="S134" s="233"/>
      <x:c r="T134" s="233"/>
      <x:c r="U134" s="233"/>
      <x:c r="V134" s="233"/>
      <x:c r="W134" s="235"/>
      <x:c r="X134" s="235"/>
      <x:c r="Y134" s="233"/>
      <x:c r="Z134" s="233"/>
      <x:c r="AA134" s="233"/>
      <x:c r="AB134" s="233"/>
      <x:c r="AC134" s="236"/>
      <x:c r="AD134" s="233"/>
      <x:c r="AE134" s="233"/>
      <x:c r="AF134" s="233"/>
      <x:c r="AG134" s="233"/>
      <x:c r="AH134" s="234"/>
      <x:c r="AI134" s="233"/>
      <x:c r="AJ134" s="233"/>
      <x:c r="AK134" s="233"/>
      <x:c r="AL134" s="236"/>
      <x:c r="AM134" s="233"/>
      <x:c r="AN134" s="233"/>
      <x:c r="AO134" s="234"/>
      <x:c r="AP134" s="234"/>
      <x:c r="AQ134" s="233"/>
      <x:c r="AR134" s="236"/>
      <x:c r="AS134" s="234"/>
      <x:c r="AT134" s="233"/>
      <x:c r="AU134" s="233"/>
      <x:c r="AV134" s="233"/>
      <x:c r="AW134" s="233"/>
      <x:c r="AX134" s="233"/>
      <x:c r="AY134" s="233"/>
      <x:c r="AZ134" s="236"/>
      <x:c r="BA134" s="233"/>
      <x:c r="BB134" s="233"/>
      <x:c r="BC134" s="233"/>
      <x:c r="BD134" s="233"/>
      <x:c r="BE134" s="237" t="str">
        <x:f>IF(AND(A134="",B134="",C134="",E134="",G134="",I134="",M134="",T134="",BB134="",BD134=""),"",IF(B134="skip","SKIP",IF(OR(B134="",A134="",E134="",G134="",I134="",M134="",T134="",COUNTIF($A$6:$A$505,A134)&gt;1,COUNTIF($M$6:$M$505,M134)&gt;1,AND(L134="mobile",N134&lt;&gt;"invalid",OR(LEN(M134)&lt;&gt;10,LEFT(M134,2)&lt;&gt;"09"))),"REVIEW","READY")))</x:f>
      </x:c>
      <x:c r="BF134" s="238" t="str">
        <x:f>IF(BE134="","",IF(BE134="READY","",IF(B134="skip","Skipped by import_action",TRIM(IF(B134="","missing import_action; ","")&amp;IF(A134="","missing migration_customer_key; ","")&amp;IF(AND(A134&lt;&gt;"",COUNTIF($A$6:$A$505,A134)&gt;1),"duplicate migration_customer_key; ","")&amp;IF(E134="","missing branch_id; ","")&amp;IF(G134="","missing first_name; ","")&amp;IF(I134="","missing last_name; ","")&amp;IF(M134="","missing primary_phone; ","")&amp;IF(AND(M134&lt;&gt;"",COUNTIF($M$6:$M$505,M134)&gt;1),"duplicate primary_phone; ","")&amp;IF(AND(L134="mobile",N134&lt;&gt;"invalid",OR(LEN(M134)&lt;&gt;10,LEFT(M134,2)&lt;&gt;"09")),"mobile must be 09XXXXXXXX or status invalid; ","")&amp;IF(T134="","missing neighborhood_id; ","")))))</x:f>
      </x:c>
    </x:row>
    <x:row r="135">
      <x:c r="A135" s="232"/>
      <x:c r="B135" s="233"/>
      <x:c r="C135" s="234"/>
      <x:c r="D135" s="233"/>
      <x:c r="E135" s="233"/>
      <x:c r="F135" s="233"/>
      <x:c r="G135" s="233"/>
      <x:c r="H135" s="233"/>
      <x:c r="I135" s="233"/>
      <x:c r="J135" s="233"/>
      <x:c r="K135" s="233" t="str">
        <x:f>TRIM(G135&amp;" "&amp;H135&amp;" "&amp;I135&amp;IF(J135&lt;&gt;""," ("&amp;J135&amp;")",""))</x:f>
      </x:c>
      <x:c r="L135" s="233"/>
      <x:c r="M135" s="234"/>
      <x:c r="N135" s="233"/>
      <x:c r="O135" s="233"/>
      <x:c r="P135" s="233"/>
      <x:c r="Q135" s="233"/>
      <x:c r="R135" s="233"/>
      <x:c r="S135" s="233"/>
      <x:c r="T135" s="233"/>
      <x:c r="U135" s="233"/>
      <x:c r="V135" s="233"/>
      <x:c r="W135" s="235"/>
      <x:c r="X135" s="235"/>
      <x:c r="Y135" s="233"/>
      <x:c r="Z135" s="233"/>
      <x:c r="AA135" s="233"/>
      <x:c r="AB135" s="233"/>
      <x:c r="AC135" s="236"/>
      <x:c r="AD135" s="233"/>
      <x:c r="AE135" s="233"/>
      <x:c r="AF135" s="233"/>
      <x:c r="AG135" s="233"/>
      <x:c r="AH135" s="234"/>
      <x:c r="AI135" s="233"/>
      <x:c r="AJ135" s="233"/>
      <x:c r="AK135" s="233"/>
      <x:c r="AL135" s="236"/>
      <x:c r="AM135" s="233"/>
      <x:c r="AN135" s="233"/>
      <x:c r="AO135" s="234"/>
      <x:c r="AP135" s="234"/>
      <x:c r="AQ135" s="233"/>
      <x:c r="AR135" s="236"/>
      <x:c r="AS135" s="234"/>
      <x:c r="AT135" s="233"/>
      <x:c r="AU135" s="233"/>
      <x:c r="AV135" s="233"/>
      <x:c r="AW135" s="233"/>
      <x:c r="AX135" s="233"/>
      <x:c r="AY135" s="233"/>
      <x:c r="AZ135" s="236"/>
      <x:c r="BA135" s="233"/>
      <x:c r="BB135" s="233"/>
      <x:c r="BC135" s="233"/>
      <x:c r="BD135" s="233"/>
      <x:c r="BE135" s="237" t="str">
        <x:f>IF(AND(A135="",B135="",C135="",E135="",G135="",I135="",M135="",T135="",BB135="",BD135=""),"",IF(B135="skip","SKIP",IF(OR(B135="",A135="",E135="",G135="",I135="",M135="",T135="",COUNTIF($A$6:$A$505,A135)&gt;1,COUNTIF($M$6:$M$505,M135)&gt;1,AND(L135="mobile",N135&lt;&gt;"invalid",OR(LEN(M135)&lt;&gt;10,LEFT(M135,2)&lt;&gt;"09"))),"REVIEW","READY")))</x:f>
      </x:c>
      <x:c r="BF135" s="238" t="str">
        <x:f>IF(BE135="","",IF(BE135="READY","",IF(B135="skip","Skipped by import_action",TRIM(IF(B135="","missing import_action; ","")&amp;IF(A135="","missing migration_customer_key; ","")&amp;IF(AND(A135&lt;&gt;"",COUNTIF($A$6:$A$505,A135)&gt;1),"duplicate migration_customer_key; ","")&amp;IF(E135="","missing branch_id; ","")&amp;IF(G135="","missing first_name; ","")&amp;IF(I135="","missing last_name; ","")&amp;IF(M135="","missing primary_phone; ","")&amp;IF(AND(M135&lt;&gt;"",COUNTIF($M$6:$M$505,M135)&gt;1),"duplicate primary_phone; ","")&amp;IF(AND(L135="mobile",N135&lt;&gt;"invalid",OR(LEN(M135)&lt;&gt;10,LEFT(M135,2)&lt;&gt;"09")),"mobile must be 09XXXXXXXX or status invalid; ","")&amp;IF(T135="","missing neighborhood_id; ","")))))</x:f>
      </x:c>
    </x:row>
    <x:row r="136">
      <x:c r="A136" s="232"/>
      <x:c r="B136" s="233"/>
      <x:c r="C136" s="234"/>
      <x:c r="D136" s="233"/>
      <x:c r="E136" s="233"/>
      <x:c r="F136" s="233"/>
      <x:c r="G136" s="233"/>
      <x:c r="H136" s="233"/>
      <x:c r="I136" s="233"/>
      <x:c r="J136" s="233"/>
      <x:c r="K136" s="233" t="str">
        <x:f>TRIM(G136&amp;" "&amp;H136&amp;" "&amp;I136&amp;IF(J136&lt;&gt;""," ("&amp;J136&amp;")",""))</x:f>
      </x:c>
      <x:c r="L136" s="233"/>
      <x:c r="M136" s="234"/>
      <x:c r="N136" s="233"/>
      <x:c r="O136" s="233"/>
      <x:c r="P136" s="233"/>
      <x:c r="Q136" s="233"/>
      <x:c r="R136" s="233"/>
      <x:c r="S136" s="233"/>
      <x:c r="T136" s="233"/>
      <x:c r="U136" s="233"/>
      <x:c r="V136" s="233"/>
      <x:c r="W136" s="235"/>
      <x:c r="X136" s="235"/>
      <x:c r="Y136" s="233"/>
      <x:c r="Z136" s="233"/>
      <x:c r="AA136" s="233"/>
      <x:c r="AB136" s="233"/>
      <x:c r="AC136" s="236"/>
      <x:c r="AD136" s="233"/>
      <x:c r="AE136" s="233"/>
      <x:c r="AF136" s="233"/>
      <x:c r="AG136" s="233"/>
      <x:c r="AH136" s="234"/>
      <x:c r="AI136" s="233"/>
      <x:c r="AJ136" s="233"/>
      <x:c r="AK136" s="233"/>
      <x:c r="AL136" s="236"/>
      <x:c r="AM136" s="233"/>
      <x:c r="AN136" s="233"/>
      <x:c r="AO136" s="234"/>
      <x:c r="AP136" s="234"/>
      <x:c r="AQ136" s="233"/>
      <x:c r="AR136" s="236"/>
      <x:c r="AS136" s="234"/>
      <x:c r="AT136" s="233"/>
      <x:c r="AU136" s="233"/>
      <x:c r="AV136" s="233"/>
      <x:c r="AW136" s="233"/>
      <x:c r="AX136" s="233"/>
      <x:c r="AY136" s="233"/>
      <x:c r="AZ136" s="236"/>
      <x:c r="BA136" s="233"/>
      <x:c r="BB136" s="233"/>
      <x:c r="BC136" s="233"/>
      <x:c r="BD136" s="233"/>
      <x:c r="BE136" s="237" t="str">
        <x:f>IF(AND(A136="",B136="",C136="",E136="",G136="",I136="",M136="",T136="",BB136="",BD136=""),"",IF(B136="skip","SKIP",IF(OR(B136="",A136="",E136="",G136="",I136="",M136="",T136="",COUNTIF($A$6:$A$505,A136)&gt;1,COUNTIF($M$6:$M$505,M136)&gt;1,AND(L136="mobile",N136&lt;&gt;"invalid",OR(LEN(M136)&lt;&gt;10,LEFT(M136,2)&lt;&gt;"09"))),"REVIEW","READY")))</x:f>
      </x:c>
      <x:c r="BF136" s="238" t="str">
        <x:f>IF(BE136="","",IF(BE136="READY","",IF(B136="skip","Skipped by import_action",TRIM(IF(B136="","missing import_action; ","")&amp;IF(A136="","missing migration_customer_key; ","")&amp;IF(AND(A136&lt;&gt;"",COUNTIF($A$6:$A$505,A136)&gt;1),"duplicate migration_customer_key; ","")&amp;IF(E136="","missing branch_id; ","")&amp;IF(G136="","missing first_name; ","")&amp;IF(I136="","missing last_name; ","")&amp;IF(M136="","missing primary_phone; ","")&amp;IF(AND(M136&lt;&gt;"",COUNTIF($M$6:$M$505,M136)&gt;1),"duplicate primary_phone; ","")&amp;IF(AND(L136="mobile",N136&lt;&gt;"invalid",OR(LEN(M136)&lt;&gt;10,LEFT(M136,2)&lt;&gt;"09")),"mobile must be 09XXXXXXXX or status invalid; ","")&amp;IF(T136="","missing neighborhood_id; ","")))))</x:f>
      </x:c>
    </x:row>
    <x:row r="137">
      <x:c r="A137" s="232"/>
      <x:c r="B137" s="233"/>
      <x:c r="C137" s="234"/>
      <x:c r="D137" s="233"/>
      <x:c r="E137" s="233"/>
      <x:c r="F137" s="233"/>
      <x:c r="G137" s="233"/>
      <x:c r="H137" s="233"/>
      <x:c r="I137" s="233"/>
      <x:c r="J137" s="233"/>
      <x:c r="K137" s="233" t="str">
        <x:f>TRIM(G137&amp;" "&amp;H137&amp;" "&amp;I137&amp;IF(J137&lt;&gt;""," ("&amp;J137&amp;")",""))</x:f>
      </x:c>
      <x:c r="L137" s="233"/>
      <x:c r="M137" s="234"/>
      <x:c r="N137" s="233"/>
      <x:c r="O137" s="233"/>
      <x:c r="P137" s="233"/>
      <x:c r="Q137" s="233"/>
      <x:c r="R137" s="233"/>
      <x:c r="S137" s="233"/>
      <x:c r="T137" s="233"/>
      <x:c r="U137" s="233"/>
      <x:c r="V137" s="233"/>
      <x:c r="W137" s="235"/>
      <x:c r="X137" s="235"/>
      <x:c r="Y137" s="233"/>
      <x:c r="Z137" s="233"/>
      <x:c r="AA137" s="233"/>
      <x:c r="AB137" s="233"/>
      <x:c r="AC137" s="236"/>
      <x:c r="AD137" s="233"/>
      <x:c r="AE137" s="233"/>
      <x:c r="AF137" s="233"/>
      <x:c r="AG137" s="233"/>
      <x:c r="AH137" s="234"/>
      <x:c r="AI137" s="233"/>
      <x:c r="AJ137" s="233"/>
      <x:c r="AK137" s="233"/>
      <x:c r="AL137" s="236"/>
      <x:c r="AM137" s="233"/>
      <x:c r="AN137" s="233"/>
      <x:c r="AO137" s="234"/>
      <x:c r="AP137" s="234"/>
      <x:c r="AQ137" s="233"/>
      <x:c r="AR137" s="236"/>
      <x:c r="AS137" s="234"/>
      <x:c r="AT137" s="233"/>
      <x:c r="AU137" s="233"/>
      <x:c r="AV137" s="233"/>
      <x:c r="AW137" s="233"/>
      <x:c r="AX137" s="233"/>
      <x:c r="AY137" s="233"/>
      <x:c r="AZ137" s="236"/>
      <x:c r="BA137" s="233"/>
      <x:c r="BB137" s="233"/>
      <x:c r="BC137" s="233"/>
      <x:c r="BD137" s="233"/>
      <x:c r="BE137" s="237" t="str">
        <x:f>IF(AND(A137="",B137="",C137="",E137="",G137="",I137="",M137="",T137="",BB137="",BD137=""),"",IF(B137="skip","SKIP",IF(OR(B137="",A137="",E137="",G137="",I137="",M137="",T137="",COUNTIF($A$6:$A$505,A137)&gt;1,COUNTIF($M$6:$M$505,M137)&gt;1,AND(L137="mobile",N137&lt;&gt;"invalid",OR(LEN(M137)&lt;&gt;10,LEFT(M137,2)&lt;&gt;"09"))),"REVIEW","READY")))</x:f>
      </x:c>
      <x:c r="BF137" s="238" t="str">
        <x:f>IF(BE137="","",IF(BE137="READY","",IF(B137="skip","Skipped by import_action",TRIM(IF(B137="","missing import_action; ","")&amp;IF(A137="","missing migration_customer_key; ","")&amp;IF(AND(A137&lt;&gt;"",COUNTIF($A$6:$A$505,A137)&gt;1),"duplicate migration_customer_key; ","")&amp;IF(E137="","missing branch_id; ","")&amp;IF(G137="","missing first_name; ","")&amp;IF(I137="","missing last_name; ","")&amp;IF(M137="","missing primary_phone; ","")&amp;IF(AND(M137&lt;&gt;"",COUNTIF($M$6:$M$505,M137)&gt;1),"duplicate primary_phone; ","")&amp;IF(AND(L137="mobile",N137&lt;&gt;"invalid",OR(LEN(M137)&lt;&gt;10,LEFT(M137,2)&lt;&gt;"09")),"mobile must be 09XXXXXXXX or status invalid; ","")&amp;IF(T137="","missing neighborhood_id; ","")))))</x:f>
      </x:c>
    </x:row>
    <x:row r="138">
      <x:c r="A138" s="232"/>
      <x:c r="B138" s="233"/>
      <x:c r="C138" s="234"/>
      <x:c r="D138" s="233"/>
      <x:c r="E138" s="233"/>
      <x:c r="F138" s="233"/>
      <x:c r="G138" s="233"/>
      <x:c r="H138" s="233"/>
      <x:c r="I138" s="233"/>
      <x:c r="J138" s="233"/>
      <x:c r="K138" s="233" t="str">
        <x:f>TRIM(G138&amp;" "&amp;H138&amp;" "&amp;I138&amp;IF(J138&lt;&gt;""," ("&amp;J138&amp;")",""))</x:f>
      </x:c>
      <x:c r="L138" s="233"/>
      <x:c r="M138" s="234"/>
      <x:c r="N138" s="233"/>
      <x:c r="O138" s="233"/>
      <x:c r="P138" s="233"/>
      <x:c r="Q138" s="233"/>
      <x:c r="R138" s="233"/>
      <x:c r="S138" s="233"/>
      <x:c r="T138" s="233"/>
      <x:c r="U138" s="233"/>
      <x:c r="V138" s="233"/>
      <x:c r="W138" s="235"/>
      <x:c r="X138" s="235"/>
      <x:c r="Y138" s="233"/>
      <x:c r="Z138" s="233"/>
      <x:c r="AA138" s="233"/>
      <x:c r="AB138" s="233"/>
      <x:c r="AC138" s="236"/>
      <x:c r="AD138" s="233"/>
      <x:c r="AE138" s="233"/>
      <x:c r="AF138" s="233"/>
      <x:c r="AG138" s="233"/>
      <x:c r="AH138" s="234"/>
      <x:c r="AI138" s="233"/>
      <x:c r="AJ138" s="233"/>
      <x:c r="AK138" s="233"/>
      <x:c r="AL138" s="236"/>
      <x:c r="AM138" s="233"/>
      <x:c r="AN138" s="233"/>
      <x:c r="AO138" s="234"/>
      <x:c r="AP138" s="234"/>
      <x:c r="AQ138" s="233"/>
      <x:c r="AR138" s="236"/>
      <x:c r="AS138" s="234"/>
      <x:c r="AT138" s="233"/>
      <x:c r="AU138" s="233"/>
      <x:c r="AV138" s="233"/>
      <x:c r="AW138" s="233"/>
      <x:c r="AX138" s="233"/>
      <x:c r="AY138" s="233"/>
      <x:c r="AZ138" s="236"/>
      <x:c r="BA138" s="233"/>
      <x:c r="BB138" s="233"/>
      <x:c r="BC138" s="233"/>
      <x:c r="BD138" s="233"/>
      <x:c r="BE138" s="237" t="str">
        <x:f>IF(AND(A138="",B138="",C138="",E138="",G138="",I138="",M138="",T138="",BB138="",BD138=""),"",IF(B138="skip","SKIP",IF(OR(B138="",A138="",E138="",G138="",I138="",M138="",T138="",COUNTIF($A$6:$A$505,A138)&gt;1,COUNTIF($M$6:$M$505,M138)&gt;1,AND(L138="mobile",N138&lt;&gt;"invalid",OR(LEN(M138)&lt;&gt;10,LEFT(M138,2)&lt;&gt;"09"))),"REVIEW","READY")))</x:f>
      </x:c>
      <x:c r="BF138" s="238" t="str">
        <x:f>IF(BE138="","",IF(BE138="READY","",IF(B138="skip","Skipped by import_action",TRIM(IF(B138="","missing import_action; ","")&amp;IF(A138="","missing migration_customer_key; ","")&amp;IF(AND(A138&lt;&gt;"",COUNTIF($A$6:$A$505,A138)&gt;1),"duplicate migration_customer_key; ","")&amp;IF(E138="","missing branch_id; ","")&amp;IF(G138="","missing first_name; ","")&amp;IF(I138="","missing last_name; ","")&amp;IF(M138="","missing primary_phone; ","")&amp;IF(AND(M138&lt;&gt;"",COUNTIF($M$6:$M$505,M138)&gt;1),"duplicate primary_phone; ","")&amp;IF(AND(L138="mobile",N138&lt;&gt;"invalid",OR(LEN(M138)&lt;&gt;10,LEFT(M138,2)&lt;&gt;"09")),"mobile must be 09XXXXXXXX or status invalid; ","")&amp;IF(T138="","missing neighborhood_id; ","")))))</x:f>
      </x:c>
    </x:row>
    <x:row r="139">
      <x:c r="A139" s="232"/>
      <x:c r="B139" s="233"/>
      <x:c r="C139" s="234"/>
      <x:c r="D139" s="233"/>
      <x:c r="E139" s="233"/>
      <x:c r="F139" s="233"/>
      <x:c r="G139" s="233"/>
      <x:c r="H139" s="233"/>
      <x:c r="I139" s="233"/>
      <x:c r="J139" s="233"/>
      <x:c r="K139" s="233" t="str">
        <x:f>TRIM(G139&amp;" "&amp;H139&amp;" "&amp;I139&amp;IF(J139&lt;&gt;""," ("&amp;J139&amp;")",""))</x:f>
      </x:c>
      <x:c r="L139" s="233"/>
      <x:c r="M139" s="234"/>
      <x:c r="N139" s="233"/>
      <x:c r="O139" s="233"/>
      <x:c r="P139" s="233"/>
      <x:c r="Q139" s="233"/>
      <x:c r="R139" s="233"/>
      <x:c r="S139" s="233"/>
      <x:c r="T139" s="233"/>
      <x:c r="U139" s="233"/>
      <x:c r="V139" s="233"/>
      <x:c r="W139" s="235"/>
      <x:c r="X139" s="235"/>
      <x:c r="Y139" s="233"/>
      <x:c r="Z139" s="233"/>
      <x:c r="AA139" s="233"/>
      <x:c r="AB139" s="233"/>
      <x:c r="AC139" s="236"/>
      <x:c r="AD139" s="233"/>
      <x:c r="AE139" s="233"/>
      <x:c r="AF139" s="233"/>
      <x:c r="AG139" s="233"/>
      <x:c r="AH139" s="234"/>
      <x:c r="AI139" s="233"/>
      <x:c r="AJ139" s="233"/>
      <x:c r="AK139" s="233"/>
      <x:c r="AL139" s="236"/>
      <x:c r="AM139" s="233"/>
      <x:c r="AN139" s="233"/>
      <x:c r="AO139" s="234"/>
      <x:c r="AP139" s="234"/>
      <x:c r="AQ139" s="233"/>
      <x:c r="AR139" s="236"/>
      <x:c r="AS139" s="234"/>
      <x:c r="AT139" s="233"/>
      <x:c r="AU139" s="233"/>
      <x:c r="AV139" s="233"/>
      <x:c r="AW139" s="233"/>
      <x:c r="AX139" s="233"/>
      <x:c r="AY139" s="233"/>
      <x:c r="AZ139" s="236"/>
      <x:c r="BA139" s="233"/>
      <x:c r="BB139" s="233"/>
      <x:c r="BC139" s="233"/>
      <x:c r="BD139" s="233"/>
      <x:c r="BE139" s="237" t="str">
        <x:f>IF(AND(A139="",B139="",C139="",E139="",G139="",I139="",M139="",T139="",BB139="",BD139=""),"",IF(B139="skip","SKIP",IF(OR(B139="",A139="",E139="",G139="",I139="",M139="",T139="",COUNTIF($A$6:$A$505,A139)&gt;1,COUNTIF($M$6:$M$505,M139)&gt;1,AND(L139="mobile",N139&lt;&gt;"invalid",OR(LEN(M139)&lt;&gt;10,LEFT(M139,2)&lt;&gt;"09"))),"REVIEW","READY")))</x:f>
      </x:c>
      <x:c r="BF139" s="238" t="str">
        <x:f>IF(BE139="","",IF(BE139="READY","",IF(B139="skip","Skipped by import_action",TRIM(IF(B139="","missing import_action; ","")&amp;IF(A139="","missing migration_customer_key; ","")&amp;IF(AND(A139&lt;&gt;"",COUNTIF($A$6:$A$505,A139)&gt;1),"duplicate migration_customer_key; ","")&amp;IF(E139="","missing branch_id; ","")&amp;IF(G139="","missing first_name; ","")&amp;IF(I139="","missing last_name; ","")&amp;IF(M139="","missing primary_phone; ","")&amp;IF(AND(M139&lt;&gt;"",COUNTIF($M$6:$M$505,M139)&gt;1),"duplicate primary_phone; ","")&amp;IF(AND(L139="mobile",N139&lt;&gt;"invalid",OR(LEN(M139)&lt;&gt;10,LEFT(M139,2)&lt;&gt;"09")),"mobile must be 09XXXXXXXX or status invalid; ","")&amp;IF(T139="","missing neighborhood_id; ","")))))</x:f>
      </x:c>
    </x:row>
    <x:row r="140">
      <x:c r="A140" s="232"/>
      <x:c r="B140" s="233"/>
      <x:c r="C140" s="234"/>
      <x:c r="D140" s="233"/>
      <x:c r="E140" s="233"/>
      <x:c r="F140" s="233"/>
      <x:c r="G140" s="233"/>
      <x:c r="H140" s="233"/>
      <x:c r="I140" s="233"/>
      <x:c r="J140" s="233"/>
      <x:c r="K140" s="233" t="str">
        <x:f>TRIM(G140&amp;" "&amp;H140&amp;" "&amp;I140&amp;IF(J140&lt;&gt;""," ("&amp;J140&amp;")",""))</x:f>
      </x:c>
      <x:c r="L140" s="233"/>
      <x:c r="M140" s="234"/>
      <x:c r="N140" s="233"/>
      <x:c r="O140" s="233"/>
      <x:c r="P140" s="233"/>
      <x:c r="Q140" s="233"/>
      <x:c r="R140" s="233"/>
      <x:c r="S140" s="233"/>
      <x:c r="T140" s="233"/>
      <x:c r="U140" s="233"/>
      <x:c r="V140" s="233"/>
      <x:c r="W140" s="235"/>
      <x:c r="X140" s="235"/>
      <x:c r="Y140" s="233"/>
      <x:c r="Z140" s="233"/>
      <x:c r="AA140" s="233"/>
      <x:c r="AB140" s="233"/>
      <x:c r="AC140" s="236"/>
      <x:c r="AD140" s="233"/>
      <x:c r="AE140" s="233"/>
      <x:c r="AF140" s="233"/>
      <x:c r="AG140" s="233"/>
      <x:c r="AH140" s="234"/>
      <x:c r="AI140" s="233"/>
      <x:c r="AJ140" s="233"/>
      <x:c r="AK140" s="233"/>
      <x:c r="AL140" s="236"/>
      <x:c r="AM140" s="233"/>
      <x:c r="AN140" s="233"/>
      <x:c r="AO140" s="234"/>
      <x:c r="AP140" s="234"/>
      <x:c r="AQ140" s="233"/>
      <x:c r="AR140" s="236"/>
      <x:c r="AS140" s="234"/>
      <x:c r="AT140" s="233"/>
      <x:c r="AU140" s="233"/>
      <x:c r="AV140" s="233"/>
      <x:c r="AW140" s="233"/>
      <x:c r="AX140" s="233"/>
      <x:c r="AY140" s="233"/>
      <x:c r="AZ140" s="236"/>
      <x:c r="BA140" s="233"/>
      <x:c r="BB140" s="233"/>
      <x:c r="BC140" s="233"/>
      <x:c r="BD140" s="233"/>
      <x:c r="BE140" s="237" t="str">
        <x:f>IF(AND(A140="",B140="",C140="",E140="",G140="",I140="",M140="",T140="",BB140="",BD140=""),"",IF(B140="skip","SKIP",IF(OR(B140="",A140="",E140="",G140="",I140="",M140="",T140="",COUNTIF($A$6:$A$505,A140)&gt;1,COUNTIF($M$6:$M$505,M140)&gt;1,AND(L140="mobile",N140&lt;&gt;"invalid",OR(LEN(M140)&lt;&gt;10,LEFT(M140,2)&lt;&gt;"09"))),"REVIEW","READY")))</x:f>
      </x:c>
      <x:c r="BF140" s="238" t="str">
        <x:f>IF(BE140="","",IF(BE140="READY","",IF(B140="skip","Skipped by import_action",TRIM(IF(B140="","missing import_action; ","")&amp;IF(A140="","missing migration_customer_key; ","")&amp;IF(AND(A140&lt;&gt;"",COUNTIF($A$6:$A$505,A140)&gt;1),"duplicate migration_customer_key; ","")&amp;IF(E140="","missing branch_id; ","")&amp;IF(G140="","missing first_name; ","")&amp;IF(I140="","missing last_name; ","")&amp;IF(M140="","missing primary_phone; ","")&amp;IF(AND(M140&lt;&gt;"",COUNTIF($M$6:$M$505,M140)&gt;1),"duplicate primary_phone; ","")&amp;IF(AND(L140="mobile",N140&lt;&gt;"invalid",OR(LEN(M140)&lt;&gt;10,LEFT(M140,2)&lt;&gt;"09")),"mobile must be 09XXXXXXXX or status invalid; ","")&amp;IF(T140="","missing neighborhood_id; ","")))))</x:f>
      </x:c>
    </x:row>
    <x:row r="141">
      <x:c r="A141" s="232"/>
      <x:c r="B141" s="233"/>
      <x:c r="C141" s="234"/>
      <x:c r="D141" s="233"/>
      <x:c r="E141" s="233"/>
      <x:c r="F141" s="233"/>
      <x:c r="G141" s="233"/>
      <x:c r="H141" s="233"/>
      <x:c r="I141" s="233"/>
      <x:c r="J141" s="233"/>
      <x:c r="K141" s="233" t="str">
        <x:f>TRIM(G141&amp;" "&amp;H141&amp;" "&amp;I141&amp;IF(J141&lt;&gt;""," ("&amp;J141&amp;")",""))</x:f>
      </x:c>
      <x:c r="L141" s="233"/>
      <x:c r="M141" s="234"/>
      <x:c r="N141" s="233"/>
      <x:c r="O141" s="233"/>
      <x:c r="P141" s="233"/>
      <x:c r="Q141" s="233"/>
      <x:c r="R141" s="233"/>
      <x:c r="S141" s="233"/>
      <x:c r="T141" s="233"/>
      <x:c r="U141" s="233"/>
      <x:c r="V141" s="233"/>
      <x:c r="W141" s="235"/>
      <x:c r="X141" s="235"/>
      <x:c r="Y141" s="233"/>
      <x:c r="Z141" s="233"/>
      <x:c r="AA141" s="233"/>
      <x:c r="AB141" s="233"/>
      <x:c r="AC141" s="236"/>
      <x:c r="AD141" s="233"/>
      <x:c r="AE141" s="233"/>
      <x:c r="AF141" s="233"/>
      <x:c r="AG141" s="233"/>
      <x:c r="AH141" s="234"/>
      <x:c r="AI141" s="233"/>
      <x:c r="AJ141" s="233"/>
      <x:c r="AK141" s="233"/>
      <x:c r="AL141" s="236"/>
      <x:c r="AM141" s="233"/>
      <x:c r="AN141" s="233"/>
      <x:c r="AO141" s="234"/>
      <x:c r="AP141" s="234"/>
      <x:c r="AQ141" s="233"/>
      <x:c r="AR141" s="236"/>
      <x:c r="AS141" s="234"/>
      <x:c r="AT141" s="233"/>
      <x:c r="AU141" s="233"/>
      <x:c r="AV141" s="233"/>
      <x:c r="AW141" s="233"/>
      <x:c r="AX141" s="233"/>
      <x:c r="AY141" s="233"/>
      <x:c r="AZ141" s="236"/>
      <x:c r="BA141" s="233"/>
      <x:c r="BB141" s="233"/>
      <x:c r="BC141" s="233"/>
      <x:c r="BD141" s="233"/>
      <x:c r="BE141" s="237" t="str">
        <x:f>IF(AND(A141="",B141="",C141="",E141="",G141="",I141="",M141="",T141="",BB141="",BD141=""),"",IF(B141="skip","SKIP",IF(OR(B141="",A141="",E141="",G141="",I141="",M141="",T141="",COUNTIF($A$6:$A$505,A141)&gt;1,COUNTIF($M$6:$M$505,M141)&gt;1,AND(L141="mobile",N141&lt;&gt;"invalid",OR(LEN(M141)&lt;&gt;10,LEFT(M141,2)&lt;&gt;"09"))),"REVIEW","READY")))</x:f>
      </x:c>
      <x:c r="BF141" s="238" t="str">
        <x:f>IF(BE141="","",IF(BE141="READY","",IF(B141="skip","Skipped by import_action",TRIM(IF(B141="","missing import_action; ","")&amp;IF(A141="","missing migration_customer_key; ","")&amp;IF(AND(A141&lt;&gt;"",COUNTIF($A$6:$A$505,A141)&gt;1),"duplicate migration_customer_key; ","")&amp;IF(E141="","missing branch_id; ","")&amp;IF(G141="","missing first_name; ","")&amp;IF(I141="","missing last_name; ","")&amp;IF(M141="","missing primary_phone; ","")&amp;IF(AND(M141&lt;&gt;"",COUNTIF($M$6:$M$505,M141)&gt;1),"duplicate primary_phone; ","")&amp;IF(AND(L141="mobile",N141&lt;&gt;"invalid",OR(LEN(M141)&lt;&gt;10,LEFT(M141,2)&lt;&gt;"09")),"mobile must be 09XXXXXXXX or status invalid; ","")&amp;IF(T141="","missing neighborhood_id; ","")))))</x:f>
      </x:c>
    </x:row>
    <x:row r="142">
      <x:c r="A142" s="232"/>
      <x:c r="B142" s="233"/>
      <x:c r="C142" s="234"/>
      <x:c r="D142" s="233"/>
      <x:c r="E142" s="233"/>
      <x:c r="F142" s="233"/>
      <x:c r="G142" s="233"/>
      <x:c r="H142" s="233"/>
      <x:c r="I142" s="233"/>
      <x:c r="J142" s="233"/>
      <x:c r="K142" s="233" t="str">
        <x:f>TRIM(G142&amp;" "&amp;H142&amp;" "&amp;I142&amp;IF(J142&lt;&gt;""," ("&amp;J142&amp;")",""))</x:f>
      </x:c>
      <x:c r="L142" s="233"/>
      <x:c r="M142" s="234"/>
      <x:c r="N142" s="233"/>
      <x:c r="O142" s="233"/>
      <x:c r="P142" s="233"/>
      <x:c r="Q142" s="233"/>
      <x:c r="R142" s="233"/>
      <x:c r="S142" s="233"/>
      <x:c r="T142" s="233"/>
      <x:c r="U142" s="233"/>
      <x:c r="V142" s="233"/>
      <x:c r="W142" s="235"/>
      <x:c r="X142" s="235"/>
      <x:c r="Y142" s="233"/>
      <x:c r="Z142" s="233"/>
      <x:c r="AA142" s="233"/>
      <x:c r="AB142" s="233"/>
      <x:c r="AC142" s="236"/>
      <x:c r="AD142" s="233"/>
      <x:c r="AE142" s="233"/>
      <x:c r="AF142" s="233"/>
      <x:c r="AG142" s="233"/>
      <x:c r="AH142" s="234"/>
      <x:c r="AI142" s="233"/>
      <x:c r="AJ142" s="233"/>
      <x:c r="AK142" s="233"/>
      <x:c r="AL142" s="236"/>
      <x:c r="AM142" s="233"/>
      <x:c r="AN142" s="233"/>
      <x:c r="AO142" s="234"/>
      <x:c r="AP142" s="234"/>
      <x:c r="AQ142" s="233"/>
      <x:c r="AR142" s="236"/>
      <x:c r="AS142" s="234"/>
      <x:c r="AT142" s="233"/>
      <x:c r="AU142" s="233"/>
      <x:c r="AV142" s="233"/>
      <x:c r="AW142" s="233"/>
      <x:c r="AX142" s="233"/>
      <x:c r="AY142" s="233"/>
      <x:c r="AZ142" s="236"/>
      <x:c r="BA142" s="233"/>
      <x:c r="BB142" s="233"/>
      <x:c r="BC142" s="233"/>
      <x:c r="BD142" s="233"/>
      <x:c r="BE142" s="237" t="str">
        <x:f>IF(AND(A142="",B142="",C142="",E142="",G142="",I142="",M142="",T142="",BB142="",BD142=""),"",IF(B142="skip","SKIP",IF(OR(B142="",A142="",E142="",G142="",I142="",M142="",T142="",COUNTIF($A$6:$A$505,A142)&gt;1,COUNTIF($M$6:$M$505,M142)&gt;1,AND(L142="mobile",N142&lt;&gt;"invalid",OR(LEN(M142)&lt;&gt;10,LEFT(M142,2)&lt;&gt;"09"))),"REVIEW","READY")))</x:f>
      </x:c>
      <x:c r="BF142" s="238" t="str">
        <x:f>IF(BE142="","",IF(BE142="READY","",IF(B142="skip","Skipped by import_action",TRIM(IF(B142="","missing import_action; ","")&amp;IF(A142="","missing migration_customer_key; ","")&amp;IF(AND(A142&lt;&gt;"",COUNTIF($A$6:$A$505,A142)&gt;1),"duplicate migration_customer_key; ","")&amp;IF(E142="","missing branch_id; ","")&amp;IF(G142="","missing first_name; ","")&amp;IF(I142="","missing last_name; ","")&amp;IF(M142="","missing primary_phone; ","")&amp;IF(AND(M142&lt;&gt;"",COUNTIF($M$6:$M$505,M142)&gt;1),"duplicate primary_phone; ","")&amp;IF(AND(L142="mobile",N142&lt;&gt;"invalid",OR(LEN(M142)&lt;&gt;10,LEFT(M142,2)&lt;&gt;"09")),"mobile must be 09XXXXXXXX or status invalid; ","")&amp;IF(T142="","missing neighborhood_id; ","")))))</x:f>
      </x:c>
    </x:row>
    <x:row r="143">
      <x:c r="A143" s="232"/>
      <x:c r="B143" s="233"/>
      <x:c r="C143" s="234"/>
      <x:c r="D143" s="233"/>
      <x:c r="E143" s="233"/>
      <x:c r="F143" s="233"/>
      <x:c r="G143" s="233"/>
      <x:c r="H143" s="233"/>
      <x:c r="I143" s="233"/>
      <x:c r="J143" s="233"/>
      <x:c r="K143" s="233" t="str">
        <x:f>TRIM(G143&amp;" "&amp;H143&amp;" "&amp;I143&amp;IF(J143&lt;&gt;""," ("&amp;J143&amp;")",""))</x:f>
      </x:c>
      <x:c r="L143" s="233"/>
      <x:c r="M143" s="234"/>
      <x:c r="N143" s="233"/>
      <x:c r="O143" s="233"/>
      <x:c r="P143" s="233"/>
      <x:c r="Q143" s="233"/>
      <x:c r="R143" s="233"/>
      <x:c r="S143" s="233"/>
      <x:c r="T143" s="233"/>
      <x:c r="U143" s="233"/>
      <x:c r="V143" s="233"/>
      <x:c r="W143" s="235"/>
      <x:c r="X143" s="235"/>
      <x:c r="Y143" s="233"/>
      <x:c r="Z143" s="233"/>
      <x:c r="AA143" s="233"/>
      <x:c r="AB143" s="233"/>
      <x:c r="AC143" s="236"/>
      <x:c r="AD143" s="233"/>
      <x:c r="AE143" s="233"/>
      <x:c r="AF143" s="233"/>
      <x:c r="AG143" s="233"/>
      <x:c r="AH143" s="234"/>
      <x:c r="AI143" s="233"/>
      <x:c r="AJ143" s="233"/>
      <x:c r="AK143" s="233"/>
      <x:c r="AL143" s="236"/>
      <x:c r="AM143" s="233"/>
      <x:c r="AN143" s="233"/>
      <x:c r="AO143" s="234"/>
      <x:c r="AP143" s="234"/>
      <x:c r="AQ143" s="233"/>
      <x:c r="AR143" s="236"/>
      <x:c r="AS143" s="234"/>
      <x:c r="AT143" s="233"/>
      <x:c r="AU143" s="233"/>
      <x:c r="AV143" s="233"/>
      <x:c r="AW143" s="233"/>
      <x:c r="AX143" s="233"/>
      <x:c r="AY143" s="233"/>
      <x:c r="AZ143" s="236"/>
      <x:c r="BA143" s="233"/>
      <x:c r="BB143" s="233"/>
      <x:c r="BC143" s="233"/>
      <x:c r="BD143" s="233"/>
      <x:c r="BE143" s="237" t="str">
        <x:f>IF(AND(A143="",B143="",C143="",E143="",G143="",I143="",M143="",T143="",BB143="",BD143=""),"",IF(B143="skip","SKIP",IF(OR(B143="",A143="",E143="",G143="",I143="",M143="",T143="",COUNTIF($A$6:$A$505,A143)&gt;1,COUNTIF($M$6:$M$505,M143)&gt;1,AND(L143="mobile",N143&lt;&gt;"invalid",OR(LEN(M143)&lt;&gt;10,LEFT(M143,2)&lt;&gt;"09"))),"REVIEW","READY")))</x:f>
      </x:c>
      <x:c r="BF143" s="238" t="str">
        <x:f>IF(BE143="","",IF(BE143="READY","",IF(B143="skip","Skipped by import_action",TRIM(IF(B143="","missing import_action; ","")&amp;IF(A143="","missing migration_customer_key; ","")&amp;IF(AND(A143&lt;&gt;"",COUNTIF($A$6:$A$505,A143)&gt;1),"duplicate migration_customer_key; ","")&amp;IF(E143="","missing branch_id; ","")&amp;IF(G143="","missing first_name; ","")&amp;IF(I143="","missing last_name; ","")&amp;IF(M143="","missing primary_phone; ","")&amp;IF(AND(M143&lt;&gt;"",COUNTIF($M$6:$M$505,M143)&gt;1),"duplicate primary_phone; ","")&amp;IF(AND(L143="mobile",N143&lt;&gt;"invalid",OR(LEN(M143)&lt;&gt;10,LEFT(M143,2)&lt;&gt;"09")),"mobile must be 09XXXXXXXX or status invalid; ","")&amp;IF(T143="","missing neighborhood_id; ","")))))</x:f>
      </x:c>
    </x:row>
    <x:row r="144">
      <x:c r="A144" s="232"/>
      <x:c r="B144" s="233"/>
      <x:c r="C144" s="234"/>
      <x:c r="D144" s="233"/>
      <x:c r="E144" s="233"/>
      <x:c r="F144" s="233"/>
      <x:c r="G144" s="233"/>
      <x:c r="H144" s="233"/>
      <x:c r="I144" s="233"/>
      <x:c r="J144" s="233"/>
      <x:c r="K144" s="233" t="str">
        <x:f>TRIM(G144&amp;" "&amp;H144&amp;" "&amp;I144&amp;IF(J144&lt;&gt;""," ("&amp;J144&amp;")",""))</x:f>
      </x:c>
      <x:c r="L144" s="233"/>
      <x:c r="M144" s="234"/>
      <x:c r="N144" s="233"/>
      <x:c r="O144" s="233"/>
      <x:c r="P144" s="233"/>
      <x:c r="Q144" s="233"/>
      <x:c r="R144" s="233"/>
      <x:c r="S144" s="233"/>
      <x:c r="T144" s="233"/>
      <x:c r="U144" s="233"/>
      <x:c r="V144" s="233"/>
      <x:c r="W144" s="235"/>
      <x:c r="X144" s="235"/>
      <x:c r="Y144" s="233"/>
      <x:c r="Z144" s="233"/>
      <x:c r="AA144" s="233"/>
      <x:c r="AB144" s="233"/>
      <x:c r="AC144" s="236"/>
      <x:c r="AD144" s="233"/>
      <x:c r="AE144" s="233"/>
      <x:c r="AF144" s="233"/>
      <x:c r="AG144" s="233"/>
      <x:c r="AH144" s="234"/>
      <x:c r="AI144" s="233"/>
      <x:c r="AJ144" s="233"/>
      <x:c r="AK144" s="233"/>
      <x:c r="AL144" s="236"/>
      <x:c r="AM144" s="233"/>
      <x:c r="AN144" s="233"/>
      <x:c r="AO144" s="234"/>
      <x:c r="AP144" s="234"/>
      <x:c r="AQ144" s="233"/>
      <x:c r="AR144" s="236"/>
      <x:c r="AS144" s="234"/>
      <x:c r="AT144" s="233"/>
      <x:c r="AU144" s="233"/>
      <x:c r="AV144" s="233"/>
      <x:c r="AW144" s="233"/>
      <x:c r="AX144" s="233"/>
      <x:c r="AY144" s="233"/>
      <x:c r="AZ144" s="236"/>
      <x:c r="BA144" s="233"/>
      <x:c r="BB144" s="233"/>
      <x:c r="BC144" s="233"/>
      <x:c r="BD144" s="233"/>
      <x:c r="BE144" s="237" t="str">
        <x:f>IF(AND(A144="",B144="",C144="",E144="",G144="",I144="",M144="",T144="",BB144="",BD144=""),"",IF(B144="skip","SKIP",IF(OR(B144="",A144="",E144="",G144="",I144="",M144="",T144="",COUNTIF($A$6:$A$505,A144)&gt;1,COUNTIF($M$6:$M$505,M144)&gt;1,AND(L144="mobile",N144&lt;&gt;"invalid",OR(LEN(M144)&lt;&gt;10,LEFT(M144,2)&lt;&gt;"09"))),"REVIEW","READY")))</x:f>
      </x:c>
      <x:c r="BF144" s="238" t="str">
        <x:f>IF(BE144="","",IF(BE144="READY","",IF(B144="skip","Skipped by import_action",TRIM(IF(B144="","missing import_action; ","")&amp;IF(A144="","missing migration_customer_key; ","")&amp;IF(AND(A144&lt;&gt;"",COUNTIF($A$6:$A$505,A144)&gt;1),"duplicate migration_customer_key; ","")&amp;IF(E144="","missing branch_id; ","")&amp;IF(G144="","missing first_name; ","")&amp;IF(I144="","missing last_name; ","")&amp;IF(M144="","missing primary_phone; ","")&amp;IF(AND(M144&lt;&gt;"",COUNTIF($M$6:$M$505,M144)&gt;1),"duplicate primary_phone; ","")&amp;IF(AND(L144="mobile",N144&lt;&gt;"invalid",OR(LEN(M144)&lt;&gt;10,LEFT(M144,2)&lt;&gt;"09")),"mobile must be 09XXXXXXXX or status invalid; ","")&amp;IF(T144="","missing neighborhood_id; ","")))))</x:f>
      </x:c>
    </x:row>
    <x:row r="145">
      <x:c r="A145" s="232"/>
      <x:c r="B145" s="233"/>
      <x:c r="C145" s="234"/>
      <x:c r="D145" s="233"/>
      <x:c r="E145" s="233"/>
      <x:c r="F145" s="233"/>
      <x:c r="G145" s="233"/>
      <x:c r="H145" s="233"/>
      <x:c r="I145" s="233"/>
      <x:c r="J145" s="233"/>
      <x:c r="K145" s="233" t="str">
        <x:f>TRIM(G145&amp;" "&amp;H145&amp;" "&amp;I145&amp;IF(J145&lt;&gt;""," ("&amp;J145&amp;")",""))</x:f>
      </x:c>
      <x:c r="L145" s="233"/>
      <x:c r="M145" s="234"/>
      <x:c r="N145" s="233"/>
      <x:c r="O145" s="233"/>
      <x:c r="P145" s="233"/>
      <x:c r="Q145" s="233"/>
      <x:c r="R145" s="233"/>
      <x:c r="S145" s="233"/>
      <x:c r="T145" s="233"/>
      <x:c r="U145" s="233"/>
      <x:c r="V145" s="233"/>
      <x:c r="W145" s="235"/>
      <x:c r="X145" s="235"/>
      <x:c r="Y145" s="233"/>
      <x:c r="Z145" s="233"/>
      <x:c r="AA145" s="233"/>
      <x:c r="AB145" s="233"/>
      <x:c r="AC145" s="236"/>
      <x:c r="AD145" s="233"/>
      <x:c r="AE145" s="233"/>
      <x:c r="AF145" s="233"/>
      <x:c r="AG145" s="233"/>
      <x:c r="AH145" s="234"/>
      <x:c r="AI145" s="233"/>
      <x:c r="AJ145" s="233"/>
      <x:c r="AK145" s="233"/>
      <x:c r="AL145" s="236"/>
      <x:c r="AM145" s="233"/>
      <x:c r="AN145" s="233"/>
      <x:c r="AO145" s="234"/>
      <x:c r="AP145" s="234"/>
      <x:c r="AQ145" s="233"/>
      <x:c r="AR145" s="236"/>
      <x:c r="AS145" s="234"/>
      <x:c r="AT145" s="233"/>
      <x:c r="AU145" s="233"/>
      <x:c r="AV145" s="233"/>
      <x:c r="AW145" s="233"/>
      <x:c r="AX145" s="233"/>
      <x:c r="AY145" s="233"/>
      <x:c r="AZ145" s="236"/>
      <x:c r="BA145" s="233"/>
      <x:c r="BB145" s="233"/>
      <x:c r="BC145" s="233"/>
      <x:c r="BD145" s="233"/>
      <x:c r="BE145" s="237" t="str">
        <x:f>IF(AND(A145="",B145="",C145="",E145="",G145="",I145="",M145="",T145="",BB145="",BD145=""),"",IF(B145="skip","SKIP",IF(OR(B145="",A145="",E145="",G145="",I145="",M145="",T145="",COUNTIF($A$6:$A$505,A145)&gt;1,COUNTIF($M$6:$M$505,M145)&gt;1,AND(L145="mobile",N145&lt;&gt;"invalid",OR(LEN(M145)&lt;&gt;10,LEFT(M145,2)&lt;&gt;"09"))),"REVIEW","READY")))</x:f>
      </x:c>
      <x:c r="BF145" s="238" t="str">
        <x:f>IF(BE145="","",IF(BE145="READY","",IF(B145="skip","Skipped by import_action",TRIM(IF(B145="","missing import_action; ","")&amp;IF(A145="","missing migration_customer_key; ","")&amp;IF(AND(A145&lt;&gt;"",COUNTIF($A$6:$A$505,A145)&gt;1),"duplicate migration_customer_key; ","")&amp;IF(E145="","missing branch_id; ","")&amp;IF(G145="","missing first_name; ","")&amp;IF(I145="","missing last_name; ","")&amp;IF(M145="","missing primary_phone; ","")&amp;IF(AND(M145&lt;&gt;"",COUNTIF($M$6:$M$505,M145)&gt;1),"duplicate primary_phone; ","")&amp;IF(AND(L145="mobile",N145&lt;&gt;"invalid",OR(LEN(M145)&lt;&gt;10,LEFT(M145,2)&lt;&gt;"09")),"mobile must be 09XXXXXXXX or status invalid; ","")&amp;IF(T145="","missing neighborhood_id; ","")))))</x:f>
      </x:c>
    </x:row>
    <x:row r="146">
      <x:c r="A146" s="232"/>
      <x:c r="B146" s="233"/>
      <x:c r="C146" s="234"/>
      <x:c r="D146" s="233"/>
      <x:c r="E146" s="233"/>
      <x:c r="F146" s="233"/>
      <x:c r="G146" s="233"/>
      <x:c r="H146" s="233"/>
      <x:c r="I146" s="233"/>
      <x:c r="J146" s="233"/>
      <x:c r="K146" s="233" t="str">
        <x:f>TRIM(G146&amp;" "&amp;H146&amp;" "&amp;I146&amp;IF(J146&lt;&gt;""," ("&amp;J146&amp;")",""))</x:f>
      </x:c>
      <x:c r="L146" s="233"/>
      <x:c r="M146" s="234"/>
      <x:c r="N146" s="233"/>
      <x:c r="O146" s="233"/>
      <x:c r="P146" s="233"/>
      <x:c r="Q146" s="233"/>
      <x:c r="R146" s="233"/>
      <x:c r="S146" s="233"/>
      <x:c r="T146" s="233"/>
      <x:c r="U146" s="233"/>
      <x:c r="V146" s="233"/>
      <x:c r="W146" s="235"/>
      <x:c r="X146" s="235"/>
      <x:c r="Y146" s="233"/>
      <x:c r="Z146" s="233"/>
      <x:c r="AA146" s="233"/>
      <x:c r="AB146" s="233"/>
      <x:c r="AC146" s="236"/>
      <x:c r="AD146" s="233"/>
      <x:c r="AE146" s="233"/>
      <x:c r="AF146" s="233"/>
      <x:c r="AG146" s="233"/>
      <x:c r="AH146" s="234"/>
      <x:c r="AI146" s="233"/>
      <x:c r="AJ146" s="233"/>
      <x:c r="AK146" s="233"/>
      <x:c r="AL146" s="236"/>
      <x:c r="AM146" s="233"/>
      <x:c r="AN146" s="233"/>
      <x:c r="AO146" s="234"/>
      <x:c r="AP146" s="234"/>
      <x:c r="AQ146" s="233"/>
      <x:c r="AR146" s="236"/>
      <x:c r="AS146" s="234"/>
      <x:c r="AT146" s="233"/>
      <x:c r="AU146" s="233"/>
      <x:c r="AV146" s="233"/>
      <x:c r="AW146" s="233"/>
      <x:c r="AX146" s="233"/>
      <x:c r="AY146" s="233"/>
      <x:c r="AZ146" s="236"/>
      <x:c r="BA146" s="233"/>
      <x:c r="BB146" s="233"/>
      <x:c r="BC146" s="233"/>
      <x:c r="BD146" s="233"/>
      <x:c r="BE146" s="237" t="str">
        <x:f>IF(AND(A146="",B146="",C146="",E146="",G146="",I146="",M146="",T146="",BB146="",BD146=""),"",IF(B146="skip","SKIP",IF(OR(B146="",A146="",E146="",G146="",I146="",M146="",T146="",COUNTIF($A$6:$A$505,A146)&gt;1,COUNTIF($M$6:$M$505,M146)&gt;1,AND(L146="mobile",N146&lt;&gt;"invalid",OR(LEN(M146)&lt;&gt;10,LEFT(M146,2)&lt;&gt;"09"))),"REVIEW","READY")))</x:f>
      </x:c>
      <x:c r="BF146" s="238" t="str">
        <x:f>IF(BE146="","",IF(BE146="READY","",IF(B146="skip","Skipped by import_action",TRIM(IF(B146="","missing import_action; ","")&amp;IF(A146="","missing migration_customer_key; ","")&amp;IF(AND(A146&lt;&gt;"",COUNTIF($A$6:$A$505,A146)&gt;1),"duplicate migration_customer_key; ","")&amp;IF(E146="","missing branch_id; ","")&amp;IF(G146="","missing first_name; ","")&amp;IF(I146="","missing last_name; ","")&amp;IF(M146="","missing primary_phone; ","")&amp;IF(AND(M146&lt;&gt;"",COUNTIF($M$6:$M$505,M146)&gt;1),"duplicate primary_phone; ","")&amp;IF(AND(L146="mobile",N146&lt;&gt;"invalid",OR(LEN(M146)&lt;&gt;10,LEFT(M146,2)&lt;&gt;"09")),"mobile must be 09XXXXXXXX or status invalid; ","")&amp;IF(T146="","missing neighborhood_id; ","")))))</x:f>
      </x:c>
    </x:row>
    <x:row r="147">
      <x:c r="A147" s="232"/>
      <x:c r="B147" s="233"/>
      <x:c r="C147" s="234"/>
      <x:c r="D147" s="233"/>
      <x:c r="E147" s="233"/>
      <x:c r="F147" s="233"/>
      <x:c r="G147" s="233"/>
      <x:c r="H147" s="233"/>
      <x:c r="I147" s="233"/>
      <x:c r="J147" s="233"/>
      <x:c r="K147" s="233" t="str">
        <x:f>TRIM(G147&amp;" "&amp;H147&amp;" "&amp;I147&amp;IF(J147&lt;&gt;""," ("&amp;J147&amp;")",""))</x:f>
      </x:c>
      <x:c r="L147" s="233"/>
      <x:c r="M147" s="234"/>
      <x:c r="N147" s="233"/>
      <x:c r="O147" s="233"/>
      <x:c r="P147" s="233"/>
      <x:c r="Q147" s="233"/>
      <x:c r="R147" s="233"/>
      <x:c r="S147" s="233"/>
      <x:c r="T147" s="233"/>
      <x:c r="U147" s="233"/>
      <x:c r="V147" s="233"/>
      <x:c r="W147" s="235"/>
      <x:c r="X147" s="235"/>
      <x:c r="Y147" s="233"/>
      <x:c r="Z147" s="233"/>
      <x:c r="AA147" s="233"/>
      <x:c r="AB147" s="233"/>
      <x:c r="AC147" s="236"/>
      <x:c r="AD147" s="233"/>
      <x:c r="AE147" s="233"/>
      <x:c r="AF147" s="233"/>
      <x:c r="AG147" s="233"/>
      <x:c r="AH147" s="234"/>
      <x:c r="AI147" s="233"/>
      <x:c r="AJ147" s="233"/>
      <x:c r="AK147" s="233"/>
      <x:c r="AL147" s="236"/>
      <x:c r="AM147" s="233"/>
      <x:c r="AN147" s="233"/>
      <x:c r="AO147" s="234"/>
      <x:c r="AP147" s="234"/>
      <x:c r="AQ147" s="233"/>
      <x:c r="AR147" s="236"/>
      <x:c r="AS147" s="234"/>
      <x:c r="AT147" s="233"/>
      <x:c r="AU147" s="233"/>
      <x:c r="AV147" s="233"/>
      <x:c r="AW147" s="233"/>
      <x:c r="AX147" s="233"/>
      <x:c r="AY147" s="233"/>
      <x:c r="AZ147" s="236"/>
      <x:c r="BA147" s="233"/>
      <x:c r="BB147" s="233"/>
      <x:c r="BC147" s="233"/>
      <x:c r="BD147" s="233"/>
      <x:c r="BE147" s="237" t="str">
        <x:f>IF(AND(A147="",B147="",C147="",E147="",G147="",I147="",M147="",T147="",BB147="",BD147=""),"",IF(B147="skip","SKIP",IF(OR(B147="",A147="",E147="",G147="",I147="",M147="",T147="",COUNTIF($A$6:$A$505,A147)&gt;1,COUNTIF($M$6:$M$505,M147)&gt;1,AND(L147="mobile",N147&lt;&gt;"invalid",OR(LEN(M147)&lt;&gt;10,LEFT(M147,2)&lt;&gt;"09"))),"REVIEW","READY")))</x:f>
      </x:c>
      <x:c r="BF147" s="238" t="str">
        <x:f>IF(BE147="","",IF(BE147="READY","",IF(B147="skip","Skipped by import_action",TRIM(IF(B147="","missing import_action; ","")&amp;IF(A147="","missing migration_customer_key; ","")&amp;IF(AND(A147&lt;&gt;"",COUNTIF($A$6:$A$505,A147)&gt;1),"duplicate migration_customer_key; ","")&amp;IF(E147="","missing branch_id; ","")&amp;IF(G147="","missing first_name; ","")&amp;IF(I147="","missing last_name; ","")&amp;IF(M147="","missing primary_phone; ","")&amp;IF(AND(M147&lt;&gt;"",COUNTIF($M$6:$M$505,M147)&gt;1),"duplicate primary_phone; ","")&amp;IF(AND(L147="mobile",N147&lt;&gt;"invalid",OR(LEN(M147)&lt;&gt;10,LEFT(M147,2)&lt;&gt;"09")),"mobile must be 09XXXXXXXX or status invalid; ","")&amp;IF(T147="","missing neighborhood_id; ","")))))</x:f>
      </x:c>
    </x:row>
    <x:row r="148">
      <x:c r="A148" s="232"/>
      <x:c r="B148" s="233"/>
      <x:c r="C148" s="234"/>
      <x:c r="D148" s="233"/>
      <x:c r="E148" s="233"/>
      <x:c r="F148" s="233"/>
      <x:c r="G148" s="233"/>
      <x:c r="H148" s="233"/>
      <x:c r="I148" s="233"/>
      <x:c r="J148" s="233"/>
      <x:c r="K148" s="233" t="str">
        <x:f>TRIM(G148&amp;" "&amp;H148&amp;" "&amp;I148&amp;IF(J148&lt;&gt;""," ("&amp;J148&amp;")",""))</x:f>
      </x:c>
      <x:c r="L148" s="233"/>
      <x:c r="M148" s="234"/>
      <x:c r="N148" s="233"/>
      <x:c r="O148" s="233"/>
      <x:c r="P148" s="233"/>
      <x:c r="Q148" s="233"/>
      <x:c r="R148" s="233"/>
      <x:c r="S148" s="233"/>
      <x:c r="T148" s="233"/>
      <x:c r="U148" s="233"/>
      <x:c r="V148" s="233"/>
      <x:c r="W148" s="235"/>
      <x:c r="X148" s="235"/>
      <x:c r="Y148" s="233"/>
      <x:c r="Z148" s="233"/>
      <x:c r="AA148" s="233"/>
      <x:c r="AB148" s="233"/>
      <x:c r="AC148" s="236"/>
      <x:c r="AD148" s="233"/>
      <x:c r="AE148" s="233"/>
      <x:c r="AF148" s="233"/>
      <x:c r="AG148" s="233"/>
      <x:c r="AH148" s="234"/>
      <x:c r="AI148" s="233"/>
      <x:c r="AJ148" s="233"/>
      <x:c r="AK148" s="233"/>
      <x:c r="AL148" s="236"/>
      <x:c r="AM148" s="233"/>
      <x:c r="AN148" s="233"/>
      <x:c r="AO148" s="234"/>
      <x:c r="AP148" s="234"/>
      <x:c r="AQ148" s="233"/>
      <x:c r="AR148" s="236"/>
      <x:c r="AS148" s="234"/>
      <x:c r="AT148" s="233"/>
      <x:c r="AU148" s="233"/>
      <x:c r="AV148" s="233"/>
      <x:c r="AW148" s="233"/>
      <x:c r="AX148" s="233"/>
      <x:c r="AY148" s="233"/>
      <x:c r="AZ148" s="236"/>
      <x:c r="BA148" s="233"/>
      <x:c r="BB148" s="233"/>
      <x:c r="BC148" s="233"/>
      <x:c r="BD148" s="233"/>
      <x:c r="BE148" s="237" t="str">
        <x:f>IF(AND(A148="",B148="",C148="",E148="",G148="",I148="",M148="",T148="",BB148="",BD148=""),"",IF(B148="skip","SKIP",IF(OR(B148="",A148="",E148="",G148="",I148="",M148="",T148="",COUNTIF($A$6:$A$505,A148)&gt;1,COUNTIF($M$6:$M$505,M148)&gt;1,AND(L148="mobile",N148&lt;&gt;"invalid",OR(LEN(M148)&lt;&gt;10,LEFT(M148,2)&lt;&gt;"09"))),"REVIEW","READY")))</x:f>
      </x:c>
      <x:c r="BF148" s="238" t="str">
        <x:f>IF(BE148="","",IF(BE148="READY","",IF(B148="skip","Skipped by import_action",TRIM(IF(B148="","missing import_action; ","")&amp;IF(A148="","missing migration_customer_key; ","")&amp;IF(AND(A148&lt;&gt;"",COUNTIF($A$6:$A$505,A148)&gt;1),"duplicate migration_customer_key; ","")&amp;IF(E148="","missing branch_id; ","")&amp;IF(G148="","missing first_name; ","")&amp;IF(I148="","missing last_name; ","")&amp;IF(M148="","missing primary_phone; ","")&amp;IF(AND(M148&lt;&gt;"",COUNTIF($M$6:$M$505,M148)&gt;1),"duplicate primary_phone; ","")&amp;IF(AND(L148="mobile",N148&lt;&gt;"invalid",OR(LEN(M148)&lt;&gt;10,LEFT(M148,2)&lt;&gt;"09")),"mobile must be 09XXXXXXXX or status invalid; ","")&amp;IF(T148="","missing neighborhood_id; ","")))))</x:f>
      </x:c>
    </x:row>
    <x:row r="149">
      <x:c r="A149" s="232"/>
      <x:c r="B149" s="233"/>
      <x:c r="C149" s="234"/>
      <x:c r="D149" s="233"/>
      <x:c r="E149" s="233"/>
      <x:c r="F149" s="233"/>
      <x:c r="G149" s="233"/>
      <x:c r="H149" s="233"/>
      <x:c r="I149" s="233"/>
      <x:c r="J149" s="233"/>
      <x:c r="K149" s="233" t="str">
        <x:f>TRIM(G149&amp;" "&amp;H149&amp;" "&amp;I149&amp;IF(J149&lt;&gt;""," ("&amp;J149&amp;")",""))</x:f>
      </x:c>
      <x:c r="L149" s="233"/>
      <x:c r="M149" s="234"/>
      <x:c r="N149" s="233"/>
      <x:c r="O149" s="233"/>
      <x:c r="P149" s="233"/>
      <x:c r="Q149" s="233"/>
      <x:c r="R149" s="233"/>
      <x:c r="S149" s="233"/>
      <x:c r="T149" s="233"/>
      <x:c r="U149" s="233"/>
      <x:c r="V149" s="233"/>
      <x:c r="W149" s="235"/>
      <x:c r="X149" s="235"/>
      <x:c r="Y149" s="233"/>
      <x:c r="Z149" s="233"/>
      <x:c r="AA149" s="233"/>
      <x:c r="AB149" s="233"/>
      <x:c r="AC149" s="236"/>
      <x:c r="AD149" s="233"/>
      <x:c r="AE149" s="233"/>
      <x:c r="AF149" s="233"/>
      <x:c r="AG149" s="233"/>
      <x:c r="AH149" s="234"/>
      <x:c r="AI149" s="233"/>
      <x:c r="AJ149" s="233"/>
      <x:c r="AK149" s="233"/>
      <x:c r="AL149" s="236"/>
      <x:c r="AM149" s="233"/>
      <x:c r="AN149" s="233"/>
      <x:c r="AO149" s="234"/>
      <x:c r="AP149" s="234"/>
      <x:c r="AQ149" s="233"/>
      <x:c r="AR149" s="236"/>
      <x:c r="AS149" s="234"/>
      <x:c r="AT149" s="233"/>
      <x:c r="AU149" s="233"/>
      <x:c r="AV149" s="233"/>
      <x:c r="AW149" s="233"/>
      <x:c r="AX149" s="233"/>
      <x:c r="AY149" s="233"/>
      <x:c r="AZ149" s="236"/>
      <x:c r="BA149" s="233"/>
      <x:c r="BB149" s="233"/>
      <x:c r="BC149" s="233"/>
      <x:c r="BD149" s="233"/>
      <x:c r="BE149" s="237" t="str">
        <x:f>IF(AND(A149="",B149="",C149="",E149="",G149="",I149="",M149="",T149="",BB149="",BD149=""),"",IF(B149="skip","SKIP",IF(OR(B149="",A149="",E149="",G149="",I149="",M149="",T149="",COUNTIF($A$6:$A$505,A149)&gt;1,COUNTIF($M$6:$M$505,M149)&gt;1,AND(L149="mobile",N149&lt;&gt;"invalid",OR(LEN(M149)&lt;&gt;10,LEFT(M149,2)&lt;&gt;"09"))),"REVIEW","READY")))</x:f>
      </x:c>
      <x:c r="BF149" s="238" t="str">
        <x:f>IF(BE149="","",IF(BE149="READY","",IF(B149="skip","Skipped by import_action",TRIM(IF(B149="","missing import_action; ","")&amp;IF(A149="","missing migration_customer_key; ","")&amp;IF(AND(A149&lt;&gt;"",COUNTIF($A$6:$A$505,A149)&gt;1),"duplicate migration_customer_key; ","")&amp;IF(E149="","missing branch_id; ","")&amp;IF(G149="","missing first_name; ","")&amp;IF(I149="","missing last_name; ","")&amp;IF(M149="","missing primary_phone; ","")&amp;IF(AND(M149&lt;&gt;"",COUNTIF($M$6:$M$505,M149)&gt;1),"duplicate primary_phone; ","")&amp;IF(AND(L149="mobile",N149&lt;&gt;"invalid",OR(LEN(M149)&lt;&gt;10,LEFT(M149,2)&lt;&gt;"09")),"mobile must be 09XXXXXXXX or status invalid; ","")&amp;IF(T149="","missing neighborhood_id; ","")))))</x:f>
      </x:c>
    </x:row>
    <x:row r="150">
      <x:c r="A150" s="232"/>
      <x:c r="B150" s="233"/>
      <x:c r="C150" s="234"/>
      <x:c r="D150" s="233"/>
      <x:c r="E150" s="233"/>
      <x:c r="F150" s="233"/>
      <x:c r="G150" s="233"/>
      <x:c r="H150" s="233"/>
      <x:c r="I150" s="233"/>
      <x:c r="J150" s="233"/>
      <x:c r="K150" s="233" t="str">
        <x:f>TRIM(G150&amp;" "&amp;H150&amp;" "&amp;I150&amp;IF(J150&lt;&gt;""," ("&amp;J150&amp;")",""))</x:f>
      </x:c>
      <x:c r="L150" s="233"/>
      <x:c r="M150" s="234"/>
      <x:c r="N150" s="233"/>
      <x:c r="O150" s="233"/>
      <x:c r="P150" s="233"/>
      <x:c r="Q150" s="233"/>
      <x:c r="R150" s="233"/>
      <x:c r="S150" s="233"/>
      <x:c r="T150" s="233"/>
      <x:c r="U150" s="233"/>
      <x:c r="V150" s="233"/>
      <x:c r="W150" s="235"/>
      <x:c r="X150" s="235"/>
      <x:c r="Y150" s="233"/>
      <x:c r="Z150" s="233"/>
      <x:c r="AA150" s="233"/>
      <x:c r="AB150" s="233"/>
      <x:c r="AC150" s="236"/>
      <x:c r="AD150" s="233"/>
      <x:c r="AE150" s="233"/>
      <x:c r="AF150" s="233"/>
      <x:c r="AG150" s="233"/>
      <x:c r="AH150" s="234"/>
      <x:c r="AI150" s="233"/>
      <x:c r="AJ150" s="233"/>
      <x:c r="AK150" s="233"/>
      <x:c r="AL150" s="236"/>
      <x:c r="AM150" s="233"/>
      <x:c r="AN150" s="233"/>
      <x:c r="AO150" s="234"/>
      <x:c r="AP150" s="234"/>
      <x:c r="AQ150" s="233"/>
      <x:c r="AR150" s="236"/>
      <x:c r="AS150" s="234"/>
      <x:c r="AT150" s="233"/>
      <x:c r="AU150" s="233"/>
      <x:c r="AV150" s="233"/>
      <x:c r="AW150" s="233"/>
      <x:c r="AX150" s="233"/>
      <x:c r="AY150" s="233"/>
      <x:c r="AZ150" s="236"/>
      <x:c r="BA150" s="233"/>
      <x:c r="BB150" s="233"/>
      <x:c r="BC150" s="233"/>
      <x:c r="BD150" s="233"/>
      <x:c r="BE150" s="237" t="str">
        <x:f>IF(AND(A150="",B150="",C150="",E150="",G150="",I150="",M150="",T150="",BB150="",BD150=""),"",IF(B150="skip","SKIP",IF(OR(B150="",A150="",E150="",G150="",I150="",M150="",T150="",COUNTIF($A$6:$A$505,A150)&gt;1,COUNTIF($M$6:$M$505,M150)&gt;1,AND(L150="mobile",N150&lt;&gt;"invalid",OR(LEN(M150)&lt;&gt;10,LEFT(M150,2)&lt;&gt;"09"))),"REVIEW","READY")))</x:f>
      </x:c>
      <x:c r="BF150" s="238" t="str">
        <x:f>IF(BE150="","",IF(BE150="READY","",IF(B150="skip","Skipped by import_action",TRIM(IF(B150="","missing import_action; ","")&amp;IF(A150="","missing migration_customer_key; ","")&amp;IF(AND(A150&lt;&gt;"",COUNTIF($A$6:$A$505,A150)&gt;1),"duplicate migration_customer_key; ","")&amp;IF(E150="","missing branch_id; ","")&amp;IF(G150="","missing first_name; ","")&amp;IF(I150="","missing last_name; ","")&amp;IF(M150="","missing primary_phone; ","")&amp;IF(AND(M150&lt;&gt;"",COUNTIF($M$6:$M$505,M150)&gt;1),"duplicate primary_phone; ","")&amp;IF(AND(L150="mobile",N150&lt;&gt;"invalid",OR(LEN(M150)&lt;&gt;10,LEFT(M150,2)&lt;&gt;"09")),"mobile must be 09XXXXXXXX or status invalid; ","")&amp;IF(T150="","missing neighborhood_id; ","")))))</x:f>
      </x:c>
    </x:row>
    <x:row r="151">
      <x:c r="A151" s="232"/>
      <x:c r="B151" s="233"/>
      <x:c r="C151" s="234"/>
      <x:c r="D151" s="233"/>
      <x:c r="E151" s="233"/>
      <x:c r="F151" s="233"/>
      <x:c r="G151" s="233"/>
      <x:c r="H151" s="233"/>
      <x:c r="I151" s="233"/>
      <x:c r="J151" s="233"/>
      <x:c r="K151" s="233" t="str">
        <x:f>TRIM(G151&amp;" "&amp;H151&amp;" "&amp;I151&amp;IF(J151&lt;&gt;""," ("&amp;J151&amp;")",""))</x:f>
      </x:c>
      <x:c r="L151" s="233"/>
      <x:c r="M151" s="234"/>
      <x:c r="N151" s="233"/>
      <x:c r="O151" s="233"/>
      <x:c r="P151" s="233"/>
      <x:c r="Q151" s="233"/>
      <x:c r="R151" s="233"/>
      <x:c r="S151" s="233"/>
      <x:c r="T151" s="233"/>
      <x:c r="U151" s="233"/>
      <x:c r="V151" s="233"/>
      <x:c r="W151" s="235"/>
      <x:c r="X151" s="235"/>
      <x:c r="Y151" s="233"/>
      <x:c r="Z151" s="233"/>
      <x:c r="AA151" s="233"/>
      <x:c r="AB151" s="233"/>
      <x:c r="AC151" s="236"/>
      <x:c r="AD151" s="233"/>
      <x:c r="AE151" s="233"/>
      <x:c r="AF151" s="233"/>
      <x:c r="AG151" s="233"/>
      <x:c r="AH151" s="234"/>
      <x:c r="AI151" s="233"/>
      <x:c r="AJ151" s="233"/>
      <x:c r="AK151" s="233"/>
      <x:c r="AL151" s="236"/>
      <x:c r="AM151" s="233"/>
      <x:c r="AN151" s="233"/>
      <x:c r="AO151" s="234"/>
      <x:c r="AP151" s="234"/>
      <x:c r="AQ151" s="233"/>
      <x:c r="AR151" s="236"/>
      <x:c r="AS151" s="234"/>
      <x:c r="AT151" s="233"/>
      <x:c r="AU151" s="233"/>
      <x:c r="AV151" s="233"/>
      <x:c r="AW151" s="233"/>
      <x:c r="AX151" s="233"/>
      <x:c r="AY151" s="233"/>
      <x:c r="AZ151" s="236"/>
      <x:c r="BA151" s="233"/>
      <x:c r="BB151" s="233"/>
      <x:c r="BC151" s="233"/>
      <x:c r="BD151" s="233"/>
      <x:c r="BE151" s="237" t="str">
        <x:f>IF(AND(A151="",B151="",C151="",E151="",G151="",I151="",M151="",T151="",BB151="",BD151=""),"",IF(B151="skip","SKIP",IF(OR(B151="",A151="",E151="",G151="",I151="",M151="",T151="",COUNTIF($A$6:$A$505,A151)&gt;1,COUNTIF($M$6:$M$505,M151)&gt;1,AND(L151="mobile",N151&lt;&gt;"invalid",OR(LEN(M151)&lt;&gt;10,LEFT(M151,2)&lt;&gt;"09"))),"REVIEW","READY")))</x:f>
      </x:c>
      <x:c r="BF151" s="238" t="str">
        <x:f>IF(BE151="","",IF(BE151="READY","",IF(B151="skip","Skipped by import_action",TRIM(IF(B151="","missing import_action; ","")&amp;IF(A151="","missing migration_customer_key; ","")&amp;IF(AND(A151&lt;&gt;"",COUNTIF($A$6:$A$505,A151)&gt;1),"duplicate migration_customer_key; ","")&amp;IF(E151="","missing branch_id; ","")&amp;IF(G151="","missing first_name; ","")&amp;IF(I151="","missing last_name; ","")&amp;IF(M151="","missing primary_phone; ","")&amp;IF(AND(M151&lt;&gt;"",COUNTIF($M$6:$M$505,M151)&gt;1),"duplicate primary_phone; ","")&amp;IF(AND(L151="mobile",N151&lt;&gt;"invalid",OR(LEN(M151)&lt;&gt;10,LEFT(M151,2)&lt;&gt;"09")),"mobile must be 09XXXXXXXX or status invalid; ","")&amp;IF(T151="","missing neighborhood_id; ","")))))</x:f>
      </x:c>
    </x:row>
    <x:row r="152">
      <x:c r="A152" s="232"/>
      <x:c r="B152" s="233"/>
      <x:c r="C152" s="234"/>
      <x:c r="D152" s="233"/>
      <x:c r="E152" s="233"/>
      <x:c r="F152" s="233"/>
      <x:c r="G152" s="233"/>
      <x:c r="H152" s="233"/>
      <x:c r="I152" s="233"/>
      <x:c r="J152" s="233"/>
      <x:c r="K152" s="233" t="str">
        <x:f>TRIM(G152&amp;" "&amp;H152&amp;" "&amp;I152&amp;IF(J152&lt;&gt;""," ("&amp;J152&amp;")",""))</x:f>
      </x:c>
      <x:c r="L152" s="233"/>
      <x:c r="M152" s="234"/>
      <x:c r="N152" s="233"/>
      <x:c r="O152" s="233"/>
      <x:c r="P152" s="233"/>
      <x:c r="Q152" s="233"/>
      <x:c r="R152" s="233"/>
      <x:c r="S152" s="233"/>
      <x:c r="T152" s="233"/>
      <x:c r="U152" s="233"/>
      <x:c r="V152" s="233"/>
      <x:c r="W152" s="235"/>
      <x:c r="X152" s="235"/>
      <x:c r="Y152" s="233"/>
      <x:c r="Z152" s="233"/>
      <x:c r="AA152" s="233"/>
      <x:c r="AB152" s="233"/>
      <x:c r="AC152" s="236"/>
      <x:c r="AD152" s="233"/>
      <x:c r="AE152" s="233"/>
      <x:c r="AF152" s="233"/>
      <x:c r="AG152" s="233"/>
      <x:c r="AH152" s="234"/>
      <x:c r="AI152" s="233"/>
      <x:c r="AJ152" s="233"/>
      <x:c r="AK152" s="233"/>
      <x:c r="AL152" s="236"/>
      <x:c r="AM152" s="233"/>
      <x:c r="AN152" s="233"/>
      <x:c r="AO152" s="234"/>
      <x:c r="AP152" s="234"/>
      <x:c r="AQ152" s="233"/>
      <x:c r="AR152" s="236"/>
      <x:c r="AS152" s="234"/>
      <x:c r="AT152" s="233"/>
      <x:c r="AU152" s="233"/>
      <x:c r="AV152" s="233"/>
      <x:c r="AW152" s="233"/>
      <x:c r="AX152" s="233"/>
      <x:c r="AY152" s="233"/>
      <x:c r="AZ152" s="236"/>
      <x:c r="BA152" s="233"/>
      <x:c r="BB152" s="233"/>
      <x:c r="BC152" s="233"/>
      <x:c r="BD152" s="233"/>
      <x:c r="BE152" s="237" t="str">
        <x:f>IF(AND(A152="",B152="",C152="",E152="",G152="",I152="",M152="",T152="",BB152="",BD152=""),"",IF(B152="skip","SKIP",IF(OR(B152="",A152="",E152="",G152="",I152="",M152="",T152="",COUNTIF($A$6:$A$505,A152)&gt;1,COUNTIF($M$6:$M$505,M152)&gt;1,AND(L152="mobile",N152&lt;&gt;"invalid",OR(LEN(M152)&lt;&gt;10,LEFT(M152,2)&lt;&gt;"09"))),"REVIEW","READY")))</x:f>
      </x:c>
      <x:c r="BF152" s="238" t="str">
        <x:f>IF(BE152="","",IF(BE152="READY","",IF(B152="skip","Skipped by import_action",TRIM(IF(B152="","missing import_action; ","")&amp;IF(A152="","missing migration_customer_key; ","")&amp;IF(AND(A152&lt;&gt;"",COUNTIF($A$6:$A$505,A152)&gt;1),"duplicate migration_customer_key; ","")&amp;IF(E152="","missing branch_id; ","")&amp;IF(G152="","missing first_name; ","")&amp;IF(I152="","missing last_name; ","")&amp;IF(M152="","missing primary_phone; ","")&amp;IF(AND(M152&lt;&gt;"",COUNTIF($M$6:$M$505,M152)&gt;1),"duplicate primary_phone; ","")&amp;IF(AND(L152="mobile",N152&lt;&gt;"invalid",OR(LEN(M152)&lt;&gt;10,LEFT(M152,2)&lt;&gt;"09")),"mobile must be 09XXXXXXXX or status invalid; ","")&amp;IF(T152="","missing neighborhood_id; ","")))))</x:f>
      </x:c>
    </x:row>
    <x:row r="153">
      <x:c r="A153" s="232"/>
      <x:c r="B153" s="233"/>
      <x:c r="C153" s="234"/>
      <x:c r="D153" s="233"/>
      <x:c r="E153" s="233"/>
      <x:c r="F153" s="233"/>
      <x:c r="G153" s="233"/>
      <x:c r="H153" s="233"/>
      <x:c r="I153" s="233"/>
      <x:c r="J153" s="233"/>
      <x:c r="K153" s="233" t="str">
        <x:f>TRIM(G153&amp;" "&amp;H153&amp;" "&amp;I153&amp;IF(J153&lt;&gt;""," ("&amp;J153&amp;")",""))</x:f>
      </x:c>
      <x:c r="L153" s="233"/>
      <x:c r="M153" s="234"/>
      <x:c r="N153" s="233"/>
      <x:c r="O153" s="233"/>
      <x:c r="P153" s="233"/>
      <x:c r="Q153" s="233"/>
      <x:c r="R153" s="233"/>
      <x:c r="S153" s="233"/>
      <x:c r="T153" s="233"/>
      <x:c r="U153" s="233"/>
      <x:c r="V153" s="233"/>
      <x:c r="W153" s="235"/>
      <x:c r="X153" s="235"/>
      <x:c r="Y153" s="233"/>
      <x:c r="Z153" s="233"/>
      <x:c r="AA153" s="233"/>
      <x:c r="AB153" s="233"/>
      <x:c r="AC153" s="236"/>
      <x:c r="AD153" s="233"/>
      <x:c r="AE153" s="233"/>
      <x:c r="AF153" s="233"/>
      <x:c r="AG153" s="233"/>
      <x:c r="AH153" s="234"/>
      <x:c r="AI153" s="233"/>
      <x:c r="AJ153" s="233"/>
      <x:c r="AK153" s="233"/>
      <x:c r="AL153" s="236"/>
      <x:c r="AM153" s="233"/>
      <x:c r="AN153" s="233"/>
      <x:c r="AO153" s="234"/>
      <x:c r="AP153" s="234"/>
      <x:c r="AQ153" s="233"/>
      <x:c r="AR153" s="236"/>
      <x:c r="AS153" s="234"/>
      <x:c r="AT153" s="233"/>
      <x:c r="AU153" s="233"/>
      <x:c r="AV153" s="233"/>
      <x:c r="AW153" s="233"/>
      <x:c r="AX153" s="233"/>
      <x:c r="AY153" s="233"/>
      <x:c r="AZ153" s="236"/>
      <x:c r="BA153" s="233"/>
      <x:c r="BB153" s="233"/>
      <x:c r="BC153" s="233"/>
      <x:c r="BD153" s="233"/>
      <x:c r="BE153" s="237" t="str">
        <x:f>IF(AND(A153="",B153="",C153="",E153="",G153="",I153="",M153="",T153="",BB153="",BD153=""),"",IF(B153="skip","SKIP",IF(OR(B153="",A153="",E153="",G153="",I153="",M153="",T153="",COUNTIF($A$6:$A$505,A153)&gt;1,COUNTIF($M$6:$M$505,M153)&gt;1,AND(L153="mobile",N153&lt;&gt;"invalid",OR(LEN(M153)&lt;&gt;10,LEFT(M153,2)&lt;&gt;"09"))),"REVIEW","READY")))</x:f>
      </x:c>
      <x:c r="BF153" s="238" t="str">
        <x:f>IF(BE153="","",IF(BE153="READY","",IF(B153="skip","Skipped by import_action",TRIM(IF(B153="","missing import_action; ","")&amp;IF(A153="","missing migration_customer_key; ","")&amp;IF(AND(A153&lt;&gt;"",COUNTIF($A$6:$A$505,A153)&gt;1),"duplicate migration_customer_key; ","")&amp;IF(E153="","missing branch_id; ","")&amp;IF(G153="","missing first_name; ","")&amp;IF(I153="","missing last_name; ","")&amp;IF(M153="","missing primary_phone; ","")&amp;IF(AND(M153&lt;&gt;"",COUNTIF($M$6:$M$505,M153)&gt;1),"duplicate primary_phone; ","")&amp;IF(AND(L153="mobile",N153&lt;&gt;"invalid",OR(LEN(M153)&lt;&gt;10,LEFT(M153,2)&lt;&gt;"09")),"mobile must be 09XXXXXXXX or status invalid; ","")&amp;IF(T153="","missing neighborhood_id; ","")))))</x:f>
      </x:c>
    </x:row>
    <x:row r="154">
      <x:c r="A154" s="232"/>
      <x:c r="B154" s="233"/>
      <x:c r="C154" s="234"/>
      <x:c r="D154" s="233"/>
      <x:c r="E154" s="233"/>
      <x:c r="F154" s="233"/>
      <x:c r="G154" s="233"/>
      <x:c r="H154" s="233"/>
      <x:c r="I154" s="233"/>
      <x:c r="J154" s="233"/>
      <x:c r="K154" s="233" t="str">
        <x:f>TRIM(G154&amp;" "&amp;H154&amp;" "&amp;I154&amp;IF(J154&lt;&gt;""," ("&amp;J154&amp;")",""))</x:f>
      </x:c>
      <x:c r="L154" s="233"/>
      <x:c r="M154" s="234"/>
      <x:c r="N154" s="233"/>
      <x:c r="O154" s="233"/>
      <x:c r="P154" s="233"/>
      <x:c r="Q154" s="233"/>
      <x:c r="R154" s="233"/>
      <x:c r="S154" s="233"/>
      <x:c r="T154" s="233"/>
      <x:c r="U154" s="233"/>
      <x:c r="V154" s="233"/>
      <x:c r="W154" s="235"/>
      <x:c r="X154" s="235"/>
      <x:c r="Y154" s="233"/>
      <x:c r="Z154" s="233"/>
      <x:c r="AA154" s="233"/>
      <x:c r="AB154" s="233"/>
      <x:c r="AC154" s="236"/>
      <x:c r="AD154" s="233"/>
      <x:c r="AE154" s="233"/>
      <x:c r="AF154" s="233"/>
      <x:c r="AG154" s="233"/>
      <x:c r="AH154" s="234"/>
      <x:c r="AI154" s="233"/>
      <x:c r="AJ154" s="233"/>
      <x:c r="AK154" s="233"/>
      <x:c r="AL154" s="236"/>
      <x:c r="AM154" s="233"/>
      <x:c r="AN154" s="233"/>
      <x:c r="AO154" s="234"/>
      <x:c r="AP154" s="234"/>
      <x:c r="AQ154" s="233"/>
      <x:c r="AR154" s="236"/>
      <x:c r="AS154" s="234"/>
      <x:c r="AT154" s="233"/>
      <x:c r="AU154" s="233"/>
      <x:c r="AV154" s="233"/>
      <x:c r="AW154" s="233"/>
      <x:c r="AX154" s="233"/>
      <x:c r="AY154" s="233"/>
      <x:c r="AZ154" s="236"/>
      <x:c r="BA154" s="233"/>
      <x:c r="BB154" s="233"/>
      <x:c r="BC154" s="233"/>
      <x:c r="BD154" s="233"/>
      <x:c r="BE154" s="237" t="str">
        <x:f>IF(AND(A154="",B154="",C154="",E154="",G154="",I154="",M154="",T154="",BB154="",BD154=""),"",IF(B154="skip","SKIP",IF(OR(B154="",A154="",E154="",G154="",I154="",M154="",T154="",COUNTIF($A$6:$A$505,A154)&gt;1,COUNTIF($M$6:$M$505,M154)&gt;1,AND(L154="mobile",N154&lt;&gt;"invalid",OR(LEN(M154)&lt;&gt;10,LEFT(M154,2)&lt;&gt;"09"))),"REVIEW","READY")))</x:f>
      </x:c>
      <x:c r="BF154" s="238" t="str">
        <x:f>IF(BE154="","",IF(BE154="READY","",IF(B154="skip","Skipped by import_action",TRIM(IF(B154="","missing import_action; ","")&amp;IF(A154="","missing migration_customer_key; ","")&amp;IF(AND(A154&lt;&gt;"",COUNTIF($A$6:$A$505,A154)&gt;1),"duplicate migration_customer_key; ","")&amp;IF(E154="","missing branch_id; ","")&amp;IF(G154="","missing first_name; ","")&amp;IF(I154="","missing last_name; ","")&amp;IF(M154="","missing primary_phone; ","")&amp;IF(AND(M154&lt;&gt;"",COUNTIF($M$6:$M$505,M154)&gt;1),"duplicate primary_phone; ","")&amp;IF(AND(L154="mobile",N154&lt;&gt;"invalid",OR(LEN(M154)&lt;&gt;10,LEFT(M154,2)&lt;&gt;"09")),"mobile must be 09XXXXXXXX or status invalid; ","")&amp;IF(T154="","missing neighborhood_id; ","")))))</x:f>
      </x:c>
    </x:row>
    <x:row r="155">
      <x:c r="A155" s="232"/>
      <x:c r="B155" s="233"/>
      <x:c r="C155" s="234"/>
      <x:c r="D155" s="233"/>
      <x:c r="E155" s="233"/>
      <x:c r="F155" s="233"/>
      <x:c r="G155" s="233"/>
      <x:c r="H155" s="233"/>
      <x:c r="I155" s="233"/>
      <x:c r="J155" s="233"/>
      <x:c r="K155" s="233" t="str">
        <x:f>TRIM(G155&amp;" "&amp;H155&amp;" "&amp;I155&amp;IF(J155&lt;&gt;""," ("&amp;J155&amp;")",""))</x:f>
      </x:c>
      <x:c r="L155" s="233"/>
      <x:c r="M155" s="234"/>
      <x:c r="N155" s="233"/>
      <x:c r="O155" s="233"/>
      <x:c r="P155" s="233"/>
      <x:c r="Q155" s="233"/>
      <x:c r="R155" s="233"/>
      <x:c r="S155" s="233"/>
      <x:c r="T155" s="233"/>
      <x:c r="U155" s="233"/>
      <x:c r="V155" s="233"/>
      <x:c r="W155" s="235"/>
      <x:c r="X155" s="235"/>
      <x:c r="Y155" s="233"/>
      <x:c r="Z155" s="233"/>
      <x:c r="AA155" s="233"/>
      <x:c r="AB155" s="233"/>
      <x:c r="AC155" s="236"/>
      <x:c r="AD155" s="233"/>
      <x:c r="AE155" s="233"/>
      <x:c r="AF155" s="233"/>
      <x:c r="AG155" s="233"/>
      <x:c r="AH155" s="234"/>
      <x:c r="AI155" s="233"/>
      <x:c r="AJ155" s="233"/>
      <x:c r="AK155" s="233"/>
      <x:c r="AL155" s="236"/>
      <x:c r="AM155" s="233"/>
      <x:c r="AN155" s="233"/>
      <x:c r="AO155" s="234"/>
      <x:c r="AP155" s="234"/>
      <x:c r="AQ155" s="233"/>
      <x:c r="AR155" s="236"/>
      <x:c r="AS155" s="234"/>
      <x:c r="AT155" s="233"/>
      <x:c r="AU155" s="233"/>
      <x:c r="AV155" s="233"/>
      <x:c r="AW155" s="233"/>
      <x:c r="AX155" s="233"/>
      <x:c r="AY155" s="233"/>
      <x:c r="AZ155" s="236"/>
      <x:c r="BA155" s="233"/>
      <x:c r="BB155" s="233"/>
      <x:c r="BC155" s="233"/>
      <x:c r="BD155" s="233"/>
      <x:c r="BE155" s="237" t="str">
        <x:f>IF(AND(A155="",B155="",C155="",E155="",G155="",I155="",M155="",T155="",BB155="",BD155=""),"",IF(B155="skip","SKIP",IF(OR(B155="",A155="",E155="",G155="",I155="",M155="",T155="",COUNTIF($A$6:$A$505,A155)&gt;1,COUNTIF($M$6:$M$505,M155)&gt;1,AND(L155="mobile",N155&lt;&gt;"invalid",OR(LEN(M155)&lt;&gt;10,LEFT(M155,2)&lt;&gt;"09"))),"REVIEW","READY")))</x:f>
      </x:c>
      <x:c r="BF155" s="238" t="str">
        <x:f>IF(BE155="","",IF(BE155="READY","",IF(B155="skip","Skipped by import_action",TRIM(IF(B155="","missing import_action; ","")&amp;IF(A155="","missing migration_customer_key; ","")&amp;IF(AND(A155&lt;&gt;"",COUNTIF($A$6:$A$505,A155)&gt;1),"duplicate migration_customer_key; ","")&amp;IF(E155="","missing branch_id; ","")&amp;IF(G155="","missing first_name; ","")&amp;IF(I155="","missing last_name; ","")&amp;IF(M155="","missing primary_phone; ","")&amp;IF(AND(M155&lt;&gt;"",COUNTIF($M$6:$M$505,M155)&gt;1),"duplicate primary_phone; ","")&amp;IF(AND(L155="mobile",N155&lt;&gt;"invalid",OR(LEN(M155)&lt;&gt;10,LEFT(M155,2)&lt;&gt;"09")),"mobile must be 09XXXXXXXX or status invalid; ","")&amp;IF(T155="","missing neighborhood_id; ","")))))</x:f>
      </x:c>
    </x:row>
    <x:row r="156">
      <x:c r="A156" s="232"/>
      <x:c r="B156" s="233"/>
      <x:c r="C156" s="234"/>
      <x:c r="D156" s="233"/>
      <x:c r="E156" s="233"/>
      <x:c r="F156" s="233"/>
      <x:c r="G156" s="233"/>
      <x:c r="H156" s="233"/>
      <x:c r="I156" s="233"/>
      <x:c r="J156" s="233"/>
      <x:c r="K156" s="233" t="str">
        <x:f>TRIM(G156&amp;" "&amp;H156&amp;" "&amp;I156&amp;IF(J156&lt;&gt;""," ("&amp;J156&amp;")",""))</x:f>
      </x:c>
      <x:c r="L156" s="233"/>
      <x:c r="M156" s="234"/>
      <x:c r="N156" s="233"/>
      <x:c r="O156" s="233"/>
      <x:c r="P156" s="233"/>
      <x:c r="Q156" s="233"/>
      <x:c r="R156" s="233"/>
      <x:c r="S156" s="233"/>
      <x:c r="T156" s="233"/>
      <x:c r="U156" s="233"/>
      <x:c r="V156" s="233"/>
      <x:c r="W156" s="235"/>
      <x:c r="X156" s="235"/>
      <x:c r="Y156" s="233"/>
      <x:c r="Z156" s="233"/>
      <x:c r="AA156" s="233"/>
      <x:c r="AB156" s="233"/>
      <x:c r="AC156" s="236"/>
      <x:c r="AD156" s="233"/>
      <x:c r="AE156" s="233"/>
      <x:c r="AF156" s="233"/>
      <x:c r="AG156" s="233"/>
      <x:c r="AH156" s="234"/>
      <x:c r="AI156" s="233"/>
      <x:c r="AJ156" s="233"/>
      <x:c r="AK156" s="233"/>
      <x:c r="AL156" s="236"/>
      <x:c r="AM156" s="233"/>
      <x:c r="AN156" s="233"/>
      <x:c r="AO156" s="234"/>
      <x:c r="AP156" s="234"/>
      <x:c r="AQ156" s="233"/>
      <x:c r="AR156" s="236"/>
      <x:c r="AS156" s="234"/>
      <x:c r="AT156" s="233"/>
      <x:c r="AU156" s="233"/>
      <x:c r="AV156" s="233"/>
      <x:c r="AW156" s="233"/>
      <x:c r="AX156" s="233"/>
      <x:c r="AY156" s="233"/>
      <x:c r="AZ156" s="236"/>
      <x:c r="BA156" s="233"/>
      <x:c r="BB156" s="233"/>
      <x:c r="BC156" s="233"/>
      <x:c r="BD156" s="233"/>
      <x:c r="BE156" s="237" t="str">
        <x:f>IF(AND(A156="",B156="",C156="",E156="",G156="",I156="",M156="",T156="",BB156="",BD156=""),"",IF(B156="skip","SKIP",IF(OR(B156="",A156="",E156="",G156="",I156="",M156="",T156="",COUNTIF($A$6:$A$505,A156)&gt;1,COUNTIF($M$6:$M$505,M156)&gt;1,AND(L156="mobile",N156&lt;&gt;"invalid",OR(LEN(M156)&lt;&gt;10,LEFT(M156,2)&lt;&gt;"09"))),"REVIEW","READY")))</x:f>
      </x:c>
      <x:c r="BF156" s="238" t="str">
        <x:f>IF(BE156="","",IF(BE156="READY","",IF(B156="skip","Skipped by import_action",TRIM(IF(B156="","missing import_action; ","")&amp;IF(A156="","missing migration_customer_key; ","")&amp;IF(AND(A156&lt;&gt;"",COUNTIF($A$6:$A$505,A156)&gt;1),"duplicate migration_customer_key; ","")&amp;IF(E156="","missing branch_id; ","")&amp;IF(G156="","missing first_name; ","")&amp;IF(I156="","missing last_name; ","")&amp;IF(M156="","missing primary_phone; ","")&amp;IF(AND(M156&lt;&gt;"",COUNTIF($M$6:$M$505,M156)&gt;1),"duplicate primary_phone; ","")&amp;IF(AND(L156="mobile",N156&lt;&gt;"invalid",OR(LEN(M156)&lt;&gt;10,LEFT(M156,2)&lt;&gt;"09")),"mobile must be 09XXXXXXXX or status invalid; ","")&amp;IF(T156="","missing neighborhood_id; ","")))))</x:f>
      </x:c>
    </x:row>
    <x:row r="157">
      <x:c r="A157" s="232"/>
      <x:c r="B157" s="233"/>
      <x:c r="C157" s="234"/>
      <x:c r="D157" s="233"/>
      <x:c r="E157" s="233"/>
      <x:c r="F157" s="233"/>
      <x:c r="G157" s="233"/>
      <x:c r="H157" s="233"/>
      <x:c r="I157" s="233"/>
      <x:c r="J157" s="233"/>
      <x:c r="K157" s="233" t="str">
        <x:f>TRIM(G157&amp;" "&amp;H157&amp;" "&amp;I157&amp;IF(J157&lt;&gt;""," ("&amp;J157&amp;")",""))</x:f>
      </x:c>
      <x:c r="L157" s="233"/>
      <x:c r="M157" s="234"/>
      <x:c r="N157" s="233"/>
      <x:c r="O157" s="233"/>
      <x:c r="P157" s="233"/>
      <x:c r="Q157" s="233"/>
      <x:c r="R157" s="233"/>
      <x:c r="S157" s="233"/>
      <x:c r="T157" s="233"/>
      <x:c r="U157" s="233"/>
      <x:c r="V157" s="233"/>
      <x:c r="W157" s="235"/>
      <x:c r="X157" s="235"/>
      <x:c r="Y157" s="233"/>
      <x:c r="Z157" s="233"/>
      <x:c r="AA157" s="233"/>
      <x:c r="AB157" s="233"/>
      <x:c r="AC157" s="236"/>
      <x:c r="AD157" s="233"/>
      <x:c r="AE157" s="233"/>
      <x:c r="AF157" s="233"/>
      <x:c r="AG157" s="233"/>
      <x:c r="AH157" s="234"/>
      <x:c r="AI157" s="233"/>
      <x:c r="AJ157" s="233"/>
      <x:c r="AK157" s="233"/>
      <x:c r="AL157" s="236"/>
      <x:c r="AM157" s="233"/>
      <x:c r="AN157" s="233"/>
      <x:c r="AO157" s="234"/>
      <x:c r="AP157" s="234"/>
      <x:c r="AQ157" s="233"/>
      <x:c r="AR157" s="236"/>
      <x:c r="AS157" s="234"/>
      <x:c r="AT157" s="233"/>
      <x:c r="AU157" s="233"/>
      <x:c r="AV157" s="233"/>
      <x:c r="AW157" s="233"/>
      <x:c r="AX157" s="233"/>
      <x:c r="AY157" s="233"/>
      <x:c r="AZ157" s="236"/>
      <x:c r="BA157" s="233"/>
      <x:c r="BB157" s="233"/>
      <x:c r="BC157" s="233"/>
      <x:c r="BD157" s="233"/>
      <x:c r="BE157" s="237" t="str">
        <x:f>IF(AND(A157="",B157="",C157="",E157="",G157="",I157="",M157="",T157="",BB157="",BD157=""),"",IF(B157="skip","SKIP",IF(OR(B157="",A157="",E157="",G157="",I157="",M157="",T157="",COUNTIF($A$6:$A$505,A157)&gt;1,COUNTIF($M$6:$M$505,M157)&gt;1,AND(L157="mobile",N157&lt;&gt;"invalid",OR(LEN(M157)&lt;&gt;10,LEFT(M157,2)&lt;&gt;"09"))),"REVIEW","READY")))</x:f>
      </x:c>
      <x:c r="BF157" s="238" t="str">
        <x:f>IF(BE157="","",IF(BE157="READY","",IF(B157="skip","Skipped by import_action",TRIM(IF(B157="","missing import_action; ","")&amp;IF(A157="","missing migration_customer_key; ","")&amp;IF(AND(A157&lt;&gt;"",COUNTIF($A$6:$A$505,A157)&gt;1),"duplicate migration_customer_key; ","")&amp;IF(E157="","missing branch_id; ","")&amp;IF(G157="","missing first_name; ","")&amp;IF(I157="","missing last_name; ","")&amp;IF(M157="","missing primary_phone; ","")&amp;IF(AND(M157&lt;&gt;"",COUNTIF($M$6:$M$505,M157)&gt;1),"duplicate primary_phone; ","")&amp;IF(AND(L157="mobile",N157&lt;&gt;"invalid",OR(LEN(M157)&lt;&gt;10,LEFT(M157,2)&lt;&gt;"09")),"mobile must be 09XXXXXXXX or status invalid; ","")&amp;IF(T157="","missing neighborhood_id; ","")))))</x:f>
      </x:c>
    </x:row>
    <x:row r="158">
      <x:c r="A158" s="232"/>
      <x:c r="B158" s="233"/>
      <x:c r="C158" s="234"/>
      <x:c r="D158" s="233"/>
      <x:c r="E158" s="233"/>
      <x:c r="F158" s="233"/>
      <x:c r="G158" s="233"/>
      <x:c r="H158" s="233"/>
      <x:c r="I158" s="233"/>
      <x:c r="J158" s="233"/>
      <x:c r="K158" s="233" t="str">
        <x:f>TRIM(G158&amp;" "&amp;H158&amp;" "&amp;I158&amp;IF(J158&lt;&gt;""," ("&amp;J158&amp;")",""))</x:f>
      </x:c>
      <x:c r="L158" s="233"/>
      <x:c r="M158" s="234"/>
      <x:c r="N158" s="233"/>
      <x:c r="O158" s="233"/>
      <x:c r="P158" s="233"/>
      <x:c r="Q158" s="233"/>
      <x:c r="R158" s="233"/>
      <x:c r="S158" s="233"/>
      <x:c r="T158" s="233"/>
      <x:c r="U158" s="233"/>
      <x:c r="V158" s="233"/>
      <x:c r="W158" s="235"/>
      <x:c r="X158" s="235"/>
      <x:c r="Y158" s="233"/>
      <x:c r="Z158" s="233"/>
      <x:c r="AA158" s="233"/>
      <x:c r="AB158" s="233"/>
      <x:c r="AC158" s="236"/>
      <x:c r="AD158" s="233"/>
      <x:c r="AE158" s="233"/>
      <x:c r="AF158" s="233"/>
      <x:c r="AG158" s="233"/>
      <x:c r="AH158" s="234"/>
      <x:c r="AI158" s="233"/>
      <x:c r="AJ158" s="233"/>
      <x:c r="AK158" s="233"/>
      <x:c r="AL158" s="236"/>
      <x:c r="AM158" s="233"/>
      <x:c r="AN158" s="233"/>
      <x:c r="AO158" s="234"/>
      <x:c r="AP158" s="234"/>
      <x:c r="AQ158" s="233"/>
      <x:c r="AR158" s="236"/>
      <x:c r="AS158" s="234"/>
      <x:c r="AT158" s="233"/>
      <x:c r="AU158" s="233"/>
      <x:c r="AV158" s="233"/>
      <x:c r="AW158" s="233"/>
      <x:c r="AX158" s="233"/>
      <x:c r="AY158" s="233"/>
      <x:c r="AZ158" s="236"/>
      <x:c r="BA158" s="233"/>
      <x:c r="BB158" s="233"/>
      <x:c r="BC158" s="233"/>
      <x:c r="BD158" s="233"/>
      <x:c r="BE158" s="237" t="str">
        <x:f>IF(AND(A158="",B158="",C158="",E158="",G158="",I158="",M158="",T158="",BB158="",BD158=""),"",IF(B158="skip","SKIP",IF(OR(B158="",A158="",E158="",G158="",I158="",M158="",T158="",COUNTIF($A$6:$A$505,A158)&gt;1,COUNTIF($M$6:$M$505,M158)&gt;1,AND(L158="mobile",N158&lt;&gt;"invalid",OR(LEN(M158)&lt;&gt;10,LEFT(M158,2)&lt;&gt;"09"))),"REVIEW","READY")))</x:f>
      </x:c>
      <x:c r="BF158" s="238" t="str">
        <x:f>IF(BE158="","",IF(BE158="READY","",IF(B158="skip","Skipped by import_action",TRIM(IF(B158="","missing import_action; ","")&amp;IF(A158="","missing migration_customer_key; ","")&amp;IF(AND(A158&lt;&gt;"",COUNTIF($A$6:$A$505,A158)&gt;1),"duplicate migration_customer_key; ","")&amp;IF(E158="","missing branch_id; ","")&amp;IF(G158="","missing first_name; ","")&amp;IF(I158="","missing last_name; ","")&amp;IF(M158="","missing primary_phone; ","")&amp;IF(AND(M158&lt;&gt;"",COUNTIF($M$6:$M$505,M158)&gt;1),"duplicate primary_phone; ","")&amp;IF(AND(L158="mobile",N158&lt;&gt;"invalid",OR(LEN(M158)&lt;&gt;10,LEFT(M158,2)&lt;&gt;"09")),"mobile must be 09XXXXXXXX or status invalid; ","")&amp;IF(T158="","missing neighborhood_id; ","")))))</x:f>
      </x:c>
    </x:row>
    <x:row r="159">
      <x:c r="A159" s="232"/>
      <x:c r="B159" s="233"/>
      <x:c r="C159" s="234"/>
      <x:c r="D159" s="233"/>
      <x:c r="E159" s="233"/>
      <x:c r="F159" s="233"/>
      <x:c r="G159" s="233"/>
      <x:c r="H159" s="233"/>
      <x:c r="I159" s="233"/>
      <x:c r="J159" s="233"/>
      <x:c r="K159" s="233" t="str">
        <x:f>TRIM(G159&amp;" "&amp;H159&amp;" "&amp;I159&amp;IF(J159&lt;&gt;""," ("&amp;J159&amp;")",""))</x:f>
      </x:c>
      <x:c r="L159" s="233"/>
      <x:c r="M159" s="234"/>
      <x:c r="N159" s="233"/>
      <x:c r="O159" s="233"/>
      <x:c r="P159" s="233"/>
      <x:c r="Q159" s="233"/>
      <x:c r="R159" s="233"/>
      <x:c r="S159" s="233"/>
      <x:c r="T159" s="233"/>
      <x:c r="U159" s="233"/>
      <x:c r="V159" s="233"/>
      <x:c r="W159" s="235"/>
      <x:c r="X159" s="235"/>
      <x:c r="Y159" s="233"/>
      <x:c r="Z159" s="233"/>
      <x:c r="AA159" s="233"/>
      <x:c r="AB159" s="233"/>
      <x:c r="AC159" s="236"/>
      <x:c r="AD159" s="233"/>
      <x:c r="AE159" s="233"/>
      <x:c r="AF159" s="233"/>
      <x:c r="AG159" s="233"/>
      <x:c r="AH159" s="234"/>
      <x:c r="AI159" s="233"/>
      <x:c r="AJ159" s="233"/>
      <x:c r="AK159" s="233"/>
      <x:c r="AL159" s="236"/>
      <x:c r="AM159" s="233"/>
      <x:c r="AN159" s="233"/>
      <x:c r="AO159" s="234"/>
      <x:c r="AP159" s="234"/>
      <x:c r="AQ159" s="233"/>
      <x:c r="AR159" s="236"/>
      <x:c r="AS159" s="234"/>
      <x:c r="AT159" s="233"/>
      <x:c r="AU159" s="233"/>
      <x:c r="AV159" s="233"/>
      <x:c r="AW159" s="233"/>
      <x:c r="AX159" s="233"/>
      <x:c r="AY159" s="233"/>
      <x:c r="AZ159" s="236"/>
      <x:c r="BA159" s="233"/>
      <x:c r="BB159" s="233"/>
      <x:c r="BC159" s="233"/>
      <x:c r="BD159" s="233"/>
      <x:c r="BE159" s="237" t="str">
        <x:f>IF(AND(A159="",B159="",C159="",E159="",G159="",I159="",M159="",T159="",BB159="",BD159=""),"",IF(B159="skip","SKIP",IF(OR(B159="",A159="",E159="",G159="",I159="",M159="",T159="",COUNTIF($A$6:$A$505,A159)&gt;1,COUNTIF($M$6:$M$505,M159)&gt;1,AND(L159="mobile",N159&lt;&gt;"invalid",OR(LEN(M159)&lt;&gt;10,LEFT(M159,2)&lt;&gt;"09"))),"REVIEW","READY")))</x:f>
      </x:c>
      <x:c r="BF159" s="238" t="str">
        <x:f>IF(BE159="","",IF(BE159="READY","",IF(B159="skip","Skipped by import_action",TRIM(IF(B159="","missing import_action; ","")&amp;IF(A159="","missing migration_customer_key; ","")&amp;IF(AND(A159&lt;&gt;"",COUNTIF($A$6:$A$505,A159)&gt;1),"duplicate migration_customer_key; ","")&amp;IF(E159="","missing branch_id; ","")&amp;IF(G159="","missing first_name; ","")&amp;IF(I159="","missing last_name; ","")&amp;IF(M159="","missing primary_phone; ","")&amp;IF(AND(M159&lt;&gt;"",COUNTIF($M$6:$M$505,M159)&gt;1),"duplicate primary_phone; ","")&amp;IF(AND(L159="mobile",N159&lt;&gt;"invalid",OR(LEN(M159)&lt;&gt;10,LEFT(M159,2)&lt;&gt;"09")),"mobile must be 09XXXXXXXX or status invalid; ","")&amp;IF(T159="","missing neighborhood_id; ","")))))</x:f>
      </x:c>
    </x:row>
    <x:row r="160">
      <x:c r="A160" s="232"/>
      <x:c r="B160" s="233"/>
      <x:c r="C160" s="234"/>
      <x:c r="D160" s="233"/>
      <x:c r="E160" s="233"/>
      <x:c r="F160" s="233"/>
      <x:c r="G160" s="233"/>
      <x:c r="H160" s="233"/>
      <x:c r="I160" s="233"/>
      <x:c r="J160" s="233"/>
      <x:c r="K160" s="233" t="str">
        <x:f>TRIM(G160&amp;" "&amp;H160&amp;" "&amp;I160&amp;IF(J160&lt;&gt;""," ("&amp;J160&amp;")",""))</x:f>
      </x:c>
      <x:c r="L160" s="233"/>
      <x:c r="M160" s="234"/>
      <x:c r="N160" s="233"/>
      <x:c r="O160" s="233"/>
      <x:c r="P160" s="233"/>
      <x:c r="Q160" s="233"/>
      <x:c r="R160" s="233"/>
      <x:c r="S160" s="233"/>
      <x:c r="T160" s="233"/>
      <x:c r="U160" s="233"/>
      <x:c r="V160" s="233"/>
      <x:c r="W160" s="235"/>
      <x:c r="X160" s="235"/>
      <x:c r="Y160" s="233"/>
      <x:c r="Z160" s="233"/>
      <x:c r="AA160" s="233"/>
      <x:c r="AB160" s="233"/>
      <x:c r="AC160" s="236"/>
      <x:c r="AD160" s="233"/>
      <x:c r="AE160" s="233"/>
      <x:c r="AF160" s="233"/>
      <x:c r="AG160" s="233"/>
      <x:c r="AH160" s="234"/>
      <x:c r="AI160" s="233"/>
      <x:c r="AJ160" s="233"/>
      <x:c r="AK160" s="233"/>
      <x:c r="AL160" s="236"/>
      <x:c r="AM160" s="233"/>
      <x:c r="AN160" s="233"/>
      <x:c r="AO160" s="234"/>
      <x:c r="AP160" s="234"/>
      <x:c r="AQ160" s="233"/>
      <x:c r="AR160" s="236"/>
      <x:c r="AS160" s="234"/>
      <x:c r="AT160" s="233"/>
      <x:c r="AU160" s="233"/>
      <x:c r="AV160" s="233"/>
      <x:c r="AW160" s="233"/>
      <x:c r="AX160" s="233"/>
      <x:c r="AY160" s="233"/>
      <x:c r="AZ160" s="236"/>
      <x:c r="BA160" s="233"/>
      <x:c r="BB160" s="233"/>
      <x:c r="BC160" s="233"/>
      <x:c r="BD160" s="233"/>
      <x:c r="BE160" s="237" t="str">
        <x:f>IF(AND(A160="",B160="",C160="",E160="",G160="",I160="",M160="",T160="",BB160="",BD160=""),"",IF(B160="skip","SKIP",IF(OR(B160="",A160="",E160="",G160="",I160="",M160="",T160="",COUNTIF($A$6:$A$505,A160)&gt;1,COUNTIF($M$6:$M$505,M160)&gt;1,AND(L160="mobile",N160&lt;&gt;"invalid",OR(LEN(M160)&lt;&gt;10,LEFT(M160,2)&lt;&gt;"09"))),"REVIEW","READY")))</x:f>
      </x:c>
      <x:c r="BF160" s="238" t="str">
        <x:f>IF(BE160="","",IF(BE160="READY","",IF(B160="skip","Skipped by import_action",TRIM(IF(B160="","missing import_action; ","")&amp;IF(A160="","missing migration_customer_key; ","")&amp;IF(AND(A160&lt;&gt;"",COUNTIF($A$6:$A$505,A160)&gt;1),"duplicate migration_customer_key; ","")&amp;IF(E160="","missing branch_id; ","")&amp;IF(G160="","missing first_name; ","")&amp;IF(I160="","missing last_name; ","")&amp;IF(M160="","missing primary_phone; ","")&amp;IF(AND(M160&lt;&gt;"",COUNTIF($M$6:$M$505,M160)&gt;1),"duplicate primary_phone; ","")&amp;IF(AND(L160="mobile",N160&lt;&gt;"invalid",OR(LEN(M160)&lt;&gt;10,LEFT(M160,2)&lt;&gt;"09")),"mobile must be 09XXXXXXXX or status invalid; ","")&amp;IF(T160="","missing neighborhood_id; ","")))))</x:f>
      </x:c>
    </x:row>
    <x:row r="161">
      <x:c r="A161" s="232"/>
      <x:c r="B161" s="233"/>
      <x:c r="C161" s="234"/>
      <x:c r="D161" s="233"/>
      <x:c r="E161" s="233"/>
      <x:c r="F161" s="233"/>
      <x:c r="G161" s="233"/>
      <x:c r="H161" s="233"/>
      <x:c r="I161" s="233"/>
      <x:c r="J161" s="233"/>
      <x:c r="K161" s="233" t="str">
        <x:f>TRIM(G161&amp;" "&amp;H161&amp;" "&amp;I161&amp;IF(J161&lt;&gt;""," ("&amp;J161&amp;")",""))</x:f>
      </x:c>
      <x:c r="L161" s="233"/>
      <x:c r="M161" s="234"/>
      <x:c r="N161" s="233"/>
      <x:c r="O161" s="233"/>
      <x:c r="P161" s="233"/>
      <x:c r="Q161" s="233"/>
      <x:c r="R161" s="233"/>
      <x:c r="S161" s="233"/>
      <x:c r="T161" s="233"/>
      <x:c r="U161" s="233"/>
      <x:c r="V161" s="233"/>
      <x:c r="W161" s="235"/>
      <x:c r="X161" s="235"/>
      <x:c r="Y161" s="233"/>
      <x:c r="Z161" s="233"/>
      <x:c r="AA161" s="233"/>
      <x:c r="AB161" s="233"/>
      <x:c r="AC161" s="236"/>
      <x:c r="AD161" s="233"/>
      <x:c r="AE161" s="233"/>
      <x:c r="AF161" s="233"/>
      <x:c r="AG161" s="233"/>
      <x:c r="AH161" s="234"/>
      <x:c r="AI161" s="233"/>
      <x:c r="AJ161" s="233"/>
      <x:c r="AK161" s="233"/>
      <x:c r="AL161" s="236"/>
      <x:c r="AM161" s="233"/>
      <x:c r="AN161" s="233"/>
      <x:c r="AO161" s="234"/>
      <x:c r="AP161" s="234"/>
      <x:c r="AQ161" s="233"/>
      <x:c r="AR161" s="236"/>
      <x:c r="AS161" s="234"/>
      <x:c r="AT161" s="233"/>
      <x:c r="AU161" s="233"/>
      <x:c r="AV161" s="233"/>
      <x:c r="AW161" s="233"/>
      <x:c r="AX161" s="233"/>
      <x:c r="AY161" s="233"/>
      <x:c r="AZ161" s="236"/>
      <x:c r="BA161" s="233"/>
      <x:c r="BB161" s="233"/>
      <x:c r="BC161" s="233"/>
      <x:c r="BD161" s="233"/>
      <x:c r="BE161" s="237" t="str">
        <x:f>IF(AND(A161="",B161="",C161="",E161="",G161="",I161="",M161="",T161="",BB161="",BD161=""),"",IF(B161="skip","SKIP",IF(OR(B161="",A161="",E161="",G161="",I161="",M161="",T161="",COUNTIF($A$6:$A$505,A161)&gt;1,COUNTIF($M$6:$M$505,M161)&gt;1,AND(L161="mobile",N161&lt;&gt;"invalid",OR(LEN(M161)&lt;&gt;10,LEFT(M161,2)&lt;&gt;"09"))),"REVIEW","READY")))</x:f>
      </x:c>
      <x:c r="BF161" s="238" t="str">
        <x:f>IF(BE161="","",IF(BE161="READY","",IF(B161="skip","Skipped by import_action",TRIM(IF(B161="","missing import_action; ","")&amp;IF(A161="","missing migration_customer_key; ","")&amp;IF(AND(A161&lt;&gt;"",COUNTIF($A$6:$A$505,A161)&gt;1),"duplicate migration_customer_key; ","")&amp;IF(E161="","missing branch_id; ","")&amp;IF(G161="","missing first_name; ","")&amp;IF(I161="","missing last_name; ","")&amp;IF(M161="","missing primary_phone; ","")&amp;IF(AND(M161&lt;&gt;"",COUNTIF($M$6:$M$505,M161)&gt;1),"duplicate primary_phone; ","")&amp;IF(AND(L161="mobile",N161&lt;&gt;"invalid",OR(LEN(M161)&lt;&gt;10,LEFT(M161,2)&lt;&gt;"09")),"mobile must be 09XXXXXXXX or status invalid; ","")&amp;IF(T161="","missing neighborhood_id; ","")))))</x:f>
      </x:c>
    </x:row>
    <x:row r="162">
      <x:c r="A162" s="232"/>
      <x:c r="B162" s="233"/>
      <x:c r="C162" s="234"/>
      <x:c r="D162" s="233"/>
      <x:c r="E162" s="233"/>
      <x:c r="F162" s="233"/>
      <x:c r="G162" s="233"/>
      <x:c r="H162" s="233"/>
      <x:c r="I162" s="233"/>
      <x:c r="J162" s="233"/>
      <x:c r="K162" s="233" t="str">
        <x:f>TRIM(G162&amp;" "&amp;H162&amp;" "&amp;I162&amp;IF(J162&lt;&gt;""," ("&amp;J162&amp;")",""))</x:f>
      </x:c>
      <x:c r="L162" s="233"/>
      <x:c r="M162" s="234"/>
      <x:c r="N162" s="233"/>
      <x:c r="O162" s="233"/>
      <x:c r="P162" s="233"/>
      <x:c r="Q162" s="233"/>
      <x:c r="R162" s="233"/>
      <x:c r="S162" s="233"/>
      <x:c r="T162" s="233"/>
      <x:c r="U162" s="233"/>
      <x:c r="V162" s="233"/>
      <x:c r="W162" s="235"/>
      <x:c r="X162" s="235"/>
      <x:c r="Y162" s="233"/>
      <x:c r="Z162" s="233"/>
      <x:c r="AA162" s="233"/>
      <x:c r="AB162" s="233"/>
      <x:c r="AC162" s="236"/>
      <x:c r="AD162" s="233"/>
      <x:c r="AE162" s="233"/>
      <x:c r="AF162" s="233"/>
      <x:c r="AG162" s="233"/>
      <x:c r="AH162" s="234"/>
      <x:c r="AI162" s="233"/>
      <x:c r="AJ162" s="233"/>
      <x:c r="AK162" s="233"/>
      <x:c r="AL162" s="236"/>
      <x:c r="AM162" s="233"/>
      <x:c r="AN162" s="233"/>
      <x:c r="AO162" s="234"/>
      <x:c r="AP162" s="234"/>
      <x:c r="AQ162" s="233"/>
      <x:c r="AR162" s="236"/>
      <x:c r="AS162" s="234"/>
      <x:c r="AT162" s="233"/>
      <x:c r="AU162" s="233"/>
      <x:c r="AV162" s="233"/>
      <x:c r="AW162" s="233"/>
      <x:c r="AX162" s="233"/>
      <x:c r="AY162" s="233"/>
      <x:c r="AZ162" s="236"/>
      <x:c r="BA162" s="233"/>
      <x:c r="BB162" s="233"/>
      <x:c r="BC162" s="233"/>
      <x:c r="BD162" s="233"/>
      <x:c r="BE162" s="237" t="str">
        <x:f>IF(AND(A162="",B162="",C162="",E162="",G162="",I162="",M162="",T162="",BB162="",BD162=""),"",IF(B162="skip","SKIP",IF(OR(B162="",A162="",E162="",G162="",I162="",M162="",T162="",COUNTIF($A$6:$A$505,A162)&gt;1,COUNTIF($M$6:$M$505,M162)&gt;1,AND(L162="mobile",N162&lt;&gt;"invalid",OR(LEN(M162)&lt;&gt;10,LEFT(M162,2)&lt;&gt;"09"))),"REVIEW","READY")))</x:f>
      </x:c>
      <x:c r="BF162" s="238" t="str">
        <x:f>IF(BE162="","",IF(BE162="READY","",IF(B162="skip","Skipped by import_action",TRIM(IF(B162="","missing import_action; ","")&amp;IF(A162="","missing migration_customer_key; ","")&amp;IF(AND(A162&lt;&gt;"",COUNTIF($A$6:$A$505,A162)&gt;1),"duplicate migration_customer_key; ","")&amp;IF(E162="","missing branch_id; ","")&amp;IF(G162="","missing first_name; ","")&amp;IF(I162="","missing last_name; ","")&amp;IF(M162="","missing primary_phone; ","")&amp;IF(AND(M162&lt;&gt;"",COUNTIF($M$6:$M$505,M162)&gt;1),"duplicate primary_phone; ","")&amp;IF(AND(L162="mobile",N162&lt;&gt;"invalid",OR(LEN(M162)&lt;&gt;10,LEFT(M162,2)&lt;&gt;"09")),"mobile must be 09XXXXXXXX or status invalid; ","")&amp;IF(T162="","missing neighborhood_id; ","")))))</x:f>
      </x:c>
    </x:row>
    <x:row r="163">
      <x:c r="A163" s="232"/>
      <x:c r="B163" s="233"/>
      <x:c r="C163" s="234"/>
      <x:c r="D163" s="233"/>
      <x:c r="E163" s="233"/>
      <x:c r="F163" s="233"/>
      <x:c r="G163" s="233"/>
      <x:c r="H163" s="233"/>
      <x:c r="I163" s="233"/>
      <x:c r="J163" s="233"/>
      <x:c r="K163" s="233" t="str">
        <x:f>TRIM(G163&amp;" "&amp;H163&amp;" "&amp;I163&amp;IF(J163&lt;&gt;""," ("&amp;J163&amp;")",""))</x:f>
      </x:c>
      <x:c r="L163" s="233"/>
      <x:c r="M163" s="234"/>
      <x:c r="N163" s="233"/>
      <x:c r="O163" s="233"/>
      <x:c r="P163" s="233"/>
      <x:c r="Q163" s="233"/>
      <x:c r="R163" s="233"/>
      <x:c r="S163" s="233"/>
      <x:c r="T163" s="233"/>
      <x:c r="U163" s="233"/>
      <x:c r="V163" s="233"/>
      <x:c r="W163" s="235"/>
      <x:c r="X163" s="235"/>
      <x:c r="Y163" s="233"/>
      <x:c r="Z163" s="233"/>
      <x:c r="AA163" s="233"/>
      <x:c r="AB163" s="233"/>
      <x:c r="AC163" s="236"/>
      <x:c r="AD163" s="233"/>
      <x:c r="AE163" s="233"/>
      <x:c r="AF163" s="233"/>
      <x:c r="AG163" s="233"/>
      <x:c r="AH163" s="234"/>
      <x:c r="AI163" s="233"/>
      <x:c r="AJ163" s="233"/>
      <x:c r="AK163" s="233"/>
      <x:c r="AL163" s="236"/>
      <x:c r="AM163" s="233"/>
      <x:c r="AN163" s="233"/>
      <x:c r="AO163" s="234"/>
      <x:c r="AP163" s="234"/>
      <x:c r="AQ163" s="233"/>
      <x:c r="AR163" s="236"/>
      <x:c r="AS163" s="234"/>
      <x:c r="AT163" s="233"/>
      <x:c r="AU163" s="233"/>
      <x:c r="AV163" s="233"/>
      <x:c r="AW163" s="233"/>
      <x:c r="AX163" s="233"/>
      <x:c r="AY163" s="233"/>
      <x:c r="AZ163" s="236"/>
      <x:c r="BA163" s="233"/>
      <x:c r="BB163" s="233"/>
      <x:c r="BC163" s="233"/>
      <x:c r="BD163" s="233"/>
      <x:c r="BE163" s="237" t="str">
        <x:f>IF(AND(A163="",B163="",C163="",E163="",G163="",I163="",M163="",T163="",BB163="",BD163=""),"",IF(B163="skip","SKIP",IF(OR(B163="",A163="",E163="",G163="",I163="",M163="",T163="",COUNTIF($A$6:$A$505,A163)&gt;1,COUNTIF($M$6:$M$505,M163)&gt;1,AND(L163="mobile",N163&lt;&gt;"invalid",OR(LEN(M163)&lt;&gt;10,LEFT(M163,2)&lt;&gt;"09"))),"REVIEW","READY")))</x:f>
      </x:c>
      <x:c r="BF163" s="238" t="str">
        <x:f>IF(BE163="","",IF(BE163="READY","",IF(B163="skip","Skipped by import_action",TRIM(IF(B163="","missing import_action; ","")&amp;IF(A163="","missing migration_customer_key; ","")&amp;IF(AND(A163&lt;&gt;"",COUNTIF($A$6:$A$505,A163)&gt;1),"duplicate migration_customer_key; ","")&amp;IF(E163="","missing branch_id; ","")&amp;IF(G163="","missing first_name; ","")&amp;IF(I163="","missing last_name; ","")&amp;IF(M163="","missing primary_phone; ","")&amp;IF(AND(M163&lt;&gt;"",COUNTIF($M$6:$M$505,M163)&gt;1),"duplicate primary_phone; ","")&amp;IF(AND(L163="mobile",N163&lt;&gt;"invalid",OR(LEN(M163)&lt;&gt;10,LEFT(M163,2)&lt;&gt;"09")),"mobile must be 09XXXXXXXX or status invalid; ","")&amp;IF(T163="","missing neighborhood_id; ","")))))</x:f>
      </x:c>
    </x:row>
    <x:row r="164">
      <x:c r="A164" s="232"/>
      <x:c r="B164" s="233"/>
      <x:c r="C164" s="234"/>
      <x:c r="D164" s="233"/>
      <x:c r="E164" s="233"/>
      <x:c r="F164" s="233"/>
      <x:c r="G164" s="233"/>
      <x:c r="H164" s="233"/>
      <x:c r="I164" s="233"/>
      <x:c r="J164" s="233"/>
      <x:c r="K164" s="233" t="str">
        <x:f>TRIM(G164&amp;" "&amp;H164&amp;" "&amp;I164&amp;IF(J164&lt;&gt;""," ("&amp;J164&amp;")",""))</x:f>
      </x:c>
      <x:c r="L164" s="233"/>
      <x:c r="M164" s="234"/>
      <x:c r="N164" s="233"/>
      <x:c r="O164" s="233"/>
      <x:c r="P164" s="233"/>
      <x:c r="Q164" s="233"/>
      <x:c r="R164" s="233"/>
      <x:c r="S164" s="233"/>
      <x:c r="T164" s="233"/>
      <x:c r="U164" s="233"/>
      <x:c r="V164" s="233"/>
      <x:c r="W164" s="235"/>
      <x:c r="X164" s="235"/>
      <x:c r="Y164" s="233"/>
      <x:c r="Z164" s="233"/>
      <x:c r="AA164" s="233"/>
      <x:c r="AB164" s="233"/>
      <x:c r="AC164" s="236"/>
      <x:c r="AD164" s="233"/>
      <x:c r="AE164" s="233"/>
      <x:c r="AF164" s="233"/>
      <x:c r="AG164" s="233"/>
      <x:c r="AH164" s="234"/>
      <x:c r="AI164" s="233"/>
      <x:c r="AJ164" s="233"/>
      <x:c r="AK164" s="233"/>
      <x:c r="AL164" s="236"/>
      <x:c r="AM164" s="233"/>
      <x:c r="AN164" s="233"/>
      <x:c r="AO164" s="234"/>
      <x:c r="AP164" s="234"/>
      <x:c r="AQ164" s="233"/>
      <x:c r="AR164" s="236"/>
      <x:c r="AS164" s="234"/>
      <x:c r="AT164" s="233"/>
      <x:c r="AU164" s="233"/>
      <x:c r="AV164" s="233"/>
      <x:c r="AW164" s="233"/>
      <x:c r="AX164" s="233"/>
      <x:c r="AY164" s="233"/>
      <x:c r="AZ164" s="236"/>
      <x:c r="BA164" s="233"/>
      <x:c r="BB164" s="233"/>
      <x:c r="BC164" s="233"/>
      <x:c r="BD164" s="233"/>
      <x:c r="BE164" s="237" t="str">
        <x:f>IF(AND(A164="",B164="",C164="",E164="",G164="",I164="",M164="",T164="",BB164="",BD164=""),"",IF(B164="skip","SKIP",IF(OR(B164="",A164="",E164="",G164="",I164="",M164="",T164="",COUNTIF($A$6:$A$505,A164)&gt;1,COUNTIF($M$6:$M$505,M164)&gt;1,AND(L164="mobile",N164&lt;&gt;"invalid",OR(LEN(M164)&lt;&gt;10,LEFT(M164,2)&lt;&gt;"09"))),"REVIEW","READY")))</x:f>
      </x:c>
      <x:c r="BF164" s="238" t="str">
        <x:f>IF(BE164="","",IF(BE164="READY","",IF(B164="skip","Skipped by import_action",TRIM(IF(B164="","missing import_action; ","")&amp;IF(A164="","missing migration_customer_key; ","")&amp;IF(AND(A164&lt;&gt;"",COUNTIF($A$6:$A$505,A164)&gt;1),"duplicate migration_customer_key; ","")&amp;IF(E164="","missing branch_id; ","")&amp;IF(G164="","missing first_name; ","")&amp;IF(I164="","missing last_name; ","")&amp;IF(M164="","missing primary_phone; ","")&amp;IF(AND(M164&lt;&gt;"",COUNTIF($M$6:$M$505,M164)&gt;1),"duplicate primary_phone; ","")&amp;IF(AND(L164="mobile",N164&lt;&gt;"invalid",OR(LEN(M164)&lt;&gt;10,LEFT(M164,2)&lt;&gt;"09")),"mobile must be 09XXXXXXXX or status invalid; ","")&amp;IF(T164="","missing neighborhood_id; ","")))))</x:f>
      </x:c>
    </x:row>
    <x:row r="165">
      <x:c r="A165" s="232"/>
      <x:c r="B165" s="233"/>
      <x:c r="C165" s="234"/>
      <x:c r="D165" s="233"/>
      <x:c r="E165" s="233"/>
      <x:c r="F165" s="233"/>
      <x:c r="G165" s="233"/>
      <x:c r="H165" s="233"/>
      <x:c r="I165" s="233"/>
      <x:c r="J165" s="233"/>
      <x:c r="K165" s="233" t="str">
        <x:f>TRIM(G165&amp;" "&amp;H165&amp;" "&amp;I165&amp;IF(J165&lt;&gt;""," ("&amp;J165&amp;")",""))</x:f>
      </x:c>
      <x:c r="L165" s="233"/>
      <x:c r="M165" s="234"/>
      <x:c r="N165" s="233"/>
      <x:c r="O165" s="233"/>
      <x:c r="P165" s="233"/>
      <x:c r="Q165" s="233"/>
      <x:c r="R165" s="233"/>
      <x:c r="S165" s="233"/>
      <x:c r="T165" s="233"/>
      <x:c r="U165" s="233"/>
      <x:c r="V165" s="233"/>
      <x:c r="W165" s="235"/>
      <x:c r="X165" s="235"/>
      <x:c r="Y165" s="233"/>
      <x:c r="Z165" s="233"/>
      <x:c r="AA165" s="233"/>
      <x:c r="AB165" s="233"/>
      <x:c r="AC165" s="236"/>
      <x:c r="AD165" s="233"/>
      <x:c r="AE165" s="233"/>
      <x:c r="AF165" s="233"/>
      <x:c r="AG165" s="233"/>
      <x:c r="AH165" s="234"/>
      <x:c r="AI165" s="233"/>
      <x:c r="AJ165" s="233"/>
      <x:c r="AK165" s="233"/>
      <x:c r="AL165" s="236"/>
      <x:c r="AM165" s="233"/>
      <x:c r="AN165" s="233"/>
      <x:c r="AO165" s="234"/>
      <x:c r="AP165" s="234"/>
      <x:c r="AQ165" s="233"/>
      <x:c r="AR165" s="236"/>
      <x:c r="AS165" s="234"/>
      <x:c r="AT165" s="233"/>
      <x:c r="AU165" s="233"/>
      <x:c r="AV165" s="233"/>
      <x:c r="AW165" s="233"/>
      <x:c r="AX165" s="233"/>
      <x:c r="AY165" s="233"/>
      <x:c r="AZ165" s="236"/>
      <x:c r="BA165" s="233"/>
      <x:c r="BB165" s="233"/>
      <x:c r="BC165" s="233"/>
      <x:c r="BD165" s="233"/>
      <x:c r="BE165" s="237" t="str">
        <x:f>IF(AND(A165="",B165="",C165="",E165="",G165="",I165="",M165="",T165="",BB165="",BD165=""),"",IF(B165="skip","SKIP",IF(OR(B165="",A165="",E165="",G165="",I165="",M165="",T165="",COUNTIF($A$6:$A$505,A165)&gt;1,COUNTIF($M$6:$M$505,M165)&gt;1,AND(L165="mobile",N165&lt;&gt;"invalid",OR(LEN(M165)&lt;&gt;10,LEFT(M165,2)&lt;&gt;"09"))),"REVIEW","READY")))</x:f>
      </x:c>
      <x:c r="BF165" s="238" t="str">
        <x:f>IF(BE165="","",IF(BE165="READY","",IF(B165="skip","Skipped by import_action",TRIM(IF(B165="","missing import_action; ","")&amp;IF(A165="","missing migration_customer_key; ","")&amp;IF(AND(A165&lt;&gt;"",COUNTIF($A$6:$A$505,A165)&gt;1),"duplicate migration_customer_key; ","")&amp;IF(E165="","missing branch_id; ","")&amp;IF(G165="","missing first_name; ","")&amp;IF(I165="","missing last_name; ","")&amp;IF(M165="","missing primary_phone; ","")&amp;IF(AND(M165&lt;&gt;"",COUNTIF($M$6:$M$505,M165)&gt;1),"duplicate primary_phone; ","")&amp;IF(AND(L165="mobile",N165&lt;&gt;"invalid",OR(LEN(M165)&lt;&gt;10,LEFT(M165,2)&lt;&gt;"09")),"mobile must be 09XXXXXXXX or status invalid; ","")&amp;IF(T165="","missing neighborhood_id; ","")))))</x:f>
      </x:c>
    </x:row>
    <x:row r="166">
      <x:c r="A166" s="232"/>
      <x:c r="B166" s="233"/>
      <x:c r="C166" s="234"/>
      <x:c r="D166" s="233"/>
      <x:c r="E166" s="233"/>
      <x:c r="F166" s="233"/>
      <x:c r="G166" s="233"/>
      <x:c r="H166" s="233"/>
      <x:c r="I166" s="233"/>
      <x:c r="J166" s="233"/>
      <x:c r="K166" s="233" t="str">
        <x:f>TRIM(G166&amp;" "&amp;H166&amp;" "&amp;I166&amp;IF(J166&lt;&gt;""," ("&amp;J166&amp;")",""))</x:f>
      </x:c>
      <x:c r="L166" s="233"/>
      <x:c r="M166" s="234"/>
      <x:c r="N166" s="233"/>
      <x:c r="O166" s="233"/>
      <x:c r="P166" s="233"/>
      <x:c r="Q166" s="233"/>
      <x:c r="R166" s="233"/>
      <x:c r="S166" s="233"/>
      <x:c r="T166" s="233"/>
      <x:c r="U166" s="233"/>
      <x:c r="V166" s="233"/>
      <x:c r="W166" s="235"/>
      <x:c r="X166" s="235"/>
      <x:c r="Y166" s="233"/>
      <x:c r="Z166" s="233"/>
      <x:c r="AA166" s="233"/>
      <x:c r="AB166" s="233"/>
      <x:c r="AC166" s="236"/>
      <x:c r="AD166" s="233"/>
      <x:c r="AE166" s="233"/>
      <x:c r="AF166" s="233"/>
      <x:c r="AG166" s="233"/>
      <x:c r="AH166" s="234"/>
      <x:c r="AI166" s="233"/>
      <x:c r="AJ166" s="233"/>
      <x:c r="AK166" s="233"/>
      <x:c r="AL166" s="236"/>
      <x:c r="AM166" s="233"/>
      <x:c r="AN166" s="233"/>
      <x:c r="AO166" s="234"/>
      <x:c r="AP166" s="234"/>
      <x:c r="AQ166" s="233"/>
      <x:c r="AR166" s="236"/>
      <x:c r="AS166" s="234"/>
      <x:c r="AT166" s="233"/>
      <x:c r="AU166" s="233"/>
      <x:c r="AV166" s="233"/>
      <x:c r="AW166" s="233"/>
      <x:c r="AX166" s="233"/>
      <x:c r="AY166" s="233"/>
      <x:c r="AZ166" s="236"/>
      <x:c r="BA166" s="233"/>
      <x:c r="BB166" s="233"/>
      <x:c r="BC166" s="233"/>
      <x:c r="BD166" s="233"/>
      <x:c r="BE166" s="237" t="str">
        <x:f>IF(AND(A166="",B166="",C166="",E166="",G166="",I166="",M166="",T166="",BB166="",BD166=""),"",IF(B166="skip","SKIP",IF(OR(B166="",A166="",E166="",G166="",I166="",M166="",T166="",COUNTIF($A$6:$A$505,A166)&gt;1,COUNTIF($M$6:$M$505,M166)&gt;1,AND(L166="mobile",N166&lt;&gt;"invalid",OR(LEN(M166)&lt;&gt;10,LEFT(M166,2)&lt;&gt;"09"))),"REVIEW","READY")))</x:f>
      </x:c>
      <x:c r="BF166" s="238" t="str">
        <x:f>IF(BE166="","",IF(BE166="READY","",IF(B166="skip","Skipped by import_action",TRIM(IF(B166="","missing import_action; ","")&amp;IF(A166="","missing migration_customer_key; ","")&amp;IF(AND(A166&lt;&gt;"",COUNTIF($A$6:$A$505,A166)&gt;1),"duplicate migration_customer_key; ","")&amp;IF(E166="","missing branch_id; ","")&amp;IF(G166="","missing first_name; ","")&amp;IF(I166="","missing last_name; ","")&amp;IF(M166="","missing primary_phone; ","")&amp;IF(AND(M166&lt;&gt;"",COUNTIF($M$6:$M$505,M166)&gt;1),"duplicate primary_phone; ","")&amp;IF(AND(L166="mobile",N166&lt;&gt;"invalid",OR(LEN(M166)&lt;&gt;10,LEFT(M166,2)&lt;&gt;"09")),"mobile must be 09XXXXXXXX or status invalid; ","")&amp;IF(T166="","missing neighborhood_id; ","")))))</x:f>
      </x:c>
    </x:row>
    <x:row r="167">
      <x:c r="A167" s="232"/>
      <x:c r="B167" s="233"/>
      <x:c r="C167" s="234"/>
      <x:c r="D167" s="233"/>
      <x:c r="E167" s="233"/>
      <x:c r="F167" s="233"/>
      <x:c r="G167" s="233"/>
      <x:c r="H167" s="233"/>
      <x:c r="I167" s="233"/>
      <x:c r="J167" s="233"/>
      <x:c r="K167" s="233" t="str">
        <x:f>TRIM(G167&amp;" "&amp;H167&amp;" "&amp;I167&amp;IF(J167&lt;&gt;""," ("&amp;J167&amp;")",""))</x:f>
      </x:c>
      <x:c r="L167" s="233"/>
      <x:c r="M167" s="234"/>
      <x:c r="N167" s="233"/>
      <x:c r="O167" s="233"/>
      <x:c r="P167" s="233"/>
      <x:c r="Q167" s="233"/>
      <x:c r="R167" s="233"/>
      <x:c r="S167" s="233"/>
      <x:c r="T167" s="233"/>
      <x:c r="U167" s="233"/>
      <x:c r="V167" s="233"/>
      <x:c r="W167" s="235"/>
      <x:c r="X167" s="235"/>
      <x:c r="Y167" s="233"/>
      <x:c r="Z167" s="233"/>
      <x:c r="AA167" s="233"/>
      <x:c r="AB167" s="233"/>
      <x:c r="AC167" s="236"/>
      <x:c r="AD167" s="233"/>
      <x:c r="AE167" s="233"/>
      <x:c r="AF167" s="233"/>
      <x:c r="AG167" s="233"/>
      <x:c r="AH167" s="234"/>
      <x:c r="AI167" s="233"/>
      <x:c r="AJ167" s="233"/>
      <x:c r="AK167" s="233"/>
      <x:c r="AL167" s="236"/>
      <x:c r="AM167" s="233"/>
      <x:c r="AN167" s="233"/>
      <x:c r="AO167" s="234"/>
      <x:c r="AP167" s="234"/>
      <x:c r="AQ167" s="233"/>
      <x:c r="AR167" s="236"/>
      <x:c r="AS167" s="234"/>
      <x:c r="AT167" s="233"/>
      <x:c r="AU167" s="233"/>
      <x:c r="AV167" s="233"/>
      <x:c r="AW167" s="233"/>
      <x:c r="AX167" s="233"/>
      <x:c r="AY167" s="233"/>
      <x:c r="AZ167" s="236"/>
      <x:c r="BA167" s="233"/>
      <x:c r="BB167" s="233"/>
      <x:c r="BC167" s="233"/>
      <x:c r="BD167" s="233"/>
      <x:c r="BE167" s="237" t="str">
        <x:f>IF(AND(A167="",B167="",C167="",E167="",G167="",I167="",M167="",T167="",BB167="",BD167=""),"",IF(B167="skip","SKIP",IF(OR(B167="",A167="",E167="",G167="",I167="",M167="",T167="",COUNTIF($A$6:$A$505,A167)&gt;1,COUNTIF($M$6:$M$505,M167)&gt;1,AND(L167="mobile",N167&lt;&gt;"invalid",OR(LEN(M167)&lt;&gt;10,LEFT(M167,2)&lt;&gt;"09"))),"REVIEW","READY")))</x:f>
      </x:c>
      <x:c r="BF167" s="238" t="str">
        <x:f>IF(BE167="","",IF(BE167="READY","",IF(B167="skip","Skipped by import_action",TRIM(IF(B167="","missing import_action; ","")&amp;IF(A167="","missing migration_customer_key; ","")&amp;IF(AND(A167&lt;&gt;"",COUNTIF($A$6:$A$505,A167)&gt;1),"duplicate migration_customer_key; ","")&amp;IF(E167="","missing branch_id; ","")&amp;IF(G167="","missing first_name; ","")&amp;IF(I167="","missing last_name; ","")&amp;IF(M167="","missing primary_phone; ","")&amp;IF(AND(M167&lt;&gt;"",COUNTIF($M$6:$M$505,M167)&gt;1),"duplicate primary_phone; ","")&amp;IF(AND(L167="mobile",N167&lt;&gt;"invalid",OR(LEN(M167)&lt;&gt;10,LEFT(M167,2)&lt;&gt;"09")),"mobile must be 09XXXXXXXX or status invalid; ","")&amp;IF(T167="","missing neighborhood_id; ","")))))</x:f>
      </x:c>
    </x:row>
    <x:row r="168">
      <x:c r="A168" s="232"/>
      <x:c r="B168" s="233"/>
      <x:c r="C168" s="234"/>
      <x:c r="D168" s="233"/>
      <x:c r="E168" s="233"/>
      <x:c r="F168" s="233"/>
      <x:c r="G168" s="233"/>
      <x:c r="H168" s="233"/>
      <x:c r="I168" s="233"/>
      <x:c r="J168" s="233"/>
      <x:c r="K168" s="233" t="str">
        <x:f>TRIM(G168&amp;" "&amp;H168&amp;" "&amp;I168&amp;IF(J168&lt;&gt;""," ("&amp;J168&amp;")",""))</x:f>
      </x:c>
      <x:c r="L168" s="233"/>
      <x:c r="M168" s="234"/>
      <x:c r="N168" s="233"/>
      <x:c r="O168" s="233"/>
      <x:c r="P168" s="233"/>
      <x:c r="Q168" s="233"/>
      <x:c r="R168" s="233"/>
      <x:c r="S168" s="233"/>
      <x:c r="T168" s="233"/>
      <x:c r="U168" s="233"/>
      <x:c r="V168" s="233"/>
      <x:c r="W168" s="235"/>
      <x:c r="X168" s="235"/>
      <x:c r="Y168" s="233"/>
      <x:c r="Z168" s="233"/>
      <x:c r="AA168" s="233"/>
      <x:c r="AB168" s="233"/>
      <x:c r="AC168" s="236"/>
      <x:c r="AD168" s="233"/>
      <x:c r="AE168" s="233"/>
      <x:c r="AF168" s="233"/>
      <x:c r="AG168" s="233"/>
      <x:c r="AH168" s="234"/>
      <x:c r="AI168" s="233"/>
      <x:c r="AJ168" s="233"/>
      <x:c r="AK168" s="233"/>
      <x:c r="AL168" s="236"/>
      <x:c r="AM168" s="233"/>
      <x:c r="AN168" s="233"/>
      <x:c r="AO168" s="234"/>
      <x:c r="AP168" s="234"/>
      <x:c r="AQ168" s="233"/>
      <x:c r="AR168" s="236"/>
      <x:c r="AS168" s="234"/>
      <x:c r="AT168" s="233"/>
      <x:c r="AU168" s="233"/>
      <x:c r="AV168" s="233"/>
      <x:c r="AW168" s="233"/>
      <x:c r="AX168" s="233"/>
      <x:c r="AY168" s="233"/>
      <x:c r="AZ168" s="236"/>
      <x:c r="BA168" s="233"/>
      <x:c r="BB168" s="233"/>
      <x:c r="BC168" s="233"/>
      <x:c r="BD168" s="233"/>
      <x:c r="BE168" s="237" t="str">
        <x:f>IF(AND(A168="",B168="",C168="",E168="",G168="",I168="",M168="",T168="",BB168="",BD168=""),"",IF(B168="skip","SKIP",IF(OR(B168="",A168="",E168="",G168="",I168="",M168="",T168="",COUNTIF($A$6:$A$505,A168)&gt;1,COUNTIF($M$6:$M$505,M168)&gt;1,AND(L168="mobile",N168&lt;&gt;"invalid",OR(LEN(M168)&lt;&gt;10,LEFT(M168,2)&lt;&gt;"09"))),"REVIEW","READY")))</x:f>
      </x:c>
      <x:c r="BF168" s="238" t="str">
        <x:f>IF(BE168="","",IF(BE168="READY","",IF(B168="skip","Skipped by import_action",TRIM(IF(B168="","missing import_action; ","")&amp;IF(A168="","missing migration_customer_key; ","")&amp;IF(AND(A168&lt;&gt;"",COUNTIF($A$6:$A$505,A168)&gt;1),"duplicate migration_customer_key; ","")&amp;IF(E168="","missing branch_id; ","")&amp;IF(G168="","missing first_name; ","")&amp;IF(I168="","missing last_name; ","")&amp;IF(M168="","missing primary_phone; ","")&amp;IF(AND(M168&lt;&gt;"",COUNTIF($M$6:$M$505,M168)&gt;1),"duplicate primary_phone; ","")&amp;IF(AND(L168="mobile",N168&lt;&gt;"invalid",OR(LEN(M168)&lt;&gt;10,LEFT(M168,2)&lt;&gt;"09")),"mobile must be 09XXXXXXXX or status invalid; ","")&amp;IF(T168="","missing neighborhood_id; ","")))))</x:f>
      </x:c>
    </x:row>
    <x:row r="169">
      <x:c r="A169" s="232"/>
      <x:c r="B169" s="233"/>
      <x:c r="C169" s="234"/>
      <x:c r="D169" s="233"/>
      <x:c r="E169" s="233"/>
      <x:c r="F169" s="233"/>
      <x:c r="G169" s="233"/>
      <x:c r="H169" s="233"/>
      <x:c r="I169" s="233"/>
      <x:c r="J169" s="233"/>
      <x:c r="K169" s="233" t="str">
        <x:f>TRIM(G169&amp;" "&amp;H169&amp;" "&amp;I169&amp;IF(J169&lt;&gt;""," ("&amp;J169&amp;")",""))</x:f>
      </x:c>
      <x:c r="L169" s="233"/>
      <x:c r="M169" s="234"/>
      <x:c r="N169" s="233"/>
      <x:c r="O169" s="233"/>
      <x:c r="P169" s="233"/>
      <x:c r="Q169" s="233"/>
      <x:c r="R169" s="233"/>
      <x:c r="S169" s="233"/>
      <x:c r="T169" s="233"/>
      <x:c r="U169" s="233"/>
      <x:c r="V169" s="233"/>
      <x:c r="W169" s="235"/>
      <x:c r="X169" s="235"/>
      <x:c r="Y169" s="233"/>
      <x:c r="Z169" s="233"/>
      <x:c r="AA169" s="233"/>
      <x:c r="AB169" s="233"/>
      <x:c r="AC169" s="236"/>
      <x:c r="AD169" s="233"/>
      <x:c r="AE169" s="233"/>
      <x:c r="AF169" s="233"/>
      <x:c r="AG169" s="233"/>
      <x:c r="AH169" s="234"/>
      <x:c r="AI169" s="233"/>
      <x:c r="AJ169" s="233"/>
      <x:c r="AK169" s="233"/>
      <x:c r="AL169" s="236"/>
      <x:c r="AM169" s="233"/>
      <x:c r="AN169" s="233"/>
      <x:c r="AO169" s="234"/>
      <x:c r="AP169" s="234"/>
      <x:c r="AQ169" s="233"/>
      <x:c r="AR169" s="236"/>
      <x:c r="AS169" s="234"/>
      <x:c r="AT169" s="233"/>
      <x:c r="AU169" s="233"/>
      <x:c r="AV169" s="233"/>
      <x:c r="AW169" s="233"/>
      <x:c r="AX169" s="233"/>
      <x:c r="AY169" s="233"/>
      <x:c r="AZ169" s="236"/>
      <x:c r="BA169" s="233"/>
      <x:c r="BB169" s="233"/>
      <x:c r="BC169" s="233"/>
      <x:c r="BD169" s="233"/>
      <x:c r="BE169" s="237" t="str">
        <x:f>IF(AND(A169="",B169="",C169="",E169="",G169="",I169="",M169="",T169="",BB169="",BD169=""),"",IF(B169="skip","SKIP",IF(OR(B169="",A169="",E169="",G169="",I169="",M169="",T169="",COUNTIF($A$6:$A$505,A169)&gt;1,COUNTIF($M$6:$M$505,M169)&gt;1,AND(L169="mobile",N169&lt;&gt;"invalid",OR(LEN(M169)&lt;&gt;10,LEFT(M169,2)&lt;&gt;"09"))),"REVIEW","READY")))</x:f>
      </x:c>
      <x:c r="BF169" s="238" t="str">
        <x:f>IF(BE169="","",IF(BE169="READY","",IF(B169="skip","Skipped by import_action",TRIM(IF(B169="","missing import_action; ","")&amp;IF(A169="","missing migration_customer_key; ","")&amp;IF(AND(A169&lt;&gt;"",COUNTIF($A$6:$A$505,A169)&gt;1),"duplicate migration_customer_key; ","")&amp;IF(E169="","missing branch_id; ","")&amp;IF(G169="","missing first_name; ","")&amp;IF(I169="","missing last_name; ","")&amp;IF(M169="","missing primary_phone; ","")&amp;IF(AND(M169&lt;&gt;"",COUNTIF($M$6:$M$505,M169)&gt;1),"duplicate primary_phone; ","")&amp;IF(AND(L169="mobile",N169&lt;&gt;"invalid",OR(LEN(M169)&lt;&gt;10,LEFT(M169,2)&lt;&gt;"09")),"mobile must be 09XXXXXXXX or status invalid; ","")&amp;IF(T169="","missing neighborhood_id; ","")))))</x:f>
      </x:c>
    </x:row>
    <x:row r="170">
      <x:c r="A170" s="232"/>
      <x:c r="B170" s="233"/>
      <x:c r="C170" s="234"/>
      <x:c r="D170" s="233"/>
      <x:c r="E170" s="233"/>
      <x:c r="F170" s="233"/>
      <x:c r="G170" s="233"/>
      <x:c r="H170" s="233"/>
      <x:c r="I170" s="233"/>
      <x:c r="J170" s="233"/>
      <x:c r="K170" s="233" t="str">
        <x:f>TRIM(G170&amp;" "&amp;H170&amp;" "&amp;I170&amp;IF(J170&lt;&gt;""," ("&amp;J170&amp;")",""))</x:f>
      </x:c>
      <x:c r="L170" s="233"/>
      <x:c r="M170" s="234"/>
      <x:c r="N170" s="233"/>
      <x:c r="O170" s="233"/>
      <x:c r="P170" s="233"/>
      <x:c r="Q170" s="233"/>
      <x:c r="R170" s="233"/>
      <x:c r="S170" s="233"/>
      <x:c r="T170" s="233"/>
      <x:c r="U170" s="233"/>
      <x:c r="V170" s="233"/>
      <x:c r="W170" s="235"/>
      <x:c r="X170" s="235"/>
      <x:c r="Y170" s="233"/>
      <x:c r="Z170" s="233"/>
      <x:c r="AA170" s="233"/>
      <x:c r="AB170" s="233"/>
      <x:c r="AC170" s="236"/>
      <x:c r="AD170" s="233"/>
      <x:c r="AE170" s="233"/>
      <x:c r="AF170" s="233"/>
      <x:c r="AG170" s="233"/>
      <x:c r="AH170" s="234"/>
      <x:c r="AI170" s="233"/>
      <x:c r="AJ170" s="233"/>
      <x:c r="AK170" s="233"/>
      <x:c r="AL170" s="236"/>
      <x:c r="AM170" s="233"/>
      <x:c r="AN170" s="233"/>
      <x:c r="AO170" s="234"/>
      <x:c r="AP170" s="234"/>
      <x:c r="AQ170" s="233"/>
      <x:c r="AR170" s="236"/>
      <x:c r="AS170" s="234"/>
      <x:c r="AT170" s="233"/>
      <x:c r="AU170" s="233"/>
      <x:c r="AV170" s="233"/>
      <x:c r="AW170" s="233"/>
      <x:c r="AX170" s="233"/>
      <x:c r="AY170" s="233"/>
      <x:c r="AZ170" s="236"/>
      <x:c r="BA170" s="233"/>
      <x:c r="BB170" s="233"/>
      <x:c r="BC170" s="233"/>
      <x:c r="BD170" s="233"/>
      <x:c r="BE170" s="237" t="str">
        <x:f>IF(AND(A170="",B170="",C170="",E170="",G170="",I170="",M170="",T170="",BB170="",BD170=""),"",IF(B170="skip","SKIP",IF(OR(B170="",A170="",E170="",G170="",I170="",M170="",T170="",COUNTIF($A$6:$A$505,A170)&gt;1,COUNTIF($M$6:$M$505,M170)&gt;1,AND(L170="mobile",N170&lt;&gt;"invalid",OR(LEN(M170)&lt;&gt;10,LEFT(M170,2)&lt;&gt;"09"))),"REVIEW","READY")))</x:f>
      </x:c>
      <x:c r="BF170" s="238" t="str">
        <x:f>IF(BE170="","",IF(BE170="READY","",IF(B170="skip","Skipped by import_action",TRIM(IF(B170="","missing import_action; ","")&amp;IF(A170="","missing migration_customer_key; ","")&amp;IF(AND(A170&lt;&gt;"",COUNTIF($A$6:$A$505,A170)&gt;1),"duplicate migration_customer_key; ","")&amp;IF(E170="","missing branch_id; ","")&amp;IF(G170="","missing first_name; ","")&amp;IF(I170="","missing last_name; ","")&amp;IF(M170="","missing primary_phone; ","")&amp;IF(AND(M170&lt;&gt;"",COUNTIF($M$6:$M$505,M170)&gt;1),"duplicate primary_phone; ","")&amp;IF(AND(L170="mobile",N170&lt;&gt;"invalid",OR(LEN(M170)&lt;&gt;10,LEFT(M170,2)&lt;&gt;"09")),"mobile must be 09XXXXXXXX or status invalid; ","")&amp;IF(T170="","missing neighborhood_id; ","")))))</x:f>
      </x:c>
    </x:row>
    <x:row r="171">
      <x:c r="A171" s="232"/>
      <x:c r="B171" s="233"/>
      <x:c r="C171" s="234"/>
      <x:c r="D171" s="233"/>
      <x:c r="E171" s="233"/>
      <x:c r="F171" s="233"/>
      <x:c r="G171" s="233"/>
      <x:c r="H171" s="233"/>
      <x:c r="I171" s="233"/>
      <x:c r="J171" s="233"/>
      <x:c r="K171" s="233" t="str">
        <x:f>TRIM(G171&amp;" "&amp;H171&amp;" "&amp;I171&amp;IF(J171&lt;&gt;""," ("&amp;J171&amp;")",""))</x:f>
      </x:c>
      <x:c r="L171" s="233"/>
      <x:c r="M171" s="234"/>
      <x:c r="N171" s="233"/>
      <x:c r="O171" s="233"/>
      <x:c r="P171" s="233"/>
      <x:c r="Q171" s="233"/>
      <x:c r="R171" s="233"/>
      <x:c r="S171" s="233"/>
      <x:c r="T171" s="233"/>
      <x:c r="U171" s="233"/>
      <x:c r="V171" s="233"/>
      <x:c r="W171" s="235"/>
      <x:c r="X171" s="235"/>
      <x:c r="Y171" s="233"/>
      <x:c r="Z171" s="233"/>
      <x:c r="AA171" s="233"/>
      <x:c r="AB171" s="233"/>
      <x:c r="AC171" s="236"/>
      <x:c r="AD171" s="233"/>
      <x:c r="AE171" s="233"/>
      <x:c r="AF171" s="233"/>
      <x:c r="AG171" s="233"/>
      <x:c r="AH171" s="234"/>
      <x:c r="AI171" s="233"/>
      <x:c r="AJ171" s="233"/>
      <x:c r="AK171" s="233"/>
      <x:c r="AL171" s="236"/>
      <x:c r="AM171" s="233"/>
      <x:c r="AN171" s="233"/>
      <x:c r="AO171" s="234"/>
      <x:c r="AP171" s="234"/>
      <x:c r="AQ171" s="233"/>
      <x:c r="AR171" s="236"/>
      <x:c r="AS171" s="234"/>
      <x:c r="AT171" s="233"/>
      <x:c r="AU171" s="233"/>
      <x:c r="AV171" s="233"/>
      <x:c r="AW171" s="233"/>
      <x:c r="AX171" s="233"/>
      <x:c r="AY171" s="233"/>
      <x:c r="AZ171" s="236"/>
      <x:c r="BA171" s="233"/>
      <x:c r="BB171" s="233"/>
      <x:c r="BC171" s="233"/>
      <x:c r="BD171" s="233"/>
      <x:c r="BE171" s="237" t="str">
        <x:f>IF(AND(A171="",B171="",C171="",E171="",G171="",I171="",M171="",T171="",BB171="",BD171=""),"",IF(B171="skip","SKIP",IF(OR(B171="",A171="",E171="",G171="",I171="",M171="",T171="",COUNTIF($A$6:$A$505,A171)&gt;1,COUNTIF($M$6:$M$505,M171)&gt;1,AND(L171="mobile",N171&lt;&gt;"invalid",OR(LEN(M171)&lt;&gt;10,LEFT(M171,2)&lt;&gt;"09"))),"REVIEW","READY")))</x:f>
      </x:c>
      <x:c r="BF171" s="238" t="str">
        <x:f>IF(BE171="","",IF(BE171="READY","",IF(B171="skip","Skipped by import_action",TRIM(IF(B171="","missing import_action; ","")&amp;IF(A171="","missing migration_customer_key; ","")&amp;IF(AND(A171&lt;&gt;"",COUNTIF($A$6:$A$505,A171)&gt;1),"duplicate migration_customer_key; ","")&amp;IF(E171="","missing branch_id; ","")&amp;IF(G171="","missing first_name; ","")&amp;IF(I171="","missing last_name; ","")&amp;IF(M171="","missing primary_phone; ","")&amp;IF(AND(M171&lt;&gt;"",COUNTIF($M$6:$M$505,M171)&gt;1),"duplicate primary_phone; ","")&amp;IF(AND(L171="mobile",N171&lt;&gt;"invalid",OR(LEN(M171)&lt;&gt;10,LEFT(M171,2)&lt;&gt;"09")),"mobile must be 09XXXXXXXX or status invalid; ","")&amp;IF(T171="","missing neighborhood_id; ","")))))</x:f>
      </x:c>
    </x:row>
    <x:row r="172">
      <x:c r="A172" s="232"/>
      <x:c r="B172" s="233"/>
      <x:c r="C172" s="234"/>
      <x:c r="D172" s="233"/>
      <x:c r="E172" s="233"/>
      <x:c r="F172" s="233"/>
      <x:c r="G172" s="233"/>
      <x:c r="H172" s="233"/>
      <x:c r="I172" s="233"/>
      <x:c r="J172" s="233"/>
      <x:c r="K172" s="233" t="str">
        <x:f>TRIM(G172&amp;" "&amp;H172&amp;" "&amp;I172&amp;IF(J172&lt;&gt;""," ("&amp;J172&amp;")",""))</x:f>
      </x:c>
      <x:c r="L172" s="233"/>
      <x:c r="M172" s="234"/>
      <x:c r="N172" s="233"/>
      <x:c r="O172" s="233"/>
      <x:c r="P172" s="233"/>
      <x:c r="Q172" s="233"/>
      <x:c r="R172" s="233"/>
      <x:c r="S172" s="233"/>
      <x:c r="T172" s="233"/>
      <x:c r="U172" s="233"/>
      <x:c r="V172" s="233"/>
      <x:c r="W172" s="235"/>
      <x:c r="X172" s="235"/>
      <x:c r="Y172" s="233"/>
      <x:c r="Z172" s="233"/>
      <x:c r="AA172" s="233"/>
      <x:c r="AB172" s="233"/>
      <x:c r="AC172" s="236"/>
      <x:c r="AD172" s="233"/>
      <x:c r="AE172" s="233"/>
      <x:c r="AF172" s="233"/>
      <x:c r="AG172" s="233"/>
      <x:c r="AH172" s="234"/>
      <x:c r="AI172" s="233"/>
      <x:c r="AJ172" s="233"/>
      <x:c r="AK172" s="233"/>
      <x:c r="AL172" s="236"/>
      <x:c r="AM172" s="233"/>
      <x:c r="AN172" s="233"/>
      <x:c r="AO172" s="234"/>
      <x:c r="AP172" s="234"/>
      <x:c r="AQ172" s="233"/>
      <x:c r="AR172" s="236"/>
      <x:c r="AS172" s="234"/>
      <x:c r="AT172" s="233"/>
      <x:c r="AU172" s="233"/>
      <x:c r="AV172" s="233"/>
      <x:c r="AW172" s="233"/>
      <x:c r="AX172" s="233"/>
      <x:c r="AY172" s="233"/>
      <x:c r="AZ172" s="236"/>
      <x:c r="BA172" s="233"/>
      <x:c r="BB172" s="233"/>
      <x:c r="BC172" s="233"/>
      <x:c r="BD172" s="233"/>
      <x:c r="BE172" s="237" t="str">
        <x:f>IF(AND(A172="",B172="",C172="",E172="",G172="",I172="",M172="",T172="",BB172="",BD172=""),"",IF(B172="skip","SKIP",IF(OR(B172="",A172="",E172="",G172="",I172="",M172="",T172="",COUNTIF($A$6:$A$505,A172)&gt;1,COUNTIF($M$6:$M$505,M172)&gt;1,AND(L172="mobile",N172&lt;&gt;"invalid",OR(LEN(M172)&lt;&gt;10,LEFT(M172,2)&lt;&gt;"09"))),"REVIEW","READY")))</x:f>
      </x:c>
      <x:c r="BF172" s="238" t="str">
        <x:f>IF(BE172="","",IF(BE172="READY","",IF(B172="skip","Skipped by import_action",TRIM(IF(B172="","missing import_action; ","")&amp;IF(A172="","missing migration_customer_key; ","")&amp;IF(AND(A172&lt;&gt;"",COUNTIF($A$6:$A$505,A172)&gt;1),"duplicate migration_customer_key; ","")&amp;IF(E172="","missing branch_id; ","")&amp;IF(G172="","missing first_name; ","")&amp;IF(I172="","missing last_name; ","")&amp;IF(M172="","missing primary_phone; ","")&amp;IF(AND(M172&lt;&gt;"",COUNTIF($M$6:$M$505,M172)&gt;1),"duplicate primary_phone; ","")&amp;IF(AND(L172="mobile",N172&lt;&gt;"invalid",OR(LEN(M172)&lt;&gt;10,LEFT(M172,2)&lt;&gt;"09")),"mobile must be 09XXXXXXXX or status invalid; ","")&amp;IF(T172="","missing neighborhood_id; ","")))))</x:f>
      </x:c>
    </x:row>
    <x:row r="173">
      <x:c r="A173" s="232"/>
      <x:c r="B173" s="233"/>
      <x:c r="C173" s="234"/>
      <x:c r="D173" s="233"/>
      <x:c r="E173" s="233"/>
      <x:c r="F173" s="233"/>
      <x:c r="G173" s="233"/>
      <x:c r="H173" s="233"/>
      <x:c r="I173" s="233"/>
      <x:c r="J173" s="233"/>
      <x:c r="K173" s="233" t="str">
        <x:f>TRIM(G173&amp;" "&amp;H173&amp;" "&amp;I173&amp;IF(J173&lt;&gt;""," ("&amp;J173&amp;")",""))</x:f>
      </x:c>
      <x:c r="L173" s="233"/>
      <x:c r="M173" s="234"/>
      <x:c r="N173" s="233"/>
      <x:c r="O173" s="233"/>
      <x:c r="P173" s="233"/>
      <x:c r="Q173" s="233"/>
      <x:c r="R173" s="233"/>
      <x:c r="S173" s="233"/>
      <x:c r="T173" s="233"/>
      <x:c r="U173" s="233"/>
      <x:c r="V173" s="233"/>
      <x:c r="W173" s="235"/>
      <x:c r="X173" s="235"/>
      <x:c r="Y173" s="233"/>
      <x:c r="Z173" s="233"/>
      <x:c r="AA173" s="233"/>
      <x:c r="AB173" s="233"/>
      <x:c r="AC173" s="236"/>
      <x:c r="AD173" s="233"/>
      <x:c r="AE173" s="233"/>
      <x:c r="AF173" s="233"/>
      <x:c r="AG173" s="233"/>
      <x:c r="AH173" s="234"/>
      <x:c r="AI173" s="233"/>
      <x:c r="AJ173" s="233"/>
      <x:c r="AK173" s="233"/>
      <x:c r="AL173" s="236"/>
      <x:c r="AM173" s="233"/>
      <x:c r="AN173" s="233"/>
      <x:c r="AO173" s="234"/>
      <x:c r="AP173" s="234"/>
      <x:c r="AQ173" s="233"/>
      <x:c r="AR173" s="236"/>
      <x:c r="AS173" s="234"/>
      <x:c r="AT173" s="233"/>
      <x:c r="AU173" s="233"/>
      <x:c r="AV173" s="233"/>
      <x:c r="AW173" s="233"/>
      <x:c r="AX173" s="233"/>
      <x:c r="AY173" s="233"/>
      <x:c r="AZ173" s="236"/>
      <x:c r="BA173" s="233"/>
      <x:c r="BB173" s="233"/>
      <x:c r="BC173" s="233"/>
      <x:c r="BD173" s="233"/>
      <x:c r="BE173" s="237" t="str">
        <x:f>IF(AND(A173="",B173="",C173="",E173="",G173="",I173="",M173="",T173="",BB173="",BD173=""),"",IF(B173="skip","SKIP",IF(OR(B173="",A173="",E173="",G173="",I173="",M173="",T173="",COUNTIF($A$6:$A$505,A173)&gt;1,COUNTIF($M$6:$M$505,M173)&gt;1,AND(L173="mobile",N173&lt;&gt;"invalid",OR(LEN(M173)&lt;&gt;10,LEFT(M173,2)&lt;&gt;"09"))),"REVIEW","READY")))</x:f>
      </x:c>
      <x:c r="BF173" s="238" t="str">
        <x:f>IF(BE173="","",IF(BE173="READY","",IF(B173="skip","Skipped by import_action",TRIM(IF(B173="","missing import_action; ","")&amp;IF(A173="","missing migration_customer_key; ","")&amp;IF(AND(A173&lt;&gt;"",COUNTIF($A$6:$A$505,A173)&gt;1),"duplicate migration_customer_key; ","")&amp;IF(E173="","missing branch_id; ","")&amp;IF(G173="","missing first_name; ","")&amp;IF(I173="","missing last_name; ","")&amp;IF(M173="","missing primary_phone; ","")&amp;IF(AND(M173&lt;&gt;"",COUNTIF($M$6:$M$505,M173)&gt;1),"duplicate primary_phone; ","")&amp;IF(AND(L173="mobile",N173&lt;&gt;"invalid",OR(LEN(M173)&lt;&gt;10,LEFT(M173,2)&lt;&gt;"09")),"mobile must be 09XXXXXXXX or status invalid; ","")&amp;IF(T173="","missing neighborhood_id; ","")))))</x:f>
      </x:c>
    </x:row>
    <x:row r="174">
      <x:c r="A174" s="232"/>
      <x:c r="B174" s="233"/>
      <x:c r="C174" s="234"/>
      <x:c r="D174" s="233"/>
      <x:c r="E174" s="233"/>
      <x:c r="F174" s="233"/>
      <x:c r="G174" s="233"/>
      <x:c r="H174" s="233"/>
      <x:c r="I174" s="233"/>
      <x:c r="J174" s="233"/>
      <x:c r="K174" s="233" t="str">
        <x:f>TRIM(G174&amp;" "&amp;H174&amp;" "&amp;I174&amp;IF(J174&lt;&gt;""," ("&amp;J174&amp;")",""))</x:f>
      </x:c>
      <x:c r="L174" s="233"/>
      <x:c r="M174" s="234"/>
      <x:c r="N174" s="233"/>
      <x:c r="O174" s="233"/>
      <x:c r="P174" s="233"/>
      <x:c r="Q174" s="233"/>
      <x:c r="R174" s="233"/>
      <x:c r="S174" s="233"/>
      <x:c r="T174" s="233"/>
      <x:c r="U174" s="233"/>
      <x:c r="V174" s="233"/>
      <x:c r="W174" s="235"/>
      <x:c r="X174" s="235"/>
      <x:c r="Y174" s="233"/>
      <x:c r="Z174" s="233"/>
      <x:c r="AA174" s="233"/>
      <x:c r="AB174" s="233"/>
      <x:c r="AC174" s="236"/>
      <x:c r="AD174" s="233"/>
      <x:c r="AE174" s="233"/>
      <x:c r="AF174" s="233"/>
      <x:c r="AG174" s="233"/>
      <x:c r="AH174" s="234"/>
      <x:c r="AI174" s="233"/>
      <x:c r="AJ174" s="233"/>
      <x:c r="AK174" s="233"/>
      <x:c r="AL174" s="236"/>
      <x:c r="AM174" s="233"/>
      <x:c r="AN174" s="233"/>
      <x:c r="AO174" s="234"/>
      <x:c r="AP174" s="234"/>
      <x:c r="AQ174" s="233"/>
      <x:c r="AR174" s="236"/>
      <x:c r="AS174" s="234"/>
      <x:c r="AT174" s="233"/>
      <x:c r="AU174" s="233"/>
      <x:c r="AV174" s="233"/>
      <x:c r="AW174" s="233"/>
      <x:c r="AX174" s="233"/>
      <x:c r="AY174" s="233"/>
      <x:c r="AZ174" s="236"/>
      <x:c r="BA174" s="233"/>
      <x:c r="BB174" s="233"/>
      <x:c r="BC174" s="233"/>
      <x:c r="BD174" s="233"/>
      <x:c r="BE174" s="237" t="str">
        <x:f>IF(AND(A174="",B174="",C174="",E174="",G174="",I174="",M174="",T174="",BB174="",BD174=""),"",IF(B174="skip","SKIP",IF(OR(B174="",A174="",E174="",G174="",I174="",M174="",T174="",COUNTIF($A$6:$A$505,A174)&gt;1,COUNTIF($M$6:$M$505,M174)&gt;1,AND(L174="mobile",N174&lt;&gt;"invalid",OR(LEN(M174)&lt;&gt;10,LEFT(M174,2)&lt;&gt;"09"))),"REVIEW","READY")))</x:f>
      </x:c>
      <x:c r="BF174" s="238" t="str">
        <x:f>IF(BE174="","",IF(BE174="READY","",IF(B174="skip","Skipped by import_action",TRIM(IF(B174="","missing import_action; ","")&amp;IF(A174="","missing migration_customer_key; ","")&amp;IF(AND(A174&lt;&gt;"",COUNTIF($A$6:$A$505,A174)&gt;1),"duplicate migration_customer_key; ","")&amp;IF(E174="","missing branch_id; ","")&amp;IF(G174="","missing first_name; ","")&amp;IF(I174="","missing last_name; ","")&amp;IF(M174="","missing primary_phone; ","")&amp;IF(AND(M174&lt;&gt;"",COUNTIF($M$6:$M$505,M174)&gt;1),"duplicate primary_phone; ","")&amp;IF(AND(L174="mobile",N174&lt;&gt;"invalid",OR(LEN(M174)&lt;&gt;10,LEFT(M174,2)&lt;&gt;"09")),"mobile must be 09XXXXXXXX or status invalid; ","")&amp;IF(T174="","missing neighborhood_id; ","")))))</x:f>
      </x:c>
    </x:row>
    <x:row r="175">
      <x:c r="A175" s="232"/>
      <x:c r="B175" s="233"/>
      <x:c r="C175" s="234"/>
      <x:c r="D175" s="233"/>
      <x:c r="E175" s="233"/>
      <x:c r="F175" s="233"/>
      <x:c r="G175" s="233"/>
      <x:c r="H175" s="233"/>
      <x:c r="I175" s="233"/>
      <x:c r="J175" s="233"/>
      <x:c r="K175" s="233" t="str">
        <x:f>TRIM(G175&amp;" "&amp;H175&amp;" "&amp;I175&amp;IF(J175&lt;&gt;""," ("&amp;J175&amp;")",""))</x:f>
      </x:c>
      <x:c r="L175" s="233"/>
      <x:c r="M175" s="234"/>
      <x:c r="N175" s="233"/>
      <x:c r="O175" s="233"/>
      <x:c r="P175" s="233"/>
      <x:c r="Q175" s="233"/>
      <x:c r="R175" s="233"/>
      <x:c r="S175" s="233"/>
      <x:c r="T175" s="233"/>
      <x:c r="U175" s="233"/>
      <x:c r="V175" s="233"/>
      <x:c r="W175" s="235"/>
      <x:c r="X175" s="235"/>
      <x:c r="Y175" s="233"/>
      <x:c r="Z175" s="233"/>
      <x:c r="AA175" s="233"/>
      <x:c r="AB175" s="233"/>
      <x:c r="AC175" s="236"/>
      <x:c r="AD175" s="233"/>
      <x:c r="AE175" s="233"/>
      <x:c r="AF175" s="233"/>
      <x:c r="AG175" s="233"/>
      <x:c r="AH175" s="234"/>
      <x:c r="AI175" s="233"/>
      <x:c r="AJ175" s="233"/>
      <x:c r="AK175" s="233"/>
      <x:c r="AL175" s="236"/>
      <x:c r="AM175" s="233"/>
      <x:c r="AN175" s="233"/>
      <x:c r="AO175" s="234"/>
      <x:c r="AP175" s="234"/>
      <x:c r="AQ175" s="233"/>
      <x:c r="AR175" s="236"/>
      <x:c r="AS175" s="234"/>
      <x:c r="AT175" s="233"/>
      <x:c r="AU175" s="233"/>
      <x:c r="AV175" s="233"/>
      <x:c r="AW175" s="233"/>
      <x:c r="AX175" s="233"/>
      <x:c r="AY175" s="233"/>
      <x:c r="AZ175" s="236"/>
      <x:c r="BA175" s="233"/>
      <x:c r="BB175" s="233"/>
      <x:c r="BC175" s="233"/>
      <x:c r="BD175" s="233"/>
      <x:c r="BE175" s="237" t="str">
        <x:f>IF(AND(A175="",B175="",C175="",E175="",G175="",I175="",M175="",T175="",BB175="",BD175=""),"",IF(B175="skip","SKIP",IF(OR(B175="",A175="",E175="",G175="",I175="",M175="",T175="",COUNTIF($A$6:$A$505,A175)&gt;1,COUNTIF($M$6:$M$505,M175)&gt;1,AND(L175="mobile",N175&lt;&gt;"invalid",OR(LEN(M175)&lt;&gt;10,LEFT(M175,2)&lt;&gt;"09"))),"REVIEW","READY")))</x:f>
      </x:c>
      <x:c r="BF175" s="238" t="str">
        <x:f>IF(BE175="","",IF(BE175="READY","",IF(B175="skip","Skipped by import_action",TRIM(IF(B175="","missing import_action; ","")&amp;IF(A175="","missing migration_customer_key; ","")&amp;IF(AND(A175&lt;&gt;"",COUNTIF($A$6:$A$505,A175)&gt;1),"duplicate migration_customer_key; ","")&amp;IF(E175="","missing branch_id; ","")&amp;IF(G175="","missing first_name; ","")&amp;IF(I175="","missing last_name; ","")&amp;IF(M175="","missing primary_phone; ","")&amp;IF(AND(M175&lt;&gt;"",COUNTIF($M$6:$M$505,M175)&gt;1),"duplicate primary_phone; ","")&amp;IF(AND(L175="mobile",N175&lt;&gt;"invalid",OR(LEN(M175)&lt;&gt;10,LEFT(M175,2)&lt;&gt;"09")),"mobile must be 09XXXXXXXX or status invalid; ","")&amp;IF(T175="","missing neighborhood_id; ","")))))</x:f>
      </x:c>
    </x:row>
    <x:row r="176">
      <x:c r="A176" s="232"/>
      <x:c r="B176" s="233"/>
      <x:c r="C176" s="234"/>
      <x:c r="D176" s="233"/>
      <x:c r="E176" s="233"/>
      <x:c r="F176" s="233"/>
      <x:c r="G176" s="233"/>
      <x:c r="H176" s="233"/>
      <x:c r="I176" s="233"/>
      <x:c r="J176" s="233"/>
      <x:c r="K176" s="233" t="str">
        <x:f>TRIM(G176&amp;" "&amp;H176&amp;" "&amp;I176&amp;IF(J176&lt;&gt;""," ("&amp;J176&amp;")",""))</x:f>
      </x:c>
      <x:c r="L176" s="233"/>
      <x:c r="M176" s="234"/>
      <x:c r="N176" s="233"/>
      <x:c r="O176" s="233"/>
      <x:c r="P176" s="233"/>
      <x:c r="Q176" s="233"/>
      <x:c r="R176" s="233"/>
      <x:c r="S176" s="233"/>
      <x:c r="T176" s="233"/>
      <x:c r="U176" s="233"/>
      <x:c r="V176" s="233"/>
      <x:c r="W176" s="235"/>
      <x:c r="X176" s="235"/>
      <x:c r="Y176" s="233"/>
      <x:c r="Z176" s="233"/>
      <x:c r="AA176" s="233"/>
      <x:c r="AB176" s="233"/>
      <x:c r="AC176" s="236"/>
      <x:c r="AD176" s="233"/>
      <x:c r="AE176" s="233"/>
      <x:c r="AF176" s="233"/>
      <x:c r="AG176" s="233"/>
      <x:c r="AH176" s="234"/>
      <x:c r="AI176" s="233"/>
      <x:c r="AJ176" s="233"/>
      <x:c r="AK176" s="233"/>
      <x:c r="AL176" s="236"/>
      <x:c r="AM176" s="233"/>
      <x:c r="AN176" s="233"/>
      <x:c r="AO176" s="234"/>
      <x:c r="AP176" s="234"/>
      <x:c r="AQ176" s="233"/>
      <x:c r="AR176" s="236"/>
      <x:c r="AS176" s="234"/>
      <x:c r="AT176" s="233"/>
      <x:c r="AU176" s="233"/>
      <x:c r="AV176" s="233"/>
      <x:c r="AW176" s="233"/>
      <x:c r="AX176" s="233"/>
      <x:c r="AY176" s="233"/>
      <x:c r="AZ176" s="236"/>
      <x:c r="BA176" s="233"/>
      <x:c r="BB176" s="233"/>
      <x:c r="BC176" s="233"/>
      <x:c r="BD176" s="233"/>
      <x:c r="BE176" s="237" t="str">
        <x:f>IF(AND(A176="",B176="",C176="",E176="",G176="",I176="",M176="",T176="",BB176="",BD176=""),"",IF(B176="skip","SKIP",IF(OR(B176="",A176="",E176="",G176="",I176="",M176="",T176="",COUNTIF($A$6:$A$505,A176)&gt;1,COUNTIF($M$6:$M$505,M176)&gt;1,AND(L176="mobile",N176&lt;&gt;"invalid",OR(LEN(M176)&lt;&gt;10,LEFT(M176,2)&lt;&gt;"09"))),"REVIEW","READY")))</x:f>
      </x:c>
      <x:c r="BF176" s="238" t="str">
        <x:f>IF(BE176="","",IF(BE176="READY","",IF(B176="skip","Skipped by import_action",TRIM(IF(B176="","missing import_action; ","")&amp;IF(A176="","missing migration_customer_key; ","")&amp;IF(AND(A176&lt;&gt;"",COUNTIF($A$6:$A$505,A176)&gt;1),"duplicate migration_customer_key; ","")&amp;IF(E176="","missing branch_id; ","")&amp;IF(G176="","missing first_name; ","")&amp;IF(I176="","missing last_name; ","")&amp;IF(M176="","missing primary_phone; ","")&amp;IF(AND(M176&lt;&gt;"",COUNTIF($M$6:$M$505,M176)&gt;1),"duplicate primary_phone; ","")&amp;IF(AND(L176="mobile",N176&lt;&gt;"invalid",OR(LEN(M176)&lt;&gt;10,LEFT(M176,2)&lt;&gt;"09")),"mobile must be 09XXXXXXXX or status invalid; ","")&amp;IF(T176="","missing neighborhood_id; ","")))))</x:f>
      </x:c>
    </x:row>
    <x:row r="177">
      <x:c r="A177" s="232"/>
      <x:c r="B177" s="233"/>
      <x:c r="C177" s="234"/>
      <x:c r="D177" s="233"/>
      <x:c r="E177" s="233"/>
      <x:c r="F177" s="233"/>
      <x:c r="G177" s="233"/>
      <x:c r="H177" s="233"/>
      <x:c r="I177" s="233"/>
      <x:c r="J177" s="233"/>
      <x:c r="K177" s="233" t="str">
        <x:f>TRIM(G177&amp;" "&amp;H177&amp;" "&amp;I177&amp;IF(J177&lt;&gt;""," ("&amp;J177&amp;")",""))</x:f>
      </x:c>
      <x:c r="L177" s="233"/>
      <x:c r="M177" s="234"/>
      <x:c r="N177" s="233"/>
      <x:c r="O177" s="233"/>
      <x:c r="P177" s="233"/>
      <x:c r="Q177" s="233"/>
      <x:c r="R177" s="233"/>
      <x:c r="S177" s="233"/>
      <x:c r="T177" s="233"/>
      <x:c r="U177" s="233"/>
      <x:c r="V177" s="233"/>
      <x:c r="W177" s="235"/>
      <x:c r="X177" s="235"/>
      <x:c r="Y177" s="233"/>
      <x:c r="Z177" s="233"/>
      <x:c r="AA177" s="233"/>
      <x:c r="AB177" s="233"/>
      <x:c r="AC177" s="236"/>
      <x:c r="AD177" s="233"/>
      <x:c r="AE177" s="233"/>
      <x:c r="AF177" s="233"/>
      <x:c r="AG177" s="233"/>
      <x:c r="AH177" s="234"/>
      <x:c r="AI177" s="233"/>
      <x:c r="AJ177" s="233"/>
      <x:c r="AK177" s="233"/>
      <x:c r="AL177" s="236"/>
      <x:c r="AM177" s="233"/>
      <x:c r="AN177" s="233"/>
      <x:c r="AO177" s="234"/>
      <x:c r="AP177" s="234"/>
      <x:c r="AQ177" s="233"/>
      <x:c r="AR177" s="236"/>
      <x:c r="AS177" s="234"/>
      <x:c r="AT177" s="233"/>
      <x:c r="AU177" s="233"/>
      <x:c r="AV177" s="233"/>
      <x:c r="AW177" s="233"/>
      <x:c r="AX177" s="233"/>
      <x:c r="AY177" s="233"/>
      <x:c r="AZ177" s="236"/>
      <x:c r="BA177" s="233"/>
      <x:c r="BB177" s="233"/>
      <x:c r="BC177" s="233"/>
      <x:c r="BD177" s="233"/>
      <x:c r="BE177" s="237" t="str">
        <x:f>IF(AND(A177="",B177="",C177="",E177="",G177="",I177="",M177="",T177="",BB177="",BD177=""),"",IF(B177="skip","SKIP",IF(OR(B177="",A177="",E177="",G177="",I177="",M177="",T177="",COUNTIF($A$6:$A$505,A177)&gt;1,COUNTIF($M$6:$M$505,M177)&gt;1,AND(L177="mobile",N177&lt;&gt;"invalid",OR(LEN(M177)&lt;&gt;10,LEFT(M177,2)&lt;&gt;"09"))),"REVIEW","READY")))</x:f>
      </x:c>
      <x:c r="BF177" s="238" t="str">
        <x:f>IF(BE177="","",IF(BE177="READY","",IF(B177="skip","Skipped by import_action",TRIM(IF(B177="","missing import_action; ","")&amp;IF(A177="","missing migration_customer_key; ","")&amp;IF(AND(A177&lt;&gt;"",COUNTIF($A$6:$A$505,A177)&gt;1),"duplicate migration_customer_key; ","")&amp;IF(E177="","missing branch_id; ","")&amp;IF(G177="","missing first_name; ","")&amp;IF(I177="","missing last_name; ","")&amp;IF(M177="","missing primary_phone; ","")&amp;IF(AND(M177&lt;&gt;"",COUNTIF($M$6:$M$505,M177)&gt;1),"duplicate primary_phone; ","")&amp;IF(AND(L177="mobile",N177&lt;&gt;"invalid",OR(LEN(M177)&lt;&gt;10,LEFT(M177,2)&lt;&gt;"09")),"mobile must be 09XXXXXXXX or status invalid; ","")&amp;IF(T177="","missing neighborhood_id; ","")))))</x:f>
      </x:c>
    </x:row>
    <x:row r="178">
      <x:c r="A178" s="232"/>
      <x:c r="B178" s="233"/>
      <x:c r="C178" s="234"/>
      <x:c r="D178" s="233"/>
      <x:c r="E178" s="233"/>
      <x:c r="F178" s="233"/>
      <x:c r="G178" s="233"/>
      <x:c r="H178" s="233"/>
      <x:c r="I178" s="233"/>
      <x:c r="J178" s="233"/>
      <x:c r="K178" s="233" t="str">
        <x:f>TRIM(G178&amp;" "&amp;H178&amp;" "&amp;I178&amp;IF(J178&lt;&gt;""," ("&amp;J178&amp;")",""))</x:f>
      </x:c>
      <x:c r="L178" s="233"/>
      <x:c r="M178" s="234"/>
      <x:c r="N178" s="233"/>
      <x:c r="O178" s="233"/>
      <x:c r="P178" s="233"/>
      <x:c r="Q178" s="233"/>
      <x:c r="R178" s="233"/>
      <x:c r="S178" s="233"/>
      <x:c r="T178" s="233"/>
      <x:c r="U178" s="233"/>
      <x:c r="V178" s="233"/>
      <x:c r="W178" s="235"/>
      <x:c r="X178" s="235"/>
      <x:c r="Y178" s="233"/>
      <x:c r="Z178" s="233"/>
      <x:c r="AA178" s="233"/>
      <x:c r="AB178" s="233"/>
      <x:c r="AC178" s="236"/>
      <x:c r="AD178" s="233"/>
      <x:c r="AE178" s="233"/>
      <x:c r="AF178" s="233"/>
      <x:c r="AG178" s="233"/>
      <x:c r="AH178" s="234"/>
      <x:c r="AI178" s="233"/>
      <x:c r="AJ178" s="233"/>
      <x:c r="AK178" s="233"/>
      <x:c r="AL178" s="236"/>
      <x:c r="AM178" s="233"/>
      <x:c r="AN178" s="233"/>
      <x:c r="AO178" s="234"/>
      <x:c r="AP178" s="234"/>
      <x:c r="AQ178" s="233"/>
      <x:c r="AR178" s="236"/>
      <x:c r="AS178" s="234"/>
      <x:c r="AT178" s="233"/>
      <x:c r="AU178" s="233"/>
      <x:c r="AV178" s="233"/>
      <x:c r="AW178" s="233"/>
      <x:c r="AX178" s="233"/>
      <x:c r="AY178" s="233"/>
      <x:c r="AZ178" s="236"/>
      <x:c r="BA178" s="233"/>
      <x:c r="BB178" s="233"/>
      <x:c r="BC178" s="233"/>
      <x:c r="BD178" s="233"/>
      <x:c r="BE178" s="237" t="str">
        <x:f>IF(AND(A178="",B178="",C178="",E178="",G178="",I178="",M178="",T178="",BB178="",BD178=""),"",IF(B178="skip","SKIP",IF(OR(B178="",A178="",E178="",G178="",I178="",M178="",T178="",COUNTIF($A$6:$A$505,A178)&gt;1,COUNTIF($M$6:$M$505,M178)&gt;1,AND(L178="mobile",N178&lt;&gt;"invalid",OR(LEN(M178)&lt;&gt;10,LEFT(M178,2)&lt;&gt;"09"))),"REVIEW","READY")))</x:f>
      </x:c>
      <x:c r="BF178" s="238" t="str">
        <x:f>IF(BE178="","",IF(BE178="READY","",IF(B178="skip","Skipped by import_action",TRIM(IF(B178="","missing import_action; ","")&amp;IF(A178="","missing migration_customer_key; ","")&amp;IF(AND(A178&lt;&gt;"",COUNTIF($A$6:$A$505,A178)&gt;1),"duplicate migration_customer_key; ","")&amp;IF(E178="","missing branch_id; ","")&amp;IF(G178="","missing first_name; ","")&amp;IF(I178="","missing last_name; ","")&amp;IF(M178="","missing primary_phone; ","")&amp;IF(AND(M178&lt;&gt;"",COUNTIF($M$6:$M$505,M178)&gt;1),"duplicate primary_phone; ","")&amp;IF(AND(L178="mobile",N178&lt;&gt;"invalid",OR(LEN(M178)&lt;&gt;10,LEFT(M178,2)&lt;&gt;"09")),"mobile must be 09XXXXXXXX or status invalid; ","")&amp;IF(T178="","missing neighborhood_id; ","")))))</x:f>
      </x:c>
    </x:row>
    <x:row r="179">
      <x:c r="A179" s="232"/>
      <x:c r="B179" s="233"/>
      <x:c r="C179" s="234"/>
      <x:c r="D179" s="233"/>
      <x:c r="E179" s="233"/>
      <x:c r="F179" s="233"/>
      <x:c r="G179" s="233"/>
      <x:c r="H179" s="233"/>
      <x:c r="I179" s="233"/>
      <x:c r="J179" s="233"/>
      <x:c r="K179" s="233" t="str">
        <x:f>TRIM(G179&amp;" "&amp;H179&amp;" "&amp;I179&amp;IF(J179&lt;&gt;""," ("&amp;J179&amp;")",""))</x:f>
      </x:c>
      <x:c r="L179" s="233"/>
      <x:c r="M179" s="234"/>
      <x:c r="N179" s="233"/>
      <x:c r="O179" s="233"/>
      <x:c r="P179" s="233"/>
      <x:c r="Q179" s="233"/>
      <x:c r="R179" s="233"/>
      <x:c r="S179" s="233"/>
      <x:c r="T179" s="233"/>
      <x:c r="U179" s="233"/>
      <x:c r="V179" s="233"/>
      <x:c r="W179" s="235"/>
      <x:c r="X179" s="235"/>
      <x:c r="Y179" s="233"/>
      <x:c r="Z179" s="233"/>
      <x:c r="AA179" s="233"/>
      <x:c r="AB179" s="233"/>
      <x:c r="AC179" s="236"/>
      <x:c r="AD179" s="233"/>
      <x:c r="AE179" s="233"/>
      <x:c r="AF179" s="233"/>
      <x:c r="AG179" s="233"/>
      <x:c r="AH179" s="234"/>
      <x:c r="AI179" s="233"/>
      <x:c r="AJ179" s="233"/>
      <x:c r="AK179" s="233"/>
      <x:c r="AL179" s="236"/>
      <x:c r="AM179" s="233"/>
      <x:c r="AN179" s="233"/>
      <x:c r="AO179" s="234"/>
      <x:c r="AP179" s="234"/>
      <x:c r="AQ179" s="233"/>
      <x:c r="AR179" s="236"/>
      <x:c r="AS179" s="234"/>
      <x:c r="AT179" s="233"/>
      <x:c r="AU179" s="233"/>
      <x:c r="AV179" s="233"/>
      <x:c r="AW179" s="233"/>
      <x:c r="AX179" s="233"/>
      <x:c r="AY179" s="233"/>
      <x:c r="AZ179" s="236"/>
      <x:c r="BA179" s="233"/>
      <x:c r="BB179" s="233"/>
      <x:c r="BC179" s="233"/>
      <x:c r="BD179" s="233"/>
      <x:c r="BE179" s="237" t="str">
        <x:f>IF(AND(A179="",B179="",C179="",E179="",G179="",I179="",M179="",T179="",BB179="",BD179=""),"",IF(B179="skip","SKIP",IF(OR(B179="",A179="",E179="",G179="",I179="",M179="",T179="",COUNTIF($A$6:$A$505,A179)&gt;1,COUNTIF($M$6:$M$505,M179)&gt;1,AND(L179="mobile",N179&lt;&gt;"invalid",OR(LEN(M179)&lt;&gt;10,LEFT(M179,2)&lt;&gt;"09"))),"REVIEW","READY")))</x:f>
      </x:c>
      <x:c r="BF179" s="238" t="str">
        <x:f>IF(BE179="","",IF(BE179="READY","",IF(B179="skip","Skipped by import_action",TRIM(IF(B179="","missing import_action; ","")&amp;IF(A179="","missing migration_customer_key; ","")&amp;IF(AND(A179&lt;&gt;"",COUNTIF($A$6:$A$505,A179)&gt;1),"duplicate migration_customer_key; ","")&amp;IF(E179="","missing branch_id; ","")&amp;IF(G179="","missing first_name; ","")&amp;IF(I179="","missing last_name; ","")&amp;IF(M179="","missing primary_phone; ","")&amp;IF(AND(M179&lt;&gt;"",COUNTIF($M$6:$M$505,M179)&gt;1),"duplicate primary_phone; ","")&amp;IF(AND(L179="mobile",N179&lt;&gt;"invalid",OR(LEN(M179)&lt;&gt;10,LEFT(M179,2)&lt;&gt;"09")),"mobile must be 09XXXXXXXX or status invalid; ","")&amp;IF(T179="","missing neighborhood_id; ","")))))</x:f>
      </x:c>
    </x:row>
    <x:row r="180">
      <x:c r="A180" s="232"/>
      <x:c r="B180" s="233"/>
      <x:c r="C180" s="234"/>
      <x:c r="D180" s="233"/>
      <x:c r="E180" s="233"/>
      <x:c r="F180" s="233"/>
      <x:c r="G180" s="233"/>
      <x:c r="H180" s="233"/>
      <x:c r="I180" s="233"/>
      <x:c r="J180" s="233"/>
      <x:c r="K180" s="233" t="str">
        <x:f>TRIM(G180&amp;" "&amp;H180&amp;" "&amp;I180&amp;IF(J180&lt;&gt;""," ("&amp;J180&amp;")",""))</x:f>
      </x:c>
      <x:c r="L180" s="233"/>
      <x:c r="M180" s="234"/>
      <x:c r="N180" s="233"/>
      <x:c r="O180" s="233"/>
      <x:c r="P180" s="233"/>
      <x:c r="Q180" s="233"/>
      <x:c r="R180" s="233"/>
      <x:c r="S180" s="233"/>
      <x:c r="T180" s="233"/>
      <x:c r="U180" s="233"/>
      <x:c r="V180" s="233"/>
      <x:c r="W180" s="235"/>
      <x:c r="X180" s="235"/>
      <x:c r="Y180" s="233"/>
      <x:c r="Z180" s="233"/>
      <x:c r="AA180" s="233"/>
      <x:c r="AB180" s="233"/>
      <x:c r="AC180" s="236"/>
      <x:c r="AD180" s="233"/>
      <x:c r="AE180" s="233"/>
      <x:c r="AF180" s="233"/>
      <x:c r="AG180" s="233"/>
      <x:c r="AH180" s="234"/>
      <x:c r="AI180" s="233"/>
      <x:c r="AJ180" s="233"/>
      <x:c r="AK180" s="233"/>
      <x:c r="AL180" s="236"/>
      <x:c r="AM180" s="233"/>
      <x:c r="AN180" s="233"/>
      <x:c r="AO180" s="234"/>
      <x:c r="AP180" s="234"/>
      <x:c r="AQ180" s="233"/>
      <x:c r="AR180" s="236"/>
      <x:c r="AS180" s="234"/>
      <x:c r="AT180" s="233"/>
      <x:c r="AU180" s="233"/>
      <x:c r="AV180" s="233"/>
      <x:c r="AW180" s="233"/>
      <x:c r="AX180" s="233"/>
      <x:c r="AY180" s="233"/>
      <x:c r="AZ180" s="236"/>
      <x:c r="BA180" s="233"/>
      <x:c r="BB180" s="233"/>
      <x:c r="BC180" s="233"/>
      <x:c r="BD180" s="233"/>
      <x:c r="BE180" s="237" t="str">
        <x:f>IF(AND(A180="",B180="",C180="",E180="",G180="",I180="",M180="",T180="",BB180="",BD180=""),"",IF(B180="skip","SKIP",IF(OR(B180="",A180="",E180="",G180="",I180="",M180="",T180="",COUNTIF($A$6:$A$505,A180)&gt;1,COUNTIF($M$6:$M$505,M180)&gt;1,AND(L180="mobile",N180&lt;&gt;"invalid",OR(LEN(M180)&lt;&gt;10,LEFT(M180,2)&lt;&gt;"09"))),"REVIEW","READY")))</x:f>
      </x:c>
      <x:c r="BF180" s="238" t="str">
        <x:f>IF(BE180="","",IF(BE180="READY","",IF(B180="skip","Skipped by import_action",TRIM(IF(B180="","missing import_action; ","")&amp;IF(A180="","missing migration_customer_key; ","")&amp;IF(AND(A180&lt;&gt;"",COUNTIF($A$6:$A$505,A180)&gt;1),"duplicate migration_customer_key; ","")&amp;IF(E180="","missing branch_id; ","")&amp;IF(G180="","missing first_name; ","")&amp;IF(I180="","missing last_name; ","")&amp;IF(M180="","missing primary_phone; ","")&amp;IF(AND(M180&lt;&gt;"",COUNTIF($M$6:$M$505,M180)&gt;1),"duplicate primary_phone; ","")&amp;IF(AND(L180="mobile",N180&lt;&gt;"invalid",OR(LEN(M180)&lt;&gt;10,LEFT(M180,2)&lt;&gt;"09")),"mobile must be 09XXXXXXXX or status invalid; ","")&amp;IF(T180="","missing neighborhood_id; ","")))))</x:f>
      </x:c>
    </x:row>
    <x:row r="181">
      <x:c r="A181" s="232"/>
      <x:c r="B181" s="233"/>
      <x:c r="C181" s="234"/>
      <x:c r="D181" s="233"/>
      <x:c r="E181" s="233"/>
      <x:c r="F181" s="233"/>
      <x:c r="G181" s="233"/>
      <x:c r="H181" s="233"/>
      <x:c r="I181" s="233"/>
      <x:c r="J181" s="233"/>
      <x:c r="K181" s="233" t="str">
        <x:f>TRIM(G181&amp;" "&amp;H181&amp;" "&amp;I181&amp;IF(J181&lt;&gt;""," ("&amp;J181&amp;")",""))</x:f>
      </x:c>
      <x:c r="L181" s="233"/>
      <x:c r="M181" s="234"/>
      <x:c r="N181" s="233"/>
      <x:c r="O181" s="233"/>
      <x:c r="P181" s="233"/>
      <x:c r="Q181" s="233"/>
      <x:c r="R181" s="233"/>
      <x:c r="S181" s="233"/>
      <x:c r="T181" s="233"/>
      <x:c r="U181" s="233"/>
      <x:c r="V181" s="233"/>
      <x:c r="W181" s="235"/>
      <x:c r="X181" s="235"/>
      <x:c r="Y181" s="233"/>
      <x:c r="Z181" s="233"/>
      <x:c r="AA181" s="233"/>
      <x:c r="AB181" s="233"/>
      <x:c r="AC181" s="236"/>
      <x:c r="AD181" s="233"/>
      <x:c r="AE181" s="233"/>
      <x:c r="AF181" s="233"/>
      <x:c r="AG181" s="233"/>
      <x:c r="AH181" s="234"/>
      <x:c r="AI181" s="233"/>
      <x:c r="AJ181" s="233"/>
      <x:c r="AK181" s="233"/>
      <x:c r="AL181" s="236"/>
      <x:c r="AM181" s="233"/>
      <x:c r="AN181" s="233"/>
      <x:c r="AO181" s="234"/>
      <x:c r="AP181" s="234"/>
      <x:c r="AQ181" s="233"/>
      <x:c r="AR181" s="236"/>
      <x:c r="AS181" s="234"/>
      <x:c r="AT181" s="233"/>
      <x:c r="AU181" s="233"/>
      <x:c r="AV181" s="233"/>
      <x:c r="AW181" s="233"/>
      <x:c r="AX181" s="233"/>
      <x:c r="AY181" s="233"/>
      <x:c r="AZ181" s="236"/>
      <x:c r="BA181" s="233"/>
      <x:c r="BB181" s="233"/>
      <x:c r="BC181" s="233"/>
      <x:c r="BD181" s="233"/>
      <x:c r="BE181" s="237" t="str">
        <x:f>IF(AND(A181="",B181="",C181="",E181="",G181="",I181="",M181="",T181="",BB181="",BD181=""),"",IF(B181="skip","SKIP",IF(OR(B181="",A181="",E181="",G181="",I181="",M181="",T181="",COUNTIF($A$6:$A$505,A181)&gt;1,COUNTIF($M$6:$M$505,M181)&gt;1,AND(L181="mobile",N181&lt;&gt;"invalid",OR(LEN(M181)&lt;&gt;10,LEFT(M181,2)&lt;&gt;"09"))),"REVIEW","READY")))</x:f>
      </x:c>
      <x:c r="BF181" s="238" t="str">
        <x:f>IF(BE181="","",IF(BE181="READY","",IF(B181="skip","Skipped by import_action",TRIM(IF(B181="","missing import_action; ","")&amp;IF(A181="","missing migration_customer_key; ","")&amp;IF(AND(A181&lt;&gt;"",COUNTIF($A$6:$A$505,A181)&gt;1),"duplicate migration_customer_key; ","")&amp;IF(E181="","missing branch_id; ","")&amp;IF(G181="","missing first_name; ","")&amp;IF(I181="","missing last_name; ","")&amp;IF(M181="","missing primary_phone; ","")&amp;IF(AND(M181&lt;&gt;"",COUNTIF($M$6:$M$505,M181)&gt;1),"duplicate primary_phone; ","")&amp;IF(AND(L181="mobile",N181&lt;&gt;"invalid",OR(LEN(M181)&lt;&gt;10,LEFT(M181,2)&lt;&gt;"09")),"mobile must be 09XXXXXXXX or status invalid; ","")&amp;IF(T181="","missing neighborhood_id; ","")))))</x:f>
      </x:c>
    </x:row>
    <x:row r="182">
      <x:c r="A182" s="232"/>
      <x:c r="B182" s="233"/>
      <x:c r="C182" s="234"/>
      <x:c r="D182" s="233"/>
      <x:c r="E182" s="233"/>
      <x:c r="F182" s="233"/>
      <x:c r="G182" s="233"/>
      <x:c r="H182" s="233"/>
      <x:c r="I182" s="233"/>
      <x:c r="J182" s="233"/>
      <x:c r="K182" s="233" t="str">
        <x:f>TRIM(G182&amp;" "&amp;H182&amp;" "&amp;I182&amp;IF(J182&lt;&gt;""," ("&amp;J182&amp;")",""))</x:f>
      </x:c>
      <x:c r="L182" s="233"/>
      <x:c r="M182" s="234"/>
      <x:c r="N182" s="233"/>
      <x:c r="O182" s="233"/>
      <x:c r="P182" s="233"/>
      <x:c r="Q182" s="233"/>
      <x:c r="R182" s="233"/>
      <x:c r="S182" s="233"/>
      <x:c r="T182" s="233"/>
      <x:c r="U182" s="233"/>
      <x:c r="V182" s="233"/>
      <x:c r="W182" s="235"/>
      <x:c r="X182" s="235"/>
      <x:c r="Y182" s="233"/>
      <x:c r="Z182" s="233"/>
      <x:c r="AA182" s="233"/>
      <x:c r="AB182" s="233"/>
      <x:c r="AC182" s="236"/>
      <x:c r="AD182" s="233"/>
      <x:c r="AE182" s="233"/>
      <x:c r="AF182" s="233"/>
      <x:c r="AG182" s="233"/>
      <x:c r="AH182" s="234"/>
      <x:c r="AI182" s="233"/>
      <x:c r="AJ182" s="233"/>
      <x:c r="AK182" s="233"/>
      <x:c r="AL182" s="236"/>
      <x:c r="AM182" s="233"/>
      <x:c r="AN182" s="233"/>
      <x:c r="AO182" s="234"/>
      <x:c r="AP182" s="234"/>
      <x:c r="AQ182" s="233"/>
      <x:c r="AR182" s="236"/>
      <x:c r="AS182" s="234"/>
      <x:c r="AT182" s="233"/>
      <x:c r="AU182" s="233"/>
      <x:c r="AV182" s="233"/>
      <x:c r="AW182" s="233"/>
      <x:c r="AX182" s="233"/>
      <x:c r="AY182" s="233"/>
      <x:c r="AZ182" s="236"/>
      <x:c r="BA182" s="233"/>
      <x:c r="BB182" s="233"/>
      <x:c r="BC182" s="233"/>
      <x:c r="BD182" s="233"/>
      <x:c r="BE182" s="237" t="str">
        <x:f>IF(AND(A182="",B182="",C182="",E182="",G182="",I182="",M182="",T182="",BB182="",BD182=""),"",IF(B182="skip","SKIP",IF(OR(B182="",A182="",E182="",G182="",I182="",M182="",T182="",COUNTIF($A$6:$A$505,A182)&gt;1,COUNTIF($M$6:$M$505,M182)&gt;1,AND(L182="mobile",N182&lt;&gt;"invalid",OR(LEN(M182)&lt;&gt;10,LEFT(M182,2)&lt;&gt;"09"))),"REVIEW","READY")))</x:f>
      </x:c>
      <x:c r="BF182" s="238" t="str">
        <x:f>IF(BE182="","",IF(BE182="READY","",IF(B182="skip","Skipped by import_action",TRIM(IF(B182="","missing import_action; ","")&amp;IF(A182="","missing migration_customer_key; ","")&amp;IF(AND(A182&lt;&gt;"",COUNTIF($A$6:$A$505,A182)&gt;1),"duplicate migration_customer_key; ","")&amp;IF(E182="","missing branch_id; ","")&amp;IF(G182="","missing first_name; ","")&amp;IF(I182="","missing last_name; ","")&amp;IF(M182="","missing primary_phone; ","")&amp;IF(AND(M182&lt;&gt;"",COUNTIF($M$6:$M$505,M182)&gt;1),"duplicate primary_phone; ","")&amp;IF(AND(L182="mobile",N182&lt;&gt;"invalid",OR(LEN(M182)&lt;&gt;10,LEFT(M182,2)&lt;&gt;"09")),"mobile must be 09XXXXXXXX or status invalid; ","")&amp;IF(T182="","missing neighborhood_id; ","")))))</x:f>
      </x:c>
    </x:row>
    <x:row r="183">
      <x:c r="A183" s="232"/>
      <x:c r="B183" s="233"/>
      <x:c r="C183" s="234"/>
      <x:c r="D183" s="233"/>
      <x:c r="E183" s="233"/>
      <x:c r="F183" s="233"/>
      <x:c r="G183" s="233"/>
      <x:c r="H183" s="233"/>
      <x:c r="I183" s="233"/>
      <x:c r="J183" s="233"/>
      <x:c r="K183" s="233" t="str">
        <x:f>TRIM(G183&amp;" "&amp;H183&amp;" "&amp;I183&amp;IF(J183&lt;&gt;""," ("&amp;J183&amp;")",""))</x:f>
      </x:c>
      <x:c r="L183" s="233"/>
      <x:c r="M183" s="234"/>
      <x:c r="N183" s="233"/>
      <x:c r="O183" s="233"/>
      <x:c r="P183" s="233"/>
      <x:c r="Q183" s="233"/>
      <x:c r="R183" s="233"/>
      <x:c r="S183" s="233"/>
      <x:c r="T183" s="233"/>
      <x:c r="U183" s="233"/>
      <x:c r="V183" s="233"/>
      <x:c r="W183" s="235"/>
      <x:c r="X183" s="235"/>
      <x:c r="Y183" s="233"/>
      <x:c r="Z183" s="233"/>
      <x:c r="AA183" s="233"/>
      <x:c r="AB183" s="233"/>
      <x:c r="AC183" s="236"/>
      <x:c r="AD183" s="233"/>
      <x:c r="AE183" s="233"/>
      <x:c r="AF183" s="233"/>
      <x:c r="AG183" s="233"/>
      <x:c r="AH183" s="234"/>
      <x:c r="AI183" s="233"/>
      <x:c r="AJ183" s="233"/>
      <x:c r="AK183" s="233"/>
      <x:c r="AL183" s="236"/>
      <x:c r="AM183" s="233"/>
      <x:c r="AN183" s="233"/>
      <x:c r="AO183" s="234"/>
      <x:c r="AP183" s="234"/>
      <x:c r="AQ183" s="233"/>
      <x:c r="AR183" s="236"/>
      <x:c r="AS183" s="234"/>
      <x:c r="AT183" s="233"/>
      <x:c r="AU183" s="233"/>
      <x:c r="AV183" s="233"/>
      <x:c r="AW183" s="233"/>
      <x:c r="AX183" s="233"/>
      <x:c r="AY183" s="233"/>
      <x:c r="AZ183" s="236"/>
      <x:c r="BA183" s="233"/>
      <x:c r="BB183" s="233"/>
      <x:c r="BC183" s="233"/>
      <x:c r="BD183" s="233"/>
      <x:c r="BE183" s="237" t="str">
        <x:f>IF(AND(A183="",B183="",C183="",E183="",G183="",I183="",M183="",T183="",BB183="",BD183=""),"",IF(B183="skip","SKIP",IF(OR(B183="",A183="",E183="",G183="",I183="",M183="",T183="",COUNTIF($A$6:$A$505,A183)&gt;1,COUNTIF($M$6:$M$505,M183)&gt;1,AND(L183="mobile",N183&lt;&gt;"invalid",OR(LEN(M183)&lt;&gt;10,LEFT(M183,2)&lt;&gt;"09"))),"REVIEW","READY")))</x:f>
      </x:c>
      <x:c r="BF183" s="238" t="str">
        <x:f>IF(BE183="","",IF(BE183="READY","",IF(B183="skip","Skipped by import_action",TRIM(IF(B183="","missing import_action; ","")&amp;IF(A183="","missing migration_customer_key; ","")&amp;IF(AND(A183&lt;&gt;"",COUNTIF($A$6:$A$505,A183)&gt;1),"duplicate migration_customer_key; ","")&amp;IF(E183="","missing branch_id; ","")&amp;IF(G183="","missing first_name; ","")&amp;IF(I183="","missing last_name; ","")&amp;IF(M183="","missing primary_phone; ","")&amp;IF(AND(M183&lt;&gt;"",COUNTIF($M$6:$M$505,M183)&gt;1),"duplicate primary_phone; ","")&amp;IF(AND(L183="mobile",N183&lt;&gt;"invalid",OR(LEN(M183)&lt;&gt;10,LEFT(M183,2)&lt;&gt;"09")),"mobile must be 09XXXXXXXX or status invalid; ","")&amp;IF(T183="","missing neighborhood_id; ","")))))</x:f>
      </x:c>
    </x:row>
    <x:row r="184">
      <x:c r="A184" s="232"/>
      <x:c r="B184" s="233"/>
      <x:c r="C184" s="234"/>
      <x:c r="D184" s="233"/>
      <x:c r="E184" s="233"/>
      <x:c r="F184" s="233"/>
      <x:c r="G184" s="233"/>
      <x:c r="H184" s="233"/>
      <x:c r="I184" s="233"/>
      <x:c r="J184" s="233"/>
      <x:c r="K184" s="233" t="str">
        <x:f>TRIM(G184&amp;" "&amp;H184&amp;" "&amp;I184&amp;IF(J184&lt;&gt;""," ("&amp;J184&amp;")",""))</x:f>
      </x:c>
      <x:c r="L184" s="233"/>
      <x:c r="M184" s="234"/>
      <x:c r="N184" s="233"/>
      <x:c r="O184" s="233"/>
      <x:c r="P184" s="233"/>
      <x:c r="Q184" s="233"/>
      <x:c r="R184" s="233"/>
      <x:c r="S184" s="233"/>
      <x:c r="T184" s="233"/>
      <x:c r="U184" s="233"/>
      <x:c r="V184" s="233"/>
      <x:c r="W184" s="235"/>
      <x:c r="X184" s="235"/>
      <x:c r="Y184" s="233"/>
      <x:c r="Z184" s="233"/>
      <x:c r="AA184" s="233"/>
      <x:c r="AB184" s="233"/>
      <x:c r="AC184" s="236"/>
      <x:c r="AD184" s="233"/>
      <x:c r="AE184" s="233"/>
      <x:c r="AF184" s="233"/>
      <x:c r="AG184" s="233"/>
      <x:c r="AH184" s="234"/>
      <x:c r="AI184" s="233"/>
      <x:c r="AJ184" s="233"/>
      <x:c r="AK184" s="233"/>
      <x:c r="AL184" s="236"/>
      <x:c r="AM184" s="233"/>
      <x:c r="AN184" s="233"/>
      <x:c r="AO184" s="234"/>
      <x:c r="AP184" s="234"/>
      <x:c r="AQ184" s="233"/>
      <x:c r="AR184" s="236"/>
      <x:c r="AS184" s="234"/>
      <x:c r="AT184" s="233"/>
      <x:c r="AU184" s="233"/>
      <x:c r="AV184" s="233"/>
      <x:c r="AW184" s="233"/>
      <x:c r="AX184" s="233"/>
      <x:c r="AY184" s="233"/>
      <x:c r="AZ184" s="236"/>
      <x:c r="BA184" s="233"/>
      <x:c r="BB184" s="233"/>
      <x:c r="BC184" s="233"/>
      <x:c r="BD184" s="233"/>
      <x:c r="BE184" s="237" t="str">
        <x:f>IF(AND(A184="",B184="",C184="",E184="",G184="",I184="",M184="",T184="",BB184="",BD184=""),"",IF(B184="skip","SKIP",IF(OR(B184="",A184="",E184="",G184="",I184="",M184="",T184="",COUNTIF($A$6:$A$505,A184)&gt;1,COUNTIF($M$6:$M$505,M184)&gt;1,AND(L184="mobile",N184&lt;&gt;"invalid",OR(LEN(M184)&lt;&gt;10,LEFT(M184,2)&lt;&gt;"09"))),"REVIEW","READY")))</x:f>
      </x:c>
      <x:c r="BF184" s="238" t="str">
        <x:f>IF(BE184="","",IF(BE184="READY","",IF(B184="skip","Skipped by import_action",TRIM(IF(B184="","missing import_action; ","")&amp;IF(A184="","missing migration_customer_key; ","")&amp;IF(AND(A184&lt;&gt;"",COUNTIF($A$6:$A$505,A184)&gt;1),"duplicate migration_customer_key; ","")&amp;IF(E184="","missing branch_id; ","")&amp;IF(G184="","missing first_name; ","")&amp;IF(I184="","missing last_name; ","")&amp;IF(M184="","missing primary_phone; ","")&amp;IF(AND(M184&lt;&gt;"",COUNTIF($M$6:$M$505,M184)&gt;1),"duplicate primary_phone; ","")&amp;IF(AND(L184="mobile",N184&lt;&gt;"invalid",OR(LEN(M184)&lt;&gt;10,LEFT(M184,2)&lt;&gt;"09")),"mobile must be 09XXXXXXXX or status invalid; ","")&amp;IF(T184="","missing neighborhood_id; ","")))))</x:f>
      </x:c>
    </x:row>
    <x:row r="185">
      <x:c r="A185" s="232"/>
      <x:c r="B185" s="233"/>
      <x:c r="C185" s="234"/>
      <x:c r="D185" s="233"/>
      <x:c r="E185" s="233"/>
      <x:c r="F185" s="233"/>
      <x:c r="G185" s="233"/>
      <x:c r="H185" s="233"/>
      <x:c r="I185" s="233"/>
      <x:c r="J185" s="233"/>
      <x:c r="K185" s="233" t="str">
        <x:f>TRIM(G185&amp;" "&amp;H185&amp;" "&amp;I185&amp;IF(J185&lt;&gt;""," ("&amp;J185&amp;")",""))</x:f>
      </x:c>
      <x:c r="L185" s="233"/>
      <x:c r="M185" s="234"/>
      <x:c r="N185" s="233"/>
      <x:c r="O185" s="233"/>
      <x:c r="P185" s="233"/>
      <x:c r="Q185" s="233"/>
      <x:c r="R185" s="233"/>
      <x:c r="S185" s="233"/>
      <x:c r="T185" s="233"/>
      <x:c r="U185" s="233"/>
      <x:c r="V185" s="233"/>
      <x:c r="W185" s="235"/>
      <x:c r="X185" s="235"/>
      <x:c r="Y185" s="233"/>
      <x:c r="Z185" s="233"/>
      <x:c r="AA185" s="233"/>
      <x:c r="AB185" s="233"/>
      <x:c r="AC185" s="236"/>
      <x:c r="AD185" s="233"/>
      <x:c r="AE185" s="233"/>
      <x:c r="AF185" s="233"/>
      <x:c r="AG185" s="233"/>
      <x:c r="AH185" s="234"/>
      <x:c r="AI185" s="233"/>
      <x:c r="AJ185" s="233"/>
      <x:c r="AK185" s="233"/>
      <x:c r="AL185" s="236"/>
      <x:c r="AM185" s="233"/>
      <x:c r="AN185" s="233"/>
      <x:c r="AO185" s="234"/>
      <x:c r="AP185" s="234"/>
      <x:c r="AQ185" s="233"/>
      <x:c r="AR185" s="236"/>
      <x:c r="AS185" s="234"/>
      <x:c r="AT185" s="233"/>
      <x:c r="AU185" s="233"/>
      <x:c r="AV185" s="233"/>
      <x:c r="AW185" s="233"/>
      <x:c r="AX185" s="233"/>
      <x:c r="AY185" s="233"/>
      <x:c r="AZ185" s="236"/>
      <x:c r="BA185" s="233"/>
      <x:c r="BB185" s="233"/>
      <x:c r="BC185" s="233"/>
      <x:c r="BD185" s="233"/>
      <x:c r="BE185" s="237" t="str">
        <x:f>IF(AND(A185="",B185="",C185="",E185="",G185="",I185="",M185="",T185="",BB185="",BD185=""),"",IF(B185="skip","SKIP",IF(OR(B185="",A185="",E185="",G185="",I185="",M185="",T185="",COUNTIF($A$6:$A$505,A185)&gt;1,COUNTIF($M$6:$M$505,M185)&gt;1,AND(L185="mobile",N185&lt;&gt;"invalid",OR(LEN(M185)&lt;&gt;10,LEFT(M185,2)&lt;&gt;"09"))),"REVIEW","READY")))</x:f>
      </x:c>
      <x:c r="BF185" s="238" t="str">
        <x:f>IF(BE185="","",IF(BE185="READY","",IF(B185="skip","Skipped by import_action",TRIM(IF(B185="","missing import_action; ","")&amp;IF(A185="","missing migration_customer_key; ","")&amp;IF(AND(A185&lt;&gt;"",COUNTIF($A$6:$A$505,A185)&gt;1),"duplicate migration_customer_key; ","")&amp;IF(E185="","missing branch_id; ","")&amp;IF(G185="","missing first_name; ","")&amp;IF(I185="","missing last_name; ","")&amp;IF(M185="","missing primary_phone; ","")&amp;IF(AND(M185&lt;&gt;"",COUNTIF($M$6:$M$505,M185)&gt;1),"duplicate primary_phone; ","")&amp;IF(AND(L185="mobile",N185&lt;&gt;"invalid",OR(LEN(M185)&lt;&gt;10,LEFT(M185,2)&lt;&gt;"09")),"mobile must be 09XXXXXXXX or status invalid; ","")&amp;IF(T185="","missing neighborhood_id; ","")))))</x:f>
      </x:c>
    </x:row>
    <x:row r="186">
      <x:c r="A186" s="232"/>
      <x:c r="B186" s="233"/>
      <x:c r="C186" s="234"/>
      <x:c r="D186" s="233"/>
      <x:c r="E186" s="233"/>
      <x:c r="F186" s="233"/>
      <x:c r="G186" s="233"/>
      <x:c r="H186" s="233"/>
      <x:c r="I186" s="233"/>
      <x:c r="J186" s="233"/>
      <x:c r="K186" s="233" t="str">
        <x:f>TRIM(G186&amp;" "&amp;H186&amp;" "&amp;I186&amp;IF(J186&lt;&gt;""," ("&amp;J186&amp;")",""))</x:f>
      </x:c>
      <x:c r="L186" s="233"/>
      <x:c r="M186" s="234"/>
      <x:c r="N186" s="233"/>
      <x:c r="O186" s="233"/>
      <x:c r="P186" s="233"/>
      <x:c r="Q186" s="233"/>
      <x:c r="R186" s="233"/>
      <x:c r="S186" s="233"/>
      <x:c r="T186" s="233"/>
      <x:c r="U186" s="233"/>
      <x:c r="V186" s="233"/>
      <x:c r="W186" s="235"/>
      <x:c r="X186" s="235"/>
      <x:c r="Y186" s="233"/>
      <x:c r="Z186" s="233"/>
      <x:c r="AA186" s="233"/>
      <x:c r="AB186" s="233"/>
      <x:c r="AC186" s="236"/>
      <x:c r="AD186" s="233"/>
      <x:c r="AE186" s="233"/>
      <x:c r="AF186" s="233"/>
      <x:c r="AG186" s="233"/>
      <x:c r="AH186" s="234"/>
      <x:c r="AI186" s="233"/>
      <x:c r="AJ186" s="233"/>
      <x:c r="AK186" s="233"/>
      <x:c r="AL186" s="236"/>
      <x:c r="AM186" s="233"/>
      <x:c r="AN186" s="233"/>
      <x:c r="AO186" s="234"/>
      <x:c r="AP186" s="234"/>
      <x:c r="AQ186" s="233"/>
      <x:c r="AR186" s="236"/>
      <x:c r="AS186" s="234"/>
      <x:c r="AT186" s="233"/>
      <x:c r="AU186" s="233"/>
      <x:c r="AV186" s="233"/>
      <x:c r="AW186" s="233"/>
      <x:c r="AX186" s="233"/>
      <x:c r="AY186" s="233"/>
      <x:c r="AZ186" s="236"/>
      <x:c r="BA186" s="233"/>
      <x:c r="BB186" s="233"/>
      <x:c r="BC186" s="233"/>
      <x:c r="BD186" s="233"/>
      <x:c r="BE186" s="237" t="str">
        <x:f>IF(AND(A186="",B186="",C186="",E186="",G186="",I186="",M186="",T186="",BB186="",BD186=""),"",IF(B186="skip","SKIP",IF(OR(B186="",A186="",E186="",G186="",I186="",M186="",T186="",COUNTIF($A$6:$A$505,A186)&gt;1,COUNTIF($M$6:$M$505,M186)&gt;1,AND(L186="mobile",N186&lt;&gt;"invalid",OR(LEN(M186)&lt;&gt;10,LEFT(M186,2)&lt;&gt;"09"))),"REVIEW","READY")))</x:f>
      </x:c>
      <x:c r="BF186" s="238" t="str">
        <x:f>IF(BE186="","",IF(BE186="READY","",IF(B186="skip","Skipped by import_action",TRIM(IF(B186="","missing import_action; ","")&amp;IF(A186="","missing migration_customer_key; ","")&amp;IF(AND(A186&lt;&gt;"",COUNTIF($A$6:$A$505,A186)&gt;1),"duplicate migration_customer_key; ","")&amp;IF(E186="","missing branch_id; ","")&amp;IF(G186="","missing first_name; ","")&amp;IF(I186="","missing last_name; ","")&amp;IF(M186="","missing primary_phone; ","")&amp;IF(AND(M186&lt;&gt;"",COUNTIF($M$6:$M$505,M186)&gt;1),"duplicate primary_phone; ","")&amp;IF(AND(L186="mobile",N186&lt;&gt;"invalid",OR(LEN(M186)&lt;&gt;10,LEFT(M186,2)&lt;&gt;"09")),"mobile must be 09XXXXXXXX or status invalid; ","")&amp;IF(T186="","missing neighborhood_id; ","")))))</x:f>
      </x:c>
    </x:row>
    <x:row r="187">
      <x:c r="A187" s="232"/>
      <x:c r="B187" s="233"/>
      <x:c r="C187" s="234"/>
      <x:c r="D187" s="233"/>
      <x:c r="E187" s="233"/>
      <x:c r="F187" s="233"/>
      <x:c r="G187" s="233"/>
      <x:c r="H187" s="233"/>
      <x:c r="I187" s="233"/>
      <x:c r="J187" s="233"/>
      <x:c r="K187" s="233" t="str">
        <x:f>TRIM(G187&amp;" "&amp;H187&amp;" "&amp;I187&amp;IF(J187&lt;&gt;""," ("&amp;J187&amp;")",""))</x:f>
      </x:c>
      <x:c r="L187" s="233"/>
      <x:c r="M187" s="234"/>
      <x:c r="N187" s="233"/>
      <x:c r="O187" s="233"/>
      <x:c r="P187" s="233"/>
      <x:c r="Q187" s="233"/>
      <x:c r="R187" s="233"/>
      <x:c r="S187" s="233"/>
      <x:c r="T187" s="233"/>
      <x:c r="U187" s="233"/>
      <x:c r="V187" s="233"/>
      <x:c r="W187" s="235"/>
      <x:c r="X187" s="235"/>
      <x:c r="Y187" s="233"/>
      <x:c r="Z187" s="233"/>
      <x:c r="AA187" s="233"/>
      <x:c r="AB187" s="233"/>
      <x:c r="AC187" s="236"/>
      <x:c r="AD187" s="233"/>
      <x:c r="AE187" s="233"/>
      <x:c r="AF187" s="233"/>
      <x:c r="AG187" s="233"/>
      <x:c r="AH187" s="234"/>
      <x:c r="AI187" s="233"/>
      <x:c r="AJ187" s="233"/>
      <x:c r="AK187" s="233"/>
      <x:c r="AL187" s="236"/>
      <x:c r="AM187" s="233"/>
      <x:c r="AN187" s="233"/>
      <x:c r="AO187" s="234"/>
      <x:c r="AP187" s="234"/>
      <x:c r="AQ187" s="233"/>
      <x:c r="AR187" s="236"/>
      <x:c r="AS187" s="234"/>
      <x:c r="AT187" s="233"/>
      <x:c r="AU187" s="233"/>
      <x:c r="AV187" s="233"/>
      <x:c r="AW187" s="233"/>
      <x:c r="AX187" s="233"/>
      <x:c r="AY187" s="233"/>
      <x:c r="AZ187" s="236"/>
      <x:c r="BA187" s="233"/>
      <x:c r="BB187" s="233"/>
      <x:c r="BC187" s="233"/>
      <x:c r="BD187" s="233"/>
      <x:c r="BE187" s="237" t="str">
        <x:f>IF(AND(A187="",B187="",C187="",E187="",G187="",I187="",M187="",T187="",BB187="",BD187=""),"",IF(B187="skip","SKIP",IF(OR(B187="",A187="",E187="",G187="",I187="",M187="",T187="",COUNTIF($A$6:$A$505,A187)&gt;1,COUNTIF($M$6:$M$505,M187)&gt;1,AND(L187="mobile",N187&lt;&gt;"invalid",OR(LEN(M187)&lt;&gt;10,LEFT(M187,2)&lt;&gt;"09"))),"REVIEW","READY")))</x:f>
      </x:c>
      <x:c r="BF187" s="238" t="str">
        <x:f>IF(BE187="","",IF(BE187="READY","",IF(B187="skip","Skipped by import_action",TRIM(IF(B187="","missing import_action; ","")&amp;IF(A187="","missing migration_customer_key; ","")&amp;IF(AND(A187&lt;&gt;"",COUNTIF($A$6:$A$505,A187)&gt;1),"duplicate migration_customer_key; ","")&amp;IF(E187="","missing branch_id; ","")&amp;IF(G187="","missing first_name; ","")&amp;IF(I187="","missing last_name; ","")&amp;IF(M187="","missing primary_phone; ","")&amp;IF(AND(M187&lt;&gt;"",COUNTIF($M$6:$M$505,M187)&gt;1),"duplicate primary_phone; ","")&amp;IF(AND(L187="mobile",N187&lt;&gt;"invalid",OR(LEN(M187)&lt;&gt;10,LEFT(M187,2)&lt;&gt;"09")),"mobile must be 09XXXXXXXX or status invalid; ","")&amp;IF(T187="","missing neighborhood_id; ","")))))</x:f>
      </x:c>
    </x:row>
    <x:row r="188">
      <x:c r="A188" s="232"/>
      <x:c r="B188" s="233"/>
      <x:c r="C188" s="234"/>
      <x:c r="D188" s="233"/>
      <x:c r="E188" s="233"/>
      <x:c r="F188" s="233"/>
      <x:c r="G188" s="233"/>
      <x:c r="H188" s="233"/>
      <x:c r="I188" s="233"/>
      <x:c r="J188" s="233"/>
      <x:c r="K188" s="233" t="str">
        <x:f>TRIM(G188&amp;" "&amp;H188&amp;" "&amp;I188&amp;IF(J188&lt;&gt;""," ("&amp;J188&amp;")",""))</x:f>
      </x:c>
      <x:c r="L188" s="233"/>
      <x:c r="M188" s="234"/>
      <x:c r="N188" s="233"/>
      <x:c r="O188" s="233"/>
      <x:c r="P188" s="233"/>
      <x:c r="Q188" s="233"/>
      <x:c r="R188" s="233"/>
      <x:c r="S188" s="233"/>
      <x:c r="T188" s="233"/>
      <x:c r="U188" s="233"/>
      <x:c r="V188" s="233"/>
      <x:c r="W188" s="235"/>
      <x:c r="X188" s="235"/>
      <x:c r="Y188" s="233"/>
      <x:c r="Z188" s="233"/>
      <x:c r="AA188" s="233"/>
      <x:c r="AB188" s="233"/>
      <x:c r="AC188" s="236"/>
      <x:c r="AD188" s="233"/>
      <x:c r="AE188" s="233"/>
      <x:c r="AF188" s="233"/>
      <x:c r="AG188" s="233"/>
      <x:c r="AH188" s="234"/>
      <x:c r="AI188" s="233"/>
      <x:c r="AJ188" s="233"/>
      <x:c r="AK188" s="233"/>
      <x:c r="AL188" s="236"/>
      <x:c r="AM188" s="233"/>
      <x:c r="AN188" s="233"/>
      <x:c r="AO188" s="234"/>
      <x:c r="AP188" s="234"/>
      <x:c r="AQ188" s="233"/>
      <x:c r="AR188" s="236"/>
      <x:c r="AS188" s="234"/>
      <x:c r="AT188" s="233"/>
      <x:c r="AU188" s="233"/>
      <x:c r="AV188" s="233"/>
      <x:c r="AW188" s="233"/>
      <x:c r="AX188" s="233"/>
      <x:c r="AY188" s="233"/>
      <x:c r="AZ188" s="236"/>
      <x:c r="BA188" s="233"/>
      <x:c r="BB188" s="233"/>
      <x:c r="BC188" s="233"/>
      <x:c r="BD188" s="233"/>
      <x:c r="BE188" s="237" t="str">
        <x:f>IF(AND(A188="",B188="",C188="",E188="",G188="",I188="",M188="",T188="",BB188="",BD188=""),"",IF(B188="skip","SKIP",IF(OR(B188="",A188="",E188="",G188="",I188="",M188="",T188="",COUNTIF($A$6:$A$505,A188)&gt;1,COUNTIF($M$6:$M$505,M188)&gt;1,AND(L188="mobile",N188&lt;&gt;"invalid",OR(LEN(M188)&lt;&gt;10,LEFT(M188,2)&lt;&gt;"09"))),"REVIEW","READY")))</x:f>
      </x:c>
      <x:c r="BF188" s="238" t="str">
        <x:f>IF(BE188="","",IF(BE188="READY","",IF(B188="skip","Skipped by import_action",TRIM(IF(B188="","missing import_action; ","")&amp;IF(A188="","missing migration_customer_key; ","")&amp;IF(AND(A188&lt;&gt;"",COUNTIF($A$6:$A$505,A188)&gt;1),"duplicate migration_customer_key; ","")&amp;IF(E188="","missing branch_id; ","")&amp;IF(G188="","missing first_name; ","")&amp;IF(I188="","missing last_name; ","")&amp;IF(M188="","missing primary_phone; ","")&amp;IF(AND(M188&lt;&gt;"",COUNTIF($M$6:$M$505,M188)&gt;1),"duplicate primary_phone; ","")&amp;IF(AND(L188="mobile",N188&lt;&gt;"invalid",OR(LEN(M188)&lt;&gt;10,LEFT(M188,2)&lt;&gt;"09")),"mobile must be 09XXXXXXXX or status invalid; ","")&amp;IF(T188="","missing neighborhood_id; ","")))))</x:f>
      </x:c>
    </x:row>
    <x:row r="189">
      <x:c r="A189" s="232"/>
      <x:c r="B189" s="233"/>
      <x:c r="C189" s="234"/>
      <x:c r="D189" s="233"/>
      <x:c r="E189" s="233"/>
      <x:c r="F189" s="233"/>
      <x:c r="G189" s="233"/>
      <x:c r="H189" s="233"/>
      <x:c r="I189" s="233"/>
      <x:c r="J189" s="233"/>
      <x:c r="K189" s="233" t="str">
        <x:f>TRIM(G189&amp;" "&amp;H189&amp;" "&amp;I189&amp;IF(J189&lt;&gt;""," ("&amp;J189&amp;")",""))</x:f>
      </x:c>
      <x:c r="L189" s="233"/>
      <x:c r="M189" s="234"/>
      <x:c r="N189" s="233"/>
      <x:c r="O189" s="233"/>
      <x:c r="P189" s="233"/>
      <x:c r="Q189" s="233"/>
      <x:c r="R189" s="233"/>
      <x:c r="S189" s="233"/>
      <x:c r="T189" s="233"/>
      <x:c r="U189" s="233"/>
      <x:c r="V189" s="233"/>
      <x:c r="W189" s="235"/>
      <x:c r="X189" s="235"/>
      <x:c r="Y189" s="233"/>
      <x:c r="Z189" s="233"/>
      <x:c r="AA189" s="233"/>
      <x:c r="AB189" s="233"/>
      <x:c r="AC189" s="236"/>
      <x:c r="AD189" s="233"/>
      <x:c r="AE189" s="233"/>
      <x:c r="AF189" s="233"/>
      <x:c r="AG189" s="233"/>
      <x:c r="AH189" s="234"/>
      <x:c r="AI189" s="233"/>
      <x:c r="AJ189" s="233"/>
      <x:c r="AK189" s="233"/>
      <x:c r="AL189" s="236"/>
      <x:c r="AM189" s="233"/>
      <x:c r="AN189" s="233"/>
      <x:c r="AO189" s="234"/>
      <x:c r="AP189" s="234"/>
      <x:c r="AQ189" s="233"/>
      <x:c r="AR189" s="236"/>
      <x:c r="AS189" s="234"/>
      <x:c r="AT189" s="233"/>
      <x:c r="AU189" s="233"/>
      <x:c r="AV189" s="233"/>
      <x:c r="AW189" s="233"/>
      <x:c r="AX189" s="233"/>
      <x:c r="AY189" s="233"/>
      <x:c r="AZ189" s="236"/>
      <x:c r="BA189" s="233"/>
      <x:c r="BB189" s="233"/>
      <x:c r="BC189" s="233"/>
      <x:c r="BD189" s="233"/>
      <x:c r="BE189" s="237" t="str">
        <x:f>IF(AND(A189="",B189="",C189="",E189="",G189="",I189="",M189="",T189="",BB189="",BD189=""),"",IF(B189="skip","SKIP",IF(OR(B189="",A189="",E189="",G189="",I189="",M189="",T189="",COUNTIF($A$6:$A$505,A189)&gt;1,COUNTIF($M$6:$M$505,M189)&gt;1,AND(L189="mobile",N189&lt;&gt;"invalid",OR(LEN(M189)&lt;&gt;10,LEFT(M189,2)&lt;&gt;"09"))),"REVIEW","READY")))</x:f>
      </x:c>
      <x:c r="BF189" s="238" t="str">
        <x:f>IF(BE189="","",IF(BE189="READY","",IF(B189="skip","Skipped by import_action",TRIM(IF(B189="","missing import_action; ","")&amp;IF(A189="","missing migration_customer_key; ","")&amp;IF(AND(A189&lt;&gt;"",COUNTIF($A$6:$A$505,A189)&gt;1),"duplicate migration_customer_key; ","")&amp;IF(E189="","missing branch_id; ","")&amp;IF(G189="","missing first_name; ","")&amp;IF(I189="","missing last_name; ","")&amp;IF(M189="","missing primary_phone; ","")&amp;IF(AND(M189&lt;&gt;"",COUNTIF($M$6:$M$505,M189)&gt;1),"duplicate primary_phone; ","")&amp;IF(AND(L189="mobile",N189&lt;&gt;"invalid",OR(LEN(M189)&lt;&gt;10,LEFT(M189,2)&lt;&gt;"09")),"mobile must be 09XXXXXXXX or status invalid; ","")&amp;IF(T189="","missing neighborhood_id; ","")))))</x:f>
      </x:c>
    </x:row>
    <x:row r="190">
      <x:c r="A190" s="232"/>
      <x:c r="B190" s="233"/>
      <x:c r="C190" s="234"/>
      <x:c r="D190" s="233"/>
      <x:c r="E190" s="233"/>
      <x:c r="F190" s="233"/>
      <x:c r="G190" s="233"/>
      <x:c r="H190" s="233"/>
      <x:c r="I190" s="233"/>
      <x:c r="J190" s="233"/>
      <x:c r="K190" s="233" t="str">
        <x:f>TRIM(G190&amp;" "&amp;H190&amp;" "&amp;I190&amp;IF(J190&lt;&gt;""," ("&amp;J190&amp;")",""))</x:f>
      </x:c>
      <x:c r="L190" s="233"/>
      <x:c r="M190" s="234"/>
      <x:c r="N190" s="233"/>
      <x:c r="O190" s="233"/>
      <x:c r="P190" s="233"/>
      <x:c r="Q190" s="233"/>
      <x:c r="R190" s="233"/>
      <x:c r="S190" s="233"/>
      <x:c r="T190" s="233"/>
      <x:c r="U190" s="233"/>
      <x:c r="V190" s="233"/>
      <x:c r="W190" s="235"/>
      <x:c r="X190" s="235"/>
      <x:c r="Y190" s="233"/>
      <x:c r="Z190" s="233"/>
      <x:c r="AA190" s="233"/>
      <x:c r="AB190" s="233"/>
      <x:c r="AC190" s="236"/>
      <x:c r="AD190" s="233"/>
      <x:c r="AE190" s="233"/>
      <x:c r="AF190" s="233"/>
      <x:c r="AG190" s="233"/>
      <x:c r="AH190" s="234"/>
      <x:c r="AI190" s="233"/>
      <x:c r="AJ190" s="233"/>
      <x:c r="AK190" s="233"/>
      <x:c r="AL190" s="236"/>
      <x:c r="AM190" s="233"/>
      <x:c r="AN190" s="233"/>
      <x:c r="AO190" s="234"/>
      <x:c r="AP190" s="234"/>
      <x:c r="AQ190" s="233"/>
      <x:c r="AR190" s="236"/>
      <x:c r="AS190" s="234"/>
      <x:c r="AT190" s="233"/>
      <x:c r="AU190" s="233"/>
      <x:c r="AV190" s="233"/>
      <x:c r="AW190" s="233"/>
      <x:c r="AX190" s="233"/>
      <x:c r="AY190" s="233"/>
      <x:c r="AZ190" s="236"/>
      <x:c r="BA190" s="233"/>
      <x:c r="BB190" s="233"/>
      <x:c r="BC190" s="233"/>
      <x:c r="BD190" s="233"/>
      <x:c r="BE190" s="237" t="str">
        <x:f>IF(AND(A190="",B190="",C190="",E190="",G190="",I190="",M190="",T190="",BB190="",BD190=""),"",IF(B190="skip","SKIP",IF(OR(B190="",A190="",E190="",G190="",I190="",M190="",T190="",COUNTIF($A$6:$A$505,A190)&gt;1,COUNTIF($M$6:$M$505,M190)&gt;1,AND(L190="mobile",N190&lt;&gt;"invalid",OR(LEN(M190)&lt;&gt;10,LEFT(M190,2)&lt;&gt;"09"))),"REVIEW","READY")))</x:f>
      </x:c>
      <x:c r="BF190" s="238" t="str">
        <x:f>IF(BE190="","",IF(BE190="READY","",IF(B190="skip","Skipped by import_action",TRIM(IF(B190="","missing import_action; ","")&amp;IF(A190="","missing migration_customer_key; ","")&amp;IF(AND(A190&lt;&gt;"",COUNTIF($A$6:$A$505,A190)&gt;1),"duplicate migration_customer_key; ","")&amp;IF(E190="","missing branch_id; ","")&amp;IF(G190="","missing first_name; ","")&amp;IF(I190="","missing last_name; ","")&amp;IF(M190="","missing primary_phone; ","")&amp;IF(AND(M190&lt;&gt;"",COUNTIF($M$6:$M$505,M190)&gt;1),"duplicate primary_phone; ","")&amp;IF(AND(L190="mobile",N190&lt;&gt;"invalid",OR(LEN(M190)&lt;&gt;10,LEFT(M190,2)&lt;&gt;"09")),"mobile must be 09XXXXXXXX or status invalid; ","")&amp;IF(T190="","missing neighborhood_id; ","")))))</x:f>
      </x:c>
    </x:row>
    <x:row r="191">
      <x:c r="A191" s="232"/>
      <x:c r="B191" s="233"/>
      <x:c r="C191" s="234"/>
      <x:c r="D191" s="233"/>
      <x:c r="E191" s="233"/>
      <x:c r="F191" s="233"/>
      <x:c r="G191" s="233"/>
      <x:c r="H191" s="233"/>
      <x:c r="I191" s="233"/>
      <x:c r="J191" s="233"/>
      <x:c r="K191" s="233" t="str">
        <x:f>TRIM(G191&amp;" "&amp;H191&amp;" "&amp;I191&amp;IF(J191&lt;&gt;""," ("&amp;J191&amp;")",""))</x:f>
      </x:c>
      <x:c r="L191" s="233"/>
      <x:c r="M191" s="234"/>
      <x:c r="N191" s="233"/>
      <x:c r="O191" s="233"/>
      <x:c r="P191" s="233"/>
      <x:c r="Q191" s="233"/>
      <x:c r="R191" s="233"/>
      <x:c r="S191" s="233"/>
      <x:c r="T191" s="233"/>
      <x:c r="U191" s="233"/>
      <x:c r="V191" s="233"/>
      <x:c r="W191" s="235"/>
      <x:c r="X191" s="235"/>
      <x:c r="Y191" s="233"/>
      <x:c r="Z191" s="233"/>
      <x:c r="AA191" s="233"/>
      <x:c r="AB191" s="233"/>
      <x:c r="AC191" s="236"/>
      <x:c r="AD191" s="233"/>
      <x:c r="AE191" s="233"/>
      <x:c r="AF191" s="233"/>
      <x:c r="AG191" s="233"/>
      <x:c r="AH191" s="234"/>
      <x:c r="AI191" s="233"/>
      <x:c r="AJ191" s="233"/>
      <x:c r="AK191" s="233"/>
      <x:c r="AL191" s="236"/>
      <x:c r="AM191" s="233"/>
      <x:c r="AN191" s="233"/>
      <x:c r="AO191" s="234"/>
      <x:c r="AP191" s="234"/>
      <x:c r="AQ191" s="233"/>
      <x:c r="AR191" s="236"/>
      <x:c r="AS191" s="234"/>
      <x:c r="AT191" s="233"/>
      <x:c r="AU191" s="233"/>
      <x:c r="AV191" s="233"/>
      <x:c r="AW191" s="233"/>
      <x:c r="AX191" s="233"/>
      <x:c r="AY191" s="233"/>
      <x:c r="AZ191" s="236"/>
      <x:c r="BA191" s="233"/>
      <x:c r="BB191" s="233"/>
      <x:c r="BC191" s="233"/>
      <x:c r="BD191" s="233"/>
      <x:c r="BE191" s="237" t="str">
        <x:f>IF(AND(A191="",B191="",C191="",E191="",G191="",I191="",M191="",T191="",BB191="",BD191=""),"",IF(B191="skip","SKIP",IF(OR(B191="",A191="",E191="",G191="",I191="",M191="",T191="",COUNTIF($A$6:$A$505,A191)&gt;1,COUNTIF($M$6:$M$505,M191)&gt;1,AND(L191="mobile",N191&lt;&gt;"invalid",OR(LEN(M191)&lt;&gt;10,LEFT(M191,2)&lt;&gt;"09"))),"REVIEW","READY")))</x:f>
      </x:c>
      <x:c r="BF191" s="238" t="str">
        <x:f>IF(BE191="","",IF(BE191="READY","",IF(B191="skip","Skipped by import_action",TRIM(IF(B191="","missing import_action; ","")&amp;IF(A191="","missing migration_customer_key; ","")&amp;IF(AND(A191&lt;&gt;"",COUNTIF($A$6:$A$505,A191)&gt;1),"duplicate migration_customer_key; ","")&amp;IF(E191="","missing branch_id; ","")&amp;IF(G191="","missing first_name; ","")&amp;IF(I191="","missing last_name; ","")&amp;IF(M191="","missing primary_phone; ","")&amp;IF(AND(M191&lt;&gt;"",COUNTIF($M$6:$M$505,M191)&gt;1),"duplicate primary_phone; ","")&amp;IF(AND(L191="mobile",N191&lt;&gt;"invalid",OR(LEN(M191)&lt;&gt;10,LEFT(M191,2)&lt;&gt;"09")),"mobile must be 09XXXXXXXX or status invalid; ","")&amp;IF(T191="","missing neighborhood_id; ","")))))</x:f>
      </x:c>
    </x:row>
    <x:row r="192">
      <x:c r="A192" s="232"/>
      <x:c r="B192" s="233"/>
      <x:c r="C192" s="234"/>
      <x:c r="D192" s="233"/>
      <x:c r="E192" s="233"/>
      <x:c r="F192" s="233"/>
      <x:c r="G192" s="233"/>
      <x:c r="H192" s="233"/>
      <x:c r="I192" s="233"/>
      <x:c r="J192" s="233"/>
      <x:c r="K192" s="233" t="str">
        <x:f>TRIM(G192&amp;" "&amp;H192&amp;" "&amp;I192&amp;IF(J192&lt;&gt;""," ("&amp;J192&amp;")",""))</x:f>
      </x:c>
      <x:c r="L192" s="233"/>
      <x:c r="M192" s="234"/>
      <x:c r="N192" s="233"/>
      <x:c r="O192" s="233"/>
      <x:c r="P192" s="233"/>
      <x:c r="Q192" s="233"/>
      <x:c r="R192" s="233"/>
      <x:c r="S192" s="233"/>
      <x:c r="T192" s="233"/>
      <x:c r="U192" s="233"/>
      <x:c r="V192" s="233"/>
      <x:c r="W192" s="235"/>
      <x:c r="X192" s="235"/>
      <x:c r="Y192" s="233"/>
      <x:c r="Z192" s="233"/>
      <x:c r="AA192" s="233"/>
      <x:c r="AB192" s="233"/>
      <x:c r="AC192" s="236"/>
      <x:c r="AD192" s="233"/>
      <x:c r="AE192" s="233"/>
      <x:c r="AF192" s="233"/>
      <x:c r="AG192" s="233"/>
      <x:c r="AH192" s="234"/>
      <x:c r="AI192" s="233"/>
      <x:c r="AJ192" s="233"/>
      <x:c r="AK192" s="233"/>
      <x:c r="AL192" s="236"/>
      <x:c r="AM192" s="233"/>
      <x:c r="AN192" s="233"/>
      <x:c r="AO192" s="234"/>
      <x:c r="AP192" s="234"/>
      <x:c r="AQ192" s="233"/>
      <x:c r="AR192" s="236"/>
      <x:c r="AS192" s="234"/>
      <x:c r="AT192" s="233"/>
      <x:c r="AU192" s="233"/>
      <x:c r="AV192" s="233"/>
      <x:c r="AW192" s="233"/>
      <x:c r="AX192" s="233"/>
      <x:c r="AY192" s="233"/>
      <x:c r="AZ192" s="236"/>
      <x:c r="BA192" s="233"/>
      <x:c r="BB192" s="233"/>
      <x:c r="BC192" s="233"/>
      <x:c r="BD192" s="233"/>
      <x:c r="BE192" s="237" t="str">
        <x:f>IF(AND(A192="",B192="",C192="",E192="",G192="",I192="",M192="",T192="",BB192="",BD192=""),"",IF(B192="skip","SKIP",IF(OR(B192="",A192="",E192="",G192="",I192="",M192="",T192="",COUNTIF($A$6:$A$505,A192)&gt;1,COUNTIF($M$6:$M$505,M192)&gt;1,AND(L192="mobile",N192&lt;&gt;"invalid",OR(LEN(M192)&lt;&gt;10,LEFT(M192,2)&lt;&gt;"09"))),"REVIEW","READY")))</x:f>
      </x:c>
      <x:c r="BF192" s="238" t="str">
        <x:f>IF(BE192="","",IF(BE192="READY","",IF(B192="skip","Skipped by import_action",TRIM(IF(B192="","missing import_action; ","")&amp;IF(A192="","missing migration_customer_key; ","")&amp;IF(AND(A192&lt;&gt;"",COUNTIF($A$6:$A$505,A192)&gt;1),"duplicate migration_customer_key; ","")&amp;IF(E192="","missing branch_id; ","")&amp;IF(G192="","missing first_name; ","")&amp;IF(I192="","missing last_name; ","")&amp;IF(M192="","missing primary_phone; ","")&amp;IF(AND(M192&lt;&gt;"",COUNTIF($M$6:$M$505,M192)&gt;1),"duplicate primary_phone; ","")&amp;IF(AND(L192="mobile",N192&lt;&gt;"invalid",OR(LEN(M192)&lt;&gt;10,LEFT(M192,2)&lt;&gt;"09")),"mobile must be 09XXXXXXXX or status invalid; ","")&amp;IF(T192="","missing neighborhood_id; ","")))))</x:f>
      </x:c>
    </x:row>
    <x:row r="193">
      <x:c r="A193" s="232"/>
      <x:c r="B193" s="233"/>
      <x:c r="C193" s="234"/>
      <x:c r="D193" s="233"/>
      <x:c r="E193" s="233"/>
      <x:c r="F193" s="233"/>
      <x:c r="G193" s="233"/>
      <x:c r="H193" s="233"/>
      <x:c r="I193" s="233"/>
      <x:c r="J193" s="233"/>
      <x:c r="K193" s="233" t="str">
        <x:f>TRIM(G193&amp;" "&amp;H193&amp;" "&amp;I193&amp;IF(J193&lt;&gt;""," ("&amp;J193&amp;")",""))</x:f>
      </x:c>
      <x:c r="L193" s="233"/>
      <x:c r="M193" s="234"/>
      <x:c r="N193" s="233"/>
      <x:c r="O193" s="233"/>
      <x:c r="P193" s="233"/>
      <x:c r="Q193" s="233"/>
      <x:c r="R193" s="233"/>
      <x:c r="S193" s="233"/>
      <x:c r="T193" s="233"/>
      <x:c r="U193" s="233"/>
      <x:c r="V193" s="233"/>
      <x:c r="W193" s="235"/>
      <x:c r="X193" s="235"/>
      <x:c r="Y193" s="233"/>
      <x:c r="Z193" s="233"/>
      <x:c r="AA193" s="233"/>
      <x:c r="AB193" s="233"/>
      <x:c r="AC193" s="236"/>
      <x:c r="AD193" s="233"/>
      <x:c r="AE193" s="233"/>
      <x:c r="AF193" s="233"/>
      <x:c r="AG193" s="233"/>
      <x:c r="AH193" s="234"/>
      <x:c r="AI193" s="233"/>
      <x:c r="AJ193" s="233"/>
      <x:c r="AK193" s="233"/>
      <x:c r="AL193" s="236"/>
      <x:c r="AM193" s="233"/>
      <x:c r="AN193" s="233"/>
      <x:c r="AO193" s="234"/>
      <x:c r="AP193" s="234"/>
      <x:c r="AQ193" s="233"/>
      <x:c r="AR193" s="236"/>
      <x:c r="AS193" s="234"/>
      <x:c r="AT193" s="233"/>
      <x:c r="AU193" s="233"/>
      <x:c r="AV193" s="233"/>
      <x:c r="AW193" s="233"/>
      <x:c r="AX193" s="233"/>
      <x:c r="AY193" s="233"/>
      <x:c r="AZ193" s="236"/>
      <x:c r="BA193" s="233"/>
      <x:c r="BB193" s="233"/>
      <x:c r="BC193" s="233"/>
      <x:c r="BD193" s="233"/>
      <x:c r="BE193" s="237" t="str">
        <x:f>IF(AND(A193="",B193="",C193="",E193="",G193="",I193="",M193="",T193="",BB193="",BD193=""),"",IF(B193="skip","SKIP",IF(OR(B193="",A193="",E193="",G193="",I193="",M193="",T193="",COUNTIF($A$6:$A$505,A193)&gt;1,COUNTIF($M$6:$M$505,M193)&gt;1,AND(L193="mobile",N193&lt;&gt;"invalid",OR(LEN(M193)&lt;&gt;10,LEFT(M193,2)&lt;&gt;"09"))),"REVIEW","READY")))</x:f>
      </x:c>
      <x:c r="BF193" s="238" t="str">
        <x:f>IF(BE193="","",IF(BE193="READY","",IF(B193="skip","Skipped by import_action",TRIM(IF(B193="","missing import_action; ","")&amp;IF(A193="","missing migration_customer_key; ","")&amp;IF(AND(A193&lt;&gt;"",COUNTIF($A$6:$A$505,A193)&gt;1),"duplicate migration_customer_key; ","")&amp;IF(E193="","missing branch_id; ","")&amp;IF(G193="","missing first_name; ","")&amp;IF(I193="","missing last_name; ","")&amp;IF(M193="","missing primary_phone; ","")&amp;IF(AND(M193&lt;&gt;"",COUNTIF($M$6:$M$505,M193)&gt;1),"duplicate primary_phone; ","")&amp;IF(AND(L193="mobile",N193&lt;&gt;"invalid",OR(LEN(M193)&lt;&gt;10,LEFT(M193,2)&lt;&gt;"09")),"mobile must be 09XXXXXXXX or status invalid; ","")&amp;IF(T193="","missing neighborhood_id; ","")))))</x:f>
      </x:c>
    </x:row>
    <x:row r="194">
      <x:c r="A194" s="232"/>
      <x:c r="B194" s="233"/>
      <x:c r="C194" s="234"/>
      <x:c r="D194" s="233"/>
      <x:c r="E194" s="233"/>
      <x:c r="F194" s="233"/>
      <x:c r="G194" s="233"/>
      <x:c r="H194" s="233"/>
      <x:c r="I194" s="233"/>
      <x:c r="J194" s="233"/>
      <x:c r="K194" s="233" t="str">
        <x:f>TRIM(G194&amp;" "&amp;H194&amp;" "&amp;I194&amp;IF(J194&lt;&gt;""," ("&amp;J194&amp;")",""))</x:f>
      </x:c>
      <x:c r="L194" s="233"/>
      <x:c r="M194" s="234"/>
      <x:c r="N194" s="233"/>
      <x:c r="O194" s="233"/>
      <x:c r="P194" s="233"/>
      <x:c r="Q194" s="233"/>
      <x:c r="R194" s="233"/>
      <x:c r="S194" s="233"/>
      <x:c r="T194" s="233"/>
      <x:c r="U194" s="233"/>
      <x:c r="V194" s="233"/>
      <x:c r="W194" s="235"/>
      <x:c r="X194" s="235"/>
      <x:c r="Y194" s="233"/>
      <x:c r="Z194" s="233"/>
      <x:c r="AA194" s="233"/>
      <x:c r="AB194" s="233"/>
      <x:c r="AC194" s="236"/>
      <x:c r="AD194" s="233"/>
      <x:c r="AE194" s="233"/>
      <x:c r="AF194" s="233"/>
      <x:c r="AG194" s="233"/>
      <x:c r="AH194" s="234"/>
      <x:c r="AI194" s="233"/>
      <x:c r="AJ194" s="233"/>
      <x:c r="AK194" s="233"/>
      <x:c r="AL194" s="236"/>
      <x:c r="AM194" s="233"/>
      <x:c r="AN194" s="233"/>
      <x:c r="AO194" s="234"/>
      <x:c r="AP194" s="234"/>
      <x:c r="AQ194" s="233"/>
      <x:c r="AR194" s="236"/>
      <x:c r="AS194" s="234"/>
      <x:c r="AT194" s="233"/>
      <x:c r="AU194" s="233"/>
      <x:c r="AV194" s="233"/>
      <x:c r="AW194" s="233"/>
      <x:c r="AX194" s="233"/>
      <x:c r="AY194" s="233"/>
      <x:c r="AZ194" s="236"/>
      <x:c r="BA194" s="233"/>
      <x:c r="BB194" s="233"/>
      <x:c r="BC194" s="233"/>
      <x:c r="BD194" s="233"/>
      <x:c r="BE194" s="237" t="str">
        <x:f>IF(AND(A194="",B194="",C194="",E194="",G194="",I194="",M194="",T194="",BB194="",BD194=""),"",IF(B194="skip","SKIP",IF(OR(B194="",A194="",E194="",G194="",I194="",M194="",T194="",COUNTIF($A$6:$A$505,A194)&gt;1,COUNTIF($M$6:$M$505,M194)&gt;1,AND(L194="mobile",N194&lt;&gt;"invalid",OR(LEN(M194)&lt;&gt;10,LEFT(M194,2)&lt;&gt;"09"))),"REVIEW","READY")))</x:f>
      </x:c>
      <x:c r="BF194" s="238" t="str">
        <x:f>IF(BE194="","",IF(BE194="READY","",IF(B194="skip","Skipped by import_action",TRIM(IF(B194="","missing import_action; ","")&amp;IF(A194="","missing migration_customer_key; ","")&amp;IF(AND(A194&lt;&gt;"",COUNTIF($A$6:$A$505,A194)&gt;1),"duplicate migration_customer_key; ","")&amp;IF(E194="","missing branch_id; ","")&amp;IF(G194="","missing first_name; ","")&amp;IF(I194="","missing last_name; ","")&amp;IF(M194="","missing primary_phone; ","")&amp;IF(AND(M194&lt;&gt;"",COUNTIF($M$6:$M$505,M194)&gt;1),"duplicate primary_phone; ","")&amp;IF(AND(L194="mobile",N194&lt;&gt;"invalid",OR(LEN(M194)&lt;&gt;10,LEFT(M194,2)&lt;&gt;"09")),"mobile must be 09XXXXXXXX or status invalid; ","")&amp;IF(T194="","missing neighborhood_id; ","")))))</x:f>
      </x:c>
    </x:row>
    <x:row r="195">
      <x:c r="A195" s="232"/>
      <x:c r="B195" s="233"/>
      <x:c r="C195" s="234"/>
      <x:c r="D195" s="233"/>
      <x:c r="E195" s="233"/>
      <x:c r="F195" s="233"/>
      <x:c r="G195" s="233"/>
      <x:c r="H195" s="233"/>
      <x:c r="I195" s="233"/>
      <x:c r="J195" s="233"/>
      <x:c r="K195" s="233" t="str">
        <x:f>TRIM(G195&amp;" "&amp;H195&amp;" "&amp;I195&amp;IF(J195&lt;&gt;""," ("&amp;J195&amp;")",""))</x:f>
      </x:c>
      <x:c r="L195" s="233"/>
      <x:c r="M195" s="234"/>
      <x:c r="N195" s="233"/>
      <x:c r="O195" s="233"/>
      <x:c r="P195" s="233"/>
      <x:c r="Q195" s="233"/>
      <x:c r="R195" s="233"/>
      <x:c r="S195" s="233"/>
      <x:c r="T195" s="233"/>
      <x:c r="U195" s="233"/>
      <x:c r="V195" s="233"/>
      <x:c r="W195" s="235"/>
      <x:c r="X195" s="235"/>
      <x:c r="Y195" s="233"/>
      <x:c r="Z195" s="233"/>
      <x:c r="AA195" s="233"/>
      <x:c r="AB195" s="233"/>
      <x:c r="AC195" s="236"/>
      <x:c r="AD195" s="233"/>
      <x:c r="AE195" s="233"/>
      <x:c r="AF195" s="233"/>
      <x:c r="AG195" s="233"/>
      <x:c r="AH195" s="234"/>
      <x:c r="AI195" s="233"/>
      <x:c r="AJ195" s="233"/>
      <x:c r="AK195" s="233"/>
      <x:c r="AL195" s="236"/>
      <x:c r="AM195" s="233"/>
      <x:c r="AN195" s="233"/>
      <x:c r="AO195" s="234"/>
      <x:c r="AP195" s="234"/>
      <x:c r="AQ195" s="233"/>
      <x:c r="AR195" s="236"/>
      <x:c r="AS195" s="234"/>
      <x:c r="AT195" s="233"/>
      <x:c r="AU195" s="233"/>
      <x:c r="AV195" s="233"/>
      <x:c r="AW195" s="233"/>
      <x:c r="AX195" s="233"/>
      <x:c r="AY195" s="233"/>
      <x:c r="AZ195" s="236"/>
      <x:c r="BA195" s="233"/>
      <x:c r="BB195" s="233"/>
      <x:c r="BC195" s="233"/>
      <x:c r="BD195" s="233"/>
      <x:c r="BE195" s="237" t="str">
        <x:f>IF(AND(A195="",B195="",C195="",E195="",G195="",I195="",M195="",T195="",BB195="",BD195=""),"",IF(B195="skip","SKIP",IF(OR(B195="",A195="",E195="",G195="",I195="",M195="",T195="",COUNTIF($A$6:$A$505,A195)&gt;1,COUNTIF($M$6:$M$505,M195)&gt;1,AND(L195="mobile",N195&lt;&gt;"invalid",OR(LEN(M195)&lt;&gt;10,LEFT(M195,2)&lt;&gt;"09"))),"REVIEW","READY")))</x:f>
      </x:c>
      <x:c r="BF195" s="238" t="str">
        <x:f>IF(BE195="","",IF(BE195="READY","",IF(B195="skip","Skipped by import_action",TRIM(IF(B195="","missing import_action; ","")&amp;IF(A195="","missing migration_customer_key; ","")&amp;IF(AND(A195&lt;&gt;"",COUNTIF($A$6:$A$505,A195)&gt;1),"duplicate migration_customer_key; ","")&amp;IF(E195="","missing branch_id; ","")&amp;IF(G195="","missing first_name; ","")&amp;IF(I195="","missing last_name; ","")&amp;IF(M195="","missing primary_phone; ","")&amp;IF(AND(M195&lt;&gt;"",COUNTIF($M$6:$M$505,M195)&gt;1),"duplicate primary_phone; ","")&amp;IF(AND(L195="mobile",N195&lt;&gt;"invalid",OR(LEN(M195)&lt;&gt;10,LEFT(M195,2)&lt;&gt;"09")),"mobile must be 09XXXXXXXX or status invalid; ","")&amp;IF(T195="","missing neighborhood_id; ","")))))</x:f>
      </x:c>
    </x:row>
    <x:row r="196">
      <x:c r="A196" s="232"/>
      <x:c r="B196" s="233"/>
      <x:c r="C196" s="234"/>
      <x:c r="D196" s="233"/>
      <x:c r="E196" s="233"/>
      <x:c r="F196" s="233"/>
      <x:c r="G196" s="233"/>
      <x:c r="H196" s="233"/>
      <x:c r="I196" s="233"/>
      <x:c r="J196" s="233"/>
      <x:c r="K196" s="233" t="str">
        <x:f>TRIM(G196&amp;" "&amp;H196&amp;" "&amp;I196&amp;IF(J196&lt;&gt;""," ("&amp;J196&amp;")",""))</x:f>
      </x:c>
      <x:c r="L196" s="233"/>
      <x:c r="M196" s="234"/>
      <x:c r="N196" s="233"/>
      <x:c r="O196" s="233"/>
      <x:c r="P196" s="233"/>
      <x:c r="Q196" s="233"/>
      <x:c r="R196" s="233"/>
      <x:c r="S196" s="233"/>
      <x:c r="T196" s="233"/>
      <x:c r="U196" s="233"/>
      <x:c r="V196" s="233"/>
      <x:c r="W196" s="235"/>
      <x:c r="X196" s="235"/>
      <x:c r="Y196" s="233"/>
      <x:c r="Z196" s="233"/>
      <x:c r="AA196" s="233"/>
      <x:c r="AB196" s="233"/>
      <x:c r="AC196" s="236"/>
      <x:c r="AD196" s="233"/>
      <x:c r="AE196" s="233"/>
      <x:c r="AF196" s="233"/>
      <x:c r="AG196" s="233"/>
      <x:c r="AH196" s="234"/>
      <x:c r="AI196" s="233"/>
      <x:c r="AJ196" s="233"/>
      <x:c r="AK196" s="233"/>
      <x:c r="AL196" s="236"/>
      <x:c r="AM196" s="233"/>
      <x:c r="AN196" s="233"/>
      <x:c r="AO196" s="234"/>
      <x:c r="AP196" s="234"/>
      <x:c r="AQ196" s="233"/>
      <x:c r="AR196" s="236"/>
      <x:c r="AS196" s="234"/>
      <x:c r="AT196" s="233"/>
      <x:c r="AU196" s="233"/>
      <x:c r="AV196" s="233"/>
      <x:c r="AW196" s="233"/>
      <x:c r="AX196" s="233"/>
      <x:c r="AY196" s="233"/>
      <x:c r="AZ196" s="236"/>
      <x:c r="BA196" s="233"/>
      <x:c r="BB196" s="233"/>
      <x:c r="BC196" s="233"/>
      <x:c r="BD196" s="233"/>
      <x:c r="BE196" s="237" t="str">
        <x:f>IF(AND(A196="",B196="",C196="",E196="",G196="",I196="",M196="",T196="",BB196="",BD196=""),"",IF(B196="skip","SKIP",IF(OR(B196="",A196="",E196="",G196="",I196="",M196="",T196="",COUNTIF($A$6:$A$505,A196)&gt;1,COUNTIF($M$6:$M$505,M196)&gt;1,AND(L196="mobile",N196&lt;&gt;"invalid",OR(LEN(M196)&lt;&gt;10,LEFT(M196,2)&lt;&gt;"09"))),"REVIEW","READY")))</x:f>
      </x:c>
      <x:c r="BF196" s="238" t="str">
        <x:f>IF(BE196="","",IF(BE196="READY","",IF(B196="skip","Skipped by import_action",TRIM(IF(B196="","missing import_action; ","")&amp;IF(A196="","missing migration_customer_key; ","")&amp;IF(AND(A196&lt;&gt;"",COUNTIF($A$6:$A$505,A196)&gt;1),"duplicate migration_customer_key; ","")&amp;IF(E196="","missing branch_id; ","")&amp;IF(G196="","missing first_name; ","")&amp;IF(I196="","missing last_name; ","")&amp;IF(M196="","missing primary_phone; ","")&amp;IF(AND(M196&lt;&gt;"",COUNTIF($M$6:$M$505,M196)&gt;1),"duplicate primary_phone; ","")&amp;IF(AND(L196="mobile",N196&lt;&gt;"invalid",OR(LEN(M196)&lt;&gt;10,LEFT(M196,2)&lt;&gt;"09")),"mobile must be 09XXXXXXXX or status invalid; ","")&amp;IF(T196="","missing neighborhood_id; ","")))))</x:f>
      </x:c>
    </x:row>
    <x:row r="197">
      <x:c r="A197" s="232"/>
      <x:c r="B197" s="233"/>
      <x:c r="C197" s="234"/>
      <x:c r="D197" s="233"/>
      <x:c r="E197" s="233"/>
      <x:c r="F197" s="233"/>
      <x:c r="G197" s="233"/>
      <x:c r="H197" s="233"/>
      <x:c r="I197" s="233"/>
      <x:c r="J197" s="233"/>
      <x:c r="K197" s="233" t="str">
        <x:f>TRIM(G197&amp;" "&amp;H197&amp;" "&amp;I197&amp;IF(J197&lt;&gt;""," ("&amp;J197&amp;")",""))</x:f>
      </x:c>
      <x:c r="L197" s="233"/>
      <x:c r="M197" s="234"/>
      <x:c r="N197" s="233"/>
      <x:c r="O197" s="233"/>
      <x:c r="P197" s="233"/>
      <x:c r="Q197" s="233"/>
      <x:c r="R197" s="233"/>
      <x:c r="S197" s="233"/>
      <x:c r="T197" s="233"/>
      <x:c r="U197" s="233"/>
      <x:c r="V197" s="233"/>
      <x:c r="W197" s="235"/>
      <x:c r="X197" s="235"/>
      <x:c r="Y197" s="233"/>
      <x:c r="Z197" s="233"/>
      <x:c r="AA197" s="233"/>
      <x:c r="AB197" s="233"/>
      <x:c r="AC197" s="236"/>
      <x:c r="AD197" s="233"/>
      <x:c r="AE197" s="233"/>
      <x:c r="AF197" s="233"/>
      <x:c r="AG197" s="233"/>
      <x:c r="AH197" s="234"/>
      <x:c r="AI197" s="233"/>
      <x:c r="AJ197" s="233"/>
      <x:c r="AK197" s="233"/>
      <x:c r="AL197" s="236"/>
      <x:c r="AM197" s="233"/>
      <x:c r="AN197" s="233"/>
      <x:c r="AO197" s="234"/>
      <x:c r="AP197" s="234"/>
      <x:c r="AQ197" s="233"/>
      <x:c r="AR197" s="236"/>
      <x:c r="AS197" s="234"/>
      <x:c r="AT197" s="233"/>
      <x:c r="AU197" s="233"/>
      <x:c r="AV197" s="233"/>
      <x:c r="AW197" s="233"/>
      <x:c r="AX197" s="233"/>
      <x:c r="AY197" s="233"/>
      <x:c r="AZ197" s="236"/>
      <x:c r="BA197" s="233"/>
      <x:c r="BB197" s="233"/>
      <x:c r="BC197" s="233"/>
      <x:c r="BD197" s="233"/>
      <x:c r="BE197" s="237" t="str">
        <x:f>IF(AND(A197="",B197="",C197="",E197="",G197="",I197="",M197="",T197="",BB197="",BD197=""),"",IF(B197="skip","SKIP",IF(OR(B197="",A197="",E197="",G197="",I197="",M197="",T197="",COUNTIF($A$6:$A$505,A197)&gt;1,COUNTIF($M$6:$M$505,M197)&gt;1,AND(L197="mobile",N197&lt;&gt;"invalid",OR(LEN(M197)&lt;&gt;10,LEFT(M197,2)&lt;&gt;"09"))),"REVIEW","READY")))</x:f>
      </x:c>
      <x:c r="BF197" s="238" t="str">
        <x:f>IF(BE197="","",IF(BE197="READY","",IF(B197="skip","Skipped by import_action",TRIM(IF(B197="","missing import_action; ","")&amp;IF(A197="","missing migration_customer_key; ","")&amp;IF(AND(A197&lt;&gt;"",COUNTIF($A$6:$A$505,A197)&gt;1),"duplicate migration_customer_key; ","")&amp;IF(E197="","missing branch_id; ","")&amp;IF(G197="","missing first_name; ","")&amp;IF(I197="","missing last_name; ","")&amp;IF(M197="","missing primary_phone; ","")&amp;IF(AND(M197&lt;&gt;"",COUNTIF($M$6:$M$505,M197)&gt;1),"duplicate primary_phone; ","")&amp;IF(AND(L197="mobile",N197&lt;&gt;"invalid",OR(LEN(M197)&lt;&gt;10,LEFT(M197,2)&lt;&gt;"09")),"mobile must be 09XXXXXXXX or status invalid; ","")&amp;IF(T197="","missing neighborhood_id; ","")))))</x:f>
      </x:c>
    </x:row>
    <x:row r="198">
      <x:c r="A198" s="232"/>
      <x:c r="B198" s="233"/>
      <x:c r="C198" s="234"/>
      <x:c r="D198" s="233"/>
      <x:c r="E198" s="233"/>
      <x:c r="F198" s="233"/>
      <x:c r="G198" s="233"/>
      <x:c r="H198" s="233"/>
      <x:c r="I198" s="233"/>
      <x:c r="J198" s="233"/>
      <x:c r="K198" s="233" t="str">
        <x:f>TRIM(G198&amp;" "&amp;H198&amp;" "&amp;I198&amp;IF(J198&lt;&gt;""," ("&amp;J198&amp;")",""))</x:f>
      </x:c>
      <x:c r="L198" s="233"/>
      <x:c r="M198" s="234"/>
      <x:c r="N198" s="233"/>
      <x:c r="O198" s="233"/>
      <x:c r="P198" s="233"/>
      <x:c r="Q198" s="233"/>
      <x:c r="R198" s="233"/>
      <x:c r="S198" s="233"/>
      <x:c r="T198" s="233"/>
      <x:c r="U198" s="233"/>
      <x:c r="V198" s="233"/>
      <x:c r="W198" s="235"/>
      <x:c r="X198" s="235"/>
      <x:c r="Y198" s="233"/>
      <x:c r="Z198" s="233"/>
      <x:c r="AA198" s="233"/>
      <x:c r="AB198" s="233"/>
      <x:c r="AC198" s="236"/>
      <x:c r="AD198" s="233"/>
      <x:c r="AE198" s="233"/>
      <x:c r="AF198" s="233"/>
      <x:c r="AG198" s="233"/>
      <x:c r="AH198" s="234"/>
      <x:c r="AI198" s="233"/>
      <x:c r="AJ198" s="233"/>
      <x:c r="AK198" s="233"/>
      <x:c r="AL198" s="236"/>
      <x:c r="AM198" s="233"/>
      <x:c r="AN198" s="233"/>
      <x:c r="AO198" s="234"/>
      <x:c r="AP198" s="234"/>
      <x:c r="AQ198" s="233"/>
      <x:c r="AR198" s="236"/>
      <x:c r="AS198" s="234"/>
      <x:c r="AT198" s="233"/>
      <x:c r="AU198" s="233"/>
      <x:c r="AV198" s="233"/>
      <x:c r="AW198" s="233"/>
      <x:c r="AX198" s="233"/>
      <x:c r="AY198" s="233"/>
      <x:c r="AZ198" s="236"/>
      <x:c r="BA198" s="233"/>
      <x:c r="BB198" s="233"/>
      <x:c r="BC198" s="233"/>
      <x:c r="BD198" s="233"/>
      <x:c r="BE198" s="237" t="str">
        <x:f>IF(AND(A198="",B198="",C198="",E198="",G198="",I198="",M198="",T198="",BB198="",BD198=""),"",IF(B198="skip","SKIP",IF(OR(B198="",A198="",E198="",G198="",I198="",M198="",T198="",COUNTIF($A$6:$A$505,A198)&gt;1,COUNTIF($M$6:$M$505,M198)&gt;1,AND(L198="mobile",N198&lt;&gt;"invalid",OR(LEN(M198)&lt;&gt;10,LEFT(M198,2)&lt;&gt;"09"))),"REVIEW","READY")))</x:f>
      </x:c>
      <x:c r="BF198" s="238" t="str">
        <x:f>IF(BE198="","",IF(BE198="READY","",IF(B198="skip","Skipped by import_action",TRIM(IF(B198="","missing import_action; ","")&amp;IF(A198="","missing migration_customer_key; ","")&amp;IF(AND(A198&lt;&gt;"",COUNTIF($A$6:$A$505,A198)&gt;1),"duplicate migration_customer_key; ","")&amp;IF(E198="","missing branch_id; ","")&amp;IF(G198="","missing first_name; ","")&amp;IF(I198="","missing last_name; ","")&amp;IF(M198="","missing primary_phone; ","")&amp;IF(AND(M198&lt;&gt;"",COUNTIF($M$6:$M$505,M198)&gt;1),"duplicate primary_phone; ","")&amp;IF(AND(L198="mobile",N198&lt;&gt;"invalid",OR(LEN(M198)&lt;&gt;10,LEFT(M198,2)&lt;&gt;"09")),"mobile must be 09XXXXXXXX or status invalid; ","")&amp;IF(T198="","missing neighborhood_id; ","")))))</x:f>
      </x:c>
    </x:row>
    <x:row r="199">
      <x:c r="A199" s="232"/>
      <x:c r="B199" s="233"/>
      <x:c r="C199" s="234"/>
      <x:c r="D199" s="233"/>
      <x:c r="E199" s="233"/>
      <x:c r="F199" s="233"/>
      <x:c r="G199" s="233"/>
      <x:c r="H199" s="233"/>
      <x:c r="I199" s="233"/>
      <x:c r="J199" s="233"/>
      <x:c r="K199" s="233" t="str">
        <x:f>TRIM(G199&amp;" "&amp;H199&amp;" "&amp;I199&amp;IF(J199&lt;&gt;""," ("&amp;J199&amp;")",""))</x:f>
      </x:c>
      <x:c r="L199" s="233"/>
      <x:c r="M199" s="234"/>
      <x:c r="N199" s="233"/>
      <x:c r="O199" s="233"/>
      <x:c r="P199" s="233"/>
      <x:c r="Q199" s="233"/>
      <x:c r="R199" s="233"/>
      <x:c r="S199" s="233"/>
      <x:c r="T199" s="233"/>
      <x:c r="U199" s="233"/>
      <x:c r="V199" s="233"/>
      <x:c r="W199" s="235"/>
      <x:c r="X199" s="235"/>
      <x:c r="Y199" s="233"/>
      <x:c r="Z199" s="233"/>
      <x:c r="AA199" s="233"/>
      <x:c r="AB199" s="233"/>
      <x:c r="AC199" s="236"/>
      <x:c r="AD199" s="233"/>
      <x:c r="AE199" s="233"/>
      <x:c r="AF199" s="233"/>
      <x:c r="AG199" s="233"/>
      <x:c r="AH199" s="234"/>
      <x:c r="AI199" s="233"/>
      <x:c r="AJ199" s="233"/>
      <x:c r="AK199" s="233"/>
      <x:c r="AL199" s="236"/>
      <x:c r="AM199" s="233"/>
      <x:c r="AN199" s="233"/>
      <x:c r="AO199" s="234"/>
      <x:c r="AP199" s="234"/>
      <x:c r="AQ199" s="233"/>
      <x:c r="AR199" s="236"/>
      <x:c r="AS199" s="234"/>
      <x:c r="AT199" s="233"/>
      <x:c r="AU199" s="233"/>
      <x:c r="AV199" s="233"/>
      <x:c r="AW199" s="233"/>
      <x:c r="AX199" s="233"/>
      <x:c r="AY199" s="233"/>
      <x:c r="AZ199" s="236"/>
      <x:c r="BA199" s="233"/>
      <x:c r="BB199" s="233"/>
      <x:c r="BC199" s="233"/>
      <x:c r="BD199" s="233"/>
      <x:c r="BE199" s="237" t="str">
        <x:f>IF(AND(A199="",B199="",C199="",E199="",G199="",I199="",M199="",T199="",BB199="",BD199=""),"",IF(B199="skip","SKIP",IF(OR(B199="",A199="",E199="",G199="",I199="",M199="",T199="",COUNTIF($A$6:$A$505,A199)&gt;1,COUNTIF($M$6:$M$505,M199)&gt;1,AND(L199="mobile",N199&lt;&gt;"invalid",OR(LEN(M199)&lt;&gt;10,LEFT(M199,2)&lt;&gt;"09"))),"REVIEW","READY")))</x:f>
      </x:c>
      <x:c r="BF199" s="238" t="str">
        <x:f>IF(BE199="","",IF(BE199="READY","",IF(B199="skip","Skipped by import_action",TRIM(IF(B199="","missing import_action; ","")&amp;IF(A199="","missing migration_customer_key; ","")&amp;IF(AND(A199&lt;&gt;"",COUNTIF($A$6:$A$505,A199)&gt;1),"duplicate migration_customer_key; ","")&amp;IF(E199="","missing branch_id; ","")&amp;IF(G199="","missing first_name; ","")&amp;IF(I199="","missing last_name; ","")&amp;IF(M199="","missing primary_phone; ","")&amp;IF(AND(M199&lt;&gt;"",COUNTIF($M$6:$M$505,M199)&gt;1),"duplicate primary_phone; ","")&amp;IF(AND(L199="mobile",N199&lt;&gt;"invalid",OR(LEN(M199)&lt;&gt;10,LEFT(M199,2)&lt;&gt;"09")),"mobile must be 09XXXXXXXX or status invalid; ","")&amp;IF(T199="","missing neighborhood_id; ","")))))</x:f>
      </x:c>
    </x:row>
    <x:row r="200">
      <x:c r="A200" s="232"/>
      <x:c r="B200" s="233"/>
      <x:c r="C200" s="234"/>
      <x:c r="D200" s="233"/>
      <x:c r="E200" s="233"/>
      <x:c r="F200" s="233"/>
      <x:c r="G200" s="233"/>
      <x:c r="H200" s="233"/>
      <x:c r="I200" s="233"/>
      <x:c r="J200" s="233"/>
      <x:c r="K200" s="233" t="str">
        <x:f>TRIM(G200&amp;" "&amp;H200&amp;" "&amp;I200&amp;IF(J200&lt;&gt;""," ("&amp;J200&amp;")",""))</x:f>
      </x:c>
      <x:c r="L200" s="233"/>
      <x:c r="M200" s="234"/>
      <x:c r="N200" s="233"/>
      <x:c r="O200" s="233"/>
      <x:c r="P200" s="233"/>
      <x:c r="Q200" s="233"/>
      <x:c r="R200" s="233"/>
      <x:c r="S200" s="233"/>
      <x:c r="T200" s="233"/>
      <x:c r="U200" s="233"/>
      <x:c r="V200" s="233"/>
      <x:c r="W200" s="235"/>
      <x:c r="X200" s="235"/>
      <x:c r="Y200" s="233"/>
      <x:c r="Z200" s="233"/>
      <x:c r="AA200" s="233"/>
      <x:c r="AB200" s="233"/>
      <x:c r="AC200" s="236"/>
      <x:c r="AD200" s="233"/>
      <x:c r="AE200" s="233"/>
      <x:c r="AF200" s="233"/>
      <x:c r="AG200" s="233"/>
      <x:c r="AH200" s="234"/>
      <x:c r="AI200" s="233"/>
      <x:c r="AJ200" s="233"/>
      <x:c r="AK200" s="233"/>
      <x:c r="AL200" s="236"/>
      <x:c r="AM200" s="233"/>
      <x:c r="AN200" s="233"/>
      <x:c r="AO200" s="234"/>
      <x:c r="AP200" s="234"/>
      <x:c r="AQ200" s="233"/>
      <x:c r="AR200" s="236"/>
      <x:c r="AS200" s="234"/>
      <x:c r="AT200" s="233"/>
      <x:c r="AU200" s="233"/>
      <x:c r="AV200" s="233"/>
      <x:c r="AW200" s="233"/>
      <x:c r="AX200" s="233"/>
      <x:c r="AY200" s="233"/>
      <x:c r="AZ200" s="236"/>
      <x:c r="BA200" s="233"/>
      <x:c r="BB200" s="233"/>
      <x:c r="BC200" s="233"/>
      <x:c r="BD200" s="233"/>
      <x:c r="BE200" s="237" t="str">
        <x:f>IF(AND(A200="",B200="",C200="",E200="",G200="",I200="",M200="",T200="",BB200="",BD200=""),"",IF(B200="skip","SKIP",IF(OR(B200="",A200="",E200="",G200="",I200="",M200="",T200="",COUNTIF($A$6:$A$505,A200)&gt;1,COUNTIF($M$6:$M$505,M200)&gt;1,AND(L200="mobile",N200&lt;&gt;"invalid",OR(LEN(M200)&lt;&gt;10,LEFT(M200,2)&lt;&gt;"09"))),"REVIEW","READY")))</x:f>
      </x:c>
      <x:c r="BF200" s="238" t="str">
        <x:f>IF(BE200="","",IF(BE200="READY","",IF(B200="skip","Skipped by import_action",TRIM(IF(B200="","missing import_action; ","")&amp;IF(A200="","missing migration_customer_key; ","")&amp;IF(AND(A200&lt;&gt;"",COUNTIF($A$6:$A$505,A200)&gt;1),"duplicate migration_customer_key; ","")&amp;IF(E200="","missing branch_id; ","")&amp;IF(G200="","missing first_name; ","")&amp;IF(I200="","missing last_name; ","")&amp;IF(M200="","missing primary_phone; ","")&amp;IF(AND(M200&lt;&gt;"",COUNTIF($M$6:$M$505,M200)&gt;1),"duplicate primary_phone; ","")&amp;IF(AND(L200="mobile",N200&lt;&gt;"invalid",OR(LEN(M200)&lt;&gt;10,LEFT(M200,2)&lt;&gt;"09")),"mobile must be 09XXXXXXXX or status invalid; ","")&amp;IF(T200="","missing neighborhood_id; ","")))))</x:f>
      </x:c>
    </x:row>
    <x:row r="201">
      <x:c r="A201" s="232"/>
      <x:c r="B201" s="233"/>
      <x:c r="C201" s="234"/>
      <x:c r="D201" s="233"/>
      <x:c r="E201" s="233"/>
      <x:c r="F201" s="233"/>
      <x:c r="G201" s="233"/>
      <x:c r="H201" s="233"/>
      <x:c r="I201" s="233"/>
      <x:c r="J201" s="233"/>
      <x:c r="K201" s="233" t="str">
        <x:f>TRIM(G201&amp;" "&amp;H201&amp;" "&amp;I201&amp;IF(J201&lt;&gt;""," ("&amp;J201&amp;")",""))</x:f>
      </x:c>
      <x:c r="L201" s="233"/>
      <x:c r="M201" s="234"/>
      <x:c r="N201" s="233"/>
      <x:c r="O201" s="233"/>
      <x:c r="P201" s="233"/>
      <x:c r="Q201" s="233"/>
      <x:c r="R201" s="233"/>
      <x:c r="S201" s="233"/>
      <x:c r="T201" s="233"/>
      <x:c r="U201" s="233"/>
      <x:c r="V201" s="233"/>
      <x:c r="W201" s="235"/>
      <x:c r="X201" s="235"/>
      <x:c r="Y201" s="233"/>
      <x:c r="Z201" s="233"/>
      <x:c r="AA201" s="233"/>
      <x:c r="AB201" s="233"/>
      <x:c r="AC201" s="236"/>
      <x:c r="AD201" s="233"/>
      <x:c r="AE201" s="233"/>
      <x:c r="AF201" s="233"/>
      <x:c r="AG201" s="233"/>
      <x:c r="AH201" s="234"/>
      <x:c r="AI201" s="233"/>
      <x:c r="AJ201" s="233"/>
      <x:c r="AK201" s="233"/>
      <x:c r="AL201" s="236"/>
      <x:c r="AM201" s="233"/>
      <x:c r="AN201" s="233"/>
      <x:c r="AO201" s="234"/>
      <x:c r="AP201" s="234"/>
      <x:c r="AQ201" s="233"/>
      <x:c r="AR201" s="236"/>
      <x:c r="AS201" s="234"/>
      <x:c r="AT201" s="233"/>
      <x:c r="AU201" s="233"/>
      <x:c r="AV201" s="233"/>
      <x:c r="AW201" s="233"/>
      <x:c r="AX201" s="233"/>
      <x:c r="AY201" s="233"/>
      <x:c r="AZ201" s="236"/>
      <x:c r="BA201" s="233"/>
      <x:c r="BB201" s="233"/>
      <x:c r="BC201" s="233"/>
      <x:c r="BD201" s="233"/>
      <x:c r="BE201" s="237" t="str">
        <x:f>IF(AND(A201="",B201="",C201="",E201="",G201="",I201="",M201="",T201="",BB201="",BD201=""),"",IF(B201="skip","SKIP",IF(OR(B201="",A201="",E201="",G201="",I201="",M201="",T201="",COUNTIF($A$6:$A$505,A201)&gt;1,COUNTIF($M$6:$M$505,M201)&gt;1,AND(L201="mobile",N201&lt;&gt;"invalid",OR(LEN(M201)&lt;&gt;10,LEFT(M201,2)&lt;&gt;"09"))),"REVIEW","READY")))</x:f>
      </x:c>
      <x:c r="BF201" s="238" t="str">
        <x:f>IF(BE201="","",IF(BE201="READY","",IF(B201="skip","Skipped by import_action",TRIM(IF(B201="","missing import_action; ","")&amp;IF(A201="","missing migration_customer_key; ","")&amp;IF(AND(A201&lt;&gt;"",COUNTIF($A$6:$A$505,A201)&gt;1),"duplicate migration_customer_key; ","")&amp;IF(E201="","missing branch_id; ","")&amp;IF(G201="","missing first_name; ","")&amp;IF(I201="","missing last_name; ","")&amp;IF(M201="","missing primary_phone; ","")&amp;IF(AND(M201&lt;&gt;"",COUNTIF($M$6:$M$505,M201)&gt;1),"duplicate primary_phone; ","")&amp;IF(AND(L201="mobile",N201&lt;&gt;"invalid",OR(LEN(M201)&lt;&gt;10,LEFT(M201,2)&lt;&gt;"09")),"mobile must be 09XXXXXXXX or status invalid; ","")&amp;IF(T201="","missing neighborhood_id; ","")))))</x:f>
      </x:c>
    </x:row>
    <x:row r="202">
      <x:c r="A202" s="232"/>
      <x:c r="B202" s="233"/>
      <x:c r="C202" s="234"/>
      <x:c r="D202" s="233"/>
      <x:c r="E202" s="233"/>
      <x:c r="F202" s="233"/>
      <x:c r="G202" s="233"/>
      <x:c r="H202" s="233"/>
      <x:c r="I202" s="233"/>
      <x:c r="J202" s="233"/>
      <x:c r="K202" s="233" t="str">
        <x:f>TRIM(G202&amp;" "&amp;H202&amp;" "&amp;I202&amp;IF(J202&lt;&gt;""," ("&amp;J202&amp;")",""))</x:f>
      </x:c>
      <x:c r="L202" s="233"/>
      <x:c r="M202" s="234"/>
      <x:c r="N202" s="233"/>
      <x:c r="O202" s="233"/>
      <x:c r="P202" s="233"/>
      <x:c r="Q202" s="233"/>
      <x:c r="R202" s="233"/>
      <x:c r="S202" s="233"/>
      <x:c r="T202" s="233"/>
      <x:c r="U202" s="233"/>
      <x:c r="V202" s="233"/>
      <x:c r="W202" s="235"/>
      <x:c r="X202" s="235"/>
      <x:c r="Y202" s="233"/>
      <x:c r="Z202" s="233"/>
      <x:c r="AA202" s="233"/>
      <x:c r="AB202" s="233"/>
      <x:c r="AC202" s="236"/>
      <x:c r="AD202" s="233"/>
      <x:c r="AE202" s="233"/>
      <x:c r="AF202" s="233"/>
      <x:c r="AG202" s="233"/>
      <x:c r="AH202" s="234"/>
      <x:c r="AI202" s="233"/>
      <x:c r="AJ202" s="233"/>
      <x:c r="AK202" s="233"/>
      <x:c r="AL202" s="236"/>
      <x:c r="AM202" s="233"/>
      <x:c r="AN202" s="233"/>
      <x:c r="AO202" s="234"/>
      <x:c r="AP202" s="234"/>
      <x:c r="AQ202" s="233"/>
      <x:c r="AR202" s="236"/>
      <x:c r="AS202" s="234"/>
      <x:c r="AT202" s="233"/>
      <x:c r="AU202" s="233"/>
      <x:c r="AV202" s="233"/>
      <x:c r="AW202" s="233"/>
      <x:c r="AX202" s="233"/>
      <x:c r="AY202" s="233"/>
      <x:c r="AZ202" s="236"/>
      <x:c r="BA202" s="233"/>
      <x:c r="BB202" s="233"/>
      <x:c r="BC202" s="233"/>
      <x:c r="BD202" s="233"/>
      <x:c r="BE202" s="237" t="str">
        <x:f>IF(AND(A202="",B202="",C202="",E202="",G202="",I202="",M202="",T202="",BB202="",BD202=""),"",IF(B202="skip","SKIP",IF(OR(B202="",A202="",E202="",G202="",I202="",M202="",T202="",COUNTIF($A$6:$A$505,A202)&gt;1,COUNTIF($M$6:$M$505,M202)&gt;1,AND(L202="mobile",N202&lt;&gt;"invalid",OR(LEN(M202)&lt;&gt;10,LEFT(M202,2)&lt;&gt;"09"))),"REVIEW","READY")))</x:f>
      </x:c>
      <x:c r="BF202" s="238" t="str">
        <x:f>IF(BE202="","",IF(BE202="READY","",IF(B202="skip","Skipped by import_action",TRIM(IF(B202="","missing import_action; ","")&amp;IF(A202="","missing migration_customer_key; ","")&amp;IF(AND(A202&lt;&gt;"",COUNTIF($A$6:$A$505,A202)&gt;1),"duplicate migration_customer_key; ","")&amp;IF(E202="","missing branch_id; ","")&amp;IF(G202="","missing first_name; ","")&amp;IF(I202="","missing last_name; ","")&amp;IF(M202="","missing primary_phone; ","")&amp;IF(AND(M202&lt;&gt;"",COUNTIF($M$6:$M$505,M202)&gt;1),"duplicate primary_phone; ","")&amp;IF(AND(L202="mobile",N202&lt;&gt;"invalid",OR(LEN(M202)&lt;&gt;10,LEFT(M202,2)&lt;&gt;"09")),"mobile must be 09XXXXXXXX or status invalid; ","")&amp;IF(T202="","missing neighborhood_id; ","")))))</x:f>
      </x:c>
    </x:row>
    <x:row r="203">
      <x:c r="A203" s="232"/>
      <x:c r="B203" s="233"/>
      <x:c r="C203" s="234"/>
      <x:c r="D203" s="233"/>
      <x:c r="E203" s="233"/>
      <x:c r="F203" s="233"/>
      <x:c r="G203" s="233"/>
      <x:c r="H203" s="233"/>
      <x:c r="I203" s="233"/>
      <x:c r="J203" s="233"/>
      <x:c r="K203" s="233" t="str">
        <x:f>TRIM(G203&amp;" "&amp;H203&amp;" "&amp;I203&amp;IF(J203&lt;&gt;""," ("&amp;J203&amp;")",""))</x:f>
      </x:c>
      <x:c r="L203" s="233"/>
      <x:c r="M203" s="234"/>
      <x:c r="N203" s="233"/>
      <x:c r="O203" s="233"/>
      <x:c r="P203" s="233"/>
      <x:c r="Q203" s="233"/>
      <x:c r="R203" s="233"/>
      <x:c r="S203" s="233"/>
      <x:c r="T203" s="233"/>
      <x:c r="U203" s="233"/>
      <x:c r="V203" s="233"/>
      <x:c r="W203" s="235"/>
      <x:c r="X203" s="235"/>
      <x:c r="Y203" s="233"/>
      <x:c r="Z203" s="233"/>
      <x:c r="AA203" s="233"/>
      <x:c r="AB203" s="233"/>
      <x:c r="AC203" s="236"/>
      <x:c r="AD203" s="233"/>
      <x:c r="AE203" s="233"/>
      <x:c r="AF203" s="233"/>
      <x:c r="AG203" s="233"/>
      <x:c r="AH203" s="234"/>
      <x:c r="AI203" s="233"/>
      <x:c r="AJ203" s="233"/>
      <x:c r="AK203" s="233"/>
      <x:c r="AL203" s="236"/>
      <x:c r="AM203" s="233"/>
      <x:c r="AN203" s="233"/>
      <x:c r="AO203" s="234"/>
      <x:c r="AP203" s="234"/>
      <x:c r="AQ203" s="233"/>
      <x:c r="AR203" s="236"/>
      <x:c r="AS203" s="234"/>
      <x:c r="AT203" s="233"/>
      <x:c r="AU203" s="233"/>
      <x:c r="AV203" s="233"/>
      <x:c r="AW203" s="233"/>
      <x:c r="AX203" s="233"/>
      <x:c r="AY203" s="233"/>
      <x:c r="AZ203" s="236"/>
      <x:c r="BA203" s="233"/>
      <x:c r="BB203" s="233"/>
      <x:c r="BC203" s="233"/>
      <x:c r="BD203" s="233"/>
      <x:c r="BE203" s="237" t="str">
        <x:f>IF(AND(A203="",B203="",C203="",E203="",G203="",I203="",M203="",T203="",BB203="",BD203=""),"",IF(B203="skip","SKIP",IF(OR(B203="",A203="",E203="",G203="",I203="",M203="",T203="",COUNTIF($A$6:$A$505,A203)&gt;1,COUNTIF($M$6:$M$505,M203)&gt;1,AND(L203="mobile",N203&lt;&gt;"invalid",OR(LEN(M203)&lt;&gt;10,LEFT(M203,2)&lt;&gt;"09"))),"REVIEW","READY")))</x:f>
      </x:c>
      <x:c r="BF203" s="238" t="str">
        <x:f>IF(BE203="","",IF(BE203="READY","",IF(B203="skip","Skipped by import_action",TRIM(IF(B203="","missing import_action; ","")&amp;IF(A203="","missing migration_customer_key; ","")&amp;IF(AND(A203&lt;&gt;"",COUNTIF($A$6:$A$505,A203)&gt;1),"duplicate migration_customer_key; ","")&amp;IF(E203="","missing branch_id; ","")&amp;IF(G203="","missing first_name; ","")&amp;IF(I203="","missing last_name; ","")&amp;IF(M203="","missing primary_phone; ","")&amp;IF(AND(M203&lt;&gt;"",COUNTIF($M$6:$M$505,M203)&gt;1),"duplicate primary_phone; ","")&amp;IF(AND(L203="mobile",N203&lt;&gt;"invalid",OR(LEN(M203)&lt;&gt;10,LEFT(M203,2)&lt;&gt;"09")),"mobile must be 09XXXXXXXX or status invalid; ","")&amp;IF(T203="","missing neighborhood_id; ","")))))</x:f>
      </x:c>
    </x:row>
    <x:row r="204">
      <x:c r="A204" s="232"/>
      <x:c r="B204" s="233"/>
      <x:c r="C204" s="234"/>
      <x:c r="D204" s="233"/>
      <x:c r="E204" s="233"/>
      <x:c r="F204" s="233"/>
      <x:c r="G204" s="233"/>
      <x:c r="H204" s="233"/>
      <x:c r="I204" s="233"/>
      <x:c r="J204" s="233"/>
      <x:c r="K204" s="233" t="str">
        <x:f>TRIM(G204&amp;" "&amp;H204&amp;" "&amp;I204&amp;IF(J204&lt;&gt;""," ("&amp;J204&amp;")",""))</x:f>
      </x:c>
      <x:c r="L204" s="233"/>
      <x:c r="M204" s="234"/>
      <x:c r="N204" s="233"/>
      <x:c r="O204" s="233"/>
      <x:c r="P204" s="233"/>
      <x:c r="Q204" s="233"/>
      <x:c r="R204" s="233"/>
      <x:c r="S204" s="233"/>
      <x:c r="T204" s="233"/>
      <x:c r="U204" s="233"/>
      <x:c r="V204" s="233"/>
      <x:c r="W204" s="235"/>
      <x:c r="X204" s="235"/>
      <x:c r="Y204" s="233"/>
      <x:c r="Z204" s="233"/>
      <x:c r="AA204" s="233"/>
      <x:c r="AB204" s="233"/>
      <x:c r="AC204" s="236"/>
      <x:c r="AD204" s="233"/>
      <x:c r="AE204" s="233"/>
      <x:c r="AF204" s="233"/>
      <x:c r="AG204" s="233"/>
      <x:c r="AH204" s="234"/>
      <x:c r="AI204" s="233"/>
      <x:c r="AJ204" s="233"/>
      <x:c r="AK204" s="233"/>
      <x:c r="AL204" s="236"/>
      <x:c r="AM204" s="233"/>
      <x:c r="AN204" s="233"/>
      <x:c r="AO204" s="234"/>
      <x:c r="AP204" s="234"/>
      <x:c r="AQ204" s="233"/>
      <x:c r="AR204" s="236"/>
      <x:c r="AS204" s="234"/>
      <x:c r="AT204" s="233"/>
      <x:c r="AU204" s="233"/>
      <x:c r="AV204" s="233"/>
      <x:c r="AW204" s="233"/>
      <x:c r="AX204" s="233"/>
      <x:c r="AY204" s="233"/>
      <x:c r="AZ204" s="236"/>
      <x:c r="BA204" s="233"/>
      <x:c r="BB204" s="233"/>
      <x:c r="BC204" s="233"/>
      <x:c r="BD204" s="233"/>
      <x:c r="BE204" s="237" t="str">
        <x:f>IF(AND(A204="",B204="",C204="",E204="",G204="",I204="",M204="",T204="",BB204="",BD204=""),"",IF(B204="skip","SKIP",IF(OR(B204="",A204="",E204="",G204="",I204="",M204="",T204="",COUNTIF($A$6:$A$505,A204)&gt;1,COUNTIF($M$6:$M$505,M204)&gt;1,AND(L204="mobile",N204&lt;&gt;"invalid",OR(LEN(M204)&lt;&gt;10,LEFT(M204,2)&lt;&gt;"09"))),"REVIEW","READY")))</x:f>
      </x:c>
      <x:c r="BF204" s="238" t="str">
        <x:f>IF(BE204="","",IF(BE204="READY","",IF(B204="skip","Skipped by import_action",TRIM(IF(B204="","missing import_action; ","")&amp;IF(A204="","missing migration_customer_key; ","")&amp;IF(AND(A204&lt;&gt;"",COUNTIF($A$6:$A$505,A204)&gt;1),"duplicate migration_customer_key; ","")&amp;IF(E204="","missing branch_id; ","")&amp;IF(G204="","missing first_name; ","")&amp;IF(I204="","missing last_name; ","")&amp;IF(M204="","missing primary_phone; ","")&amp;IF(AND(M204&lt;&gt;"",COUNTIF($M$6:$M$505,M204)&gt;1),"duplicate primary_phone; ","")&amp;IF(AND(L204="mobile",N204&lt;&gt;"invalid",OR(LEN(M204)&lt;&gt;10,LEFT(M204,2)&lt;&gt;"09")),"mobile must be 09XXXXXXXX or status invalid; ","")&amp;IF(T204="","missing neighborhood_id; ","")))))</x:f>
      </x:c>
    </x:row>
    <x:row r="205">
      <x:c r="A205" s="232"/>
      <x:c r="B205" s="233"/>
      <x:c r="C205" s="234"/>
      <x:c r="D205" s="233"/>
      <x:c r="E205" s="233"/>
      <x:c r="F205" s="233"/>
      <x:c r="G205" s="233"/>
      <x:c r="H205" s="233"/>
      <x:c r="I205" s="233"/>
      <x:c r="J205" s="233"/>
      <x:c r="K205" s="233" t="str">
        <x:f>TRIM(G205&amp;" "&amp;H205&amp;" "&amp;I205&amp;IF(J205&lt;&gt;""," ("&amp;J205&amp;")",""))</x:f>
      </x:c>
      <x:c r="L205" s="233"/>
      <x:c r="M205" s="234"/>
      <x:c r="N205" s="233"/>
      <x:c r="O205" s="233"/>
      <x:c r="P205" s="233"/>
      <x:c r="Q205" s="233"/>
      <x:c r="R205" s="233"/>
      <x:c r="S205" s="233"/>
      <x:c r="T205" s="233"/>
      <x:c r="U205" s="233"/>
      <x:c r="V205" s="233"/>
      <x:c r="W205" s="235"/>
      <x:c r="X205" s="235"/>
      <x:c r="Y205" s="233"/>
      <x:c r="Z205" s="233"/>
      <x:c r="AA205" s="233"/>
      <x:c r="AB205" s="233"/>
      <x:c r="AC205" s="236"/>
      <x:c r="AD205" s="233"/>
      <x:c r="AE205" s="233"/>
      <x:c r="AF205" s="233"/>
      <x:c r="AG205" s="233"/>
      <x:c r="AH205" s="234"/>
      <x:c r="AI205" s="233"/>
      <x:c r="AJ205" s="233"/>
      <x:c r="AK205" s="233"/>
      <x:c r="AL205" s="236"/>
      <x:c r="AM205" s="233"/>
      <x:c r="AN205" s="233"/>
      <x:c r="AO205" s="234"/>
      <x:c r="AP205" s="234"/>
      <x:c r="AQ205" s="233"/>
      <x:c r="AR205" s="236"/>
      <x:c r="AS205" s="234"/>
      <x:c r="AT205" s="233"/>
      <x:c r="AU205" s="233"/>
      <x:c r="AV205" s="233"/>
      <x:c r="AW205" s="233"/>
      <x:c r="AX205" s="233"/>
      <x:c r="AY205" s="233"/>
      <x:c r="AZ205" s="236"/>
      <x:c r="BA205" s="233"/>
      <x:c r="BB205" s="233"/>
      <x:c r="BC205" s="233"/>
      <x:c r="BD205" s="233"/>
      <x:c r="BE205" s="237" t="str">
        <x:f>IF(AND(A205="",B205="",C205="",E205="",G205="",I205="",M205="",T205="",BB205="",BD205=""),"",IF(B205="skip","SKIP",IF(OR(B205="",A205="",E205="",G205="",I205="",M205="",T205="",COUNTIF($A$6:$A$505,A205)&gt;1,COUNTIF($M$6:$M$505,M205)&gt;1,AND(L205="mobile",N205&lt;&gt;"invalid",OR(LEN(M205)&lt;&gt;10,LEFT(M205,2)&lt;&gt;"09"))),"REVIEW","READY")))</x:f>
      </x:c>
      <x:c r="BF205" s="238" t="str">
        <x:f>IF(BE205="","",IF(BE205="READY","",IF(B205="skip","Skipped by import_action",TRIM(IF(B205="","missing import_action; ","")&amp;IF(A205="","missing migration_customer_key; ","")&amp;IF(AND(A205&lt;&gt;"",COUNTIF($A$6:$A$505,A205)&gt;1),"duplicate migration_customer_key; ","")&amp;IF(E205="","missing branch_id; ","")&amp;IF(G205="","missing first_name; ","")&amp;IF(I205="","missing last_name; ","")&amp;IF(M205="","missing primary_phone; ","")&amp;IF(AND(M205&lt;&gt;"",COUNTIF($M$6:$M$505,M205)&gt;1),"duplicate primary_phone; ","")&amp;IF(AND(L205="mobile",N205&lt;&gt;"invalid",OR(LEN(M205)&lt;&gt;10,LEFT(M205,2)&lt;&gt;"09")),"mobile must be 09XXXXXXXX or status invalid; ","")&amp;IF(T205="","missing neighborhood_id; ","")))))</x:f>
      </x:c>
    </x:row>
    <x:row r="206">
      <x:c r="A206" s="232"/>
      <x:c r="B206" s="233"/>
      <x:c r="C206" s="234"/>
      <x:c r="D206" s="233"/>
      <x:c r="E206" s="233"/>
      <x:c r="F206" s="233"/>
      <x:c r="G206" s="233"/>
      <x:c r="H206" s="233"/>
      <x:c r="I206" s="233"/>
      <x:c r="J206" s="233"/>
      <x:c r="K206" s="233" t="str">
        <x:f>TRIM(G206&amp;" "&amp;H206&amp;" "&amp;I206&amp;IF(J206&lt;&gt;""," ("&amp;J206&amp;")",""))</x:f>
      </x:c>
      <x:c r="L206" s="233"/>
      <x:c r="M206" s="234"/>
      <x:c r="N206" s="233"/>
      <x:c r="O206" s="233"/>
      <x:c r="P206" s="233"/>
      <x:c r="Q206" s="233"/>
      <x:c r="R206" s="233"/>
      <x:c r="S206" s="233"/>
      <x:c r="T206" s="233"/>
      <x:c r="U206" s="233"/>
      <x:c r="V206" s="233"/>
      <x:c r="W206" s="235"/>
      <x:c r="X206" s="235"/>
      <x:c r="Y206" s="233"/>
      <x:c r="Z206" s="233"/>
      <x:c r="AA206" s="233"/>
      <x:c r="AB206" s="233"/>
      <x:c r="AC206" s="236"/>
      <x:c r="AD206" s="233"/>
      <x:c r="AE206" s="233"/>
      <x:c r="AF206" s="233"/>
      <x:c r="AG206" s="233"/>
      <x:c r="AH206" s="234"/>
      <x:c r="AI206" s="233"/>
      <x:c r="AJ206" s="233"/>
      <x:c r="AK206" s="233"/>
      <x:c r="AL206" s="236"/>
      <x:c r="AM206" s="233"/>
      <x:c r="AN206" s="233"/>
      <x:c r="AO206" s="234"/>
      <x:c r="AP206" s="234"/>
      <x:c r="AQ206" s="233"/>
      <x:c r="AR206" s="236"/>
      <x:c r="AS206" s="234"/>
      <x:c r="AT206" s="233"/>
      <x:c r="AU206" s="233"/>
      <x:c r="AV206" s="233"/>
      <x:c r="AW206" s="233"/>
      <x:c r="AX206" s="233"/>
      <x:c r="AY206" s="233"/>
      <x:c r="AZ206" s="236"/>
      <x:c r="BA206" s="233"/>
      <x:c r="BB206" s="233"/>
      <x:c r="BC206" s="233"/>
      <x:c r="BD206" s="233"/>
      <x:c r="BE206" s="237" t="str">
        <x:f>IF(AND(A206="",B206="",C206="",E206="",G206="",I206="",M206="",T206="",BB206="",BD206=""),"",IF(B206="skip","SKIP",IF(OR(B206="",A206="",E206="",G206="",I206="",M206="",T206="",COUNTIF($A$6:$A$505,A206)&gt;1,COUNTIF($M$6:$M$505,M206)&gt;1,AND(L206="mobile",N206&lt;&gt;"invalid",OR(LEN(M206)&lt;&gt;10,LEFT(M206,2)&lt;&gt;"09"))),"REVIEW","READY")))</x:f>
      </x:c>
      <x:c r="BF206" s="238" t="str">
        <x:f>IF(BE206="","",IF(BE206="READY","",IF(B206="skip","Skipped by import_action",TRIM(IF(B206="","missing import_action; ","")&amp;IF(A206="","missing migration_customer_key; ","")&amp;IF(AND(A206&lt;&gt;"",COUNTIF($A$6:$A$505,A206)&gt;1),"duplicate migration_customer_key; ","")&amp;IF(E206="","missing branch_id; ","")&amp;IF(G206="","missing first_name; ","")&amp;IF(I206="","missing last_name; ","")&amp;IF(M206="","missing primary_phone; ","")&amp;IF(AND(M206&lt;&gt;"",COUNTIF($M$6:$M$505,M206)&gt;1),"duplicate primary_phone; ","")&amp;IF(AND(L206="mobile",N206&lt;&gt;"invalid",OR(LEN(M206)&lt;&gt;10,LEFT(M206,2)&lt;&gt;"09")),"mobile must be 09XXXXXXXX or status invalid; ","")&amp;IF(T206="","missing neighborhood_id; ","")))))</x:f>
      </x:c>
    </x:row>
    <x:row r="207">
      <x:c r="A207" s="232"/>
      <x:c r="B207" s="233"/>
      <x:c r="C207" s="234"/>
      <x:c r="D207" s="233"/>
      <x:c r="E207" s="233"/>
      <x:c r="F207" s="233"/>
      <x:c r="G207" s="233"/>
      <x:c r="H207" s="233"/>
      <x:c r="I207" s="233"/>
      <x:c r="J207" s="233"/>
      <x:c r="K207" s="233" t="str">
        <x:f>TRIM(G207&amp;" "&amp;H207&amp;" "&amp;I207&amp;IF(J207&lt;&gt;""," ("&amp;J207&amp;")",""))</x:f>
      </x:c>
      <x:c r="L207" s="233"/>
      <x:c r="M207" s="234"/>
      <x:c r="N207" s="233"/>
      <x:c r="O207" s="233"/>
      <x:c r="P207" s="233"/>
      <x:c r="Q207" s="233"/>
      <x:c r="R207" s="233"/>
      <x:c r="S207" s="233"/>
      <x:c r="T207" s="233"/>
      <x:c r="U207" s="233"/>
      <x:c r="V207" s="233"/>
      <x:c r="W207" s="235"/>
      <x:c r="X207" s="235"/>
      <x:c r="Y207" s="233"/>
      <x:c r="Z207" s="233"/>
      <x:c r="AA207" s="233"/>
      <x:c r="AB207" s="233"/>
      <x:c r="AC207" s="236"/>
      <x:c r="AD207" s="233"/>
      <x:c r="AE207" s="233"/>
      <x:c r="AF207" s="233"/>
      <x:c r="AG207" s="233"/>
      <x:c r="AH207" s="234"/>
      <x:c r="AI207" s="233"/>
      <x:c r="AJ207" s="233"/>
      <x:c r="AK207" s="233"/>
      <x:c r="AL207" s="236"/>
      <x:c r="AM207" s="233"/>
      <x:c r="AN207" s="233"/>
      <x:c r="AO207" s="234"/>
      <x:c r="AP207" s="234"/>
      <x:c r="AQ207" s="233"/>
      <x:c r="AR207" s="236"/>
      <x:c r="AS207" s="234"/>
      <x:c r="AT207" s="233"/>
      <x:c r="AU207" s="233"/>
      <x:c r="AV207" s="233"/>
      <x:c r="AW207" s="233"/>
      <x:c r="AX207" s="233"/>
      <x:c r="AY207" s="233"/>
      <x:c r="AZ207" s="236"/>
      <x:c r="BA207" s="233"/>
      <x:c r="BB207" s="233"/>
      <x:c r="BC207" s="233"/>
      <x:c r="BD207" s="233"/>
      <x:c r="BE207" s="237" t="str">
        <x:f>IF(AND(A207="",B207="",C207="",E207="",G207="",I207="",M207="",T207="",BB207="",BD207=""),"",IF(B207="skip","SKIP",IF(OR(B207="",A207="",E207="",G207="",I207="",M207="",T207="",COUNTIF($A$6:$A$505,A207)&gt;1,COUNTIF($M$6:$M$505,M207)&gt;1,AND(L207="mobile",N207&lt;&gt;"invalid",OR(LEN(M207)&lt;&gt;10,LEFT(M207,2)&lt;&gt;"09"))),"REVIEW","READY")))</x:f>
      </x:c>
      <x:c r="BF207" s="238" t="str">
        <x:f>IF(BE207="","",IF(BE207="READY","",IF(B207="skip","Skipped by import_action",TRIM(IF(B207="","missing import_action; ","")&amp;IF(A207="","missing migration_customer_key; ","")&amp;IF(AND(A207&lt;&gt;"",COUNTIF($A$6:$A$505,A207)&gt;1),"duplicate migration_customer_key; ","")&amp;IF(E207="","missing branch_id; ","")&amp;IF(G207="","missing first_name; ","")&amp;IF(I207="","missing last_name; ","")&amp;IF(M207="","missing primary_phone; ","")&amp;IF(AND(M207&lt;&gt;"",COUNTIF($M$6:$M$505,M207)&gt;1),"duplicate primary_phone; ","")&amp;IF(AND(L207="mobile",N207&lt;&gt;"invalid",OR(LEN(M207)&lt;&gt;10,LEFT(M207,2)&lt;&gt;"09")),"mobile must be 09XXXXXXXX or status invalid; ","")&amp;IF(T207="","missing neighborhood_id; ","")))))</x:f>
      </x:c>
    </x:row>
    <x:row r="208">
      <x:c r="A208" s="232"/>
      <x:c r="B208" s="233"/>
      <x:c r="C208" s="234"/>
      <x:c r="D208" s="233"/>
      <x:c r="E208" s="233"/>
      <x:c r="F208" s="233"/>
      <x:c r="G208" s="233"/>
      <x:c r="H208" s="233"/>
      <x:c r="I208" s="233"/>
      <x:c r="J208" s="233"/>
      <x:c r="K208" s="233" t="str">
        <x:f>TRIM(G208&amp;" "&amp;H208&amp;" "&amp;I208&amp;IF(J208&lt;&gt;""," ("&amp;J208&amp;")",""))</x:f>
      </x:c>
      <x:c r="L208" s="233"/>
      <x:c r="M208" s="234"/>
      <x:c r="N208" s="233"/>
      <x:c r="O208" s="233"/>
      <x:c r="P208" s="233"/>
      <x:c r="Q208" s="233"/>
      <x:c r="R208" s="233"/>
      <x:c r="S208" s="233"/>
      <x:c r="T208" s="233"/>
      <x:c r="U208" s="233"/>
      <x:c r="V208" s="233"/>
      <x:c r="W208" s="235"/>
      <x:c r="X208" s="235"/>
      <x:c r="Y208" s="233"/>
      <x:c r="Z208" s="233"/>
      <x:c r="AA208" s="233"/>
      <x:c r="AB208" s="233"/>
      <x:c r="AC208" s="236"/>
      <x:c r="AD208" s="233"/>
      <x:c r="AE208" s="233"/>
      <x:c r="AF208" s="233"/>
      <x:c r="AG208" s="233"/>
      <x:c r="AH208" s="234"/>
      <x:c r="AI208" s="233"/>
      <x:c r="AJ208" s="233"/>
      <x:c r="AK208" s="233"/>
      <x:c r="AL208" s="236"/>
      <x:c r="AM208" s="233"/>
      <x:c r="AN208" s="233"/>
      <x:c r="AO208" s="234"/>
      <x:c r="AP208" s="234"/>
      <x:c r="AQ208" s="233"/>
      <x:c r="AR208" s="236"/>
      <x:c r="AS208" s="234"/>
      <x:c r="AT208" s="233"/>
      <x:c r="AU208" s="233"/>
      <x:c r="AV208" s="233"/>
      <x:c r="AW208" s="233"/>
      <x:c r="AX208" s="233"/>
      <x:c r="AY208" s="233"/>
      <x:c r="AZ208" s="236"/>
      <x:c r="BA208" s="233"/>
      <x:c r="BB208" s="233"/>
      <x:c r="BC208" s="233"/>
      <x:c r="BD208" s="233"/>
      <x:c r="BE208" s="237" t="str">
        <x:f>IF(AND(A208="",B208="",C208="",E208="",G208="",I208="",M208="",T208="",BB208="",BD208=""),"",IF(B208="skip","SKIP",IF(OR(B208="",A208="",E208="",G208="",I208="",M208="",T208="",COUNTIF($A$6:$A$505,A208)&gt;1,COUNTIF($M$6:$M$505,M208)&gt;1,AND(L208="mobile",N208&lt;&gt;"invalid",OR(LEN(M208)&lt;&gt;10,LEFT(M208,2)&lt;&gt;"09"))),"REVIEW","READY")))</x:f>
      </x:c>
      <x:c r="BF208" s="238" t="str">
        <x:f>IF(BE208="","",IF(BE208="READY","",IF(B208="skip","Skipped by import_action",TRIM(IF(B208="","missing import_action; ","")&amp;IF(A208="","missing migration_customer_key; ","")&amp;IF(AND(A208&lt;&gt;"",COUNTIF($A$6:$A$505,A208)&gt;1),"duplicate migration_customer_key; ","")&amp;IF(E208="","missing branch_id; ","")&amp;IF(G208="","missing first_name; ","")&amp;IF(I208="","missing last_name; ","")&amp;IF(M208="","missing primary_phone; ","")&amp;IF(AND(M208&lt;&gt;"",COUNTIF($M$6:$M$505,M208)&gt;1),"duplicate primary_phone; ","")&amp;IF(AND(L208="mobile",N208&lt;&gt;"invalid",OR(LEN(M208)&lt;&gt;10,LEFT(M208,2)&lt;&gt;"09")),"mobile must be 09XXXXXXXX or status invalid; ","")&amp;IF(T208="","missing neighborhood_id; ","")))))</x:f>
      </x:c>
    </x:row>
    <x:row r="209">
      <x:c r="A209" s="232"/>
      <x:c r="B209" s="233"/>
      <x:c r="C209" s="234"/>
      <x:c r="D209" s="233"/>
      <x:c r="E209" s="233"/>
      <x:c r="F209" s="233"/>
      <x:c r="G209" s="233"/>
      <x:c r="H209" s="233"/>
      <x:c r="I209" s="233"/>
      <x:c r="J209" s="233"/>
      <x:c r="K209" s="233" t="str">
        <x:f>TRIM(G209&amp;" "&amp;H209&amp;" "&amp;I209&amp;IF(J209&lt;&gt;""," ("&amp;J209&amp;")",""))</x:f>
      </x:c>
      <x:c r="L209" s="233"/>
      <x:c r="M209" s="234"/>
      <x:c r="N209" s="233"/>
      <x:c r="O209" s="233"/>
      <x:c r="P209" s="233"/>
      <x:c r="Q209" s="233"/>
      <x:c r="R209" s="233"/>
      <x:c r="S209" s="233"/>
      <x:c r="T209" s="233"/>
      <x:c r="U209" s="233"/>
      <x:c r="V209" s="233"/>
      <x:c r="W209" s="235"/>
      <x:c r="X209" s="235"/>
      <x:c r="Y209" s="233"/>
      <x:c r="Z209" s="233"/>
      <x:c r="AA209" s="233"/>
      <x:c r="AB209" s="233"/>
      <x:c r="AC209" s="236"/>
      <x:c r="AD209" s="233"/>
      <x:c r="AE209" s="233"/>
      <x:c r="AF209" s="233"/>
      <x:c r="AG209" s="233"/>
      <x:c r="AH209" s="234"/>
      <x:c r="AI209" s="233"/>
      <x:c r="AJ209" s="233"/>
      <x:c r="AK209" s="233"/>
      <x:c r="AL209" s="236"/>
      <x:c r="AM209" s="233"/>
      <x:c r="AN209" s="233"/>
      <x:c r="AO209" s="234"/>
      <x:c r="AP209" s="234"/>
      <x:c r="AQ209" s="233"/>
      <x:c r="AR209" s="236"/>
      <x:c r="AS209" s="234"/>
      <x:c r="AT209" s="233"/>
      <x:c r="AU209" s="233"/>
      <x:c r="AV209" s="233"/>
      <x:c r="AW209" s="233"/>
      <x:c r="AX209" s="233"/>
      <x:c r="AY209" s="233"/>
      <x:c r="AZ209" s="236"/>
      <x:c r="BA209" s="233"/>
      <x:c r="BB209" s="233"/>
      <x:c r="BC209" s="233"/>
      <x:c r="BD209" s="233"/>
      <x:c r="BE209" s="237" t="str">
        <x:f>IF(AND(A209="",B209="",C209="",E209="",G209="",I209="",M209="",T209="",BB209="",BD209=""),"",IF(B209="skip","SKIP",IF(OR(B209="",A209="",E209="",G209="",I209="",M209="",T209="",COUNTIF($A$6:$A$505,A209)&gt;1,COUNTIF($M$6:$M$505,M209)&gt;1,AND(L209="mobile",N209&lt;&gt;"invalid",OR(LEN(M209)&lt;&gt;10,LEFT(M209,2)&lt;&gt;"09"))),"REVIEW","READY")))</x:f>
      </x:c>
      <x:c r="BF209" s="238" t="str">
        <x:f>IF(BE209="","",IF(BE209="READY","",IF(B209="skip","Skipped by import_action",TRIM(IF(B209="","missing import_action; ","")&amp;IF(A209="","missing migration_customer_key; ","")&amp;IF(AND(A209&lt;&gt;"",COUNTIF($A$6:$A$505,A209)&gt;1),"duplicate migration_customer_key; ","")&amp;IF(E209="","missing branch_id; ","")&amp;IF(G209="","missing first_name; ","")&amp;IF(I209="","missing last_name; ","")&amp;IF(M209="","missing primary_phone; ","")&amp;IF(AND(M209&lt;&gt;"",COUNTIF($M$6:$M$505,M209)&gt;1),"duplicate primary_phone; ","")&amp;IF(AND(L209="mobile",N209&lt;&gt;"invalid",OR(LEN(M209)&lt;&gt;10,LEFT(M209,2)&lt;&gt;"09")),"mobile must be 09XXXXXXXX or status invalid; ","")&amp;IF(T209="","missing neighborhood_id; ","")))))</x:f>
      </x:c>
    </x:row>
    <x:row r="210">
      <x:c r="A210" s="232"/>
      <x:c r="B210" s="233"/>
      <x:c r="C210" s="234"/>
      <x:c r="D210" s="233"/>
      <x:c r="E210" s="233"/>
      <x:c r="F210" s="233"/>
      <x:c r="G210" s="233"/>
      <x:c r="H210" s="233"/>
      <x:c r="I210" s="233"/>
      <x:c r="J210" s="233"/>
      <x:c r="K210" s="233" t="str">
        <x:f>TRIM(G210&amp;" "&amp;H210&amp;" "&amp;I210&amp;IF(J210&lt;&gt;""," ("&amp;J210&amp;")",""))</x:f>
      </x:c>
      <x:c r="L210" s="233"/>
      <x:c r="M210" s="234"/>
      <x:c r="N210" s="233"/>
      <x:c r="O210" s="233"/>
      <x:c r="P210" s="233"/>
      <x:c r="Q210" s="233"/>
      <x:c r="R210" s="233"/>
      <x:c r="S210" s="233"/>
      <x:c r="T210" s="233"/>
      <x:c r="U210" s="233"/>
      <x:c r="V210" s="233"/>
      <x:c r="W210" s="235"/>
      <x:c r="X210" s="235"/>
      <x:c r="Y210" s="233"/>
      <x:c r="Z210" s="233"/>
      <x:c r="AA210" s="233"/>
      <x:c r="AB210" s="233"/>
      <x:c r="AC210" s="236"/>
      <x:c r="AD210" s="233"/>
      <x:c r="AE210" s="233"/>
      <x:c r="AF210" s="233"/>
      <x:c r="AG210" s="233"/>
      <x:c r="AH210" s="234"/>
      <x:c r="AI210" s="233"/>
      <x:c r="AJ210" s="233"/>
      <x:c r="AK210" s="233"/>
      <x:c r="AL210" s="236"/>
      <x:c r="AM210" s="233"/>
      <x:c r="AN210" s="233"/>
      <x:c r="AO210" s="234"/>
      <x:c r="AP210" s="234"/>
      <x:c r="AQ210" s="233"/>
      <x:c r="AR210" s="236"/>
      <x:c r="AS210" s="234"/>
      <x:c r="AT210" s="233"/>
      <x:c r="AU210" s="233"/>
      <x:c r="AV210" s="233"/>
      <x:c r="AW210" s="233"/>
      <x:c r="AX210" s="233"/>
      <x:c r="AY210" s="233"/>
      <x:c r="AZ210" s="236"/>
      <x:c r="BA210" s="233"/>
      <x:c r="BB210" s="233"/>
      <x:c r="BC210" s="233"/>
      <x:c r="BD210" s="233"/>
      <x:c r="BE210" s="237" t="str">
        <x:f>IF(AND(A210="",B210="",C210="",E210="",G210="",I210="",M210="",T210="",BB210="",BD210=""),"",IF(B210="skip","SKIP",IF(OR(B210="",A210="",E210="",G210="",I210="",M210="",T210="",COUNTIF($A$6:$A$505,A210)&gt;1,COUNTIF($M$6:$M$505,M210)&gt;1,AND(L210="mobile",N210&lt;&gt;"invalid",OR(LEN(M210)&lt;&gt;10,LEFT(M210,2)&lt;&gt;"09"))),"REVIEW","READY")))</x:f>
      </x:c>
      <x:c r="BF210" s="238" t="str">
        <x:f>IF(BE210="","",IF(BE210="READY","",IF(B210="skip","Skipped by import_action",TRIM(IF(B210="","missing import_action; ","")&amp;IF(A210="","missing migration_customer_key; ","")&amp;IF(AND(A210&lt;&gt;"",COUNTIF($A$6:$A$505,A210)&gt;1),"duplicate migration_customer_key; ","")&amp;IF(E210="","missing branch_id; ","")&amp;IF(G210="","missing first_name; ","")&amp;IF(I210="","missing last_name; ","")&amp;IF(M210="","missing primary_phone; ","")&amp;IF(AND(M210&lt;&gt;"",COUNTIF($M$6:$M$505,M210)&gt;1),"duplicate primary_phone; ","")&amp;IF(AND(L210="mobile",N210&lt;&gt;"invalid",OR(LEN(M210)&lt;&gt;10,LEFT(M210,2)&lt;&gt;"09")),"mobile must be 09XXXXXXXX or status invalid; ","")&amp;IF(T210="","missing neighborhood_id; ","")))))</x:f>
      </x:c>
    </x:row>
    <x:row r="211">
      <x:c r="A211" s="232"/>
      <x:c r="B211" s="233"/>
      <x:c r="C211" s="234"/>
      <x:c r="D211" s="233"/>
      <x:c r="E211" s="233"/>
      <x:c r="F211" s="233"/>
      <x:c r="G211" s="233"/>
      <x:c r="H211" s="233"/>
      <x:c r="I211" s="233"/>
      <x:c r="J211" s="233"/>
      <x:c r="K211" s="233" t="str">
        <x:f>TRIM(G211&amp;" "&amp;H211&amp;" "&amp;I211&amp;IF(J211&lt;&gt;""," ("&amp;J211&amp;")",""))</x:f>
      </x:c>
      <x:c r="L211" s="233"/>
      <x:c r="M211" s="234"/>
      <x:c r="N211" s="233"/>
      <x:c r="O211" s="233"/>
      <x:c r="P211" s="233"/>
      <x:c r="Q211" s="233"/>
      <x:c r="R211" s="233"/>
      <x:c r="S211" s="233"/>
      <x:c r="T211" s="233"/>
      <x:c r="U211" s="233"/>
      <x:c r="V211" s="233"/>
      <x:c r="W211" s="235"/>
      <x:c r="X211" s="235"/>
      <x:c r="Y211" s="233"/>
      <x:c r="Z211" s="233"/>
      <x:c r="AA211" s="233"/>
      <x:c r="AB211" s="233"/>
      <x:c r="AC211" s="236"/>
      <x:c r="AD211" s="233"/>
      <x:c r="AE211" s="233"/>
      <x:c r="AF211" s="233"/>
      <x:c r="AG211" s="233"/>
      <x:c r="AH211" s="234"/>
      <x:c r="AI211" s="233"/>
      <x:c r="AJ211" s="233"/>
      <x:c r="AK211" s="233"/>
      <x:c r="AL211" s="236"/>
      <x:c r="AM211" s="233"/>
      <x:c r="AN211" s="233"/>
      <x:c r="AO211" s="234"/>
      <x:c r="AP211" s="234"/>
      <x:c r="AQ211" s="233"/>
      <x:c r="AR211" s="236"/>
      <x:c r="AS211" s="234"/>
      <x:c r="AT211" s="233"/>
      <x:c r="AU211" s="233"/>
      <x:c r="AV211" s="233"/>
      <x:c r="AW211" s="233"/>
      <x:c r="AX211" s="233"/>
      <x:c r="AY211" s="233"/>
      <x:c r="AZ211" s="236"/>
      <x:c r="BA211" s="233"/>
      <x:c r="BB211" s="233"/>
      <x:c r="BC211" s="233"/>
      <x:c r="BD211" s="233"/>
      <x:c r="BE211" s="237" t="str">
        <x:f>IF(AND(A211="",B211="",C211="",E211="",G211="",I211="",M211="",T211="",BB211="",BD211=""),"",IF(B211="skip","SKIP",IF(OR(B211="",A211="",E211="",G211="",I211="",M211="",T211="",COUNTIF($A$6:$A$505,A211)&gt;1,COUNTIF($M$6:$M$505,M211)&gt;1,AND(L211="mobile",N211&lt;&gt;"invalid",OR(LEN(M211)&lt;&gt;10,LEFT(M211,2)&lt;&gt;"09"))),"REVIEW","READY")))</x:f>
      </x:c>
      <x:c r="BF211" s="238" t="str">
        <x:f>IF(BE211="","",IF(BE211="READY","",IF(B211="skip","Skipped by import_action",TRIM(IF(B211="","missing import_action; ","")&amp;IF(A211="","missing migration_customer_key; ","")&amp;IF(AND(A211&lt;&gt;"",COUNTIF($A$6:$A$505,A211)&gt;1),"duplicate migration_customer_key; ","")&amp;IF(E211="","missing branch_id; ","")&amp;IF(G211="","missing first_name; ","")&amp;IF(I211="","missing last_name; ","")&amp;IF(M211="","missing primary_phone; ","")&amp;IF(AND(M211&lt;&gt;"",COUNTIF($M$6:$M$505,M211)&gt;1),"duplicate primary_phone; ","")&amp;IF(AND(L211="mobile",N211&lt;&gt;"invalid",OR(LEN(M211)&lt;&gt;10,LEFT(M211,2)&lt;&gt;"09")),"mobile must be 09XXXXXXXX or status invalid; ","")&amp;IF(T211="","missing neighborhood_id; ","")))))</x:f>
      </x:c>
    </x:row>
    <x:row r="212">
      <x:c r="A212" s="232"/>
      <x:c r="B212" s="233"/>
      <x:c r="C212" s="234"/>
      <x:c r="D212" s="233"/>
      <x:c r="E212" s="233"/>
      <x:c r="F212" s="233"/>
      <x:c r="G212" s="233"/>
      <x:c r="H212" s="233"/>
      <x:c r="I212" s="233"/>
      <x:c r="J212" s="233"/>
      <x:c r="K212" s="233" t="str">
        <x:f>TRIM(G212&amp;" "&amp;H212&amp;" "&amp;I212&amp;IF(J212&lt;&gt;""," ("&amp;J212&amp;")",""))</x:f>
      </x:c>
      <x:c r="L212" s="233"/>
      <x:c r="M212" s="234"/>
      <x:c r="N212" s="233"/>
      <x:c r="O212" s="233"/>
      <x:c r="P212" s="233"/>
      <x:c r="Q212" s="233"/>
      <x:c r="R212" s="233"/>
      <x:c r="S212" s="233"/>
      <x:c r="T212" s="233"/>
      <x:c r="U212" s="233"/>
      <x:c r="V212" s="233"/>
      <x:c r="W212" s="235"/>
      <x:c r="X212" s="235"/>
      <x:c r="Y212" s="233"/>
      <x:c r="Z212" s="233"/>
      <x:c r="AA212" s="233"/>
      <x:c r="AB212" s="233"/>
      <x:c r="AC212" s="236"/>
      <x:c r="AD212" s="233"/>
      <x:c r="AE212" s="233"/>
      <x:c r="AF212" s="233"/>
      <x:c r="AG212" s="233"/>
      <x:c r="AH212" s="234"/>
      <x:c r="AI212" s="233"/>
      <x:c r="AJ212" s="233"/>
      <x:c r="AK212" s="233"/>
      <x:c r="AL212" s="236"/>
      <x:c r="AM212" s="233"/>
      <x:c r="AN212" s="233"/>
      <x:c r="AO212" s="234"/>
      <x:c r="AP212" s="234"/>
      <x:c r="AQ212" s="233"/>
      <x:c r="AR212" s="236"/>
      <x:c r="AS212" s="234"/>
      <x:c r="AT212" s="233"/>
      <x:c r="AU212" s="233"/>
      <x:c r="AV212" s="233"/>
      <x:c r="AW212" s="233"/>
      <x:c r="AX212" s="233"/>
      <x:c r="AY212" s="233"/>
      <x:c r="AZ212" s="236"/>
      <x:c r="BA212" s="233"/>
      <x:c r="BB212" s="233"/>
      <x:c r="BC212" s="233"/>
      <x:c r="BD212" s="233"/>
      <x:c r="BE212" s="237" t="str">
        <x:f>IF(AND(A212="",B212="",C212="",E212="",G212="",I212="",M212="",T212="",BB212="",BD212=""),"",IF(B212="skip","SKIP",IF(OR(B212="",A212="",E212="",G212="",I212="",M212="",T212="",COUNTIF($A$6:$A$505,A212)&gt;1,COUNTIF($M$6:$M$505,M212)&gt;1,AND(L212="mobile",N212&lt;&gt;"invalid",OR(LEN(M212)&lt;&gt;10,LEFT(M212,2)&lt;&gt;"09"))),"REVIEW","READY")))</x:f>
      </x:c>
      <x:c r="BF212" s="238" t="str">
        <x:f>IF(BE212="","",IF(BE212="READY","",IF(B212="skip","Skipped by import_action",TRIM(IF(B212="","missing import_action; ","")&amp;IF(A212="","missing migration_customer_key; ","")&amp;IF(AND(A212&lt;&gt;"",COUNTIF($A$6:$A$505,A212)&gt;1),"duplicate migration_customer_key; ","")&amp;IF(E212="","missing branch_id; ","")&amp;IF(G212="","missing first_name; ","")&amp;IF(I212="","missing last_name; ","")&amp;IF(M212="","missing primary_phone; ","")&amp;IF(AND(M212&lt;&gt;"",COUNTIF($M$6:$M$505,M212)&gt;1),"duplicate primary_phone; ","")&amp;IF(AND(L212="mobile",N212&lt;&gt;"invalid",OR(LEN(M212)&lt;&gt;10,LEFT(M212,2)&lt;&gt;"09")),"mobile must be 09XXXXXXXX or status invalid; ","")&amp;IF(T212="","missing neighborhood_id; ","")))))</x:f>
      </x:c>
    </x:row>
    <x:row r="213">
      <x:c r="A213" s="232"/>
      <x:c r="B213" s="233"/>
      <x:c r="C213" s="234"/>
      <x:c r="D213" s="233"/>
      <x:c r="E213" s="233"/>
      <x:c r="F213" s="233"/>
      <x:c r="G213" s="233"/>
      <x:c r="H213" s="233"/>
      <x:c r="I213" s="233"/>
      <x:c r="J213" s="233"/>
      <x:c r="K213" s="233" t="str">
        <x:f>TRIM(G213&amp;" "&amp;H213&amp;" "&amp;I213&amp;IF(J213&lt;&gt;""," ("&amp;J213&amp;")",""))</x:f>
      </x:c>
      <x:c r="L213" s="233"/>
      <x:c r="M213" s="234"/>
      <x:c r="N213" s="233"/>
      <x:c r="O213" s="233"/>
      <x:c r="P213" s="233"/>
      <x:c r="Q213" s="233"/>
      <x:c r="R213" s="233"/>
      <x:c r="S213" s="233"/>
      <x:c r="T213" s="233"/>
      <x:c r="U213" s="233"/>
      <x:c r="V213" s="233"/>
      <x:c r="W213" s="235"/>
      <x:c r="X213" s="235"/>
      <x:c r="Y213" s="233"/>
      <x:c r="Z213" s="233"/>
      <x:c r="AA213" s="233"/>
      <x:c r="AB213" s="233"/>
      <x:c r="AC213" s="236"/>
      <x:c r="AD213" s="233"/>
      <x:c r="AE213" s="233"/>
      <x:c r="AF213" s="233"/>
      <x:c r="AG213" s="233"/>
      <x:c r="AH213" s="234"/>
      <x:c r="AI213" s="233"/>
      <x:c r="AJ213" s="233"/>
      <x:c r="AK213" s="233"/>
      <x:c r="AL213" s="236"/>
      <x:c r="AM213" s="233"/>
      <x:c r="AN213" s="233"/>
      <x:c r="AO213" s="234"/>
      <x:c r="AP213" s="234"/>
      <x:c r="AQ213" s="233"/>
      <x:c r="AR213" s="236"/>
      <x:c r="AS213" s="234"/>
      <x:c r="AT213" s="233"/>
      <x:c r="AU213" s="233"/>
      <x:c r="AV213" s="233"/>
      <x:c r="AW213" s="233"/>
      <x:c r="AX213" s="233"/>
      <x:c r="AY213" s="233"/>
      <x:c r="AZ213" s="236"/>
      <x:c r="BA213" s="233"/>
      <x:c r="BB213" s="233"/>
      <x:c r="BC213" s="233"/>
      <x:c r="BD213" s="233"/>
      <x:c r="BE213" s="237" t="str">
        <x:f>IF(AND(A213="",B213="",C213="",E213="",G213="",I213="",M213="",T213="",BB213="",BD213=""),"",IF(B213="skip","SKIP",IF(OR(B213="",A213="",E213="",G213="",I213="",M213="",T213="",COUNTIF($A$6:$A$505,A213)&gt;1,COUNTIF($M$6:$M$505,M213)&gt;1,AND(L213="mobile",N213&lt;&gt;"invalid",OR(LEN(M213)&lt;&gt;10,LEFT(M213,2)&lt;&gt;"09"))),"REVIEW","READY")))</x:f>
      </x:c>
      <x:c r="BF213" s="238" t="str">
        <x:f>IF(BE213="","",IF(BE213="READY","",IF(B213="skip","Skipped by import_action",TRIM(IF(B213="","missing import_action; ","")&amp;IF(A213="","missing migration_customer_key; ","")&amp;IF(AND(A213&lt;&gt;"",COUNTIF($A$6:$A$505,A213)&gt;1),"duplicate migration_customer_key; ","")&amp;IF(E213="","missing branch_id; ","")&amp;IF(G213="","missing first_name; ","")&amp;IF(I213="","missing last_name; ","")&amp;IF(M213="","missing primary_phone; ","")&amp;IF(AND(M213&lt;&gt;"",COUNTIF($M$6:$M$505,M213)&gt;1),"duplicate primary_phone; ","")&amp;IF(AND(L213="mobile",N213&lt;&gt;"invalid",OR(LEN(M213)&lt;&gt;10,LEFT(M213,2)&lt;&gt;"09")),"mobile must be 09XXXXXXXX or status invalid; ","")&amp;IF(T213="","missing neighborhood_id; ","")))))</x:f>
      </x:c>
    </x:row>
    <x:row r="214">
      <x:c r="A214" s="232"/>
      <x:c r="B214" s="233"/>
      <x:c r="C214" s="234"/>
      <x:c r="D214" s="233"/>
      <x:c r="E214" s="233"/>
      <x:c r="F214" s="233"/>
      <x:c r="G214" s="233"/>
      <x:c r="H214" s="233"/>
      <x:c r="I214" s="233"/>
      <x:c r="J214" s="233"/>
      <x:c r="K214" s="233" t="str">
        <x:f>TRIM(G214&amp;" "&amp;H214&amp;" "&amp;I214&amp;IF(J214&lt;&gt;""," ("&amp;J214&amp;")",""))</x:f>
      </x:c>
      <x:c r="L214" s="233"/>
      <x:c r="M214" s="234"/>
      <x:c r="N214" s="233"/>
      <x:c r="O214" s="233"/>
      <x:c r="P214" s="233"/>
      <x:c r="Q214" s="233"/>
      <x:c r="R214" s="233"/>
      <x:c r="S214" s="233"/>
      <x:c r="T214" s="233"/>
      <x:c r="U214" s="233"/>
      <x:c r="V214" s="233"/>
      <x:c r="W214" s="235"/>
      <x:c r="X214" s="235"/>
      <x:c r="Y214" s="233"/>
      <x:c r="Z214" s="233"/>
      <x:c r="AA214" s="233"/>
      <x:c r="AB214" s="233"/>
      <x:c r="AC214" s="236"/>
      <x:c r="AD214" s="233"/>
      <x:c r="AE214" s="233"/>
      <x:c r="AF214" s="233"/>
      <x:c r="AG214" s="233"/>
      <x:c r="AH214" s="234"/>
      <x:c r="AI214" s="233"/>
      <x:c r="AJ214" s="233"/>
      <x:c r="AK214" s="233"/>
      <x:c r="AL214" s="236"/>
      <x:c r="AM214" s="233"/>
      <x:c r="AN214" s="233"/>
      <x:c r="AO214" s="234"/>
      <x:c r="AP214" s="234"/>
      <x:c r="AQ214" s="233"/>
      <x:c r="AR214" s="236"/>
      <x:c r="AS214" s="234"/>
      <x:c r="AT214" s="233"/>
      <x:c r="AU214" s="233"/>
      <x:c r="AV214" s="233"/>
      <x:c r="AW214" s="233"/>
      <x:c r="AX214" s="233"/>
      <x:c r="AY214" s="233"/>
      <x:c r="AZ214" s="236"/>
      <x:c r="BA214" s="233"/>
      <x:c r="BB214" s="233"/>
      <x:c r="BC214" s="233"/>
      <x:c r="BD214" s="233"/>
      <x:c r="BE214" s="237" t="str">
        <x:f>IF(AND(A214="",B214="",C214="",E214="",G214="",I214="",M214="",T214="",BB214="",BD214=""),"",IF(B214="skip","SKIP",IF(OR(B214="",A214="",E214="",G214="",I214="",M214="",T214="",COUNTIF($A$6:$A$505,A214)&gt;1,COUNTIF($M$6:$M$505,M214)&gt;1,AND(L214="mobile",N214&lt;&gt;"invalid",OR(LEN(M214)&lt;&gt;10,LEFT(M214,2)&lt;&gt;"09"))),"REVIEW","READY")))</x:f>
      </x:c>
      <x:c r="BF214" s="238" t="str">
        <x:f>IF(BE214="","",IF(BE214="READY","",IF(B214="skip","Skipped by import_action",TRIM(IF(B214="","missing import_action; ","")&amp;IF(A214="","missing migration_customer_key; ","")&amp;IF(AND(A214&lt;&gt;"",COUNTIF($A$6:$A$505,A214)&gt;1),"duplicate migration_customer_key; ","")&amp;IF(E214="","missing branch_id; ","")&amp;IF(G214="","missing first_name; ","")&amp;IF(I214="","missing last_name; ","")&amp;IF(M214="","missing primary_phone; ","")&amp;IF(AND(M214&lt;&gt;"",COUNTIF($M$6:$M$505,M214)&gt;1),"duplicate primary_phone; ","")&amp;IF(AND(L214="mobile",N214&lt;&gt;"invalid",OR(LEN(M214)&lt;&gt;10,LEFT(M214,2)&lt;&gt;"09")),"mobile must be 09XXXXXXXX or status invalid; ","")&amp;IF(T214="","missing neighborhood_id; ","")))))</x:f>
      </x:c>
    </x:row>
    <x:row r="215">
      <x:c r="A215" s="232"/>
      <x:c r="B215" s="233"/>
      <x:c r="C215" s="234"/>
      <x:c r="D215" s="233"/>
      <x:c r="E215" s="233"/>
      <x:c r="F215" s="233"/>
      <x:c r="G215" s="233"/>
      <x:c r="H215" s="233"/>
      <x:c r="I215" s="233"/>
      <x:c r="J215" s="233"/>
      <x:c r="K215" s="233" t="str">
        <x:f>TRIM(G215&amp;" "&amp;H215&amp;" "&amp;I215&amp;IF(J215&lt;&gt;""," ("&amp;J215&amp;")",""))</x:f>
      </x:c>
      <x:c r="L215" s="233"/>
      <x:c r="M215" s="234"/>
      <x:c r="N215" s="233"/>
      <x:c r="O215" s="233"/>
      <x:c r="P215" s="233"/>
      <x:c r="Q215" s="233"/>
      <x:c r="R215" s="233"/>
      <x:c r="S215" s="233"/>
      <x:c r="T215" s="233"/>
      <x:c r="U215" s="233"/>
      <x:c r="V215" s="233"/>
      <x:c r="W215" s="235"/>
      <x:c r="X215" s="235"/>
      <x:c r="Y215" s="233"/>
      <x:c r="Z215" s="233"/>
      <x:c r="AA215" s="233"/>
      <x:c r="AB215" s="233"/>
      <x:c r="AC215" s="236"/>
      <x:c r="AD215" s="233"/>
      <x:c r="AE215" s="233"/>
      <x:c r="AF215" s="233"/>
      <x:c r="AG215" s="233"/>
      <x:c r="AH215" s="234"/>
      <x:c r="AI215" s="233"/>
      <x:c r="AJ215" s="233"/>
      <x:c r="AK215" s="233"/>
      <x:c r="AL215" s="236"/>
      <x:c r="AM215" s="233"/>
      <x:c r="AN215" s="233"/>
      <x:c r="AO215" s="234"/>
      <x:c r="AP215" s="234"/>
      <x:c r="AQ215" s="233"/>
      <x:c r="AR215" s="236"/>
      <x:c r="AS215" s="234"/>
      <x:c r="AT215" s="233"/>
      <x:c r="AU215" s="233"/>
      <x:c r="AV215" s="233"/>
      <x:c r="AW215" s="233"/>
      <x:c r="AX215" s="233"/>
      <x:c r="AY215" s="233"/>
      <x:c r="AZ215" s="236"/>
      <x:c r="BA215" s="233"/>
      <x:c r="BB215" s="233"/>
      <x:c r="BC215" s="233"/>
      <x:c r="BD215" s="233"/>
      <x:c r="BE215" s="237" t="str">
        <x:f>IF(AND(A215="",B215="",C215="",E215="",G215="",I215="",M215="",T215="",BB215="",BD215=""),"",IF(B215="skip","SKIP",IF(OR(B215="",A215="",E215="",G215="",I215="",M215="",T215="",COUNTIF($A$6:$A$505,A215)&gt;1,COUNTIF($M$6:$M$505,M215)&gt;1,AND(L215="mobile",N215&lt;&gt;"invalid",OR(LEN(M215)&lt;&gt;10,LEFT(M215,2)&lt;&gt;"09"))),"REVIEW","READY")))</x:f>
      </x:c>
      <x:c r="BF215" s="238" t="str">
        <x:f>IF(BE215="","",IF(BE215="READY","",IF(B215="skip","Skipped by import_action",TRIM(IF(B215="","missing import_action; ","")&amp;IF(A215="","missing migration_customer_key; ","")&amp;IF(AND(A215&lt;&gt;"",COUNTIF($A$6:$A$505,A215)&gt;1),"duplicate migration_customer_key; ","")&amp;IF(E215="","missing branch_id; ","")&amp;IF(G215="","missing first_name; ","")&amp;IF(I215="","missing last_name; ","")&amp;IF(M215="","missing primary_phone; ","")&amp;IF(AND(M215&lt;&gt;"",COUNTIF($M$6:$M$505,M215)&gt;1),"duplicate primary_phone; ","")&amp;IF(AND(L215="mobile",N215&lt;&gt;"invalid",OR(LEN(M215)&lt;&gt;10,LEFT(M215,2)&lt;&gt;"09")),"mobile must be 09XXXXXXXX or status invalid; ","")&amp;IF(T215="","missing neighborhood_id; ","")))))</x:f>
      </x:c>
    </x:row>
    <x:row r="216">
      <x:c r="A216" s="232"/>
      <x:c r="B216" s="233"/>
      <x:c r="C216" s="234"/>
      <x:c r="D216" s="233"/>
      <x:c r="E216" s="233"/>
      <x:c r="F216" s="233"/>
      <x:c r="G216" s="233"/>
      <x:c r="H216" s="233"/>
      <x:c r="I216" s="233"/>
      <x:c r="J216" s="233"/>
      <x:c r="K216" s="233" t="str">
        <x:f>TRIM(G216&amp;" "&amp;H216&amp;" "&amp;I216&amp;IF(J216&lt;&gt;""," ("&amp;J216&amp;")",""))</x:f>
      </x:c>
      <x:c r="L216" s="233"/>
      <x:c r="M216" s="234"/>
      <x:c r="N216" s="233"/>
      <x:c r="O216" s="233"/>
      <x:c r="P216" s="233"/>
      <x:c r="Q216" s="233"/>
      <x:c r="R216" s="233"/>
      <x:c r="S216" s="233"/>
      <x:c r="T216" s="233"/>
      <x:c r="U216" s="233"/>
      <x:c r="V216" s="233"/>
      <x:c r="W216" s="235"/>
      <x:c r="X216" s="235"/>
      <x:c r="Y216" s="233"/>
      <x:c r="Z216" s="233"/>
      <x:c r="AA216" s="233"/>
      <x:c r="AB216" s="233"/>
      <x:c r="AC216" s="236"/>
      <x:c r="AD216" s="233"/>
      <x:c r="AE216" s="233"/>
      <x:c r="AF216" s="233"/>
      <x:c r="AG216" s="233"/>
      <x:c r="AH216" s="234"/>
      <x:c r="AI216" s="233"/>
      <x:c r="AJ216" s="233"/>
      <x:c r="AK216" s="233"/>
      <x:c r="AL216" s="236"/>
      <x:c r="AM216" s="233"/>
      <x:c r="AN216" s="233"/>
      <x:c r="AO216" s="234"/>
      <x:c r="AP216" s="234"/>
      <x:c r="AQ216" s="233"/>
      <x:c r="AR216" s="236"/>
      <x:c r="AS216" s="234"/>
      <x:c r="AT216" s="233"/>
      <x:c r="AU216" s="233"/>
      <x:c r="AV216" s="233"/>
      <x:c r="AW216" s="233"/>
      <x:c r="AX216" s="233"/>
      <x:c r="AY216" s="233"/>
      <x:c r="AZ216" s="236"/>
      <x:c r="BA216" s="233"/>
      <x:c r="BB216" s="233"/>
      <x:c r="BC216" s="233"/>
      <x:c r="BD216" s="233"/>
      <x:c r="BE216" s="237" t="str">
        <x:f>IF(AND(A216="",B216="",C216="",E216="",G216="",I216="",M216="",T216="",BB216="",BD216=""),"",IF(B216="skip","SKIP",IF(OR(B216="",A216="",E216="",G216="",I216="",M216="",T216="",COUNTIF($A$6:$A$505,A216)&gt;1,COUNTIF($M$6:$M$505,M216)&gt;1,AND(L216="mobile",N216&lt;&gt;"invalid",OR(LEN(M216)&lt;&gt;10,LEFT(M216,2)&lt;&gt;"09"))),"REVIEW","READY")))</x:f>
      </x:c>
      <x:c r="BF216" s="238" t="str">
        <x:f>IF(BE216="","",IF(BE216="READY","",IF(B216="skip","Skipped by import_action",TRIM(IF(B216="","missing import_action; ","")&amp;IF(A216="","missing migration_customer_key; ","")&amp;IF(AND(A216&lt;&gt;"",COUNTIF($A$6:$A$505,A216)&gt;1),"duplicate migration_customer_key; ","")&amp;IF(E216="","missing branch_id; ","")&amp;IF(G216="","missing first_name; ","")&amp;IF(I216="","missing last_name; ","")&amp;IF(M216="","missing primary_phone; ","")&amp;IF(AND(M216&lt;&gt;"",COUNTIF($M$6:$M$505,M216)&gt;1),"duplicate primary_phone; ","")&amp;IF(AND(L216="mobile",N216&lt;&gt;"invalid",OR(LEN(M216)&lt;&gt;10,LEFT(M216,2)&lt;&gt;"09")),"mobile must be 09XXXXXXXX or status invalid; ","")&amp;IF(T216="","missing neighborhood_id; ","")))))</x:f>
      </x:c>
    </x:row>
    <x:row r="217">
      <x:c r="A217" s="232"/>
      <x:c r="B217" s="233"/>
      <x:c r="C217" s="234"/>
      <x:c r="D217" s="233"/>
      <x:c r="E217" s="233"/>
      <x:c r="F217" s="233"/>
      <x:c r="G217" s="233"/>
      <x:c r="H217" s="233"/>
      <x:c r="I217" s="233"/>
      <x:c r="J217" s="233"/>
      <x:c r="K217" s="233" t="str">
        <x:f>TRIM(G217&amp;" "&amp;H217&amp;" "&amp;I217&amp;IF(J217&lt;&gt;""," ("&amp;J217&amp;")",""))</x:f>
      </x:c>
      <x:c r="L217" s="233"/>
      <x:c r="M217" s="234"/>
      <x:c r="N217" s="233"/>
      <x:c r="O217" s="233"/>
      <x:c r="P217" s="233"/>
      <x:c r="Q217" s="233"/>
      <x:c r="R217" s="233"/>
      <x:c r="S217" s="233"/>
      <x:c r="T217" s="233"/>
      <x:c r="U217" s="233"/>
      <x:c r="V217" s="233"/>
      <x:c r="W217" s="235"/>
      <x:c r="X217" s="235"/>
      <x:c r="Y217" s="233"/>
      <x:c r="Z217" s="233"/>
      <x:c r="AA217" s="233"/>
      <x:c r="AB217" s="233"/>
      <x:c r="AC217" s="236"/>
      <x:c r="AD217" s="233"/>
      <x:c r="AE217" s="233"/>
      <x:c r="AF217" s="233"/>
      <x:c r="AG217" s="233"/>
      <x:c r="AH217" s="234"/>
      <x:c r="AI217" s="233"/>
      <x:c r="AJ217" s="233"/>
      <x:c r="AK217" s="233"/>
      <x:c r="AL217" s="236"/>
      <x:c r="AM217" s="233"/>
      <x:c r="AN217" s="233"/>
      <x:c r="AO217" s="234"/>
      <x:c r="AP217" s="234"/>
      <x:c r="AQ217" s="233"/>
      <x:c r="AR217" s="236"/>
      <x:c r="AS217" s="234"/>
      <x:c r="AT217" s="233"/>
      <x:c r="AU217" s="233"/>
      <x:c r="AV217" s="233"/>
      <x:c r="AW217" s="233"/>
      <x:c r="AX217" s="233"/>
      <x:c r="AY217" s="233"/>
      <x:c r="AZ217" s="236"/>
      <x:c r="BA217" s="233"/>
      <x:c r="BB217" s="233"/>
      <x:c r="BC217" s="233"/>
      <x:c r="BD217" s="233"/>
      <x:c r="BE217" s="237" t="str">
        <x:f>IF(AND(A217="",B217="",C217="",E217="",G217="",I217="",M217="",T217="",BB217="",BD217=""),"",IF(B217="skip","SKIP",IF(OR(B217="",A217="",E217="",G217="",I217="",M217="",T217="",COUNTIF($A$6:$A$505,A217)&gt;1,COUNTIF($M$6:$M$505,M217)&gt;1,AND(L217="mobile",N217&lt;&gt;"invalid",OR(LEN(M217)&lt;&gt;10,LEFT(M217,2)&lt;&gt;"09"))),"REVIEW","READY")))</x:f>
      </x:c>
      <x:c r="BF217" s="238" t="str">
        <x:f>IF(BE217="","",IF(BE217="READY","",IF(B217="skip","Skipped by import_action",TRIM(IF(B217="","missing import_action; ","")&amp;IF(A217="","missing migration_customer_key; ","")&amp;IF(AND(A217&lt;&gt;"",COUNTIF($A$6:$A$505,A217)&gt;1),"duplicate migration_customer_key; ","")&amp;IF(E217="","missing branch_id; ","")&amp;IF(G217="","missing first_name; ","")&amp;IF(I217="","missing last_name; ","")&amp;IF(M217="","missing primary_phone; ","")&amp;IF(AND(M217&lt;&gt;"",COUNTIF($M$6:$M$505,M217)&gt;1),"duplicate primary_phone; ","")&amp;IF(AND(L217="mobile",N217&lt;&gt;"invalid",OR(LEN(M217)&lt;&gt;10,LEFT(M217,2)&lt;&gt;"09")),"mobile must be 09XXXXXXXX or status invalid; ","")&amp;IF(T217="","missing neighborhood_id; ","")))))</x:f>
      </x:c>
    </x:row>
    <x:row r="218">
      <x:c r="A218" s="232"/>
      <x:c r="B218" s="233"/>
      <x:c r="C218" s="234"/>
      <x:c r="D218" s="233"/>
      <x:c r="E218" s="233"/>
      <x:c r="F218" s="233"/>
      <x:c r="G218" s="233"/>
      <x:c r="H218" s="233"/>
      <x:c r="I218" s="233"/>
      <x:c r="J218" s="233"/>
      <x:c r="K218" s="233" t="str">
        <x:f>TRIM(G218&amp;" "&amp;H218&amp;" "&amp;I218&amp;IF(J218&lt;&gt;""," ("&amp;J218&amp;")",""))</x:f>
      </x:c>
      <x:c r="L218" s="233"/>
      <x:c r="M218" s="234"/>
      <x:c r="N218" s="233"/>
      <x:c r="O218" s="233"/>
      <x:c r="P218" s="233"/>
      <x:c r="Q218" s="233"/>
      <x:c r="R218" s="233"/>
      <x:c r="S218" s="233"/>
      <x:c r="T218" s="233"/>
      <x:c r="U218" s="233"/>
      <x:c r="V218" s="233"/>
      <x:c r="W218" s="235"/>
      <x:c r="X218" s="235"/>
      <x:c r="Y218" s="233"/>
      <x:c r="Z218" s="233"/>
      <x:c r="AA218" s="233"/>
      <x:c r="AB218" s="233"/>
      <x:c r="AC218" s="236"/>
      <x:c r="AD218" s="233"/>
      <x:c r="AE218" s="233"/>
      <x:c r="AF218" s="233"/>
      <x:c r="AG218" s="233"/>
      <x:c r="AH218" s="234"/>
      <x:c r="AI218" s="233"/>
      <x:c r="AJ218" s="233"/>
      <x:c r="AK218" s="233"/>
      <x:c r="AL218" s="236"/>
      <x:c r="AM218" s="233"/>
      <x:c r="AN218" s="233"/>
      <x:c r="AO218" s="234"/>
      <x:c r="AP218" s="234"/>
      <x:c r="AQ218" s="233"/>
      <x:c r="AR218" s="236"/>
      <x:c r="AS218" s="234"/>
      <x:c r="AT218" s="233"/>
      <x:c r="AU218" s="233"/>
      <x:c r="AV218" s="233"/>
      <x:c r="AW218" s="233"/>
      <x:c r="AX218" s="233"/>
      <x:c r="AY218" s="233"/>
      <x:c r="AZ218" s="236"/>
      <x:c r="BA218" s="233"/>
      <x:c r="BB218" s="233"/>
      <x:c r="BC218" s="233"/>
      <x:c r="BD218" s="233"/>
      <x:c r="BE218" s="237" t="str">
        <x:f>IF(AND(A218="",B218="",C218="",E218="",G218="",I218="",M218="",T218="",BB218="",BD218=""),"",IF(B218="skip","SKIP",IF(OR(B218="",A218="",E218="",G218="",I218="",M218="",T218="",COUNTIF($A$6:$A$505,A218)&gt;1,COUNTIF($M$6:$M$505,M218)&gt;1,AND(L218="mobile",N218&lt;&gt;"invalid",OR(LEN(M218)&lt;&gt;10,LEFT(M218,2)&lt;&gt;"09"))),"REVIEW","READY")))</x:f>
      </x:c>
      <x:c r="BF218" s="238" t="str">
        <x:f>IF(BE218="","",IF(BE218="READY","",IF(B218="skip","Skipped by import_action",TRIM(IF(B218="","missing import_action; ","")&amp;IF(A218="","missing migration_customer_key; ","")&amp;IF(AND(A218&lt;&gt;"",COUNTIF($A$6:$A$505,A218)&gt;1),"duplicate migration_customer_key; ","")&amp;IF(E218="","missing branch_id; ","")&amp;IF(G218="","missing first_name; ","")&amp;IF(I218="","missing last_name; ","")&amp;IF(M218="","missing primary_phone; ","")&amp;IF(AND(M218&lt;&gt;"",COUNTIF($M$6:$M$505,M218)&gt;1),"duplicate primary_phone; ","")&amp;IF(AND(L218="mobile",N218&lt;&gt;"invalid",OR(LEN(M218)&lt;&gt;10,LEFT(M218,2)&lt;&gt;"09")),"mobile must be 09XXXXXXXX or status invalid; ","")&amp;IF(T218="","missing neighborhood_id; ","")))))</x:f>
      </x:c>
    </x:row>
    <x:row r="219">
      <x:c r="A219" s="232"/>
      <x:c r="B219" s="233"/>
      <x:c r="C219" s="234"/>
      <x:c r="D219" s="233"/>
      <x:c r="E219" s="233"/>
      <x:c r="F219" s="233"/>
      <x:c r="G219" s="233"/>
      <x:c r="H219" s="233"/>
      <x:c r="I219" s="233"/>
      <x:c r="J219" s="233"/>
      <x:c r="K219" s="233" t="str">
        <x:f>TRIM(G219&amp;" "&amp;H219&amp;" "&amp;I219&amp;IF(J219&lt;&gt;""," ("&amp;J219&amp;")",""))</x:f>
      </x:c>
      <x:c r="L219" s="233"/>
      <x:c r="M219" s="234"/>
      <x:c r="N219" s="233"/>
      <x:c r="O219" s="233"/>
      <x:c r="P219" s="233"/>
      <x:c r="Q219" s="233"/>
      <x:c r="R219" s="233"/>
      <x:c r="S219" s="233"/>
      <x:c r="T219" s="233"/>
      <x:c r="U219" s="233"/>
      <x:c r="V219" s="233"/>
      <x:c r="W219" s="235"/>
      <x:c r="X219" s="235"/>
      <x:c r="Y219" s="233"/>
      <x:c r="Z219" s="233"/>
      <x:c r="AA219" s="233"/>
      <x:c r="AB219" s="233"/>
      <x:c r="AC219" s="236"/>
      <x:c r="AD219" s="233"/>
      <x:c r="AE219" s="233"/>
      <x:c r="AF219" s="233"/>
      <x:c r="AG219" s="233"/>
      <x:c r="AH219" s="234"/>
      <x:c r="AI219" s="233"/>
      <x:c r="AJ219" s="233"/>
      <x:c r="AK219" s="233"/>
      <x:c r="AL219" s="236"/>
      <x:c r="AM219" s="233"/>
      <x:c r="AN219" s="233"/>
      <x:c r="AO219" s="234"/>
      <x:c r="AP219" s="234"/>
      <x:c r="AQ219" s="233"/>
      <x:c r="AR219" s="236"/>
      <x:c r="AS219" s="234"/>
      <x:c r="AT219" s="233"/>
      <x:c r="AU219" s="233"/>
      <x:c r="AV219" s="233"/>
      <x:c r="AW219" s="233"/>
      <x:c r="AX219" s="233"/>
      <x:c r="AY219" s="233"/>
      <x:c r="AZ219" s="236"/>
      <x:c r="BA219" s="233"/>
      <x:c r="BB219" s="233"/>
      <x:c r="BC219" s="233"/>
      <x:c r="BD219" s="233"/>
      <x:c r="BE219" s="237" t="str">
        <x:f>IF(AND(A219="",B219="",C219="",E219="",G219="",I219="",M219="",T219="",BB219="",BD219=""),"",IF(B219="skip","SKIP",IF(OR(B219="",A219="",E219="",G219="",I219="",M219="",T219="",COUNTIF($A$6:$A$505,A219)&gt;1,COUNTIF($M$6:$M$505,M219)&gt;1,AND(L219="mobile",N219&lt;&gt;"invalid",OR(LEN(M219)&lt;&gt;10,LEFT(M219,2)&lt;&gt;"09"))),"REVIEW","READY")))</x:f>
      </x:c>
      <x:c r="BF219" s="238" t="str">
        <x:f>IF(BE219="","",IF(BE219="READY","",IF(B219="skip","Skipped by import_action",TRIM(IF(B219="","missing import_action; ","")&amp;IF(A219="","missing migration_customer_key; ","")&amp;IF(AND(A219&lt;&gt;"",COUNTIF($A$6:$A$505,A219)&gt;1),"duplicate migration_customer_key; ","")&amp;IF(E219="","missing branch_id; ","")&amp;IF(G219="","missing first_name; ","")&amp;IF(I219="","missing last_name; ","")&amp;IF(M219="","missing primary_phone; ","")&amp;IF(AND(M219&lt;&gt;"",COUNTIF($M$6:$M$505,M219)&gt;1),"duplicate primary_phone; ","")&amp;IF(AND(L219="mobile",N219&lt;&gt;"invalid",OR(LEN(M219)&lt;&gt;10,LEFT(M219,2)&lt;&gt;"09")),"mobile must be 09XXXXXXXX or status invalid; ","")&amp;IF(T219="","missing neighborhood_id; ","")))))</x:f>
      </x:c>
    </x:row>
    <x:row r="220">
      <x:c r="A220" s="232"/>
      <x:c r="B220" s="233"/>
      <x:c r="C220" s="234"/>
      <x:c r="D220" s="233"/>
      <x:c r="E220" s="233"/>
      <x:c r="F220" s="233"/>
      <x:c r="G220" s="233"/>
      <x:c r="H220" s="233"/>
      <x:c r="I220" s="233"/>
      <x:c r="J220" s="233"/>
      <x:c r="K220" s="233" t="str">
        <x:f>TRIM(G220&amp;" "&amp;H220&amp;" "&amp;I220&amp;IF(J220&lt;&gt;""," ("&amp;J220&amp;")",""))</x:f>
      </x:c>
      <x:c r="L220" s="233"/>
      <x:c r="M220" s="234"/>
      <x:c r="N220" s="233"/>
      <x:c r="O220" s="233"/>
      <x:c r="P220" s="233"/>
      <x:c r="Q220" s="233"/>
      <x:c r="R220" s="233"/>
      <x:c r="S220" s="233"/>
      <x:c r="T220" s="233"/>
      <x:c r="U220" s="233"/>
      <x:c r="V220" s="233"/>
      <x:c r="W220" s="235"/>
      <x:c r="X220" s="235"/>
      <x:c r="Y220" s="233"/>
      <x:c r="Z220" s="233"/>
      <x:c r="AA220" s="233"/>
      <x:c r="AB220" s="233"/>
      <x:c r="AC220" s="236"/>
      <x:c r="AD220" s="233"/>
      <x:c r="AE220" s="233"/>
      <x:c r="AF220" s="233"/>
      <x:c r="AG220" s="233"/>
      <x:c r="AH220" s="234"/>
      <x:c r="AI220" s="233"/>
      <x:c r="AJ220" s="233"/>
      <x:c r="AK220" s="233"/>
      <x:c r="AL220" s="236"/>
      <x:c r="AM220" s="233"/>
      <x:c r="AN220" s="233"/>
      <x:c r="AO220" s="234"/>
      <x:c r="AP220" s="234"/>
      <x:c r="AQ220" s="233"/>
      <x:c r="AR220" s="236"/>
      <x:c r="AS220" s="234"/>
      <x:c r="AT220" s="233"/>
      <x:c r="AU220" s="233"/>
      <x:c r="AV220" s="233"/>
      <x:c r="AW220" s="233"/>
      <x:c r="AX220" s="233"/>
      <x:c r="AY220" s="233"/>
      <x:c r="AZ220" s="236"/>
      <x:c r="BA220" s="233"/>
      <x:c r="BB220" s="233"/>
      <x:c r="BC220" s="233"/>
      <x:c r="BD220" s="233"/>
      <x:c r="BE220" s="237" t="str">
        <x:f>IF(AND(A220="",B220="",C220="",E220="",G220="",I220="",M220="",T220="",BB220="",BD220=""),"",IF(B220="skip","SKIP",IF(OR(B220="",A220="",E220="",G220="",I220="",M220="",T220="",COUNTIF($A$6:$A$505,A220)&gt;1,COUNTIF($M$6:$M$505,M220)&gt;1,AND(L220="mobile",N220&lt;&gt;"invalid",OR(LEN(M220)&lt;&gt;10,LEFT(M220,2)&lt;&gt;"09"))),"REVIEW","READY")))</x:f>
      </x:c>
      <x:c r="BF220" s="238" t="str">
        <x:f>IF(BE220="","",IF(BE220="READY","",IF(B220="skip","Skipped by import_action",TRIM(IF(B220="","missing import_action; ","")&amp;IF(A220="","missing migration_customer_key; ","")&amp;IF(AND(A220&lt;&gt;"",COUNTIF($A$6:$A$505,A220)&gt;1),"duplicate migration_customer_key; ","")&amp;IF(E220="","missing branch_id; ","")&amp;IF(G220="","missing first_name; ","")&amp;IF(I220="","missing last_name; ","")&amp;IF(M220="","missing primary_phone; ","")&amp;IF(AND(M220&lt;&gt;"",COUNTIF($M$6:$M$505,M220)&gt;1),"duplicate primary_phone; ","")&amp;IF(AND(L220="mobile",N220&lt;&gt;"invalid",OR(LEN(M220)&lt;&gt;10,LEFT(M220,2)&lt;&gt;"09")),"mobile must be 09XXXXXXXX or status invalid; ","")&amp;IF(T220="","missing neighborhood_id; ","")))))</x:f>
      </x:c>
    </x:row>
    <x:row r="221">
      <x:c r="A221" s="232"/>
      <x:c r="B221" s="233"/>
      <x:c r="C221" s="234"/>
      <x:c r="D221" s="233"/>
      <x:c r="E221" s="233"/>
      <x:c r="F221" s="233"/>
      <x:c r="G221" s="233"/>
      <x:c r="H221" s="233"/>
      <x:c r="I221" s="233"/>
      <x:c r="J221" s="233"/>
      <x:c r="K221" s="233" t="str">
        <x:f>TRIM(G221&amp;" "&amp;H221&amp;" "&amp;I221&amp;IF(J221&lt;&gt;""," ("&amp;J221&amp;")",""))</x:f>
      </x:c>
      <x:c r="L221" s="233"/>
      <x:c r="M221" s="234"/>
      <x:c r="N221" s="233"/>
      <x:c r="O221" s="233"/>
      <x:c r="P221" s="233"/>
      <x:c r="Q221" s="233"/>
      <x:c r="R221" s="233"/>
      <x:c r="S221" s="233"/>
      <x:c r="T221" s="233"/>
      <x:c r="U221" s="233"/>
      <x:c r="V221" s="233"/>
      <x:c r="W221" s="235"/>
      <x:c r="X221" s="235"/>
      <x:c r="Y221" s="233"/>
      <x:c r="Z221" s="233"/>
      <x:c r="AA221" s="233"/>
      <x:c r="AB221" s="233"/>
      <x:c r="AC221" s="236"/>
      <x:c r="AD221" s="233"/>
      <x:c r="AE221" s="233"/>
      <x:c r="AF221" s="233"/>
      <x:c r="AG221" s="233"/>
      <x:c r="AH221" s="234"/>
      <x:c r="AI221" s="233"/>
      <x:c r="AJ221" s="233"/>
      <x:c r="AK221" s="233"/>
      <x:c r="AL221" s="236"/>
      <x:c r="AM221" s="233"/>
      <x:c r="AN221" s="233"/>
      <x:c r="AO221" s="234"/>
      <x:c r="AP221" s="234"/>
      <x:c r="AQ221" s="233"/>
      <x:c r="AR221" s="236"/>
      <x:c r="AS221" s="234"/>
      <x:c r="AT221" s="233"/>
      <x:c r="AU221" s="233"/>
      <x:c r="AV221" s="233"/>
      <x:c r="AW221" s="233"/>
      <x:c r="AX221" s="233"/>
      <x:c r="AY221" s="233"/>
      <x:c r="AZ221" s="236"/>
      <x:c r="BA221" s="233"/>
      <x:c r="BB221" s="233"/>
      <x:c r="BC221" s="233"/>
      <x:c r="BD221" s="233"/>
      <x:c r="BE221" s="237" t="str">
        <x:f>IF(AND(A221="",B221="",C221="",E221="",G221="",I221="",M221="",T221="",BB221="",BD221=""),"",IF(B221="skip","SKIP",IF(OR(B221="",A221="",E221="",G221="",I221="",M221="",T221="",COUNTIF($A$6:$A$505,A221)&gt;1,COUNTIF($M$6:$M$505,M221)&gt;1,AND(L221="mobile",N221&lt;&gt;"invalid",OR(LEN(M221)&lt;&gt;10,LEFT(M221,2)&lt;&gt;"09"))),"REVIEW","READY")))</x:f>
      </x:c>
      <x:c r="BF221" s="238" t="str">
        <x:f>IF(BE221="","",IF(BE221="READY","",IF(B221="skip","Skipped by import_action",TRIM(IF(B221="","missing import_action; ","")&amp;IF(A221="","missing migration_customer_key; ","")&amp;IF(AND(A221&lt;&gt;"",COUNTIF($A$6:$A$505,A221)&gt;1),"duplicate migration_customer_key; ","")&amp;IF(E221="","missing branch_id; ","")&amp;IF(G221="","missing first_name; ","")&amp;IF(I221="","missing last_name; ","")&amp;IF(M221="","missing primary_phone; ","")&amp;IF(AND(M221&lt;&gt;"",COUNTIF($M$6:$M$505,M221)&gt;1),"duplicate primary_phone; ","")&amp;IF(AND(L221="mobile",N221&lt;&gt;"invalid",OR(LEN(M221)&lt;&gt;10,LEFT(M221,2)&lt;&gt;"09")),"mobile must be 09XXXXXXXX or status invalid; ","")&amp;IF(T221="","missing neighborhood_id; ","")))))</x:f>
      </x:c>
    </x:row>
    <x:row r="222">
      <x:c r="A222" s="232"/>
      <x:c r="B222" s="233"/>
      <x:c r="C222" s="234"/>
      <x:c r="D222" s="233"/>
      <x:c r="E222" s="233"/>
      <x:c r="F222" s="233"/>
      <x:c r="G222" s="233"/>
      <x:c r="H222" s="233"/>
      <x:c r="I222" s="233"/>
      <x:c r="J222" s="233"/>
      <x:c r="K222" s="233" t="str">
        <x:f>TRIM(G222&amp;" "&amp;H222&amp;" "&amp;I222&amp;IF(J222&lt;&gt;""," ("&amp;J222&amp;")",""))</x:f>
      </x:c>
      <x:c r="L222" s="233"/>
      <x:c r="M222" s="234"/>
      <x:c r="N222" s="233"/>
      <x:c r="O222" s="233"/>
      <x:c r="P222" s="233"/>
      <x:c r="Q222" s="233"/>
      <x:c r="R222" s="233"/>
      <x:c r="S222" s="233"/>
      <x:c r="T222" s="233"/>
      <x:c r="U222" s="233"/>
      <x:c r="V222" s="233"/>
      <x:c r="W222" s="235"/>
      <x:c r="X222" s="235"/>
      <x:c r="Y222" s="233"/>
      <x:c r="Z222" s="233"/>
      <x:c r="AA222" s="233"/>
      <x:c r="AB222" s="233"/>
      <x:c r="AC222" s="236"/>
      <x:c r="AD222" s="233"/>
      <x:c r="AE222" s="233"/>
      <x:c r="AF222" s="233"/>
      <x:c r="AG222" s="233"/>
      <x:c r="AH222" s="234"/>
      <x:c r="AI222" s="233"/>
      <x:c r="AJ222" s="233"/>
      <x:c r="AK222" s="233"/>
      <x:c r="AL222" s="236"/>
      <x:c r="AM222" s="233"/>
      <x:c r="AN222" s="233"/>
      <x:c r="AO222" s="234"/>
      <x:c r="AP222" s="234"/>
      <x:c r="AQ222" s="233"/>
      <x:c r="AR222" s="236"/>
      <x:c r="AS222" s="234"/>
      <x:c r="AT222" s="233"/>
      <x:c r="AU222" s="233"/>
      <x:c r="AV222" s="233"/>
      <x:c r="AW222" s="233"/>
      <x:c r="AX222" s="233"/>
      <x:c r="AY222" s="233"/>
      <x:c r="AZ222" s="236"/>
      <x:c r="BA222" s="233"/>
      <x:c r="BB222" s="233"/>
      <x:c r="BC222" s="233"/>
      <x:c r="BD222" s="233"/>
      <x:c r="BE222" s="237" t="str">
        <x:f>IF(AND(A222="",B222="",C222="",E222="",G222="",I222="",M222="",T222="",BB222="",BD222=""),"",IF(B222="skip","SKIP",IF(OR(B222="",A222="",E222="",G222="",I222="",M222="",T222="",COUNTIF($A$6:$A$505,A222)&gt;1,COUNTIF($M$6:$M$505,M222)&gt;1,AND(L222="mobile",N222&lt;&gt;"invalid",OR(LEN(M222)&lt;&gt;10,LEFT(M222,2)&lt;&gt;"09"))),"REVIEW","READY")))</x:f>
      </x:c>
      <x:c r="BF222" s="238" t="str">
        <x:f>IF(BE222="","",IF(BE222="READY","",IF(B222="skip","Skipped by import_action",TRIM(IF(B222="","missing import_action; ","")&amp;IF(A222="","missing migration_customer_key; ","")&amp;IF(AND(A222&lt;&gt;"",COUNTIF($A$6:$A$505,A222)&gt;1),"duplicate migration_customer_key; ","")&amp;IF(E222="","missing branch_id; ","")&amp;IF(G222="","missing first_name; ","")&amp;IF(I222="","missing last_name; ","")&amp;IF(M222="","missing primary_phone; ","")&amp;IF(AND(M222&lt;&gt;"",COUNTIF($M$6:$M$505,M222)&gt;1),"duplicate primary_phone; ","")&amp;IF(AND(L222="mobile",N222&lt;&gt;"invalid",OR(LEN(M222)&lt;&gt;10,LEFT(M222,2)&lt;&gt;"09")),"mobile must be 09XXXXXXXX or status invalid; ","")&amp;IF(T222="","missing neighborhood_id; ","")))))</x:f>
      </x:c>
    </x:row>
    <x:row r="223">
      <x:c r="A223" s="232"/>
      <x:c r="B223" s="233"/>
      <x:c r="C223" s="234"/>
      <x:c r="D223" s="233"/>
      <x:c r="E223" s="233"/>
      <x:c r="F223" s="233"/>
      <x:c r="G223" s="233"/>
      <x:c r="H223" s="233"/>
      <x:c r="I223" s="233"/>
      <x:c r="J223" s="233"/>
      <x:c r="K223" s="233" t="str">
        <x:f>TRIM(G223&amp;" "&amp;H223&amp;" "&amp;I223&amp;IF(J223&lt;&gt;""," ("&amp;J223&amp;")",""))</x:f>
      </x:c>
      <x:c r="L223" s="233"/>
      <x:c r="M223" s="234"/>
      <x:c r="N223" s="233"/>
      <x:c r="O223" s="233"/>
      <x:c r="P223" s="233"/>
      <x:c r="Q223" s="233"/>
      <x:c r="R223" s="233"/>
      <x:c r="S223" s="233"/>
      <x:c r="T223" s="233"/>
      <x:c r="U223" s="233"/>
      <x:c r="V223" s="233"/>
      <x:c r="W223" s="235"/>
      <x:c r="X223" s="235"/>
      <x:c r="Y223" s="233"/>
      <x:c r="Z223" s="233"/>
      <x:c r="AA223" s="233"/>
      <x:c r="AB223" s="233"/>
      <x:c r="AC223" s="236"/>
      <x:c r="AD223" s="233"/>
      <x:c r="AE223" s="233"/>
      <x:c r="AF223" s="233"/>
      <x:c r="AG223" s="233"/>
      <x:c r="AH223" s="234"/>
      <x:c r="AI223" s="233"/>
      <x:c r="AJ223" s="233"/>
      <x:c r="AK223" s="233"/>
      <x:c r="AL223" s="236"/>
      <x:c r="AM223" s="233"/>
      <x:c r="AN223" s="233"/>
      <x:c r="AO223" s="234"/>
      <x:c r="AP223" s="234"/>
      <x:c r="AQ223" s="233"/>
      <x:c r="AR223" s="236"/>
      <x:c r="AS223" s="234"/>
      <x:c r="AT223" s="233"/>
      <x:c r="AU223" s="233"/>
      <x:c r="AV223" s="233"/>
      <x:c r="AW223" s="233"/>
      <x:c r="AX223" s="233"/>
      <x:c r="AY223" s="233"/>
      <x:c r="AZ223" s="236"/>
      <x:c r="BA223" s="233"/>
      <x:c r="BB223" s="233"/>
      <x:c r="BC223" s="233"/>
      <x:c r="BD223" s="233"/>
      <x:c r="BE223" s="237" t="str">
        <x:f>IF(AND(A223="",B223="",C223="",E223="",G223="",I223="",M223="",T223="",BB223="",BD223=""),"",IF(B223="skip","SKIP",IF(OR(B223="",A223="",E223="",G223="",I223="",M223="",T223="",COUNTIF($A$6:$A$505,A223)&gt;1,COUNTIF($M$6:$M$505,M223)&gt;1,AND(L223="mobile",N223&lt;&gt;"invalid",OR(LEN(M223)&lt;&gt;10,LEFT(M223,2)&lt;&gt;"09"))),"REVIEW","READY")))</x:f>
      </x:c>
      <x:c r="BF223" s="238" t="str">
        <x:f>IF(BE223="","",IF(BE223="READY","",IF(B223="skip","Skipped by import_action",TRIM(IF(B223="","missing import_action; ","")&amp;IF(A223="","missing migration_customer_key; ","")&amp;IF(AND(A223&lt;&gt;"",COUNTIF($A$6:$A$505,A223)&gt;1),"duplicate migration_customer_key; ","")&amp;IF(E223="","missing branch_id; ","")&amp;IF(G223="","missing first_name; ","")&amp;IF(I223="","missing last_name; ","")&amp;IF(M223="","missing primary_phone; ","")&amp;IF(AND(M223&lt;&gt;"",COUNTIF($M$6:$M$505,M223)&gt;1),"duplicate primary_phone; ","")&amp;IF(AND(L223="mobile",N223&lt;&gt;"invalid",OR(LEN(M223)&lt;&gt;10,LEFT(M223,2)&lt;&gt;"09")),"mobile must be 09XXXXXXXX or status invalid; ","")&amp;IF(T223="","missing neighborhood_id; ","")))))</x:f>
      </x:c>
    </x:row>
    <x:row r="224">
      <x:c r="A224" s="232"/>
      <x:c r="B224" s="233"/>
      <x:c r="C224" s="234"/>
      <x:c r="D224" s="233"/>
      <x:c r="E224" s="233"/>
      <x:c r="F224" s="233"/>
      <x:c r="G224" s="233"/>
      <x:c r="H224" s="233"/>
      <x:c r="I224" s="233"/>
      <x:c r="J224" s="233"/>
      <x:c r="K224" s="233" t="str">
        <x:f>TRIM(G224&amp;" "&amp;H224&amp;" "&amp;I224&amp;IF(J224&lt;&gt;""," ("&amp;J224&amp;")",""))</x:f>
      </x:c>
      <x:c r="L224" s="233"/>
      <x:c r="M224" s="234"/>
      <x:c r="N224" s="233"/>
      <x:c r="O224" s="233"/>
      <x:c r="P224" s="233"/>
      <x:c r="Q224" s="233"/>
      <x:c r="R224" s="233"/>
      <x:c r="S224" s="233"/>
      <x:c r="T224" s="233"/>
      <x:c r="U224" s="233"/>
      <x:c r="V224" s="233"/>
      <x:c r="W224" s="235"/>
      <x:c r="X224" s="235"/>
      <x:c r="Y224" s="233"/>
      <x:c r="Z224" s="233"/>
      <x:c r="AA224" s="233"/>
      <x:c r="AB224" s="233"/>
      <x:c r="AC224" s="236"/>
      <x:c r="AD224" s="233"/>
      <x:c r="AE224" s="233"/>
      <x:c r="AF224" s="233"/>
      <x:c r="AG224" s="233"/>
      <x:c r="AH224" s="234"/>
      <x:c r="AI224" s="233"/>
      <x:c r="AJ224" s="233"/>
      <x:c r="AK224" s="233"/>
      <x:c r="AL224" s="236"/>
      <x:c r="AM224" s="233"/>
      <x:c r="AN224" s="233"/>
      <x:c r="AO224" s="234"/>
      <x:c r="AP224" s="234"/>
      <x:c r="AQ224" s="233"/>
      <x:c r="AR224" s="236"/>
      <x:c r="AS224" s="234"/>
      <x:c r="AT224" s="233"/>
      <x:c r="AU224" s="233"/>
      <x:c r="AV224" s="233"/>
      <x:c r="AW224" s="233"/>
      <x:c r="AX224" s="233"/>
      <x:c r="AY224" s="233"/>
      <x:c r="AZ224" s="236"/>
      <x:c r="BA224" s="233"/>
      <x:c r="BB224" s="233"/>
      <x:c r="BC224" s="233"/>
      <x:c r="BD224" s="233"/>
      <x:c r="BE224" s="237" t="str">
        <x:f>IF(AND(A224="",B224="",C224="",E224="",G224="",I224="",M224="",T224="",BB224="",BD224=""),"",IF(B224="skip","SKIP",IF(OR(B224="",A224="",E224="",G224="",I224="",M224="",T224="",COUNTIF($A$6:$A$505,A224)&gt;1,COUNTIF($M$6:$M$505,M224)&gt;1,AND(L224="mobile",N224&lt;&gt;"invalid",OR(LEN(M224)&lt;&gt;10,LEFT(M224,2)&lt;&gt;"09"))),"REVIEW","READY")))</x:f>
      </x:c>
      <x:c r="BF224" s="238" t="str">
        <x:f>IF(BE224="","",IF(BE224="READY","",IF(B224="skip","Skipped by import_action",TRIM(IF(B224="","missing import_action; ","")&amp;IF(A224="","missing migration_customer_key; ","")&amp;IF(AND(A224&lt;&gt;"",COUNTIF($A$6:$A$505,A224)&gt;1),"duplicate migration_customer_key; ","")&amp;IF(E224="","missing branch_id; ","")&amp;IF(G224="","missing first_name; ","")&amp;IF(I224="","missing last_name; ","")&amp;IF(M224="","missing primary_phone; ","")&amp;IF(AND(M224&lt;&gt;"",COUNTIF($M$6:$M$505,M224)&gt;1),"duplicate primary_phone; ","")&amp;IF(AND(L224="mobile",N224&lt;&gt;"invalid",OR(LEN(M224)&lt;&gt;10,LEFT(M224,2)&lt;&gt;"09")),"mobile must be 09XXXXXXXX or status invalid; ","")&amp;IF(T224="","missing neighborhood_id; ","")))))</x:f>
      </x:c>
    </x:row>
    <x:row r="225">
      <x:c r="A225" s="232"/>
      <x:c r="B225" s="233"/>
      <x:c r="C225" s="234"/>
      <x:c r="D225" s="233"/>
      <x:c r="E225" s="233"/>
      <x:c r="F225" s="233"/>
      <x:c r="G225" s="233"/>
      <x:c r="H225" s="233"/>
      <x:c r="I225" s="233"/>
      <x:c r="J225" s="233"/>
      <x:c r="K225" s="233" t="str">
        <x:f>TRIM(G225&amp;" "&amp;H225&amp;" "&amp;I225&amp;IF(J225&lt;&gt;""," ("&amp;J225&amp;")",""))</x:f>
      </x:c>
      <x:c r="L225" s="233"/>
      <x:c r="M225" s="234"/>
      <x:c r="N225" s="233"/>
      <x:c r="O225" s="233"/>
      <x:c r="P225" s="233"/>
      <x:c r="Q225" s="233"/>
      <x:c r="R225" s="233"/>
      <x:c r="S225" s="233"/>
      <x:c r="T225" s="233"/>
      <x:c r="U225" s="233"/>
      <x:c r="V225" s="233"/>
      <x:c r="W225" s="235"/>
      <x:c r="X225" s="235"/>
      <x:c r="Y225" s="233"/>
      <x:c r="Z225" s="233"/>
      <x:c r="AA225" s="233"/>
      <x:c r="AB225" s="233"/>
      <x:c r="AC225" s="236"/>
      <x:c r="AD225" s="233"/>
      <x:c r="AE225" s="233"/>
      <x:c r="AF225" s="233"/>
      <x:c r="AG225" s="233"/>
      <x:c r="AH225" s="234"/>
      <x:c r="AI225" s="233"/>
      <x:c r="AJ225" s="233"/>
      <x:c r="AK225" s="233"/>
      <x:c r="AL225" s="236"/>
      <x:c r="AM225" s="233"/>
      <x:c r="AN225" s="233"/>
      <x:c r="AO225" s="234"/>
      <x:c r="AP225" s="234"/>
      <x:c r="AQ225" s="233"/>
      <x:c r="AR225" s="236"/>
      <x:c r="AS225" s="234"/>
      <x:c r="AT225" s="233"/>
      <x:c r="AU225" s="233"/>
      <x:c r="AV225" s="233"/>
      <x:c r="AW225" s="233"/>
      <x:c r="AX225" s="233"/>
      <x:c r="AY225" s="233"/>
      <x:c r="AZ225" s="236"/>
      <x:c r="BA225" s="233"/>
      <x:c r="BB225" s="233"/>
      <x:c r="BC225" s="233"/>
      <x:c r="BD225" s="233"/>
      <x:c r="BE225" s="237" t="str">
        <x:f>IF(AND(A225="",B225="",C225="",E225="",G225="",I225="",M225="",T225="",BB225="",BD225=""),"",IF(B225="skip","SKIP",IF(OR(B225="",A225="",E225="",G225="",I225="",M225="",T225="",COUNTIF($A$6:$A$505,A225)&gt;1,COUNTIF($M$6:$M$505,M225)&gt;1,AND(L225="mobile",N225&lt;&gt;"invalid",OR(LEN(M225)&lt;&gt;10,LEFT(M225,2)&lt;&gt;"09"))),"REVIEW","READY")))</x:f>
      </x:c>
      <x:c r="BF225" s="238" t="str">
        <x:f>IF(BE225="","",IF(BE225="READY","",IF(B225="skip","Skipped by import_action",TRIM(IF(B225="","missing import_action; ","")&amp;IF(A225="","missing migration_customer_key; ","")&amp;IF(AND(A225&lt;&gt;"",COUNTIF($A$6:$A$505,A225)&gt;1),"duplicate migration_customer_key; ","")&amp;IF(E225="","missing branch_id; ","")&amp;IF(G225="","missing first_name; ","")&amp;IF(I225="","missing last_name; ","")&amp;IF(M225="","missing primary_phone; ","")&amp;IF(AND(M225&lt;&gt;"",COUNTIF($M$6:$M$505,M225)&gt;1),"duplicate primary_phone; ","")&amp;IF(AND(L225="mobile",N225&lt;&gt;"invalid",OR(LEN(M225)&lt;&gt;10,LEFT(M225,2)&lt;&gt;"09")),"mobile must be 09XXXXXXXX or status invalid; ","")&amp;IF(T225="","missing neighborhood_id; ","")))))</x:f>
      </x:c>
    </x:row>
    <x:row r="226">
      <x:c r="A226" s="232"/>
      <x:c r="B226" s="233"/>
      <x:c r="C226" s="234"/>
      <x:c r="D226" s="233"/>
      <x:c r="E226" s="233"/>
      <x:c r="F226" s="233"/>
      <x:c r="G226" s="233"/>
      <x:c r="H226" s="233"/>
      <x:c r="I226" s="233"/>
      <x:c r="J226" s="233"/>
      <x:c r="K226" s="233" t="str">
        <x:f>TRIM(G226&amp;" "&amp;H226&amp;" "&amp;I226&amp;IF(J226&lt;&gt;""," ("&amp;J226&amp;")",""))</x:f>
      </x:c>
      <x:c r="L226" s="233"/>
      <x:c r="M226" s="234"/>
      <x:c r="N226" s="233"/>
      <x:c r="O226" s="233"/>
      <x:c r="P226" s="233"/>
      <x:c r="Q226" s="233"/>
      <x:c r="R226" s="233"/>
      <x:c r="S226" s="233"/>
      <x:c r="T226" s="233"/>
      <x:c r="U226" s="233"/>
      <x:c r="V226" s="233"/>
      <x:c r="W226" s="235"/>
      <x:c r="X226" s="235"/>
      <x:c r="Y226" s="233"/>
      <x:c r="Z226" s="233"/>
      <x:c r="AA226" s="233"/>
      <x:c r="AB226" s="233"/>
      <x:c r="AC226" s="236"/>
      <x:c r="AD226" s="233"/>
      <x:c r="AE226" s="233"/>
      <x:c r="AF226" s="233"/>
      <x:c r="AG226" s="233"/>
      <x:c r="AH226" s="234"/>
      <x:c r="AI226" s="233"/>
      <x:c r="AJ226" s="233"/>
      <x:c r="AK226" s="233"/>
      <x:c r="AL226" s="236"/>
      <x:c r="AM226" s="233"/>
      <x:c r="AN226" s="233"/>
      <x:c r="AO226" s="234"/>
      <x:c r="AP226" s="234"/>
      <x:c r="AQ226" s="233"/>
      <x:c r="AR226" s="236"/>
      <x:c r="AS226" s="234"/>
      <x:c r="AT226" s="233"/>
      <x:c r="AU226" s="233"/>
      <x:c r="AV226" s="233"/>
      <x:c r="AW226" s="233"/>
      <x:c r="AX226" s="233"/>
      <x:c r="AY226" s="233"/>
      <x:c r="AZ226" s="236"/>
      <x:c r="BA226" s="233"/>
      <x:c r="BB226" s="233"/>
      <x:c r="BC226" s="233"/>
      <x:c r="BD226" s="233"/>
      <x:c r="BE226" s="237" t="str">
        <x:f>IF(AND(A226="",B226="",C226="",E226="",G226="",I226="",M226="",T226="",BB226="",BD226=""),"",IF(B226="skip","SKIP",IF(OR(B226="",A226="",E226="",G226="",I226="",M226="",T226="",COUNTIF($A$6:$A$505,A226)&gt;1,COUNTIF($M$6:$M$505,M226)&gt;1,AND(L226="mobile",N226&lt;&gt;"invalid",OR(LEN(M226)&lt;&gt;10,LEFT(M226,2)&lt;&gt;"09"))),"REVIEW","READY")))</x:f>
      </x:c>
      <x:c r="BF226" s="238" t="str">
        <x:f>IF(BE226="","",IF(BE226="READY","",IF(B226="skip","Skipped by import_action",TRIM(IF(B226="","missing import_action; ","")&amp;IF(A226="","missing migration_customer_key; ","")&amp;IF(AND(A226&lt;&gt;"",COUNTIF($A$6:$A$505,A226)&gt;1),"duplicate migration_customer_key; ","")&amp;IF(E226="","missing branch_id; ","")&amp;IF(G226="","missing first_name; ","")&amp;IF(I226="","missing last_name; ","")&amp;IF(M226="","missing primary_phone; ","")&amp;IF(AND(M226&lt;&gt;"",COUNTIF($M$6:$M$505,M226)&gt;1),"duplicate primary_phone; ","")&amp;IF(AND(L226="mobile",N226&lt;&gt;"invalid",OR(LEN(M226)&lt;&gt;10,LEFT(M226,2)&lt;&gt;"09")),"mobile must be 09XXXXXXXX or status invalid; ","")&amp;IF(T226="","missing neighborhood_id; ","")))))</x:f>
      </x:c>
    </x:row>
    <x:row r="227">
      <x:c r="A227" s="232"/>
      <x:c r="B227" s="233"/>
      <x:c r="C227" s="234"/>
      <x:c r="D227" s="233"/>
      <x:c r="E227" s="233"/>
      <x:c r="F227" s="233"/>
      <x:c r="G227" s="233"/>
      <x:c r="H227" s="233"/>
      <x:c r="I227" s="233"/>
      <x:c r="J227" s="233"/>
      <x:c r="K227" s="233" t="str">
        <x:f>TRIM(G227&amp;" "&amp;H227&amp;" "&amp;I227&amp;IF(J227&lt;&gt;""," ("&amp;J227&amp;")",""))</x:f>
      </x:c>
      <x:c r="L227" s="233"/>
      <x:c r="M227" s="234"/>
      <x:c r="N227" s="233"/>
      <x:c r="O227" s="233"/>
      <x:c r="P227" s="233"/>
      <x:c r="Q227" s="233"/>
      <x:c r="R227" s="233"/>
      <x:c r="S227" s="233"/>
      <x:c r="T227" s="233"/>
      <x:c r="U227" s="233"/>
      <x:c r="V227" s="233"/>
      <x:c r="W227" s="235"/>
      <x:c r="X227" s="235"/>
      <x:c r="Y227" s="233"/>
      <x:c r="Z227" s="233"/>
      <x:c r="AA227" s="233"/>
      <x:c r="AB227" s="233"/>
      <x:c r="AC227" s="236"/>
      <x:c r="AD227" s="233"/>
      <x:c r="AE227" s="233"/>
      <x:c r="AF227" s="233"/>
      <x:c r="AG227" s="233"/>
      <x:c r="AH227" s="234"/>
      <x:c r="AI227" s="233"/>
      <x:c r="AJ227" s="233"/>
      <x:c r="AK227" s="233"/>
      <x:c r="AL227" s="236"/>
      <x:c r="AM227" s="233"/>
      <x:c r="AN227" s="233"/>
      <x:c r="AO227" s="234"/>
      <x:c r="AP227" s="234"/>
      <x:c r="AQ227" s="233"/>
      <x:c r="AR227" s="236"/>
      <x:c r="AS227" s="234"/>
      <x:c r="AT227" s="233"/>
      <x:c r="AU227" s="233"/>
      <x:c r="AV227" s="233"/>
      <x:c r="AW227" s="233"/>
      <x:c r="AX227" s="233"/>
      <x:c r="AY227" s="233"/>
      <x:c r="AZ227" s="236"/>
      <x:c r="BA227" s="233"/>
      <x:c r="BB227" s="233"/>
      <x:c r="BC227" s="233"/>
      <x:c r="BD227" s="233"/>
      <x:c r="BE227" s="237" t="str">
        <x:f>IF(AND(A227="",B227="",C227="",E227="",G227="",I227="",M227="",T227="",BB227="",BD227=""),"",IF(B227="skip","SKIP",IF(OR(B227="",A227="",E227="",G227="",I227="",M227="",T227="",COUNTIF($A$6:$A$505,A227)&gt;1,COUNTIF($M$6:$M$505,M227)&gt;1,AND(L227="mobile",N227&lt;&gt;"invalid",OR(LEN(M227)&lt;&gt;10,LEFT(M227,2)&lt;&gt;"09"))),"REVIEW","READY")))</x:f>
      </x:c>
      <x:c r="BF227" s="238" t="str">
        <x:f>IF(BE227="","",IF(BE227="READY","",IF(B227="skip","Skipped by import_action",TRIM(IF(B227="","missing import_action; ","")&amp;IF(A227="","missing migration_customer_key; ","")&amp;IF(AND(A227&lt;&gt;"",COUNTIF($A$6:$A$505,A227)&gt;1),"duplicate migration_customer_key; ","")&amp;IF(E227="","missing branch_id; ","")&amp;IF(G227="","missing first_name; ","")&amp;IF(I227="","missing last_name; ","")&amp;IF(M227="","missing primary_phone; ","")&amp;IF(AND(M227&lt;&gt;"",COUNTIF($M$6:$M$505,M227)&gt;1),"duplicate primary_phone; ","")&amp;IF(AND(L227="mobile",N227&lt;&gt;"invalid",OR(LEN(M227)&lt;&gt;10,LEFT(M227,2)&lt;&gt;"09")),"mobile must be 09XXXXXXXX or status invalid; ","")&amp;IF(T227="","missing neighborhood_id; ","")))))</x:f>
      </x:c>
    </x:row>
    <x:row r="228">
      <x:c r="A228" s="232"/>
      <x:c r="B228" s="233"/>
      <x:c r="C228" s="234"/>
      <x:c r="D228" s="233"/>
      <x:c r="E228" s="233"/>
      <x:c r="F228" s="233"/>
      <x:c r="G228" s="233"/>
      <x:c r="H228" s="233"/>
      <x:c r="I228" s="233"/>
      <x:c r="J228" s="233"/>
      <x:c r="K228" s="233" t="str">
        <x:f>TRIM(G228&amp;" "&amp;H228&amp;" "&amp;I228&amp;IF(J228&lt;&gt;""," ("&amp;J228&amp;")",""))</x:f>
      </x:c>
      <x:c r="L228" s="233"/>
      <x:c r="M228" s="234"/>
      <x:c r="N228" s="233"/>
      <x:c r="O228" s="233"/>
      <x:c r="P228" s="233"/>
      <x:c r="Q228" s="233"/>
      <x:c r="R228" s="233"/>
      <x:c r="S228" s="233"/>
      <x:c r="T228" s="233"/>
      <x:c r="U228" s="233"/>
      <x:c r="V228" s="233"/>
      <x:c r="W228" s="235"/>
      <x:c r="X228" s="235"/>
      <x:c r="Y228" s="233"/>
      <x:c r="Z228" s="233"/>
      <x:c r="AA228" s="233"/>
      <x:c r="AB228" s="233"/>
      <x:c r="AC228" s="236"/>
      <x:c r="AD228" s="233"/>
      <x:c r="AE228" s="233"/>
      <x:c r="AF228" s="233"/>
      <x:c r="AG228" s="233"/>
      <x:c r="AH228" s="234"/>
      <x:c r="AI228" s="233"/>
      <x:c r="AJ228" s="233"/>
      <x:c r="AK228" s="233"/>
      <x:c r="AL228" s="236"/>
      <x:c r="AM228" s="233"/>
      <x:c r="AN228" s="233"/>
      <x:c r="AO228" s="234"/>
      <x:c r="AP228" s="234"/>
      <x:c r="AQ228" s="233"/>
      <x:c r="AR228" s="236"/>
      <x:c r="AS228" s="234"/>
      <x:c r="AT228" s="233"/>
      <x:c r="AU228" s="233"/>
      <x:c r="AV228" s="233"/>
      <x:c r="AW228" s="233"/>
      <x:c r="AX228" s="233"/>
      <x:c r="AY228" s="233"/>
      <x:c r="AZ228" s="236"/>
      <x:c r="BA228" s="233"/>
      <x:c r="BB228" s="233"/>
      <x:c r="BC228" s="233"/>
      <x:c r="BD228" s="233"/>
      <x:c r="BE228" s="237" t="str">
        <x:f>IF(AND(A228="",B228="",C228="",E228="",G228="",I228="",M228="",T228="",BB228="",BD228=""),"",IF(B228="skip","SKIP",IF(OR(B228="",A228="",E228="",G228="",I228="",M228="",T228="",COUNTIF($A$6:$A$505,A228)&gt;1,COUNTIF($M$6:$M$505,M228)&gt;1,AND(L228="mobile",N228&lt;&gt;"invalid",OR(LEN(M228)&lt;&gt;10,LEFT(M228,2)&lt;&gt;"09"))),"REVIEW","READY")))</x:f>
      </x:c>
      <x:c r="BF228" s="238" t="str">
        <x:f>IF(BE228="","",IF(BE228="READY","",IF(B228="skip","Skipped by import_action",TRIM(IF(B228="","missing import_action; ","")&amp;IF(A228="","missing migration_customer_key; ","")&amp;IF(AND(A228&lt;&gt;"",COUNTIF($A$6:$A$505,A228)&gt;1),"duplicate migration_customer_key; ","")&amp;IF(E228="","missing branch_id; ","")&amp;IF(G228="","missing first_name; ","")&amp;IF(I228="","missing last_name; ","")&amp;IF(M228="","missing primary_phone; ","")&amp;IF(AND(M228&lt;&gt;"",COUNTIF($M$6:$M$505,M228)&gt;1),"duplicate primary_phone; ","")&amp;IF(AND(L228="mobile",N228&lt;&gt;"invalid",OR(LEN(M228)&lt;&gt;10,LEFT(M228,2)&lt;&gt;"09")),"mobile must be 09XXXXXXXX or status invalid; ","")&amp;IF(T228="","missing neighborhood_id; ","")))))</x:f>
      </x:c>
    </x:row>
    <x:row r="229">
      <x:c r="A229" s="232"/>
      <x:c r="B229" s="233"/>
      <x:c r="C229" s="234"/>
      <x:c r="D229" s="233"/>
      <x:c r="E229" s="233"/>
      <x:c r="F229" s="233"/>
      <x:c r="G229" s="233"/>
      <x:c r="H229" s="233"/>
      <x:c r="I229" s="233"/>
      <x:c r="J229" s="233"/>
      <x:c r="K229" s="233" t="str">
        <x:f>TRIM(G229&amp;" "&amp;H229&amp;" "&amp;I229&amp;IF(J229&lt;&gt;""," ("&amp;J229&amp;")",""))</x:f>
      </x:c>
      <x:c r="L229" s="233"/>
      <x:c r="M229" s="234"/>
      <x:c r="N229" s="233"/>
      <x:c r="O229" s="233"/>
      <x:c r="P229" s="233"/>
      <x:c r="Q229" s="233"/>
      <x:c r="R229" s="233"/>
      <x:c r="S229" s="233"/>
      <x:c r="T229" s="233"/>
      <x:c r="U229" s="233"/>
      <x:c r="V229" s="233"/>
      <x:c r="W229" s="235"/>
      <x:c r="X229" s="235"/>
      <x:c r="Y229" s="233"/>
      <x:c r="Z229" s="233"/>
      <x:c r="AA229" s="233"/>
      <x:c r="AB229" s="233"/>
      <x:c r="AC229" s="236"/>
      <x:c r="AD229" s="233"/>
      <x:c r="AE229" s="233"/>
      <x:c r="AF229" s="233"/>
      <x:c r="AG229" s="233"/>
      <x:c r="AH229" s="234"/>
      <x:c r="AI229" s="233"/>
      <x:c r="AJ229" s="233"/>
      <x:c r="AK229" s="233"/>
      <x:c r="AL229" s="236"/>
      <x:c r="AM229" s="233"/>
      <x:c r="AN229" s="233"/>
      <x:c r="AO229" s="234"/>
      <x:c r="AP229" s="234"/>
      <x:c r="AQ229" s="233"/>
      <x:c r="AR229" s="236"/>
      <x:c r="AS229" s="234"/>
      <x:c r="AT229" s="233"/>
      <x:c r="AU229" s="233"/>
      <x:c r="AV229" s="233"/>
      <x:c r="AW229" s="233"/>
      <x:c r="AX229" s="233"/>
      <x:c r="AY229" s="233"/>
      <x:c r="AZ229" s="236"/>
      <x:c r="BA229" s="233"/>
      <x:c r="BB229" s="233"/>
      <x:c r="BC229" s="233"/>
      <x:c r="BD229" s="233"/>
      <x:c r="BE229" s="237" t="str">
        <x:f>IF(AND(A229="",B229="",C229="",E229="",G229="",I229="",M229="",T229="",BB229="",BD229=""),"",IF(B229="skip","SKIP",IF(OR(B229="",A229="",E229="",G229="",I229="",M229="",T229="",COUNTIF($A$6:$A$505,A229)&gt;1,COUNTIF($M$6:$M$505,M229)&gt;1,AND(L229="mobile",N229&lt;&gt;"invalid",OR(LEN(M229)&lt;&gt;10,LEFT(M229,2)&lt;&gt;"09"))),"REVIEW","READY")))</x:f>
      </x:c>
      <x:c r="BF229" s="238" t="str">
        <x:f>IF(BE229="","",IF(BE229="READY","",IF(B229="skip","Skipped by import_action",TRIM(IF(B229="","missing import_action; ","")&amp;IF(A229="","missing migration_customer_key; ","")&amp;IF(AND(A229&lt;&gt;"",COUNTIF($A$6:$A$505,A229)&gt;1),"duplicate migration_customer_key; ","")&amp;IF(E229="","missing branch_id; ","")&amp;IF(G229="","missing first_name; ","")&amp;IF(I229="","missing last_name; ","")&amp;IF(M229="","missing primary_phone; ","")&amp;IF(AND(M229&lt;&gt;"",COUNTIF($M$6:$M$505,M229)&gt;1),"duplicate primary_phone; ","")&amp;IF(AND(L229="mobile",N229&lt;&gt;"invalid",OR(LEN(M229)&lt;&gt;10,LEFT(M229,2)&lt;&gt;"09")),"mobile must be 09XXXXXXXX or status invalid; ","")&amp;IF(T229="","missing neighborhood_id; ","")))))</x:f>
      </x:c>
    </x:row>
    <x:row r="230">
      <x:c r="A230" s="232"/>
      <x:c r="B230" s="233"/>
      <x:c r="C230" s="234"/>
      <x:c r="D230" s="233"/>
      <x:c r="E230" s="233"/>
      <x:c r="F230" s="233"/>
      <x:c r="G230" s="233"/>
      <x:c r="H230" s="233"/>
      <x:c r="I230" s="233"/>
      <x:c r="J230" s="233"/>
      <x:c r="K230" s="233" t="str">
        <x:f>TRIM(G230&amp;" "&amp;H230&amp;" "&amp;I230&amp;IF(J230&lt;&gt;""," ("&amp;J230&amp;")",""))</x:f>
      </x:c>
      <x:c r="L230" s="233"/>
      <x:c r="M230" s="234"/>
      <x:c r="N230" s="233"/>
      <x:c r="O230" s="233"/>
      <x:c r="P230" s="233"/>
      <x:c r="Q230" s="233"/>
      <x:c r="R230" s="233"/>
      <x:c r="S230" s="233"/>
      <x:c r="T230" s="233"/>
      <x:c r="U230" s="233"/>
      <x:c r="V230" s="233"/>
      <x:c r="W230" s="235"/>
      <x:c r="X230" s="235"/>
      <x:c r="Y230" s="233"/>
      <x:c r="Z230" s="233"/>
      <x:c r="AA230" s="233"/>
      <x:c r="AB230" s="233"/>
      <x:c r="AC230" s="236"/>
      <x:c r="AD230" s="233"/>
      <x:c r="AE230" s="233"/>
      <x:c r="AF230" s="233"/>
      <x:c r="AG230" s="233"/>
      <x:c r="AH230" s="234"/>
      <x:c r="AI230" s="233"/>
      <x:c r="AJ230" s="233"/>
      <x:c r="AK230" s="233"/>
      <x:c r="AL230" s="236"/>
      <x:c r="AM230" s="233"/>
      <x:c r="AN230" s="233"/>
      <x:c r="AO230" s="234"/>
      <x:c r="AP230" s="234"/>
      <x:c r="AQ230" s="233"/>
      <x:c r="AR230" s="236"/>
      <x:c r="AS230" s="234"/>
      <x:c r="AT230" s="233"/>
      <x:c r="AU230" s="233"/>
      <x:c r="AV230" s="233"/>
      <x:c r="AW230" s="233"/>
      <x:c r="AX230" s="233"/>
      <x:c r="AY230" s="233"/>
      <x:c r="AZ230" s="236"/>
      <x:c r="BA230" s="233"/>
      <x:c r="BB230" s="233"/>
      <x:c r="BC230" s="233"/>
      <x:c r="BD230" s="233"/>
      <x:c r="BE230" s="237" t="str">
        <x:f>IF(AND(A230="",B230="",C230="",E230="",G230="",I230="",M230="",T230="",BB230="",BD230=""),"",IF(B230="skip","SKIP",IF(OR(B230="",A230="",E230="",G230="",I230="",M230="",T230="",COUNTIF($A$6:$A$505,A230)&gt;1,COUNTIF($M$6:$M$505,M230)&gt;1,AND(L230="mobile",N230&lt;&gt;"invalid",OR(LEN(M230)&lt;&gt;10,LEFT(M230,2)&lt;&gt;"09"))),"REVIEW","READY")))</x:f>
      </x:c>
      <x:c r="BF230" s="238" t="str">
        <x:f>IF(BE230="","",IF(BE230="READY","",IF(B230="skip","Skipped by import_action",TRIM(IF(B230="","missing import_action; ","")&amp;IF(A230="","missing migration_customer_key; ","")&amp;IF(AND(A230&lt;&gt;"",COUNTIF($A$6:$A$505,A230)&gt;1),"duplicate migration_customer_key; ","")&amp;IF(E230="","missing branch_id; ","")&amp;IF(G230="","missing first_name; ","")&amp;IF(I230="","missing last_name; ","")&amp;IF(M230="","missing primary_phone; ","")&amp;IF(AND(M230&lt;&gt;"",COUNTIF($M$6:$M$505,M230)&gt;1),"duplicate primary_phone; ","")&amp;IF(AND(L230="mobile",N230&lt;&gt;"invalid",OR(LEN(M230)&lt;&gt;10,LEFT(M230,2)&lt;&gt;"09")),"mobile must be 09XXXXXXXX or status invalid; ","")&amp;IF(T230="","missing neighborhood_id; ","")))))</x:f>
      </x:c>
    </x:row>
    <x:row r="231">
      <x:c r="A231" s="232"/>
      <x:c r="B231" s="233"/>
      <x:c r="C231" s="234"/>
      <x:c r="D231" s="233"/>
      <x:c r="E231" s="233"/>
      <x:c r="F231" s="233"/>
      <x:c r="G231" s="233"/>
      <x:c r="H231" s="233"/>
      <x:c r="I231" s="233"/>
      <x:c r="J231" s="233"/>
      <x:c r="K231" s="233" t="str">
        <x:f>TRIM(G231&amp;" "&amp;H231&amp;" "&amp;I231&amp;IF(J231&lt;&gt;""," ("&amp;J231&amp;")",""))</x:f>
      </x:c>
      <x:c r="L231" s="233"/>
      <x:c r="M231" s="234"/>
      <x:c r="N231" s="233"/>
      <x:c r="O231" s="233"/>
      <x:c r="P231" s="233"/>
      <x:c r="Q231" s="233"/>
      <x:c r="R231" s="233"/>
      <x:c r="S231" s="233"/>
      <x:c r="T231" s="233"/>
      <x:c r="U231" s="233"/>
      <x:c r="V231" s="233"/>
      <x:c r="W231" s="235"/>
      <x:c r="X231" s="235"/>
      <x:c r="Y231" s="233"/>
      <x:c r="Z231" s="233"/>
      <x:c r="AA231" s="233"/>
      <x:c r="AB231" s="233"/>
      <x:c r="AC231" s="236"/>
      <x:c r="AD231" s="233"/>
      <x:c r="AE231" s="233"/>
      <x:c r="AF231" s="233"/>
      <x:c r="AG231" s="233"/>
      <x:c r="AH231" s="234"/>
      <x:c r="AI231" s="233"/>
      <x:c r="AJ231" s="233"/>
      <x:c r="AK231" s="233"/>
      <x:c r="AL231" s="236"/>
      <x:c r="AM231" s="233"/>
      <x:c r="AN231" s="233"/>
      <x:c r="AO231" s="234"/>
      <x:c r="AP231" s="234"/>
      <x:c r="AQ231" s="233"/>
      <x:c r="AR231" s="236"/>
      <x:c r="AS231" s="234"/>
      <x:c r="AT231" s="233"/>
      <x:c r="AU231" s="233"/>
      <x:c r="AV231" s="233"/>
      <x:c r="AW231" s="233"/>
      <x:c r="AX231" s="233"/>
      <x:c r="AY231" s="233"/>
      <x:c r="AZ231" s="236"/>
      <x:c r="BA231" s="233"/>
      <x:c r="BB231" s="233"/>
      <x:c r="BC231" s="233"/>
      <x:c r="BD231" s="233"/>
      <x:c r="BE231" s="237" t="str">
        <x:f>IF(AND(A231="",B231="",C231="",E231="",G231="",I231="",M231="",T231="",BB231="",BD231=""),"",IF(B231="skip","SKIP",IF(OR(B231="",A231="",E231="",G231="",I231="",M231="",T231="",COUNTIF($A$6:$A$505,A231)&gt;1,COUNTIF($M$6:$M$505,M231)&gt;1,AND(L231="mobile",N231&lt;&gt;"invalid",OR(LEN(M231)&lt;&gt;10,LEFT(M231,2)&lt;&gt;"09"))),"REVIEW","READY")))</x:f>
      </x:c>
      <x:c r="BF231" s="238" t="str">
        <x:f>IF(BE231="","",IF(BE231="READY","",IF(B231="skip","Skipped by import_action",TRIM(IF(B231="","missing import_action; ","")&amp;IF(A231="","missing migration_customer_key; ","")&amp;IF(AND(A231&lt;&gt;"",COUNTIF($A$6:$A$505,A231)&gt;1),"duplicate migration_customer_key; ","")&amp;IF(E231="","missing branch_id; ","")&amp;IF(G231="","missing first_name; ","")&amp;IF(I231="","missing last_name; ","")&amp;IF(M231="","missing primary_phone; ","")&amp;IF(AND(M231&lt;&gt;"",COUNTIF($M$6:$M$505,M231)&gt;1),"duplicate primary_phone; ","")&amp;IF(AND(L231="mobile",N231&lt;&gt;"invalid",OR(LEN(M231)&lt;&gt;10,LEFT(M231,2)&lt;&gt;"09")),"mobile must be 09XXXXXXXX or status invalid; ","")&amp;IF(T231="","missing neighborhood_id; ","")))))</x:f>
      </x:c>
    </x:row>
    <x:row r="232">
      <x:c r="A232" s="232"/>
      <x:c r="B232" s="233"/>
      <x:c r="C232" s="234"/>
      <x:c r="D232" s="233"/>
      <x:c r="E232" s="233"/>
      <x:c r="F232" s="233"/>
      <x:c r="G232" s="233"/>
      <x:c r="H232" s="233"/>
      <x:c r="I232" s="233"/>
      <x:c r="J232" s="233"/>
      <x:c r="K232" s="233" t="str">
        <x:f>TRIM(G232&amp;" "&amp;H232&amp;" "&amp;I232&amp;IF(J232&lt;&gt;""," ("&amp;J232&amp;")",""))</x:f>
      </x:c>
      <x:c r="L232" s="233"/>
      <x:c r="M232" s="234"/>
      <x:c r="N232" s="233"/>
      <x:c r="O232" s="233"/>
      <x:c r="P232" s="233"/>
      <x:c r="Q232" s="233"/>
      <x:c r="R232" s="233"/>
      <x:c r="S232" s="233"/>
      <x:c r="T232" s="233"/>
      <x:c r="U232" s="233"/>
      <x:c r="V232" s="233"/>
      <x:c r="W232" s="235"/>
      <x:c r="X232" s="235"/>
      <x:c r="Y232" s="233"/>
      <x:c r="Z232" s="233"/>
      <x:c r="AA232" s="233"/>
      <x:c r="AB232" s="233"/>
      <x:c r="AC232" s="236"/>
      <x:c r="AD232" s="233"/>
      <x:c r="AE232" s="233"/>
      <x:c r="AF232" s="233"/>
      <x:c r="AG232" s="233"/>
      <x:c r="AH232" s="234"/>
      <x:c r="AI232" s="233"/>
      <x:c r="AJ232" s="233"/>
      <x:c r="AK232" s="233"/>
      <x:c r="AL232" s="236"/>
      <x:c r="AM232" s="233"/>
      <x:c r="AN232" s="233"/>
      <x:c r="AO232" s="234"/>
      <x:c r="AP232" s="234"/>
      <x:c r="AQ232" s="233"/>
      <x:c r="AR232" s="236"/>
      <x:c r="AS232" s="234"/>
      <x:c r="AT232" s="233"/>
      <x:c r="AU232" s="233"/>
      <x:c r="AV232" s="233"/>
      <x:c r="AW232" s="233"/>
      <x:c r="AX232" s="233"/>
      <x:c r="AY232" s="233"/>
      <x:c r="AZ232" s="236"/>
      <x:c r="BA232" s="233"/>
      <x:c r="BB232" s="233"/>
      <x:c r="BC232" s="233"/>
      <x:c r="BD232" s="233"/>
      <x:c r="BE232" s="237" t="str">
        <x:f>IF(AND(A232="",B232="",C232="",E232="",G232="",I232="",M232="",T232="",BB232="",BD232=""),"",IF(B232="skip","SKIP",IF(OR(B232="",A232="",E232="",G232="",I232="",M232="",T232="",COUNTIF($A$6:$A$505,A232)&gt;1,COUNTIF($M$6:$M$505,M232)&gt;1,AND(L232="mobile",N232&lt;&gt;"invalid",OR(LEN(M232)&lt;&gt;10,LEFT(M232,2)&lt;&gt;"09"))),"REVIEW","READY")))</x:f>
      </x:c>
      <x:c r="BF232" s="238" t="str">
        <x:f>IF(BE232="","",IF(BE232="READY","",IF(B232="skip","Skipped by import_action",TRIM(IF(B232="","missing import_action; ","")&amp;IF(A232="","missing migration_customer_key; ","")&amp;IF(AND(A232&lt;&gt;"",COUNTIF($A$6:$A$505,A232)&gt;1),"duplicate migration_customer_key; ","")&amp;IF(E232="","missing branch_id; ","")&amp;IF(G232="","missing first_name; ","")&amp;IF(I232="","missing last_name; ","")&amp;IF(M232="","missing primary_phone; ","")&amp;IF(AND(M232&lt;&gt;"",COUNTIF($M$6:$M$505,M232)&gt;1),"duplicate primary_phone; ","")&amp;IF(AND(L232="mobile",N232&lt;&gt;"invalid",OR(LEN(M232)&lt;&gt;10,LEFT(M232,2)&lt;&gt;"09")),"mobile must be 09XXXXXXXX or status invalid; ","")&amp;IF(T232="","missing neighborhood_id; ","")))))</x:f>
      </x:c>
    </x:row>
    <x:row r="233">
      <x:c r="A233" s="232"/>
      <x:c r="B233" s="233"/>
      <x:c r="C233" s="234"/>
      <x:c r="D233" s="233"/>
      <x:c r="E233" s="233"/>
      <x:c r="F233" s="233"/>
      <x:c r="G233" s="233"/>
      <x:c r="H233" s="233"/>
      <x:c r="I233" s="233"/>
      <x:c r="J233" s="233"/>
      <x:c r="K233" s="233" t="str">
        <x:f>TRIM(G233&amp;" "&amp;H233&amp;" "&amp;I233&amp;IF(J233&lt;&gt;""," ("&amp;J233&amp;")",""))</x:f>
      </x:c>
      <x:c r="L233" s="233"/>
      <x:c r="M233" s="234"/>
      <x:c r="N233" s="233"/>
      <x:c r="O233" s="233"/>
      <x:c r="P233" s="233"/>
      <x:c r="Q233" s="233"/>
      <x:c r="R233" s="233"/>
      <x:c r="S233" s="233"/>
      <x:c r="T233" s="233"/>
      <x:c r="U233" s="233"/>
      <x:c r="V233" s="233"/>
      <x:c r="W233" s="235"/>
      <x:c r="X233" s="235"/>
      <x:c r="Y233" s="233"/>
      <x:c r="Z233" s="233"/>
      <x:c r="AA233" s="233"/>
      <x:c r="AB233" s="233"/>
      <x:c r="AC233" s="236"/>
      <x:c r="AD233" s="233"/>
      <x:c r="AE233" s="233"/>
      <x:c r="AF233" s="233"/>
      <x:c r="AG233" s="233"/>
      <x:c r="AH233" s="234"/>
      <x:c r="AI233" s="233"/>
      <x:c r="AJ233" s="233"/>
      <x:c r="AK233" s="233"/>
      <x:c r="AL233" s="236"/>
      <x:c r="AM233" s="233"/>
      <x:c r="AN233" s="233"/>
      <x:c r="AO233" s="234"/>
      <x:c r="AP233" s="234"/>
      <x:c r="AQ233" s="233"/>
      <x:c r="AR233" s="236"/>
      <x:c r="AS233" s="234"/>
      <x:c r="AT233" s="233"/>
      <x:c r="AU233" s="233"/>
      <x:c r="AV233" s="233"/>
      <x:c r="AW233" s="233"/>
      <x:c r="AX233" s="233"/>
      <x:c r="AY233" s="233"/>
      <x:c r="AZ233" s="236"/>
      <x:c r="BA233" s="233"/>
      <x:c r="BB233" s="233"/>
      <x:c r="BC233" s="233"/>
      <x:c r="BD233" s="233"/>
      <x:c r="BE233" s="237" t="str">
        <x:f>IF(AND(A233="",B233="",C233="",E233="",G233="",I233="",M233="",T233="",BB233="",BD233=""),"",IF(B233="skip","SKIP",IF(OR(B233="",A233="",E233="",G233="",I233="",M233="",T233="",COUNTIF($A$6:$A$505,A233)&gt;1,COUNTIF($M$6:$M$505,M233)&gt;1,AND(L233="mobile",N233&lt;&gt;"invalid",OR(LEN(M233)&lt;&gt;10,LEFT(M233,2)&lt;&gt;"09"))),"REVIEW","READY")))</x:f>
      </x:c>
      <x:c r="BF233" s="238" t="str">
        <x:f>IF(BE233="","",IF(BE233="READY","",IF(B233="skip","Skipped by import_action",TRIM(IF(B233="","missing import_action; ","")&amp;IF(A233="","missing migration_customer_key; ","")&amp;IF(AND(A233&lt;&gt;"",COUNTIF($A$6:$A$505,A233)&gt;1),"duplicate migration_customer_key; ","")&amp;IF(E233="","missing branch_id; ","")&amp;IF(G233="","missing first_name; ","")&amp;IF(I233="","missing last_name; ","")&amp;IF(M233="","missing primary_phone; ","")&amp;IF(AND(M233&lt;&gt;"",COUNTIF($M$6:$M$505,M233)&gt;1),"duplicate primary_phone; ","")&amp;IF(AND(L233="mobile",N233&lt;&gt;"invalid",OR(LEN(M233)&lt;&gt;10,LEFT(M233,2)&lt;&gt;"09")),"mobile must be 09XXXXXXXX or status invalid; ","")&amp;IF(T233="","missing neighborhood_id; ","")))))</x:f>
      </x:c>
    </x:row>
    <x:row r="234">
      <x:c r="A234" s="232"/>
      <x:c r="B234" s="233"/>
      <x:c r="C234" s="234"/>
      <x:c r="D234" s="233"/>
      <x:c r="E234" s="233"/>
      <x:c r="F234" s="233"/>
      <x:c r="G234" s="233"/>
      <x:c r="H234" s="233"/>
      <x:c r="I234" s="233"/>
      <x:c r="J234" s="233"/>
      <x:c r="K234" s="233" t="str">
        <x:f>TRIM(G234&amp;" "&amp;H234&amp;" "&amp;I234&amp;IF(J234&lt;&gt;""," ("&amp;J234&amp;")",""))</x:f>
      </x:c>
      <x:c r="L234" s="233"/>
      <x:c r="M234" s="234"/>
      <x:c r="N234" s="233"/>
      <x:c r="O234" s="233"/>
      <x:c r="P234" s="233"/>
      <x:c r="Q234" s="233"/>
      <x:c r="R234" s="233"/>
      <x:c r="S234" s="233"/>
      <x:c r="T234" s="233"/>
      <x:c r="U234" s="233"/>
      <x:c r="V234" s="233"/>
      <x:c r="W234" s="235"/>
      <x:c r="X234" s="235"/>
      <x:c r="Y234" s="233"/>
      <x:c r="Z234" s="233"/>
      <x:c r="AA234" s="233"/>
      <x:c r="AB234" s="233"/>
      <x:c r="AC234" s="236"/>
      <x:c r="AD234" s="233"/>
      <x:c r="AE234" s="233"/>
      <x:c r="AF234" s="233"/>
      <x:c r="AG234" s="233"/>
      <x:c r="AH234" s="234"/>
      <x:c r="AI234" s="233"/>
      <x:c r="AJ234" s="233"/>
      <x:c r="AK234" s="233"/>
      <x:c r="AL234" s="236"/>
      <x:c r="AM234" s="233"/>
      <x:c r="AN234" s="233"/>
      <x:c r="AO234" s="234"/>
      <x:c r="AP234" s="234"/>
      <x:c r="AQ234" s="233"/>
      <x:c r="AR234" s="236"/>
      <x:c r="AS234" s="234"/>
      <x:c r="AT234" s="233"/>
      <x:c r="AU234" s="233"/>
      <x:c r="AV234" s="233"/>
      <x:c r="AW234" s="233"/>
      <x:c r="AX234" s="233"/>
      <x:c r="AY234" s="233"/>
      <x:c r="AZ234" s="236"/>
      <x:c r="BA234" s="233"/>
      <x:c r="BB234" s="233"/>
      <x:c r="BC234" s="233"/>
      <x:c r="BD234" s="233"/>
      <x:c r="BE234" s="237" t="str">
        <x:f>IF(AND(A234="",B234="",C234="",E234="",G234="",I234="",M234="",T234="",BB234="",BD234=""),"",IF(B234="skip","SKIP",IF(OR(B234="",A234="",E234="",G234="",I234="",M234="",T234="",COUNTIF($A$6:$A$505,A234)&gt;1,COUNTIF($M$6:$M$505,M234)&gt;1,AND(L234="mobile",N234&lt;&gt;"invalid",OR(LEN(M234)&lt;&gt;10,LEFT(M234,2)&lt;&gt;"09"))),"REVIEW","READY")))</x:f>
      </x:c>
      <x:c r="BF234" s="238" t="str">
        <x:f>IF(BE234="","",IF(BE234="READY","",IF(B234="skip","Skipped by import_action",TRIM(IF(B234="","missing import_action; ","")&amp;IF(A234="","missing migration_customer_key; ","")&amp;IF(AND(A234&lt;&gt;"",COUNTIF($A$6:$A$505,A234)&gt;1),"duplicate migration_customer_key; ","")&amp;IF(E234="","missing branch_id; ","")&amp;IF(G234="","missing first_name; ","")&amp;IF(I234="","missing last_name; ","")&amp;IF(M234="","missing primary_phone; ","")&amp;IF(AND(M234&lt;&gt;"",COUNTIF($M$6:$M$505,M234)&gt;1),"duplicate primary_phone; ","")&amp;IF(AND(L234="mobile",N234&lt;&gt;"invalid",OR(LEN(M234)&lt;&gt;10,LEFT(M234,2)&lt;&gt;"09")),"mobile must be 09XXXXXXXX or status invalid; ","")&amp;IF(T234="","missing neighborhood_id; ","")))))</x:f>
      </x:c>
    </x:row>
    <x:row r="235">
      <x:c r="A235" s="232"/>
      <x:c r="B235" s="233"/>
      <x:c r="C235" s="234"/>
      <x:c r="D235" s="233"/>
      <x:c r="E235" s="233"/>
      <x:c r="F235" s="233"/>
      <x:c r="G235" s="233"/>
      <x:c r="H235" s="233"/>
      <x:c r="I235" s="233"/>
      <x:c r="J235" s="233"/>
      <x:c r="K235" s="233" t="str">
        <x:f>TRIM(G235&amp;" "&amp;H235&amp;" "&amp;I235&amp;IF(J235&lt;&gt;""," ("&amp;J235&amp;")",""))</x:f>
      </x:c>
      <x:c r="L235" s="233"/>
      <x:c r="M235" s="234"/>
      <x:c r="N235" s="233"/>
      <x:c r="O235" s="233"/>
      <x:c r="P235" s="233"/>
      <x:c r="Q235" s="233"/>
      <x:c r="R235" s="233"/>
      <x:c r="S235" s="233"/>
      <x:c r="T235" s="233"/>
      <x:c r="U235" s="233"/>
      <x:c r="V235" s="233"/>
      <x:c r="W235" s="235"/>
      <x:c r="X235" s="235"/>
      <x:c r="Y235" s="233"/>
      <x:c r="Z235" s="233"/>
      <x:c r="AA235" s="233"/>
      <x:c r="AB235" s="233"/>
      <x:c r="AC235" s="236"/>
      <x:c r="AD235" s="233"/>
      <x:c r="AE235" s="233"/>
      <x:c r="AF235" s="233"/>
      <x:c r="AG235" s="233"/>
      <x:c r="AH235" s="234"/>
      <x:c r="AI235" s="233"/>
      <x:c r="AJ235" s="233"/>
      <x:c r="AK235" s="233"/>
      <x:c r="AL235" s="236"/>
      <x:c r="AM235" s="233"/>
      <x:c r="AN235" s="233"/>
      <x:c r="AO235" s="234"/>
      <x:c r="AP235" s="234"/>
      <x:c r="AQ235" s="233"/>
      <x:c r="AR235" s="236"/>
      <x:c r="AS235" s="234"/>
      <x:c r="AT235" s="233"/>
      <x:c r="AU235" s="233"/>
      <x:c r="AV235" s="233"/>
      <x:c r="AW235" s="233"/>
      <x:c r="AX235" s="233"/>
      <x:c r="AY235" s="233"/>
      <x:c r="AZ235" s="236"/>
      <x:c r="BA235" s="233"/>
      <x:c r="BB235" s="233"/>
      <x:c r="BC235" s="233"/>
      <x:c r="BD235" s="233"/>
      <x:c r="BE235" s="237" t="str">
        <x:f>IF(AND(A235="",B235="",C235="",E235="",G235="",I235="",M235="",T235="",BB235="",BD235=""),"",IF(B235="skip","SKIP",IF(OR(B235="",A235="",E235="",G235="",I235="",M235="",T235="",COUNTIF($A$6:$A$505,A235)&gt;1,COUNTIF($M$6:$M$505,M235)&gt;1,AND(L235="mobile",N235&lt;&gt;"invalid",OR(LEN(M235)&lt;&gt;10,LEFT(M235,2)&lt;&gt;"09"))),"REVIEW","READY")))</x:f>
      </x:c>
      <x:c r="BF235" s="238" t="str">
        <x:f>IF(BE235="","",IF(BE235="READY","",IF(B235="skip","Skipped by import_action",TRIM(IF(B235="","missing import_action; ","")&amp;IF(A235="","missing migration_customer_key; ","")&amp;IF(AND(A235&lt;&gt;"",COUNTIF($A$6:$A$505,A235)&gt;1),"duplicate migration_customer_key; ","")&amp;IF(E235="","missing branch_id; ","")&amp;IF(G235="","missing first_name; ","")&amp;IF(I235="","missing last_name; ","")&amp;IF(M235="","missing primary_phone; ","")&amp;IF(AND(M235&lt;&gt;"",COUNTIF($M$6:$M$505,M235)&gt;1),"duplicate primary_phone; ","")&amp;IF(AND(L235="mobile",N235&lt;&gt;"invalid",OR(LEN(M235)&lt;&gt;10,LEFT(M235,2)&lt;&gt;"09")),"mobile must be 09XXXXXXXX or status invalid; ","")&amp;IF(T235="","missing neighborhood_id; ","")))))</x:f>
      </x:c>
    </x:row>
    <x:row r="236">
      <x:c r="A236" s="232"/>
      <x:c r="B236" s="233"/>
      <x:c r="C236" s="234"/>
      <x:c r="D236" s="233"/>
      <x:c r="E236" s="233"/>
      <x:c r="F236" s="233"/>
      <x:c r="G236" s="233"/>
      <x:c r="H236" s="233"/>
      <x:c r="I236" s="233"/>
      <x:c r="J236" s="233"/>
      <x:c r="K236" s="233" t="str">
        <x:f>TRIM(G236&amp;" "&amp;H236&amp;" "&amp;I236&amp;IF(J236&lt;&gt;""," ("&amp;J236&amp;")",""))</x:f>
      </x:c>
      <x:c r="L236" s="233"/>
      <x:c r="M236" s="234"/>
      <x:c r="N236" s="233"/>
      <x:c r="O236" s="233"/>
      <x:c r="P236" s="233"/>
      <x:c r="Q236" s="233"/>
      <x:c r="R236" s="233"/>
      <x:c r="S236" s="233"/>
      <x:c r="T236" s="233"/>
      <x:c r="U236" s="233"/>
      <x:c r="V236" s="233"/>
      <x:c r="W236" s="235"/>
      <x:c r="X236" s="235"/>
      <x:c r="Y236" s="233"/>
      <x:c r="Z236" s="233"/>
      <x:c r="AA236" s="233"/>
      <x:c r="AB236" s="233"/>
      <x:c r="AC236" s="236"/>
      <x:c r="AD236" s="233"/>
      <x:c r="AE236" s="233"/>
      <x:c r="AF236" s="233"/>
      <x:c r="AG236" s="233"/>
      <x:c r="AH236" s="234"/>
      <x:c r="AI236" s="233"/>
      <x:c r="AJ236" s="233"/>
      <x:c r="AK236" s="233"/>
      <x:c r="AL236" s="236"/>
      <x:c r="AM236" s="233"/>
      <x:c r="AN236" s="233"/>
      <x:c r="AO236" s="234"/>
      <x:c r="AP236" s="234"/>
      <x:c r="AQ236" s="233"/>
      <x:c r="AR236" s="236"/>
      <x:c r="AS236" s="234"/>
      <x:c r="AT236" s="233"/>
      <x:c r="AU236" s="233"/>
      <x:c r="AV236" s="233"/>
      <x:c r="AW236" s="233"/>
      <x:c r="AX236" s="233"/>
      <x:c r="AY236" s="233"/>
      <x:c r="AZ236" s="236"/>
      <x:c r="BA236" s="233"/>
      <x:c r="BB236" s="233"/>
      <x:c r="BC236" s="233"/>
      <x:c r="BD236" s="233"/>
      <x:c r="BE236" s="237" t="str">
        <x:f>IF(AND(A236="",B236="",C236="",E236="",G236="",I236="",M236="",T236="",BB236="",BD236=""),"",IF(B236="skip","SKIP",IF(OR(B236="",A236="",E236="",G236="",I236="",M236="",T236="",COUNTIF($A$6:$A$505,A236)&gt;1,COUNTIF($M$6:$M$505,M236)&gt;1,AND(L236="mobile",N236&lt;&gt;"invalid",OR(LEN(M236)&lt;&gt;10,LEFT(M236,2)&lt;&gt;"09"))),"REVIEW","READY")))</x:f>
      </x:c>
      <x:c r="BF236" s="238" t="str">
        <x:f>IF(BE236="","",IF(BE236="READY","",IF(B236="skip","Skipped by import_action",TRIM(IF(B236="","missing import_action; ","")&amp;IF(A236="","missing migration_customer_key; ","")&amp;IF(AND(A236&lt;&gt;"",COUNTIF($A$6:$A$505,A236)&gt;1),"duplicate migration_customer_key; ","")&amp;IF(E236="","missing branch_id; ","")&amp;IF(G236="","missing first_name; ","")&amp;IF(I236="","missing last_name; ","")&amp;IF(M236="","missing primary_phone; ","")&amp;IF(AND(M236&lt;&gt;"",COUNTIF($M$6:$M$505,M236)&gt;1),"duplicate primary_phone; ","")&amp;IF(AND(L236="mobile",N236&lt;&gt;"invalid",OR(LEN(M236)&lt;&gt;10,LEFT(M236,2)&lt;&gt;"09")),"mobile must be 09XXXXXXXX or status invalid; ","")&amp;IF(T236="","missing neighborhood_id; ","")))))</x:f>
      </x:c>
    </x:row>
    <x:row r="237">
      <x:c r="A237" s="232"/>
      <x:c r="B237" s="233"/>
      <x:c r="C237" s="234"/>
      <x:c r="D237" s="233"/>
      <x:c r="E237" s="233"/>
      <x:c r="F237" s="233"/>
      <x:c r="G237" s="233"/>
      <x:c r="H237" s="233"/>
      <x:c r="I237" s="233"/>
      <x:c r="J237" s="233"/>
      <x:c r="K237" s="233" t="str">
        <x:f>TRIM(G237&amp;" "&amp;H237&amp;" "&amp;I237&amp;IF(J237&lt;&gt;""," ("&amp;J237&amp;")",""))</x:f>
      </x:c>
      <x:c r="L237" s="233"/>
      <x:c r="M237" s="234"/>
      <x:c r="N237" s="233"/>
      <x:c r="O237" s="233"/>
      <x:c r="P237" s="233"/>
      <x:c r="Q237" s="233"/>
      <x:c r="R237" s="233"/>
      <x:c r="S237" s="233"/>
      <x:c r="T237" s="233"/>
      <x:c r="U237" s="233"/>
      <x:c r="V237" s="233"/>
      <x:c r="W237" s="235"/>
      <x:c r="X237" s="235"/>
      <x:c r="Y237" s="233"/>
      <x:c r="Z237" s="233"/>
      <x:c r="AA237" s="233"/>
      <x:c r="AB237" s="233"/>
      <x:c r="AC237" s="236"/>
      <x:c r="AD237" s="233"/>
      <x:c r="AE237" s="233"/>
      <x:c r="AF237" s="233"/>
      <x:c r="AG237" s="233"/>
      <x:c r="AH237" s="234"/>
      <x:c r="AI237" s="233"/>
      <x:c r="AJ237" s="233"/>
      <x:c r="AK237" s="233"/>
      <x:c r="AL237" s="236"/>
      <x:c r="AM237" s="233"/>
      <x:c r="AN237" s="233"/>
      <x:c r="AO237" s="234"/>
      <x:c r="AP237" s="234"/>
      <x:c r="AQ237" s="233"/>
      <x:c r="AR237" s="236"/>
      <x:c r="AS237" s="234"/>
      <x:c r="AT237" s="233"/>
      <x:c r="AU237" s="233"/>
      <x:c r="AV237" s="233"/>
      <x:c r="AW237" s="233"/>
      <x:c r="AX237" s="233"/>
      <x:c r="AY237" s="233"/>
      <x:c r="AZ237" s="236"/>
      <x:c r="BA237" s="233"/>
      <x:c r="BB237" s="233"/>
      <x:c r="BC237" s="233"/>
      <x:c r="BD237" s="233"/>
      <x:c r="BE237" s="237" t="str">
        <x:f>IF(AND(A237="",B237="",C237="",E237="",G237="",I237="",M237="",T237="",BB237="",BD237=""),"",IF(B237="skip","SKIP",IF(OR(B237="",A237="",E237="",G237="",I237="",M237="",T237="",COUNTIF($A$6:$A$505,A237)&gt;1,COUNTIF($M$6:$M$505,M237)&gt;1,AND(L237="mobile",N237&lt;&gt;"invalid",OR(LEN(M237)&lt;&gt;10,LEFT(M237,2)&lt;&gt;"09"))),"REVIEW","READY")))</x:f>
      </x:c>
      <x:c r="BF237" s="238" t="str">
        <x:f>IF(BE237="","",IF(BE237="READY","",IF(B237="skip","Skipped by import_action",TRIM(IF(B237="","missing import_action; ","")&amp;IF(A237="","missing migration_customer_key; ","")&amp;IF(AND(A237&lt;&gt;"",COUNTIF($A$6:$A$505,A237)&gt;1),"duplicate migration_customer_key; ","")&amp;IF(E237="","missing branch_id; ","")&amp;IF(G237="","missing first_name; ","")&amp;IF(I237="","missing last_name; ","")&amp;IF(M237="","missing primary_phone; ","")&amp;IF(AND(M237&lt;&gt;"",COUNTIF($M$6:$M$505,M237)&gt;1),"duplicate primary_phone; ","")&amp;IF(AND(L237="mobile",N237&lt;&gt;"invalid",OR(LEN(M237)&lt;&gt;10,LEFT(M237,2)&lt;&gt;"09")),"mobile must be 09XXXXXXXX or status invalid; ","")&amp;IF(T237="","missing neighborhood_id; ","")))))</x:f>
      </x:c>
    </x:row>
    <x:row r="238">
      <x:c r="A238" s="232"/>
      <x:c r="B238" s="233"/>
      <x:c r="C238" s="234"/>
      <x:c r="D238" s="233"/>
      <x:c r="E238" s="233"/>
      <x:c r="F238" s="233"/>
      <x:c r="G238" s="233"/>
      <x:c r="H238" s="233"/>
      <x:c r="I238" s="233"/>
      <x:c r="J238" s="233"/>
      <x:c r="K238" s="233" t="str">
        <x:f>TRIM(G238&amp;" "&amp;H238&amp;" "&amp;I238&amp;IF(J238&lt;&gt;""," ("&amp;J238&amp;")",""))</x:f>
      </x:c>
      <x:c r="L238" s="233"/>
      <x:c r="M238" s="234"/>
      <x:c r="N238" s="233"/>
      <x:c r="O238" s="233"/>
      <x:c r="P238" s="233"/>
      <x:c r="Q238" s="233"/>
      <x:c r="R238" s="233"/>
      <x:c r="S238" s="233"/>
      <x:c r="T238" s="233"/>
      <x:c r="U238" s="233"/>
      <x:c r="V238" s="233"/>
      <x:c r="W238" s="235"/>
      <x:c r="X238" s="235"/>
      <x:c r="Y238" s="233"/>
      <x:c r="Z238" s="233"/>
      <x:c r="AA238" s="233"/>
      <x:c r="AB238" s="233"/>
      <x:c r="AC238" s="236"/>
      <x:c r="AD238" s="233"/>
      <x:c r="AE238" s="233"/>
      <x:c r="AF238" s="233"/>
      <x:c r="AG238" s="233"/>
      <x:c r="AH238" s="234"/>
      <x:c r="AI238" s="233"/>
      <x:c r="AJ238" s="233"/>
      <x:c r="AK238" s="233"/>
      <x:c r="AL238" s="236"/>
      <x:c r="AM238" s="233"/>
      <x:c r="AN238" s="233"/>
      <x:c r="AO238" s="234"/>
      <x:c r="AP238" s="234"/>
      <x:c r="AQ238" s="233"/>
      <x:c r="AR238" s="236"/>
      <x:c r="AS238" s="234"/>
      <x:c r="AT238" s="233"/>
      <x:c r="AU238" s="233"/>
      <x:c r="AV238" s="233"/>
      <x:c r="AW238" s="233"/>
      <x:c r="AX238" s="233"/>
      <x:c r="AY238" s="233"/>
      <x:c r="AZ238" s="236"/>
      <x:c r="BA238" s="233"/>
      <x:c r="BB238" s="233"/>
      <x:c r="BC238" s="233"/>
      <x:c r="BD238" s="233"/>
      <x:c r="BE238" s="237" t="str">
        <x:f>IF(AND(A238="",B238="",C238="",E238="",G238="",I238="",M238="",T238="",BB238="",BD238=""),"",IF(B238="skip","SKIP",IF(OR(B238="",A238="",E238="",G238="",I238="",M238="",T238="",COUNTIF($A$6:$A$505,A238)&gt;1,COUNTIF($M$6:$M$505,M238)&gt;1,AND(L238="mobile",N238&lt;&gt;"invalid",OR(LEN(M238)&lt;&gt;10,LEFT(M238,2)&lt;&gt;"09"))),"REVIEW","READY")))</x:f>
      </x:c>
      <x:c r="BF238" s="238" t="str">
        <x:f>IF(BE238="","",IF(BE238="READY","",IF(B238="skip","Skipped by import_action",TRIM(IF(B238="","missing import_action; ","")&amp;IF(A238="","missing migration_customer_key; ","")&amp;IF(AND(A238&lt;&gt;"",COUNTIF($A$6:$A$505,A238)&gt;1),"duplicate migration_customer_key; ","")&amp;IF(E238="","missing branch_id; ","")&amp;IF(G238="","missing first_name; ","")&amp;IF(I238="","missing last_name; ","")&amp;IF(M238="","missing primary_phone; ","")&amp;IF(AND(M238&lt;&gt;"",COUNTIF($M$6:$M$505,M238)&gt;1),"duplicate primary_phone; ","")&amp;IF(AND(L238="mobile",N238&lt;&gt;"invalid",OR(LEN(M238)&lt;&gt;10,LEFT(M238,2)&lt;&gt;"09")),"mobile must be 09XXXXXXXX or status invalid; ","")&amp;IF(T238="","missing neighborhood_id; ","")))))</x:f>
      </x:c>
    </x:row>
    <x:row r="239">
      <x:c r="A239" s="232"/>
      <x:c r="B239" s="233"/>
      <x:c r="C239" s="234"/>
      <x:c r="D239" s="233"/>
      <x:c r="E239" s="233"/>
      <x:c r="F239" s="233"/>
      <x:c r="G239" s="233"/>
      <x:c r="H239" s="233"/>
      <x:c r="I239" s="233"/>
      <x:c r="J239" s="233"/>
      <x:c r="K239" s="233" t="str">
        <x:f>TRIM(G239&amp;" "&amp;H239&amp;" "&amp;I239&amp;IF(J239&lt;&gt;""," ("&amp;J239&amp;")",""))</x:f>
      </x:c>
      <x:c r="L239" s="233"/>
      <x:c r="M239" s="234"/>
      <x:c r="N239" s="233"/>
      <x:c r="O239" s="233"/>
      <x:c r="P239" s="233"/>
      <x:c r="Q239" s="233"/>
      <x:c r="R239" s="233"/>
      <x:c r="S239" s="233"/>
      <x:c r="T239" s="233"/>
      <x:c r="U239" s="233"/>
      <x:c r="V239" s="233"/>
      <x:c r="W239" s="235"/>
      <x:c r="X239" s="235"/>
      <x:c r="Y239" s="233"/>
      <x:c r="Z239" s="233"/>
      <x:c r="AA239" s="233"/>
      <x:c r="AB239" s="233"/>
      <x:c r="AC239" s="236"/>
      <x:c r="AD239" s="233"/>
      <x:c r="AE239" s="233"/>
      <x:c r="AF239" s="233"/>
      <x:c r="AG239" s="233"/>
      <x:c r="AH239" s="234"/>
      <x:c r="AI239" s="233"/>
      <x:c r="AJ239" s="233"/>
      <x:c r="AK239" s="233"/>
      <x:c r="AL239" s="236"/>
      <x:c r="AM239" s="233"/>
      <x:c r="AN239" s="233"/>
      <x:c r="AO239" s="234"/>
      <x:c r="AP239" s="234"/>
      <x:c r="AQ239" s="233"/>
      <x:c r="AR239" s="236"/>
      <x:c r="AS239" s="234"/>
      <x:c r="AT239" s="233"/>
      <x:c r="AU239" s="233"/>
      <x:c r="AV239" s="233"/>
      <x:c r="AW239" s="233"/>
      <x:c r="AX239" s="233"/>
      <x:c r="AY239" s="233"/>
      <x:c r="AZ239" s="236"/>
      <x:c r="BA239" s="233"/>
      <x:c r="BB239" s="233"/>
      <x:c r="BC239" s="233"/>
      <x:c r="BD239" s="233"/>
      <x:c r="BE239" s="237" t="str">
        <x:f>IF(AND(A239="",B239="",C239="",E239="",G239="",I239="",M239="",T239="",BB239="",BD239=""),"",IF(B239="skip","SKIP",IF(OR(B239="",A239="",E239="",G239="",I239="",M239="",T239="",COUNTIF($A$6:$A$505,A239)&gt;1,COUNTIF($M$6:$M$505,M239)&gt;1,AND(L239="mobile",N239&lt;&gt;"invalid",OR(LEN(M239)&lt;&gt;10,LEFT(M239,2)&lt;&gt;"09"))),"REVIEW","READY")))</x:f>
      </x:c>
      <x:c r="BF239" s="238" t="str">
        <x:f>IF(BE239="","",IF(BE239="READY","",IF(B239="skip","Skipped by import_action",TRIM(IF(B239="","missing import_action; ","")&amp;IF(A239="","missing migration_customer_key; ","")&amp;IF(AND(A239&lt;&gt;"",COUNTIF($A$6:$A$505,A239)&gt;1),"duplicate migration_customer_key; ","")&amp;IF(E239="","missing branch_id; ","")&amp;IF(G239="","missing first_name; ","")&amp;IF(I239="","missing last_name; ","")&amp;IF(M239="","missing primary_phone; ","")&amp;IF(AND(M239&lt;&gt;"",COUNTIF($M$6:$M$505,M239)&gt;1),"duplicate primary_phone; ","")&amp;IF(AND(L239="mobile",N239&lt;&gt;"invalid",OR(LEN(M239)&lt;&gt;10,LEFT(M239,2)&lt;&gt;"09")),"mobile must be 09XXXXXXXX or status invalid; ","")&amp;IF(T239="","missing neighborhood_id; ","")))))</x:f>
      </x:c>
    </x:row>
    <x:row r="240">
      <x:c r="A240" s="232"/>
      <x:c r="B240" s="233"/>
      <x:c r="C240" s="234"/>
      <x:c r="D240" s="233"/>
      <x:c r="E240" s="233"/>
      <x:c r="F240" s="233"/>
      <x:c r="G240" s="233"/>
      <x:c r="H240" s="233"/>
      <x:c r="I240" s="233"/>
      <x:c r="J240" s="233"/>
      <x:c r="K240" s="233" t="str">
        <x:f>TRIM(G240&amp;" "&amp;H240&amp;" "&amp;I240&amp;IF(J240&lt;&gt;""," ("&amp;J240&amp;")",""))</x:f>
      </x:c>
      <x:c r="L240" s="233"/>
      <x:c r="M240" s="234"/>
      <x:c r="N240" s="233"/>
      <x:c r="O240" s="233"/>
      <x:c r="P240" s="233"/>
      <x:c r="Q240" s="233"/>
      <x:c r="R240" s="233"/>
      <x:c r="S240" s="233"/>
      <x:c r="T240" s="233"/>
      <x:c r="U240" s="233"/>
      <x:c r="V240" s="233"/>
      <x:c r="W240" s="235"/>
      <x:c r="X240" s="235"/>
      <x:c r="Y240" s="233"/>
      <x:c r="Z240" s="233"/>
      <x:c r="AA240" s="233"/>
      <x:c r="AB240" s="233"/>
      <x:c r="AC240" s="236"/>
      <x:c r="AD240" s="233"/>
      <x:c r="AE240" s="233"/>
      <x:c r="AF240" s="233"/>
      <x:c r="AG240" s="233"/>
      <x:c r="AH240" s="234"/>
      <x:c r="AI240" s="233"/>
      <x:c r="AJ240" s="233"/>
      <x:c r="AK240" s="233"/>
      <x:c r="AL240" s="236"/>
      <x:c r="AM240" s="233"/>
      <x:c r="AN240" s="233"/>
      <x:c r="AO240" s="234"/>
      <x:c r="AP240" s="234"/>
      <x:c r="AQ240" s="233"/>
      <x:c r="AR240" s="236"/>
      <x:c r="AS240" s="234"/>
      <x:c r="AT240" s="233"/>
      <x:c r="AU240" s="233"/>
      <x:c r="AV240" s="233"/>
      <x:c r="AW240" s="233"/>
      <x:c r="AX240" s="233"/>
      <x:c r="AY240" s="233"/>
      <x:c r="AZ240" s="236"/>
      <x:c r="BA240" s="233"/>
      <x:c r="BB240" s="233"/>
      <x:c r="BC240" s="233"/>
      <x:c r="BD240" s="233"/>
      <x:c r="BE240" s="237" t="str">
        <x:f>IF(AND(A240="",B240="",C240="",E240="",G240="",I240="",M240="",T240="",BB240="",BD240=""),"",IF(B240="skip","SKIP",IF(OR(B240="",A240="",E240="",G240="",I240="",M240="",T240="",COUNTIF($A$6:$A$505,A240)&gt;1,COUNTIF($M$6:$M$505,M240)&gt;1,AND(L240="mobile",N240&lt;&gt;"invalid",OR(LEN(M240)&lt;&gt;10,LEFT(M240,2)&lt;&gt;"09"))),"REVIEW","READY")))</x:f>
      </x:c>
      <x:c r="BF240" s="238" t="str">
        <x:f>IF(BE240="","",IF(BE240="READY","",IF(B240="skip","Skipped by import_action",TRIM(IF(B240="","missing import_action; ","")&amp;IF(A240="","missing migration_customer_key; ","")&amp;IF(AND(A240&lt;&gt;"",COUNTIF($A$6:$A$505,A240)&gt;1),"duplicate migration_customer_key; ","")&amp;IF(E240="","missing branch_id; ","")&amp;IF(G240="","missing first_name; ","")&amp;IF(I240="","missing last_name; ","")&amp;IF(M240="","missing primary_phone; ","")&amp;IF(AND(M240&lt;&gt;"",COUNTIF($M$6:$M$505,M240)&gt;1),"duplicate primary_phone; ","")&amp;IF(AND(L240="mobile",N240&lt;&gt;"invalid",OR(LEN(M240)&lt;&gt;10,LEFT(M240,2)&lt;&gt;"09")),"mobile must be 09XXXXXXXX or status invalid; ","")&amp;IF(T240="","missing neighborhood_id; ","")))))</x:f>
      </x:c>
    </x:row>
    <x:row r="241">
      <x:c r="A241" s="232"/>
      <x:c r="B241" s="233"/>
      <x:c r="C241" s="234"/>
      <x:c r="D241" s="233"/>
      <x:c r="E241" s="233"/>
      <x:c r="F241" s="233"/>
      <x:c r="G241" s="233"/>
      <x:c r="H241" s="233"/>
      <x:c r="I241" s="233"/>
      <x:c r="J241" s="233"/>
      <x:c r="K241" s="233" t="str">
        <x:f>TRIM(G241&amp;" "&amp;H241&amp;" "&amp;I241&amp;IF(J241&lt;&gt;""," ("&amp;J241&amp;")",""))</x:f>
      </x:c>
      <x:c r="L241" s="233"/>
      <x:c r="M241" s="234"/>
      <x:c r="N241" s="233"/>
      <x:c r="O241" s="233"/>
      <x:c r="P241" s="233"/>
      <x:c r="Q241" s="233"/>
      <x:c r="R241" s="233"/>
      <x:c r="S241" s="233"/>
      <x:c r="T241" s="233"/>
      <x:c r="U241" s="233"/>
      <x:c r="V241" s="233"/>
      <x:c r="W241" s="235"/>
      <x:c r="X241" s="235"/>
      <x:c r="Y241" s="233"/>
      <x:c r="Z241" s="233"/>
      <x:c r="AA241" s="233"/>
      <x:c r="AB241" s="233"/>
      <x:c r="AC241" s="236"/>
      <x:c r="AD241" s="233"/>
      <x:c r="AE241" s="233"/>
      <x:c r="AF241" s="233"/>
      <x:c r="AG241" s="233"/>
      <x:c r="AH241" s="234"/>
      <x:c r="AI241" s="233"/>
      <x:c r="AJ241" s="233"/>
      <x:c r="AK241" s="233"/>
      <x:c r="AL241" s="236"/>
      <x:c r="AM241" s="233"/>
      <x:c r="AN241" s="233"/>
      <x:c r="AO241" s="234"/>
      <x:c r="AP241" s="234"/>
      <x:c r="AQ241" s="233"/>
      <x:c r="AR241" s="236"/>
      <x:c r="AS241" s="234"/>
      <x:c r="AT241" s="233"/>
      <x:c r="AU241" s="233"/>
      <x:c r="AV241" s="233"/>
      <x:c r="AW241" s="233"/>
      <x:c r="AX241" s="233"/>
      <x:c r="AY241" s="233"/>
      <x:c r="AZ241" s="236"/>
      <x:c r="BA241" s="233"/>
      <x:c r="BB241" s="233"/>
      <x:c r="BC241" s="233"/>
      <x:c r="BD241" s="233"/>
      <x:c r="BE241" s="237" t="str">
        <x:f>IF(AND(A241="",B241="",C241="",E241="",G241="",I241="",M241="",T241="",BB241="",BD241=""),"",IF(B241="skip","SKIP",IF(OR(B241="",A241="",E241="",G241="",I241="",M241="",T241="",COUNTIF($A$6:$A$505,A241)&gt;1,COUNTIF($M$6:$M$505,M241)&gt;1,AND(L241="mobile",N241&lt;&gt;"invalid",OR(LEN(M241)&lt;&gt;10,LEFT(M241,2)&lt;&gt;"09"))),"REVIEW","READY")))</x:f>
      </x:c>
      <x:c r="BF241" s="238" t="str">
        <x:f>IF(BE241="","",IF(BE241="READY","",IF(B241="skip","Skipped by import_action",TRIM(IF(B241="","missing import_action; ","")&amp;IF(A241="","missing migration_customer_key; ","")&amp;IF(AND(A241&lt;&gt;"",COUNTIF($A$6:$A$505,A241)&gt;1),"duplicate migration_customer_key; ","")&amp;IF(E241="","missing branch_id; ","")&amp;IF(G241="","missing first_name; ","")&amp;IF(I241="","missing last_name; ","")&amp;IF(M241="","missing primary_phone; ","")&amp;IF(AND(M241&lt;&gt;"",COUNTIF($M$6:$M$505,M241)&gt;1),"duplicate primary_phone; ","")&amp;IF(AND(L241="mobile",N241&lt;&gt;"invalid",OR(LEN(M241)&lt;&gt;10,LEFT(M241,2)&lt;&gt;"09")),"mobile must be 09XXXXXXXX or status invalid; ","")&amp;IF(T241="","missing neighborhood_id; ","")))))</x:f>
      </x:c>
    </x:row>
    <x:row r="242">
      <x:c r="A242" s="232"/>
      <x:c r="B242" s="233"/>
      <x:c r="C242" s="234"/>
      <x:c r="D242" s="233"/>
      <x:c r="E242" s="233"/>
      <x:c r="F242" s="233"/>
      <x:c r="G242" s="233"/>
      <x:c r="H242" s="233"/>
      <x:c r="I242" s="233"/>
      <x:c r="J242" s="233"/>
      <x:c r="K242" s="233" t="str">
        <x:f>TRIM(G242&amp;" "&amp;H242&amp;" "&amp;I242&amp;IF(J242&lt;&gt;""," ("&amp;J242&amp;")",""))</x:f>
      </x:c>
      <x:c r="L242" s="233"/>
      <x:c r="M242" s="234"/>
      <x:c r="N242" s="233"/>
      <x:c r="O242" s="233"/>
      <x:c r="P242" s="233"/>
      <x:c r="Q242" s="233"/>
      <x:c r="R242" s="233"/>
      <x:c r="S242" s="233"/>
      <x:c r="T242" s="233"/>
      <x:c r="U242" s="233"/>
      <x:c r="V242" s="233"/>
      <x:c r="W242" s="235"/>
      <x:c r="X242" s="235"/>
      <x:c r="Y242" s="233"/>
      <x:c r="Z242" s="233"/>
      <x:c r="AA242" s="233"/>
      <x:c r="AB242" s="233"/>
      <x:c r="AC242" s="236"/>
      <x:c r="AD242" s="233"/>
      <x:c r="AE242" s="233"/>
      <x:c r="AF242" s="233"/>
      <x:c r="AG242" s="233"/>
      <x:c r="AH242" s="234"/>
      <x:c r="AI242" s="233"/>
      <x:c r="AJ242" s="233"/>
      <x:c r="AK242" s="233"/>
      <x:c r="AL242" s="236"/>
      <x:c r="AM242" s="233"/>
      <x:c r="AN242" s="233"/>
      <x:c r="AO242" s="234"/>
      <x:c r="AP242" s="234"/>
      <x:c r="AQ242" s="233"/>
      <x:c r="AR242" s="236"/>
      <x:c r="AS242" s="234"/>
      <x:c r="AT242" s="233"/>
      <x:c r="AU242" s="233"/>
      <x:c r="AV242" s="233"/>
      <x:c r="AW242" s="233"/>
      <x:c r="AX242" s="233"/>
      <x:c r="AY242" s="233"/>
      <x:c r="AZ242" s="236"/>
      <x:c r="BA242" s="233"/>
      <x:c r="BB242" s="233"/>
      <x:c r="BC242" s="233"/>
      <x:c r="BD242" s="233"/>
      <x:c r="BE242" s="237" t="str">
        <x:f>IF(AND(A242="",B242="",C242="",E242="",G242="",I242="",M242="",T242="",BB242="",BD242=""),"",IF(B242="skip","SKIP",IF(OR(B242="",A242="",E242="",G242="",I242="",M242="",T242="",COUNTIF($A$6:$A$505,A242)&gt;1,COUNTIF($M$6:$M$505,M242)&gt;1,AND(L242="mobile",N242&lt;&gt;"invalid",OR(LEN(M242)&lt;&gt;10,LEFT(M242,2)&lt;&gt;"09"))),"REVIEW","READY")))</x:f>
      </x:c>
      <x:c r="BF242" s="238" t="str">
        <x:f>IF(BE242="","",IF(BE242="READY","",IF(B242="skip","Skipped by import_action",TRIM(IF(B242="","missing import_action; ","")&amp;IF(A242="","missing migration_customer_key; ","")&amp;IF(AND(A242&lt;&gt;"",COUNTIF($A$6:$A$505,A242)&gt;1),"duplicate migration_customer_key; ","")&amp;IF(E242="","missing branch_id; ","")&amp;IF(G242="","missing first_name; ","")&amp;IF(I242="","missing last_name; ","")&amp;IF(M242="","missing primary_phone; ","")&amp;IF(AND(M242&lt;&gt;"",COUNTIF($M$6:$M$505,M242)&gt;1),"duplicate primary_phone; ","")&amp;IF(AND(L242="mobile",N242&lt;&gt;"invalid",OR(LEN(M242)&lt;&gt;10,LEFT(M242,2)&lt;&gt;"09")),"mobile must be 09XXXXXXXX or status invalid; ","")&amp;IF(T242="","missing neighborhood_id; ","")))))</x:f>
      </x:c>
    </x:row>
    <x:row r="243">
      <x:c r="A243" s="232"/>
      <x:c r="B243" s="233"/>
      <x:c r="C243" s="234"/>
      <x:c r="D243" s="233"/>
      <x:c r="E243" s="233"/>
      <x:c r="F243" s="233"/>
      <x:c r="G243" s="233"/>
      <x:c r="H243" s="233"/>
      <x:c r="I243" s="233"/>
      <x:c r="J243" s="233"/>
      <x:c r="K243" s="233" t="str">
        <x:f>TRIM(G243&amp;" "&amp;H243&amp;" "&amp;I243&amp;IF(J243&lt;&gt;""," ("&amp;J243&amp;")",""))</x:f>
      </x:c>
      <x:c r="L243" s="233"/>
      <x:c r="M243" s="234"/>
      <x:c r="N243" s="233"/>
      <x:c r="O243" s="233"/>
      <x:c r="P243" s="233"/>
      <x:c r="Q243" s="233"/>
      <x:c r="R243" s="233"/>
      <x:c r="S243" s="233"/>
      <x:c r="T243" s="233"/>
      <x:c r="U243" s="233"/>
      <x:c r="V243" s="233"/>
      <x:c r="W243" s="235"/>
      <x:c r="X243" s="235"/>
      <x:c r="Y243" s="233"/>
      <x:c r="Z243" s="233"/>
      <x:c r="AA243" s="233"/>
      <x:c r="AB243" s="233"/>
      <x:c r="AC243" s="236"/>
      <x:c r="AD243" s="233"/>
      <x:c r="AE243" s="233"/>
      <x:c r="AF243" s="233"/>
      <x:c r="AG243" s="233"/>
      <x:c r="AH243" s="234"/>
      <x:c r="AI243" s="233"/>
      <x:c r="AJ243" s="233"/>
      <x:c r="AK243" s="233"/>
      <x:c r="AL243" s="236"/>
      <x:c r="AM243" s="233"/>
      <x:c r="AN243" s="233"/>
      <x:c r="AO243" s="234"/>
      <x:c r="AP243" s="234"/>
      <x:c r="AQ243" s="233"/>
      <x:c r="AR243" s="236"/>
      <x:c r="AS243" s="234"/>
      <x:c r="AT243" s="233"/>
      <x:c r="AU243" s="233"/>
      <x:c r="AV243" s="233"/>
      <x:c r="AW243" s="233"/>
      <x:c r="AX243" s="233"/>
      <x:c r="AY243" s="233"/>
      <x:c r="AZ243" s="236"/>
      <x:c r="BA243" s="233"/>
      <x:c r="BB243" s="233"/>
      <x:c r="BC243" s="233"/>
      <x:c r="BD243" s="233"/>
      <x:c r="BE243" s="237" t="str">
        <x:f>IF(AND(A243="",B243="",C243="",E243="",G243="",I243="",M243="",T243="",BB243="",BD243=""),"",IF(B243="skip","SKIP",IF(OR(B243="",A243="",E243="",G243="",I243="",M243="",T243="",COUNTIF($A$6:$A$505,A243)&gt;1,COUNTIF($M$6:$M$505,M243)&gt;1,AND(L243="mobile",N243&lt;&gt;"invalid",OR(LEN(M243)&lt;&gt;10,LEFT(M243,2)&lt;&gt;"09"))),"REVIEW","READY")))</x:f>
      </x:c>
      <x:c r="BF243" s="238" t="str">
        <x:f>IF(BE243="","",IF(BE243="READY","",IF(B243="skip","Skipped by import_action",TRIM(IF(B243="","missing import_action; ","")&amp;IF(A243="","missing migration_customer_key; ","")&amp;IF(AND(A243&lt;&gt;"",COUNTIF($A$6:$A$505,A243)&gt;1),"duplicate migration_customer_key; ","")&amp;IF(E243="","missing branch_id; ","")&amp;IF(G243="","missing first_name; ","")&amp;IF(I243="","missing last_name; ","")&amp;IF(M243="","missing primary_phone; ","")&amp;IF(AND(M243&lt;&gt;"",COUNTIF($M$6:$M$505,M243)&gt;1),"duplicate primary_phone; ","")&amp;IF(AND(L243="mobile",N243&lt;&gt;"invalid",OR(LEN(M243)&lt;&gt;10,LEFT(M243,2)&lt;&gt;"09")),"mobile must be 09XXXXXXXX or status invalid; ","")&amp;IF(T243="","missing neighborhood_id; ","")))))</x:f>
      </x:c>
    </x:row>
    <x:row r="244">
      <x:c r="A244" s="232"/>
      <x:c r="B244" s="233"/>
      <x:c r="C244" s="234"/>
      <x:c r="D244" s="233"/>
      <x:c r="E244" s="233"/>
      <x:c r="F244" s="233"/>
      <x:c r="G244" s="233"/>
      <x:c r="H244" s="233"/>
      <x:c r="I244" s="233"/>
      <x:c r="J244" s="233"/>
      <x:c r="K244" s="233" t="str">
        <x:f>TRIM(G244&amp;" "&amp;H244&amp;" "&amp;I244&amp;IF(J244&lt;&gt;""," ("&amp;J244&amp;")",""))</x:f>
      </x:c>
      <x:c r="L244" s="233"/>
      <x:c r="M244" s="234"/>
      <x:c r="N244" s="233"/>
      <x:c r="O244" s="233"/>
      <x:c r="P244" s="233"/>
      <x:c r="Q244" s="233"/>
      <x:c r="R244" s="233"/>
      <x:c r="S244" s="233"/>
      <x:c r="T244" s="233"/>
      <x:c r="U244" s="233"/>
      <x:c r="V244" s="233"/>
      <x:c r="W244" s="235"/>
      <x:c r="X244" s="235"/>
      <x:c r="Y244" s="233"/>
      <x:c r="Z244" s="233"/>
      <x:c r="AA244" s="233"/>
      <x:c r="AB244" s="233"/>
      <x:c r="AC244" s="236"/>
      <x:c r="AD244" s="233"/>
      <x:c r="AE244" s="233"/>
      <x:c r="AF244" s="233"/>
      <x:c r="AG244" s="233"/>
      <x:c r="AH244" s="234"/>
      <x:c r="AI244" s="233"/>
      <x:c r="AJ244" s="233"/>
      <x:c r="AK244" s="233"/>
      <x:c r="AL244" s="236"/>
      <x:c r="AM244" s="233"/>
      <x:c r="AN244" s="233"/>
      <x:c r="AO244" s="234"/>
      <x:c r="AP244" s="234"/>
      <x:c r="AQ244" s="233"/>
      <x:c r="AR244" s="236"/>
      <x:c r="AS244" s="234"/>
      <x:c r="AT244" s="233"/>
      <x:c r="AU244" s="233"/>
      <x:c r="AV244" s="233"/>
      <x:c r="AW244" s="233"/>
      <x:c r="AX244" s="233"/>
      <x:c r="AY244" s="233"/>
      <x:c r="AZ244" s="236"/>
      <x:c r="BA244" s="233"/>
      <x:c r="BB244" s="233"/>
      <x:c r="BC244" s="233"/>
      <x:c r="BD244" s="233"/>
      <x:c r="BE244" s="237" t="str">
        <x:f>IF(AND(A244="",B244="",C244="",E244="",G244="",I244="",M244="",T244="",BB244="",BD244=""),"",IF(B244="skip","SKIP",IF(OR(B244="",A244="",E244="",G244="",I244="",M244="",T244="",COUNTIF($A$6:$A$505,A244)&gt;1,COUNTIF($M$6:$M$505,M244)&gt;1,AND(L244="mobile",N244&lt;&gt;"invalid",OR(LEN(M244)&lt;&gt;10,LEFT(M244,2)&lt;&gt;"09"))),"REVIEW","READY")))</x:f>
      </x:c>
      <x:c r="BF244" s="238" t="str">
        <x:f>IF(BE244="","",IF(BE244="READY","",IF(B244="skip","Skipped by import_action",TRIM(IF(B244="","missing import_action; ","")&amp;IF(A244="","missing migration_customer_key; ","")&amp;IF(AND(A244&lt;&gt;"",COUNTIF($A$6:$A$505,A244)&gt;1),"duplicate migration_customer_key; ","")&amp;IF(E244="","missing branch_id; ","")&amp;IF(G244="","missing first_name; ","")&amp;IF(I244="","missing last_name; ","")&amp;IF(M244="","missing primary_phone; ","")&amp;IF(AND(M244&lt;&gt;"",COUNTIF($M$6:$M$505,M244)&gt;1),"duplicate primary_phone; ","")&amp;IF(AND(L244="mobile",N244&lt;&gt;"invalid",OR(LEN(M244)&lt;&gt;10,LEFT(M244,2)&lt;&gt;"09")),"mobile must be 09XXXXXXXX or status invalid; ","")&amp;IF(T244="","missing neighborhood_id; ","")))))</x:f>
      </x:c>
    </x:row>
    <x:row r="245">
      <x:c r="A245" s="232"/>
      <x:c r="B245" s="233"/>
      <x:c r="C245" s="234"/>
      <x:c r="D245" s="233"/>
      <x:c r="E245" s="233"/>
      <x:c r="F245" s="233"/>
      <x:c r="G245" s="233"/>
      <x:c r="H245" s="233"/>
      <x:c r="I245" s="233"/>
      <x:c r="J245" s="233"/>
      <x:c r="K245" s="233" t="str">
        <x:f>TRIM(G245&amp;" "&amp;H245&amp;" "&amp;I245&amp;IF(J245&lt;&gt;""," ("&amp;J245&amp;")",""))</x:f>
      </x:c>
      <x:c r="L245" s="233"/>
      <x:c r="M245" s="234"/>
      <x:c r="N245" s="233"/>
      <x:c r="O245" s="233"/>
      <x:c r="P245" s="233"/>
      <x:c r="Q245" s="233"/>
      <x:c r="R245" s="233"/>
      <x:c r="S245" s="233"/>
      <x:c r="T245" s="233"/>
      <x:c r="U245" s="233"/>
      <x:c r="V245" s="233"/>
      <x:c r="W245" s="235"/>
      <x:c r="X245" s="235"/>
      <x:c r="Y245" s="233"/>
      <x:c r="Z245" s="233"/>
      <x:c r="AA245" s="233"/>
      <x:c r="AB245" s="233"/>
      <x:c r="AC245" s="236"/>
      <x:c r="AD245" s="233"/>
      <x:c r="AE245" s="233"/>
      <x:c r="AF245" s="233"/>
      <x:c r="AG245" s="233"/>
      <x:c r="AH245" s="234"/>
      <x:c r="AI245" s="233"/>
      <x:c r="AJ245" s="233"/>
      <x:c r="AK245" s="233"/>
      <x:c r="AL245" s="236"/>
      <x:c r="AM245" s="233"/>
      <x:c r="AN245" s="233"/>
      <x:c r="AO245" s="234"/>
      <x:c r="AP245" s="234"/>
      <x:c r="AQ245" s="233"/>
      <x:c r="AR245" s="236"/>
      <x:c r="AS245" s="234"/>
      <x:c r="AT245" s="233"/>
      <x:c r="AU245" s="233"/>
      <x:c r="AV245" s="233"/>
      <x:c r="AW245" s="233"/>
      <x:c r="AX245" s="233"/>
      <x:c r="AY245" s="233"/>
      <x:c r="AZ245" s="236"/>
      <x:c r="BA245" s="233"/>
      <x:c r="BB245" s="233"/>
      <x:c r="BC245" s="233"/>
      <x:c r="BD245" s="233"/>
      <x:c r="BE245" s="237" t="str">
        <x:f>IF(AND(A245="",B245="",C245="",E245="",G245="",I245="",M245="",T245="",BB245="",BD245=""),"",IF(B245="skip","SKIP",IF(OR(B245="",A245="",E245="",G245="",I245="",M245="",T245="",COUNTIF($A$6:$A$505,A245)&gt;1,COUNTIF($M$6:$M$505,M245)&gt;1,AND(L245="mobile",N245&lt;&gt;"invalid",OR(LEN(M245)&lt;&gt;10,LEFT(M245,2)&lt;&gt;"09"))),"REVIEW","READY")))</x:f>
      </x:c>
      <x:c r="BF245" s="238" t="str">
        <x:f>IF(BE245="","",IF(BE245="READY","",IF(B245="skip","Skipped by import_action",TRIM(IF(B245="","missing import_action; ","")&amp;IF(A245="","missing migration_customer_key; ","")&amp;IF(AND(A245&lt;&gt;"",COUNTIF($A$6:$A$505,A245)&gt;1),"duplicate migration_customer_key; ","")&amp;IF(E245="","missing branch_id; ","")&amp;IF(G245="","missing first_name; ","")&amp;IF(I245="","missing last_name; ","")&amp;IF(M245="","missing primary_phone; ","")&amp;IF(AND(M245&lt;&gt;"",COUNTIF($M$6:$M$505,M245)&gt;1),"duplicate primary_phone; ","")&amp;IF(AND(L245="mobile",N245&lt;&gt;"invalid",OR(LEN(M245)&lt;&gt;10,LEFT(M245,2)&lt;&gt;"09")),"mobile must be 09XXXXXXXX or status invalid; ","")&amp;IF(T245="","missing neighborhood_id; ","")))))</x:f>
      </x:c>
    </x:row>
    <x:row r="246">
      <x:c r="A246" s="232"/>
      <x:c r="B246" s="233"/>
      <x:c r="C246" s="234"/>
      <x:c r="D246" s="233"/>
      <x:c r="E246" s="233"/>
      <x:c r="F246" s="233"/>
      <x:c r="G246" s="233"/>
      <x:c r="H246" s="233"/>
      <x:c r="I246" s="233"/>
      <x:c r="J246" s="233"/>
      <x:c r="K246" s="233" t="str">
        <x:f>TRIM(G246&amp;" "&amp;H246&amp;" "&amp;I246&amp;IF(J246&lt;&gt;""," ("&amp;J246&amp;")",""))</x:f>
      </x:c>
      <x:c r="L246" s="233"/>
      <x:c r="M246" s="234"/>
      <x:c r="N246" s="233"/>
      <x:c r="O246" s="233"/>
      <x:c r="P246" s="233"/>
      <x:c r="Q246" s="233"/>
      <x:c r="R246" s="233"/>
      <x:c r="S246" s="233"/>
      <x:c r="T246" s="233"/>
      <x:c r="U246" s="233"/>
      <x:c r="V246" s="233"/>
      <x:c r="W246" s="235"/>
      <x:c r="X246" s="235"/>
      <x:c r="Y246" s="233"/>
      <x:c r="Z246" s="233"/>
      <x:c r="AA246" s="233"/>
      <x:c r="AB246" s="233"/>
      <x:c r="AC246" s="236"/>
      <x:c r="AD246" s="233"/>
      <x:c r="AE246" s="233"/>
      <x:c r="AF246" s="233"/>
      <x:c r="AG246" s="233"/>
      <x:c r="AH246" s="234"/>
      <x:c r="AI246" s="233"/>
      <x:c r="AJ246" s="233"/>
      <x:c r="AK246" s="233"/>
      <x:c r="AL246" s="236"/>
      <x:c r="AM246" s="233"/>
      <x:c r="AN246" s="233"/>
      <x:c r="AO246" s="234"/>
      <x:c r="AP246" s="234"/>
      <x:c r="AQ246" s="233"/>
      <x:c r="AR246" s="236"/>
      <x:c r="AS246" s="234"/>
      <x:c r="AT246" s="233"/>
      <x:c r="AU246" s="233"/>
      <x:c r="AV246" s="233"/>
      <x:c r="AW246" s="233"/>
      <x:c r="AX246" s="233"/>
      <x:c r="AY246" s="233"/>
      <x:c r="AZ246" s="236"/>
      <x:c r="BA246" s="233"/>
      <x:c r="BB246" s="233"/>
      <x:c r="BC246" s="233"/>
      <x:c r="BD246" s="233"/>
      <x:c r="BE246" s="237" t="str">
        <x:f>IF(AND(A246="",B246="",C246="",E246="",G246="",I246="",M246="",T246="",BB246="",BD246=""),"",IF(B246="skip","SKIP",IF(OR(B246="",A246="",E246="",G246="",I246="",M246="",T246="",COUNTIF($A$6:$A$505,A246)&gt;1,COUNTIF($M$6:$M$505,M246)&gt;1,AND(L246="mobile",N246&lt;&gt;"invalid",OR(LEN(M246)&lt;&gt;10,LEFT(M246,2)&lt;&gt;"09"))),"REVIEW","READY")))</x:f>
      </x:c>
      <x:c r="BF246" s="238" t="str">
        <x:f>IF(BE246="","",IF(BE246="READY","",IF(B246="skip","Skipped by import_action",TRIM(IF(B246="","missing import_action; ","")&amp;IF(A246="","missing migration_customer_key; ","")&amp;IF(AND(A246&lt;&gt;"",COUNTIF($A$6:$A$505,A246)&gt;1),"duplicate migration_customer_key; ","")&amp;IF(E246="","missing branch_id; ","")&amp;IF(G246="","missing first_name; ","")&amp;IF(I246="","missing last_name; ","")&amp;IF(M246="","missing primary_phone; ","")&amp;IF(AND(M246&lt;&gt;"",COUNTIF($M$6:$M$505,M246)&gt;1),"duplicate primary_phone; ","")&amp;IF(AND(L246="mobile",N246&lt;&gt;"invalid",OR(LEN(M246)&lt;&gt;10,LEFT(M246,2)&lt;&gt;"09")),"mobile must be 09XXXXXXXX or status invalid; ","")&amp;IF(T246="","missing neighborhood_id; ","")))))</x:f>
      </x:c>
    </x:row>
    <x:row r="247">
      <x:c r="A247" s="232"/>
      <x:c r="B247" s="233"/>
      <x:c r="C247" s="234"/>
      <x:c r="D247" s="233"/>
      <x:c r="E247" s="233"/>
      <x:c r="F247" s="233"/>
      <x:c r="G247" s="233"/>
      <x:c r="H247" s="233"/>
      <x:c r="I247" s="233"/>
      <x:c r="J247" s="233"/>
      <x:c r="K247" s="233" t="str">
        <x:f>TRIM(G247&amp;" "&amp;H247&amp;" "&amp;I247&amp;IF(J247&lt;&gt;""," ("&amp;J247&amp;")",""))</x:f>
      </x:c>
      <x:c r="L247" s="233"/>
      <x:c r="M247" s="234"/>
      <x:c r="N247" s="233"/>
      <x:c r="O247" s="233"/>
      <x:c r="P247" s="233"/>
      <x:c r="Q247" s="233"/>
      <x:c r="R247" s="233"/>
      <x:c r="S247" s="233"/>
      <x:c r="T247" s="233"/>
      <x:c r="U247" s="233"/>
      <x:c r="V247" s="233"/>
      <x:c r="W247" s="235"/>
      <x:c r="X247" s="235"/>
      <x:c r="Y247" s="233"/>
      <x:c r="Z247" s="233"/>
      <x:c r="AA247" s="233"/>
      <x:c r="AB247" s="233"/>
      <x:c r="AC247" s="236"/>
      <x:c r="AD247" s="233"/>
      <x:c r="AE247" s="233"/>
      <x:c r="AF247" s="233"/>
      <x:c r="AG247" s="233"/>
      <x:c r="AH247" s="234"/>
      <x:c r="AI247" s="233"/>
      <x:c r="AJ247" s="233"/>
      <x:c r="AK247" s="233"/>
      <x:c r="AL247" s="236"/>
      <x:c r="AM247" s="233"/>
      <x:c r="AN247" s="233"/>
      <x:c r="AO247" s="234"/>
      <x:c r="AP247" s="234"/>
      <x:c r="AQ247" s="233"/>
      <x:c r="AR247" s="236"/>
      <x:c r="AS247" s="234"/>
      <x:c r="AT247" s="233"/>
      <x:c r="AU247" s="233"/>
      <x:c r="AV247" s="233"/>
      <x:c r="AW247" s="233"/>
      <x:c r="AX247" s="233"/>
      <x:c r="AY247" s="233"/>
      <x:c r="AZ247" s="236"/>
      <x:c r="BA247" s="233"/>
      <x:c r="BB247" s="233"/>
      <x:c r="BC247" s="233"/>
      <x:c r="BD247" s="233"/>
      <x:c r="BE247" s="237" t="str">
        <x:f>IF(AND(A247="",B247="",C247="",E247="",G247="",I247="",M247="",T247="",BB247="",BD247=""),"",IF(B247="skip","SKIP",IF(OR(B247="",A247="",E247="",G247="",I247="",M247="",T247="",COUNTIF($A$6:$A$505,A247)&gt;1,COUNTIF($M$6:$M$505,M247)&gt;1,AND(L247="mobile",N247&lt;&gt;"invalid",OR(LEN(M247)&lt;&gt;10,LEFT(M247,2)&lt;&gt;"09"))),"REVIEW","READY")))</x:f>
      </x:c>
      <x:c r="BF247" s="238" t="str">
        <x:f>IF(BE247="","",IF(BE247="READY","",IF(B247="skip","Skipped by import_action",TRIM(IF(B247="","missing import_action; ","")&amp;IF(A247="","missing migration_customer_key; ","")&amp;IF(AND(A247&lt;&gt;"",COUNTIF($A$6:$A$505,A247)&gt;1),"duplicate migration_customer_key; ","")&amp;IF(E247="","missing branch_id; ","")&amp;IF(G247="","missing first_name; ","")&amp;IF(I247="","missing last_name; ","")&amp;IF(M247="","missing primary_phone; ","")&amp;IF(AND(M247&lt;&gt;"",COUNTIF($M$6:$M$505,M247)&gt;1),"duplicate primary_phone; ","")&amp;IF(AND(L247="mobile",N247&lt;&gt;"invalid",OR(LEN(M247)&lt;&gt;10,LEFT(M247,2)&lt;&gt;"09")),"mobile must be 09XXXXXXXX or status invalid; ","")&amp;IF(T247="","missing neighborhood_id; ","")))))</x:f>
      </x:c>
    </x:row>
    <x:row r="248">
      <x:c r="A248" s="232"/>
      <x:c r="B248" s="233"/>
      <x:c r="C248" s="234"/>
      <x:c r="D248" s="233"/>
      <x:c r="E248" s="233"/>
      <x:c r="F248" s="233"/>
      <x:c r="G248" s="233"/>
      <x:c r="H248" s="233"/>
      <x:c r="I248" s="233"/>
      <x:c r="J248" s="233"/>
      <x:c r="K248" s="233" t="str">
        <x:f>TRIM(G248&amp;" "&amp;H248&amp;" "&amp;I248&amp;IF(J248&lt;&gt;""," ("&amp;J248&amp;")",""))</x:f>
      </x:c>
      <x:c r="L248" s="233"/>
      <x:c r="M248" s="234"/>
      <x:c r="N248" s="233"/>
      <x:c r="O248" s="233"/>
      <x:c r="P248" s="233"/>
      <x:c r="Q248" s="233"/>
      <x:c r="R248" s="233"/>
      <x:c r="S248" s="233"/>
      <x:c r="T248" s="233"/>
      <x:c r="U248" s="233"/>
      <x:c r="V248" s="233"/>
      <x:c r="W248" s="235"/>
      <x:c r="X248" s="235"/>
      <x:c r="Y248" s="233"/>
      <x:c r="Z248" s="233"/>
      <x:c r="AA248" s="233"/>
      <x:c r="AB248" s="233"/>
      <x:c r="AC248" s="236"/>
      <x:c r="AD248" s="233"/>
      <x:c r="AE248" s="233"/>
      <x:c r="AF248" s="233"/>
      <x:c r="AG248" s="233"/>
      <x:c r="AH248" s="234"/>
      <x:c r="AI248" s="233"/>
      <x:c r="AJ248" s="233"/>
      <x:c r="AK248" s="233"/>
      <x:c r="AL248" s="236"/>
      <x:c r="AM248" s="233"/>
      <x:c r="AN248" s="233"/>
      <x:c r="AO248" s="234"/>
      <x:c r="AP248" s="234"/>
      <x:c r="AQ248" s="233"/>
      <x:c r="AR248" s="236"/>
      <x:c r="AS248" s="234"/>
      <x:c r="AT248" s="233"/>
      <x:c r="AU248" s="233"/>
      <x:c r="AV248" s="233"/>
      <x:c r="AW248" s="233"/>
      <x:c r="AX248" s="233"/>
      <x:c r="AY248" s="233"/>
      <x:c r="AZ248" s="236"/>
      <x:c r="BA248" s="233"/>
      <x:c r="BB248" s="233"/>
      <x:c r="BC248" s="233"/>
      <x:c r="BD248" s="233"/>
      <x:c r="BE248" s="237" t="str">
        <x:f>IF(AND(A248="",B248="",C248="",E248="",G248="",I248="",M248="",T248="",BB248="",BD248=""),"",IF(B248="skip","SKIP",IF(OR(B248="",A248="",E248="",G248="",I248="",M248="",T248="",COUNTIF($A$6:$A$505,A248)&gt;1,COUNTIF($M$6:$M$505,M248)&gt;1,AND(L248="mobile",N248&lt;&gt;"invalid",OR(LEN(M248)&lt;&gt;10,LEFT(M248,2)&lt;&gt;"09"))),"REVIEW","READY")))</x:f>
      </x:c>
      <x:c r="BF248" s="238" t="str">
        <x:f>IF(BE248="","",IF(BE248="READY","",IF(B248="skip","Skipped by import_action",TRIM(IF(B248="","missing import_action; ","")&amp;IF(A248="","missing migration_customer_key; ","")&amp;IF(AND(A248&lt;&gt;"",COUNTIF($A$6:$A$505,A248)&gt;1),"duplicate migration_customer_key; ","")&amp;IF(E248="","missing branch_id; ","")&amp;IF(G248="","missing first_name; ","")&amp;IF(I248="","missing last_name; ","")&amp;IF(M248="","missing primary_phone; ","")&amp;IF(AND(M248&lt;&gt;"",COUNTIF($M$6:$M$505,M248)&gt;1),"duplicate primary_phone; ","")&amp;IF(AND(L248="mobile",N248&lt;&gt;"invalid",OR(LEN(M248)&lt;&gt;10,LEFT(M248,2)&lt;&gt;"09")),"mobile must be 09XXXXXXXX or status invalid; ","")&amp;IF(T248="","missing neighborhood_id; ","")))))</x:f>
      </x:c>
    </x:row>
    <x:row r="249">
      <x:c r="A249" s="232"/>
      <x:c r="B249" s="233"/>
      <x:c r="C249" s="234"/>
      <x:c r="D249" s="233"/>
      <x:c r="E249" s="233"/>
      <x:c r="F249" s="233"/>
      <x:c r="G249" s="233"/>
      <x:c r="H249" s="233"/>
      <x:c r="I249" s="233"/>
      <x:c r="J249" s="233"/>
      <x:c r="K249" s="233" t="str">
        <x:f>TRIM(G249&amp;" "&amp;H249&amp;" "&amp;I249&amp;IF(J249&lt;&gt;""," ("&amp;J249&amp;")",""))</x:f>
      </x:c>
      <x:c r="L249" s="233"/>
      <x:c r="M249" s="234"/>
      <x:c r="N249" s="233"/>
      <x:c r="O249" s="233"/>
      <x:c r="P249" s="233"/>
      <x:c r="Q249" s="233"/>
      <x:c r="R249" s="233"/>
      <x:c r="S249" s="233"/>
      <x:c r="T249" s="233"/>
      <x:c r="U249" s="233"/>
      <x:c r="V249" s="233"/>
      <x:c r="W249" s="235"/>
      <x:c r="X249" s="235"/>
      <x:c r="Y249" s="233"/>
      <x:c r="Z249" s="233"/>
      <x:c r="AA249" s="233"/>
      <x:c r="AB249" s="233"/>
      <x:c r="AC249" s="236"/>
      <x:c r="AD249" s="233"/>
      <x:c r="AE249" s="233"/>
      <x:c r="AF249" s="233"/>
      <x:c r="AG249" s="233"/>
      <x:c r="AH249" s="234"/>
      <x:c r="AI249" s="233"/>
      <x:c r="AJ249" s="233"/>
      <x:c r="AK249" s="233"/>
      <x:c r="AL249" s="236"/>
      <x:c r="AM249" s="233"/>
      <x:c r="AN249" s="233"/>
      <x:c r="AO249" s="234"/>
      <x:c r="AP249" s="234"/>
      <x:c r="AQ249" s="233"/>
      <x:c r="AR249" s="236"/>
      <x:c r="AS249" s="234"/>
      <x:c r="AT249" s="233"/>
      <x:c r="AU249" s="233"/>
      <x:c r="AV249" s="233"/>
      <x:c r="AW249" s="233"/>
      <x:c r="AX249" s="233"/>
      <x:c r="AY249" s="233"/>
      <x:c r="AZ249" s="236"/>
      <x:c r="BA249" s="233"/>
      <x:c r="BB249" s="233"/>
      <x:c r="BC249" s="233"/>
      <x:c r="BD249" s="233"/>
      <x:c r="BE249" s="237" t="str">
        <x:f>IF(AND(A249="",B249="",C249="",E249="",G249="",I249="",M249="",T249="",BB249="",BD249=""),"",IF(B249="skip","SKIP",IF(OR(B249="",A249="",E249="",G249="",I249="",M249="",T249="",COUNTIF($A$6:$A$505,A249)&gt;1,COUNTIF($M$6:$M$505,M249)&gt;1,AND(L249="mobile",N249&lt;&gt;"invalid",OR(LEN(M249)&lt;&gt;10,LEFT(M249,2)&lt;&gt;"09"))),"REVIEW","READY")))</x:f>
      </x:c>
      <x:c r="BF249" s="238" t="str">
        <x:f>IF(BE249="","",IF(BE249="READY","",IF(B249="skip","Skipped by import_action",TRIM(IF(B249="","missing import_action; ","")&amp;IF(A249="","missing migration_customer_key; ","")&amp;IF(AND(A249&lt;&gt;"",COUNTIF($A$6:$A$505,A249)&gt;1),"duplicate migration_customer_key; ","")&amp;IF(E249="","missing branch_id; ","")&amp;IF(G249="","missing first_name; ","")&amp;IF(I249="","missing last_name; ","")&amp;IF(M249="","missing primary_phone; ","")&amp;IF(AND(M249&lt;&gt;"",COUNTIF($M$6:$M$505,M249)&gt;1),"duplicate primary_phone; ","")&amp;IF(AND(L249="mobile",N249&lt;&gt;"invalid",OR(LEN(M249)&lt;&gt;10,LEFT(M249,2)&lt;&gt;"09")),"mobile must be 09XXXXXXXX or status invalid; ","")&amp;IF(T249="","missing neighborhood_id; ","")))))</x:f>
      </x:c>
    </x:row>
    <x:row r="250">
      <x:c r="A250" s="232"/>
      <x:c r="B250" s="233"/>
      <x:c r="C250" s="234"/>
      <x:c r="D250" s="233"/>
      <x:c r="E250" s="233"/>
      <x:c r="F250" s="233"/>
      <x:c r="G250" s="233"/>
      <x:c r="H250" s="233"/>
      <x:c r="I250" s="233"/>
      <x:c r="J250" s="233"/>
      <x:c r="K250" s="233" t="str">
        <x:f>TRIM(G250&amp;" "&amp;H250&amp;" "&amp;I250&amp;IF(J250&lt;&gt;""," ("&amp;J250&amp;")",""))</x:f>
      </x:c>
      <x:c r="L250" s="233"/>
      <x:c r="M250" s="234"/>
      <x:c r="N250" s="233"/>
      <x:c r="O250" s="233"/>
      <x:c r="P250" s="233"/>
      <x:c r="Q250" s="233"/>
      <x:c r="R250" s="233"/>
      <x:c r="S250" s="233"/>
      <x:c r="T250" s="233"/>
      <x:c r="U250" s="233"/>
      <x:c r="V250" s="233"/>
      <x:c r="W250" s="235"/>
      <x:c r="X250" s="235"/>
      <x:c r="Y250" s="233"/>
      <x:c r="Z250" s="233"/>
      <x:c r="AA250" s="233"/>
      <x:c r="AB250" s="233"/>
      <x:c r="AC250" s="236"/>
      <x:c r="AD250" s="233"/>
      <x:c r="AE250" s="233"/>
      <x:c r="AF250" s="233"/>
      <x:c r="AG250" s="233"/>
      <x:c r="AH250" s="234"/>
      <x:c r="AI250" s="233"/>
      <x:c r="AJ250" s="233"/>
      <x:c r="AK250" s="233"/>
      <x:c r="AL250" s="236"/>
      <x:c r="AM250" s="233"/>
      <x:c r="AN250" s="233"/>
      <x:c r="AO250" s="234"/>
      <x:c r="AP250" s="234"/>
      <x:c r="AQ250" s="233"/>
      <x:c r="AR250" s="236"/>
      <x:c r="AS250" s="234"/>
      <x:c r="AT250" s="233"/>
      <x:c r="AU250" s="233"/>
      <x:c r="AV250" s="233"/>
      <x:c r="AW250" s="233"/>
      <x:c r="AX250" s="233"/>
      <x:c r="AY250" s="233"/>
      <x:c r="AZ250" s="236"/>
      <x:c r="BA250" s="233"/>
      <x:c r="BB250" s="233"/>
      <x:c r="BC250" s="233"/>
      <x:c r="BD250" s="233"/>
      <x:c r="BE250" s="237" t="str">
        <x:f>IF(AND(A250="",B250="",C250="",E250="",G250="",I250="",M250="",T250="",BB250="",BD250=""),"",IF(B250="skip","SKIP",IF(OR(B250="",A250="",E250="",G250="",I250="",M250="",T250="",COUNTIF($A$6:$A$505,A250)&gt;1,COUNTIF($M$6:$M$505,M250)&gt;1,AND(L250="mobile",N250&lt;&gt;"invalid",OR(LEN(M250)&lt;&gt;10,LEFT(M250,2)&lt;&gt;"09"))),"REVIEW","READY")))</x:f>
      </x:c>
      <x:c r="BF250" s="238" t="str">
        <x:f>IF(BE250="","",IF(BE250="READY","",IF(B250="skip","Skipped by import_action",TRIM(IF(B250="","missing import_action; ","")&amp;IF(A250="","missing migration_customer_key; ","")&amp;IF(AND(A250&lt;&gt;"",COUNTIF($A$6:$A$505,A250)&gt;1),"duplicate migration_customer_key; ","")&amp;IF(E250="","missing branch_id; ","")&amp;IF(G250="","missing first_name; ","")&amp;IF(I250="","missing last_name; ","")&amp;IF(M250="","missing primary_phone; ","")&amp;IF(AND(M250&lt;&gt;"",COUNTIF($M$6:$M$505,M250)&gt;1),"duplicate primary_phone; ","")&amp;IF(AND(L250="mobile",N250&lt;&gt;"invalid",OR(LEN(M250)&lt;&gt;10,LEFT(M250,2)&lt;&gt;"09")),"mobile must be 09XXXXXXXX or status invalid; ","")&amp;IF(T250="","missing neighborhood_id; ","")))))</x:f>
      </x:c>
    </x:row>
    <x:row r="251">
      <x:c r="A251" s="232"/>
      <x:c r="B251" s="233"/>
      <x:c r="C251" s="234"/>
      <x:c r="D251" s="233"/>
      <x:c r="E251" s="233"/>
      <x:c r="F251" s="233"/>
      <x:c r="G251" s="233"/>
      <x:c r="H251" s="233"/>
      <x:c r="I251" s="233"/>
      <x:c r="J251" s="233"/>
      <x:c r="K251" s="233" t="str">
        <x:f>TRIM(G251&amp;" "&amp;H251&amp;" "&amp;I251&amp;IF(J251&lt;&gt;""," ("&amp;J251&amp;")",""))</x:f>
      </x:c>
      <x:c r="L251" s="233"/>
      <x:c r="M251" s="234"/>
      <x:c r="N251" s="233"/>
      <x:c r="O251" s="233"/>
      <x:c r="P251" s="233"/>
      <x:c r="Q251" s="233"/>
      <x:c r="R251" s="233"/>
      <x:c r="S251" s="233"/>
      <x:c r="T251" s="233"/>
      <x:c r="U251" s="233"/>
      <x:c r="V251" s="233"/>
      <x:c r="W251" s="235"/>
      <x:c r="X251" s="235"/>
      <x:c r="Y251" s="233"/>
      <x:c r="Z251" s="233"/>
      <x:c r="AA251" s="233"/>
      <x:c r="AB251" s="233"/>
      <x:c r="AC251" s="236"/>
      <x:c r="AD251" s="233"/>
      <x:c r="AE251" s="233"/>
      <x:c r="AF251" s="233"/>
      <x:c r="AG251" s="233"/>
      <x:c r="AH251" s="234"/>
      <x:c r="AI251" s="233"/>
      <x:c r="AJ251" s="233"/>
      <x:c r="AK251" s="233"/>
      <x:c r="AL251" s="236"/>
      <x:c r="AM251" s="233"/>
      <x:c r="AN251" s="233"/>
      <x:c r="AO251" s="234"/>
      <x:c r="AP251" s="234"/>
      <x:c r="AQ251" s="233"/>
      <x:c r="AR251" s="236"/>
      <x:c r="AS251" s="234"/>
      <x:c r="AT251" s="233"/>
      <x:c r="AU251" s="233"/>
      <x:c r="AV251" s="233"/>
      <x:c r="AW251" s="233"/>
      <x:c r="AX251" s="233"/>
      <x:c r="AY251" s="233"/>
      <x:c r="AZ251" s="236"/>
      <x:c r="BA251" s="233"/>
      <x:c r="BB251" s="233"/>
      <x:c r="BC251" s="233"/>
      <x:c r="BD251" s="233"/>
      <x:c r="BE251" s="237" t="str">
        <x:f>IF(AND(A251="",B251="",C251="",E251="",G251="",I251="",M251="",T251="",BB251="",BD251=""),"",IF(B251="skip","SKIP",IF(OR(B251="",A251="",E251="",G251="",I251="",M251="",T251="",COUNTIF($A$6:$A$505,A251)&gt;1,COUNTIF($M$6:$M$505,M251)&gt;1,AND(L251="mobile",N251&lt;&gt;"invalid",OR(LEN(M251)&lt;&gt;10,LEFT(M251,2)&lt;&gt;"09"))),"REVIEW","READY")))</x:f>
      </x:c>
      <x:c r="BF251" s="238" t="str">
        <x:f>IF(BE251="","",IF(BE251="READY","",IF(B251="skip","Skipped by import_action",TRIM(IF(B251="","missing import_action; ","")&amp;IF(A251="","missing migration_customer_key; ","")&amp;IF(AND(A251&lt;&gt;"",COUNTIF($A$6:$A$505,A251)&gt;1),"duplicate migration_customer_key; ","")&amp;IF(E251="","missing branch_id; ","")&amp;IF(G251="","missing first_name; ","")&amp;IF(I251="","missing last_name; ","")&amp;IF(M251="","missing primary_phone; ","")&amp;IF(AND(M251&lt;&gt;"",COUNTIF($M$6:$M$505,M251)&gt;1),"duplicate primary_phone; ","")&amp;IF(AND(L251="mobile",N251&lt;&gt;"invalid",OR(LEN(M251)&lt;&gt;10,LEFT(M251,2)&lt;&gt;"09")),"mobile must be 09XXXXXXXX or status invalid; ","")&amp;IF(T251="","missing neighborhood_id; ","")))))</x:f>
      </x:c>
    </x:row>
    <x:row r="252">
      <x:c r="A252" s="232"/>
      <x:c r="B252" s="233"/>
      <x:c r="C252" s="234"/>
      <x:c r="D252" s="233"/>
      <x:c r="E252" s="233"/>
      <x:c r="F252" s="233"/>
      <x:c r="G252" s="233"/>
      <x:c r="H252" s="233"/>
      <x:c r="I252" s="233"/>
      <x:c r="J252" s="233"/>
      <x:c r="K252" s="233" t="str">
        <x:f>TRIM(G252&amp;" "&amp;H252&amp;" "&amp;I252&amp;IF(J252&lt;&gt;""," ("&amp;J252&amp;")",""))</x:f>
      </x:c>
      <x:c r="L252" s="233"/>
      <x:c r="M252" s="234"/>
      <x:c r="N252" s="233"/>
      <x:c r="O252" s="233"/>
      <x:c r="P252" s="233"/>
      <x:c r="Q252" s="233"/>
      <x:c r="R252" s="233"/>
      <x:c r="S252" s="233"/>
      <x:c r="T252" s="233"/>
      <x:c r="U252" s="233"/>
      <x:c r="V252" s="233"/>
      <x:c r="W252" s="235"/>
      <x:c r="X252" s="235"/>
      <x:c r="Y252" s="233"/>
      <x:c r="Z252" s="233"/>
      <x:c r="AA252" s="233"/>
      <x:c r="AB252" s="233"/>
      <x:c r="AC252" s="236"/>
      <x:c r="AD252" s="233"/>
      <x:c r="AE252" s="233"/>
      <x:c r="AF252" s="233"/>
      <x:c r="AG252" s="233"/>
      <x:c r="AH252" s="234"/>
      <x:c r="AI252" s="233"/>
      <x:c r="AJ252" s="233"/>
      <x:c r="AK252" s="233"/>
      <x:c r="AL252" s="236"/>
      <x:c r="AM252" s="233"/>
      <x:c r="AN252" s="233"/>
      <x:c r="AO252" s="234"/>
      <x:c r="AP252" s="234"/>
      <x:c r="AQ252" s="233"/>
      <x:c r="AR252" s="236"/>
      <x:c r="AS252" s="234"/>
      <x:c r="AT252" s="233"/>
      <x:c r="AU252" s="233"/>
      <x:c r="AV252" s="233"/>
      <x:c r="AW252" s="233"/>
      <x:c r="AX252" s="233"/>
      <x:c r="AY252" s="233"/>
      <x:c r="AZ252" s="236"/>
      <x:c r="BA252" s="233"/>
      <x:c r="BB252" s="233"/>
      <x:c r="BC252" s="233"/>
      <x:c r="BD252" s="233"/>
      <x:c r="BE252" s="237" t="str">
        <x:f>IF(AND(A252="",B252="",C252="",E252="",G252="",I252="",M252="",T252="",BB252="",BD252=""),"",IF(B252="skip","SKIP",IF(OR(B252="",A252="",E252="",G252="",I252="",M252="",T252="",COUNTIF($A$6:$A$505,A252)&gt;1,COUNTIF($M$6:$M$505,M252)&gt;1,AND(L252="mobile",N252&lt;&gt;"invalid",OR(LEN(M252)&lt;&gt;10,LEFT(M252,2)&lt;&gt;"09"))),"REVIEW","READY")))</x:f>
      </x:c>
      <x:c r="BF252" s="238" t="str">
        <x:f>IF(BE252="","",IF(BE252="READY","",IF(B252="skip","Skipped by import_action",TRIM(IF(B252="","missing import_action; ","")&amp;IF(A252="","missing migration_customer_key; ","")&amp;IF(AND(A252&lt;&gt;"",COUNTIF($A$6:$A$505,A252)&gt;1),"duplicate migration_customer_key; ","")&amp;IF(E252="","missing branch_id; ","")&amp;IF(G252="","missing first_name; ","")&amp;IF(I252="","missing last_name; ","")&amp;IF(M252="","missing primary_phone; ","")&amp;IF(AND(M252&lt;&gt;"",COUNTIF($M$6:$M$505,M252)&gt;1),"duplicate primary_phone; ","")&amp;IF(AND(L252="mobile",N252&lt;&gt;"invalid",OR(LEN(M252)&lt;&gt;10,LEFT(M252,2)&lt;&gt;"09")),"mobile must be 09XXXXXXXX or status invalid; ","")&amp;IF(T252="","missing neighborhood_id; ","")))))</x:f>
      </x:c>
    </x:row>
    <x:row r="253">
      <x:c r="A253" s="232"/>
      <x:c r="B253" s="233"/>
      <x:c r="C253" s="234"/>
      <x:c r="D253" s="233"/>
      <x:c r="E253" s="233"/>
      <x:c r="F253" s="233"/>
      <x:c r="G253" s="233"/>
      <x:c r="H253" s="233"/>
      <x:c r="I253" s="233"/>
      <x:c r="J253" s="233"/>
      <x:c r="K253" s="233" t="str">
        <x:f>TRIM(G253&amp;" "&amp;H253&amp;" "&amp;I253&amp;IF(J253&lt;&gt;""," ("&amp;J253&amp;")",""))</x:f>
      </x:c>
      <x:c r="L253" s="233"/>
      <x:c r="M253" s="234"/>
      <x:c r="N253" s="233"/>
      <x:c r="O253" s="233"/>
      <x:c r="P253" s="233"/>
      <x:c r="Q253" s="233"/>
      <x:c r="R253" s="233"/>
      <x:c r="S253" s="233"/>
      <x:c r="T253" s="233"/>
      <x:c r="U253" s="233"/>
      <x:c r="V253" s="233"/>
      <x:c r="W253" s="235"/>
      <x:c r="X253" s="235"/>
      <x:c r="Y253" s="233"/>
      <x:c r="Z253" s="233"/>
      <x:c r="AA253" s="233"/>
      <x:c r="AB253" s="233"/>
      <x:c r="AC253" s="236"/>
      <x:c r="AD253" s="233"/>
      <x:c r="AE253" s="233"/>
      <x:c r="AF253" s="233"/>
      <x:c r="AG253" s="233"/>
      <x:c r="AH253" s="234"/>
      <x:c r="AI253" s="233"/>
      <x:c r="AJ253" s="233"/>
      <x:c r="AK253" s="233"/>
      <x:c r="AL253" s="236"/>
      <x:c r="AM253" s="233"/>
      <x:c r="AN253" s="233"/>
      <x:c r="AO253" s="234"/>
      <x:c r="AP253" s="234"/>
      <x:c r="AQ253" s="233"/>
      <x:c r="AR253" s="236"/>
      <x:c r="AS253" s="234"/>
      <x:c r="AT253" s="233"/>
      <x:c r="AU253" s="233"/>
      <x:c r="AV253" s="233"/>
      <x:c r="AW253" s="233"/>
      <x:c r="AX253" s="233"/>
      <x:c r="AY253" s="233"/>
      <x:c r="AZ253" s="236"/>
      <x:c r="BA253" s="233"/>
      <x:c r="BB253" s="233"/>
      <x:c r="BC253" s="233"/>
      <x:c r="BD253" s="233"/>
      <x:c r="BE253" s="237" t="str">
        <x:f>IF(AND(A253="",B253="",C253="",E253="",G253="",I253="",M253="",T253="",BB253="",BD253=""),"",IF(B253="skip","SKIP",IF(OR(B253="",A253="",E253="",G253="",I253="",M253="",T253="",COUNTIF($A$6:$A$505,A253)&gt;1,COUNTIF($M$6:$M$505,M253)&gt;1,AND(L253="mobile",N253&lt;&gt;"invalid",OR(LEN(M253)&lt;&gt;10,LEFT(M253,2)&lt;&gt;"09"))),"REVIEW","READY")))</x:f>
      </x:c>
      <x:c r="BF253" s="238" t="str">
        <x:f>IF(BE253="","",IF(BE253="READY","",IF(B253="skip","Skipped by import_action",TRIM(IF(B253="","missing import_action; ","")&amp;IF(A253="","missing migration_customer_key; ","")&amp;IF(AND(A253&lt;&gt;"",COUNTIF($A$6:$A$505,A253)&gt;1),"duplicate migration_customer_key; ","")&amp;IF(E253="","missing branch_id; ","")&amp;IF(G253="","missing first_name; ","")&amp;IF(I253="","missing last_name; ","")&amp;IF(M253="","missing primary_phone; ","")&amp;IF(AND(M253&lt;&gt;"",COUNTIF($M$6:$M$505,M253)&gt;1),"duplicate primary_phone; ","")&amp;IF(AND(L253="mobile",N253&lt;&gt;"invalid",OR(LEN(M253)&lt;&gt;10,LEFT(M253,2)&lt;&gt;"09")),"mobile must be 09XXXXXXXX or status invalid; ","")&amp;IF(T253="","missing neighborhood_id; ","")))))</x:f>
      </x:c>
    </x:row>
    <x:row r="254">
      <x:c r="A254" s="232"/>
      <x:c r="B254" s="233"/>
      <x:c r="C254" s="234"/>
      <x:c r="D254" s="233"/>
      <x:c r="E254" s="233"/>
      <x:c r="F254" s="233"/>
      <x:c r="G254" s="233"/>
      <x:c r="H254" s="233"/>
      <x:c r="I254" s="233"/>
      <x:c r="J254" s="233"/>
      <x:c r="K254" s="233" t="str">
        <x:f>TRIM(G254&amp;" "&amp;H254&amp;" "&amp;I254&amp;IF(J254&lt;&gt;""," ("&amp;J254&amp;")",""))</x:f>
      </x:c>
      <x:c r="L254" s="233"/>
      <x:c r="M254" s="234"/>
      <x:c r="N254" s="233"/>
      <x:c r="O254" s="233"/>
      <x:c r="P254" s="233"/>
      <x:c r="Q254" s="233"/>
      <x:c r="R254" s="233"/>
      <x:c r="S254" s="233"/>
      <x:c r="T254" s="233"/>
      <x:c r="U254" s="233"/>
      <x:c r="V254" s="233"/>
      <x:c r="W254" s="235"/>
      <x:c r="X254" s="235"/>
      <x:c r="Y254" s="233"/>
      <x:c r="Z254" s="233"/>
      <x:c r="AA254" s="233"/>
      <x:c r="AB254" s="233"/>
      <x:c r="AC254" s="236"/>
      <x:c r="AD254" s="233"/>
      <x:c r="AE254" s="233"/>
      <x:c r="AF254" s="233"/>
      <x:c r="AG254" s="233"/>
      <x:c r="AH254" s="234"/>
      <x:c r="AI254" s="233"/>
      <x:c r="AJ254" s="233"/>
      <x:c r="AK254" s="233"/>
      <x:c r="AL254" s="236"/>
      <x:c r="AM254" s="233"/>
      <x:c r="AN254" s="233"/>
      <x:c r="AO254" s="234"/>
      <x:c r="AP254" s="234"/>
      <x:c r="AQ254" s="233"/>
      <x:c r="AR254" s="236"/>
      <x:c r="AS254" s="234"/>
      <x:c r="AT254" s="233"/>
      <x:c r="AU254" s="233"/>
      <x:c r="AV254" s="233"/>
      <x:c r="AW254" s="233"/>
      <x:c r="AX254" s="233"/>
      <x:c r="AY254" s="233"/>
      <x:c r="AZ254" s="236"/>
      <x:c r="BA254" s="233"/>
      <x:c r="BB254" s="233"/>
      <x:c r="BC254" s="233"/>
      <x:c r="BD254" s="233"/>
      <x:c r="BE254" s="237" t="str">
        <x:f>IF(AND(A254="",B254="",C254="",E254="",G254="",I254="",M254="",T254="",BB254="",BD254=""),"",IF(B254="skip","SKIP",IF(OR(B254="",A254="",E254="",G254="",I254="",M254="",T254="",COUNTIF($A$6:$A$505,A254)&gt;1,COUNTIF($M$6:$M$505,M254)&gt;1,AND(L254="mobile",N254&lt;&gt;"invalid",OR(LEN(M254)&lt;&gt;10,LEFT(M254,2)&lt;&gt;"09"))),"REVIEW","READY")))</x:f>
      </x:c>
      <x:c r="BF254" s="238" t="str">
        <x:f>IF(BE254="","",IF(BE254="READY","",IF(B254="skip","Skipped by import_action",TRIM(IF(B254="","missing import_action; ","")&amp;IF(A254="","missing migration_customer_key; ","")&amp;IF(AND(A254&lt;&gt;"",COUNTIF($A$6:$A$505,A254)&gt;1),"duplicate migration_customer_key; ","")&amp;IF(E254="","missing branch_id; ","")&amp;IF(G254="","missing first_name; ","")&amp;IF(I254="","missing last_name; ","")&amp;IF(M254="","missing primary_phone; ","")&amp;IF(AND(M254&lt;&gt;"",COUNTIF($M$6:$M$505,M254)&gt;1),"duplicate primary_phone; ","")&amp;IF(AND(L254="mobile",N254&lt;&gt;"invalid",OR(LEN(M254)&lt;&gt;10,LEFT(M254,2)&lt;&gt;"09")),"mobile must be 09XXXXXXXX or status invalid; ","")&amp;IF(T254="","missing neighborhood_id; ","")))))</x:f>
      </x:c>
    </x:row>
    <x:row r="255">
      <x:c r="A255" s="232"/>
      <x:c r="B255" s="233"/>
      <x:c r="C255" s="234"/>
      <x:c r="D255" s="233"/>
      <x:c r="E255" s="233"/>
      <x:c r="F255" s="233"/>
      <x:c r="G255" s="233"/>
      <x:c r="H255" s="233"/>
      <x:c r="I255" s="233"/>
      <x:c r="J255" s="233"/>
      <x:c r="K255" s="233" t="str">
        <x:f>TRIM(G255&amp;" "&amp;H255&amp;" "&amp;I255&amp;IF(J255&lt;&gt;""," ("&amp;J255&amp;")",""))</x:f>
      </x:c>
      <x:c r="L255" s="233"/>
      <x:c r="M255" s="234"/>
      <x:c r="N255" s="233"/>
      <x:c r="O255" s="233"/>
      <x:c r="P255" s="233"/>
      <x:c r="Q255" s="233"/>
      <x:c r="R255" s="233"/>
      <x:c r="S255" s="233"/>
      <x:c r="T255" s="233"/>
      <x:c r="U255" s="233"/>
      <x:c r="V255" s="233"/>
      <x:c r="W255" s="235"/>
      <x:c r="X255" s="235"/>
      <x:c r="Y255" s="233"/>
      <x:c r="Z255" s="233"/>
      <x:c r="AA255" s="233"/>
      <x:c r="AB255" s="233"/>
      <x:c r="AC255" s="236"/>
      <x:c r="AD255" s="233"/>
      <x:c r="AE255" s="233"/>
      <x:c r="AF255" s="233"/>
      <x:c r="AG255" s="233"/>
      <x:c r="AH255" s="234"/>
      <x:c r="AI255" s="233"/>
      <x:c r="AJ255" s="233"/>
      <x:c r="AK255" s="233"/>
      <x:c r="AL255" s="236"/>
      <x:c r="AM255" s="233"/>
      <x:c r="AN255" s="233"/>
      <x:c r="AO255" s="234"/>
      <x:c r="AP255" s="234"/>
      <x:c r="AQ255" s="233"/>
      <x:c r="AR255" s="236"/>
      <x:c r="AS255" s="234"/>
      <x:c r="AT255" s="233"/>
      <x:c r="AU255" s="233"/>
      <x:c r="AV255" s="233"/>
      <x:c r="AW255" s="233"/>
      <x:c r="AX255" s="233"/>
      <x:c r="AY255" s="233"/>
      <x:c r="AZ255" s="236"/>
      <x:c r="BA255" s="233"/>
      <x:c r="BB255" s="233"/>
      <x:c r="BC255" s="233"/>
      <x:c r="BD255" s="233"/>
      <x:c r="BE255" s="237" t="str">
        <x:f>IF(AND(A255="",B255="",C255="",E255="",G255="",I255="",M255="",T255="",BB255="",BD255=""),"",IF(B255="skip","SKIP",IF(OR(B255="",A255="",E255="",G255="",I255="",M255="",T255="",COUNTIF($A$6:$A$505,A255)&gt;1,COUNTIF($M$6:$M$505,M255)&gt;1,AND(L255="mobile",N255&lt;&gt;"invalid",OR(LEN(M255)&lt;&gt;10,LEFT(M255,2)&lt;&gt;"09"))),"REVIEW","READY")))</x:f>
      </x:c>
      <x:c r="BF255" s="238" t="str">
        <x:f>IF(BE255="","",IF(BE255="READY","",IF(B255="skip","Skipped by import_action",TRIM(IF(B255="","missing import_action; ","")&amp;IF(A255="","missing migration_customer_key; ","")&amp;IF(AND(A255&lt;&gt;"",COUNTIF($A$6:$A$505,A255)&gt;1),"duplicate migration_customer_key; ","")&amp;IF(E255="","missing branch_id; ","")&amp;IF(G255="","missing first_name; ","")&amp;IF(I255="","missing last_name; ","")&amp;IF(M255="","missing primary_phone; ","")&amp;IF(AND(M255&lt;&gt;"",COUNTIF($M$6:$M$505,M255)&gt;1),"duplicate primary_phone; ","")&amp;IF(AND(L255="mobile",N255&lt;&gt;"invalid",OR(LEN(M255)&lt;&gt;10,LEFT(M255,2)&lt;&gt;"09")),"mobile must be 09XXXXXXXX or status invalid; ","")&amp;IF(T255="","missing neighborhood_id; ","")))))</x:f>
      </x:c>
    </x:row>
    <x:row r="256">
      <x:c r="A256" s="232"/>
      <x:c r="B256" s="233"/>
      <x:c r="C256" s="234"/>
      <x:c r="D256" s="233"/>
      <x:c r="E256" s="233"/>
      <x:c r="F256" s="233"/>
      <x:c r="G256" s="233"/>
      <x:c r="H256" s="233"/>
      <x:c r="I256" s="233"/>
      <x:c r="J256" s="233"/>
      <x:c r="K256" s="233" t="str">
        <x:f>TRIM(G256&amp;" "&amp;H256&amp;" "&amp;I256&amp;IF(J256&lt;&gt;""," ("&amp;J256&amp;")",""))</x:f>
      </x:c>
      <x:c r="L256" s="233"/>
      <x:c r="M256" s="234"/>
      <x:c r="N256" s="233"/>
      <x:c r="O256" s="233"/>
      <x:c r="P256" s="233"/>
      <x:c r="Q256" s="233"/>
      <x:c r="R256" s="233"/>
      <x:c r="S256" s="233"/>
      <x:c r="T256" s="233"/>
      <x:c r="U256" s="233"/>
      <x:c r="V256" s="233"/>
      <x:c r="W256" s="235"/>
      <x:c r="X256" s="235"/>
      <x:c r="Y256" s="233"/>
      <x:c r="Z256" s="233"/>
      <x:c r="AA256" s="233"/>
      <x:c r="AB256" s="233"/>
      <x:c r="AC256" s="236"/>
      <x:c r="AD256" s="233"/>
      <x:c r="AE256" s="233"/>
      <x:c r="AF256" s="233"/>
      <x:c r="AG256" s="233"/>
      <x:c r="AH256" s="234"/>
      <x:c r="AI256" s="233"/>
      <x:c r="AJ256" s="233"/>
      <x:c r="AK256" s="233"/>
      <x:c r="AL256" s="236"/>
      <x:c r="AM256" s="233"/>
      <x:c r="AN256" s="233"/>
      <x:c r="AO256" s="234"/>
      <x:c r="AP256" s="234"/>
      <x:c r="AQ256" s="233"/>
      <x:c r="AR256" s="236"/>
      <x:c r="AS256" s="234"/>
      <x:c r="AT256" s="233"/>
      <x:c r="AU256" s="233"/>
      <x:c r="AV256" s="233"/>
      <x:c r="AW256" s="233"/>
      <x:c r="AX256" s="233"/>
      <x:c r="AY256" s="233"/>
      <x:c r="AZ256" s="236"/>
      <x:c r="BA256" s="233"/>
      <x:c r="BB256" s="233"/>
      <x:c r="BC256" s="233"/>
      <x:c r="BD256" s="233"/>
      <x:c r="BE256" s="237" t="str">
        <x:f>IF(AND(A256="",B256="",C256="",E256="",G256="",I256="",M256="",T256="",BB256="",BD256=""),"",IF(B256="skip","SKIP",IF(OR(B256="",A256="",E256="",G256="",I256="",M256="",T256="",COUNTIF($A$6:$A$505,A256)&gt;1,COUNTIF($M$6:$M$505,M256)&gt;1,AND(L256="mobile",N256&lt;&gt;"invalid",OR(LEN(M256)&lt;&gt;10,LEFT(M256,2)&lt;&gt;"09"))),"REVIEW","READY")))</x:f>
      </x:c>
      <x:c r="BF256" s="238" t="str">
        <x:f>IF(BE256="","",IF(BE256="READY","",IF(B256="skip","Skipped by import_action",TRIM(IF(B256="","missing import_action; ","")&amp;IF(A256="","missing migration_customer_key; ","")&amp;IF(AND(A256&lt;&gt;"",COUNTIF($A$6:$A$505,A256)&gt;1),"duplicate migration_customer_key; ","")&amp;IF(E256="","missing branch_id; ","")&amp;IF(G256="","missing first_name; ","")&amp;IF(I256="","missing last_name; ","")&amp;IF(M256="","missing primary_phone; ","")&amp;IF(AND(M256&lt;&gt;"",COUNTIF($M$6:$M$505,M256)&gt;1),"duplicate primary_phone; ","")&amp;IF(AND(L256="mobile",N256&lt;&gt;"invalid",OR(LEN(M256)&lt;&gt;10,LEFT(M256,2)&lt;&gt;"09")),"mobile must be 09XXXXXXXX or status invalid; ","")&amp;IF(T256="","missing neighborhood_id; ","")))))</x:f>
      </x:c>
    </x:row>
    <x:row r="257">
      <x:c r="A257" s="232"/>
      <x:c r="B257" s="233"/>
      <x:c r="C257" s="234"/>
      <x:c r="D257" s="233"/>
      <x:c r="E257" s="233"/>
      <x:c r="F257" s="233"/>
      <x:c r="G257" s="233"/>
      <x:c r="H257" s="233"/>
      <x:c r="I257" s="233"/>
      <x:c r="J257" s="233"/>
      <x:c r="K257" s="233" t="str">
        <x:f>TRIM(G257&amp;" "&amp;H257&amp;" "&amp;I257&amp;IF(J257&lt;&gt;""," ("&amp;J257&amp;")",""))</x:f>
      </x:c>
      <x:c r="L257" s="233"/>
      <x:c r="M257" s="234"/>
      <x:c r="N257" s="233"/>
      <x:c r="O257" s="233"/>
      <x:c r="P257" s="233"/>
      <x:c r="Q257" s="233"/>
      <x:c r="R257" s="233"/>
      <x:c r="S257" s="233"/>
      <x:c r="T257" s="233"/>
      <x:c r="U257" s="233"/>
      <x:c r="V257" s="233"/>
      <x:c r="W257" s="235"/>
      <x:c r="X257" s="235"/>
      <x:c r="Y257" s="233"/>
      <x:c r="Z257" s="233"/>
      <x:c r="AA257" s="233"/>
      <x:c r="AB257" s="233"/>
      <x:c r="AC257" s="236"/>
      <x:c r="AD257" s="233"/>
      <x:c r="AE257" s="233"/>
      <x:c r="AF257" s="233"/>
      <x:c r="AG257" s="233"/>
      <x:c r="AH257" s="234"/>
      <x:c r="AI257" s="233"/>
      <x:c r="AJ257" s="233"/>
      <x:c r="AK257" s="233"/>
      <x:c r="AL257" s="236"/>
      <x:c r="AM257" s="233"/>
      <x:c r="AN257" s="233"/>
      <x:c r="AO257" s="234"/>
      <x:c r="AP257" s="234"/>
      <x:c r="AQ257" s="233"/>
      <x:c r="AR257" s="236"/>
      <x:c r="AS257" s="234"/>
      <x:c r="AT257" s="233"/>
      <x:c r="AU257" s="233"/>
      <x:c r="AV257" s="233"/>
      <x:c r="AW257" s="233"/>
      <x:c r="AX257" s="233"/>
      <x:c r="AY257" s="233"/>
      <x:c r="AZ257" s="236"/>
      <x:c r="BA257" s="233"/>
      <x:c r="BB257" s="233"/>
      <x:c r="BC257" s="233"/>
      <x:c r="BD257" s="233"/>
      <x:c r="BE257" s="237" t="str">
        <x:f>IF(AND(A257="",B257="",C257="",E257="",G257="",I257="",M257="",T257="",BB257="",BD257=""),"",IF(B257="skip","SKIP",IF(OR(B257="",A257="",E257="",G257="",I257="",M257="",T257="",COUNTIF($A$6:$A$505,A257)&gt;1,COUNTIF($M$6:$M$505,M257)&gt;1,AND(L257="mobile",N257&lt;&gt;"invalid",OR(LEN(M257)&lt;&gt;10,LEFT(M257,2)&lt;&gt;"09"))),"REVIEW","READY")))</x:f>
      </x:c>
      <x:c r="BF257" s="238" t="str">
        <x:f>IF(BE257="","",IF(BE257="READY","",IF(B257="skip","Skipped by import_action",TRIM(IF(B257="","missing import_action; ","")&amp;IF(A257="","missing migration_customer_key; ","")&amp;IF(AND(A257&lt;&gt;"",COUNTIF($A$6:$A$505,A257)&gt;1),"duplicate migration_customer_key; ","")&amp;IF(E257="","missing branch_id; ","")&amp;IF(G257="","missing first_name; ","")&amp;IF(I257="","missing last_name; ","")&amp;IF(M257="","missing primary_phone; ","")&amp;IF(AND(M257&lt;&gt;"",COUNTIF($M$6:$M$505,M257)&gt;1),"duplicate primary_phone; ","")&amp;IF(AND(L257="mobile",N257&lt;&gt;"invalid",OR(LEN(M257)&lt;&gt;10,LEFT(M257,2)&lt;&gt;"09")),"mobile must be 09XXXXXXXX or status invalid; ","")&amp;IF(T257="","missing neighborhood_id; ","")))))</x:f>
      </x:c>
    </x:row>
    <x:row r="258">
      <x:c r="A258" s="232"/>
      <x:c r="B258" s="233"/>
      <x:c r="C258" s="234"/>
      <x:c r="D258" s="233"/>
      <x:c r="E258" s="233"/>
      <x:c r="F258" s="233"/>
      <x:c r="G258" s="233"/>
      <x:c r="H258" s="233"/>
      <x:c r="I258" s="233"/>
      <x:c r="J258" s="233"/>
      <x:c r="K258" s="233" t="str">
        <x:f>TRIM(G258&amp;" "&amp;H258&amp;" "&amp;I258&amp;IF(J258&lt;&gt;""," ("&amp;J258&amp;")",""))</x:f>
      </x:c>
      <x:c r="L258" s="233"/>
      <x:c r="M258" s="234"/>
      <x:c r="N258" s="233"/>
      <x:c r="O258" s="233"/>
      <x:c r="P258" s="233"/>
      <x:c r="Q258" s="233"/>
      <x:c r="R258" s="233"/>
      <x:c r="S258" s="233"/>
      <x:c r="T258" s="233"/>
      <x:c r="U258" s="233"/>
      <x:c r="V258" s="233"/>
      <x:c r="W258" s="235"/>
      <x:c r="X258" s="235"/>
      <x:c r="Y258" s="233"/>
      <x:c r="Z258" s="233"/>
      <x:c r="AA258" s="233"/>
      <x:c r="AB258" s="233"/>
      <x:c r="AC258" s="236"/>
      <x:c r="AD258" s="233"/>
      <x:c r="AE258" s="233"/>
      <x:c r="AF258" s="233"/>
      <x:c r="AG258" s="233"/>
      <x:c r="AH258" s="234"/>
      <x:c r="AI258" s="233"/>
      <x:c r="AJ258" s="233"/>
      <x:c r="AK258" s="233"/>
      <x:c r="AL258" s="236"/>
      <x:c r="AM258" s="233"/>
      <x:c r="AN258" s="233"/>
      <x:c r="AO258" s="234"/>
      <x:c r="AP258" s="234"/>
      <x:c r="AQ258" s="233"/>
      <x:c r="AR258" s="236"/>
      <x:c r="AS258" s="234"/>
      <x:c r="AT258" s="233"/>
      <x:c r="AU258" s="233"/>
      <x:c r="AV258" s="233"/>
      <x:c r="AW258" s="233"/>
      <x:c r="AX258" s="233"/>
      <x:c r="AY258" s="233"/>
      <x:c r="AZ258" s="236"/>
      <x:c r="BA258" s="233"/>
      <x:c r="BB258" s="233"/>
      <x:c r="BC258" s="233"/>
      <x:c r="BD258" s="233"/>
      <x:c r="BE258" s="237" t="str">
        <x:f>IF(AND(A258="",B258="",C258="",E258="",G258="",I258="",M258="",T258="",BB258="",BD258=""),"",IF(B258="skip","SKIP",IF(OR(B258="",A258="",E258="",G258="",I258="",M258="",T258="",COUNTIF($A$6:$A$505,A258)&gt;1,COUNTIF($M$6:$M$505,M258)&gt;1,AND(L258="mobile",N258&lt;&gt;"invalid",OR(LEN(M258)&lt;&gt;10,LEFT(M258,2)&lt;&gt;"09"))),"REVIEW","READY")))</x:f>
      </x:c>
      <x:c r="BF258" s="238" t="str">
        <x:f>IF(BE258="","",IF(BE258="READY","",IF(B258="skip","Skipped by import_action",TRIM(IF(B258="","missing import_action; ","")&amp;IF(A258="","missing migration_customer_key; ","")&amp;IF(AND(A258&lt;&gt;"",COUNTIF($A$6:$A$505,A258)&gt;1),"duplicate migration_customer_key; ","")&amp;IF(E258="","missing branch_id; ","")&amp;IF(G258="","missing first_name; ","")&amp;IF(I258="","missing last_name; ","")&amp;IF(M258="","missing primary_phone; ","")&amp;IF(AND(M258&lt;&gt;"",COUNTIF($M$6:$M$505,M258)&gt;1),"duplicate primary_phone; ","")&amp;IF(AND(L258="mobile",N258&lt;&gt;"invalid",OR(LEN(M258)&lt;&gt;10,LEFT(M258,2)&lt;&gt;"09")),"mobile must be 09XXXXXXXX or status invalid; ","")&amp;IF(T258="","missing neighborhood_id; ","")))))</x:f>
      </x:c>
    </x:row>
    <x:row r="259">
      <x:c r="A259" s="232"/>
      <x:c r="B259" s="233"/>
      <x:c r="C259" s="234"/>
      <x:c r="D259" s="233"/>
      <x:c r="E259" s="233"/>
      <x:c r="F259" s="233"/>
      <x:c r="G259" s="233"/>
      <x:c r="H259" s="233"/>
      <x:c r="I259" s="233"/>
      <x:c r="J259" s="233"/>
      <x:c r="K259" s="233" t="str">
        <x:f>TRIM(G259&amp;" "&amp;H259&amp;" "&amp;I259&amp;IF(J259&lt;&gt;""," ("&amp;J259&amp;")",""))</x:f>
      </x:c>
      <x:c r="L259" s="233"/>
      <x:c r="M259" s="234"/>
      <x:c r="N259" s="233"/>
      <x:c r="O259" s="233"/>
      <x:c r="P259" s="233"/>
      <x:c r="Q259" s="233"/>
      <x:c r="R259" s="233"/>
      <x:c r="S259" s="233"/>
      <x:c r="T259" s="233"/>
      <x:c r="U259" s="233"/>
      <x:c r="V259" s="233"/>
      <x:c r="W259" s="235"/>
      <x:c r="X259" s="235"/>
      <x:c r="Y259" s="233"/>
      <x:c r="Z259" s="233"/>
      <x:c r="AA259" s="233"/>
      <x:c r="AB259" s="233"/>
      <x:c r="AC259" s="236"/>
      <x:c r="AD259" s="233"/>
      <x:c r="AE259" s="233"/>
      <x:c r="AF259" s="233"/>
      <x:c r="AG259" s="233"/>
      <x:c r="AH259" s="234"/>
      <x:c r="AI259" s="233"/>
      <x:c r="AJ259" s="233"/>
      <x:c r="AK259" s="233"/>
      <x:c r="AL259" s="236"/>
      <x:c r="AM259" s="233"/>
      <x:c r="AN259" s="233"/>
      <x:c r="AO259" s="234"/>
      <x:c r="AP259" s="234"/>
      <x:c r="AQ259" s="233"/>
      <x:c r="AR259" s="236"/>
      <x:c r="AS259" s="234"/>
      <x:c r="AT259" s="233"/>
      <x:c r="AU259" s="233"/>
      <x:c r="AV259" s="233"/>
      <x:c r="AW259" s="233"/>
      <x:c r="AX259" s="233"/>
      <x:c r="AY259" s="233"/>
      <x:c r="AZ259" s="236"/>
      <x:c r="BA259" s="233"/>
      <x:c r="BB259" s="233"/>
      <x:c r="BC259" s="233"/>
      <x:c r="BD259" s="233"/>
      <x:c r="BE259" s="237" t="str">
        <x:f>IF(AND(A259="",B259="",C259="",E259="",G259="",I259="",M259="",T259="",BB259="",BD259=""),"",IF(B259="skip","SKIP",IF(OR(B259="",A259="",E259="",G259="",I259="",M259="",T259="",COUNTIF($A$6:$A$505,A259)&gt;1,COUNTIF($M$6:$M$505,M259)&gt;1,AND(L259="mobile",N259&lt;&gt;"invalid",OR(LEN(M259)&lt;&gt;10,LEFT(M259,2)&lt;&gt;"09"))),"REVIEW","READY")))</x:f>
      </x:c>
      <x:c r="BF259" s="238" t="str">
        <x:f>IF(BE259="","",IF(BE259="READY","",IF(B259="skip","Skipped by import_action",TRIM(IF(B259="","missing import_action; ","")&amp;IF(A259="","missing migration_customer_key; ","")&amp;IF(AND(A259&lt;&gt;"",COUNTIF($A$6:$A$505,A259)&gt;1),"duplicate migration_customer_key; ","")&amp;IF(E259="","missing branch_id; ","")&amp;IF(G259="","missing first_name; ","")&amp;IF(I259="","missing last_name; ","")&amp;IF(M259="","missing primary_phone; ","")&amp;IF(AND(M259&lt;&gt;"",COUNTIF($M$6:$M$505,M259)&gt;1),"duplicate primary_phone; ","")&amp;IF(AND(L259="mobile",N259&lt;&gt;"invalid",OR(LEN(M259)&lt;&gt;10,LEFT(M259,2)&lt;&gt;"09")),"mobile must be 09XXXXXXXX or status invalid; ","")&amp;IF(T259="","missing neighborhood_id; ","")))))</x:f>
      </x:c>
    </x:row>
    <x:row r="260">
      <x:c r="A260" s="232"/>
      <x:c r="B260" s="233"/>
      <x:c r="C260" s="234"/>
      <x:c r="D260" s="233"/>
      <x:c r="E260" s="233"/>
      <x:c r="F260" s="233"/>
      <x:c r="G260" s="233"/>
      <x:c r="H260" s="233"/>
      <x:c r="I260" s="233"/>
      <x:c r="J260" s="233"/>
      <x:c r="K260" s="233" t="str">
        <x:f>TRIM(G260&amp;" "&amp;H260&amp;" "&amp;I260&amp;IF(J260&lt;&gt;""," ("&amp;J260&amp;")",""))</x:f>
      </x:c>
      <x:c r="L260" s="233"/>
      <x:c r="M260" s="234"/>
      <x:c r="N260" s="233"/>
      <x:c r="O260" s="233"/>
      <x:c r="P260" s="233"/>
      <x:c r="Q260" s="233"/>
      <x:c r="R260" s="233"/>
      <x:c r="S260" s="233"/>
      <x:c r="T260" s="233"/>
      <x:c r="U260" s="233"/>
      <x:c r="V260" s="233"/>
      <x:c r="W260" s="235"/>
      <x:c r="X260" s="235"/>
      <x:c r="Y260" s="233"/>
      <x:c r="Z260" s="233"/>
      <x:c r="AA260" s="233"/>
      <x:c r="AB260" s="233"/>
      <x:c r="AC260" s="236"/>
      <x:c r="AD260" s="233"/>
      <x:c r="AE260" s="233"/>
      <x:c r="AF260" s="233"/>
      <x:c r="AG260" s="233"/>
      <x:c r="AH260" s="234"/>
      <x:c r="AI260" s="233"/>
      <x:c r="AJ260" s="233"/>
      <x:c r="AK260" s="233"/>
      <x:c r="AL260" s="236"/>
      <x:c r="AM260" s="233"/>
      <x:c r="AN260" s="233"/>
      <x:c r="AO260" s="234"/>
      <x:c r="AP260" s="234"/>
      <x:c r="AQ260" s="233"/>
      <x:c r="AR260" s="236"/>
      <x:c r="AS260" s="234"/>
      <x:c r="AT260" s="233"/>
      <x:c r="AU260" s="233"/>
      <x:c r="AV260" s="233"/>
      <x:c r="AW260" s="233"/>
      <x:c r="AX260" s="233"/>
      <x:c r="AY260" s="233"/>
      <x:c r="AZ260" s="236"/>
      <x:c r="BA260" s="233"/>
      <x:c r="BB260" s="233"/>
      <x:c r="BC260" s="233"/>
      <x:c r="BD260" s="233"/>
      <x:c r="BE260" s="237" t="str">
        <x:f>IF(AND(A260="",B260="",C260="",E260="",G260="",I260="",M260="",T260="",BB260="",BD260=""),"",IF(B260="skip","SKIP",IF(OR(B260="",A260="",E260="",G260="",I260="",M260="",T260="",COUNTIF($A$6:$A$505,A260)&gt;1,COUNTIF($M$6:$M$505,M260)&gt;1,AND(L260="mobile",N260&lt;&gt;"invalid",OR(LEN(M260)&lt;&gt;10,LEFT(M260,2)&lt;&gt;"09"))),"REVIEW","READY")))</x:f>
      </x:c>
      <x:c r="BF260" s="238" t="str">
        <x:f>IF(BE260="","",IF(BE260="READY","",IF(B260="skip","Skipped by import_action",TRIM(IF(B260="","missing import_action; ","")&amp;IF(A260="","missing migration_customer_key; ","")&amp;IF(AND(A260&lt;&gt;"",COUNTIF($A$6:$A$505,A260)&gt;1),"duplicate migration_customer_key; ","")&amp;IF(E260="","missing branch_id; ","")&amp;IF(G260="","missing first_name; ","")&amp;IF(I260="","missing last_name; ","")&amp;IF(M260="","missing primary_phone; ","")&amp;IF(AND(M260&lt;&gt;"",COUNTIF($M$6:$M$505,M260)&gt;1),"duplicate primary_phone; ","")&amp;IF(AND(L260="mobile",N260&lt;&gt;"invalid",OR(LEN(M260)&lt;&gt;10,LEFT(M260,2)&lt;&gt;"09")),"mobile must be 09XXXXXXXX or status invalid; ","")&amp;IF(T260="","missing neighborhood_id; ","")))))</x:f>
      </x:c>
    </x:row>
    <x:row r="261">
      <x:c r="A261" s="232"/>
      <x:c r="B261" s="233"/>
      <x:c r="C261" s="234"/>
      <x:c r="D261" s="233"/>
      <x:c r="E261" s="233"/>
      <x:c r="F261" s="233"/>
      <x:c r="G261" s="233"/>
      <x:c r="H261" s="233"/>
      <x:c r="I261" s="233"/>
      <x:c r="J261" s="233"/>
      <x:c r="K261" s="233" t="str">
        <x:f>TRIM(G261&amp;" "&amp;H261&amp;" "&amp;I261&amp;IF(J261&lt;&gt;""," ("&amp;J261&amp;")",""))</x:f>
      </x:c>
      <x:c r="L261" s="233"/>
      <x:c r="M261" s="234"/>
      <x:c r="N261" s="233"/>
      <x:c r="O261" s="233"/>
      <x:c r="P261" s="233"/>
      <x:c r="Q261" s="233"/>
      <x:c r="R261" s="233"/>
      <x:c r="S261" s="233"/>
      <x:c r="T261" s="233"/>
      <x:c r="U261" s="233"/>
      <x:c r="V261" s="233"/>
      <x:c r="W261" s="235"/>
      <x:c r="X261" s="235"/>
      <x:c r="Y261" s="233"/>
      <x:c r="Z261" s="233"/>
      <x:c r="AA261" s="233"/>
      <x:c r="AB261" s="233"/>
      <x:c r="AC261" s="236"/>
      <x:c r="AD261" s="233"/>
      <x:c r="AE261" s="233"/>
      <x:c r="AF261" s="233"/>
      <x:c r="AG261" s="233"/>
      <x:c r="AH261" s="234"/>
      <x:c r="AI261" s="233"/>
      <x:c r="AJ261" s="233"/>
      <x:c r="AK261" s="233"/>
      <x:c r="AL261" s="236"/>
      <x:c r="AM261" s="233"/>
      <x:c r="AN261" s="233"/>
      <x:c r="AO261" s="234"/>
      <x:c r="AP261" s="234"/>
      <x:c r="AQ261" s="233"/>
      <x:c r="AR261" s="236"/>
      <x:c r="AS261" s="234"/>
      <x:c r="AT261" s="233"/>
      <x:c r="AU261" s="233"/>
      <x:c r="AV261" s="233"/>
      <x:c r="AW261" s="233"/>
      <x:c r="AX261" s="233"/>
      <x:c r="AY261" s="233"/>
      <x:c r="AZ261" s="236"/>
      <x:c r="BA261" s="233"/>
      <x:c r="BB261" s="233"/>
      <x:c r="BC261" s="233"/>
      <x:c r="BD261" s="233"/>
      <x:c r="BE261" s="237" t="str">
        <x:f>IF(AND(A261="",B261="",C261="",E261="",G261="",I261="",M261="",T261="",BB261="",BD261=""),"",IF(B261="skip","SKIP",IF(OR(B261="",A261="",E261="",G261="",I261="",M261="",T261="",COUNTIF($A$6:$A$505,A261)&gt;1,COUNTIF($M$6:$M$505,M261)&gt;1,AND(L261="mobile",N261&lt;&gt;"invalid",OR(LEN(M261)&lt;&gt;10,LEFT(M261,2)&lt;&gt;"09"))),"REVIEW","READY")))</x:f>
      </x:c>
      <x:c r="BF261" s="238" t="str">
        <x:f>IF(BE261="","",IF(BE261="READY","",IF(B261="skip","Skipped by import_action",TRIM(IF(B261="","missing import_action; ","")&amp;IF(A261="","missing migration_customer_key; ","")&amp;IF(AND(A261&lt;&gt;"",COUNTIF($A$6:$A$505,A261)&gt;1),"duplicate migration_customer_key; ","")&amp;IF(E261="","missing branch_id; ","")&amp;IF(G261="","missing first_name; ","")&amp;IF(I261="","missing last_name; ","")&amp;IF(M261="","missing primary_phone; ","")&amp;IF(AND(M261&lt;&gt;"",COUNTIF($M$6:$M$505,M261)&gt;1),"duplicate primary_phone; ","")&amp;IF(AND(L261="mobile",N261&lt;&gt;"invalid",OR(LEN(M261)&lt;&gt;10,LEFT(M261,2)&lt;&gt;"09")),"mobile must be 09XXXXXXXX or status invalid; ","")&amp;IF(T261="","missing neighborhood_id; ","")))))</x:f>
      </x:c>
    </x:row>
    <x:row r="262">
      <x:c r="A262" s="232"/>
      <x:c r="B262" s="233"/>
      <x:c r="C262" s="234"/>
      <x:c r="D262" s="233"/>
      <x:c r="E262" s="233"/>
      <x:c r="F262" s="233"/>
      <x:c r="G262" s="233"/>
      <x:c r="H262" s="233"/>
      <x:c r="I262" s="233"/>
      <x:c r="J262" s="233"/>
      <x:c r="K262" s="233" t="str">
        <x:f>TRIM(G262&amp;" "&amp;H262&amp;" "&amp;I262&amp;IF(J262&lt;&gt;""," ("&amp;J262&amp;")",""))</x:f>
      </x:c>
      <x:c r="L262" s="233"/>
      <x:c r="M262" s="234"/>
      <x:c r="N262" s="233"/>
      <x:c r="O262" s="233"/>
      <x:c r="P262" s="233"/>
      <x:c r="Q262" s="233"/>
      <x:c r="R262" s="233"/>
      <x:c r="S262" s="233"/>
      <x:c r="T262" s="233"/>
      <x:c r="U262" s="233"/>
      <x:c r="V262" s="233"/>
      <x:c r="W262" s="235"/>
      <x:c r="X262" s="235"/>
      <x:c r="Y262" s="233"/>
      <x:c r="Z262" s="233"/>
      <x:c r="AA262" s="233"/>
      <x:c r="AB262" s="233"/>
      <x:c r="AC262" s="236"/>
      <x:c r="AD262" s="233"/>
      <x:c r="AE262" s="233"/>
      <x:c r="AF262" s="233"/>
      <x:c r="AG262" s="233"/>
      <x:c r="AH262" s="234"/>
      <x:c r="AI262" s="233"/>
      <x:c r="AJ262" s="233"/>
      <x:c r="AK262" s="233"/>
      <x:c r="AL262" s="236"/>
      <x:c r="AM262" s="233"/>
      <x:c r="AN262" s="233"/>
      <x:c r="AO262" s="234"/>
      <x:c r="AP262" s="234"/>
      <x:c r="AQ262" s="233"/>
      <x:c r="AR262" s="236"/>
      <x:c r="AS262" s="234"/>
      <x:c r="AT262" s="233"/>
      <x:c r="AU262" s="233"/>
      <x:c r="AV262" s="233"/>
      <x:c r="AW262" s="233"/>
      <x:c r="AX262" s="233"/>
      <x:c r="AY262" s="233"/>
      <x:c r="AZ262" s="236"/>
      <x:c r="BA262" s="233"/>
      <x:c r="BB262" s="233"/>
      <x:c r="BC262" s="233"/>
      <x:c r="BD262" s="233"/>
      <x:c r="BE262" s="237" t="str">
        <x:f>IF(AND(A262="",B262="",C262="",E262="",G262="",I262="",M262="",T262="",BB262="",BD262=""),"",IF(B262="skip","SKIP",IF(OR(B262="",A262="",E262="",G262="",I262="",M262="",T262="",COUNTIF($A$6:$A$505,A262)&gt;1,COUNTIF($M$6:$M$505,M262)&gt;1,AND(L262="mobile",N262&lt;&gt;"invalid",OR(LEN(M262)&lt;&gt;10,LEFT(M262,2)&lt;&gt;"09"))),"REVIEW","READY")))</x:f>
      </x:c>
      <x:c r="BF262" s="238" t="str">
        <x:f>IF(BE262="","",IF(BE262="READY","",IF(B262="skip","Skipped by import_action",TRIM(IF(B262="","missing import_action; ","")&amp;IF(A262="","missing migration_customer_key; ","")&amp;IF(AND(A262&lt;&gt;"",COUNTIF($A$6:$A$505,A262)&gt;1),"duplicate migration_customer_key; ","")&amp;IF(E262="","missing branch_id; ","")&amp;IF(G262="","missing first_name; ","")&amp;IF(I262="","missing last_name; ","")&amp;IF(M262="","missing primary_phone; ","")&amp;IF(AND(M262&lt;&gt;"",COUNTIF($M$6:$M$505,M262)&gt;1),"duplicate primary_phone; ","")&amp;IF(AND(L262="mobile",N262&lt;&gt;"invalid",OR(LEN(M262)&lt;&gt;10,LEFT(M262,2)&lt;&gt;"09")),"mobile must be 09XXXXXXXX or status invalid; ","")&amp;IF(T262="","missing neighborhood_id; ","")))))</x:f>
      </x:c>
    </x:row>
    <x:row r="263">
      <x:c r="A263" s="232"/>
      <x:c r="B263" s="233"/>
      <x:c r="C263" s="234"/>
      <x:c r="D263" s="233"/>
      <x:c r="E263" s="233"/>
      <x:c r="F263" s="233"/>
      <x:c r="G263" s="233"/>
      <x:c r="H263" s="233"/>
      <x:c r="I263" s="233"/>
      <x:c r="J263" s="233"/>
      <x:c r="K263" s="233" t="str">
        <x:f>TRIM(G263&amp;" "&amp;H263&amp;" "&amp;I263&amp;IF(J263&lt;&gt;""," ("&amp;J263&amp;")",""))</x:f>
      </x:c>
      <x:c r="L263" s="233"/>
      <x:c r="M263" s="234"/>
      <x:c r="N263" s="233"/>
      <x:c r="O263" s="233"/>
      <x:c r="P263" s="233"/>
      <x:c r="Q263" s="233"/>
      <x:c r="R263" s="233"/>
      <x:c r="S263" s="233"/>
      <x:c r="T263" s="233"/>
      <x:c r="U263" s="233"/>
      <x:c r="V263" s="233"/>
      <x:c r="W263" s="235"/>
      <x:c r="X263" s="235"/>
      <x:c r="Y263" s="233"/>
      <x:c r="Z263" s="233"/>
      <x:c r="AA263" s="233"/>
      <x:c r="AB263" s="233"/>
      <x:c r="AC263" s="236"/>
      <x:c r="AD263" s="233"/>
      <x:c r="AE263" s="233"/>
      <x:c r="AF263" s="233"/>
      <x:c r="AG263" s="233"/>
      <x:c r="AH263" s="234"/>
      <x:c r="AI263" s="233"/>
      <x:c r="AJ263" s="233"/>
      <x:c r="AK263" s="233"/>
      <x:c r="AL263" s="236"/>
      <x:c r="AM263" s="233"/>
      <x:c r="AN263" s="233"/>
      <x:c r="AO263" s="234"/>
      <x:c r="AP263" s="234"/>
      <x:c r="AQ263" s="233"/>
      <x:c r="AR263" s="236"/>
      <x:c r="AS263" s="234"/>
      <x:c r="AT263" s="233"/>
      <x:c r="AU263" s="233"/>
      <x:c r="AV263" s="233"/>
      <x:c r="AW263" s="233"/>
      <x:c r="AX263" s="233"/>
      <x:c r="AY263" s="233"/>
      <x:c r="AZ263" s="236"/>
      <x:c r="BA263" s="233"/>
      <x:c r="BB263" s="233"/>
      <x:c r="BC263" s="233"/>
      <x:c r="BD263" s="233"/>
      <x:c r="BE263" s="237" t="str">
        <x:f>IF(AND(A263="",B263="",C263="",E263="",G263="",I263="",M263="",T263="",BB263="",BD263=""),"",IF(B263="skip","SKIP",IF(OR(B263="",A263="",E263="",G263="",I263="",M263="",T263="",COUNTIF($A$6:$A$505,A263)&gt;1,COUNTIF($M$6:$M$505,M263)&gt;1,AND(L263="mobile",N263&lt;&gt;"invalid",OR(LEN(M263)&lt;&gt;10,LEFT(M263,2)&lt;&gt;"09"))),"REVIEW","READY")))</x:f>
      </x:c>
      <x:c r="BF263" s="238" t="str">
        <x:f>IF(BE263="","",IF(BE263="READY","",IF(B263="skip","Skipped by import_action",TRIM(IF(B263="","missing import_action; ","")&amp;IF(A263="","missing migration_customer_key; ","")&amp;IF(AND(A263&lt;&gt;"",COUNTIF($A$6:$A$505,A263)&gt;1),"duplicate migration_customer_key; ","")&amp;IF(E263="","missing branch_id; ","")&amp;IF(G263="","missing first_name; ","")&amp;IF(I263="","missing last_name; ","")&amp;IF(M263="","missing primary_phone; ","")&amp;IF(AND(M263&lt;&gt;"",COUNTIF($M$6:$M$505,M263)&gt;1),"duplicate primary_phone; ","")&amp;IF(AND(L263="mobile",N263&lt;&gt;"invalid",OR(LEN(M263)&lt;&gt;10,LEFT(M263,2)&lt;&gt;"09")),"mobile must be 09XXXXXXXX or status invalid; ","")&amp;IF(T263="","missing neighborhood_id; ","")))))</x:f>
      </x:c>
    </x:row>
    <x:row r="264">
      <x:c r="A264" s="232"/>
      <x:c r="B264" s="233"/>
      <x:c r="C264" s="234"/>
      <x:c r="D264" s="233"/>
      <x:c r="E264" s="233"/>
      <x:c r="F264" s="233"/>
      <x:c r="G264" s="233"/>
      <x:c r="H264" s="233"/>
      <x:c r="I264" s="233"/>
      <x:c r="J264" s="233"/>
      <x:c r="K264" s="233" t="str">
        <x:f>TRIM(G264&amp;" "&amp;H264&amp;" "&amp;I264&amp;IF(J264&lt;&gt;""," ("&amp;J264&amp;")",""))</x:f>
      </x:c>
      <x:c r="L264" s="233"/>
      <x:c r="M264" s="234"/>
      <x:c r="N264" s="233"/>
      <x:c r="O264" s="233"/>
      <x:c r="P264" s="233"/>
      <x:c r="Q264" s="233"/>
      <x:c r="R264" s="233"/>
      <x:c r="S264" s="233"/>
      <x:c r="T264" s="233"/>
      <x:c r="U264" s="233"/>
      <x:c r="V264" s="233"/>
      <x:c r="W264" s="235"/>
      <x:c r="X264" s="235"/>
      <x:c r="Y264" s="233"/>
      <x:c r="Z264" s="233"/>
      <x:c r="AA264" s="233"/>
      <x:c r="AB264" s="233"/>
      <x:c r="AC264" s="236"/>
      <x:c r="AD264" s="233"/>
      <x:c r="AE264" s="233"/>
      <x:c r="AF264" s="233"/>
      <x:c r="AG264" s="233"/>
      <x:c r="AH264" s="234"/>
      <x:c r="AI264" s="233"/>
      <x:c r="AJ264" s="233"/>
      <x:c r="AK264" s="233"/>
      <x:c r="AL264" s="236"/>
      <x:c r="AM264" s="233"/>
      <x:c r="AN264" s="233"/>
      <x:c r="AO264" s="234"/>
      <x:c r="AP264" s="234"/>
      <x:c r="AQ264" s="233"/>
      <x:c r="AR264" s="236"/>
      <x:c r="AS264" s="234"/>
      <x:c r="AT264" s="233"/>
      <x:c r="AU264" s="233"/>
      <x:c r="AV264" s="233"/>
      <x:c r="AW264" s="233"/>
      <x:c r="AX264" s="233"/>
      <x:c r="AY264" s="233"/>
      <x:c r="AZ264" s="236"/>
      <x:c r="BA264" s="233"/>
      <x:c r="BB264" s="233"/>
      <x:c r="BC264" s="233"/>
      <x:c r="BD264" s="233"/>
      <x:c r="BE264" s="237" t="str">
        <x:f>IF(AND(A264="",B264="",C264="",E264="",G264="",I264="",M264="",T264="",BB264="",BD264=""),"",IF(B264="skip","SKIP",IF(OR(B264="",A264="",E264="",G264="",I264="",M264="",T264="",COUNTIF($A$6:$A$505,A264)&gt;1,COUNTIF($M$6:$M$505,M264)&gt;1,AND(L264="mobile",N264&lt;&gt;"invalid",OR(LEN(M264)&lt;&gt;10,LEFT(M264,2)&lt;&gt;"09"))),"REVIEW","READY")))</x:f>
      </x:c>
      <x:c r="BF264" s="238" t="str">
        <x:f>IF(BE264="","",IF(BE264="READY","",IF(B264="skip","Skipped by import_action",TRIM(IF(B264="","missing import_action; ","")&amp;IF(A264="","missing migration_customer_key; ","")&amp;IF(AND(A264&lt;&gt;"",COUNTIF($A$6:$A$505,A264)&gt;1),"duplicate migration_customer_key; ","")&amp;IF(E264="","missing branch_id; ","")&amp;IF(G264="","missing first_name; ","")&amp;IF(I264="","missing last_name; ","")&amp;IF(M264="","missing primary_phone; ","")&amp;IF(AND(M264&lt;&gt;"",COUNTIF($M$6:$M$505,M264)&gt;1),"duplicate primary_phone; ","")&amp;IF(AND(L264="mobile",N264&lt;&gt;"invalid",OR(LEN(M264)&lt;&gt;10,LEFT(M264,2)&lt;&gt;"09")),"mobile must be 09XXXXXXXX or status invalid; ","")&amp;IF(T264="","missing neighborhood_id; ","")))))</x:f>
      </x:c>
    </x:row>
    <x:row r="265">
      <x:c r="A265" s="232"/>
      <x:c r="B265" s="233"/>
      <x:c r="C265" s="234"/>
      <x:c r="D265" s="233"/>
      <x:c r="E265" s="233"/>
      <x:c r="F265" s="233"/>
      <x:c r="G265" s="233"/>
      <x:c r="H265" s="233"/>
      <x:c r="I265" s="233"/>
      <x:c r="J265" s="233"/>
      <x:c r="K265" s="233" t="str">
        <x:f>TRIM(G265&amp;" "&amp;H265&amp;" "&amp;I265&amp;IF(J265&lt;&gt;""," ("&amp;J265&amp;")",""))</x:f>
      </x:c>
      <x:c r="L265" s="233"/>
      <x:c r="M265" s="234"/>
      <x:c r="N265" s="233"/>
      <x:c r="O265" s="233"/>
      <x:c r="P265" s="233"/>
      <x:c r="Q265" s="233"/>
      <x:c r="R265" s="233"/>
      <x:c r="S265" s="233"/>
      <x:c r="T265" s="233"/>
      <x:c r="U265" s="233"/>
      <x:c r="V265" s="233"/>
      <x:c r="W265" s="235"/>
      <x:c r="X265" s="235"/>
      <x:c r="Y265" s="233"/>
      <x:c r="Z265" s="233"/>
      <x:c r="AA265" s="233"/>
      <x:c r="AB265" s="233"/>
      <x:c r="AC265" s="236"/>
      <x:c r="AD265" s="233"/>
      <x:c r="AE265" s="233"/>
      <x:c r="AF265" s="233"/>
      <x:c r="AG265" s="233"/>
      <x:c r="AH265" s="234"/>
      <x:c r="AI265" s="233"/>
      <x:c r="AJ265" s="233"/>
      <x:c r="AK265" s="233"/>
      <x:c r="AL265" s="236"/>
      <x:c r="AM265" s="233"/>
      <x:c r="AN265" s="233"/>
      <x:c r="AO265" s="234"/>
      <x:c r="AP265" s="234"/>
      <x:c r="AQ265" s="233"/>
      <x:c r="AR265" s="236"/>
      <x:c r="AS265" s="234"/>
      <x:c r="AT265" s="233"/>
      <x:c r="AU265" s="233"/>
      <x:c r="AV265" s="233"/>
      <x:c r="AW265" s="233"/>
      <x:c r="AX265" s="233"/>
      <x:c r="AY265" s="233"/>
      <x:c r="AZ265" s="236"/>
      <x:c r="BA265" s="233"/>
      <x:c r="BB265" s="233"/>
      <x:c r="BC265" s="233"/>
      <x:c r="BD265" s="233"/>
      <x:c r="BE265" s="237" t="str">
        <x:f>IF(AND(A265="",B265="",C265="",E265="",G265="",I265="",M265="",T265="",BB265="",BD265=""),"",IF(B265="skip","SKIP",IF(OR(B265="",A265="",E265="",G265="",I265="",M265="",T265="",COUNTIF($A$6:$A$505,A265)&gt;1,COUNTIF($M$6:$M$505,M265)&gt;1,AND(L265="mobile",N265&lt;&gt;"invalid",OR(LEN(M265)&lt;&gt;10,LEFT(M265,2)&lt;&gt;"09"))),"REVIEW","READY")))</x:f>
      </x:c>
      <x:c r="BF265" s="238" t="str">
        <x:f>IF(BE265="","",IF(BE265="READY","",IF(B265="skip","Skipped by import_action",TRIM(IF(B265="","missing import_action; ","")&amp;IF(A265="","missing migration_customer_key; ","")&amp;IF(AND(A265&lt;&gt;"",COUNTIF($A$6:$A$505,A265)&gt;1),"duplicate migration_customer_key; ","")&amp;IF(E265="","missing branch_id; ","")&amp;IF(G265="","missing first_name; ","")&amp;IF(I265="","missing last_name; ","")&amp;IF(M265="","missing primary_phone; ","")&amp;IF(AND(M265&lt;&gt;"",COUNTIF($M$6:$M$505,M265)&gt;1),"duplicate primary_phone; ","")&amp;IF(AND(L265="mobile",N265&lt;&gt;"invalid",OR(LEN(M265)&lt;&gt;10,LEFT(M265,2)&lt;&gt;"09")),"mobile must be 09XXXXXXXX or status invalid; ","")&amp;IF(T265="","missing neighborhood_id; ","")))))</x:f>
      </x:c>
    </x:row>
    <x:row r="266">
      <x:c r="A266" s="232"/>
      <x:c r="B266" s="233"/>
      <x:c r="C266" s="234"/>
      <x:c r="D266" s="233"/>
      <x:c r="E266" s="233"/>
      <x:c r="F266" s="233"/>
      <x:c r="G266" s="233"/>
      <x:c r="H266" s="233"/>
      <x:c r="I266" s="233"/>
      <x:c r="J266" s="233"/>
      <x:c r="K266" s="233" t="str">
        <x:f>TRIM(G266&amp;" "&amp;H266&amp;" "&amp;I266&amp;IF(J266&lt;&gt;""," ("&amp;J266&amp;")",""))</x:f>
      </x:c>
      <x:c r="L266" s="233"/>
      <x:c r="M266" s="234"/>
      <x:c r="N266" s="233"/>
      <x:c r="O266" s="233"/>
      <x:c r="P266" s="233"/>
      <x:c r="Q266" s="233"/>
      <x:c r="R266" s="233"/>
      <x:c r="S266" s="233"/>
      <x:c r="T266" s="233"/>
      <x:c r="U266" s="233"/>
      <x:c r="V266" s="233"/>
      <x:c r="W266" s="235"/>
      <x:c r="X266" s="235"/>
      <x:c r="Y266" s="233"/>
      <x:c r="Z266" s="233"/>
      <x:c r="AA266" s="233"/>
      <x:c r="AB266" s="233"/>
      <x:c r="AC266" s="236"/>
      <x:c r="AD266" s="233"/>
      <x:c r="AE266" s="233"/>
      <x:c r="AF266" s="233"/>
      <x:c r="AG266" s="233"/>
      <x:c r="AH266" s="234"/>
      <x:c r="AI266" s="233"/>
      <x:c r="AJ266" s="233"/>
      <x:c r="AK266" s="233"/>
      <x:c r="AL266" s="236"/>
      <x:c r="AM266" s="233"/>
      <x:c r="AN266" s="233"/>
      <x:c r="AO266" s="234"/>
      <x:c r="AP266" s="234"/>
      <x:c r="AQ266" s="233"/>
      <x:c r="AR266" s="236"/>
      <x:c r="AS266" s="234"/>
      <x:c r="AT266" s="233"/>
      <x:c r="AU266" s="233"/>
      <x:c r="AV266" s="233"/>
      <x:c r="AW266" s="233"/>
      <x:c r="AX266" s="233"/>
      <x:c r="AY266" s="233"/>
      <x:c r="AZ266" s="236"/>
      <x:c r="BA266" s="233"/>
      <x:c r="BB266" s="233"/>
      <x:c r="BC266" s="233"/>
      <x:c r="BD266" s="233"/>
      <x:c r="BE266" s="237" t="str">
        <x:f>IF(AND(A266="",B266="",C266="",E266="",G266="",I266="",M266="",T266="",BB266="",BD266=""),"",IF(B266="skip","SKIP",IF(OR(B266="",A266="",E266="",G266="",I266="",M266="",T266="",COUNTIF($A$6:$A$505,A266)&gt;1,COUNTIF($M$6:$M$505,M266)&gt;1,AND(L266="mobile",N266&lt;&gt;"invalid",OR(LEN(M266)&lt;&gt;10,LEFT(M266,2)&lt;&gt;"09"))),"REVIEW","READY")))</x:f>
      </x:c>
      <x:c r="BF266" s="238" t="str">
        <x:f>IF(BE266="","",IF(BE266="READY","",IF(B266="skip","Skipped by import_action",TRIM(IF(B266="","missing import_action; ","")&amp;IF(A266="","missing migration_customer_key; ","")&amp;IF(AND(A266&lt;&gt;"",COUNTIF($A$6:$A$505,A266)&gt;1),"duplicate migration_customer_key; ","")&amp;IF(E266="","missing branch_id; ","")&amp;IF(G266="","missing first_name; ","")&amp;IF(I266="","missing last_name; ","")&amp;IF(M266="","missing primary_phone; ","")&amp;IF(AND(M266&lt;&gt;"",COUNTIF($M$6:$M$505,M266)&gt;1),"duplicate primary_phone; ","")&amp;IF(AND(L266="mobile",N266&lt;&gt;"invalid",OR(LEN(M266)&lt;&gt;10,LEFT(M266,2)&lt;&gt;"09")),"mobile must be 09XXXXXXXX or status invalid; ","")&amp;IF(T266="","missing neighborhood_id; ","")))))</x:f>
      </x:c>
    </x:row>
    <x:row r="267">
      <x:c r="A267" s="232"/>
      <x:c r="B267" s="233"/>
      <x:c r="C267" s="234"/>
      <x:c r="D267" s="233"/>
      <x:c r="E267" s="233"/>
      <x:c r="F267" s="233"/>
      <x:c r="G267" s="233"/>
      <x:c r="H267" s="233"/>
      <x:c r="I267" s="233"/>
      <x:c r="J267" s="233"/>
      <x:c r="K267" s="233" t="str">
        <x:f>TRIM(G267&amp;" "&amp;H267&amp;" "&amp;I267&amp;IF(J267&lt;&gt;""," ("&amp;J267&amp;")",""))</x:f>
      </x:c>
      <x:c r="L267" s="233"/>
      <x:c r="M267" s="234"/>
      <x:c r="N267" s="233"/>
      <x:c r="O267" s="233"/>
      <x:c r="P267" s="233"/>
      <x:c r="Q267" s="233"/>
      <x:c r="R267" s="233"/>
      <x:c r="S267" s="233"/>
      <x:c r="T267" s="233"/>
      <x:c r="U267" s="233"/>
      <x:c r="V267" s="233"/>
      <x:c r="W267" s="235"/>
      <x:c r="X267" s="235"/>
      <x:c r="Y267" s="233"/>
      <x:c r="Z267" s="233"/>
      <x:c r="AA267" s="233"/>
      <x:c r="AB267" s="233"/>
      <x:c r="AC267" s="236"/>
      <x:c r="AD267" s="233"/>
      <x:c r="AE267" s="233"/>
      <x:c r="AF267" s="233"/>
      <x:c r="AG267" s="233"/>
      <x:c r="AH267" s="234"/>
      <x:c r="AI267" s="233"/>
      <x:c r="AJ267" s="233"/>
      <x:c r="AK267" s="233"/>
      <x:c r="AL267" s="236"/>
      <x:c r="AM267" s="233"/>
      <x:c r="AN267" s="233"/>
      <x:c r="AO267" s="234"/>
      <x:c r="AP267" s="234"/>
      <x:c r="AQ267" s="233"/>
      <x:c r="AR267" s="236"/>
      <x:c r="AS267" s="234"/>
      <x:c r="AT267" s="233"/>
      <x:c r="AU267" s="233"/>
      <x:c r="AV267" s="233"/>
      <x:c r="AW267" s="233"/>
      <x:c r="AX267" s="233"/>
      <x:c r="AY267" s="233"/>
      <x:c r="AZ267" s="236"/>
      <x:c r="BA267" s="233"/>
      <x:c r="BB267" s="233"/>
      <x:c r="BC267" s="233"/>
      <x:c r="BD267" s="233"/>
      <x:c r="BE267" s="237" t="str">
        <x:f>IF(AND(A267="",B267="",C267="",E267="",G267="",I267="",M267="",T267="",BB267="",BD267=""),"",IF(B267="skip","SKIP",IF(OR(B267="",A267="",E267="",G267="",I267="",M267="",T267="",COUNTIF($A$6:$A$505,A267)&gt;1,COUNTIF($M$6:$M$505,M267)&gt;1,AND(L267="mobile",N267&lt;&gt;"invalid",OR(LEN(M267)&lt;&gt;10,LEFT(M267,2)&lt;&gt;"09"))),"REVIEW","READY")))</x:f>
      </x:c>
      <x:c r="BF267" s="238" t="str">
        <x:f>IF(BE267="","",IF(BE267="READY","",IF(B267="skip","Skipped by import_action",TRIM(IF(B267="","missing import_action; ","")&amp;IF(A267="","missing migration_customer_key; ","")&amp;IF(AND(A267&lt;&gt;"",COUNTIF($A$6:$A$505,A267)&gt;1),"duplicate migration_customer_key; ","")&amp;IF(E267="","missing branch_id; ","")&amp;IF(G267="","missing first_name; ","")&amp;IF(I267="","missing last_name; ","")&amp;IF(M267="","missing primary_phone; ","")&amp;IF(AND(M267&lt;&gt;"",COUNTIF($M$6:$M$505,M267)&gt;1),"duplicate primary_phone; ","")&amp;IF(AND(L267="mobile",N267&lt;&gt;"invalid",OR(LEN(M267)&lt;&gt;10,LEFT(M267,2)&lt;&gt;"09")),"mobile must be 09XXXXXXXX or status invalid; ","")&amp;IF(T267="","missing neighborhood_id; ","")))))</x:f>
      </x:c>
    </x:row>
    <x:row r="268">
      <x:c r="A268" s="232"/>
      <x:c r="B268" s="233"/>
      <x:c r="C268" s="234"/>
      <x:c r="D268" s="233"/>
      <x:c r="E268" s="233"/>
      <x:c r="F268" s="233"/>
      <x:c r="G268" s="233"/>
      <x:c r="H268" s="233"/>
      <x:c r="I268" s="233"/>
      <x:c r="J268" s="233"/>
      <x:c r="K268" s="233" t="str">
        <x:f>TRIM(G268&amp;" "&amp;H268&amp;" "&amp;I268&amp;IF(J268&lt;&gt;""," ("&amp;J268&amp;")",""))</x:f>
      </x:c>
      <x:c r="L268" s="233"/>
      <x:c r="M268" s="234"/>
      <x:c r="N268" s="233"/>
      <x:c r="O268" s="233"/>
      <x:c r="P268" s="233"/>
      <x:c r="Q268" s="233"/>
      <x:c r="R268" s="233"/>
      <x:c r="S268" s="233"/>
      <x:c r="T268" s="233"/>
      <x:c r="U268" s="233"/>
      <x:c r="V268" s="233"/>
      <x:c r="W268" s="235"/>
      <x:c r="X268" s="235"/>
      <x:c r="Y268" s="233"/>
      <x:c r="Z268" s="233"/>
      <x:c r="AA268" s="233"/>
      <x:c r="AB268" s="233"/>
      <x:c r="AC268" s="236"/>
      <x:c r="AD268" s="233"/>
      <x:c r="AE268" s="233"/>
      <x:c r="AF268" s="233"/>
      <x:c r="AG268" s="233"/>
      <x:c r="AH268" s="234"/>
      <x:c r="AI268" s="233"/>
      <x:c r="AJ268" s="233"/>
      <x:c r="AK268" s="233"/>
      <x:c r="AL268" s="236"/>
      <x:c r="AM268" s="233"/>
      <x:c r="AN268" s="233"/>
      <x:c r="AO268" s="234"/>
      <x:c r="AP268" s="234"/>
      <x:c r="AQ268" s="233"/>
      <x:c r="AR268" s="236"/>
      <x:c r="AS268" s="234"/>
      <x:c r="AT268" s="233"/>
      <x:c r="AU268" s="233"/>
      <x:c r="AV268" s="233"/>
      <x:c r="AW268" s="233"/>
      <x:c r="AX268" s="233"/>
      <x:c r="AY268" s="233"/>
      <x:c r="AZ268" s="236"/>
      <x:c r="BA268" s="233"/>
      <x:c r="BB268" s="233"/>
      <x:c r="BC268" s="233"/>
      <x:c r="BD268" s="233"/>
      <x:c r="BE268" s="237" t="str">
        <x:f>IF(AND(A268="",B268="",C268="",E268="",G268="",I268="",M268="",T268="",BB268="",BD268=""),"",IF(B268="skip","SKIP",IF(OR(B268="",A268="",E268="",G268="",I268="",M268="",T268="",COUNTIF($A$6:$A$505,A268)&gt;1,COUNTIF($M$6:$M$505,M268)&gt;1,AND(L268="mobile",N268&lt;&gt;"invalid",OR(LEN(M268)&lt;&gt;10,LEFT(M268,2)&lt;&gt;"09"))),"REVIEW","READY")))</x:f>
      </x:c>
      <x:c r="BF268" s="238" t="str">
        <x:f>IF(BE268="","",IF(BE268="READY","",IF(B268="skip","Skipped by import_action",TRIM(IF(B268="","missing import_action; ","")&amp;IF(A268="","missing migration_customer_key; ","")&amp;IF(AND(A268&lt;&gt;"",COUNTIF($A$6:$A$505,A268)&gt;1),"duplicate migration_customer_key; ","")&amp;IF(E268="","missing branch_id; ","")&amp;IF(G268="","missing first_name; ","")&amp;IF(I268="","missing last_name; ","")&amp;IF(M268="","missing primary_phone; ","")&amp;IF(AND(M268&lt;&gt;"",COUNTIF($M$6:$M$505,M268)&gt;1),"duplicate primary_phone; ","")&amp;IF(AND(L268="mobile",N268&lt;&gt;"invalid",OR(LEN(M268)&lt;&gt;10,LEFT(M268,2)&lt;&gt;"09")),"mobile must be 09XXXXXXXX or status invalid; ","")&amp;IF(T268="","missing neighborhood_id; ","")))))</x:f>
      </x:c>
    </x:row>
    <x:row r="269">
      <x:c r="A269" s="232"/>
      <x:c r="B269" s="233"/>
      <x:c r="C269" s="234"/>
      <x:c r="D269" s="233"/>
      <x:c r="E269" s="233"/>
      <x:c r="F269" s="233"/>
      <x:c r="G269" s="233"/>
      <x:c r="H269" s="233"/>
      <x:c r="I269" s="233"/>
      <x:c r="J269" s="233"/>
      <x:c r="K269" s="233" t="str">
        <x:f>TRIM(G269&amp;" "&amp;H269&amp;" "&amp;I269&amp;IF(J269&lt;&gt;""," ("&amp;J269&amp;")",""))</x:f>
      </x:c>
      <x:c r="L269" s="233"/>
      <x:c r="M269" s="234"/>
      <x:c r="N269" s="233"/>
      <x:c r="O269" s="233"/>
      <x:c r="P269" s="233"/>
      <x:c r="Q269" s="233"/>
      <x:c r="R269" s="233"/>
      <x:c r="S269" s="233"/>
      <x:c r="T269" s="233"/>
      <x:c r="U269" s="233"/>
      <x:c r="V269" s="233"/>
      <x:c r="W269" s="235"/>
      <x:c r="X269" s="235"/>
      <x:c r="Y269" s="233"/>
      <x:c r="Z269" s="233"/>
      <x:c r="AA269" s="233"/>
      <x:c r="AB269" s="233"/>
      <x:c r="AC269" s="236"/>
      <x:c r="AD269" s="233"/>
      <x:c r="AE269" s="233"/>
      <x:c r="AF269" s="233"/>
      <x:c r="AG269" s="233"/>
      <x:c r="AH269" s="234"/>
      <x:c r="AI269" s="233"/>
      <x:c r="AJ269" s="233"/>
      <x:c r="AK269" s="233"/>
      <x:c r="AL269" s="236"/>
      <x:c r="AM269" s="233"/>
      <x:c r="AN269" s="233"/>
      <x:c r="AO269" s="234"/>
      <x:c r="AP269" s="234"/>
      <x:c r="AQ269" s="233"/>
      <x:c r="AR269" s="236"/>
      <x:c r="AS269" s="234"/>
      <x:c r="AT269" s="233"/>
      <x:c r="AU269" s="233"/>
      <x:c r="AV269" s="233"/>
      <x:c r="AW269" s="233"/>
      <x:c r="AX269" s="233"/>
      <x:c r="AY269" s="233"/>
      <x:c r="AZ269" s="236"/>
      <x:c r="BA269" s="233"/>
      <x:c r="BB269" s="233"/>
      <x:c r="BC269" s="233"/>
      <x:c r="BD269" s="233"/>
      <x:c r="BE269" s="237" t="str">
        <x:f>IF(AND(A269="",B269="",C269="",E269="",G269="",I269="",M269="",T269="",BB269="",BD269=""),"",IF(B269="skip","SKIP",IF(OR(B269="",A269="",E269="",G269="",I269="",M269="",T269="",COUNTIF($A$6:$A$505,A269)&gt;1,COUNTIF($M$6:$M$505,M269)&gt;1,AND(L269="mobile",N269&lt;&gt;"invalid",OR(LEN(M269)&lt;&gt;10,LEFT(M269,2)&lt;&gt;"09"))),"REVIEW","READY")))</x:f>
      </x:c>
      <x:c r="BF269" s="238" t="str">
        <x:f>IF(BE269="","",IF(BE269="READY","",IF(B269="skip","Skipped by import_action",TRIM(IF(B269="","missing import_action; ","")&amp;IF(A269="","missing migration_customer_key; ","")&amp;IF(AND(A269&lt;&gt;"",COUNTIF($A$6:$A$505,A269)&gt;1),"duplicate migration_customer_key; ","")&amp;IF(E269="","missing branch_id; ","")&amp;IF(G269="","missing first_name; ","")&amp;IF(I269="","missing last_name; ","")&amp;IF(M269="","missing primary_phone; ","")&amp;IF(AND(M269&lt;&gt;"",COUNTIF($M$6:$M$505,M269)&gt;1),"duplicate primary_phone; ","")&amp;IF(AND(L269="mobile",N269&lt;&gt;"invalid",OR(LEN(M269)&lt;&gt;10,LEFT(M269,2)&lt;&gt;"09")),"mobile must be 09XXXXXXXX or status invalid; ","")&amp;IF(T269="","missing neighborhood_id; ","")))))</x:f>
      </x:c>
    </x:row>
    <x:row r="270">
      <x:c r="A270" s="232"/>
      <x:c r="B270" s="233"/>
      <x:c r="C270" s="234"/>
      <x:c r="D270" s="233"/>
      <x:c r="E270" s="233"/>
      <x:c r="F270" s="233"/>
      <x:c r="G270" s="233"/>
      <x:c r="H270" s="233"/>
      <x:c r="I270" s="233"/>
      <x:c r="J270" s="233"/>
      <x:c r="K270" s="233" t="str">
        <x:f>TRIM(G270&amp;" "&amp;H270&amp;" "&amp;I270&amp;IF(J270&lt;&gt;""," ("&amp;J270&amp;")",""))</x:f>
      </x:c>
      <x:c r="L270" s="233"/>
      <x:c r="M270" s="234"/>
      <x:c r="N270" s="233"/>
      <x:c r="O270" s="233"/>
      <x:c r="P270" s="233"/>
      <x:c r="Q270" s="233"/>
      <x:c r="R270" s="233"/>
      <x:c r="S270" s="233"/>
      <x:c r="T270" s="233"/>
      <x:c r="U270" s="233"/>
      <x:c r="V270" s="233"/>
      <x:c r="W270" s="235"/>
      <x:c r="X270" s="235"/>
      <x:c r="Y270" s="233"/>
      <x:c r="Z270" s="233"/>
      <x:c r="AA270" s="233"/>
      <x:c r="AB270" s="233"/>
      <x:c r="AC270" s="236"/>
      <x:c r="AD270" s="233"/>
      <x:c r="AE270" s="233"/>
      <x:c r="AF270" s="233"/>
      <x:c r="AG270" s="233"/>
      <x:c r="AH270" s="234"/>
      <x:c r="AI270" s="233"/>
      <x:c r="AJ270" s="233"/>
      <x:c r="AK270" s="233"/>
      <x:c r="AL270" s="236"/>
      <x:c r="AM270" s="233"/>
      <x:c r="AN270" s="233"/>
      <x:c r="AO270" s="234"/>
      <x:c r="AP270" s="234"/>
      <x:c r="AQ270" s="233"/>
      <x:c r="AR270" s="236"/>
      <x:c r="AS270" s="234"/>
      <x:c r="AT270" s="233"/>
      <x:c r="AU270" s="233"/>
      <x:c r="AV270" s="233"/>
      <x:c r="AW270" s="233"/>
      <x:c r="AX270" s="233"/>
      <x:c r="AY270" s="233"/>
      <x:c r="AZ270" s="236"/>
      <x:c r="BA270" s="233"/>
      <x:c r="BB270" s="233"/>
      <x:c r="BC270" s="233"/>
      <x:c r="BD270" s="233"/>
      <x:c r="BE270" s="237" t="str">
        <x:f>IF(AND(A270="",B270="",C270="",E270="",G270="",I270="",M270="",T270="",BB270="",BD270=""),"",IF(B270="skip","SKIP",IF(OR(B270="",A270="",E270="",G270="",I270="",M270="",T270="",COUNTIF($A$6:$A$505,A270)&gt;1,COUNTIF($M$6:$M$505,M270)&gt;1,AND(L270="mobile",N270&lt;&gt;"invalid",OR(LEN(M270)&lt;&gt;10,LEFT(M270,2)&lt;&gt;"09"))),"REVIEW","READY")))</x:f>
      </x:c>
      <x:c r="BF270" s="238" t="str">
        <x:f>IF(BE270="","",IF(BE270="READY","",IF(B270="skip","Skipped by import_action",TRIM(IF(B270="","missing import_action; ","")&amp;IF(A270="","missing migration_customer_key; ","")&amp;IF(AND(A270&lt;&gt;"",COUNTIF($A$6:$A$505,A270)&gt;1),"duplicate migration_customer_key; ","")&amp;IF(E270="","missing branch_id; ","")&amp;IF(G270="","missing first_name; ","")&amp;IF(I270="","missing last_name; ","")&amp;IF(M270="","missing primary_phone; ","")&amp;IF(AND(M270&lt;&gt;"",COUNTIF($M$6:$M$505,M270)&gt;1),"duplicate primary_phone; ","")&amp;IF(AND(L270="mobile",N270&lt;&gt;"invalid",OR(LEN(M270)&lt;&gt;10,LEFT(M270,2)&lt;&gt;"09")),"mobile must be 09XXXXXXXX or status invalid; ","")&amp;IF(T270="","missing neighborhood_id; ","")))))</x:f>
      </x:c>
    </x:row>
    <x:row r="271">
      <x:c r="A271" s="232"/>
      <x:c r="B271" s="233"/>
      <x:c r="C271" s="234"/>
      <x:c r="D271" s="233"/>
      <x:c r="E271" s="233"/>
      <x:c r="F271" s="233"/>
      <x:c r="G271" s="233"/>
      <x:c r="H271" s="233"/>
      <x:c r="I271" s="233"/>
      <x:c r="J271" s="233"/>
      <x:c r="K271" s="233" t="str">
        <x:f>TRIM(G271&amp;" "&amp;H271&amp;" "&amp;I271&amp;IF(J271&lt;&gt;""," ("&amp;J271&amp;")",""))</x:f>
      </x:c>
      <x:c r="L271" s="233"/>
      <x:c r="M271" s="234"/>
      <x:c r="N271" s="233"/>
      <x:c r="O271" s="233"/>
      <x:c r="P271" s="233"/>
      <x:c r="Q271" s="233"/>
      <x:c r="R271" s="233"/>
      <x:c r="S271" s="233"/>
      <x:c r="T271" s="233"/>
      <x:c r="U271" s="233"/>
      <x:c r="V271" s="233"/>
      <x:c r="W271" s="235"/>
      <x:c r="X271" s="235"/>
      <x:c r="Y271" s="233"/>
      <x:c r="Z271" s="233"/>
      <x:c r="AA271" s="233"/>
      <x:c r="AB271" s="233"/>
      <x:c r="AC271" s="236"/>
      <x:c r="AD271" s="233"/>
      <x:c r="AE271" s="233"/>
      <x:c r="AF271" s="233"/>
      <x:c r="AG271" s="233"/>
      <x:c r="AH271" s="234"/>
      <x:c r="AI271" s="233"/>
      <x:c r="AJ271" s="233"/>
      <x:c r="AK271" s="233"/>
      <x:c r="AL271" s="236"/>
      <x:c r="AM271" s="233"/>
      <x:c r="AN271" s="233"/>
      <x:c r="AO271" s="234"/>
      <x:c r="AP271" s="234"/>
      <x:c r="AQ271" s="233"/>
      <x:c r="AR271" s="236"/>
      <x:c r="AS271" s="234"/>
      <x:c r="AT271" s="233"/>
      <x:c r="AU271" s="233"/>
      <x:c r="AV271" s="233"/>
      <x:c r="AW271" s="233"/>
      <x:c r="AX271" s="233"/>
      <x:c r="AY271" s="233"/>
      <x:c r="AZ271" s="236"/>
      <x:c r="BA271" s="233"/>
      <x:c r="BB271" s="233"/>
      <x:c r="BC271" s="233"/>
      <x:c r="BD271" s="233"/>
      <x:c r="BE271" s="237" t="str">
        <x:f>IF(AND(A271="",B271="",C271="",E271="",G271="",I271="",M271="",T271="",BB271="",BD271=""),"",IF(B271="skip","SKIP",IF(OR(B271="",A271="",E271="",G271="",I271="",M271="",T271="",COUNTIF($A$6:$A$505,A271)&gt;1,COUNTIF($M$6:$M$505,M271)&gt;1,AND(L271="mobile",N271&lt;&gt;"invalid",OR(LEN(M271)&lt;&gt;10,LEFT(M271,2)&lt;&gt;"09"))),"REVIEW","READY")))</x:f>
      </x:c>
      <x:c r="BF271" s="238" t="str">
        <x:f>IF(BE271="","",IF(BE271="READY","",IF(B271="skip","Skipped by import_action",TRIM(IF(B271="","missing import_action; ","")&amp;IF(A271="","missing migration_customer_key; ","")&amp;IF(AND(A271&lt;&gt;"",COUNTIF($A$6:$A$505,A271)&gt;1),"duplicate migration_customer_key; ","")&amp;IF(E271="","missing branch_id; ","")&amp;IF(G271="","missing first_name; ","")&amp;IF(I271="","missing last_name; ","")&amp;IF(M271="","missing primary_phone; ","")&amp;IF(AND(M271&lt;&gt;"",COUNTIF($M$6:$M$505,M271)&gt;1),"duplicate primary_phone; ","")&amp;IF(AND(L271="mobile",N271&lt;&gt;"invalid",OR(LEN(M271)&lt;&gt;10,LEFT(M271,2)&lt;&gt;"09")),"mobile must be 09XXXXXXXX or status invalid; ","")&amp;IF(T271="","missing neighborhood_id; ","")))))</x:f>
      </x:c>
    </x:row>
    <x:row r="272">
      <x:c r="A272" s="232"/>
      <x:c r="B272" s="233"/>
      <x:c r="C272" s="234"/>
      <x:c r="D272" s="233"/>
      <x:c r="E272" s="233"/>
      <x:c r="F272" s="233"/>
      <x:c r="G272" s="233"/>
      <x:c r="H272" s="233"/>
      <x:c r="I272" s="233"/>
      <x:c r="J272" s="233"/>
      <x:c r="K272" s="233" t="str">
        <x:f>TRIM(G272&amp;" "&amp;H272&amp;" "&amp;I272&amp;IF(J272&lt;&gt;""," ("&amp;J272&amp;")",""))</x:f>
      </x:c>
      <x:c r="L272" s="233"/>
      <x:c r="M272" s="234"/>
      <x:c r="N272" s="233"/>
      <x:c r="O272" s="233"/>
      <x:c r="P272" s="233"/>
      <x:c r="Q272" s="233"/>
      <x:c r="R272" s="233"/>
      <x:c r="S272" s="233"/>
      <x:c r="T272" s="233"/>
      <x:c r="U272" s="233"/>
      <x:c r="V272" s="233"/>
      <x:c r="W272" s="235"/>
      <x:c r="X272" s="235"/>
      <x:c r="Y272" s="233"/>
      <x:c r="Z272" s="233"/>
      <x:c r="AA272" s="233"/>
      <x:c r="AB272" s="233"/>
      <x:c r="AC272" s="236"/>
      <x:c r="AD272" s="233"/>
      <x:c r="AE272" s="233"/>
      <x:c r="AF272" s="233"/>
      <x:c r="AG272" s="233"/>
      <x:c r="AH272" s="234"/>
      <x:c r="AI272" s="233"/>
      <x:c r="AJ272" s="233"/>
      <x:c r="AK272" s="233"/>
      <x:c r="AL272" s="236"/>
      <x:c r="AM272" s="233"/>
      <x:c r="AN272" s="233"/>
      <x:c r="AO272" s="234"/>
      <x:c r="AP272" s="234"/>
      <x:c r="AQ272" s="233"/>
      <x:c r="AR272" s="236"/>
      <x:c r="AS272" s="234"/>
      <x:c r="AT272" s="233"/>
      <x:c r="AU272" s="233"/>
      <x:c r="AV272" s="233"/>
      <x:c r="AW272" s="233"/>
      <x:c r="AX272" s="233"/>
      <x:c r="AY272" s="233"/>
      <x:c r="AZ272" s="236"/>
      <x:c r="BA272" s="233"/>
      <x:c r="BB272" s="233"/>
      <x:c r="BC272" s="233"/>
      <x:c r="BD272" s="233"/>
      <x:c r="BE272" s="237" t="str">
        <x:f>IF(AND(A272="",B272="",C272="",E272="",G272="",I272="",M272="",T272="",BB272="",BD272=""),"",IF(B272="skip","SKIP",IF(OR(B272="",A272="",E272="",G272="",I272="",M272="",T272="",COUNTIF($A$6:$A$505,A272)&gt;1,COUNTIF($M$6:$M$505,M272)&gt;1,AND(L272="mobile",N272&lt;&gt;"invalid",OR(LEN(M272)&lt;&gt;10,LEFT(M272,2)&lt;&gt;"09"))),"REVIEW","READY")))</x:f>
      </x:c>
      <x:c r="BF272" s="238" t="str">
        <x:f>IF(BE272="","",IF(BE272="READY","",IF(B272="skip","Skipped by import_action",TRIM(IF(B272="","missing import_action; ","")&amp;IF(A272="","missing migration_customer_key; ","")&amp;IF(AND(A272&lt;&gt;"",COUNTIF($A$6:$A$505,A272)&gt;1),"duplicate migration_customer_key; ","")&amp;IF(E272="","missing branch_id; ","")&amp;IF(G272="","missing first_name; ","")&amp;IF(I272="","missing last_name; ","")&amp;IF(M272="","missing primary_phone; ","")&amp;IF(AND(M272&lt;&gt;"",COUNTIF($M$6:$M$505,M272)&gt;1),"duplicate primary_phone; ","")&amp;IF(AND(L272="mobile",N272&lt;&gt;"invalid",OR(LEN(M272)&lt;&gt;10,LEFT(M272,2)&lt;&gt;"09")),"mobile must be 09XXXXXXXX or status invalid; ","")&amp;IF(T272="","missing neighborhood_id; ","")))))</x:f>
      </x:c>
    </x:row>
    <x:row r="273">
      <x:c r="A273" s="232"/>
      <x:c r="B273" s="233"/>
      <x:c r="C273" s="234"/>
      <x:c r="D273" s="233"/>
      <x:c r="E273" s="233"/>
      <x:c r="F273" s="233"/>
      <x:c r="G273" s="233"/>
      <x:c r="H273" s="233"/>
      <x:c r="I273" s="233"/>
      <x:c r="J273" s="233"/>
      <x:c r="K273" s="233" t="str">
        <x:f>TRIM(G273&amp;" "&amp;H273&amp;" "&amp;I273&amp;IF(J273&lt;&gt;""," ("&amp;J273&amp;")",""))</x:f>
      </x:c>
      <x:c r="L273" s="233"/>
      <x:c r="M273" s="234"/>
      <x:c r="N273" s="233"/>
      <x:c r="O273" s="233"/>
      <x:c r="P273" s="233"/>
      <x:c r="Q273" s="233"/>
      <x:c r="R273" s="233"/>
      <x:c r="S273" s="233"/>
      <x:c r="T273" s="233"/>
      <x:c r="U273" s="233"/>
      <x:c r="V273" s="233"/>
      <x:c r="W273" s="235"/>
      <x:c r="X273" s="235"/>
      <x:c r="Y273" s="233"/>
      <x:c r="Z273" s="233"/>
      <x:c r="AA273" s="233"/>
      <x:c r="AB273" s="233"/>
      <x:c r="AC273" s="236"/>
      <x:c r="AD273" s="233"/>
      <x:c r="AE273" s="233"/>
      <x:c r="AF273" s="233"/>
      <x:c r="AG273" s="233"/>
      <x:c r="AH273" s="234"/>
      <x:c r="AI273" s="233"/>
      <x:c r="AJ273" s="233"/>
      <x:c r="AK273" s="233"/>
      <x:c r="AL273" s="236"/>
      <x:c r="AM273" s="233"/>
      <x:c r="AN273" s="233"/>
      <x:c r="AO273" s="234"/>
      <x:c r="AP273" s="234"/>
      <x:c r="AQ273" s="233"/>
      <x:c r="AR273" s="236"/>
      <x:c r="AS273" s="234"/>
      <x:c r="AT273" s="233"/>
      <x:c r="AU273" s="233"/>
      <x:c r="AV273" s="233"/>
      <x:c r="AW273" s="233"/>
      <x:c r="AX273" s="233"/>
      <x:c r="AY273" s="233"/>
      <x:c r="AZ273" s="236"/>
      <x:c r="BA273" s="233"/>
      <x:c r="BB273" s="233"/>
      <x:c r="BC273" s="233"/>
      <x:c r="BD273" s="233"/>
      <x:c r="BE273" s="237" t="str">
        <x:f>IF(AND(A273="",B273="",C273="",E273="",G273="",I273="",M273="",T273="",BB273="",BD273=""),"",IF(B273="skip","SKIP",IF(OR(B273="",A273="",E273="",G273="",I273="",M273="",T273="",COUNTIF($A$6:$A$505,A273)&gt;1,COUNTIF($M$6:$M$505,M273)&gt;1,AND(L273="mobile",N273&lt;&gt;"invalid",OR(LEN(M273)&lt;&gt;10,LEFT(M273,2)&lt;&gt;"09"))),"REVIEW","READY")))</x:f>
      </x:c>
      <x:c r="BF273" s="238" t="str">
        <x:f>IF(BE273="","",IF(BE273="READY","",IF(B273="skip","Skipped by import_action",TRIM(IF(B273="","missing import_action; ","")&amp;IF(A273="","missing migration_customer_key; ","")&amp;IF(AND(A273&lt;&gt;"",COUNTIF($A$6:$A$505,A273)&gt;1),"duplicate migration_customer_key; ","")&amp;IF(E273="","missing branch_id; ","")&amp;IF(G273="","missing first_name; ","")&amp;IF(I273="","missing last_name; ","")&amp;IF(M273="","missing primary_phone; ","")&amp;IF(AND(M273&lt;&gt;"",COUNTIF($M$6:$M$505,M273)&gt;1),"duplicate primary_phone; ","")&amp;IF(AND(L273="mobile",N273&lt;&gt;"invalid",OR(LEN(M273)&lt;&gt;10,LEFT(M273,2)&lt;&gt;"09")),"mobile must be 09XXXXXXXX or status invalid; ","")&amp;IF(T273="","missing neighborhood_id; ","")))))</x:f>
      </x:c>
    </x:row>
    <x:row r="274">
      <x:c r="A274" s="232"/>
      <x:c r="B274" s="233"/>
      <x:c r="C274" s="234"/>
      <x:c r="D274" s="233"/>
      <x:c r="E274" s="233"/>
      <x:c r="F274" s="233"/>
      <x:c r="G274" s="233"/>
      <x:c r="H274" s="233"/>
      <x:c r="I274" s="233"/>
      <x:c r="J274" s="233"/>
      <x:c r="K274" s="233" t="str">
        <x:f>TRIM(G274&amp;" "&amp;H274&amp;" "&amp;I274&amp;IF(J274&lt;&gt;""," ("&amp;J274&amp;")",""))</x:f>
      </x:c>
      <x:c r="L274" s="233"/>
      <x:c r="M274" s="234"/>
      <x:c r="N274" s="233"/>
      <x:c r="O274" s="233"/>
      <x:c r="P274" s="233"/>
      <x:c r="Q274" s="233"/>
      <x:c r="R274" s="233"/>
      <x:c r="S274" s="233"/>
      <x:c r="T274" s="233"/>
      <x:c r="U274" s="233"/>
      <x:c r="V274" s="233"/>
      <x:c r="W274" s="235"/>
      <x:c r="X274" s="235"/>
      <x:c r="Y274" s="233"/>
      <x:c r="Z274" s="233"/>
      <x:c r="AA274" s="233"/>
      <x:c r="AB274" s="233"/>
      <x:c r="AC274" s="236"/>
      <x:c r="AD274" s="233"/>
      <x:c r="AE274" s="233"/>
      <x:c r="AF274" s="233"/>
      <x:c r="AG274" s="233"/>
      <x:c r="AH274" s="234"/>
      <x:c r="AI274" s="233"/>
      <x:c r="AJ274" s="233"/>
      <x:c r="AK274" s="233"/>
      <x:c r="AL274" s="236"/>
      <x:c r="AM274" s="233"/>
      <x:c r="AN274" s="233"/>
      <x:c r="AO274" s="234"/>
      <x:c r="AP274" s="234"/>
      <x:c r="AQ274" s="233"/>
      <x:c r="AR274" s="236"/>
      <x:c r="AS274" s="234"/>
      <x:c r="AT274" s="233"/>
      <x:c r="AU274" s="233"/>
      <x:c r="AV274" s="233"/>
      <x:c r="AW274" s="233"/>
      <x:c r="AX274" s="233"/>
      <x:c r="AY274" s="233"/>
      <x:c r="AZ274" s="236"/>
      <x:c r="BA274" s="233"/>
      <x:c r="BB274" s="233"/>
      <x:c r="BC274" s="233"/>
      <x:c r="BD274" s="233"/>
      <x:c r="BE274" s="237" t="str">
        <x:f>IF(AND(A274="",B274="",C274="",E274="",G274="",I274="",M274="",T274="",BB274="",BD274=""),"",IF(B274="skip","SKIP",IF(OR(B274="",A274="",E274="",G274="",I274="",M274="",T274="",COUNTIF($A$6:$A$505,A274)&gt;1,COUNTIF($M$6:$M$505,M274)&gt;1,AND(L274="mobile",N274&lt;&gt;"invalid",OR(LEN(M274)&lt;&gt;10,LEFT(M274,2)&lt;&gt;"09"))),"REVIEW","READY")))</x:f>
      </x:c>
      <x:c r="BF274" s="238" t="str">
        <x:f>IF(BE274="","",IF(BE274="READY","",IF(B274="skip","Skipped by import_action",TRIM(IF(B274="","missing import_action; ","")&amp;IF(A274="","missing migration_customer_key; ","")&amp;IF(AND(A274&lt;&gt;"",COUNTIF($A$6:$A$505,A274)&gt;1),"duplicate migration_customer_key; ","")&amp;IF(E274="","missing branch_id; ","")&amp;IF(G274="","missing first_name; ","")&amp;IF(I274="","missing last_name; ","")&amp;IF(M274="","missing primary_phone; ","")&amp;IF(AND(M274&lt;&gt;"",COUNTIF($M$6:$M$505,M274)&gt;1),"duplicate primary_phone; ","")&amp;IF(AND(L274="mobile",N274&lt;&gt;"invalid",OR(LEN(M274)&lt;&gt;10,LEFT(M274,2)&lt;&gt;"09")),"mobile must be 09XXXXXXXX or status invalid; ","")&amp;IF(T274="","missing neighborhood_id; ","")))))</x:f>
      </x:c>
    </x:row>
    <x:row r="275">
      <x:c r="A275" s="232"/>
      <x:c r="B275" s="233"/>
      <x:c r="C275" s="234"/>
      <x:c r="D275" s="233"/>
      <x:c r="E275" s="233"/>
      <x:c r="F275" s="233"/>
      <x:c r="G275" s="233"/>
      <x:c r="H275" s="233"/>
      <x:c r="I275" s="233"/>
      <x:c r="J275" s="233"/>
      <x:c r="K275" s="233" t="str">
        <x:f>TRIM(G275&amp;" "&amp;H275&amp;" "&amp;I275&amp;IF(J275&lt;&gt;""," ("&amp;J275&amp;")",""))</x:f>
      </x:c>
      <x:c r="L275" s="233"/>
      <x:c r="M275" s="234"/>
      <x:c r="N275" s="233"/>
      <x:c r="O275" s="233"/>
      <x:c r="P275" s="233"/>
      <x:c r="Q275" s="233"/>
      <x:c r="R275" s="233"/>
      <x:c r="S275" s="233"/>
      <x:c r="T275" s="233"/>
      <x:c r="U275" s="233"/>
      <x:c r="V275" s="233"/>
      <x:c r="W275" s="235"/>
      <x:c r="X275" s="235"/>
      <x:c r="Y275" s="233"/>
      <x:c r="Z275" s="233"/>
      <x:c r="AA275" s="233"/>
      <x:c r="AB275" s="233"/>
      <x:c r="AC275" s="236"/>
      <x:c r="AD275" s="233"/>
      <x:c r="AE275" s="233"/>
      <x:c r="AF275" s="233"/>
      <x:c r="AG275" s="233"/>
      <x:c r="AH275" s="234"/>
      <x:c r="AI275" s="233"/>
      <x:c r="AJ275" s="233"/>
      <x:c r="AK275" s="233"/>
      <x:c r="AL275" s="236"/>
      <x:c r="AM275" s="233"/>
      <x:c r="AN275" s="233"/>
      <x:c r="AO275" s="234"/>
      <x:c r="AP275" s="234"/>
      <x:c r="AQ275" s="233"/>
      <x:c r="AR275" s="236"/>
      <x:c r="AS275" s="234"/>
      <x:c r="AT275" s="233"/>
      <x:c r="AU275" s="233"/>
      <x:c r="AV275" s="233"/>
      <x:c r="AW275" s="233"/>
      <x:c r="AX275" s="233"/>
      <x:c r="AY275" s="233"/>
      <x:c r="AZ275" s="236"/>
      <x:c r="BA275" s="233"/>
      <x:c r="BB275" s="233"/>
      <x:c r="BC275" s="233"/>
      <x:c r="BD275" s="233"/>
      <x:c r="BE275" s="237" t="str">
        <x:f>IF(AND(A275="",B275="",C275="",E275="",G275="",I275="",M275="",T275="",BB275="",BD275=""),"",IF(B275="skip","SKIP",IF(OR(B275="",A275="",E275="",G275="",I275="",M275="",T275="",COUNTIF($A$6:$A$505,A275)&gt;1,COUNTIF($M$6:$M$505,M275)&gt;1,AND(L275="mobile",N275&lt;&gt;"invalid",OR(LEN(M275)&lt;&gt;10,LEFT(M275,2)&lt;&gt;"09"))),"REVIEW","READY")))</x:f>
      </x:c>
      <x:c r="BF275" s="238" t="str">
        <x:f>IF(BE275="","",IF(BE275="READY","",IF(B275="skip","Skipped by import_action",TRIM(IF(B275="","missing import_action; ","")&amp;IF(A275="","missing migration_customer_key; ","")&amp;IF(AND(A275&lt;&gt;"",COUNTIF($A$6:$A$505,A275)&gt;1),"duplicate migration_customer_key; ","")&amp;IF(E275="","missing branch_id; ","")&amp;IF(G275="","missing first_name; ","")&amp;IF(I275="","missing last_name; ","")&amp;IF(M275="","missing primary_phone; ","")&amp;IF(AND(M275&lt;&gt;"",COUNTIF($M$6:$M$505,M275)&gt;1),"duplicate primary_phone; ","")&amp;IF(AND(L275="mobile",N275&lt;&gt;"invalid",OR(LEN(M275)&lt;&gt;10,LEFT(M275,2)&lt;&gt;"09")),"mobile must be 09XXXXXXXX or status invalid; ","")&amp;IF(T275="","missing neighborhood_id; ","")))))</x:f>
      </x:c>
    </x:row>
    <x:row r="276">
      <x:c r="A276" s="232"/>
      <x:c r="B276" s="233"/>
      <x:c r="C276" s="234"/>
      <x:c r="D276" s="233"/>
      <x:c r="E276" s="233"/>
      <x:c r="F276" s="233"/>
      <x:c r="G276" s="233"/>
      <x:c r="H276" s="233"/>
      <x:c r="I276" s="233"/>
      <x:c r="J276" s="233"/>
      <x:c r="K276" s="233" t="str">
        <x:f>TRIM(G276&amp;" "&amp;H276&amp;" "&amp;I276&amp;IF(J276&lt;&gt;""," ("&amp;J276&amp;")",""))</x:f>
      </x:c>
      <x:c r="L276" s="233"/>
      <x:c r="M276" s="234"/>
      <x:c r="N276" s="233"/>
      <x:c r="O276" s="233"/>
      <x:c r="P276" s="233"/>
      <x:c r="Q276" s="233"/>
      <x:c r="R276" s="233"/>
      <x:c r="S276" s="233"/>
      <x:c r="T276" s="233"/>
      <x:c r="U276" s="233"/>
      <x:c r="V276" s="233"/>
      <x:c r="W276" s="235"/>
      <x:c r="X276" s="235"/>
      <x:c r="Y276" s="233"/>
      <x:c r="Z276" s="233"/>
      <x:c r="AA276" s="233"/>
      <x:c r="AB276" s="233"/>
      <x:c r="AC276" s="236"/>
      <x:c r="AD276" s="233"/>
      <x:c r="AE276" s="233"/>
      <x:c r="AF276" s="233"/>
      <x:c r="AG276" s="233"/>
      <x:c r="AH276" s="234"/>
      <x:c r="AI276" s="233"/>
      <x:c r="AJ276" s="233"/>
      <x:c r="AK276" s="233"/>
      <x:c r="AL276" s="236"/>
      <x:c r="AM276" s="233"/>
      <x:c r="AN276" s="233"/>
      <x:c r="AO276" s="234"/>
      <x:c r="AP276" s="234"/>
      <x:c r="AQ276" s="233"/>
      <x:c r="AR276" s="236"/>
      <x:c r="AS276" s="234"/>
      <x:c r="AT276" s="233"/>
      <x:c r="AU276" s="233"/>
      <x:c r="AV276" s="233"/>
      <x:c r="AW276" s="233"/>
      <x:c r="AX276" s="233"/>
      <x:c r="AY276" s="233"/>
      <x:c r="AZ276" s="236"/>
      <x:c r="BA276" s="233"/>
      <x:c r="BB276" s="233"/>
      <x:c r="BC276" s="233"/>
      <x:c r="BD276" s="233"/>
      <x:c r="BE276" s="237" t="str">
        <x:f>IF(AND(A276="",B276="",C276="",E276="",G276="",I276="",M276="",T276="",BB276="",BD276=""),"",IF(B276="skip","SKIP",IF(OR(B276="",A276="",E276="",G276="",I276="",M276="",T276="",COUNTIF($A$6:$A$505,A276)&gt;1,COUNTIF($M$6:$M$505,M276)&gt;1,AND(L276="mobile",N276&lt;&gt;"invalid",OR(LEN(M276)&lt;&gt;10,LEFT(M276,2)&lt;&gt;"09"))),"REVIEW","READY")))</x:f>
      </x:c>
      <x:c r="BF276" s="238" t="str">
        <x:f>IF(BE276="","",IF(BE276="READY","",IF(B276="skip","Skipped by import_action",TRIM(IF(B276="","missing import_action; ","")&amp;IF(A276="","missing migration_customer_key; ","")&amp;IF(AND(A276&lt;&gt;"",COUNTIF($A$6:$A$505,A276)&gt;1),"duplicate migration_customer_key; ","")&amp;IF(E276="","missing branch_id; ","")&amp;IF(G276="","missing first_name; ","")&amp;IF(I276="","missing last_name; ","")&amp;IF(M276="","missing primary_phone; ","")&amp;IF(AND(M276&lt;&gt;"",COUNTIF($M$6:$M$505,M276)&gt;1),"duplicate primary_phone; ","")&amp;IF(AND(L276="mobile",N276&lt;&gt;"invalid",OR(LEN(M276)&lt;&gt;10,LEFT(M276,2)&lt;&gt;"09")),"mobile must be 09XXXXXXXX or status invalid; ","")&amp;IF(T276="","missing neighborhood_id; ","")))))</x:f>
      </x:c>
    </x:row>
    <x:row r="277">
      <x:c r="A277" s="232"/>
      <x:c r="B277" s="233"/>
      <x:c r="C277" s="234"/>
      <x:c r="D277" s="233"/>
      <x:c r="E277" s="233"/>
      <x:c r="F277" s="233"/>
      <x:c r="G277" s="233"/>
      <x:c r="H277" s="233"/>
      <x:c r="I277" s="233"/>
      <x:c r="J277" s="233"/>
      <x:c r="K277" s="233" t="str">
        <x:f>TRIM(G277&amp;" "&amp;H277&amp;" "&amp;I277&amp;IF(J277&lt;&gt;""," ("&amp;J277&amp;")",""))</x:f>
      </x:c>
      <x:c r="L277" s="233"/>
      <x:c r="M277" s="234"/>
      <x:c r="N277" s="233"/>
      <x:c r="O277" s="233"/>
      <x:c r="P277" s="233"/>
      <x:c r="Q277" s="233"/>
      <x:c r="R277" s="233"/>
      <x:c r="S277" s="233"/>
      <x:c r="T277" s="233"/>
      <x:c r="U277" s="233"/>
      <x:c r="V277" s="233"/>
      <x:c r="W277" s="235"/>
      <x:c r="X277" s="235"/>
      <x:c r="Y277" s="233"/>
      <x:c r="Z277" s="233"/>
      <x:c r="AA277" s="233"/>
      <x:c r="AB277" s="233"/>
      <x:c r="AC277" s="236"/>
      <x:c r="AD277" s="233"/>
      <x:c r="AE277" s="233"/>
      <x:c r="AF277" s="233"/>
      <x:c r="AG277" s="233"/>
      <x:c r="AH277" s="234"/>
      <x:c r="AI277" s="233"/>
      <x:c r="AJ277" s="233"/>
      <x:c r="AK277" s="233"/>
      <x:c r="AL277" s="236"/>
      <x:c r="AM277" s="233"/>
      <x:c r="AN277" s="233"/>
      <x:c r="AO277" s="234"/>
      <x:c r="AP277" s="234"/>
      <x:c r="AQ277" s="233"/>
      <x:c r="AR277" s="236"/>
      <x:c r="AS277" s="234"/>
      <x:c r="AT277" s="233"/>
      <x:c r="AU277" s="233"/>
      <x:c r="AV277" s="233"/>
      <x:c r="AW277" s="233"/>
      <x:c r="AX277" s="233"/>
      <x:c r="AY277" s="233"/>
      <x:c r="AZ277" s="236"/>
      <x:c r="BA277" s="233"/>
      <x:c r="BB277" s="233"/>
      <x:c r="BC277" s="233"/>
      <x:c r="BD277" s="233"/>
      <x:c r="BE277" s="237" t="str">
        <x:f>IF(AND(A277="",B277="",C277="",E277="",G277="",I277="",M277="",T277="",BB277="",BD277=""),"",IF(B277="skip","SKIP",IF(OR(B277="",A277="",E277="",G277="",I277="",M277="",T277="",COUNTIF($A$6:$A$505,A277)&gt;1,COUNTIF($M$6:$M$505,M277)&gt;1,AND(L277="mobile",N277&lt;&gt;"invalid",OR(LEN(M277)&lt;&gt;10,LEFT(M277,2)&lt;&gt;"09"))),"REVIEW","READY")))</x:f>
      </x:c>
      <x:c r="BF277" s="238" t="str">
        <x:f>IF(BE277="","",IF(BE277="READY","",IF(B277="skip","Skipped by import_action",TRIM(IF(B277="","missing import_action; ","")&amp;IF(A277="","missing migration_customer_key; ","")&amp;IF(AND(A277&lt;&gt;"",COUNTIF($A$6:$A$505,A277)&gt;1),"duplicate migration_customer_key; ","")&amp;IF(E277="","missing branch_id; ","")&amp;IF(G277="","missing first_name; ","")&amp;IF(I277="","missing last_name; ","")&amp;IF(M277="","missing primary_phone; ","")&amp;IF(AND(M277&lt;&gt;"",COUNTIF($M$6:$M$505,M277)&gt;1),"duplicate primary_phone; ","")&amp;IF(AND(L277="mobile",N277&lt;&gt;"invalid",OR(LEN(M277)&lt;&gt;10,LEFT(M277,2)&lt;&gt;"09")),"mobile must be 09XXXXXXXX or status invalid; ","")&amp;IF(T277="","missing neighborhood_id; ","")))))</x:f>
      </x:c>
    </x:row>
    <x:row r="278">
      <x:c r="A278" s="232"/>
      <x:c r="B278" s="233"/>
      <x:c r="C278" s="234"/>
      <x:c r="D278" s="233"/>
      <x:c r="E278" s="233"/>
      <x:c r="F278" s="233"/>
      <x:c r="G278" s="233"/>
      <x:c r="H278" s="233"/>
      <x:c r="I278" s="233"/>
      <x:c r="J278" s="233"/>
      <x:c r="K278" s="233" t="str">
        <x:f>TRIM(G278&amp;" "&amp;H278&amp;" "&amp;I278&amp;IF(J278&lt;&gt;""," ("&amp;J278&amp;")",""))</x:f>
      </x:c>
      <x:c r="L278" s="233"/>
      <x:c r="M278" s="234"/>
      <x:c r="N278" s="233"/>
      <x:c r="O278" s="233"/>
      <x:c r="P278" s="233"/>
      <x:c r="Q278" s="233"/>
      <x:c r="R278" s="233"/>
      <x:c r="S278" s="233"/>
      <x:c r="T278" s="233"/>
      <x:c r="U278" s="233"/>
      <x:c r="V278" s="233"/>
      <x:c r="W278" s="235"/>
      <x:c r="X278" s="235"/>
      <x:c r="Y278" s="233"/>
      <x:c r="Z278" s="233"/>
      <x:c r="AA278" s="233"/>
      <x:c r="AB278" s="233"/>
      <x:c r="AC278" s="236"/>
      <x:c r="AD278" s="233"/>
      <x:c r="AE278" s="233"/>
      <x:c r="AF278" s="233"/>
      <x:c r="AG278" s="233"/>
      <x:c r="AH278" s="234"/>
      <x:c r="AI278" s="233"/>
      <x:c r="AJ278" s="233"/>
      <x:c r="AK278" s="233"/>
      <x:c r="AL278" s="236"/>
      <x:c r="AM278" s="233"/>
      <x:c r="AN278" s="233"/>
      <x:c r="AO278" s="234"/>
      <x:c r="AP278" s="234"/>
      <x:c r="AQ278" s="233"/>
      <x:c r="AR278" s="236"/>
      <x:c r="AS278" s="234"/>
      <x:c r="AT278" s="233"/>
      <x:c r="AU278" s="233"/>
      <x:c r="AV278" s="233"/>
      <x:c r="AW278" s="233"/>
      <x:c r="AX278" s="233"/>
      <x:c r="AY278" s="233"/>
      <x:c r="AZ278" s="236"/>
      <x:c r="BA278" s="233"/>
      <x:c r="BB278" s="233"/>
      <x:c r="BC278" s="233"/>
      <x:c r="BD278" s="233"/>
      <x:c r="BE278" s="237" t="str">
        <x:f>IF(AND(A278="",B278="",C278="",E278="",G278="",I278="",M278="",T278="",BB278="",BD278=""),"",IF(B278="skip","SKIP",IF(OR(B278="",A278="",E278="",G278="",I278="",M278="",T278="",COUNTIF($A$6:$A$505,A278)&gt;1,COUNTIF($M$6:$M$505,M278)&gt;1,AND(L278="mobile",N278&lt;&gt;"invalid",OR(LEN(M278)&lt;&gt;10,LEFT(M278,2)&lt;&gt;"09"))),"REVIEW","READY")))</x:f>
      </x:c>
      <x:c r="BF278" s="238" t="str">
        <x:f>IF(BE278="","",IF(BE278="READY","",IF(B278="skip","Skipped by import_action",TRIM(IF(B278="","missing import_action; ","")&amp;IF(A278="","missing migration_customer_key; ","")&amp;IF(AND(A278&lt;&gt;"",COUNTIF($A$6:$A$505,A278)&gt;1),"duplicate migration_customer_key; ","")&amp;IF(E278="","missing branch_id; ","")&amp;IF(G278="","missing first_name; ","")&amp;IF(I278="","missing last_name; ","")&amp;IF(M278="","missing primary_phone; ","")&amp;IF(AND(M278&lt;&gt;"",COUNTIF($M$6:$M$505,M278)&gt;1),"duplicate primary_phone; ","")&amp;IF(AND(L278="mobile",N278&lt;&gt;"invalid",OR(LEN(M278)&lt;&gt;10,LEFT(M278,2)&lt;&gt;"09")),"mobile must be 09XXXXXXXX or status invalid; ","")&amp;IF(T278="","missing neighborhood_id; ","")))))</x:f>
      </x:c>
    </x:row>
    <x:row r="279">
      <x:c r="A279" s="232"/>
      <x:c r="B279" s="233"/>
      <x:c r="C279" s="234"/>
      <x:c r="D279" s="233"/>
      <x:c r="E279" s="233"/>
      <x:c r="F279" s="233"/>
      <x:c r="G279" s="233"/>
      <x:c r="H279" s="233"/>
      <x:c r="I279" s="233"/>
      <x:c r="J279" s="233"/>
      <x:c r="K279" s="233" t="str">
        <x:f>TRIM(G279&amp;" "&amp;H279&amp;" "&amp;I279&amp;IF(J279&lt;&gt;""," ("&amp;J279&amp;")",""))</x:f>
      </x:c>
      <x:c r="L279" s="233"/>
      <x:c r="M279" s="234"/>
      <x:c r="N279" s="233"/>
      <x:c r="O279" s="233"/>
      <x:c r="P279" s="233"/>
      <x:c r="Q279" s="233"/>
      <x:c r="R279" s="233"/>
      <x:c r="S279" s="233"/>
      <x:c r="T279" s="233"/>
      <x:c r="U279" s="233"/>
      <x:c r="V279" s="233"/>
      <x:c r="W279" s="235"/>
      <x:c r="X279" s="235"/>
      <x:c r="Y279" s="233"/>
      <x:c r="Z279" s="233"/>
      <x:c r="AA279" s="233"/>
      <x:c r="AB279" s="233"/>
      <x:c r="AC279" s="236"/>
      <x:c r="AD279" s="233"/>
      <x:c r="AE279" s="233"/>
      <x:c r="AF279" s="233"/>
      <x:c r="AG279" s="233"/>
      <x:c r="AH279" s="234"/>
      <x:c r="AI279" s="233"/>
      <x:c r="AJ279" s="233"/>
      <x:c r="AK279" s="233"/>
      <x:c r="AL279" s="236"/>
      <x:c r="AM279" s="233"/>
      <x:c r="AN279" s="233"/>
      <x:c r="AO279" s="234"/>
      <x:c r="AP279" s="234"/>
      <x:c r="AQ279" s="233"/>
      <x:c r="AR279" s="236"/>
      <x:c r="AS279" s="234"/>
      <x:c r="AT279" s="233"/>
      <x:c r="AU279" s="233"/>
      <x:c r="AV279" s="233"/>
      <x:c r="AW279" s="233"/>
      <x:c r="AX279" s="233"/>
      <x:c r="AY279" s="233"/>
      <x:c r="AZ279" s="236"/>
      <x:c r="BA279" s="233"/>
      <x:c r="BB279" s="233"/>
      <x:c r="BC279" s="233"/>
      <x:c r="BD279" s="233"/>
      <x:c r="BE279" s="237" t="str">
        <x:f>IF(AND(A279="",B279="",C279="",E279="",G279="",I279="",M279="",T279="",BB279="",BD279=""),"",IF(B279="skip","SKIP",IF(OR(B279="",A279="",E279="",G279="",I279="",M279="",T279="",COUNTIF($A$6:$A$505,A279)&gt;1,COUNTIF($M$6:$M$505,M279)&gt;1,AND(L279="mobile",N279&lt;&gt;"invalid",OR(LEN(M279)&lt;&gt;10,LEFT(M279,2)&lt;&gt;"09"))),"REVIEW","READY")))</x:f>
      </x:c>
      <x:c r="BF279" s="238" t="str">
        <x:f>IF(BE279="","",IF(BE279="READY","",IF(B279="skip","Skipped by import_action",TRIM(IF(B279="","missing import_action; ","")&amp;IF(A279="","missing migration_customer_key; ","")&amp;IF(AND(A279&lt;&gt;"",COUNTIF($A$6:$A$505,A279)&gt;1),"duplicate migration_customer_key; ","")&amp;IF(E279="","missing branch_id; ","")&amp;IF(G279="","missing first_name; ","")&amp;IF(I279="","missing last_name; ","")&amp;IF(M279="","missing primary_phone; ","")&amp;IF(AND(M279&lt;&gt;"",COUNTIF($M$6:$M$505,M279)&gt;1),"duplicate primary_phone; ","")&amp;IF(AND(L279="mobile",N279&lt;&gt;"invalid",OR(LEN(M279)&lt;&gt;10,LEFT(M279,2)&lt;&gt;"09")),"mobile must be 09XXXXXXXX or status invalid; ","")&amp;IF(T279="","missing neighborhood_id; ","")))))</x:f>
      </x:c>
    </x:row>
    <x:row r="280">
      <x:c r="A280" s="232"/>
      <x:c r="B280" s="233"/>
      <x:c r="C280" s="234"/>
      <x:c r="D280" s="233"/>
      <x:c r="E280" s="233"/>
      <x:c r="F280" s="233"/>
      <x:c r="G280" s="233"/>
      <x:c r="H280" s="233"/>
      <x:c r="I280" s="233"/>
      <x:c r="J280" s="233"/>
      <x:c r="K280" s="233" t="str">
        <x:f>TRIM(G280&amp;" "&amp;H280&amp;" "&amp;I280&amp;IF(J280&lt;&gt;""," ("&amp;J280&amp;")",""))</x:f>
      </x:c>
      <x:c r="L280" s="233"/>
      <x:c r="M280" s="234"/>
      <x:c r="N280" s="233"/>
      <x:c r="O280" s="233"/>
      <x:c r="P280" s="233"/>
      <x:c r="Q280" s="233"/>
      <x:c r="R280" s="233"/>
      <x:c r="S280" s="233"/>
      <x:c r="T280" s="233"/>
      <x:c r="U280" s="233"/>
      <x:c r="V280" s="233"/>
      <x:c r="W280" s="235"/>
      <x:c r="X280" s="235"/>
      <x:c r="Y280" s="233"/>
      <x:c r="Z280" s="233"/>
      <x:c r="AA280" s="233"/>
      <x:c r="AB280" s="233"/>
      <x:c r="AC280" s="236"/>
      <x:c r="AD280" s="233"/>
      <x:c r="AE280" s="233"/>
      <x:c r="AF280" s="233"/>
      <x:c r="AG280" s="233"/>
      <x:c r="AH280" s="234"/>
      <x:c r="AI280" s="233"/>
      <x:c r="AJ280" s="233"/>
      <x:c r="AK280" s="233"/>
      <x:c r="AL280" s="236"/>
      <x:c r="AM280" s="233"/>
      <x:c r="AN280" s="233"/>
      <x:c r="AO280" s="234"/>
      <x:c r="AP280" s="234"/>
      <x:c r="AQ280" s="233"/>
      <x:c r="AR280" s="236"/>
      <x:c r="AS280" s="234"/>
      <x:c r="AT280" s="233"/>
      <x:c r="AU280" s="233"/>
      <x:c r="AV280" s="233"/>
      <x:c r="AW280" s="233"/>
      <x:c r="AX280" s="233"/>
      <x:c r="AY280" s="233"/>
      <x:c r="AZ280" s="236"/>
      <x:c r="BA280" s="233"/>
      <x:c r="BB280" s="233"/>
      <x:c r="BC280" s="233"/>
      <x:c r="BD280" s="233"/>
      <x:c r="BE280" s="237" t="str">
        <x:f>IF(AND(A280="",B280="",C280="",E280="",G280="",I280="",M280="",T280="",BB280="",BD280=""),"",IF(B280="skip","SKIP",IF(OR(B280="",A280="",E280="",G280="",I280="",M280="",T280="",COUNTIF($A$6:$A$505,A280)&gt;1,COUNTIF($M$6:$M$505,M280)&gt;1,AND(L280="mobile",N280&lt;&gt;"invalid",OR(LEN(M280)&lt;&gt;10,LEFT(M280,2)&lt;&gt;"09"))),"REVIEW","READY")))</x:f>
      </x:c>
      <x:c r="BF280" s="238" t="str">
        <x:f>IF(BE280="","",IF(BE280="READY","",IF(B280="skip","Skipped by import_action",TRIM(IF(B280="","missing import_action; ","")&amp;IF(A280="","missing migration_customer_key; ","")&amp;IF(AND(A280&lt;&gt;"",COUNTIF($A$6:$A$505,A280)&gt;1),"duplicate migration_customer_key; ","")&amp;IF(E280="","missing branch_id; ","")&amp;IF(G280="","missing first_name; ","")&amp;IF(I280="","missing last_name; ","")&amp;IF(M280="","missing primary_phone; ","")&amp;IF(AND(M280&lt;&gt;"",COUNTIF($M$6:$M$505,M280)&gt;1),"duplicate primary_phone; ","")&amp;IF(AND(L280="mobile",N280&lt;&gt;"invalid",OR(LEN(M280)&lt;&gt;10,LEFT(M280,2)&lt;&gt;"09")),"mobile must be 09XXXXXXXX or status invalid; ","")&amp;IF(T280="","missing neighborhood_id; ","")))))</x:f>
      </x:c>
    </x:row>
    <x:row r="281">
      <x:c r="A281" s="232"/>
      <x:c r="B281" s="233"/>
      <x:c r="C281" s="234"/>
      <x:c r="D281" s="233"/>
      <x:c r="E281" s="233"/>
      <x:c r="F281" s="233"/>
      <x:c r="G281" s="233"/>
      <x:c r="H281" s="233"/>
      <x:c r="I281" s="233"/>
      <x:c r="J281" s="233"/>
      <x:c r="K281" s="233" t="str">
        <x:f>TRIM(G281&amp;" "&amp;H281&amp;" "&amp;I281&amp;IF(J281&lt;&gt;""," ("&amp;J281&amp;")",""))</x:f>
      </x:c>
      <x:c r="L281" s="233"/>
      <x:c r="M281" s="234"/>
      <x:c r="N281" s="233"/>
      <x:c r="O281" s="233"/>
      <x:c r="P281" s="233"/>
      <x:c r="Q281" s="233"/>
      <x:c r="R281" s="233"/>
      <x:c r="S281" s="233"/>
      <x:c r="T281" s="233"/>
      <x:c r="U281" s="233"/>
      <x:c r="V281" s="233"/>
      <x:c r="W281" s="235"/>
      <x:c r="X281" s="235"/>
      <x:c r="Y281" s="233"/>
      <x:c r="Z281" s="233"/>
      <x:c r="AA281" s="233"/>
      <x:c r="AB281" s="233"/>
      <x:c r="AC281" s="236"/>
      <x:c r="AD281" s="233"/>
      <x:c r="AE281" s="233"/>
      <x:c r="AF281" s="233"/>
      <x:c r="AG281" s="233"/>
      <x:c r="AH281" s="234"/>
      <x:c r="AI281" s="233"/>
      <x:c r="AJ281" s="233"/>
      <x:c r="AK281" s="233"/>
      <x:c r="AL281" s="236"/>
      <x:c r="AM281" s="233"/>
      <x:c r="AN281" s="233"/>
      <x:c r="AO281" s="234"/>
      <x:c r="AP281" s="234"/>
      <x:c r="AQ281" s="233"/>
      <x:c r="AR281" s="236"/>
      <x:c r="AS281" s="234"/>
      <x:c r="AT281" s="233"/>
      <x:c r="AU281" s="233"/>
      <x:c r="AV281" s="233"/>
      <x:c r="AW281" s="233"/>
      <x:c r="AX281" s="233"/>
      <x:c r="AY281" s="233"/>
      <x:c r="AZ281" s="236"/>
      <x:c r="BA281" s="233"/>
      <x:c r="BB281" s="233"/>
      <x:c r="BC281" s="233"/>
      <x:c r="BD281" s="233"/>
      <x:c r="BE281" s="237" t="str">
        <x:f>IF(AND(A281="",B281="",C281="",E281="",G281="",I281="",M281="",T281="",BB281="",BD281=""),"",IF(B281="skip","SKIP",IF(OR(B281="",A281="",E281="",G281="",I281="",M281="",T281="",COUNTIF($A$6:$A$505,A281)&gt;1,COUNTIF($M$6:$M$505,M281)&gt;1,AND(L281="mobile",N281&lt;&gt;"invalid",OR(LEN(M281)&lt;&gt;10,LEFT(M281,2)&lt;&gt;"09"))),"REVIEW","READY")))</x:f>
      </x:c>
      <x:c r="BF281" s="238" t="str">
        <x:f>IF(BE281="","",IF(BE281="READY","",IF(B281="skip","Skipped by import_action",TRIM(IF(B281="","missing import_action; ","")&amp;IF(A281="","missing migration_customer_key; ","")&amp;IF(AND(A281&lt;&gt;"",COUNTIF($A$6:$A$505,A281)&gt;1),"duplicate migration_customer_key; ","")&amp;IF(E281="","missing branch_id; ","")&amp;IF(G281="","missing first_name; ","")&amp;IF(I281="","missing last_name; ","")&amp;IF(M281="","missing primary_phone; ","")&amp;IF(AND(M281&lt;&gt;"",COUNTIF($M$6:$M$505,M281)&gt;1),"duplicate primary_phone; ","")&amp;IF(AND(L281="mobile",N281&lt;&gt;"invalid",OR(LEN(M281)&lt;&gt;10,LEFT(M281,2)&lt;&gt;"09")),"mobile must be 09XXXXXXXX or status invalid; ","")&amp;IF(T281="","missing neighborhood_id; ","")))))</x:f>
      </x:c>
    </x:row>
    <x:row r="282">
      <x:c r="A282" s="232"/>
      <x:c r="B282" s="233"/>
      <x:c r="C282" s="234"/>
      <x:c r="D282" s="233"/>
      <x:c r="E282" s="233"/>
      <x:c r="F282" s="233"/>
      <x:c r="G282" s="233"/>
      <x:c r="H282" s="233"/>
      <x:c r="I282" s="233"/>
      <x:c r="J282" s="233"/>
      <x:c r="K282" s="233" t="str">
        <x:f>TRIM(G282&amp;" "&amp;H282&amp;" "&amp;I282&amp;IF(J282&lt;&gt;""," ("&amp;J282&amp;")",""))</x:f>
      </x:c>
      <x:c r="L282" s="233"/>
      <x:c r="M282" s="234"/>
      <x:c r="N282" s="233"/>
      <x:c r="O282" s="233"/>
      <x:c r="P282" s="233"/>
      <x:c r="Q282" s="233"/>
      <x:c r="R282" s="233"/>
      <x:c r="S282" s="233"/>
      <x:c r="T282" s="233"/>
      <x:c r="U282" s="233"/>
      <x:c r="V282" s="233"/>
      <x:c r="W282" s="235"/>
      <x:c r="X282" s="235"/>
      <x:c r="Y282" s="233"/>
      <x:c r="Z282" s="233"/>
      <x:c r="AA282" s="233"/>
      <x:c r="AB282" s="233"/>
      <x:c r="AC282" s="236"/>
      <x:c r="AD282" s="233"/>
      <x:c r="AE282" s="233"/>
      <x:c r="AF282" s="233"/>
      <x:c r="AG282" s="233"/>
      <x:c r="AH282" s="234"/>
      <x:c r="AI282" s="233"/>
      <x:c r="AJ282" s="233"/>
      <x:c r="AK282" s="233"/>
      <x:c r="AL282" s="236"/>
      <x:c r="AM282" s="233"/>
      <x:c r="AN282" s="233"/>
      <x:c r="AO282" s="234"/>
      <x:c r="AP282" s="234"/>
      <x:c r="AQ282" s="233"/>
      <x:c r="AR282" s="236"/>
      <x:c r="AS282" s="234"/>
      <x:c r="AT282" s="233"/>
      <x:c r="AU282" s="233"/>
      <x:c r="AV282" s="233"/>
      <x:c r="AW282" s="233"/>
      <x:c r="AX282" s="233"/>
      <x:c r="AY282" s="233"/>
      <x:c r="AZ282" s="236"/>
      <x:c r="BA282" s="233"/>
      <x:c r="BB282" s="233"/>
      <x:c r="BC282" s="233"/>
      <x:c r="BD282" s="233"/>
      <x:c r="BE282" s="237" t="str">
        <x:f>IF(AND(A282="",B282="",C282="",E282="",G282="",I282="",M282="",T282="",BB282="",BD282=""),"",IF(B282="skip","SKIP",IF(OR(B282="",A282="",E282="",G282="",I282="",M282="",T282="",COUNTIF($A$6:$A$505,A282)&gt;1,COUNTIF($M$6:$M$505,M282)&gt;1,AND(L282="mobile",N282&lt;&gt;"invalid",OR(LEN(M282)&lt;&gt;10,LEFT(M282,2)&lt;&gt;"09"))),"REVIEW","READY")))</x:f>
      </x:c>
      <x:c r="BF282" s="238" t="str">
        <x:f>IF(BE282="","",IF(BE282="READY","",IF(B282="skip","Skipped by import_action",TRIM(IF(B282="","missing import_action; ","")&amp;IF(A282="","missing migration_customer_key; ","")&amp;IF(AND(A282&lt;&gt;"",COUNTIF($A$6:$A$505,A282)&gt;1),"duplicate migration_customer_key; ","")&amp;IF(E282="","missing branch_id; ","")&amp;IF(G282="","missing first_name; ","")&amp;IF(I282="","missing last_name; ","")&amp;IF(M282="","missing primary_phone; ","")&amp;IF(AND(M282&lt;&gt;"",COUNTIF($M$6:$M$505,M282)&gt;1),"duplicate primary_phone; ","")&amp;IF(AND(L282="mobile",N282&lt;&gt;"invalid",OR(LEN(M282)&lt;&gt;10,LEFT(M282,2)&lt;&gt;"09")),"mobile must be 09XXXXXXXX or status invalid; ","")&amp;IF(T282="","missing neighborhood_id; ","")))))</x:f>
      </x:c>
    </x:row>
    <x:row r="283">
      <x:c r="A283" s="232"/>
      <x:c r="B283" s="233"/>
      <x:c r="C283" s="234"/>
      <x:c r="D283" s="233"/>
      <x:c r="E283" s="233"/>
      <x:c r="F283" s="233"/>
      <x:c r="G283" s="233"/>
      <x:c r="H283" s="233"/>
      <x:c r="I283" s="233"/>
      <x:c r="J283" s="233"/>
      <x:c r="K283" s="233" t="str">
        <x:f>TRIM(G283&amp;" "&amp;H283&amp;" "&amp;I283&amp;IF(J283&lt;&gt;""," ("&amp;J283&amp;")",""))</x:f>
      </x:c>
      <x:c r="L283" s="233"/>
      <x:c r="M283" s="234"/>
      <x:c r="N283" s="233"/>
      <x:c r="O283" s="233"/>
      <x:c r="P283" s="233"/>
      <x:c r="Q283" s="233"/>
      <x:c r="R283" s="233"/>
      <x:c r="S283" s="233"/>
      <x:c r="T283" s="233"/>
      <x:c r="U283" s="233"/>
      <x:c r="V283" s="233"/>
      <x:c r="W283" s="235"/>
      <x:c r="X283" s="235"/>
      <x:c r="Y283" s="233"/>
      <x:c r="Z283" s="233"/>
      <x:c r="AA283" s="233"/>
      <x:c r="AB283" s="233"/>
      <x:c r="AC283" s="236"/>
      <x:c r="AD283" s="233"/>
      <x:c r="AE283" s="233"/>
      <x:c r="AF283" s="233"/>
      <x:c r="AG283" s="233"/>
      <x:c r="AH283" s="234"/>
      <x:c r="AI283" s="233"/>
      <x:c r="AJ283" s="233"/>
      <x:c r="AK283" s="233"/>
      <x:c r="AL283" s="236"/>
      <x:c r="AM283" s="233"/>
      <x:c r="AN283" s="233"/>
      <x:c r="AO283" s="234"/>
      <x:c r="AP283" s="234"/>
      <x:c r="AQ283" s="233"/>
      <x:c r="AR283" s="236"/>
      <x:c r="AS283" s="234"/>
      <x:c r="AT283" s="233"/>
      <x:c r="AU283" s="233"/>
      <x:c r="AV283" s="233"/>
      <x:c r="AW283" s="233"/>
      <x:c r="AX283" s="233"/>
      <x:c r="AY283" s="233"/>
      <x:c r="AZ283" s="236"/>
      <x:c r="BA283" s="233"/>
      <x:c r="BB283" s="233"/>
      <x:c r="BC283" s="233"/>
      <x:c r="BD283" s="233"/>
      <x:c r="BE283" s="237" t="str">
        <x:f>IF(AND(A283="",B283="",C283="",E283="",G283="",I283="",M283="",T283="",BB283="",BD283=""),"",IF(B283="skip","SKIP",IF(OR(B283="",A283="",E283="",G283="",I283="",M283="",T283="",COUNTIF($A$6:$A$505,A283)&gt;1,COUNTIF($M$6:$M$505,M283)&gt;1,AND(L283="mobile",N283&lt;&gt;"invalid",OR(LEN(M283)&lt;&gt;10,LEFT(M283,2)&lt;&gt;"09"))),"REVIEW","READY")))</x:f>
      </x:c>
      <x:c r="BF283" s="238" t="str">
        <x:f>IF(BE283="","",IF(BE283="READY","",IF(B283="skip","Skipped by import_action",TRIM(IF(B283="","missing import_action; ","")&amp;IF(A283="","missing migration_customer_key; ","")&amp;IF(AND(A283&lt;&gt;"",COUNTIF($A$6:$A$505,A283)&gt;1),"duplicate migration_customer_key; ","")&amp;IF(E283="","missing branch_id; ","")&amp;IF(G283="","missing first_name; ","")&amp;IF(I283="","missing last_name; ","")&amp;IF(M283="","missing primary_phone; ","")&amp;IF(AND(M283&lt;&gt;"",COUNTIF($M$6:$M$505,M283)&gt;1),"duplicate primary_phone; ","")&amp;IF(AND(L283="mobile",N283&lt;&gt;"invalid",OR(LEN(M283)&lt;&gt;10,LEFT(M283,2)&lt;&gt;"09")),"mobile must be 09XXXXXXXX or status invalid; ","")&amp;IF(T283="","missing neighborhood_id; ","")))))</x:f>
      </x:c>
    </x:row>
    <x:row r="284">
      <x:c r="A284" s="232"/>
      <x:c r="B284" s="233"/>
      <x:c r="C284" s="234"/>
      <x:c r="D284" s="233"/>
      <x:c r="E284" s="233"/>
      <x:c r="F284" s="233"/>
      <x:c r="G284" s="233"/>
      <x:c r="H284" s="233"/>
      <x:c r="I284" s="233"/>
      <x:c r="J284" s="233"/>
      <x:c r="K284" s="233" t="str">
        <x:f>TRIM(G284&amp;" "&amp;H284&amp;" "&amp;I284&amp;IF(J284&lt;&gt;""," ("&amp;J284&amp;")",""))</x:f>
      </x:c>
      <x:c r="L284" s="233"/>
      <x:c r="M284" s="234"/>
      <x:c r="N284" s="233"/>
      <x:c r="O284" s="233"/>
      <x:c r="P284" s="233"/>
      <x:c r="Q284" s="233"/>
      <x:c r="R284" s="233"/>
      <x:c r="S284" s="233"/>
      <x:c r="T284" s="233"/>
      <x:c r="U284" s="233"/>
      <x:c r="V284" s="233"/>
      <x:c r="W284" s="235"/>
      <x:c r="X284" s="235"/>
      <x:c r="Y284" s="233"/>
      <x:c r="Z284" s="233"/>
      <x:c r="AA284" s="233"/>
      <x:c r="AB284" s="233"/>
      <x:c r="AC284" s="236"/>
      <x:c r="AD284" s="233"/>
      <x:c r="AE284" s="233"/>
      <x:c r="AF284" s="233"/>
      <x:c r="AG284" s="233"/>
      <x:c r="AH284" s="234"/>
      <x:c r="AI284" s="233"/>
      <x:c r="AJ284" s="233"/>
      <x:c r="AK284" s="233"/>
      <x:c r="AL284" s="236"/>
      <x:c r="AM284" s="233"/>
      <x:c r="AN284" s="233"/>
      <x:c r="AO284" s="234"/>
      <x:c r="AP284" s="234"/>
      <x:c r="AQ284" s="233"/>
      <x:c r="AR284" s="236"/>
      <x:c r="AS284" s="234"/>
      <x:c r="AT284" s="233"/>
      <x:c r="AU284" s="233"/>
      <x:c r="AV284" s="233"/>
      <x:c r="AW284" s="233"/>
      <x:c r="AX284" s="233"/>
      <x:c r="AY284" s="233"/>
      <x:c r="AZ284" s="236"/>
      <x:c r="BA284" s="233"/>
      <x:c r="BB284" s="233"/>
      <x:c r="BC284" s="233"/>
      <x:c r="BD284" s="233"/>
      <x:c r="BE284" s="237" t="str">
        <x:f>IF(AND(A284="",B284="",C284="",E284="",G284="",I284="",M284="",T284="",BB284="",BD284=""),"",IF(B284="skip","SKIP",IF(OR(B284="",A284="",E284="",G284="",I284="",M284="",T284="",COUNTIF($A$6:$A$505,A284)&gt;1,COUNTIF($M$6:$M$505,M284)&gt;1,AND(L284="mobile",N284&lt;&gt;"invalid",OR(LEN(M284)&lt;&gt;10,LEFT(M284,2)&lt;&gt;"09"))),"REVIEW","READY")))</x:f>
      </x:c>
      <x:c r="BF284" s="238" t="str">
        <x:f>IF(BE284="","",IF(BE284="READY","",IF(B284="skip","Skipped by import_action",TRIM(IF(B284="","missing import_action; ","")&amp;IF(A284="","missing migration_customer_key; ","")&amp;IF(AND(A284&lt;&gt;"",COUNTIF($A$6:$A$505,A284)&gt;1),"duplicate migration_customer_key; ","")&amp;IF(E284="","missing branch_id; ","")&amp;IF(G284="","missing first_name; ","")&amp;IF(I284="","missing last_name; ","")&amp;IF(M284="","missing primary_phone; ","")&amp;IF(AND(M284&lt;&gt;"",COUNTIF($M$6:$M$505,M284)&gt;1),"duplicate primary_phone; ","")&amp;IF(AND(L284="mobile",N284&lt;&gt;"invalid",OR(LEN(M284)&lt;&gt;10,LEFT(M284,2)&lt;&gt;"09")),"mobile must be 09XXXXXXXX or status invalid; ","")&amp;IF(T284="","missing neighborhood_id; ","")))))</x:f>
      </x:c>
    </x:row>
    <x:row r="285">
      <x:c r="A285" s="232"/>
      <x:c r="B285" s="233"/>
      <x:c r="C285" s="234"/>
      <x:c r="D285" s="233"/>
      <x:c r="E285" s="233"/>
      <x:c r="F285" s="233"/>
      <x:c r="G285" s="233"/>
      <x:c r="H285" s="233"/>
      <x:c r="I285" s="233"/>
      <x:c r="J285" s="233"/>
      <x:c r="K285" s="233" t="str">
        <x:f>TRIM(G285&amp;" "&amp;H285&amp;" "&amp;I285&amp;IF(J285&lt;&gt;""," ("&amp;J285&amp;")",""))</x:f>
      </x:c>
      <x:c r="L285" s="233"/>
      <x:c r="M285" s="234"/>
      <x:c r="N285" s="233"/>
      <x:c r="O285" s="233"/>
      <x:c r="P285" s="233"/>
      <x:c r="Q285" s="233"/>
      <x:c r="R285" s="233"/>
      <x:c r="S285" s="233"/>
      <x:c r="T285" s="233"/>
      <x:c r="U285" s="233"/>
      <x:c r="V285" s="233"/>
      <x:c r="W285" s="235"/>
      <x:c r="X285" s="235"/>
      <x:c r="Y285" s="233"/>
      <x:c r="Z285" s="233"/>
      <x:c r="AA285" s="233"/>
      <x:c r="AB285" s="233"/>
      <x:c r="AC285" s="236"/>
      <x:c r="AD285" s="233"/>
      <x:c r="AE285" s="233"/>
      <x:c r="AF285" s="233"/>
      <x:c r="AG285" s="233"/>
      <x:c r="AH285" s="234"/>
      <x:c r="AI285" s="233"/>
      <x:c r="AJ285" s="233"/>
      <x:c r="AK285" s="233"/>
      <x:c r="AL285" s="236"/>
      <x:c r="AM285" s="233"/>
      <x:c r="AN285" s="233"/>
      <x:c r="AO285" s="234"/>
      <x:c r="AP285" s="234"/>
      <x:c r="AQ285" s="233"/>
      <x:c r="AR285" s="236"/>
      <x:c r="AS285" s="234"/>
      <x:c r="AT285" s="233"/>
      <x:c r="AU285" s="233"/>
      <x:c r="AV285" s="233"/>
      <x:c r="AW285" s="233"/>
      <x:c r="AX285" s="233"/>
      <x:c r="AY285" s="233"/>
      <x:c r="AZ285" s="236"/>
      <x:c r="BA285" s="233"/>
      <x:c r="BB285" s="233"/>
      <x:c r="BC285" s="233"/>
      <x:c r="BD285" s="233"/>
      <x:c r="BE285" s="237" t="str">
        <x:f>IF(AND(A285="",B285="",C285="",E285="",G285="",I285="",M285="",T285="",BB285="",BD285=""),"",IF(B285="skip","SKIP",IF(OR(B285="",A285="",E285="",G285="",I285="",M285="",T285="",COUNTIF($A$6:$A$505,A285)&gt;1,COUNTIF($M$6:$M$505,M285)&gt;1,AND(L285="mobile",N285&lt;&gt;"invalid",OR(LEN(M285)&lt;&gt;10,LEFT(M285,2)&lt;&gt;"09"))),"REVIEW","READY")))</x:f>
      </x:c>
      <x:c r="BF285" s="238" t="str">
        <x:f>IF(BE285="","",IF(BE285="READY","",IF(B285="skip","Skipped by import_action",TRIM(IF(B285="","missing import_action; ","")&amp;IF(A285="","missing migration_customer_key; ","")&amp;IF(AND(A285&lt;&gt;"",COUNTIF($A$6:$A$505,A285)&gt;1),"duplicate migration_customer_key; ","")&amp;IF(E285="","missing branch_id; ","")&amp;IF(G285="","missing first_name; ","")&amp;IF(I285="","missing last_name; ","")&amp;IF(M285="","missing primary_phone; ","")&amp;IF(AND(M285&lt;&gt;"",COUNTIF($M$6:$M$505,M285)&gt;1),"duplicate primary_phone; ","")&amp;IF(AND(L285="mobile",N285&lt;&gt;"invalid",OR(LEN(M285)&lt;&gt;10,LEFT(M285,2)&lt;&gt;"09")),"mobile must be 09XXXXXXXX or status invalid; ","")&amp;IF(T285="","missing neighborhood_id; ","")))))</x:f>
      </x:c>
    </x:row>
    <x:row r="286">
      <x:c r="A286" s="232"/>
      <x:c r="B286" s="233"/>
      <x:c r="C286" s="234"/>
      <x:c r="D286" s="233"/>
      <x:c r="E286" s="233"/>
      <x:c r="F286" s="233"/>
      <x:c r="G286" s="233"/>
      <x:c r="H286" s="233"/>
      <x:c r="I286" s="233"/>
      <x:c r="J286" s="233"/>
      <x:c r="K286" s="233" t="str">
        <x:f>TRIM(G286&amp;" "&amp;H286&amp;" "&amp;I286&amp;IF(J286&lt;&gt;""," ("&amp;J286&amp;")",""))</x:f>
      </x:c>
      <x:c r="L286" s="233"/>
      <x:c r="M286" s="234"/>
      <x:c r="N286" s="233"/>
      <x:c r="O286" s="233"/>
      <x:c r="P286" s="233"/>
      <x:c r="Q286" s="233"/>
      <x:c r="R286" s="233"/>
      <x:c r="S286" s="233"/>
      <x:c r="T286" s="233"/>
      <x:c r="U286" s="233"/>
      <x:c r="V286" s="233"/>
      <x:c r="W286" s="235"/>
      <x:c r="X286" s="235"/>
      <x:c r="Y286" s="233"/>
      <x:c r="Z286" s="233"/>
      <x:c r="AA286" s="233"/>
      <x:c r="AB286" s="233"/>
      <x:c r="AC286" s="236"/>
      <x:c r="AD286" s="233"/>
      <x:c r="AE286" s="233"/>
      <x:c r="AF286" s="233"/>
      <x:c r="AG286" s="233"/>
      <x:c r="AH286" s="234"/>
      <x:c r="AI286" s="233"/>
      <x:c r="AJ286" s="233"/>
      <x:c r="AK286" s="233"/>
      <x:c r="AL286" s="236"/>
      <x:c r="AM286" s="233"/>
      <x:c r="AN286" s="233"/>
      <x:c r="AO286" s="234"/>
      <x:c r="AP286" s="234"/>
      <x:c r="AQ286" s="233"/>
      <x:c r="AR286" s="236"/>
      <x:c r="AS286" s="234"/>
      <x:c r="AT286" s="233"/>
      <x:c r="AU286" s="233"/>
      <x:c r="AV286" s="233"/>
      <x:c r="AW286" s="233"/>
      <x:c r="AX286" s="233"/>
      <x:c r="AY286" s="233"/>
      <x:c r="AZ286" s="236"/>
      <x:c r="BA286" s="233"/>
      <x:c r="BB286" s="233"/>
      <x:c r="BC286" s="233"/>
      <x:c r="BD286" s="233"/>
      <x:c r="BE286" s="237" t="str">
        <x:f>IF(AND(A286="",B286="",C286="",E286="",G286="",I286="",M286="",T286="",BB286="",BD286=""),"",IF(B286="skip","SKIP",IF(OR(B286="",A286="",E286="",G286="",I286="",M286="",T286="",COUNTIF($A$6:$A$505,A286)&gt;1,COUNTIF($M$6:$M$505,M286)&gt;1,AND(L286="mobile",N286&lt;&gt;"invalid",OR(LEN(M286)&lt;&gt;10,LEFT(M286,2)&lt;&gt;"09"))),"REVIEW","READY")))</x:f>
      </x:c>
      <x:c r="BF286" s="238" t="str">
        <x:f>IF(BE286="","",IF(BE286="READY","",IF(B286="skip","Skipped by import_action",TRIM(IF(B286="","missing import_action; ","")&amp;IF(A286="","missing migration_customer_key; ","")&amp;IF(AND(A286&lt;&gt;"",COUNTIF($A$6:$A$505,A286)&gt;1),"duplicate migration_customer_key; ","")&amp;IF(E286="","missing branch_id; ","")&amp;IF(G286="","missing first_name; ","")&amp;IF(I286="","missing last_name; ","")&amp;IF(M286="","missing primary_phone; ","")&amp;IF(AND(M286&lt;&gt;"",COUNTIF($M$6:$M$505,M286)&gt;1),"duplicate primary_phone; ","")&amp;IF(AND(L286="mobile",N286&lt;&gt;"invalid",OR(LEN(M286)&lt;&gt;10,LEFT(M286,2)&lt;&gt;"09")),"mobile must be 09XXXXXXXX or status invalid; ","")&amp;IF(T286="","missing neighborhood_id; ","")))))</x:f>
      </x:c>
    </x:row>
    <x:row r="287">
      <x:c r="A287" s="232"/>
      <x:c r="B287" s="233"/>
      <x:c r="C287" s="234"/>
      <x:c r="D287" s="233"/>
      <x:c r="E287" s="233"/>
      <x:c r="F287" s="233"/>
      <x:c r="G287" s="233"/>
      <x:c r="H287" s="233"/>
      <x:c r="I287" s="233"/>
      <x:c r="J287" s="233"/>
      <x:c r="K287" s="233" t="str">
        <x:f>TRIM(G287&amp;" "&amp;H287&amp;" "&amp;I287&amp;IF(J287&lt;&gt;""," ("&amp;J287&amp;")",""))</x:f>
      </x:c>
      <x:c r="L287" s="233"/>
      <x:c r="M287" s="234"/>
      <x:c r="N287" s="233"/>
      <x:c r="O287" s="233"/>
      <x:c r="P287" s="233"/>
      <x:c r="Q287" s="233"/>
      <x:c r="R287" s="233"/>
      <x:c r="S287" s="233"/>
      <x:c r="T287" s="233"/>
      <x:c r="U287" s="233"/>
      <x:c r="V287" s="233"/>
      <x:c r="W287" s="235"/>
      <x:c r="X287" s="235"/>
      <x:c r="Y287" s="233"/>
      <x:c r="Z287" s="233"/>
      <x:c r="AA287" s="233"/>
      <x:c r="AB287" s="233"/>
      <x:c r="AC287" s="236"/>
      <x:c r="AD287" s="233"/>
      <x:c r="AE287" s="233"/>
      <x:c r="AF287" s="233"/>
      <x:c r="AG287" s="233"/>
      <x:c r="AH287" s="234"/>
      <x:c r="AI287" s="233"/>
      <x:c r="AJ287" s="233"/>
      <x:c r="AK287" s="233"/>
      <x:c r="AL287" s="236"/>
      <x:c r="AM287" s="233"/>
      <x:c r="AN287" s="233"/>
      <x:c r="AO287" s="234"/>
      <x:c r="AP287" s="234"/>
      <x:c r="AQ287" s="233"/>
      <x:c r="AR287" s="236"/>
      <x:c r="AS287" s="234"/>
      <x:c r="AT287" s="233"/>
      <x:c r="AU287" s="233"/>
      <x:c r="AV287" s="233"/>
      <x:c r="AW287" s="233"/>
      <x:c r="AX287" s="233"/>
      <x:c r="AY287" s="233"/>
      <x:c r="AZ287" s="236"/>
      <x:c r="BA287" s="233"/>
      <x:c r="BB287" s="233"/>
      <x:c r="BC287" s="233"/>
      <x:c r="BD287" s="233"/>
      <x:c r="BE287" s="237" t="str">
        <x:f>IF(AND(A287="",B287="",C287="",E287="",G287="",I287="",M287="",T287="",BB287="",BD287=""),"",IF(B287="skip","SKIP",IF(OR(B287="",A287="",E287="",G287="",I287="",M287="",T287="",COUNTIF($A$6:$A$505,A287)&gt;1,COUNTIF($M$6:$M$505,M287)&gt;1,AND(L287="mobile",N287&lt;&gt;"invalid",OR(LEN(M287)&lt;&gt;10,LEFT(M287,2)&lt;&gt;"09"))),"REVIEW","READY")))</x:f>
      </x:c>
      <x:c r="BF287" s="238" t="str">
        <x:f>IF(BE287="","",IF(BE287="READY","",IF(B287="skip","Skipped by import_action",TRIM(IF(B287="","missing import_action; ","")&amp;IF(A287="","missing migration_customer_key; ","")&amp;IF(AND(A287&lt;&gt;"",COUNTIF($A$6:$A$505,A287)&gt;1),"duplicate migration_customer_key; ","")&amp;IF(E287="","missing branch_id; ","")&amp;IF(G287="","missing first_name; ","")&amp;IF(I287="","missing last_name; ","")&amp;IF(M287="","missing primary_phone; ","")&amp;IF(AND(M287&lt;&gt;"",COUNTIF($M$6:$M$505,M287)&gt;1),"duplicate primary_phone; ","")&amp;IF(AND(L287="mobile",N287&lt;&gt;"invalid",OR(LEN(M287)&lt;&gt;10,LEFT(M287,2)&lt;&gt;"09")),"mobile must be 09XXXXXXXX or status invalid; ","")&amp;IF(T287="","missing neighborhood_id; ","")))))</x:f>
      </x:c>
    </x:row>
    <x:row r="288">
      <x:c r="A288" s="232"/>
      <x:c r="B288" s="233"/>
      <x:c r="C288" s="234"/>
      <x:c r="D288" s="233"/>
      <x:c r="E288" s="233"/>
      <x:c r="F288" s="233"/>
      <x:c r="G288" s="233"/>
      <x:c r="H288" s="233"/>
      <x:c r="I288" s="233"/>
      <x:c r="J288" s="233"/>
      <x:c r="K288" s="233" t="str">
        <x:f>TRIM(G288&amp;" "&amp;H288&amp;" "&amp;I288&amp;IF(J288&lt;&gt;""," ("&amp;J288&amp;")",""))</x:f>
      </x:c>
      <x:c r="L288" s="233"/>
      <x:c r="M288" s="234"/>
      <x:c r="N288" s="233"/>
      <x:c r="O288" s="233"/>
      <x:c r="P288" s="233"/>
      <x:c r="Q288" s="233"/>
      <x:c r="R288" s="233"/>
      <x:c r="S288" s="233"/>
      <x:c r="T288" s="233"/>
      <x:c r="U288" s="233"/>
      <x:c r="V288" s="233"/>
      <x:c r="W288" s="235"/>
      <x:c r="X288" s="235"/>
      <x:c r="Y288" s="233"/>
      <x:c r="Z288" s="233"/>
      <x:c r="AA288" s="233"/>
      <x:c r="AB288" s="233"/>
      <x:c r="AC288" s="236"/>
      <x:c r="AD288" s="233"/>
      <x:c r="AE288" s="233"/>
      <x:c r="AF288" s="233"/>
      <x:c r="AG288" s="233"/>
      <x:c r="AH288" s="234"/>
      <x:c r="AI288" s="233"/>
      <x:c r="AJ288" s="233"/>
      <x:c r="AK288" s="233"/>
      <x:c r="AL288" s="236"/>
      <x:c r="AM288" s="233"/>
      <x:c r="AN288" s="233"/>
      <x:c r="AO288" s="234"/>
      <x:c r="AP288" s="234"/>
      <x:c r="AQ288" s="233"/>
      <x:c r="AR288" s="236"/>
      <x:c r="AS288" s="234"/>
      <x:c r="AT288" s="233"/>
      <x:c r="AU288" s="233"/>
      <x:c r="AV288" s="233"/>
      <x:c r="AW288" s="233"/>
      <x:c r="AX288" s="233"/>
      <x:c r="AY288" s="233"/>
      <x:c r="AZ288" s="236"/>
      <x:c r="BA288" s="233"/>
      <x:c r="BB288" s="233"/>
      <x:c r="BC288" s="233"/>
      <x:c r="BD288" s="233"/>
      <x:c r="BE288" s="237" t="str">
        <x:f>IF(AND(A288="",B288="",C288="",E288="",G288="",I288="",M288="",T288="",BB288="",BD288=""),"",IF(B288="skip","SKIP",IF(OR(B288="",A288="",E288="",G288="",I288="",M288="",T288="",COUNTIF($A$6:$A$505,A288)&gt;1,COUNTIF($M$6:$M$505,M288)&gt;1,AND(L288="mobile",N288&lt;&gt;"invalid",OR(LEN(M288)&lt;&gt;10,LEFT(M288,2)&lt;&gt;"09"))),"REVIEW","READY")))</x:f>
      </x:c>
      <x:c r="BF288" s="238" t="str">
        <x:f>IF(BE288="","",IF(BE288="READY","",IF(B288="skip","Skipped by import_action",TRIM(IF(B288="","missing import_action; ","")&amp;IF(A288="","missing migration_customer_key; ","")&amp;IF(AND(A288&lt;&gt;"",COUNTIF($A$6:$A$505,A288)&gt;1),"duplicate migration_customer_key; ","")&amp;IF(E288="","missing branch_id; ","")&amp;IF(G288="","missing first_name; ","")&amp;IF(I288="","missing last_name; ","")&amp;IF(M288="","missing primary_phone; ","")&amp;IF(AND(M288&lt;&gt;"",COUNTIF($M$6:$M$505,M288)&gt;1),"duplicate primary_phone; ","")&amp;IF(AND(L288="mobile",N288&lt;&gt;"invalid",OR(LEN(M288)&lt;&gt;10,LEFT(M288,2)&lt;&gt;"09")),"mobile must be 09XXXXXXXX or status invalid; ","")&amp;IF(T288="","missing neighborhood_id; ","")))))</x:f>
      </x:c>
    </x:row>
    <x:row r="289">
      <x:c r="A289" s="232"/>
      <x:c r="B289" s="233"/>
      <x:c r="C289" s="234"/>
      <x:c r="D289" s="233"/>
      <x:c r="E289" s="233"/>
      <x:c r="F289" s="233"/>
      <x:c r="G289" s="233"/>
      <x:c r="H289" s="233"/>
      <x:c r="I289" s="233"/>
      <x:c r="J289" s="233"/>
      <x:c r="K289" s="233" t="str">
        <x:f>TRIM(G289&amp;" "&amp;H289&amp;" "&amp;I289&amp;IF(J289&lt;&gt;""," ("&amp;J289&amp;")",""))</x:f>
      </x:c>
      <x:c r="L289" s="233"/>
      <x:c r="M289" s="234"/>
      <x:c r="N289" s="233"/>
      <x:c r="O289" s="233"/>
      <x:c r="P289" s="233"/>
      <x:c r="Q289" s="233"/>
      <x:c r="R289" s="233"/>
      <x:c r="S289" s="233"/>
      <x:c r="T289" s="233"/>
      <x:c r="U289" s="233"/>
      <x:c r="V289" s="233"/>
      <x:c r="W289" s="235"/>
      <x:c r="X289" s="235"/>
      <x:c r="Y289" s="233"/>
      <x:c r="Z289" s="233"/>
      <x:c r="AA289" s="233"/>
      <x:c r="AB289" s="233"/>
      <x:c r="AC289" s="236"/>
      <x:c r="AD289" s="233"/>
      <x:c r="AE289" s="233"/>
      <x:c r="AF289" s="233"/>
      <x:c r="AG289" s="233"/>
      <x:c r="AH289" s="234"/>
      <x:c r="AI289" s="233"/>
      <x:c r="AJ289" s="233"/>
      <x:c r="AK289" s="233"/>
      <x:c r="AL289" s="236"/>
      <x:c r="AM289" s="233"/>
      <x:c r="AN289" s="233"/>
      <x:c r="AO289" s="234"/>
      <x:c r="AP289" s="234"/>
      <x:c r="AQ289" s="233"/>
      <x:c r="AR289" s="236"/>
      <x:c r="AS289" s="234"/>
      <x:c r="AT289" s="233"/>
      <x:c r="AU289" s="233"/>
      <x:c r="AV289" s="233"/>
      <x:c r="AW289" s="233"/>
      <x:c r="AX289" s="233"/>
      <x:c r="AY289" s="233"/>
      <x:c r="AZ289" s="236"/>
      <x:c r="BA289" s="233"/>
      <x:c r="BB289" s="233"/>
      <x:c r="BC289" s="233"/>
      <x:c r="BD289" s="233"/>
      <x:c r="BE289" s="237" t="str">
        <x:f>IF(AND(A289="",B289="",C289="",E289="",G289="",I289="",M289="",T289="",BB289="",BD289=""),"",IF(B289="skip","SKIP",IF(OR(B289="",A289="",E289="",G289="",I289="",M289="",T289="",COUNTIF($A$6:$A$505,A289)&gt;1,COUNTIF($M$6:$M$505,M289)&gt;1,AND(L289="mobile",N289&lt;&gt;"invalid",OR(LEN(M289)&lt;&gt;10,LEFT(M289,2)&lt;&gt;"09"))),"REVIEW","READY")))</x:f>
      </x:c>
      <x:c r="BF289" s="238" t="str">
        <x:f>IF(BE289="","",IF(BE289="READY","",IF(B289="skip","Skipped by import_action",TRIM(IF(B289="","missing import_action; ","")&amp;IF(A289="","missing migration_customer_key; ","")&amp;IF(AND(A289&lt;&gt;"",COUNTIF($A$6:$A$505,A289)&gt;1),"duplicate migration_customer_key; ","")&amp;IF(E289="","missing branch_id; ","")&amp;IF(G289="","missing first_name; ","")&amp;IF(I289="","missing last_name; ","")&amp;IF(M289="","missing primary_phone; ","")&amp;IF(AND(M289&lt;&gt;"",COUNTIF($M$6:$M$505,M289)&gt;1),"duplicate primary_phone; ","")&amp;IF(AND(L289="mobile",N289&lt;&gt;"invalid",OR(LEN(M289)&lt;&gt;10,LEFT(M289,2)&lt;&gt;"09")),"mobile must be 09XXXXXXXX or status invalid; ","")&amp;IF(T289="","missing neighborhood_id; ","")))))</x:f>
      </x:c>
    </x:row>
    <x:row r="290">
      <x:c r="A290" s="232"/>
      <x:c r="B290" s="233"/>
      <x:c r="C290" s="234"/>
      <x:c r="D290" s="233"/>
      <x:c r="E290" s="233"/>
      <x:c r="F290" s="233"/>
      <x:c r="G290" s="233"/>
      <x:c r="H290" s="233"/>
      <x:c r="I290" s="233"/>
      <x:c r="J290" s="233"/>
      <x:c r="K290" s="233" t="str">
        <x:f>TRIM(G290&amp;" "&amp;H290&amp;" "&amp;I290&amp;IF(J290&lt;&gt;""," ("&amp;J290&amp;")",""))</x:f>
      </x:c>
      <x:c r="L290" s="233"/>
      <x:c r="M290" s="234"/>
      <x:c r="N290" s="233"/>
      <x:c r="O290" s="233"/>
      <x:c r="P290" s="233"/>
      <x:c r="Q290" s="233"/>
      <x:c r="R290" s="233"/>
      <x:c r="S290" s="233"/>
      <x:c r="T290" s="233"/>
      <x:c r="U290" s="233"/>
      <x:c r="V290" s="233"/>
      <x:c r="W290" s="235"/>
      <x:c r="X290" s="235"/>
      <x:c r="Y290" s="233"/>
      <x:c r="Z290" s="233"/>
      <x:c r="AA290" s="233"/>
      <x:c r="AB290" s="233"/>
      <x:c r="AC290" s="236"/>
      <x:c r="AD290" s="233"/>
      <x:c r="AE290" s="233"/>
      <x:c r="AF290" s="233"/>
      <x:c r="AG290" s="233"/>
      <x:c r="AH290" s="234"/>
      <x:c r="AI290" s="233"/>
      <x:c r="AJ290" s="233"/>
      <x:c r="AK290" s="233"/>
      <x:c r="AL290" s="236"/>
      <x:c r="AM290" s="233"/>
      <x:c r="AN290" s="233"/>
      <x:c r="AO290" s="234"/>
      <x:c r="AP290" s="234"/>
      <x:c r="AQ290" s="233"/>
      <x:c r="AR290" s="236"/>
      <x:c r="AS290" s="234"/>
      <x:c r="AT290" s="233"/>
      <x:c r="AU290" s="233"/>
      <x:c r="AV290" s="233"/>
      <x:c r="AW290" s="233"/>
      <x:c r="AX290" s="233"/>
      <x:c r="AY290" s="233"/>
      <x:c r="AZ290" s="236"/>
      <x:c r="BA290" s="233"/>
      <x:c r="BB290" s="233"/>
      <x:c r="BC290" s="233"/>
      <x:c r="BD290" s="233"/>
      <x:c r="BE290" s="237" t="str">
        <x:f>IF(AND(A290="",B290="",C290="",E290="",G290="",I290="",M290="",T290="",BB290="",BD290=""),"",IF(B290="skip","SKIP",IF(OR(B290="",A290="",E290="",G290="",I290="",M290="",T290="",COUNTIF($A$6:$A$505,A290)&gt;1,COUNTIF($M$6:$M$505,M290)&gt;1,AND(L290="mobile",N290&lt;&gt;"invalid",OR(LEN(M290)&lt;&gt;10,LEFT(M290,2)&lt;&gt;"09"))),"REVIEW","READY")))</x:f>
      </x:c>
      <x:c r="BF290" s="238" t="str">
        <x:f>IF(BE290="","",IF(BE290="READY","",IF(B290="skip","Skipped by import_action",TRIM(IF(B290="","missing import_action; ","")&amp;IF(A290="","missing migration_customer_key; ","")&amp;IF(AND(A290&lt;&gt;"",COUNTIF($A$6:$A$505,A290)&gt;1),"duplicate migration_customer_key; ","")&amp;IF(E290="","missing branch_id; ","")&amp;IF(G290="","missing first_name; ","")&amp;IF(I290="","missing last_name; ","")&amp;IF(M290="","missing primary_phone; ","")&amp;IF(AND(M290&lt;&gt;"",COUNTIF($M$6:$M$505,M290)&gt;1),"duplicate primary_phone; ","")&amp;IF(AND(L290="mobile",N290&lt;&gt;"invalid",OR(LEN(M290)&lt;&gt;10,LEFT(M290,2)&lt;&gt;"09")),"mobile must be 09XXXXXXXX or status invalid; ","")&amp;IF(T290="","missing neighborhood_id; ","")))))</x:f>
      </x:c>
    </x:row>
    <x:row r="291">
      <x:c r="A291" s="232"/>
      <x:c r="B291" s="233"/>
      <x:c r="C291" s="234"/>
      <x:c r="D291" s="233"/>
      <x:c r="E291" s="233"/>
      <x:c r="F291" s="233"/>
      <x:c r="G291" s="233"/>
      <x:c r="H291" s="233"/>
      <x:c r="I291" s="233"/>
      <x:c r="J291" s="233"/>
      <x:c r="K291" s="233" t="str">
        <x:f>TRIM(G291&amp;" "&amp;H291&amp;" "&amp;I291&amp;IF(J291&lt;&gt;""," ("&amp;J291&amp;")",""))</x:f>
      </x:c>
      <x:c r="L291" s="233"/>
      <x:c r="M291" s="234"/>
      <x:c r="N291" s="233"/>
      <x:c r="O291" s="233"/>
      <x:c r="P291" s="233"/>
      <x:c r="Q291" s="233"/>
      <x:c r="R291" s="233"/>
      <x:c r="S291" s="233"/>
      <x:c r="T291" s="233"/>
      <x:c r="U291" s="233"/>
      <x:c r="V291" s="233"/>
      <x:c r="W291" s="235"/>
      <x:c r="X291" s="235"/>
      <x:c r="Y291" s="233"/>
      <x:c r="Z291" s="233"/>
      <x:c r="AA291" s="233"/>
      <x:c r="AB291" s="233"/>
      <x:c r="AC291" s="236"/>
      <x:c r="AD291" s="233"/>
      <x:c r="AE291" s="233"/>
      <x:c r="AF291" s="233"/>
      <x:c r="AG291" s="233"/>
      <x:c r="AH291" s="234"/>
      <x:c r="AI291" s="233"/>
      <x:c r="AJ291" s="233"/>
      <x:c r="AK291" s="233"/>
      <x:c r="AL291" s="236"/>
      <x:c r="AM291" s="233"/>
      <x:c r="AN291" s="233"/>
      <x:c r="AO291" s="234"/>
      <x:c r="AP291" s="234"/>
      <x:c r="AQ291" s="233"/>
      <x:c r="AR291" s="236"/>
      <x:c r="AS291" s="234"/>
      <x:c r="AT291" s="233"/>
      <x:c r="AU291" s="233"/>
      <x:c r="AV291" s="233"/>
      <x:c r="AW291" s="233"/>
      <x:c r="AX291" s="233"/>
      <x:c r="AY291" s="233"/>
      <x:c r="AZ291" s="236"/>
      <x:c r="BA291" s="233"/>
      <x:c r="BB291" s="233"/>
      <x:c r="BC291" s="233"/>
      <x:c r="BD291" s="233"/>
      <x:c r="BE291" s="237" t="str">
        <x:f>IF(AND(A291="",B291="",C291="",E291="",G291="",I291="",M291="",T291="",BB291="",BD291=""),"",IF(B291="skip","SKIP",IF(OR(B291="",A291="",E291="",G291="",I291="",M291="",T291="",COUNTIF($A$6:$A$505,A291)&gt;1,COUNTIF($M$6:$M$505,M291)&gt;1,AND(L291="mobile",N291&lt;&gt;"invalid",OR(LEN(M291)&lt;&gt;10,LEFT(M291,2)&lt;&gt;"09"))),"REVIEW","READY")))</x:f>
      </x:c>
      <x:c r="BF291" s="238" t="str">
        <x:f>IF(BE291="","",IF(BE291="READY","",IF(B291="skip","Skipped by import_action",TRIM(IF(B291="","missing import_action; ","")&amp;IF(A291="","missing migration_customer_key; ","")&amp;IF(AND(A291&lt;&gt;"",COUNTIF($A$6:$A$505,A291)&gt;1),"duplicate migration_customer_key; ","")&amp;IF(E291="","missing branch_id; ","")&amp;IF(G291="","missing first_name; ","")&amp;IF(I291="","missing last_name; ","")&amp;IF(M291="","missing primary_phone; ","")&amp;IF(AND(M291&lt;&gt;"",COUNTIF($M$6:$M$505,M291)&gt;1),"duplicate primary_phone; ","")&amp;IF(AND(L291="mobile",N291&lt;&gt;"invalid",OR(LEN(M291)&lt;&gt;10,LEFT(M291,2)&lt;&gt;"09")),"mobile must be 09XXXXXXXX or status invalid; ","")&amp;IF(T291="","missing neighborhood_id; ","")))))</x:f>
      </x:c>
    </x:row>
    <x:row r="292">
      <x:c r="A292" s="232"/>
      <x:c r="B292" s="233"/>
      <x:c r="C292" s="234"/>
      <x:c r="D292" s="233"/>
      <x:c r="E292" s="233"/>
      <x:c r="F292" s="233"/>
      <x:c r="G292" s="233"/>
      <x:c r="H292" s="233"/>
      <x:c r="I292" s="233"/>
      <x:c r="J292" s="233"/>
      <x:c r="K292" s="233" t="str">
        <x:f>TRIM(G292&amp;" "&amp;H292&amp;" "&amp;I292&amp;IF(J292&lt;&gt;""," ("&amp;J292&amp;")",""))</x:f>
      </x:c>
      <x:c r="L292" s="233"/>
      <x:c r="M292" s="234"/>
      <x:c r="N292" s="233"/>
      <x:c r="O292" s="233"/>
      <x:c r="P292" s="233"/>
      <x:c r="Q292" s="233"/>
      <x:c r="R292" s="233"/>
      <x:c r="S292" s="233"/>
      <x:c r="T292" s="233"/>
      <x:c r="U292" s="233"/>
      <x:c r="V292" s="233"/>
      <x:c r="W292" s="235"/>
      <x:c r="X292" s="235"/>
      <x:c r="Y292" s="233"/>
      <x:c r="Z292" s="233"/>
      <x:c r="AA292" s="233"/>
      <x:c r="AB292" s="233"/>
      <x:c r="AC292" s="236"/>
      <x:c r="AD292" s="233"/>
      <x:c r="AE292" s="233"/>
      <x:c r="AF292" s="233"/>
      <x:c r="AG292" s="233"/>
      <x:c r="AH292" s="234"/>
      <x:c r="AI292" s="233"/>
      <x:c r="AJ292" s="233"/>
      <x:c r="AK292" s="233"/>
      <x:c r="AL292" s="236"/>
      <x:c r="AM292" s="233"/>
      <x:c r="AN292" s="233"/>
      <x:c r="AO292" s="234"/>
      <x:c r="AP292" s="234"/>
      <x:c r="AQ292" s="233"/>
      <x:c r="AR292" s="236"/>
      <x:c r="AS292" s="234"/>
      <x:c r="AT292" s="233"/>
      <x:c r="AU292" s="233"/>
      <x:c r="AV292" s="233"/>
      <x:c r="AW292" s="233"/>
      <x:c r="AX292" s="233"/>
      <x:c r="AY292" s="233"/>
      <x:c r="AZ292" s="236"/>
      <x:c r="BA292" s="233"/>
      <x:c r="BB292" s="233"/>
      <x:c r="BC292" s="233"/>
      <x:c r="BD292" s="233"/>
      <x:c r="BE292" s="237" t="str">
        <x:f>IF(AND(A292="",B292="",C292="",E292="",G292="",I292="",M292="",T292="",BB292="",BD292=""),"",IF(B292="skip","SKIP",IF(OR(B292="",A292="",E292="",G292="",I292="",M292="",T292="",COUNTIF($A$6:$A$505,A292)&gt;1,COUNTIF($M$6:$M$505,M292)&gt;1,AND(L292="mobile",N292&lt;&gt;"invalid",OR(LEN(M292)&lt;&gt;10,LEFT(M292,2)&lt;&gt;"09"))),"REVIEW","READY")))</x:f>
      </x:c>
      <x:c r="BF292" s="238" t="str">
        <x:f>IF(BE292="","",IF(BE292="READY","",IF(B292="skip","Skipped by import_action",TRIM(IF(B292="","missing import_action; ","")&amp;IF(A292="","missing migration_customer_key; ","")&amp;IF(AND(A292&lt;&gt;"",COUNTIF($A$6:$A$505,A292)&gt;1),"duplicate migration_customer_key; ","")&amp;IF(E292="","missing branch_id; ","")&amp;IF(G292="","missing first_name; ","")&amp;IF(I292="","missing last_name; ","")&amp;IF(M292="","missing primary_phone; ","")&amp;IF(AND(M292&lt;&gt;"",COUNTIF($M$6:$M$505,M292)&gt;1),"duplicate primary_phone; ","")&amp;IF(AND(L292="mobile",N292&lt;&gt;"invalid",OR(LEN(M292)&lt;&gt;10,LEFT(M292,2)&lt;&gt;"09")),"mobile must be 09XXXXXXXX or status invalid; ","")&amp;IF(T292="","missing neighborhood_id; ","")))))</x:f>
      </x:c>
    </x:row>
    <x:row r="293">
      <x:c r="A293" s="232"/>
      <x:c r="B293" s="233"/>
      <x:c r="C293" s="234"/>
      <x:c r="D293" s="233"/>
      <x:c r="E293" s="233"/>
      <x:c r="F293" s="233"/>
      <x:c r="G293" s="233"/>
      <x:c r="H293" s="233"/>
      <x:c r="I293" s="233"/>
      <x:c r="J293" s="233"/>
      <x:c r="K293" s="233" t="str">
        <x:f>TRIM(G293&amp;" "&amp;H293&amp;" "&amp;I293&amp;IF(J293&lt;&gt;""," ("&amp;J293&amp;")",""))</x:f>
      </x:c>
      <x:c r="L293" s="233"/>
      <x:c r="M293" s="234"/>
      <x:c r="N293" s="233"/>
      <x:c r="O293" s="233"/>
      <x:c r="P293" s="233"/>
      <x:c r="Q293" s="233"/>
      <x:c r="R293" s="233"/>
      <x:c r="S293" s="233"/>
      <x:c r="T293" s="233"/>
      <x:c r="U293" s="233"/>
      <x:c r="V293" s="233"/>
      <x:c r="W293" s="235"/>
      <x:c r="X293" s="235"/>
      <x:c r="Y293" s="233"/>
      <x:c r="Z293" s="233"/>
      <x:c r="AA293" s="233"/>
      <x:c r="AB293" s="233"/>
      <x:c r="AC293" s="236"/>
      <x:c r="AD293" s="233"/>
      <x:c r="AE293" s="233"/>
      <x:c r="AF293" s="233"/>
      <x:c r="AG293" s="233"/>
      <x:c r="AH293" s="234"/>
      <x:c r="AI293" s="233"/>
      <x:c r="AJ293" s="233"/>
      <x:c r="AK293" s="233"/>
      <x:c r="AL293" s="236"/>
      <x:c r="AM293" s="233"/>
      <x:c r="AN293" s="233"/>
      <x:c r="AO293" s="234"/>
      <x:c r="AP293" s="234"/>
      <x:c r="AQ293" s="233"/>
      <x:c r="AR293" s="236"/>
      <x:c r="AS293" s="234"/>
      <x:c r="AT293" s="233"/>
      <x:c r="AU293" s="233"/>
      <x:c r="AV293" s="233"/>
      <x:c r="AW293" s="233"/>
      <x:c r="AX293" s="233"/>
      <x:c r="AY293" s="233"/>
      <x:c r="AZ293" s="236"/>
      <x:c r="BA293" s="233"/>
      <x:c r="BB293" s="233"/>
      <x:c r="BC293" s="233"/>
      <x:c r="BD293" s="233"/>
      <x:c r="BE293" s="237" t="str">
        <x:f>IF(AND(A293="",B293="",C293="",E293="",G293="",I293="",M293="",T293="",BB293="",BD293=""),"",IF(B293="skip","SKIP",IF(OR(B293="",A293="",E293="",G293="",I293="",M293="",T293="",COUNTIF($A$6:$A$505,A293)&gt;1,COUNTIF($M$6:$M$505,M293)&gt;1,AND(L293="mobile",N293&lt;&gt;"invalid",OR(LEN(M293)&lt;&gt;10,LEFT(M293,2)&lt;&gt;"09"))),"REVIEW","READY")))</x:f>
      </x:c>
      <x:c r="BF293" s="238" t="str">
        <x:f>IF(BE293="","",IF(BE293="READY","",IF(B293="skip","Skipped by import_action",TRIM(IF(B293="","missing import_action; ","")&amp;IF(A293="","missing migration_customer_key; ","")&amp;IF(AND(A293&lt;&gt;"",COUNTIF($A$6:$A$505,A293)&gt;1),"duplicate migration_customer_key; ","")&amp;IF(E293="","missing branch_id; ","")&amp;IF(G293="","missing first_name; ","")&amp;IF(I293="","missing last_name; ","")&amp;IF(M293="","missing primary_phone; ","")&amp;IF(AND(M293&lt;&gt;"",COUNTIF($M$6:$M$505,M293)&gt;1),"duplicate primary_phone; ","")&amp;IF(AND(L293="mobile",N293&lt;&gt;"invalid",OR(LEN(M293)&lt;&gt;10,LEFT(M293,2)&lt;&gt;"09")),"mobile must be 09XXXXXXXX or status invalid; ","")&amp;IF(T293="","missing neighborhood_id; ","")))))</x:f>
      </x:c>
    </x:row>
    <x:row r="294">
      <x:c r="A294" s="232"/>
      <x:c r="B294" s="233"/>
      <x:c r="C294" s="234"/>
      <x:c r="D294" s="233"/>
      <x:c r="E294" s="233"/>
      <x:c r="F294" s="233"/>
      <x:c r="G294" s="233"/>
      <x:c r="H294" s="233"/>
      <x:c r="I294" s="233"/>
      <x:c r="J294" s="233"/>
      <x:c r="K294" s="233" t="str">
        <x:f>TRIM(G294&amp;" "&amp;H294&amp;" "&amp;I294&amp;IF(J294&lt;&gt;""," ("&amp;J294&amp;")",""))</x:f>
      </x:c>
      <x:c r="L294" s="233"/>
      <x:c r="M294" s="234"/>
      <x:c r="N294" s="233"/>
      <x:c r="O294" s="233"/>
      <x:c r="P294" s="233"/>
      <x:c r="Q294" s="233"/>
      <x:c r="R294" s="233"/>
      <x:c r="S294" s="233"/>
      <x:c r="T294" s="233"/>
      <x:c r="U294" s="233"/>
      <x:c r="V294" s="233"/>
      <x:c r="W294" s="235"/>
      <x:c r="X294" s="235"/>
      <x:c r="Y294" s="233"/>
      <x:c r="Z294" s="233"/>
      <x:c r="AA294" s="233"/>
      <x:c r="AB294" s="233"/>
      <x:c r="AC294" s="236"/>
      <x:c r="AD294" s="233"/>
      <x:c r="AE294" s="233"/>
      <x:c r="AF294" s="233"/>
      <x:c r="AG294" s="233"/>
      <x:c r="AH294" s="234"/>
      <x:c r="AI294" s="233"/>
      <x:c r="AJ294" s="233"/>
      <x:c r="AK294" s="233"/>
      <x:c r="AL294" s="236"/>
      <x:c r="AM294" s="233"/>
      <x:c r="AN294" s="233"/>
      <x:c r="AO294" s="234"/>
      <x:c r="AP294" s="234"/>
      <x:c r="AQ294" s="233"/>
      <x:c r="AR294" s="236"/>
      <x:c r="AS294" s="234"/>
      <x:c r="AT294" s="233"/>
      <x:c r="AU294" s="233"/>
      <x:c r="AV294" s="233"/>
      <x:c r="AW294" s="233"/>
      <x:c r="AX294" s="233"/>
      <x:c r="AY294" s="233"/>
      <x:c r="AZ294" s="236"/>
      <x:c r="BA294" s="233"/>
      <x:c r="BB294" s="233"/>
      <x:c r="BC294" s="233"/>
      <x:c r="BD294" s="233"/>
      <x:c r="BE294" s="237" t="str">
        <x:f>IF(AND(A294="",B294="",C294="",E294="",G294="",I294="",M294="",T294="",BB294="",BD294=""),"",IF(B294="skip","SKIP",IF(OR(B294="",A294="",E294="",G294="",I294="",M294="",T294="",COUNTIF($A$6:$A$505,A294)&gt;1,COUNTIF($M$6:$M$505,M294)&gt;1,AND(L294="mobile",N294&lt;&gt;"invalid",OR(LEN(M294)&lt;&gt;10,LEFT(M294,2)&lt;&gt;"09"))),"REVIEW","READY")))</x:f>
      </x:c>
      <x:c r="BF294" s="238" t="str">
        <x:f>IF(BE294="","",IF(BE294="READY","",IF(B294="skip","Skipped by import_action",TRIM(IF(B294="","missing import_action; ","")&amp;IF(A294="","missing migration_customer_key; ","")&amp;IF(AND(A294&lt;&gt;"",COUNTIF($A$6:$A$505,A294)&gt;1),"duplicate migration_customer_key; ","")&amp;IF(E294="","missing branch_id; ","")&amp;IF(G294="","missing first_name; ","")&amp;IF(I294="","missing last_name; ","")&amp;IF(M294="","missing primary_phone; ","")&amp;IF(AND(M294&lt;&gt;"",COUNTIF($M$6:$M$505,M294)&gt;1),"duplicate primary_phone; ","")&amp;IF(AND(L294="mobile",N294&lt;&gt;"invalid",OR(LEN(M294)&lt;&gt;10,LEFT(M294,2)&lt;&gt;"09")),"mobile must be 09XXXXXXXX or status invalid; ","")&amp;IF(T294="","missing neighborhood_id; ","")))))</x:f>
      </x:c>
    </x:row>
    <x:row r="295">
      <x:c r="A295" s="232"/>
      <x:c r="B295" s="233"/>
      <x:c r="C295" s="234"/>
      <x:c r="D295" s="233"/>
      <x:c r="E295" s="233"/>
      <x:c r="F295" s="233"/>
      <x:c r="G295" s="233"/>
      <x:c r="H295" s="233"/>
      <x:c r="I295" s="233"/>
      <x:c r="J295" s="233"/>
      <x:c r="K295" s="233" t="str">
        <x:f>TRIM(G295&amp;" "&amp;H295&amp;" "&amp;I295&amp;IF(J295&lt;&gt;""," ("&amp;J295&amp;")",""))</x:f>
      </x:c>
      <x:c r="L295" s="233"/>
      <x:c r="M295" s="234"/>
      <x:c r="N295" s="233"/>
      <x:c r="O295" s="233"/>
      <x:c r="P295" s="233"/>
      <x:c r="Q295" s="233"/>
      <x:c r="R295" s="233"/>
      <x:c r="S295" s="233"/>
      <x:c r="T295" s="233"/>
      <x:c r="U295" s="233"/>
      <x:c r="V295" s="233"/>
      <x:c r="W295" s="235"/>
      <x:c r="X295" s="235"/>
      <x:c r="Y295" s="233"/>
      <x:c r="Z295" s="233"/>
      <x:c r="AA295" s="233"/>
      <x:c r="AB295" s="233"/>
      <x:c r="AC295" s="236"/>
      <x:c r="AD295" s="233"/>
      <x:c r="AE295" s="233"/>
      <x:c r="AF295" s="233"/>
      <x:c r="AG295" s="233"/>
      <x:c r="AH295" s="234"/>
      <x:c r="AI295" s="233"/>
      <x:c r="AJ295" s="233"/>
      <x:c r="AK295" s="233"/>
      <x:c r="AL295" s="236"/>
      <x:c r="AM295" s="233"/>
      <x:c r="AN295" s="233"/>
      <x:c r="AO295" s="234"/>
      <x:c r="AP295" s="234"/>
      <x:c r="AQ295" s="233"/>
      <x:c r="AR295" s="236"/>
      <x:c r="AS295" s="234"/>
      <x:c r="AT295" s="233"/>
      <x:c r="AU295" s="233"/>
      <x:c r="AV295" s="233"/>
      <x:c r="AW295" s="233"/>
      <x:c r="AX295" s="233"/>
      <x:c r="AY295" s="233"/>
      <x:c r="AZ295" s="236"/>
      <x:c r="BA295" s="233"/>
      <x:c r="BB295" s="233"/>
      <x:c r="BC295" s="233"/>
      <x:c r="BD295" s="233"/>
      <x:c r="BE295" s="237" t="str">
        <x:f>IF(AND(A295="",B295="",C295="",E295="",G295="",I295="",M295="",T295="",BB295="",BD295=""),"",IF(B295="skip","SKIP",IF(OR(B295="",A295="",E295="",G295="",I295="",M295="",T295="",COUNTIF($A$6:$A$505,A295)&gt;1,COUNTIF($M$6:$M$505,M295)&gt;1,AND(L295="mobile",N295&lt;&gt;"invalid",OR(LEN(M295)&lt;&gt;10,LEFT(M295,2)&lt;&gt;"09"))),"REVIEW","READY")))</x:f>
      </x:c>
      <x:c r="BF295" s="238" t="str">
        <x:f>IF(BE295="","",IF(BE295="READY","",IF(B295="skip","Skipped by import_action",TRIM(IF(B295="","missing import_action; ","")&amp;IF(A295="","missing migration_customer_key; ","")&amp;IF(AND(A295&lt;&gt;"",COUNTIF($A$6:$A$505,A295)&gt;1),"duplicate migration_customer_key; ","")&amp;IF(E295="","missing branch_id; ","")&amp;IF(G295="","missing first_name; ","")&amp;IF(I295="","missing last_name; ","")&amp;IF(M295="","missing primary_phone; ","")&amp;IF(AND(M295&lt;&gt;"",COUNTIF($M$6:$M$505,M295)&gt;1),"duplicate primary_phone; ","")&amp;IF(AND(L295="mobile",N295&lt;&gt;"invalid",OR(LEN(M295)&lt;&gt;10,LEFT(M295,2)&lt;&gt;"09")),"mobile must be 09XXXXXXXX or status invalid; ","")&amp;IF(T295="","missing neighborhood_id; ","")))))</x:f>
      </x:c>
    </x:row>
    <x:row r="296">
      <x:c r="A296" s="232"/>
      <x:c r="B296" s="233"/>
      <x:c r="C296" s="234"/>
      <x:c r="D296" s="233"/>
      <x:c r="E296" s="233"/>
      <x:c r="F296" s="233"/>
      <x:c r="G296" s="233"/>
      <x:c r="H296" s="233"/>
      <x:c r="I296" s="233"/>
      <x:c r="J296" s="233"/>
      <x:c r="K296" s="233" t="str">
        <x:f>TRIM(G296&amp;" "&amp;H296&amp;" "&amp;I296&amp;IF(J296&lt;&gt;""," ("&amp;J296&amp;")",""))</x:f>
      </x:c>
      <x:c r="L296" s="233"/>
      <x:c r="M296" s="234"/>
      <x:c r="N296" s="233"/>
      <x:c r="O296" s="233"/>
      <x:c r="P296" s="233"/>
      <x:c r="Q296" s="233"/>
      <x:c r="R296" s="233"/>
      <x:c r="S296" s="233"/>
      <x:c r="T296" s="233"/>
      <x:c r="U296" s="233"/>
      <x:c r="V296" s="233"/>
      <x:c r="W296" s="235"/>
      <x:c r="X296" s="235"/>
      <x:c r="Y296" s="233"/>
      <x:c r="Z296" s="233"/>
      <x:c r="AA296" s="233"/>
      <x:c r="AB296" s="233"/>
      <x:c r="AC296" s="236"/>
      <x:c r="AD296" s="233"/>
      <x:c r="AE296" s="233"/>
      <x:c r="AF296" s="233"/>
      <x:c r="AG296" s="233"/>
      <x:c r="AH296" s="234"/>
      <x:c r="AI296" s="233"/>
      <x:c r="AJ296" s="233"/>
      <x:c r="AK296" s="233"/>
      <x:c r="AL296" s="236"/>
      <x:c r="AM296" s="233"/>
      <x:c r="AN296" s="233"/>
      <x:c r="AO296" s="234"/>
      <x:c r="AP296" s="234"/>
      <x:c r="AQ296" s="233"/>
      <x:c r="AR296" s="236"/>
      <x:c r="AS296" s="234"/>
      <x:c r="AT296" s="233"/>
      <x:c r="AU296" s="233"/>
      <x:c r="AV296" s="233"/>
      <x:c r="AW296" s="233"/>
      <x:c r="AX296" s="233"/>
      <x:c r="AY296" s="233"/>
      <x:c r="AZ296" s="236"/>
      <x:c r="BA296" s="233"/>
      <x:c r="BB296" s="233"/>
      <x:c r="BC296" s="233"/>
      <x:c r="BD296" s="233"/>
      <x:c r="BE296" s="237" t="str">
        <x:f>IF(AND(A296="",B296="",C296="",E296="",G296="",I296="",M296="",T296="",BB296="",BD296=""),"",IF(B296="skip","SKIP",IF(OR(B296="",A296="",E296="",G296="",I296="",M296="",T296="",COUNTIF($A$6:$A$505,A296)&gt;1,COUNTIF($M$6:$M$505,M296)&gt;1,AND(L296="mobile",N296&lt;&gt;"invalid",OR(LEN(M296)&lt;&gt;10,LEFT(M296,2)&lt;&gt;"09"))),"REVIEW","READY")))</x:f>
      </x:c>
      <x:c r="BF296" s="238" t="str">
        <x:f>IF(BE296="","",IF(BE296="READY","",IF(B296="skip","Skipped by import_action",TRIM(IF(B296="","missing import_action; ","")&amp;IF(A296="","missing migration_customer_key; ","")&amp;IF(AND(A296&lt;&gt;"",COUNTIF($A$6:$A$505,A296)&gt;1),"duplicate migration_customer_key; ","")&amp;IF(E296="","missing branch_id; ","")&amp;IF(G296="","missing first_name; ","")&amp;IF(I296="","missing last_name; ","")&amp;IF(M296="","missing primary_phone; ","")&amp;IF(AND(M296&lt;&gt;"",COUNTIF($M$6:$M$505,M296)&gt;1),"duplicate primary_phone; ","")&amp;IF(AND(L296="mobile",N296&lt;&gt;"invalid",OR(LEN(M296)&lt;&gt;10,LEFT(M296,2)&lt;&gt;"09")),"mobile must be 09XXXXXXXX or status invalid; ","")&amp;IF(T296="","missing neighborhood_id; ","")))))</x:f>
      </x:c>
    </x:row>
    <x:row r="297">
      <x:c r="A297" s="232"/>
      <x:c r="B297" s="233"/>
      <x:c r="C297" s="234"/>
      <x:c r="D297" s="233"/>
      <x:c r="E297" s="233"/>
      <x:c r="F297" s="233"/>
      <x:c r="G297" s="233"/>
      <x:c r="H297" s="233"/>
      <x:c r="I297" s="233"/>
      <x:c r="J297" s="233"/>
      <x:c r="K297" s="233" t="str">
        <x:f>TRIM(G297&amp;" "&amp;H297&amp;" "&amp;I297&amp;IF(J297&lt;&gt;""," ("&amp;J297&amp;")",""))</x:f>
      </x:c>
      <x:c r="L297" s="233"/>
      <x:c r="M297" s="234"/>
      <x:c r="N297" s="233"/>
      <x:c r="O297" s="233"/>
      <x:c r="P297" s="233"/>
      <x:c r="Q297" s="233"/>
      <x:c r="R297" s="233"/>
      <x:c r="S297" s="233"/>
      <x:c r="T297" s="233"/>
      <x:c r="U297" s="233"/>
      <x:c r="V297" s="233"/>
      <x:c r="W297" s="235"/>
      <x:c r="X297" s="235"/>
      <x:c r="Y297" s="233"/>
      <x:c r="Z297" s="233"/>
      <x:c r="AA297" s="233"/>
      <x:c r="AB297" s="233"/>
      <x:c r="AC297" s="236"/>
      <x:c r="AD297" s="233"/>
      <x:c r="AE297" s="233"/>
      <x:c r="AF297" s="233"/>
      <x:c r="AG297" s="233"/>
      <x:c r="AH297" s="234"/>
      <x:c r="AI297" s="233"/>
      <x:c r="AJ297" s="233"/>
      <x:c r="AK297" s="233"/>
      <x:c r="AL297" s="236"/>
      <x:c r="AM297" s="233"/>
      <x:c r="AN297" s="233"/>
      <x:c r="AO297" s="234"/>
      <x:c r="AP297" s="234"/>
      <x:c r="AQ297" s="233"/>
      <x:c r="AR297" s="236"/>
      <x:c r="AS297" s="234"/>
      <x:c r="AT297" s="233"/>
      <x:c r="AU297" s="233"/>
      <x:c r="AV297" s="233"/>
      <x:c r="AW297" s="233"/>
      <x:c r="AX297" s="233"/>
      <x:c r="AY297" s="233"/>
      <x:c r="AZ297" s="236"/>
      <x:c r="BA297" s="233"/>
      <x:c r="BB297" s="233"/>
      <x:c r="BC297" s="233"/>
      <x:c r="BD297" s="233"/>
      <x:c r="BE297" s="237" t="str">
        <x:f>IF(AND(A297="",B297="",C297="",E297="",G297="",I297="",M297="",T297="",BB297="",BD297=""),"",IF(B297="skip","SKIP",IF(OR(B297="",A297="",E297="",G297="",I297="",M297="",T297="",COUNTIF($A$6:$A$505,A297)&gt;1,COUNTIF($M$6:$M$505,M297)&gt;1,AND(L297="mobile",N297&lt;&gt;"invalid",OR(LEN(M297)&lt;&gt;10,LEFT(M297,2)&lt;&gt;"09"))),"REVIEW","READY")))</x:f>
      </x:c>
      <x:c r="BF297" s="238" t="str">
        <x:f>IF(BE297="","",IF(BE297="READY","",IF(B297="skip","Skipped by import_action",TRIM(IF(B297="","missing import_action; ","")&amp;IF(A297="","missing migration_customer_key; ","")&amp;IF(AND(A297&lt;&gt;"",COUNTIF($A$6:$A$505,A297)&gt;1),"duplicate migration_customer_key; ","")&amp;IF(E297="","missing branch_id; ","")&amp;IF(G297="","missing first_name; ","")&amp;IF(I297="","missing last_name; ","")&amp;IF(M297="","missing primary_phone; ","")&amp;IF(AND(M297&lt;&gt;"",COUNTIF($M$6:$M$505,M297)&gt;1),"duplicate primary_phone; ","")&amp;IF(AND(L297="mobile",N297&lt;&gt;"invalid",OR(LEN(M297)&lt;&gt;10,LEFT(M297,2)&lt;&gt;"09")),"mobile must be 09XXXXXXXX or status invalid; ","")&amp;IF(T297="","missing neighborhood_id; ","")))))</x:f>
      </x:c>
    </x:row>
    <x:row r="298">
      <x:c r="A298" s="232"/>
      <x:c r="B298" s="233"/>
      <x:c r="C298" s="234"/>
      <x:c r="D298" s="233"/>
      <x:c r="E298" s="233"/>
      <x:c r="F298" s="233"/>
      <x:c r="G298" s="233"/>
      <x:c r="H298" s="233"/>
      <x:c r="I298" s="233"/>
      <x:c r="J298" s="233"/>
      <x:c r="K298" s="233" t="str">
        <x:f>TRIM(G298&amp;" "&amp;H298&amp;" "&amp;I298&amp;IF(J298&lt;&gt;""," ("&amp;J298&amp;")",""))</x:f>
      </x:c>
      <x:c r="L298" s="233"/>
      <x:c r="M298" s="234"/>
      <x:c r="N298" s="233"/>
      <x:c r="O298" s="233"/>
      <x:c r="P298" s="233"/>
      <x:c r="Q298" s="233"/>
      <x:c r="R298" s="233"/>
      <x:c r="S298" s="233"/>
      <x:c r="T298" s="233"/>
      <x:c r="U298" s="233"/>
      <x:c r="V298" s="233"/>
      <x:c r="W298" s="235"/>
      <x:c r="X298" s="235"/>
      <x:c r="Y298" s="233"/>
      <x:c r="Z298" s="233"/>
      <x:c r="AA298" s="233"/>
      <x:c r="AB298" s="233"/>
      <x:c r="AC298" s="236"/>
      <x:c r="AD298" s="233"/>
      <x:c r="AE298" s="233"/>
      <x:c r="AF298" s="233"/>
      <x:c r="AG298" s="233"/>
      <x:c r="AH298" s="234"/>
      <x:c r="AI298" s="233"/>
      <x:c r="AJ298" s="233"/>
      <x:c r="AK298" s="233"/>
      <x:c r="AL298" s="236"/>
      <x:c r="AM298" s="233"/>
      <x:c r="AN298" s="233"/>
      <x:c r="AO298" s="234"/>
      <x:c r="AP298" s="234"/>
      <x:c r="AQ298" s="233"/>
      <x:c r="AR298" s="236"/>
      <x:c r="AS298" s="234"/>
      <x:c r="AT298" s="233"/>
      <x:c r="AU298" s="233"/>
      <x:c r="AV298" s="233"/>
      <x:c r="AW298" s="233"/>
      <x:c r="AX298" s="233"/>
      <x:c r="AY298" s="233"/>
      <x:c r="AZ298" s="236"/>
      <x:c r="BA298" s="233"/>
      <x:c r="BB298" s="233"/>
      <x:c r="BC298" s="233"/>
      <x:c r="BD298" s="233"/>
      <x:c r="BE298" s="237" t="str">
        <x:f>IF(AND(A298="",B298="",C298="",E298="",G298="",I298="",M298="",T298="",BB298="",BD298=""),"",IF(B298="skip","SKIP",IF(OR(B298="",A298="",E298="",G298="",I298="",M298="",T298="",COUNTIF($A$6:$A$505,A298)&gt;1,COUNTIF($M$6:$M$505,M298)&gt;1,AND(L298="mobile",N298&lt;&gt;"invalid",OR(LEN(M298)&lt;&gt;10,LEFT(M298,2)&lt;&gt;"09"))),"REVIEW","READY")))</x:f>
      </x:c>
      <x:c r="BF298" s="238" t="str">
        <x:f>IF(BE298="","",IF(BE298="READY","",IF(B298="skip","Skipped by import_action",TRIM(IF(B298="","missing import_action; ","")&amp;IF(A298="","missing migration_customer_key; ","")&amp;IF(AND(A298&lt;&gt;"",COUNTIF($A$6:$A$505,A298)&gt;1),"duplicate migration_customer_key; ","")&amp;IF(E298="","missing branch_id; ","")&amp;IF(G298="","missing first_name; ","")&amp;IF(I298="","missing last_name; ","")&amp;IF(M298="","missing primary_phone; ","")&amp;IF(AND(M298&lt;&gt;"",COUNTIF($M$6:$M$505,M298)&gt;1),"duplicate primary_phone; ","")&amp;IF(AND(L298="mobile",N298&lt;&gt;"invalid",OR(LEN(M298)&lt;&gt;10,LEFT(M298,2)&lt;&gt;"09")),"mobile must be 09XXXXXXXX or status invalid; ","")&amp;IF(T298="","missing neighborhood_id; ","")))))</x:f>
      </x:c>
    </x:row>
    <x:row r="299">
      <x:c r="A299" s="232"/>
      <x:c r="B299" s="233"/>
      <x:c r="C299" s="234"/>
      <x:c r="D299" s="233"/>
      <x:c r="E299" s="233"/>
      <x:c r="F299" s="233"/>
      <x:c r="G299" s="233"/>
      <x:c r="H299" s="233"/>
      <x:c r="I299" s="233"/>
      <x:c r="J299" s="233"/>
      <x:c r="K299" s="233" t="str">
        <x:f>TRIM(G299&amp;" "&amp;H299&amp;" "&amp;I299&amp;IF(J299&lt;&gt;""," ("&amp;J299&amp;")",""))</x:f>
      </x:c>
      <x:c r="L299" s="233"/>
      <x:c r="M299" s="234"/>
      <x:c r="N299" s="233"/>
      <x:c r="O299" s="233"/>
      <x:c r="P299" s="233"/>
      <x:c r="Q299" s="233"/>
      <x:c r="R299" s="233"/>
      <x:c r="S299" s="233"/>
      <x:c r="T299" s="233"/>
      <x:c r="U299" s="233"/>
      <x:c r="V299" s="233"/>
      <x:c r="W299" s="235"/>
      <x:c r="X299" s="235"/>
      <x:c r="Y299" s="233"/>
      <x:c r="Z299" s="233"/>
      <x:c r="AA299" s="233"/>
      <x:c r="AB299" s="233"/>
      <x:c r="AC299" s="236"/>
      <x:c r="AD299" s="233"/>
      <x:c r="AE299" s="233"/>
      <x:c r="AF299" s="233"/>
      <x:c r="AG299" s="233"/>
      <x:c r="AH299" s="234"/>
      <x:c r="AI299" s="233"/>
      <x:c r="AJ299" s="233"/>
      <x:c r="AK299" s="233"/>
      <x:c r="AL299" s="236"/>
      <x:c r="AM299" s="233"/>
      <x:c r="AN299" s="233"/>
      <x:c r="AO299" s="234"/>
      <x:c r="AP299" s="234"/>
      <x:c r="AQ299" s="233"/>
      <x:c r="AR299" s="236"/>
      <x:c r="AS299" s="234"/>
      <x:c r="AT299" s="233"/>
      <x:c r="AU299" s="233"/>
      <x:c r="AV299" s="233"/>
      <x:c r="AW299" s="233"/>
      <x:c r="AX299" s="233"/>
      <x:c r="AY299" s="233"/>
      <x:c r="AZ299" s="236"/>
      <x:c r="BA299" s="233"/>
      <x:c r="BB299" s="233"/>
      <x:c r="BC299" s="233"/>
      <x:c r="BD299" s="233"/>
      <x:c r="BE299" s="237" t="str">
        <x:f>IF(AND(A299="",B299="",C299="",E299="",G299="",I299="",M299="",T299="",BB299="",BD299=""),"",IF(B299="skip","SKIP",IF(OR(B299="",A299="",E299="",G299="",I299="",M299="",T299="",COUNTIF($A$6:$A$505,A299)&gt;1,COUNTIF($M$6:$M$505,M299)&gt;1,AND(L299="mobile",N299&lt;&gt;"invalid",OR(LEN(M299)&lt;&gt;10,LEFT(M299,2)&lt;&gt;"09"))),"REVIEW","READY")))</x:f>
      </x:c>
      <x:c r="BF299" s="238" t="str">
        <x:f>IF(BE299="","",IF(BE299="READY","",IF(B299="skip","Skipped by import_action",TRIM(IF(B299="","missing import_action; ","")&amp;IF(A299="","missing migration_customer_key; ","")&amp;IF(AND(A299&lt;&gt;"",COUNTIF($A$6:$A$505,A299)&gt;1),"duplicate migration_customer_key; ","")&amp;IF(E299="","missing branch_id; ","")&amp;IF(G299="","missing first_name; ","")&amp;IF(I299="","missing last_name; ","")&amp;IF(M299="","missing primary_phone; ","")&amp;IF(AND(M299&lt;&gt;"",COUNTIF($M$6:$M$505,M299)&gt;1),"duplicate primary_phone; ","")&amp;IF(AND(L299="mobile",N299&lt;&gt;"invalid",OR(LEN(M299)&lt;&gt;10,LEFT(M299,2)&lt;&gt;"09")),"mobile must be 09XXXXXXXX or status invalid; ","")&amp;IF(T299="","missing neighborhood_id; ","")))))</x:f>
      </x:c>
    </x:row>
    <x:row r="300">
      <x:c r="A300" s="232"/>
      <x:c r="B300" s="233"/>
      <x:c r="C300" s="234"/>
      <x:c r="D300" s="233"/>
      <x:c r="E300" s="233"/>
      <x:c r="F300" s="233"/>
      <x:c r="G300" s="233"/>
      <x:c r="H300" s="233"/>
      <x:c r="I300" s="233"/>
      <x:c r="J300" s="233"/>
      <x:c r="K300" s="233" t="str">
        <x:f>TRIM(G300&amp;" "&amp;H300&amp;" "&amp;I300&amp;IF(J300&lt;&gt;""," ("&amp;J300&amp;")",""))</x:f>
      </x:c>
      <x:c r="L300" s="233"/>
      <x:c r="M300" s="234"/>
      <x:c r="N300" s="233"/>
      <x:c r="O300" s="233"/>
      <x:c r="P300" s="233"/>
      <x:c r="Q300" s="233"/>
      <x:c r="R300" s="233"/>
      <x:c r="S300" s="233"/>
      <x:c r="T300" s="233"/>
      <x:c r="U300" s="233"/>
      <x:c r="V300" s="233"/>
      <x:c r="W300" s="235"/>
      <x:c r="X300" s="235"/>
      <x:c r="Y300" s="233"/>
      <x:c r="Z300" s="233"/>
      <x:c r="AA300" s="233"/>
      <x:c r="AB300" s="233"/>
      <x:c r="AC300" s="236"/>
      <x:c r="AD300" s="233"/>
      <x:c r="AE300" s="233"/>
      <x:c r="AF300" s="233"/>
      <x:c r="AG300" s="233"/>
      <x:c r="AH300" s="234"/>
      <x:c r="AI300" s="233"/>
      <x:c r="AJ300" s="233"/>
      <x:c r="AK300" s="233"/>
      <x:c r="AL300" s="236"/>
      <x:c r="AM300" s="233"/>
      <x:c r="AN300" s="233"/>
      <x:c r="AO300" s="234"/>
      <x:c r="AP300" s="234"/>
      <x:c r="AQ300" s="233"/>
      <x:c r="AR300" s="236"/>
      <x:c r="AS300" s="234"/>
      <x:c r="AT300" s="233"/>
      <x:c r="AU300" s="233"/>
      <x:c r="AV300" s="233"/>
      <x:c r="AW300" s="233"/>
      <x:c r="AX300" s="233"/>
      <x:c r="AY300" s="233"/>
      <x:c r="AZ300" s="236"/>
      <x:c r="BA300" s="233"/>
      <x:c r="BB300" s="233"/>
      <x:c r="BC300" s="233"/>
      <x:c r="BD300" s="233"/>
      <x:c r="BE300" s="237" t="str">
        <x:f>IF(AND(A300="",B300="",C300="",E300="",G300="",I300="",M300="",T300="",BB300="",BD300=""),"",IF(B300="skip","SKIP",IF(OR(B300="",A300="",E300="",G300="",I300="",M300="",T300="",COUNTIF($A$6:$A$505,A300)&gt;1,COUNTIF($M$6:$M$505,M300)&gt;1,AND(L300="mobile",N300&lt;&gt;"invalid",OR(LEN(M300)&lt;&gt;10,LEFT(M300,2)&lt;&gt;"09"))),"REVIEW","READY")))</x:f>
      </x:c>
      <x:c r="BF300" s="238" t="str">
        <x:f>IF(BE300="","",IF(BE300="READY","",IF(B300="skip","Skipped by import_action",TRIM(IF(B300="","missing import_action; ","")&amp;IF(A300="","missing migration_customer_key; ","")&amp;IF(AND(A300&lt;&gt;"",COUNTIF($A$6:$A$505,A300)&gt;1),"duplicate migration_customer_key; ","")&amp;IF(E300="","missing branch_id; ","")&amp;IF(G300="","missing first_name; ","")&amp;IF(I300="","missing last_name; ","")&amp;IF(M300="","missing primary_phone; ","")&amp;IF(AND(M300&lt;&gt;"",COUNTIF($M$6:$M$505,M300)&gt;1),"duplicate primary_phone; ","")&amp;IF(AND(L300="mobile",N300&lt;&gt;"invalid",OR(LEN(M300)&lt;&gt;10,LEFT(M300,2)&lt;&gt;"09")),"mobile must be 09XXXXXXXX or status invalid; ","")&amp;IF(T300="","missing neighborhood_id; ","")))))</x:f>
      </x:c>
    </x:row>
    <x:row r="301">
      <x:c r="A301" s="232"/>
      <x:c r="B301" s="233"/>
      <x:c r="C301" s="234"/>
      <x:c r="D301" s="233"/>
      <x:c r="E301" s="233"/>
      <x:c r="F301" s="233"/>
      <x:c r="G301" s="233"/>
      <x:c r="H301" s="233"/>
      <x:c r="I301" s="233"/>
      <x:c r="J301" s="233"/>
      <x:c r="K301" s="233" t="str">
        <x:f>TRIM(G301&amp;" "&amp;H301&amp;" "&amp;I301&amp;IF(J301&lt;&gt;""," ("&amp;J301&amp;")",""))</x:f>
      </x:c>
      <x:c r="L301" s="233"/>
      <x:c r="M301" s="234"/>
      <x:c r="N301" s="233"/>
      <x:c r="O301" s="233"/>
      <x:c r="P301" s="233"/>
      <x:c r="Q301" s="233"/>
      <x:c r="R301" s="233"/>
      <x:c r="S301" s="233"/>
      <x:c r="T301" s="233"/>
      <x:c r="U301" s="233"/>
      <x:c r="V301" s="233"/>
      <x:c r="W301" s="235"/>
      <x:c r="X301" s="235"/>
      <x:c r="Y301" s="233"/>
      <x:c r="Z301" s="233"/>
      <x:c r="AA301" s="233"/>
      <x:c r="AB301" s="233"/>
      <x:c r="AC301" s="236"/>
      <x:c r="AD301" s="233"/>
      <x:c r="AE301" s="233"/>
      <x:c r="AF301" s="233"/>
      <x:c r="AG301" s="233"/>
      <x:c r="AH301" s="234"/>
      <x:c r="AI301" s="233"/>
      <x:c r="AJ301" s="233"/>
      <x:c r="AK301" s="233"/>
      <x:c r="AL301" s="236"/>
      <x:c r="AM301" s="233"/>
      <x:c r="AN301" s="233"/>
      <x:c r="AO301" s="234"/>
      <x:c r="AP301" s="234"/>
      <x:c r="AQ301" s="233"/>
      <x:c r="AR301" s="236"/>
      <x:c r="AS301" s="234"/>
      <x:c r="AT301" s="233"/>
      <x:c r="AU301" s="233"/>
      <x:c r="AV301" s="233"/>
      <x:c r="AW301" s="233"/>
      <x:c r="AX301" s="233"/>
      <x:c r="AY301" s="233"/>
      <x:c r="AZ301" s="236"/>
      <x:c r="BA301" s="233"/>
      <x:c r="BB301" s="233"/>
      <x:c r="BC301" s="233"/>
      <x:c r="BD301" s="233"/>
      <x:c r="BE301" s="237" t="str">
        <x:f>IF(AND(A301="",B301="",C301="",E301="",G301="",I301="",M301="",T301="",BB301="",BD301=""),"",IF(B301="skip","SKIP",IF(OR(B301="",A301="",E301="",G301="",I301="",M301="",T301="",COUNTIF($A$6:$A$505,A301)&gt;1,COUNTIF($M$6:$M$505,M301)&gt;1,AND(L301="mobile",N301&lt;&gt;"invalid",OR(LEN(M301)&lt;&gt;10,LEFT(M301,2)&lt;&gt;"09"))),"REVIEW","READY")))</x:f>
      </x:c>
      <x:c r="BF301" s="238" t="str">
        <x:f>IF(BE301="","",IF(BE301="READY","",IF(B301="skip","Skipped by import_action",TRIM(IF(B301="","missing import_action; ","")&amp;IF(A301="","missing migration_customer_key; ","")&amp;IF(AND(A301&lt;&gt;"",COUNTIF($A$6:$A$505,A301)&gt;1),"duplicate migration_customer_key; ","")&amp;IF(E301="","missing branch_id; ","")&amp;IF(G301="","missing first_name; ","")&amp;IF(I301="","missing last_name; ","")&amp;IF(M301="","missing primary_phone; ","")&amp;IF(AND(M301&lt;&gt;"",COUNTIF($M$6:$M$505,M301)&gt;1),"duplicate primary_phone; ","")&amp;IF(AND(L301="mobile",N301&lt;&gt;"invalid",OR(LEN(M301)&lt;&gt;10,LEFT(M301,2)&lt;&gt;"09")),"mobile must be 09XXXXXXXX or status invalid; ","")&amp;IF(T301="","missing neighborhood_id; ","")))))</x:f>
      </x:c>
    </x:row>
    <x:row r="302">
      <x:c r="A302" s="232"/>
      <x:c r="B302" s="233"/>
      <x:c r="C302" s="234"/>
      <x:c r="D302" s="233"/>
      <x:c r="E302" s="233"/>
      <x:c r="F302" s="233"/>
      <x:c r="G302" s="233"/>
      <x:c r="H302" s="233"/>
      <x:c r="I302" s="233"/>
      <x:c r="J302" s="233"/>
      <x:c r="K302" s="233" t="str">
        <x:f>TRIM(G302&amp;" "&amp;H302&amp;" "&amp;I302&amp;IF(J302&lt;&gt;""," ("&amp;J302&amp;")",""))</x:f>
      </x:c>
      <x:c r="L302" s="233"/>
      <x:c r="M302" s="234"/>
      <x:c r="N302" s="233"/>
      <x:c r="O302" s="233"/>
      <x:c r="P302" s="233"/>
      <x:c r="Q302" s="233"/>
      <x:c r="R302" s="233"/>
      <x:c r="S302" s="233"/>
      <x:c r="T302" s="233"/>
      <x:c r="U302" s="233"/>
      <x:c r="V302" s="233"/>
      <x:c r="W302" s="235"/>
      <x:c r="X302" s="235"/>
      <x:c r="Y302" s="233"/>
      <x:c r="Z302" s="233"/>
      <x:c r="AA302" s="233"/>
      <x:c r="AB302" s="233"/>
      <x:c r="AC302" s="236"/>
      <x:c r="AD302" s="233"/>
      <x:c r="AE302" s="233"/>
      <x:c r="AF302" s="233"/>
      <x:c r="AG302" s="233"/>
      <x:c r="AH302" s="234"/>
      <x:c r="AI302" s="233"/>
      <x:c r="AJ302" s="233"/>
      <x:c r="AK302" s="233"/>
      <x:c r="AL302" s="236"/>
      <x:c r="AM302" s="233"/>
      <x:c r="AN302" s="233"/>
      <x:c r="AO302" s="234"/>
      <x:c r="AP302" s="234"/>
      <x:c r="AQ302" s="233"/>
      <x:c r="AR302" s="236"/>
      <x:c r="AS302" s="234"/>
      <x:c r="AT302" s="233"/>
      <x:c r="AU302" s="233"/>
      <x:c r="AV302" s="233"/>
      <x:c r="AW302" s="233"/>
      <x:c r="AX302" s="233"/>
      <x:c r="AY302" s="233"/>
      <x:c r="AZ302" s="236"/>
      <x:c r="BA302" s="233"/>
      <x:c r="BB302" s="233"/>
      <x:c r="BC302" s="233"/>
      <x:c r="BD302" s="233"/>
      <x:c r="BE302" s="237" t="str">
        <x:f>IF(AND(A302="",B302="",C302="",E302="",G302="",I302="",M302="",T302="",BB302="",BD302=""),"",IF(B302="skip","SKIP",IF(OR(B302="",A302="",E302="",G302="",I302="",M302="",T302="",COUNTIF($A$6:$A$505,A302)&gt;1,COUNTIF($M$6:$M$505,M302)&gt;1,AND(L302="mobile",N302&lt;&gt;"invalid",OR(LEN(M302)&lt;&gt;10,LEFT(M302,2)&lt;&gt;"09"))),"REVIEW","READY")))</x:f>
      </x:c>
      <x:c r="BF302" s="238" t="str">
        <x:f>IF(BE302="","",IF(BE302="READY","",IF(B302="skip","Skipped by import_action",TRIM(IF(B302="","missing import_action; ","")&amp;IF(A302="","missing migration_customer_key; ","")&amp;IF(AND(A302&lt;&gt;"",COUNTIF($A$6:$A$505,A302)&gt;1),"duplicate migration_customer_key; ","")&amp;IF(E302="","missing branch_id; ","")&amp;IF(G302="","missing first_name; ","")&amp;IF(I302="","missing last_name; ","")&amp;IF(M302="","missing primary_phone; ","")&amp;IF(AND(M302&lt;&gt;"",COUNTIF($M$6:$M$505,M302)&gt;1),"duplicate primary_phone; ","")&amp;IF(AND(L302="mobile",N302&lt;&gt;"invalid",OR(LEN(M302)&lt;&gt;10,LEFT(M302,2)&lt;&gt;"09")),"mobile must be 09XXXXXXXX or status invalid; ","")&amp;IF(T302="","missing neighborhood_id; ","")))))</x:f>
      </x:c>
    </x:row>
    <x:row r="303">
      <x:c r="A303" s="232"/>
      <x:c r="B303" s="233"/>
      <x:c r="C303" s="234"/>
      <x:c r="D303" s="233"/>
      <x:c r="E303" s="233"/>
      <x:c r="F303" s="233"/>
      <x:c r="G303" s="233"/>
      <x:c r="H303" s="233"/>
      <x:c r="I303" s="233"/>
      <x:c r="J303" s="233"/>
      <x:c r="K303" s="233" t="str">
        <x:f>TRIM(G303&amp;" "&amp;H303&amp;" "&amp;I303&amp;IF(J303&lt;&gt;""," ("&amp;J303&amp;")",""))</x:f>
      </x:c>
      <x:c r="L303" s="233"/>
      <x:c r="M303" s="234"/>
      <x:c r="N303" s="233"/>
      <x:c r="O303" s="233"/>
      <x:c r="P303" s="233"/>
      <x:c r="Q303" s="233"/>
      <x:c r="R303" s="233"/>
      <x:c r="S303" s="233"/>
      <x:c r="T303" s="233"/>
      <x:c r="U303" s="233"/>
      <x:c r="V303" s="233"/>
      <x:c r="W303" s="235"/>
      <x:c r="X303" s="235"/>
      <x:c r="Y303" s="233"/>
      <x:c r="Z303" s="233"/>
      <x:c r="AA303" s="233"/>
      <x:c r="AB303" s="233"/>
      <x:c r="AC303" s="236"/>
      <x:c r="AD303" s="233"/>
      <x:c r="AE303" s="233"/>
      <x:c r="AF303" s="233"/>
      <x:c r="AG303" s="233"/>
      <x:c r="AH303" s="234"/>
      <x:c r="AI303" s="233"/>
      <x:c r="AJ303" s="233"/>
      <x:c r="AK303" s="233"/>
      <x:c r="AL303" s="236"/>
      <x:c r="AM303" s="233"/>
      <x:c r="AN303" s="233"/>
      <x:c r="AO303" s="234"/>
      <x:c r="AP303" s="234"/>
      <x:c r="AQ303" s="233"/>
      <x:c r="AR303" s="236"/>
      <x:c r="AS303" s="234"/>
      <x:c r="AT303" s="233"/>
      <x:c r="AU303" s="233"/>
      <x:c r="AV303" s="233"/>
      <x:c r="AW303" s="233"/>
      <x:c r="AX303" s="233"/>
      <x:c r="AY303" s="233"/>
      <x:c r="AZ303" s="236"/>
      <x:c r="BA303" s="233"/>
      <x:c r="BB303" s="233"/>
      <x:c r="BC303" s="233"/>
      <x:c r="BD303" s="233"/>
      <x:c r="BE303" s="237" t="str">
        <x:f>IF(AND(A303="",B303="",C303="",E303="",G303="",I303="",M303="",T303="",BB303="",BD303=""),"",IF(B303="skip","SKIP",IF(OR(B303="",A303="",E303="",G303="",I303="",M303="",T303="",COUNTIF($A$6:$A$505,A303)&gt;1,COUNTIF($M$6:$M$505,M303)&gt;1,AND(L303="mobile",N303&lt;&gt;"invalid",OR(LEN(M303)&lt;&gt;10,LEFT(M303,2)&lt;&gt;"09"))),"REVIEW","READY")))</x:f>
      </x:c>
      <x:c r="BF303" s="238" t="str">
        <x:f>IF(BE303="","",IF(BE303="READY","",IF(B303="skip","Skipped by import_action",TRIM(IF(B303="","missing import_action; ","")&amp;IF(A303="","missing migration_customer_key; ","")&amp;IF(AND(A303&lt;&gt;"",COUNTIF($A$6:$A$505,A303)&gt;1),"duplicate migration_customer_key; ","")&amp;IF(E303="","missing branch_id; ","")&amp;IF(G303="","missing first_name; ","")&amp;IF(I303="","missing last_name; ","")&amp;IF(M303="","missing primary_phone; ","")&amp;IF(AND(M303&lt;&gt;"",COUNTIF($M$6:$M$505,M303)&gt;1),"duplicate primary_phone; ","")&amp;IF(AND(L303="mobile",N303&lt;&gt;"invalid",OR(LEN(M303)&lt;&gt;10,LEFT(M303,2)&lt;&gt;"09")),"mobile must be 09XXXXXXXX or status invalid; ","")&amp;IF(T303="","missing neighborhood_id; ","")))))</x:f>
      </x:c>
    </x:row>
    <x:row r="304">
      <x:c r="A304" s="232"/>
      <x:c r="B304" s="233"/>
      <x:c r="C304" s="234"/>
      <x:c r="D304" s="233"/>
      <x:c r="E304" s="233"/>
      <x:c r="F304" s="233"/>
      <x:c r="G304" s="233"/>
      <x:c r="H304" s="233"/>
      <x:c r="I304" s="233"/>
      <x:c r="J304" s="233"/>
      <x:c r="K304" s="233" t="str">
        <x:f>TRIM(G304&amp;" "&amp;H304&amp;" "&amp;I304&amp;IF(J304&lt;&gt;""," ("&amp;J304&amp;")",""))</x:f>
      </x:c>
      <x:c r="L304" s="233"/>
      <x:c r="M304" s="234"/>
      <x:c r="N304" s="233"/>
      <x:c r="O304" s="233"/>
      <x:c r="P304" s="233"/>
      <x:c r="Q304" s="233"/>
      <x:c r="R304" s="233"/>
      <x:c r="S304" s="233"/>
      <x:c r="T304" s="233"/>
      <x:c r="U304" s="233"/>
      <x:c r="V304" s="233"/>
      <x:c r="W304" s="235"/>
      <x:c r="X304" s="235"/>
      <x:c r="Y304" s="233"/>
      <x:c r="Z304" s="233"/>
      <x:c r="AA304" s="233"/>
      <x:c r="AB304" s="233"/>
      <x:c r="AC304" s="236"/>
      <x:c r="AD304" s="233"/>
      <x:c r="AE304" s="233"/>
      <x:c r="AF304" s="233"/>
      <x:c r="AG304" s="233"/>
      <x:c r="AH304" s="234"/>
      <x:c r="AI304" s="233"/>
      <x:c r="AJ304" s="233"/>
      <x:c r="AK304" s="233"/>
      <x:c r="AL304" s="236"/>
      <x:c r="AM304" s="233"/>
      <x:c r="AN304" s="233"/>
      <x:c r="AO304" s="234"/>
      <x:c r="AP304" s="234"/>
      <x:c r="AQ304" s="233"/>
      <x:c r="AR304" s="236"/>
      <x:c r="AS304" s="234"/>
      <x:c r="AT304" s="233"/>
      <x:c r="AU304" s="233"/>
      <x:c r="AV304" s="233"/>
      <x:c r="AW304" s="233"/>
      <x:c r="AX304" s="233"/>
      <x:c r="AY304" s="233"/>
      <x:c r="AZ304" s="236"/>
      <x:c r="BA304" s="233"/>
      <x:c r="BB304" s="233"/>
      <x:c r="BC304" s="233"/>
      <x:c r="BD304" s="233"/>
      <x:c r="BE304" s="237" t="str">
        <x:f>IF(AND(A304="",B304="",C304="",E304="",G304="",I304="",M304="",T304="",BB304="",BD304=""),"",IF(B304="skip","SKIP",IF(OR(B304="",A304="",E304="",G304="",I304="",M304="",T304="",COUNTIF($A$6:$A$505,A304)&gt;1,COUNTIF($M$6:$M$505,M304)&gt;1,AND(L304="mobile",N304&lt;&gt;"invalid",OR(LEN(M304)&lt;&gt;10,LEFT(M304,2)&lt;&gt;"09"))),"REVIEW","READY")))</x:f>
      </x:c>
      <x:c r="BF304" s="238" t="str">
        <x:f>IF(BE304="","",IF(BE304="READY","",IF(B304="skip","Skipped by import_action",TRIM(IF(B304="","missing import_action; ","")&amp;IF(A304="","missing migration_customer_key; ","")&amp;IF(AND(A304&lt;&gt;"",COUNTIF($A$6:$A$505,A304)&gt;1),"duplicate migration_customer_key; ","")&amp;IF(E304="","missing branch_id; ","")&amp;IF(G304="","missing first_name; ","")&amp;IF(I304="","missing last_name; ","")&amp;IF(M304="","missing primary_phone; ","")&amp;IF(AND(M304&lt;&gt;"",COUNTIF($M$6:$M$505,M304)&gt;1),"duplicate primary_phone; ","")&amp;IF(AND(L304="mobile",N304&lt;&gt;"invalid",OR(LEN(M304)&lt;&gt;10,LEFT(M304,2)&lt;&gt;"09")),"mobile must be 09XXXXXXXX or status invalid; ","")&amp;IF(T304="","missing neighborhood_id; ","")))))</x:f>
      </x:c>
    </x:row>
    <x:row r="305">
      <x:c r="A305" s="232"/>
      <x:c r="B305" s="233"/>
      <x:c r="C305" s="234"/>
      <x:c r="D305" s="233"/>
      <x:c r="E305" s="233"/>
      <x:c r="F305" s="233"/>
      <x:c r="G305" s="233"/>
      <x:c r="H305" s="233"/>
      <x:c r="I305" s="233"/>
      <x:c r="J305" s="233"/>
      <x:c r="K305" s="233" t="str">
        <x:f>TRIM(G305&amp;" "&amp;H305&amp;" "&amp;I305&amp;IF(J305&lt;&gt;""," ("&amp;J305&amp;")",""))</x:f>
      </x:c>
      <x:c r="L305" s="233"/>
      <x:c r="M305" s="234"/>
      <x:c r="N305" s="233"/>
      <x:c r="O305" s="233"/>
      <x:c r="P305" s="233"/>
      <x:c r="Q305" s="233"/>
      <x:c r="R305" s="233"/>
      <x:c r="S305" s="233"/>
      <x:c r="T305" s="233"/>
      <x:c r="U305" s="233"/>
      <x:c r="V305" s="233"/>
      <x:c r="W305" s="235"/>
      <x:c r="X305" s="235"/>
      <x:c r="Y305" s="233"/>
      <x:c r="Z305" s="233"/>
      <x:c r="AA305" s="233"/>
      <x:c r="AB305" s="233"/>
      <x:c r="AC305" s="236"/>
      <x:c r="AD305" s="233"/>
      <x:c r="AE305" s="233"/>
      <x:c r="AF305" s="233"/>
      <x:c r="AG305" s="233"/>
      <x:c r="AH305" s="234"/>
      <x:c r="AI305" s="233"/>
      <x:c r="AJ305" s="233"/>
      <x:c r="AK305" s="233"/>
      <x:c r="AL305" s="236"/>
      <x:c r="AM305" s="233"/>
      <x:c r="AN305" s="233"/>
      <x:c r="AO305" s="234"/>
      <x:c r="AP305" s="234"/>
      <x:c r="AQ305" s="233"/>
      <x:c r="AR305" s="236"/>
      <x:c r="AS305" s="234"/>
      <x:c r="AT305" s="233"/>
      <x:c r="AU305" s="233"/>
      <x:c r="AV305" s="233"/>
      <x:c r="AW305" s="233"/>
      <x:c r="AX305" s="233"/>
      <x:c r="AY305" s="233"/>
      <x:c r="AZ305" s="236"/>
      <x:c r="BA305" s="233"/>
      <x:c r="BB305" s="233"/>
      <x:c r="BC305" s="233"/>
      <x:c r="BD305" s="233"/>
      <x:c r="BE305" s="237" t="str">
        <x:f>IF(AND(A305="",B305="",C305="",E305="",G305="",I305="",M305="",T305="",BB305="",BD305=""),"",IF(B305="skip","SKIP",IF(OR(B305="",A305="",E305="",G305="",I305="",M305="",T305="",COUNTIF($A$6:$A$505,A305)&gt;1,COUNTIF($M$6:$M$505,M305)&gt;1,AND(L305="mobile",N305&lt;&gt;"invalid",OR(LEN(M305)&lt;&gt;10,LEFT(M305,2)&lt;&gt;"09"))),"REVIEW","READY")))</x:f>
      </x:c>
      <x:c r="BF305" s="238" t="str">
        <x:f>IF(BE305="","",IF(BE305="READY","",IF(B305="skip","Skipped by import_action",TRIM(IF(B305="","missing import_action; ","")&amp;IF(A305="","missing migration_customer_key; ","")&amp;IF(AND(A305&lt;&gt;"",COUNTIF($A$6:$A$505,A305)&gt;1),"duplicate migration_customer_key; ","")&amp;IF(E305="","missing branch_id; ","")&amp;IF(G305="","missing first_name; ","")&amp;IF(I305="","missing last_name; ","")&amp;IF(M305="","missing primary_phone; ","")&amp;IF(AND(M305&lt;&gt;"",COUNTIF($M$6:$M$505,M305)&gt;1),"duplicate primary_phone; ","")&amp;IF(AND(L305="mobile",N305&lt;&gt;"invalid",OR(LEN(M305)&lt;&gt;10,LEFT(M305,2)&lt;&gt;"09")),"mobile must be 09XXXXXXXX or status invalid; ","")&amp;IF(T305="","missing neighborhood_id; ","")))))</x:f>
      </x:c>
    </x:row>
    <x:row r="306">
      <x:c r="A306" s="232"/>
      <x:c r="B306" s="233"/>
      <x:c r="C306" s="234"/>
      <x:c r="D306" s="233"/>
      <x:c r="E306" s="233"/>
      <x:c r="F306" s="233"/>
      <x:c r="G306" s="233"/>
      <x:c r="H306" s="233"/>
      <x:c r="I306" s="233"/>
      <x:c r="J306" s="233"/>
      <x:c r="K306" s="233" t="str">
        <x:f>TRIM(G306&amp;" "&amp;H306&amp;" "&amp;I306&amp;IF(J306&lt;&gt;""," ("&amp;J306&amp;")",""))</x:f>
      </x:c>
      <x:c r="L306" s="233"/>
      <x:c r="M306" s="234"/>
      <x:c r="N306" s="233"/>
      <x:c r="O306" s="233"/>
      <x:c r="P306" s="233"/>
      <x:c r="Q306" s="233"/>
      <x:c r="R306" s="233"/>
      <x:c r="S306" s="233"/>
      <x:c r="T306" s="233"/>
      <x:c r="U306" s="233"/>
      <x:c r="V306" s="233"/>
      <x:c r="W306" s="235"/>
      <x:c r="X306" s="235"/>
      <x:c r="Y306" s="233"/>
      <x:c r="Z306" s="233"/>
      <x:c r="AA306" s="233"/>
      <x:c r="AB306" s="233"/>
      <x:c r="AC306" s="236"/>
      <x:c r="AD306" s="233"/>
      <x:c r="AE306" s="233"/>
      <x:c r="AF306" s="233"/>
      <x:c r="AG306" s="233"/>
      <x:c r="AH306" s="234"/>
      <x:c r="AI306" s="233"/>
      <x:c r="AJ306" s="233"/>
      <x:c r="AK306" s="233"/>
      <x:c r="AL306" s="236"/>
      <x:c r="AM306" s="233"/>
      <x:c r="AN306" s="233"/>
      <x:c r="AO306" s="234"/>
      <x:c r="AP306" s="234"/>
      <x:c r="AQ306" s="233"/>
      <x:c r="AR306" s="236"/>
      <x:c r="AS306" s="234"/>
      <x:c r="AT306" s="233"/>
      <x:c r="AU306" s="233"/>
      <x:c r="AV306" s="233"/>
      <x:c r="AW306" s="233"/>
      <x:c r="AX306" s="233"/>
      <x:c r="AY306" s="233"/>
      <x:c r="AZ306" s="236"/>
      <x:c r="BA306" s="233"/>
      <x:c r="BB306" s="233"/>
      <x:c r="BC306" s="233"/>
      <x:c r="BD306" s="233"/>
      <x:c r="BE306" s="237" t="str">
        <x:f>IF(AND(A306="",B306="",C306="",E306="",G306="",I306="",M306="",T306="",BB306="",BD306=""),"",IF(B306="skip","SKIP",IF(OR(B306="",A306="",E306="",G306="",I306="",M306="",T306="",COUNTIF($A$6:$A$505,A306)&gt;1,COUNTIF($M$6:$M$505,M306)&gt;1,AND(L306="mobile",N306&lt;&gt;"invalid",OR(LEN(M306)&lt;&gt;10,LEFT(M306,2)&lt;&gt;"09"))),"REVIEW","READY")))</x:f>
      </x:c>
      <x:c r="BF306" s="238" t="str">
        <x:f>IF(BE306="","",IF(BE306="READY","",IF(B306="skip","Skipped by import_action",TRIM(IF(B306="","missing import_action; ","")&amp;IF(A306="","missing migration_customer_key; ","")&amp;IF(AND(A306&lt;&gt;"",COUNTIF($A$6:$A$505,A306)&gt;1),"duplicate migration_customer_key; ","")&amp;IF(E306="","missing branch_id; ","")&amp;IF(G306="","missing first_name; ","")&amp;IF(I306="","missing last_name; ","")&amp;IF(M306="","missing primary_phone; ","")&amp;IF(AND(M306&lt;&gt;"",COUNTIF($M$6:$M$505,M306)&gt;1),"duplicate primary_phone; ","")&amp;IF(AND(L306="mobile",N306&lt;&gt;"invalid",OR(LEN(M306)&lt;&gt;10,LEFT(M306,2)&lt;&gt;"09")),"mobile must be 09XXXXXXXX or status invalid; ","")&amp;IF(T306="","missing neighborhood_id; ","")))))</x:f>
      </x:c>
    </x:row>
    <x:row r="307">
      <x:c r="A307" s="232"/>
      <x:c r="B307" s="233"/>
      <x:c r="C307" s="234"/>
      <x:c r="D307" s="233"/>
      <x:c r="E307" s="233"/>
      <x:c r="F307" s="233"/>
      <x:c r="G307" s="233"/>
      <x:c r="H307" s="233"/>
      <x:c r="I307" s="233"/>
      <x:c r="J307" s="233"/>
      <x:c r="K307" s="233" t="str">
        <x:f>TRIM(G307&amp;" "&amp;H307&amp;" "&amp;I307&amp;IF(J307&lt;&gt;""," ("&amp;J307&amp;")",""))</x:f>
      </x:c>
      <x:c r="L307" s="233"/>
      <x:c r="M307" s="234"/>
      <x:c r="N307" s="233"/>
      <x:c r="O307" s="233"/>
      <x:c r="P307" s="233"/>
      <x:c r="Q307" s="233"/>
      <x:c r="R307" s="233"/>
      <x:c r="S307" s="233"/>
      <x:c r="T307" s="233"/>
      <x:c r="U307" s="233"/>
      <x:c r="V307" s="233"/>
      <x:c r="W307" s="235"/>
      <x:c r="X307" s="235"/>
      <x:c r="Y307" s="233"/>
      <x:c r="Z307" s="233"/>
      <x:c r="AA307" s="233"/>
      <x:c r="AB307" s="233"/>
      <x:c r="AC307" s="236"/>
      <x:c r="AD307" s="233"/>
      <x:c r="AE307" s="233"/>
      <x:c r="AF307" s="233"/>
      <x:c r="AG307" s="233"/>
      <x:c r="AH307" s="234"/>
      <x:c r="AI307" s="233"/>
      <x:c r="AJ307" s="233"/>
      <x:c r="AK307" s="233"/>
      <x:c r="AL307" s="236"/>
      <x:c r="AM307" s="233"/>
      <x:c r="AN307" s="233"/>
      <x:c r="AO307" s="234"/>
      <x:c r="AP307" s="234"/>
      <x:c r="AQ307" s="233"/>
      <x:c r="AR307" s="236"/>
      <x:c r="AS307" s="234"/>
      <x:c r="AT307" s="233"/>
      <x:c r="AU307" s="233"/>
      <x:c r="AV307" s="233"/>
      <x:c r="AW307" s="233"/>
      <x:c r="AX307" s="233"/>
      <x:c r="AY307" s="233"/>
      <x:c r="AZ307" s="236"/>
      <x:c r="BA307" s="233"/>
      <x:c r="BB307" s="233"/>
      <x:c r="BC307" s="233"/>
      <x:c r="BD307" s="233"/>
      <x:c r="BE307" s="237" t="str">
        <x:f>IF(AND(A307="",B307="",C307="",E307="",G307="",I307="",M307="",T307="",BB307="",BD307=""),"",IF(B307="skip","SKIP",IF(OR(B307="",A307="",E307="",G307="",I307="",M307="",T307="",COUNTIF($A$6:$A$505,A307)&gt;1,COUNTIF($M$6:$M$505,M307)&gt;1,AND(L307="mobile",N307&lt;&gt;"invalid",OR(LEN(M307)&lt;&gt;10,LEFT(M307,2)&lt;&gt;"09"))),"REVIEW","READY")))</x:f>
      </x:c>
      <x:c r="BF307" s="238" t="str">
        <x:f>IF(BE307="","",IF(BE307="READY","",IF(B307="skip","Skipped by import_action",TRIM(IF(B307="","missing import_action; ","")&amp;IF(A307="","missing migration_customer_key; ","")&amp;IF(AND(A307&lt;&gt;"",COUNTIF($A$6:$A$505,A307)&gt;1),"duplicate migration_customer_key; ","")&amp;IF(E307="","missing branch_id; ","")&amp;IF(G307="","missing first_name; ","")&amp;IF(I307="","missing last_name; ","")&amp;IF(M307="","missing primary_phone; ","")&amp;IF(AND(M307&lt;&gt;"",COUNTIF($M$6:$M$505,M307)&gt;1),"duplicate primary_phone; ","")&amp;IF(AND(L307="mobile",N307&lt;&gt;"invalid",OR(LEN(M307)&lt;&gt;10,LEFT(M307,2)&lt;&gt;"09")),"mobile must be 09XXXXXXXX or status invalid; ","")&amp;IF(T307="","missing neighborhood_id; ","")))))</x:f>
      </x:c>
    </x:row>
    <x:row r="308">
      <x:c r="A308" s="232"/>
      <x:c r="B308" s="233"/>
      <x:c r="C308" s="234"/>
      <x:c r="D308" s="233"/>
      <x:c r="E308" s="233"/>
      <x:c r="F308" s="233"/>
      <x:c r="G308" s="233"/>
      <x:c r="H308" s="233"/>
      <x:c r="I308" s="233"/>
      <x:c r="J308" s="233"/>
      <x:c r="K308" s="233" t="str">
        <x:f>TRIM(G308&amp;" "&amp;H308&amp;" "&amp;I308&amp;IF(J308&lt;&gt;""," ("&amp;J308&amp;")",""))</x:f>
      </x:c>
      <x:c r="L308" s="233"/>
      <x:c r="M308" s="234"/>
      <x:c r="N308" s="233"/>
      <x:c r="O308" s="233"/>
      <x:c r="P308" s="233"/>
      <x:c r="Q308" s="233"/>
      <x:c r="R308" s="233"/>
      <x:c r="S308" s="233"/>
      <x:c r="T308" s="233"/>
      <x:c r="U308" s="233"/>
      <x:c r="V308" s="233"/>
      <x:c r="W308" s="235"/>
      <x:c r="X308" s="235"/>
      <x:c r="Y308" s="233"/>
      <x:c r="Z308" s="233"/>
      <x:c r="AA308" s="233"/>
      <x:c r="AB308" s="233"/>
      <x:c r="AC308" s="236"/>
      <x:c r="AD308" s="233"/>
      <x:c r="AE308" s="233"/>
      <x:c r="AF308" s="233"/>
      <x:c r="AG308" s="233"/>
      <x:c r="AH308" s="234"/>
      <x:c r="AI308" s="233"/>
      <x:c r="AJ308" s="233"/>
      <x:c r="AK308" s="233"/>
      <x:c r="AL308" s="236"/>
      <x:c r="AM308" s="233"/>
      <x:c r="AN308" s="233"/>
      <x:c r="AO308" s="234"/>
      <x:c r="AP308" s="234"/>
      <x:c r="AQ308" s="233"/>
      <x:c r="AR308" s="236"/>
      <x:c r="AS308" s="234"/>
      <x:c r="AT308" s="233"/>
      <x:c r="AU308" s="233"/>
      <x:c r="AV308" s="233"/>
      <x:c r="AW308" s="233"/>
      <x:c r="AX308" s="233"/>
      <x:c r="AY308" s="233"/>
      <x:c r="AZ308" s="236"/>
      <x:c r="BA308" s="233"/>
      <x:c r="BB308" s="233"/>
      <x:c r="BC308" s="233"/>
      <x:c r="BD308" s="233"/>
      <x:c r="BE308" s="237" t="str">
        <x:f>IF(AND(A308="",B308="",C308="",E308="",G308="",I308="",M308="",T308="",BB308="",BD308=""),"",IF(B308="skip","SKIP",IF(OR(B308="",A308="",E308="",G308="",I308="",M308="",T308="",COUNTIF($A$6:$A$505,A308)&gt;1,COUNTIF($M$6:$M$505,M308)&gt;1,AND(L308="mobile",N308&lt;&gt;"invalid",OR(LEN(M308)&lt;&gt;10,LEFT(M308,2)&lt;&gt;"09"))),"REVIEW","READY")))</x:f>
      </x:c>
      <x:c r="BF308" s="238" t="str">
        <x:f>IF(BE308="","",IF(BE308="READY","",IF(B308="skip","Skipped by import_action",TRIM(IF(B308="","missing import_action; ","")&amp;IF(A308="","missing migration_customer_key; ","")&amp;IF(AND(A308&lt;&gt;"",COUNTIF($A$6:$A$505,A308)&gt;1),"duplicate migration_customer_key; ","")&amp;IF(E308="","missing branch_id; ","")&amp;IF(G308="","missing first_name; ","")&amp;IF(I308="","missing last_name; ","")&amp;IF(M308="","missing primary_phone; ","")&amp;IF(AND(M308&lt;&gt;"",COUNTIF($M$6:$M$505,M308)&gt;1),"duplicate primary_phone; ","")&amp;IF(AND(L308="mobile",N308&lt;&gt;"invalid",OR(LEN(M308)&lt;&gt;10,LEFT(M308,2)&lt;&gt;"09")),"mobile must be 09XXXXXXXX or status invalid; ","")&amp;IF(T308="","missing neighborhood_id; ","")))))</x:f>
      </x:c>
    </x:row>
    <x:row r="309">
      <x:c r="A309" s="232"/>
      <x:c r="B309" s="233"/>
      <x:c r="C309" s="234"/>
      <x:c r="D309" s="233"/>
      <x:c r="E309" s="233"/>
      <x:c r="F309" s="233"/>
      <x:c r="G309" s="233"/>
      <x:c r="H309" s="233"/>
      <x:c r="I309" s="233"/>
      <x:c r="J309" s="233"/>
      <x:c r="K309" s="233" t="str">
        <x:f>TRIM(G309&amp;" "&amp;H309&amp;" "&amp;I309&amp;IF(J309&lt;&gt;""," ("&amp;J309&amp;")",""))</x:f>
      </x:c>
      <x:c r="L309" s="233"/>
      <x:c r="M309" s="234"/>
      <x:c r="N309" s="233"/>
      <x:c r="O309" s="233"/>
      <x:c r="P309" s="233"/>
      <x:c r="Q309" s="233"/>
      <x:c r="R309" s="233"/>
      <x:c r="S309" s="233"/>
      <x:c r="T309" s="233"/>
      <x:c r="U309" s="233"/>
      <x:c r="V309" s="233"/>
      <x:c r="W309" s="235"/>
      <x:c r="X309" s="235"/>
      <x:c r="Y309" s="233"/>
      <x:c r="Z309" s="233"/>
      <x:c r="AA309" s="233"/>
      <x:c r="AB309" s="233"/>
      <x:c r="AC309" s="236"/>
      <x:c r="AD309" s="233"/>
      <x:c r="AE309" s="233"/>
      <x:c r="AF309" s="233"/>
      <x:c r="AG309" s="233"/>
      <x:c r="AH309" s="234"/>
      <x:c r="AI309" s="233"/>
      <x:c r="AJ309" s="233"/>
      <x:c r="AK309" s="233"/>
      <x:c r="AL309" s="236"/>
      <x:c r="AM309" s="233"/>
      <x:c r="AN309" s="233"/>
      <x:c r="AO309" s="234"/>
      <x:c r="AP309" s="234"/>
      <x:c r="AQ309" s="233"/>
      <x:c r="AR309" s="236"/>
      <x:c r="AS309" s="234"/>
      <x:c r="AT309" s="233"/>
      <x:c r="AU309" s="233"/>
      <x:c r="AV309" s="233"/>
      <x:c r="AW309" s="233"/>
      <x:c r="AX309" s="233"/>
      <x:c r="AY309" s="233"/>
      <x:c r="AZ309" s="236"/>
      <x:c r="BA309" s="233"/>
      <x:c r="BB309" s="233"/>
      <x:c r="BC309" s="233"/>
      <x:c r="BD309" s="233"/>
      <x:c r="BE309" s="237" t="str">
        <x:f>IF(AND(A309="",B309="",C309="",E309="",G309="",I309="",M309="",T309="",BB309="",BD309=""),"",IF(B309="skip","SKIP",IF(OR(B309="",A309="",E309="",G309="",I309="",M309="",T309="",COUNTIF($A$6:$A$505,A309)&gt;1,COUNTIF($M$6:$M$505,M309)&gt;1,AND(L309="mobile",N309&lt;&gt;"invalid",OR(LEN(M309)&lt;&gt;10,LEFT(M309,2)&lt;&gt;"09"))),"REVIEW","READY")))</x:f>
      </x:c>
      <x:c r="BF309" s="238" t="str">
        <x:f>IF(BE309="","",IF(BE309="READY","",IF(B309="skip","Skipped by import_action",TRIM(IF(B309="","missing import_action; ","")&amp;IF(A309="","missing migration_customer_key; ","")&amp;IF(AND(A309&lt;&gt;"",COUNTIF($A$6:$A$505,A309)&gt;1),"duplicate migration_customer_key; ","")&amp;IF(E309="","missing branch_id; ","")&amp;IF(G309="","missing first_name; ","")&amp;IF(I309="","missing last_name; ","")&amp;IF(M309="","missing primary_phone; ","")&amp;IF(AND(M309&lt;&gt;"",COUNTIF($M$6:$M$505,M309)&gt;1),"duplicate primary_phone; ","")&amp;IF(AND(L309="mobile",N309&lt;&gt;"invalid",OR(LEN(M309)&lt;&gt;10,LEFT(M309,2)&lt;&gt;"09")),"mobile must be 09XXXXXXXX or status invalid; ","")&amp;IF(T309="","missing neighborhood_id; ","")))))</x:f>
      </x:c>
    </x:row>
    <x:row r="310">
      <x:c r="A310" s="232"/>
      <x:c r="B310" s="233"/>
      <x:c r="C310" s="234"/>
      <x:c r="D310" s="233"/>
      <x:c r="E310" s="233"/>
      <x:c r="F310" s="233"/>
      <x:c r="G310" s="233"/>
      <x:c r="H310" s="233"/>
      <x:c r="I310" s="233"/>
      <x:c r="J310" s="233"/>
      <x:c r="K310" s="233" t="str">
        <x:f>TRIM(G310&amp;" "&amp;H310&amp;" "&amp;I310&amp;IF(J310&lt;&gt;""," ("&amp;J310&amp;")",""))</x:f>
      </x:c>
      <x:c r="L310" s="233"/>
      <x:c r="M310" s="234"/>
      <x:c r="N310" s="233"/>
      <x:c r="O310" s="233"/>
      <x:c r="P310" s="233"/>
      <x:c r="Q310" s="233"/>
      <x:c r="R310" s="233"/>
      <x:c r="S310" s="233"/>
      <x:c r="T310" s="233"/>
      <x:c r="U310" s="233"/>
      <x:c r="V310" s="233"/>
      <x:c r="W310" s="235"/>
      <x:c r="X310" s="235"/>
      <x:c r="Y310" s="233"/>
      <x:c r="Z310" s="233"/>
      <x:c r="AA310" s="233"/>
      <x:c r="AB310" s="233"/>
      <x:c r="AC310" s="236"/>
      <x:c r="AD310" s="233"/>
      <x:c r="AE310" s="233"/>
      <x:c r="AF310" s="233"/>
      <x:c r="AG310" s="233"/>
      <x:c r="AH310" s="234"/>
      <x:c r="AI310" s="233"/>
      <x:c r="AJ310" s="233"/>
      <x:c r="AK310" s="233"/>
      <x:c r="AL310" s="236"/>
      <x:c r="AM310" s="233"/>
      <x:c r="AN310" s="233"/>
      <x:c r="AO310" s="234"/>
      <x:c r="AP310" s="234"/>
      <x:c r="AQ310" s="233"/>
      <x:c r="AR310" s="236"/>
      <x:c r="AS310" s="234"/>
      <x:c r="AT310" s="233"/>
      <x:c r="AU310" s="233"/>
      <x:c r="AV310" s="233"/>
      <x:c r="AW310" s="233"/>
      <x:c r="AX310" s="233"/>
      <x:c r="AY310" s="233"/>
      <x:c r="AZ310" s="236"/>
      <x:c r="BA310" s="233"/>
      <x:c r="BB310" s="233"/>
      <x:c r="BC310" s="233"/>
      <x:c r="BD310" s="233"/>
      <x:c r="BE310" s="237" t="str">
        <x:f>IF(AND(A310="",B310="",C310="",E310="",G310="",I310="",M310="",T310="",BB310="",BD310=""),"",IF(B310="skip","SKIP",IF(OR(B310="",A310="",E310="",G310="",I310="",M310="",T310="",COUNTIF($A$6:$A$505,A310)&gt;1,COUNTIF($M$6:$M$505,M310)&gt;1,AND(L310="mobile",N310&lt;&gt;"invalid",OR(LEN(M310)&lt;&gt;10,LEFT(M310,2)&lt;&gt;"09"))),"REVIEW","READY")))</x:f>
      </x:c>
      <x:c r="BF310" s="238" t="str">
        <x:f>IF(BE310="","",IF(BE310="READY","",IF(B310="skip","Skipped by import_action",TRIM(IF(B310="","missing import_action; ","")&amp;IF(A310="","missing migration_customer_key; ","")&amp;IF(AND(A310&lt;&gt;"",COUNTIF($A$6:$A$505,A310)&gt;1),"duplicate migration_customer_key; ","")&amp;IF(E310="","missing branch_id; ","")&amp;IF(G310="","missing first_name; ","")&amp;IF(I310="","missing last_name; ","")&amp;IF(M310="","missing primary_phone; ","")&amp;IF(AND(M310&lt;&gt;"",COUNTIF($M$6:$M$505,M310)&gt;1),"duplicate primary_phone; ","")&amp;IF(AND(L310="mobile",N310&lt;&gt;"invalid",OR(LEN(M310)&lt;&gt;10,LEFT(M310,2)&lt;&gt;"09")),"mobile must be 09XXXXXXXX or status invalid; ","")&amp;IF(T310="","missing neighborhood_id; ","")))))</x:f>
      </x:c>
    </x:row>
    <x:row r="311">
      <x:c r="A311" s="232"/>
      <x:c r="B311" s="233"/>
      <x:c r="C311" s="234"/>
      <x:c r="D311" s="233"/>
      <x:c r="E311" s="233"/>
      <x:c r="F311" s="233"/>
      <x:c r="G311" s="233"/>
      <x:c r="H311" s="233"/>
      <x:c r="I311" s="233"/>
      <x:c r="J311" s="233"/>
      <x:c r="K311" s="233" t="str">
        <x:f>TRIM(G311&amp;" "&amp;H311&amp;" "&amp;I311&amp;IF(J311&lt;&gt;""," ("&amp;J311&amp;")",""))</x:f>
      </x:c>
      <x:c r="L311" s="233"/>
      <x:c r="M311" s="234"/>
      <x:c r="N311" s="233"/>
      <x:c r="O311" s="233"/>
      <x:c r="P311" s="233"/>
      <x:c r="Q311" s="233"/>
      <x:c r="R311" s="233"/>
      <x:c r="S311" s="233"/>
      <x:c r="T311" s="233"/>
      <x:c r="U311" s="233"/>
      <x:c r="V311" s="233"/>
      <x:c r="W311" s="235"/>
      <x:c r="X311" s="235"/>
      <x:c r="Y311" s="233"/>
      <x:c r="Z311" s="233"/>
      <x:c r="AA311" s="233"/>
      <x:c r="AB311" s="233"/>
      <x:c r="AC311" s="236"/>
      <x:c r="AD311" s="233"/>
      <x:c r="AE311" s="233"/>
      <x:c r="AF311" s="233"/>
      <x:c r="AG311" s="233"/>
      <x:c r="AH311" s="234"/>
      <x:c r="AI311" s="233"/>
      <x:c r="AJ311" s="233"/>
      <x:c r="AK311" s="233"/>
      <x:c r="AL311" s="236"/>
      <x:c r="AM311" s="233"/>
      <x:c r="AN311" s="233"/>
      <x:c r="AO311" s="234"/>
      <x:c r="AP311" s="234"/>
      <x:c r="AQ311" s="233"/>
      <x:c r="AR311" s="236"/>
      <x:c r="AS311" s="234"/>
      <x:c r="AT311" s="233"/>
      <x:c r="AU311" s="233"/>
      <x:c r="AV311" s="233"/>
      <x:c r="AW311" s="233"/>
      <x:c r="AX311" s="233"/>
      <x:c r="AY311" s="233"/>
      <x:c r="AZ311" s="236"/>
      <x:c r="BA311" s="233"/>
      <x:c r="BB311" s="233"/>
      <x:c r="BC311" s="233"/>
      <x:c r="BD311" s="233"/>
      <x:c r="BE311" s="237" t="str">
        <x:f>IF(AND(A311="",B311="",C311="",E311="",G311="",I311="",M311="",T311="",BB311="",BD311=""),"",IF(B311="skip","SKIP",IF(OR(B311="",A311="",E311="",G311="",I311="",M311="",T311="",COUNTIF($A$6:$A$505,A311)&gt;1,COUNTIF($M$6:$M$505,M311)&gt;1,AND(L311="mobile",N311&lt;&gt;"invalid",OR(LEN(M311)&lt;&gt;10,LEFT(M311,2)&lt;&gt;"09"))),"REVIEW","READY")))</x:f>
      </x:c>
      <x:c r="BF311" s="238" t="str">
        <x:f>IF(BE311="","",IF(BE311="READY","",IF(B311="skip","Skipped by import_action",TRIM(IF(B311="","missing import_action; ","")&amp;IF(A311="","missing migration_customer_key; ","")&amp;IF(AND(A311&lt;&gt;"",COUNTIF($A$6:$A$505,A311)&gt;1),"duplicate migration_customer_key; ","")&amp;IF(E311="","missing branch_id; ","")&amp;IF(G311="","missing first_name; ","")&amp;IF(I311="","missing last_name; ","")&amp;IF(M311="","missing primary_phone; ","")&amp;IF(AND(M311&lt;&gt;"",COUNTIF($M$6:$M$505,M311)&gt;1),"duplicate primary_phone; ","")&amp;IF(AND(L311="mobile",N311&lt;&gt;"invalid",OR(LEN(M311)&lt;&gt;10,LEFT(M311,2)&lt;&gt;"09")),"mobile must be 09XXXXXXXX or status invalid; ","")&amp;IF(T311="","missing neighborhood_id; ","")))))</x:f>
      </x:c>
    </x:row>
    <x:row r="312">
      <x:c r="A312" s="232"/>
      <x:c r="B312" s="233"/>
      <x:c r="C312" s="234"/>
      <x:c r="D312" s="233"/>
      <x:c r="E312" s="233"/>
      <x:c r="F312" s="233"/>
      <x:c r="G312" s="233"/>
      <x:c r="H312" s="233"/>
      <x:c r="I312" s="233"/>
      <x:c r="J312" s="233"/>
      <x:c r="K312" s="233" t="str">
        <x:f>TRIM(G312&amp;" "&amp;H312&amp;" "&amp;I312&amp;IF(J312&lt;&gt;""," ("&amp;J312&amp;")",""))</x:f>
      </x:c>
      <x:c r="L312" s="233"/>
      <x:c r="M312" s="234"/>
      <x:c r="N312" s="233"/>
      <x:c r="O312" s="233"/>
      <x:c r="P312" s="233"/>
      <x:c r="Q312" s="233"/>
      <x:c r="R312" s="233"/>
      <x:c r="S312" s="233"/>
      <x:c r="T312" s="233"/>
      <x:c r="U312" s="233"/>
      <x:c r="V312" s="233"/>
      <x:c r="W312" s="235"/>
      <x:c r="X312" s="235"/>
      <x:c r="Y312" s="233"/>
      <x:c r="Z312" s="233"/>
      <x:c r="AA312" s="233"/>
      <x:c r="AB312" s="233"/>
      <x:c r="AC312" s="236"/>
      <x:c r="AD312" s="233"/>
      <x:c r="AE312" s="233"/>
      <x:c r="AF312" s="233"/>
      <x:c r="AG312" s="233"/>
      <x:c r="AH312" s="234"/>
      <x:c r="AI312" s="233"/>
      <x:c r="AJ312" s="233"/>
      <x:c r="AK312" s="233"/>
      <x:c r="AL312" s="236"/>
      <x:c r="AM312" s="233"/>
      <x:c r="AN312" s="233"/>
      <x:c r="AO312" s="234"/>
      <x:c r="AP312" s="234"/>
      <x:c r="AQ312" s="233"/>
      <x:c r="AR312" s="236"/>
      <x:c r="AS312" s="234"/>
      <x:c r="AT312" s="233"/>
      <x:c r="AU312" s="233"/>
      <x:c r="AV312" s="233"/>
      <x:c r="AW312" s="233"/>
      <x:c r="AX312" s="233"/>
      <x:c r="AY312" s="233"/>
      <x:c r="AZ312" s="236"/>
      <x:c r="BA312" s="233"/>
      <x:c r="BB312" s="233"/>
      <x:c r="BC312" s="233"/>
      <x:c r="BD312" s="233"/>
      <x:c r="BE312" s="237" t="str">
        <x:f>IF(AND(A312="",B312="",C312="",E312="",G312="",I312="",M312="",T312="",BB312="",BD312=""),"",IF(B312="skip","SKIP",IF(OR(B312="",A312="",E312="",G312="",I312="",M312="",T312="",COUNTIF($A$6:$A$505,A312)&gt;1,COUNTIF($M$6:$M$505,M312)&gt;1,AND(L312="mobile",N312&lt;&gt;"invalid",OR(LEN(M312)&lt;&gt;10,LEFT(M312,2)&lt;&gt;"09"))),"REVIEW","READY")))</x:f>
      </x:c>
      <x:c r="BF312" s="238" t="str">
        <x:f>IF(BE312="","",IF(BE312="READY","",IF(B312="skip","Skipped by import_action",TRIM(IF(B312="","missing import_action; ","")&amp;IF(A312="","missing migration_customer_key; ","")&amp;IF(AND(A312&lt;&gt;"",COUNTIF($A$6:$A$505,A312)&gt;1),"duplicate migration_customer_key; ","")&amp;IF(E312="","missing branch_id; ","")&amp;IF(G312="","missing first_name; ","")&amp;IF(I312="","missing last_name; ","")&amp;IF(M312="","missing primary_phone; ","")&amp;IF(AND(M312&lt;&gt;"",COUNTIF($M$6:$M$505,M312)&gt;1),"duplicate primary_phone; ","")&amp;IF(AND(L312="mobile",N312&lt;&gt;"invalid",OR(LEN(M312)&lt;&gt;10,LEFT(M312,2)&lt;&gt;"09")),"mobile must be 09XXXXXXXX or status invalid; ","")&amp;IF(T312="","missing neighborhood_id; ","")))))</x:f>
      </x:c>
    </x:row>
    <x:row r="313">
      <x:c r="A313" s="232"/>
      <x:c r="B313" s="233"/>
      <x:c r="C313" s="234"/>
      <x:c r="D313" s="233"/>
      <x:c r="E313" s="233"/>
      <x:c r="F313" s="233"/>
      <x:c r="G313" s="233"/>
      <x:c r="H313" s="233"/>
      <x:c r="I313" s="233"/>
      <x:c r="J313" s="233"/>
      <x:c r="K313" s="233" t="str">
        <x:f>TRIM(G313&amp;" "&amp;H313&amp;" "&amp;I313&amp;IF(J313&lt;&gt;""," ("&amp;J313&amp;")",""))</x:f>
      </x:c>
      <x:c r="L313" s="233"/>
      <x:c r="M313" s="234"/>
      <x:c r="N313" s="233"/>
      <x:c r="O313" s="233"/>
      <x:c r="P313" s="233"/>
      <x:c r="Q313" s="233"/>
      <x:c r="R313" s="233"/>
      <x:c r="S313" s="233"/>
      <x:c r="T313" s="233"/>
      <x:c r="U313" s="233"/>
      <x:c r="V313" s="233"/>
      <x:c r="W313" s="235"/>
      <x:c r="X313" s="235"/>
      <x:c r="Y313" s="233"/>
      <x:c r="Z313" s="233"/>
      <x:c r="AA313" s="233"/>
      <x:c r="AB313" s="233"/>
      <x:c r="AC313" s="236"/>
      <x:c r="AD313" s="233"/>
      <x:c r="AE313" s="233"/>
      <x:c r="AF313" s="233"/>
      <x:c r="AG313" s="233"/>
      <x:c r="AH313" s="234"/>
      <x:c r="AI313" s="233"/>
      <x:c r="AJ313" s="233"/>
      <x:c r="AK313" s="233"/>
      <x:c r="AL313" s="236"/>
      <x:c r="AM313" s="233"/>
      <x:c r="AN313" s="233"/>
      <x:c r="AO313" s="234"/>
      <x:c r="AP313" s="234"/>
      <x:c r="AQ313" s="233"/>
      <x:c r="AR313" s="236"/>
      <x:c r="AS313" s="234"/>
      <x:c r="AT313" s="233"/>
      <x:c r="AU313" s="233"/>
      <x:c r="AV313" s="233"/>
      <x:c r="AW313" s="233"/>
      <x:c r="AX313" s="233"/>
      <x:c r="AY313" s="233"/>
      <x:c r="AZ313" s="236"/>
      <x:c r="BA313" s="233"/>
      <x:c r="BB313" s="233"/>
      <x:c r="BC313" s="233"/>
      <x:c r="BD313" s="233"/>
      <x:c r="BE313" s="237" t="str">
        <x:f>IF(AND(A313="",B313="",C313="",E313="",G313="",I313="",M313="",T313="",BB313="",BD313=""),"",IF(B313="skip","SKIP",IF(OR(B313="",A313="",E313="",G313="",I313="",M313="",T313="",COUNTIF($A$6:$A$505,A313)&gt;1,COUNTIF($M$6:$M$505,M313)&gt;1,AND(L313="mobile",N313&lt;&gt;"invalid",OR(LEN(M313)&lt;&gt;10,LEFT(M313,2)&lt;&gt;"09"))),"REVIEW","READY")))</x:f>
      </x:c>
      <x:c r="BF313" s="238" t="str">
        <x:f>IF(BE313="","",IF(BE313="READY","",IF(B313="skip","Skipped by import_action",TRIM(IF(B313="","missing import_action; ","")&amp;IF(A313="","missing migration_customer_key; ","")&amp;IF(AND(A313&lt;&gt;"",COUNTIF($A$6:$A$505,A313)&gt;1),"duplicate migration_customer_key; ","")&amp;IF(E313="","missing branch_id; ","")&amp;IF(G313="","missing first_name; ","")&amp;IF(I313="","missing last_name; ","")&amp;IF(M313="","missing primary_phone; ","")&amp;IF(AND(M313&lt;&gt;"",COUNTIF($M$6:$M$505,M313)&gt;1),"duplicate primary_phone; ","")&amp;IF(AND(L313="mobile",N313&lt;&gt;"invalid",OR(LEN(M313)&lt;&gt;10,LEFT(M313,2)&lt;&gt;"09")),"mobile must be 09XXXXXXXX or status invalid; ","")&amp;IF(T313="","missing neighborhood_id; ","")))))</x:f>
      </x:c>
    </x:row>
    <x:row r="314">
      <x:c r="A314" s="232"/>
      <x:c r="B314" s="233"/>
      <x:c r="C314" s="234"/>
      <x:c r="D314" s="233"/>
      <x:c r="E314" s="233"/>
      <x:c r="F314" s="233"/>
      <x:c r="G314" s="233"/>
      <x:c r="H314" s="233"/>
      <x:c r="I314" s="233"/>
      <x:c r="J314" s="233"/>
      <x:c r="K314" s="233" t="str">
        <x:f>TRIM(G314&amp;" "&amp;H314&amp;" "&amp;I314&amp;IF(J314&lt;&gt;""," ("&amp;J314&amp;")",""))</x:f>
      </x:c>
      <x:c r="L314" s="233"/>
      <x:c r="M314" s="234"/>
      <x:c r="N314" s="233"/>
      <x:c r="O314" s="233"/>
      <x:c r="P314" s="233"/>
      <x:c r="Q314" s="233"/>
      <x:c r="R314" s="233"/>
      <x:c r="S314" s="233"/>
      <x:c r="T314" s="233"/>
      <x:c r="U314" s="233"/>
      <x:c r="V314" s="233"/>
      <x:c r="W314" s="235"/>
      <x:c r="X314" s="235"/>
      <x:c r="Y314" s="233"/>
      <x:c r="Z314" s="233"/>
      <x:c r="AA314" s="233"/>
      <x:c r="AB314" s="233"/>
      <x:c r="AC314" s="236"/>
      <x:c r="AD314" s="233"/>
      <x:c r="AE314" s="233"/>
      <x:c r="AF314" s="233"/>
      <x:c r="AG314" s="233"/>
      <x:c r="AH314" s="234"/>
      <x:c r="AI314" s="233"/>
      <x:c r="AJ314" s="233"/>
      <x:c r="AK314" s="233"/>
      <x:c r="AL314" s="236"/>
      <x:c r="AM314" s="233"/>
      <x:c r="AN314" s="233"/>
      <x:c r="AO314" s="234"/>
      <x:c r="AP314" s="234"/>
      <x:c r="AQ314" s="233"/>
      <x:c r="AR314" s="236"/>
      <x:c r="AS314" s="234"/>
      <x:c r="AT314" s="233"/>
      <x:c r="AU314" s="233"/>
      <x:c r="AV314" s="233"/>
      <x:c r="AW314" s="233"/>
      <x:c r="AX314" s="233"/>
      <x:c r="AY314" s="233"/>
      <x:c r="AZ314" s="236"/>
      <x:c r="BA314" s="233"/>
      <x:c r="BB314" s="233"/>
      <x:c r="BC314" s="233"/>
      <x:c r="BD314" s="233"/>
      <x:c r="BE314" s="237" t="str">
        <x:f>IF(AND(A314="",B314="",C314="",E314="",G314="",I314="",M314="",T314="",BB314="",BD314=""),"",IF(B314="skip","SKIP",IF(OR(B314="",A314="",E314="",G314="",I314="",M314="",T314="",COUNTIF($A$6:$A$505,A314)&gt;1,COUNTIF($M$6:$M$505,M314)&gt;1,AND(L314="mobile",N314&lt;&gt;"invalid",OR(LEN(M314)&lt;&gt;10,LEFT(M314,2)&lt;&gt;"09"))),"REVIEW","READY")))</x:f>
      </x:c>
      <x:c r="BF314" s="238" t="str">
        <x:f>IF(BE314="","",IF(BE314="READY","",IF(B314="skip","Skipped by import_action",TRIM(IF(B314="","missing import_action; ","")&amp;IF(A314="","missing migration_customer_key; ","")&amp;IF(AND(A314&lt;&gt;"",COUNTIF($A$6:$A$505,A314)&gt;1),"duplicate migration_customer_key; ","")&amp;IF(E314="","missing branch_id; ","")&amp;IF(G314="","missing first_name; ","")&amp;IF(I314="","missing last_name; ","")&amp;IF(M314="","missing primary_phone; ","")&amp;IF(AND(M314&lt;&gt;"",COUNTIF($M$6:$M$505,M314)&gt;1),"duplicate primary_phone; ","")&amp;IF(AND(L314="mobile",N314&lt;&gt;"invalid",OR(LEN(M314)&lt;&gt;10,LEFT(M314,2)&lt;&gt;"09")),"mobile must be 09XXXXXXXX or status invalid; ","")&amp;IF(T314="","missing neighborhood_id; ","")))))</x:f>
      </x:c>
    </x:row>
    <x:row r="315">
      <x:c r="A315" s="232"/>
      <x:c r="B315" s="233"/>
      <x:c r="C315" s="234"/>
      <x:c r="D315" s="233"/>
      <x:c r="E315" s="233"/>
      <x:c r="F315" s="233"/>
      <x:c r="G315" s="233"/>
      <x:c r="H315" s="233"/>
      <x:c r="I315" s="233"/>
      <x:c r="J315" s="233"/>
      <x:c r="K315" s="233" t="str">
        <x:f>TRIM(G315&amp;" "&amp;H315&amp;" "&amp;I315&amp;IF(J315&lt;&gt;""," ("&amp;J315&amp;")",""))</x:f>
      </x:c>
      <x:c r="L315" s="233"/>
      <x:c r="M315" s="234"/>
      <x:c r="N315" s="233"/>
      <x:c r="O315" s="233"/>
      <x:c r="P315" s="233"/>
      <x:c r="Q315" s="233"/>
      <x:c r="R315" s="233"/>
      <x:c r="S315" s="233"/>
      <x:c r="T315" s="233"/>
      <x:c r="U315" s="233"/>
      <x:c r="V315" s="233"/>
      <x:c r="W315" s="235"/>
      <x:c r="X315" s="235"/>
      <x:c r="Y315" s="233"/>
      <x:c r="Z315" s="233"/>
      <x:c r="AA315" s="233"/>
      <x:c r="AB315" s="233"/>
      <x:c r="AC315" s="236"/>
      <x:c r="AD315" s="233"/>
      <x:c r="AE315" s="233"/>
      <x:c r="AF315" s="233"/>
      <x:c r="AG315" s="233"/>
      <x:c r="AH315" s="234"/>
      <x:c r="AI315" s="233"/>
      <x:c r="AJ315" s="233"/>
      <x:c r="AK315" s="233"/>
      <x:c r="AL315" s="236"/>
      <x:c r="AM315" s="233"/>
      <x:c r="AN315" s="233"/>
      <x:c r="AO315" s="234"/>
      <x:c r="AP315" s="234"/>
      <x:c r="AQ315" s="233"/>
      <x:c r="AR315" s="236"/>
      <x:c r="AS315" s="234"/>
      <x:c r="AT315" s="233"/>
      <x:c r="AU315" s="233"/>
      <x:c r="AV315" s="233"/>
      <x:c r="AW315" s="233"/>
      <x:c r="AX315" s="233"/>
      <x:c r="AY315" s="233"/>
      <x:c r="AZ315" s="236"/>
      <x:c r="BA315" s="233"/>
      <x:c r="BB315" s="233"/>
      <x:c r="BC315" s="233"/>
      <x:c r="BD315" s="233"/>
      <x:c r="BE315" s="237" t="str">
        <x:f>IF(AND(A315="",B315="",C315="",E315="",G315="",I315="",M315="",T315="",BB315="",BD315=""),"",IF(B315="skip","SKIP",IF(OR(B315="",A315="",E315="",G315="",I315="",M315="",T315="",COUNTIF($A$6:$A$505,A315)&gt;1,COUNTIF($M$6:$M$505,M315)&gt;1,AND(L315="mobile",N315&lt;&gt;"invalid",OR(LEN(M315)&lt;&gt;10,LEFT(M315,2)&lt;&gt;"09"))),"REVIEW","READY")))</x:f>
      </x:c>
      <x:c r="BF315" s="238" t="str">
        <x:f>IF(BE315="","",IF(BE315="READY","",IF(B315="skip","Skipped by import_action",TRIM(IF(B315="","missing import_action; ","")&amp;IF(A315="","missing migration_customer_key; ","")&amp;IF(AND(A315&lt;&gt;"",COUNTIF($A$6:$A$505,A315)&gt;1),"duplicate migration_customer_key; ","")&amp;IF(E315="","missing branch_id; ","")&amp;IF(G315="","missing first_name; ","")&amp;IF(I315="","missing last_name; ","")&amp;IF(M315="","missing primary_phone; ","")&amp;IF(AND(M315&lt;&gt;"",COUNTIF($M$6:$M$505,M315)&gt;1),"duplicate primary_phone; ","")&amp;IF(AND(L315="mobile",N315&lt;&gt;"invalid",OR(LEN(M315)&lt;&gt;10,LEFT(M315,2)&lt;&gt;"09")),"mobile must be 09XXXXXXXX or status invalid; ","")&amp;IF(T315="","missing neighborhood_id; ","")))))</x:f>
      </x:c>
    </x:row>
    <x:row r="316">
      <x:c r="A316" s="232"/>
      <x:c r="B316" s="233"/>
      <x:c r="C316" s="234"/>
      <x:c r="D316" s="233"/>
      <x:c r="E316" s="233"/>
      <x:c r="F316" s="233"/>
      <x:c r="G316" s="233"/>
      <x:c r="H316" s="233"/>
      <x:c r="I316" s="233"/>
      <x:c r="J316" s="233"/>
      <x:c r="K316" s="233" t="str">
        <x:f>TRIM(G316&amp;" "&amp;H316&amp;" "&amp;I316&amp;IF(J316&lt;&gt;""," ("&amp;J316&amp;")",""))</x:f>
      </x:c>
      <x:c r="L316" s="233"/>
      <x:c r="M316" s="234"/>
      <x:c r="N316" s="233"/>
      <x:c r="O316" s="233"/>
      <x:c r="P316" s="233"/>
      <x:c r="Q316" s="233"/>
      <x:c r="R316" s="233"/>
      <x:c r="S316" s="233"/>
      <x:c r="T316" s="233"/>
      <x:c r="U316" s="233"/>
      <x:c r="V316" s="233"/>
      <x:c r="W316" s="235"/>
      <x:c r="X316" s="235"/>
      <x:c r="Y316" s="233"/>
      <x:c r="Z316" s="233"/>
      <x:c r="AA316" s="233"/>
      <x:c r="AB316" s="233"/>
      <x:c r="AC316" s="236"/>
      <x:c r="AD316" s="233"/>
      <x:c r="AE316" s="233"/>
      <x:c r="AF316" s="233"/>
      <x:c r="AG316" s="233"/>
      <x:c r="AH316" s="234"/>
      <x:c r="AI316" s="233"/>
      <x:c r="AJ316" s="233"/>
      <x:c r="AK316" s="233"/>
      <x:c r="AL316" s="236"/>
      <x:c r="AM316" s="233"/>
      <x:c r="AN316" s="233"/>
      <x:c r="AO316" s="234"/>
      <x:c r="AP316" s="234"/>
      <x:c r="AQ316" s="233"/>
      <x:c r="AR316" s="236"/>
      <x:c r="AS316" s="234"/>
      <x:c r="AT316" s="233"/>
      <x:c r="AU316" s="233"/>
      <x:c r="AV316" s="233"/>
      <x:c r="AW316" s="233"/>
      <x:c r="AX316" s="233"/>
      <x:c r="AY316" s="233"/>
      <x:c r="AZ316" s="236"/>
      <x:c r="BA316" s="233"/>
      <x:c r="BB316" s="233"/>
      <x:c r="BC316" s="233"/>
      <x:c r="BD316" s="233"/>
      <x:c r="BE316" s="237" t="str">
        <x:f>IF(AND(A316="",B316="",C316="",E316="",G316="",I316="",M316="",T316="",BB316="",BD316=""),"",IF(B316="skip","SKIP",IF(OR(B316="",A316="",E316="",G316="",I316="",M316="",T316="",COUNTIF($A$6:$A$505,A316)&gt;1,COUNTIF($M$6:$M$505,M316)&gt;1,AND(L316="mobile",N316&lt;&gt;"invalid",OR(LEN(M316)&lt;&gt;10,LEFT(M316,2)&lt;&gt;"09"))),"REVIEW","READY")))</x:f>
      </x:c>
      <x:c r="BF316" s="238" t="str">
        <x:f>IF(BE316="","",IF(BE316="READY","",IF(B316="skip","Skipped by import_action",TRIM(IF(B316="","missing import_action; ","")&amp;IF(A316="","missing migration_customer_key; ","")&amp;IF(AND(A316&lt;&gt;"",COUNTIF($A$6:$A$505,A316)&gt;1),"duplicate migration_customer_key; ","")&amp;IF(E316="","missing branch_id; ","")&amp;IF(G316="","missing first_name; ","")&amp;IF(I316="","missing last_name; ","")&amp;IF(M316="","missing primary_phone; ","")&amp;IF(AND(M316&lt;&gt;"",COUNTIF($M$6:$M$505,M316)&gt;1),"duplicate primary_phone; ","")&amp;IF(AND(L316="mobile",N316&lt;&gt;"invalid",OR(LEN(M316)&lt;&gt;10,LEFT(M316,2)&lt;&gt;"09")),"mobile must be 09XXXXXXXX or status invalid; ","")&amp;IF(T316="","missing neighborhood_id; ","")))))</x:f>
      </x:c>
    </x:row>
    <x:row r="317">
      <x:c r="A317" s="232"/>
      <x:c r="B317" s="233"/>
      <x:c r="C317" s="234"/>
      <x:c r="D317" s="233"/>
      <x:c r="E317" s="233"/>
      <x:c r="F317" s="233"/>
      <x:c r="G317" s="233"/>
      <x:c r="H317" s="233"/>
      <x:c r="I317" s="233"/>
      <x:c r="J317" s="233"/>
      <x:c r="K317" s="233" t="str">
        <x:f>TRIM(G317&amp;" "&amp;H317&amp;" "&amp;I317&amp;IF(J317&lt;&gt;""," ("&amp;J317&amp;")",""))</x:f>
      </x:c>
      <x:c r="L317" s="233"/>
      <x:c r="M317" s="234"/>
      <x:c r="N317" s="233"/>
      <x:c r="O317" s="233"/>
      <x:c r="P317" s="233"/>
      <x:c r="Q317" s="233"/>
      <x:c r="R317" s="233"/>
      <x:c r="S317" s="233"/>
      <x:c r="T317" s="233"/>
      <x:c r="U317" s="233"/>
      <x:c r="V317" s="233"/>
      <x:c r="W317" s="235"/>
      <x:c r="X317" s="235"/>
      <x:c r="Y317" s="233"/>
      <x:c r="Z317" s="233"/>
      <x:c r="AA317" s="233"/>
      <x:c r="AB317" s="233"/>
      <x:c r="AC317" s="236"/>
      <x:c r="AD317" s="233"/>
      <x:c r="AE317" s="233"/>
      <x:c r="AF317" s="233"/>
      <x:c r="AG317" s="233"/>
      <x:c r="AH317" s="234"/>
      <x:c r="AI317" s="233"/>
      <x:c r="AJ317" s="233"/>
      <x:c r="AK317" s="233"/>
      <x:c r="AL317" s="236"/>
      <x:c r="AM317" s="233"/>
      <x:c r="AN317" s="233"/>
      <x:c r="AO317" s="234"/>
      <x:c r="AP317" s="234"/>
      <x:c r="AQ317" s="233"/>
      <x:c r="AR317" s="236"/>
      <x:c r="AS317" s="234"/>
      <x:c r="AT317" s="233"/>
      <x:c r="AU317" s="233"/>
      <x:c r="AV317" s="233"/>
      <x:c r="AW317" s="233"/>
      <x:c r="AX317" s="233"/>
      <x:c r="AY317" s="233"/>
      <x:c r="AZ317" s="236"/>
      <x:c r="BA317" s="233"/>
      <x:c r="BB317" s="233"/>
      <x:c r="BC317" s="233"/>
      <x:c r="BD317" s="233"/>
      <x:c r="BE317" s="237" t="str">
        <x:f>IF(AND(A317="",B317="",C317="",E317="",G317="",I317="",M317="",T317="",BB317="",BD317=""),"",IF(B317="skip","SKIP",IF(OR(B317="",A317="",E317="",G317="",I317="",M317="",T317="",COUNTIF($A$6:$A$505,A317)&gt;1,COUNTIF($M$6:$M$505,M317)&gt;1,AND(L317="mobile",N317&lt;&gt;"invalid",OR(LEN(M317)&lt;&gt;10,LEFT(M317,2)&lt;&gt;"09"))),"REVIEW","READY")))</x:f>
      </x:c>
      <x:c r="BF317" s="238" t="str">
        <x:f>IF(BE317="","",IF(BE317="READY","",IF(B317="skip","Skipped by import_action",TRIM(IF(B317="","missing import_action; ","")&amp;IF(A317="","missing migration_customer_key; ","")&amp;IF(AND(A317&lt;&gt;"",COUNTIF($A$6:$A$505,A317)&gt;1),"duplicate migration_customer_key; ","")&amp;IF(E317="","missing branch_id; ","")&amp;IF(G317="","missing first_name; ","")&amp;IF(I317="","missing last_name; ","")&amp;IF(M317="","missing primary_phone; ","")&amp;IF(AND(M317&lt;&gt;"",COUNTIF($M$6:$M$505,M317)&gt;1),"duplicate primary_phone; ","")&amp;IF(AND(L317="mobile",N317&lt;&gt;"invalid",OR(LEN(M317)&lt;&gt;10,LEFT(M317,2)&lt;&gt;"09")),"mobile must be 09XXXXXXXX or status invalid; ","")&amp;IF(T317="","missing neighborhood_id; ","")))))</x:f>
      </x:c>
    </x:row>
    <x:row r="318">
      <x:c r="A318" s="232"/>
      <x:c r="B318" s="233"/>
      <x:c r="C318" s="234"/>
      <x:c r="D318" s="233"/>
      <x:c r="E318" s="233"/>
      <x:c r="F318" s="233"/>
      <x:c r="G318" s="233"/>
      <x:c r="H318" s="233"/>
      <x:c r="I318" s="233"/>
      <x:c r="J318" s="233"/>
      <x:c r="K318" s="233" t="str">
        <x:f>TRIM(G318&amp;" "&amp;H318&amp;" "&amp;I318&amp;IF(J318&lt;&gt;""," ("&amp;J318&amp;")",""))</x:f>
      </x:c>
      <x:c r="L318" s="233"/>
      <x:c r="M318" s="234"/>
      <x:c r="N318" s="233"/>
      <x:c r="O318" s="233"/>
      <x:c r="P318" s="233"/>
      <x:c r="Q318" s="233"/>
      <x:c r="R318" s="233"/>
      <x:c r="S318" s="233"/>
      <x:c r="T318" s="233"/>
      <x:c r="U318" s="233"/>
      <x:c r="V318" s="233"/>
      <x:c r="W318" s="235"/>
      <x:c r="X318" s="235"/>
      <x:c r="Y318" s="233"/>
      <x:c r="Z318" s="233"/>
      <x:c r="AA318" s="233"/>
      <x:c r="AB318" s="233"/>
      <x:c r="AC318" s="236"/>
      <x:c r="AD318" s="233"/>
      <x:c r="AE318" s="233"/>
      <x:c r="AF318" s="233"/>
      <x:c r="AG318" s="233"/>
      <x:c r="AH318" s="234"/>
      <x:c r="AI318" s="233"/>
      <x:c r="AJ318" s="233"/>
      <x:c r="AK318" s="233"/>
      <x:c r="AL318" s="236"/>
      <x:c r="AM318" s="233"/>
      <x:c r="AN318" s="233"/>
      <x:c r="AO318" s="234"/>
      <x:c r="AP318" s="234"/>
      <x:c r="AQ318" s="233"/>
      <x:c r="AR318" s="236"/>
      <x:c r="AS318" s="234"/>
      <x:c r="AT318" s="233"/>
      <x:c r="AU318" s="233"/>
      <x:c r="AV318" s="233"/>
      <x:c r="AW318" s="233"/>
      <x:c r="AX318" s="233"/>
      <x:c r="AY318" s="233"/>
      <x:c r="AZ318" s="236"/>
      <x:c r="BA318" s="233"/>
      <x:c r="BB318" s="233"/>
      <x:c r="BC318" s="233"/>
      <x:c r="BD318" s="233"/>
      <x:c r="BE318" s="237" t="str">
        <x:f>IF(AND(A318="",B318="",C318="",E318="",G318="",I318="",M318="",T318="",BB318="",BD318=""),"",IF(B318="skip","SKIP",IF(OR(B318="",A318="",E318="",G318="",I318="",M318="",T318="",COUNTIF($A$6:$A$505,A318)&gt;1,COUNTIF($M$6:$M$505,M318)&gt;1,AND(L318="mobile",N318&lt;&gt;"invalid",OR(LEN(M318)&lt;&gt;10,LEFT(M318,2)&lt;&gt;"09"))),"REVIEW","READY")))</x:f>
      </x:c>
      <x:c r="BF318" s="238" t="str">
        <x:f>IF(BE318="","",IF(BE318="READY","",IF(B318="skip","Skipped by import_action",TRIM(IF(B318="","missing import_action; ","")&amp;IF(A318="","missing migration_customer_key; ","")&amp;IF(AND(A318&lt;&gt;"",COUNTIF($A$6:$A$505,A318)&gt;1),"duplicate migration_customer_key; ","")&amp;IF(E318="","missing branch_id; ","")&amp;IF(G318="","missing first_name; ","")&amp;IF(I318="","missing last_name; ","")&amp;IF(M318="","missing primary_phone; ","")&amp;IF(AND(M318&lt;&gt;"",COUNTIF($M$6:$M$505,M318)&gt;1),"duplicate primary_phone; ","")&amp;IF(AND(L318="mobile",N318&lt;&gt;"invalid",OR(LEN(M318)&lt;&gt;10,LEFT(M318,2)&lt;&gt;"09")),"mobile must be 09XXXXXXXX or status invalid; ","")&amp;IF(T318="","missing neighborhood_id; ","")))))</x:f>
      </x:c>
    </x:row>
    <x:row r="319">
      <x:c r="A319" s="232"/>
      <x:c r="B319" s="233"/>
      <x:c r="C319" s="234"/>
      <x:c r="D319" s="233"/>
      <x:c r="E319" s="233"/>
      <x:c r="F319" s="233"/>
      <x:c r="G319" s="233"/>
      <x:c r="H319" s="233"/>
      <x:c r="I319" s="233"/>
      <x:c r="J319" s="233"/>
      <x:c r="K319" s="233" t="str">
        <x:f>TRIM(G319&amp;" "&amp;H319&amp;" "&amp;I319&amp;IF(J319&lt;&gt;""," ("&amp;J319&amp;")",""))</x:f>
      </x:c>
      <x:c r="L319" s="233"/>
      <x:c r="M319" s="234"/>
      <x:c r="N319" s="233"/>
      <x:c r="O319" s="233"/>
      <x:c r="P319" s="233"/>
      <x:c r="Q319" s="233"/>
      <x:c r="R319" s="233"/>
      <x:c r="S319" s="233"/>
      <x:c r="T319" s="233"/>
      <x:c r="U319" s="233"/>
      <x:c r="V319" s="233"/>
      <x:c r="W319" s="235"/>
      <x:c r="X319" s="235"/>
      <x:c r="Y319" s="233"/>
      <x:c r="Z319" s="233"/>
      <x:c r="AA319" s="233"/>
      <x:c r="AB319" s="233"/>
      <x:c r="AC319" s="236"/>
      <x:c r="AD319" s="233"/>
      <x:c r="AE319" s="233"/>
      <x:c r="AF319" s="233"/>
      <x:c r="AG319" s="233"/>
      <x:c r="AH319" s="234"/>
      <x:c r="AI319" s="233"/>
      <x:c r="AJ319" s="233"/>
      <x:c r="AK319" s="233"/>
      <x:c r="AL319" s="236"/>
      <x:c r="AM319" s="233"/>
      <x:c r="AN319" s="233"/>
      <x:c r="AO319" s="234"/>
      <x:c r="AP319" s="234"/>
      <x:c r="AQ319" s="233"/>
      <x:c r="AR319" s="236"/>
      <x:c r="AS319" s="234"/>
      <x:c r="AT319" s="233"/>
      <x:c r="AU319" s="233"/>
      <x:c r="AV319" s="233"/>
      <x:c r="AW319" s="233"/>
      <x:c r="AX319" s="233"/>
      <x:c r="AY319" s="233"/>
      <x:c r="AZ319" s="236"/>
      <x:c r="BA319" s="233"/>
      <x:c r="BB319" s="233"/>
      <x:c r="BC319" s="233"/>
      <x:c r="BD319" s="233"/>
      <x:c r="BE319" s="237" t="str">
        <x:f>IF(AND(A319="",B319="",C319="",E319="",G319="",I319="",M319="",T319="",BB319="",BD319=""),"",IF(B319="skip","SKIP",IF(OR(B319="",A319="",E319="",G319="",I319="",M319="",T319="",COUNTIF($A$6:$A$505,A319)&gt;1,COUNTIF($M$6:$M$505,M319)&gt;1,AND(L319="mobile",N319&lt;&gt;"invalid",OR(LEN(M319)&lt;&gt;10,LEFT(M319,2)&lt;&gt;"09"))),"REVIEW","READY")))</x:f>
      </x:c>
      <x:c r="BF319" s="238" t="str">
        <x:f>IF(BE319="","",IF(BE319="READY","",IF(B319="skip","Skipped by import_action",TRIM(IF(B319="","missing import_action; ","")&amp;IF(A319="","missing migration_customer_key; ","")&amp;IF(AND(A319&lt;&gt;"",COUNTIF($A$6:$A$505,A319)&gt;1),"duplicate migration_customer_key; ","")&amp;IF(E319="","missing branch_id; ","")&amp;IF(G319="","missing first_name; ","")&amp;IF(I319="","missing last_name; ","")&amp;IF(M319="","missing primary_phone; ","")&amp;IF(AND(M319&lt;&gt;"",COUNTIF($M$6:$M$505,M319)&gt;1),"duplicate primary_phone; ","")&amp;IF(AND(L319="mobile",N319&lt;&gt;"invalid",OR(LEN(M319)&lt;&gt;10,LEFT(M319,2)&lt;&gt;"09")),"mobile must be 09XXXXXXXX or status invalid; ","")&amp;IF(T319="","missing neighborhood_id; ","")))))</x:f>
      </x:c>
    </x:row>
    <x:row r="320">
      <x:c r="A320" s="232"/>
      <x:c r="B320" s="233"/>
      <x:c r="C320" s="234"/>
      <x:c r="D320" s="233"/>
      <x:c r="E320" s="233"/>
      <x:c r="F320" s="233"/>
      <x:c r="G320" s="233"/>
      <x:c r="H320" s="233"/>
      <x:c r="I320" s="233"/>
      <x:c r="J320" s="233"/>
      <x:c r="K320" s="233" t="str">
        <x:f>TRIM(G320&amp;" "&amp;H320&amp;" "&amp;I320&amp;IF(J320&lt;&gt;""," ("&amp;J320&amp;")",""))</x:f>
      </x:c>
      <x:c r="L320" s="233"/>
      <x:c r="M320" s="234"/>
      <x:c r="N320" s="233"/>
      <x:c r="O320" s="233"/>
      <x:c r="P320" s="233"/>
      <x:c r="Q320" s="233"/>
      <x:c r="R320" s="233"/>
      <x:c r="S320" s="233"/>
      <x:c r="T320" s="233"/>
      <x:c r="U320" s="233"/>
      <x:c r="V320" s="233"/>
      <x:c r="W320" s="235"/>
      <x:c r="X320" s="235"/>
      <x:c r="Y320" s="233"/>
      <x:c r="Z320" s="233"/>
      <x:c r="AA320" s="233"/>
      <x:c r="AB320" s="233"/>
      <x:c r="AC320" s="236"/>
      <x:c r="AD320" s="233"/>
      <x:c r="AE320" s="233"/>
      <x:c r="AF320" s="233"/>
      <x:c r="AG320" s="233"/>
      <x:c r="AH320" s="234"/>
      <x:c r="AI320" s="233"/>
      <x:c r="AJ320" s="233"/>
      <x:c r="AK320" s="233"/>
      <x:c r="AL320" s="236"/>
      <x:c r="AM320" s="233"/>
      <x:c r="AN320" s="233"/>
      <x:c r="AO320" s="234"/>
      <x:c r="AP320" s="234"/>
      <x:c r="AQ320" s="233"/>
      <x:c r="AR320" s="236"/>
      <x:c r="AS320" s="234"/>
      <x:c r="AT320" s="233"/>
      <x:c r="AU320" s="233"/>
      <x:c r="AV320" s="233"/>
      <x:c r="AW320" s="233"/>
      <x:c r="AX320" s="233"/>
      <x:c r="AY320" s="233"/>
      <x:c r="AZ320" s="236"/>
      <x:c r="BA320" s="233"/>
      <x:c r="BB320" s="233"/>
      <x:c r="BC320" s="233"/>
      <x:c r="BD320" s="233"/>
      <x:c r="BE320" s="237" t="str">
        <x:f>IF(AND(A320="",B320="",C320="",E320="",G320="",I320="",M320="",T320="",BB320="",BD320=""),"",IF(B320="skip","SKIP",IF(OR(B320="",A320="",E320="",G320="",I320="",M320="",T320="",COUNTIF($A$6:$A$505,A320)&gt;1,COUNTIF($M$6:$M$505,M320)&gt;1,AND(L320="mobile",N320&lt;&gt;"invalid",OR(LEN(M320)&lt;&gt;10,LEFT(M320,2)&lt;&gt;"09"))),"REVIEW","READY")))</x:f>
      </x:c>
      <x:c r="BF320" s="238" t="str">
        <x:f>IF(BE320="","",IF(BE320="READY","",IF(B320="skip","Skipped by import_action",TRIM(IF(B320="","missing import_action; ","")&amp;IF(A320="","missing migration_customer_key; ","")&amp;IF(AND(A320&lt;&gt;"",COUNTIF($A$6:$A$505,A320)&gt;1),"duplicate migration_customer_key; ","")&amp;IF(E320="","missing branch_id; ","")&amp;IF(G320="","missing first_name; ","")&amp;IF(I320="","missing last_name; ","")&amp;IF(M320="","missing primary_phone; ","")&amp;IF(AND(M320&lt;&gt;"",COUNTIF($M$6:$M$505,M320)&gt;1),"duplicate primary_phone; ","")&amp;IF(AND(L320="mobile",N320&lt;&gt;"invalid",OR(LEN(M320)&lt;&gt;10,LEFT(M320,2)&lt;&gt;"09")),"mobile must be 09XXXXXXXX or status invalid; ","")&amp;IF(T320="","missing neighborhood_id; ","")))))</x:f>
      </x:c>
    </x:row>
    <x:row r="321">
      <x:c r="A321" s="232"/>
      <x:c r="B321" s="233"/>
      <x:c r="C321" s="234"/>
      <x:c r="D321" s="233"/>
      <x:c r="E321" s="233"/>
      <x:c r="F321" s="233"/>
      <x:c r="G321" s="233"/>
      <x:c r="H321" s="233"/>
      <x:c r="I321" s="233"/>
      <x:c r="J321" s="233"/>
      <x:c r="K321" s="233" t="str">
        <x:f>TRIM(G321&amp;" "&amp;H321&amp;" "&amp;I321&amp;IF(J321&lt;&gt;""," ("&amp;J321&amp;")",""))</x:f>
      </x:c>
      <x:c r="L321" s="233"/>
      <x:c r="M321" s="234"/>
      <x:c r="N321" s="233"/>
      <x:c r="O321" s="233"/>
      <x:c r="P321" s="233"/>
      <x:c r="Q321" s="233"/>
      <x:c r="R321" s="233"/>
      <x:c r="S321" s="233"/>
      <x:c r="T321" s="233"/>
      <x:c r="U321" s="233"/>
      <x:c r="V321" s="233"/>
      <x:c r="W321" s="235"/>
      <x:c r="X321" s="235"/>
      <x:c r="Y321" s="233"/>
      <x:c r="Z321" s="233"/>
      <x:c r="AA321" s="233"/>
      <x:c r="AB321" s="233"/>
      <x:c r="AC321" s="236"/>
      <x:c r="AD321" s="233"/>
      <x:c r="AE321" s="233"/>
      <x:c r="AF321" s="233"/>
      <x:c r="AG321" s="233"/>
      <x:c r="AH321" s="234"/>
      <x:c r="AI321" s="233"/>
      <x:c r="AJ321" s="233"/>
      <x:c r="AK321" s="233"/>
      <x:c r="AL321" s="236"/>
      <x:c r="AM321" s="233"/>
      <x:c r="AN321" s="233"/>
      <x:c r="AO321" s="234"/>
      <x:c r="AP321" s="234"/>
      <x:c r="AQ321" s="233"/>
      <x:c r="AR321" s="236"/>
      <x:c r="AS321" s="234"/>
      <x:c r="AT321" s="233"/>
      <x:c r="AU321" s="233"/>
      <x:c r="AV321" s="233"/>
      <x:c r="AW321" s="233"/>
      <x:c r="AX321" s="233"/>
      <x:c r="AY321" s="233"/>
      <x:c r="AZ321" s="236"/>
      <x:c r="BA321" s="233"/>
      <x:c r="BB321" s="233"/>
      <x:c r="BC321" s="233"/>
      <x:c r="BD321" s="233"/>
      <x:c r="BE321" s="237" t="str">
        <x:f>IF(AND(A321="",B321="",C321="",E321="",G321="",I321="",M321="",T321="",BB321="",BD321=""),"",IF(B321="skip","SKIP",IF(OR(B321="",A321="",E321="",G321="",I321="",M321="",T321="",COUNTIF($A$6:$A$505,A321)&gt;1,COUNTIF($M$6:$M$505,M321)&gt;1,AND(L321="mobile",N321&lt;&gt;"invalid",OR(LEN(M321)&lt;&gt;10,LEFT(M321,2)&lt;&gt;"09"))),"REVIEW","READY")))</x:f>
      </x:c>
      <x:c r="BF321" s="238" t="str">
        <x:f>IF(BE321="","",IF(BE321="READY","",IF(B321="skip","Skipped by import_action",TRIM(IF(B321="","missing import_action; ","")&amp;IF(A321="","missing migration_customer_key; ","")&amp;IF(AND(A321&lt;&gt;"",COUNTIF($A$6:$A$505,A321)&gt;1),"duplicate migration_customer_key; ","")&amp;IF(E321="","missing branch_id; ","")&amp;IF(G321="","missing first_name; ","")&amp;IF(I321="","missing last_name; ","")&amp;IF(M321="","missing primary_phone; ","")&amp;IF(AND(M321&lt;&gt;"",COUNTIF($M$6:$M$505,M321)&gt;1),"duplicate primary_phone; ","")&amp;IF(AND(L321="mobile",N321&lt;&gt;"invalid",OR(LEN(M321)&lt;&gt;10,LEFT(M321,2)&lt;&gt;"09")),"mobile must be 09XXXXXXXX or status invalid; ","")&amp;IF(T321="","missing neighborhood_id; ","")))))</x:f>
      </x:c>
    </x:row>
    <x:row r="322">
      <x:c r="A322" s="232"/>
      <x:c r="B322" s="233"/>
      <x:c r="C322" s="234"/>
      <x:c r="D322" s="233"/>
      <x:c r="E322" s="233"/>
      <x:c r="F322" s="233"/>
      <x:c r="G322" s="233"/>
      <x:c r="H322" s="233"/>
      <x:c r="I322" s="233"/>
      <x:c r="J322" s="233"/>
      <x:c r="K322" s="233" t="str">
        <x:f>TRIM(G322&amp;" "&amp;H322&amp;" "&amp;I322&amp;IF(J322&lt;&gt;""," ("&amp;J322&amp;")",""))</x:f>
      </x:c>
      <x:c r="L322" s="233"/>
      <x:c r="M322" s="234"/>
      <x:c r="N322" s="233"/>
      <x:c r="O322" s="233"/>
      <x:c r="P322" s="233"/>
      <x:c r="Q322" s="233"/>
      <x:c r="R322" s="233"/>
      <x:c r="S322" s="233"/>
      <x:c r="T322" s="233"/>
      <x:c r="U322" s="233"/>
      <x:c r="V322" s="233"/>
      <x:c r="W322" s="235"/>
      <x:c r="X322" s="235"/>
      <x:c r="Y322" s="233"/>
      <x:c r="Z322" s="233"/>
      <x:c r="AA322" s="233"/>
      <x:c r="AB322" s="233"/>
      <x:c r="AC322" s="236"/>
      <x:c r="AD322" s="233"/>
      <x:c r="AE322" s="233"/>
      <x:c r="AF322" s="233"/>
      <x:c r="AG322" s="233"/>
      <x:c r="AH322" s="234"/>
      <x:c r="AI322" s="233"/>
      <x:c r="AJ322" s="233"/>
      <x:c r="AK322" s="233"/>
      <x:c r="AL322" s="236"/>
      <x:c r="AM322" s="233"/>
      <x:c r="AN322" s="233"/>
      <x:c r="AO322" s="234"/>
      <x:c r="AP322" s="234"/>
      <x:c r="AQ322" s="233"/>
      <x:c r="AR322" s="236"/>
      <x:c r="AS322" s="234"/>
      <x:c r="AT322" s="233"/>
      <x:c r="AU322" s="233"/>
      <x:c r="AV322" s="233"/>
      <x:c r="AW322" s="233"/>
      <x:c r="AX322" s="233"/>
      <x:c r="AY322" s="233"/>
      <x:c r="AZ322" s="236"/>
      <x:c r="BA322" s="233"/>
      <x:c r="BB322" s="233"/>
      <x:c r="BC322" s="233"/>
      <x:c r="BD322" s="233"/>
      <x:c r="BE322" s="237" t="str">
        <x:f>IF(AND(A322="",B322="",C322="",E322="",G322="",I322="",M322="",T322="",BB322="",BD322=""),"",IF(B322="skip","SKIP",IF(OR(B322="",A322="",E322="",G322="",I322="",M322="",T322="",COUNTIF($A$6:$A$505,A322)&gt;1,COUNTIF($M$6:$M$505,M322)&gt;1,AND(L322="mobile",N322&lt;&gt;"invalid",OR(LEN(M322)&lt;&gt;10,LEFT(M322,2)&lt;&gt;"09"))),"REVIEW","READY")))</x:f>
      </x:c>
      <x:c r="BF322" s="238" t="str">
        <x:f>IF(BE322="","",IF(BE322="READY","",IF(B322="skip","Skipped by import_action",TRIM(IF(B322="","missing import_action; ","")&amp;IF(A322="","missing migration_customer_key; ","")&amp;IF(AND(A322&lt;&gt;"",COUNTIF($A$6:$A$505,A322)&gt;1),"duplicate migration_customer_key; ","")&amp;IF(E322="","missing branch_id; ","")&amp;IF(G322="","missing first_name; ","")&amp;IF(I322="","missing last_name; ","")&amp;IF(M322="","missing primary_phone; ","")&amp;IF(AND(M322&lt;&gt;"",COUNTIF($M$6:$M$505,M322)&gt;1),"duplicate primary_phone; ","")&amp;IF(AND(L322="mobile",N322&lt;&gt;"invalid",OR(LEN(M322)&lt;&gt;10,LEFT(M322,2)&lt;&gt;"09")),"mobile must be 09XXXXXXXX or status invalid; ","")&amp;IF(T322="","missing neighborhood_id; ","")))))</x:f>
      </x:c>
    </x:row>
    <x:row r="323">
      <x:c r="A323" s="232"/>
      <x:c r="B323" s="233"/>
      <x:c r="C323" s="234"/>
      <x:c r="D323" s="233"/>
      <x:c r="E323" s="233"/>
      <x:c r="F323" s="233"/>
      <x:c r="G323" s="233"/>
      <x:c r="H323" s="233"/>
      <x:c r="I323" s="233"/>
      <x:c r="J323" s="233"/>
      <x:c r="K323" s="233" t="str">
        <x:f>TRIM(G323&amp;" "&amp;H323&amp;" "&amp;I323&amp;IF(J323&lt;&gt;""," ("&amp;J323&amp;")",""))</x:f>
      </x:c>
      <x:c r="L323" s="233"/>
      <x:c r="M323" s="234"/>
      <x:c r="N323" s="233"/>
      <x:c r="O323" s="233"/>
      <x:c r="P323" s="233"/>
      <x:c r="Q323" s="233"/>
      <x:c r="R323" s="233"/>
      <x:c r="S323" s="233"/>
      <x:c r="T323" s="233"/>
      <x:c r="U323" s="233"/>
      <x:c r="V323" s="233"/>
      <x:c r="W323" s="235"/>
      <x:c r="X323" s="235"/>
      <x:c r="Y323" s="233"/>
      <x:c r="Z323" s="233"/>
      <x:c r="AA323" s="233"/>
      <x:c r="AB323" s="233"/>
      <x:c r="AC323" s="236"/>
      <x:c r="AD323" s="233"/>
      <x:c r="AE323" s="233"/>
      <x:c r="AF323" s="233"/>
      <x:c r="AG323" s="233"/>
      <x:c r="AH323" s="234"/>
      <x:c r="AI323" s="233"/>
      <x:c r="AJ323" s="233"/>
      <x:c r="AK323" s="233"/>
      <x:c r="AL323" s="236"/>
      <x:c r="AM323" s="233"/>
      <x:c r="AN323" s="233"/>
      <x:c r="AO323" s="234"/>
      <x:c r="AP323" s="234"/>
      <x:c r="AQ323" s="233"/>
      <x:c r="AR323" s="236"/>
      <x:c r="AS323" s="234"/>
      <x:c r="AT323" s="233"/>
      <x:c r="AU323" s="233"/>
      <x:c r="AV323" s="233"/>
      <x:c r="AW323" s="233"/>
      <x:c r="AX323" s="233"/>
      <x:c r="AY323" s="233"/>
      <x:c r="AZ323" s="236"/>
      <x:c r="BA323" s="233"/>
      <x:c r="BB323" s="233"/>
      <x:c r="BC323" s="233"/>
      <x:c r="BD323" s="233"/>
      <x:c r="BE323" s="237" t="str">
        <x:f>IF(AND(A323="",B323="",C323="",E323="",G323="",I323="",M323="",T323="",BB323="",BD323=""),"",IF(B323="skip","SKIP",IF(OR(B323="",A323="",E323="",G323="",I323="",M323="",T323="",COUNTIF($A$6:$A$505,A323)&gt;1,COUNTIF($M$6:$M$505,M323)&gt;1,AND(L323="mobile",N323&lt;&gt;"invalid",OR(LEN(M323)&lt;&gt;10,LEFT(M323,2)&lt;&gt;"09"))),"REVIEW","READY")))</x:f>
      </x:c>
      <x:c r="BF323" s="238" t="str">
        <x:f>IF(BE323="","",IF(BE323="READY","",IF(B323="skip","Skipped by import_action",TRIM(IF(B323="","missing import_action; ","")&amp;IF(A323="","missing migration_customer_key; ","")&amp;IF(AND(A323&lt;&gt;"",COUNTIF($A$6:$A$505,A323)&gt;1),"duplicate migration_customer_key; ","")&amp;IF(E323="","missing branch_id; ","")&amp;IF(G323="","missing first_name; ","")&amp;IF(I323="","missing last_name; ","")&amp;IF(M323="","missing primary_phone; ","")&amp;IF(AND(M323&lt;&gt;"",COUNTIF($M$6:$M$505,M323)&gt;1),"duplicate primary_phone; ","")&amp;IF(AND(L323="mobile",N323&lt;&gt;"invalid",OR(LEN(M323)&lt;&gt;10,LEFT(M323,2)&lt;&gt;"09")),"mobile must be 09XXXXXXXX or status invalid; ","")&amp;IF(T323="","missing neighborhood_id; ","")))))</x:f>
      </x:c>
    </x:row>
    <x:row r="324">
      <x:c r="A324" s="232"/>
      <x:c r="B324" s="233"/>
      <x:c r="C324" s="234"/>
      <x:c r="D324" s="233"/>
      <x:c r="E324" s="233"/>
      <x:c r="F324" s="233"/>
      <x:c r="G324" s="233"/>
      <x:c r="H324" s="233"/>
      <x:c r="I324" s="233"/>
      <x:c r="J324" s="233"/>
      <x:c r="K324" s="233" t="str">
        <x:f>TRIM(G324&amp;" "&amp;H324&amp;" "&amp;I324&amp;IF(J324&lt;&gt;""," ("&amp;J324&amp;")",""))</x:f>
      </x:c>
      <x:c r="L324" s="233"/>
      <x:c r="M324" s="234"/>
      <x:c r="N324" s="233"/>
      <x:c r="O324" s="233"/>
      <x:c r="P324" s="233"/>
      <x:c r="Q324" s="233"/>
      <x:c r="R324" s="233"/>
      <x:c r="S324" s="233"/>
      <x:c r="T324" s="233"/>
      <x:c r="U324" s="233"/>
      <x:c r="V324" s="233"/>
      <x:c r="W324" s="235"/>
      <x:c r="X324" s="235"/>
      <x:c r="Y324" s="233"/>
      <x:c r="Z324" s="233"/>
      <x:c r="AA324" s="233"/>
      <x:c r="AB324" s="233"/>
      <x:c r="AC324" s="236"/>
      <x:c r="AD324" s="233"/>
      <x:c r="AE324" s="233"/>
      <x:c r="AF324" s="233"/>
      <x:c r="AG324" s="233"/>
      <x:c r="AH324" s="234"/>
      <x:c r="AI324" s="233"/>
      <x:c r="AJ324" s="233"/>
      <x:c r="AK324" s="233"/>
      <x:c r="AL324" s="236"/>
      <x:c r="AM324" s="233"/>
      <x:c r="AN324" s="233"/>
      <x:c r="AO324" s="234"/>
      <x:c r="AP324" s="234"/>
      <x:c r="AQ324" s="233"/>
      <x:c r="AR324" s="236"/>
      <x:c r="AS324" s="234"/>
      <x:c r="AT324" s="233"/>
      <x:c r="AU324" s="233"/>
      <x:c r="AV324" s="233"/>
      <x:c r="AW324" s="233"/>
      <x:c r="AX324" s="233"/>
      <x:c r="AY324" s="233"/>
      <x:c r="AZ324" s="236"/>
      <x:c r="BA324" s="233"/>
      <x:c r="BB324" s="233"/>
      <x:c r="BC324" s="233"/>
      <x:c r="BD324" s="233"/>
      <x:c r="BE324" s="237" t="str">
        <x:f>IF(AND(A324="",B324="",C324="",E324="",G324="",I324="",M324="",T324="",BB324="",BD324=""),"",IF(B324="skip","SKIP",IF(OR(B324="",A324="",E324="",G324="",I324="",M324="",T324="",COUNTIF($A$6:$A$505,A324)&gt;1,COUNTIF($M$6:$M$505,M324)&gt;1,AND(L324="mobile",N324&lt;&gt;"invalid",OR(LEN(M324)&lt;&gt;10,LEFT(M324,2)&lt;&gt;"09"))),"REVIEW","READY")))</x:f>
      </x:c>
      <x:c r="BF324" s="238" t="str">
        <x:f>IF(BE324="","",IF(BE324="READY","",IF(B324="skip","Skipped by import_action",TRIM(IF(B324="","missing import_action; ","")&amp;IF(A324="","missing migration_customer_key; ","")&amp;IF(AND(A324&lt;&gt;"",COUNTIF($A$6:$A$505,A324)&gt;1),"duplicate migration_customer_key; ","")&amp;IF(E324="","missing branch_id; ","")&amp;IF(G324="","missing first_name; ","")&amp;IF(I324="","missing last_name; ","")&amp;IF(M324="","missing primary_phone; ","")&amp;IF(AND(M324&lt;&gt;"",COUNTIF($M$6:$M$505,M324)&gt;1),"duplicate primary_phone; ","")&amp;IF(AND(L324="mobile",N324&lt;&gt;"invalid",OR(LEN(M324)&lt;&gt;10,LEFT(M324,2)&lt;&gt;"09")),"mobile must be 09XXXXXXXX or status invalid; ","")&amp;IF(T324="","missing neighborhood_id; ","")))))</x:f>
      </x:c>
    </x:row>
    <x:row r="325">
      <x:c r="A325" s="232"/>
      <x:c r="B325" s="233"/>
      <x:c r="C325" s="234"/>
      <x:c r="D325" s="233"/>
      <x:c r="E325" s="233"/>
      <x:c r="F325" s="233"/>
      <x:c r="G325" s="233"/>
      <x:c r="H325" s="233"/>
      <x:c r="I325" s="233"/>
      <x:c r="J325" s="233"/>
      <x:c r="K325" s="233" t="str">
        <x:f>TRIM(G325&amp;" "&amp;H325&amp;" "&amp;I325&amp;IF(J325&lt;&gt;""," ("&amp;J325&amp;")",""))</x:f>
      </x:c>
      <x:c r="L325" s="233"/>
      <x:c r="M325" s="234"/>
      <x:c r="N325" s="233"/>
      <x:c r="O325" s="233"/>
      <x:c r="P325" s="233"/>
      <x:c r="Q325" s="233"/>
      <x:c r="R325" s="233"/>
      <x:c r="S325" s="233"/>
      <x:c r="T325" s="233"/>
      <x:c r="U325" s="233"/>
      <x:c r="V325" s="233"/>
      <x:c r="W325" s="235"/>
      <x:c r="X325" s="235"/>
      <x:c r="Y325" s="233"/>
      <x:c r="Z325" s="233"/>
      <x:c r="AA325" s="233"/>
      <x:c r="AB325" s="233"/>
      <x:c r="AC325" s="236"/>
      <x:c r="AD325" s="233"/>
      <x:c r="AE325" s="233"/>
      <x:c r="AF325" s="233"/>
      <x:c r="AG325" s="233"/>
      <x:c r="AH325" s="234"/>
      <x:c r="AI325" s="233"/>
      <x:c r="AJ325" s="233"/>
      <x:c r="AK325" s="233"/>
      <x:c r="AL325" s="236"/>
      <x:c r="AM325" s="233"/>
      <x:c r="AN325" s="233"/>
      <x:c r="AO325" s="234"/>
      <x:c r="AP325" s="234"/>
      <x:c r="AQ325" s="233"/>
      <x:c r="AR325" s="236"/>
      <x:c r="AS325" s="234"/>
      <x:c r="AT325" s="233"/>
      <x:c r="AU325" s="233"/>
      <x:c r="AV325" s="233"/>
      <x:c r="AW325" s="233"/>
      <x:c r="AX325" s="233"/>
      <x:c r="AY325" s="233"/>
      <x:c r="AZ325" s="236"/>
      <x:c r="BA325" s="233"/>
      <x:c r="BB325" s="233"/>
      <x:c r="BC325" s="233"/>
      <x:c r="BD325" s="233"/>
      <x:c r="BE325" s="237" t="str">
        <x:f>IF(AND(A325="",B325="",C325="",E325="",G325="",I325="",M325="",T325="",BB325="",BD325=""),"",IF(B325="skip","SKIP",IF(OR(B325="",A325="",E325="",G325="",I325="",M325="",T325="",COUNTIF($A$6:$A$505,A325)&gt;1,COUNTIF($M$6:$M$505,M325)&gt;1,AND(L325="mobile",N325&lt;&gt;"invalid",OR(LEN(M325)&lt;&gt;10,LEFT(M325,2)&lt;&gt;"09"))),"REVIEW","READY")))</x:f>
      </x:c>
      <x:c r="BF325" s="238" t="str">
        <x:f>IF(BE325="","",IF(BE325="READY","",IF(B325="skip","Skipped by import_action",TRIM(IF(B325="","missing import_action; ","")&amp;IF(A325="","missing migration_customer_key; ","")&amp;IF(AND(A325&lt;&gt;"",COUNTIF($A$6:$A$505,A325)&gt;1),"duplicate migration_customer_key; ","")&amp;IF(E325="","missing branch_id; ","")&amp;IF(G325="","missing first_name; ","")&amp;IF(I325="","missing last_name; ","")&amp;IF(M325="","missing primary_phone; ","")&amp;IF(AND(M325&lt;&gt;"",COUNTIF($M$6:$M$505,M325)&gt;1),"duplicate primary_phone; ","")&amp;IF(AND(L325="mobile",N325&lt;&gt;"invalid",OR(LEN(M325)&lt;&gt;10,LEFT(M325,2)&lt;&gt;"09")),"mobile must be 09XXXXXXXX or status invalid; ","")&amp;IF(T325="","missing neighborhood_id; ","")))))</x:f>
      </x:c>
    </x:row>
    <x:row r="326">
      <x:c r="A326" s="232"/>
      <x:c r="B326" s="233"/>
      <x:c r="C326" s="234"/>
      <x:c r="D326" s="233"/>
      <x:c r="E326" s="233"/>
      <x:c r="F326" s="233"/>
      <x:c r="G326" s="233"/>
      <x:c r="H326" s="233"/>
      <x:c r="I326" s="233"/>
      <x:c r="J326" s="233"/>
      <x:c r="K326" s="233" t="str">
        <x:f>TRIM(G326&amp;" "&amp;H326&amp;" "&amp;I326&amp;IF(J326&lt;&gt;""," ("&amp;J326&amp;")",""))</x:f>
      </x:c>
      <x:c r="L326" s="233"/>
      <x:c r="M326" s="234"/>
      <x:c r="N326" s="233"/>
      <x:c r="O326" s="233"/>
      <x:c r="P326" s="233"/>
      <x:c r="Q326" s="233"/>
      <x:c r="R326" s="233"/>
      <x:c r="S326" s="233"/>
      <x:c r="T326" s="233"/>
      <x:c r="U326" s="233"/>
      <x:c r="V326" s="233"/>
      <x:c r="W326" s="235"/>
      <x:c r="X326" s="235"/>
      <x:c r="Y326" s="233"/>
      <x:c r="Z326" s="233"/>
      <x:c r="AA326" s="233"/>
      <x:c r="AB326" s="233"/>
      <x:c r="AC326" s="236"/>
      <x:c r="AD326" s="233"/>
      <x:c r="AE326" s="233"/>
      <x:c r="AF326" s="233"/>
      <x:c r="AG326" s="233"/>
      <x:c r="AH326" s="234"/>
      <x:c r="AI326" s="233"/>
      <x:c r="AJ326" s="233"/>
      <x:c r="AK326" s="233"/>
      <x:c r="AL326" s="236"/>
      <x:c r="AM326" s="233"/>
      <x:c r="AN326" s="233"/>
      <x:c r="AO326" s="234"/>
      <x:c r="AP326" s="234"/>
      <x:c r="AQ326" s="233"/>
      <x:c r="AR326" s="236"/>
      <x:c r="AS326" s="234"/>
      <x:c r="AT326" s="233"/>
      <x:c r="AU326" s="233"/>
      <x:c r="AV326" s="233"/>
      <x:c r="AW326" s="233"/>
      <x:c r="AX326" s="233"/>
      <x:c r="AY326" s="233"/>
      <x:c r="AZ326" s="236"/>
      <x:c r="BA326" s="233"/>
      <x:c r="BB326" s="233"/>
      <x:c r="BC326" s="233"/>
      <x:c r="BD326" s="233"/>
      <x:c r="BE326" s="237" t="str">
        <x:f>IF(AND(A326="",B326="",C326="",E326="",G326="",I326="",M326="",T326="",BB326="",BD326=""),"",IF(B326="skip","SKIP",IF(OR(B326="",A326="",E326="",G326="",I326="",M326="",T326="",COUNTIF($A$6:$A$505,A326)&gt;1,COUNTIF($M$6:$M$505,M326)&gt;1,AND(L326="mobile",N326&lt;&gt;"invalid",OR(LEN(M326)&lt;&gt;10,LEFT(M326,2)&lt;&gt;"09"))),"REVIEW","READY")))</x:f>
      </x:c>
      <x:c r="BF326" s="238" t="str">
        <x:f>IF(BE326="","",IF(BE326="READY","",IF(B326="skip","Skipped by import_action",TRIM(IF(B326="","missing import_action; ","")&amp;IF(A326="","missing migration_customer_key; ","")&amp;IF(AND(A326&lt;&gt;"",COUNTIF($A$6:$A$505,A326)&gt;1),"duplicate migration_customer_key; ","")&amp;IF(E326="","missing branch_id; ","")&amp;IF(G326="","missing first_name; ","")&amp;IF(I326="","missing last_name; ","")&amp;IF(M326="","missing primary_phone; ","")&amp;IF(AND(M326&lt;&gt;"",COUNTIF($M$6:$M$505,M326)&gt;1),"duplicate primary_phone; ","")&amp;IF(AND(L326="mobile",N326&lt;&gt;"invalid",OR(LEN(M326)&lt;&gt;10,LEFT(M326,2)&lt;&gt;"09")),"mobile must be 09XXXXXXXX or status invalid; ","")&amp;IF(T326="","missing neighborhood_id; ","")))))</x:f>
      </x:c>
    </x:row>
    <x:row r="327">
      <x:c r="A327" s="232"/>
      <x:c r="B327" s="233"/>
      <x:c r="C327" s="234"/>
      <x:c r="D327" s="233"/>
      <x:c r="E327" s="233"/>
      <x:c r="F327" s="233"/>
      <x:c r="G327" s="233"/>
      <x:c r="H327" s="233"/>
      <x:c r="I327" s="233"/>
      <x:c r="J327" s="233"/>
      <x:c r="K327" s="233" t="str">
        <x:f>TRIM(G327&amp;" "&amp;H327&amp;" "&amp;I327&amp;IF(J327&lt;&gt;""," ("&amp;J327&amp;")",""))</x:f>
      </x:c>
      <x:c r="L327" s="233"/>
      <x:c r="M327" s="234"/>
      <x:c r="N327" s="233"/>
      <x:c r="O327" s="233"/>
      <x:c r="P327" s="233"/>
      <x:c r="Q327" s="233"/>
      <x:c r="R327" s="233"/>
      <x:c r="S327" s="233"/>
      <x:c r="T327" s="233"/>
      <x:c r="U327" s="233"/>
      <x:c r="V327" s="233"/>
      <x:c r="W327" s="235"/>
      <x:c r="X327" s="235"/>
      <x:c r="Y327" s="233"/>
      <x:c r="Z327" s="233"/>
      <x:c r="AA327" s="233"/>
      <x:c r="AB327" s="233"/>
      <x:c r="AC327" s="236"/>
      <x:c r="AD327" s="233"/>
      <x:c r="AE327" s="233"/>
      <x:c r="AF327" s="233"/>
      <x:c r="AG327" s="233"/>
      <x:c r="AH327" s="234"/>
      <x:c r="AI327" s="233"/>
      <x:c r="AJ327" s="233"/>
      <x:c r="AK327" s="233"/>
      <x:c r="AL327" s="236"/>
      <x:c r="AM327" s="233"/>
      <x:c r="AN327" s="233"/>
      <x:c r="AO327" s="234"/>
      <x:c r="AP327" s="234"/>
      <x:c r="AQ327" s="233"/>
      <x:c r="AR327" s="236"/>
      <x:c r="AS327" s="234"/>
      <x:c r="AT327" s="233"/>
      <x:c r="AU327" s="233"/>
      <x:c r="AV327" s="233"/>
      <x:c r="AW327" s="233"/>
      <x:c r="AX327" s="233"/>
      <x:c r="AY327" s="233"/>
      <x:c r="AZ327" s="236"/>
      <x:c r="BA327" s="233"/>
      <x:c r="BB327" s="233"/>
      <x:c r="BC327" s="233"/>
      <x:c r="BD327" s="233"/>
      <x:c r="BE327" s="237" t="str">
        <x:f>IF(AND(A327="",B327="",C327="",E327="",G327="",I327="",M327="",T327="",BB327="",BD327=""),"",IF(B327="skip","SKIP",IF(OR(B327="",A327="",E327="",G327="",I327="",M327="",T327="",COUNTIF($A$6:$A$505,A327)&gt;1,COUNTIF($M$6:$M$505,M327)&gt;1,AND(L327="mobile",N327&lt;&gt;"invalid",OR(LEN(M327)&lt;&gt;10,LEFT(M327,2)&lt;&gt;"09"))),"REVIEW","READY")))</x:f>
      </x:c>
      <x:c r="BF327" s="238" t="str">
        <x:f>IF(BE327="","",IF(BE327="READY","",IF(B327="skip","Skipped by import_action",TRIM(IF(B327="","missing import_action; ","")&amp;IF(A327="","missing migration_customer_key; ","")&amp;IF(AND(A327&lt;&gt;"",COUNTIF($A$6:$A$505,A327)&gt;1),"duplicate migration_customer_key; ","")&amp;IF(E327="","missing branch_id; ","")&amp;IF(G327="","missing first_name; ","")&amp;IF(I327="","missing last_name; ","")&amp;IF(M327="","missing primary_phone; ","")&amp;IF(AND(M327&lt;&gt;"",COUNTIF($M$6:$M$505,M327)&gt;1),"duplicate primary_phone; ","")&amp;IF(AND(L327="mobile",N327&lt;&gt;"invalid",OR(LEN(M327)&lt;&gt;10,LEFT(M327,2)&lt;&gt;"09")),"mobile must be 09XXXXXXXX or status invalid; ","")&amp;IF(T327="","missing neighborhood_id; ","")))))</x:f>
      </x:c>
    </x:row>
    <x:row r="328">
      <x:c r="A328" s="232"/>
      <x:c r="B328" s="233"/>
      <x:c r="C328" s="234"/>
      <x:c r="D328" s="233"/>
      <x:c r="E328" s="233"/>
      <x:c r="F328" s="233"/>
      <x:c r="G328" s="233"/>
      <x:c r="H328" s="233"/>
      <x:c r="I328" s="233"/>
      <x:c r="J328" s="233"/>
      <x:c r="K328" s="233" t="str">
        <x:f>TRIM(G328&amp;" "&amp;H328&amp;" "&amp;I328&amp;IF(J328&lt;&gt;""," ("&amp;J328&amp;")",""))</x:f>
      </x:c>
      <x:c r="L328" s="233"/>
      <x:c r="M328" s="234"/>
      <x:c r="N328" s="233"/>
      <x:c r="O328" s="233"/>
      <x:c r="P328" s="233"/>
      <x:c r="Q328" s="233"/>
      <x:c r="R328" s="233"/>
      <x:c r="S328" s="233"/>
      <x:c r="T328" s="233"/>
      <x:c r="U328" s="233"/>
      <x:c r="V328" s="233"/>
      <x:c r="W328" s="235"/>
      <x:c r="X328" s="235"/>
      <x:c r="Y328" s="233"/>
      <x:c r="Z328" s="233"/>
      <x:c r="AA328" s="233"/>
      <x:c r="AB328" s="233"/>
      <x:c r="AC328" s="236"/>
      <x:c r="AD328" s="233"/>
      <x:c r="AE328" s="233"/>
      <x:c r="AF328" s="233"/>
      <x:c r="AG328" s="233"/>
      <x:c r="AH328" s="234"/>
      <x:c r="AI328" s="233"/>
      <x:c r="AJ328" s="233"/>
      <x:c r="AK328" s="233"/>
      <x:c r="AL328" s="236"/>
      <x:c r="AM328" s="233"/>
      <x:c r="AN328" s="233"/>
      <x:c r="AO328" s="234"/>
      <x:c r="AP328" s="234"/>
      <x:c r="AQ328" s="233"/>
      <x:c r="AR328" s="236"/>
      <x:c r="AS328" s="234"/>
      <x:c r="AT328" s="233"/>
      <x:c r="AU328" s="233"/>
      <x:c r="AV328" s="233"/>
      <x:c r="AW328" s="233"/>
      <x:c r="AX328" s="233"/>
      <x:c r="AY328" s="233"/>
      <x:c r="AZ328" s="236"/>
      <x:c r="BA328" s="233"/>
      <x:c r="BB328" s="233"/>
      <x:c r="BC328" s="233"/>
      <x:c r="BD328" s="233"/>
      <x:c r="BE328" s="237" t="str">
        <x:f>IF(AND(A328="",B328="",C328="",E328="",G328="",I328="",M328="",T328="",BB328="",BD328=""),"",IF(B328="skip","SKIP",IF(OR(B328="",A328="",E328="",G328="",I328="",M328="",T328="",COUNTIF($A$6:$A$505,A328)&gt;1,COUNTIF($M$6:$M$505,M328)&gt;1,AND(L328="mobile",N328&lt;&gt;"invalid",OR(LEN(M328)&lt;&gt;10,LEFT(M328,2)&lt;&gt;"09"))),"REVIEW","READY")))</x:f>
      </x:c>
      <x:c r="BF328" s="238" t="str">
        <x:f>IF(BE328="","",IF(BE328="READY","",IF(B328="skip","Skipped by import_action",TRIM(IF(B328="","missing import_action; ","")&amp;IF(A328="","missing migration_customer_key; ","")&amp;IF(AND(A328&lt;&gt;"",COUNTIF($A$6:$A$505,A328)&gt;1),"duplicate migration_customer_key; ","")&amp;IF(E328="","missing branch_id; ","")&amp;IF(G328="","missing first_name; ","")&amp;IF(I328="","missing last_name; ","")&amp;IF(M328="","missing primary_phone; ","")&amp;IF(AND(M328&lt;&gt;"",COUNTIF($M$6:$M$505,M328)&gt;1),"duplicate primary_phone; ","")&amp;IF(AND(L328="mobile",N328&lt;&gt;"invalid",OR(LEN(M328)&lt;&gt;10,LEFT(M328,2)&lt;&gt;"09")),"mobile must be 09XXXXXXXX or status invalid; ","")&amp;IF(T328="","missing neighborhood_id; ","")))))</x:f>
      </x:c>
    </x:row>
    <x:row r="329">
      <x:c r="A329" s="232"/>
      <x:c r="B329" s="233"/>
      <x:c r="C329" s="234"/>
      <x:c r="D329" s="233"/>
      <x:c r="E329" s="233"/>
      <x:c r="F329" s="233"/>
      <x:c r="G329" s="233"/>
      <x:c r="H329" s="233"/>
      <x:c r="I329" s="233"/>
      <x:c r="J329" s="233"/>
      <x:c r="K329" s="233" t="str">
        <x:f>TRIM(G329&amp;" "&amp;H329&amp;" "&amp;I329&amp;IF(J329&lt;&gt;""," ("&amp;J329&amp;")",""))</x:f>
      </x:c>
      <x:c r="L329" s="233"/>
      <x:c r="M329" s="234"/>
      <x:c r="N329" s="233"/>
      <x:c r="O329" s="233"/>
      <x:c r="P329" s="233"/>
      <x:c r="Q329" s="233"/>
      <x:c r="R329" s="233"/>
      <x:c r="S329" s="233"/>
      <x:c r="T329" s="233"/>
      <x:c r="U329" s="233"/>
      <x:c r="V329" s="233"/>
      <x:c r="W329" s="235"/>
      <x:c r="X329" s="235"/>
      <x:c r="Y329" s="233"/>
      <x:c r="Z329" s="233"/>
      <x:c r="AA329" s="233"/>
      <x:c r="AB329" s="233"/>
      <x:c r="AC329" s="236"/>
      <x:c r="AD329" s="233"/>
      <x:c r="AE329" s="233"/>
      <x:c r="AF329" s="233"/>
      <x:c r="AG329" s="233"/>
      <x:c r="AH329" s="234"/>
      <x:c r="AI329" s="233"/>
      <x:c r="AJ329" s="233"/>
      <x:c r="AK329" s="233"/>
      <x:c r="AL329" s="236"/>
      <x:c r="AM329" s="233"/>
      <x:c r="AN329" s="233"/>
      <x:c r="AO329" s="234"/>
      <x:c r="AP329" s="234"/>
      <x:c r="AQ329" s="233"/>
      <x:c r="AR329" s="236"/>
      <x:c r="AS329" s="234"/>
      <x:c r="AT329" s="233"/>
      <x:c r="AU329" s="233"/>
      <x:c r="AV329" s="233"/>
      <x:c r="AW329" s="233"/>
      <x:c r="AX329" s="233"/>
      <x:c r="AY329" s="233"/>
      <x:c r="AZ329" s="236"/>
      <x:c r="BA329" s="233"/>
      <x:c r="BB329" s="233"/>
      <x:c r="BC329" s="233"/>
      <x:c r="BD329" s="233"/>
      <x:c r="BE329" s="237" t="str">
        <x:f>IF(AND(A329="",B329="",C329="",E329="",G329="",I329="",M329="",T329="",BB329="",BD329=""),"",IF(B329="skip","SKIP",IF(OR(B329="",A329="",E329="",G329="",I329="",M329="",T329="",COUNTIF($A$6:$A$505,A329)&gt;1,COUNTIF($M$6:$M$505,M329)&gt;1,AND(L329="mobile",N329&lt;&gt;"invalid",OR(LEN(M329)&lt;&gt;10,LEFT(M329,2)&lt;&gt;"09"))),"REVIEW","READY")))</x:f>
      </x:c>
      <x:c r="BF329" s="238" t="str">
        <x:f>IF(BE329="","",IF(BE329="READY","",IF(B329="skip","Skipped by import_action",TRIM(IF(B329="","missing import_action; ","")&amp;IF(A329="","missing migration_customer_key; ","")&amp;IF(AND(A329&lt;&gt;"",COUNTIF($A$6:$A$505,A329)&gt;1),"duplicate migration_customer_key; ","")&amp;IF(E329="","missing branch_id; ","")&amp;IF(G329="","missing first_name; ","")&amp;IF(I329="","missing last_name; ","")&amp;IF(M329="","missing primary_phone; ","")&amp;IF(AND(M329&lt;&gt;"",COUNTIF($M$6:$M$505,M329)&gt;1),"duplicate primary_phone; ","")&amp;IF(AND(L329="mobile",N329&lt;&gt;"invalid",OR(LEN(M329)&lt;&gt;10,LEFT(M329,2)&lt;&gt;"09")),"mobile must be 09XXXXXXXX or status invalid; ","")&amp;IF(T329="","missing neighborhood_id; ","")))))</x:f>
      </x:c>
    </x:row>
    <x:row r="330">
      <x:c r="A330" s="232"/>
      <x:c r="B330" s="233"/>
      <x:c r="C330" s="234"/>
      <x:c r="D330" s="233"/>
      <x:c r="E330" s="233"/>
      <x:c r="F330" s="233"/>
      <x:c r="G330" s="233"/>
      <x:c r="H330" s="233"/>
      <x:c r="I330" s="233"/>
      <x:c r="J330" s="233"/>
      <x:c r="K330" s="233" t="str">
        <x:f>TRIM(G330&amp;" "&amp;H330&amp;" "&amp;I330&amp;IF(J330&lt;&gt;""," ("&amp;J330&amp;")",""))</x:f>
      </x:c>
      <x:c r="L330" s="233"/>
      <x:c r="M330" s="234"/>
      <x:c r="N330" s="233"/>
      <x:c r="O330" s="233"/>
      <x:c r="P330" s="233"/>
      <x:c r="Q330" s="233"/>
      <x:c r="R330" s="233"/>
      <x:c r="S330" s="233"/>
      <x:c r="T330" s="233"/>
      <x:c r="U330" s="233"/>
      <x:c r="V330" s="233"/>
      <x:c r="W330" s="235"/>
      <x:c r="X330" s="235"/>
      <x:c r="Y330" s="233"/>
      <x:c r="Z330" s="233"/>
      <x:c r="AA330" s="233"/>
      <x:c r="AB330" s="233"/>
      <x:c r="AC330" s="236"/>
      <x:c r="AD330" s="233"/>
      <x:c r="AE330" s="233"/>
      <x:c r="AF330" s="233"/>
      <x:c r="AG330" s="233"/>
      <x:c r="AH330" s="234"/>
      <x:c r="AI330" s="233"/>
      <x:c r="AJ330" s="233"/>
      <x:c r="AK330" s="233"/>
      <x:c r="AL330" s="236"/>
      <x:c r="AM330" s="233"/>
      <x:c r="AN330" s="233"/>
      <x:c r="AO330" s="234"/>
      <x:c r="AP330" s="234"/>
      <x:c r="AQ330" s="233"/>
      <x:c r="AR330" s="236"/>
      <x:c r="AS330" s="234"/>
      <x:c r="AT330" s="233"/>
      <x:c r="AU330" s="233"/>
      <x:c r="AV330" s="233"/>
      <x:c r="AW330" s="233"/>
      <x:c r="AX330" s="233"/>
      <x:c r="AY330" s="233"/>
      <x:c r="AZ330" s="236"/>
      <x:c r="BA330" s="233"/>
      <x:c r="BB330" s="233"/>
      <x:c r="BC330" s="233"/>
      <x:c r="BD330" s="233"/>
      <x:c r="BE330" s="237" t="str">
        <x:f>IF(AND(A330="",B330="",C330="",E330="",G330="",I330="",M330="",T330="",BB330="",BD330=""),"",IF(B330="skip","SKIP",IF(OR(B330="",A330="",E330="",G330="",I330="",M330="",T330="",COUNTIF($A$6:$A$505,A330)&gt;1,COUNTIF($M$6:$M$505,M330)&gt;1,AND(L330="mobile",N330&lt;&gt;"invalid",OR(LEN(M330)&lt;&gt;10,LEFT(M330,2)&lt;&gt;"09"))),"REVIEW","READY")))</x:f>
      </x:c>
      <x:c r="BF330" s="238" t="str">
        <x:f>IF(BE330="","",IF(BE330="READY","",IF(B330="skip","Skipped by import_action",TRIM(IF(B330="","missing import_action; ","")&amp;IF(A330="","missing migration_customer_key; ","")&amp;IF(AND(A330&lt;&gt;"",COUNTIF($A$6:$A$505,A330)&gt;1),"duplicate migration_customer_key; ","")&amp;IF(E330="","missing branch_id; ","")&amp;IF(G330="","missing first_name; ","")&amp;IF(I330="","missing last_name; ","")&amp;IF(M330="","missing primary_phone; ","")&amp;IF(AND(M330&lt;&gt;"",COUNTIF($M$6:$M$505,M330)&gt;1),"duplicate primary_phone; ","")&amp;IF(AND(L330="mobile",N330&lt;&gt;"invalid",OR(LEN(M330)&lt;&gt;10,LEFT(M330,2)&lt;&gt;"09")),"mobile must be 09XXXXXXXX or status invalid; ","")&amp;IF(T330="","missing neighborhood_id; ","")))))</x:f>
      </x:c>
    </x:row>
    <x:row r="331">
      <x:c r="A331" s="232"/>
      <x:c r="B331" s="233"/>
      <x:c r="C331" s="234"/>
      <x:c r="D331" s="233"/>
      <x:c r="E331" s="233"/>
      <x:c r="F331" s="233"/>
      <x:c r="G331" s="233"/>
      <x:c r="H331" s="233"/>
      <x:c r="I331" s="233"/>
      <x:c r="J331" s="233"/>
      <x:c r="K331" s="233" t="str">
        <x:f>TRIM(G331&amp;" "&amp;H331&amp;" "&amp;I331&amp;IF(J331&lt;&gt;""," ("&amp;J331&amp;")",""))</x:f>
      </x:c>
      <x:c r="L331" s="233"/>
      <x:c r="M331" s="234"/>
      <x:c r="N331" s="233"/>
      <x:c r="O331" s="233"/>
      <x:c r="P331" s="233"/>
      <x:c r="Q331" s="233"/>
      <x:c r="R331" s="233"/>
      <x:c r="S331" s="233"/>
      <x:c r="T331" s="233"/>
      <x:c r="U331" s="233"/>
      <x:c r="V331" s="233"/>
      <x:c r="W331" s="235"/>
      <x:c r="X331" s="235"/>
      <x:c r="Y331" s="233"/>
      <x:c r="Z331" s="233"/>
      <x:c r="AA331" s="233"/>
      <x:c r="AB331" s="233"/>
      <x:c r="AC331" s="236"/>
      <x:c r="AD331" s="233"/>
      <x:c r="AE331" s="233"/>
      <x:c r="AF331" s="233"/>
      <x:c r="AG331" s="233"/>
      <x:c r="AH331" s="234"/>
      <x:c r="AI331" s="233"/>
      <x:c r="AJ331" s="233"/>
      <x:c r="AK331" s="233"/>
      <x:c r="AL331" s="236"/>
      <x:c r="AM331" s="233"/>
      <x:c r="AN331" s="233"/>
      <x:c r="AO331" s="234"/>
      <x:c r="AP331" s="234"/>
      <x:c r="AQ331" s="233"/>
      <x:c r="AR331" s="236"/>
      <x:c r="AS331" s="234"/>
      <x:c r="AT331" s="233"/>
      <x:c r="AU331" s="233"/>
      <x:c r="AV331" s="233"/>
      <x:c r="AW331" s="233"/>
      <x:c r="AX331" s="233"/>
      <x:c r="AY331" s="233"/>
      <x:c r="AZ331" s="236"/>
      <x:c r="BA331" s="233"/>
      <x:c r="BB331" s="233"/>
      <x:c r="BC331" s="233"/>
      <x:c r="BD331" s="233"/>
      <x:c r="BE331" s="237" t="str">
        <x:f>IF(AND(A331="",B331="",C331="",E331="",G331="",I331="",M331="",T331="",BB331="",BD331=""),"",IF(B331="skip","SKIP",IF(OR(B331="",A331="",E331="",G331="",I331="",M331="",T331="",COUNTIF($A$6:$A$505,A331)&gt;1,COUNTIF($M$6:$M$505,M331)&gt;1,AND(L331="mobile",N331&lt;&gt;"invalid",OR(LEN(M331)&lt;&gt;10,LEFT(M331,2)&lt;&gt;"09"))),"REVIEW","READY")))</x:f>
      </x:c>
      <x:c r="BF331" s="238" t="str">
        <x:f>IF(BE331="","",IF(BE331="READY","",IF(B331="skip","Skipped by import_action",TRIM(IF(B331="","missing import_action; ","")&amp;IF(A331="","missing migration_customer_key; ","")&amp;IF(AND(A331&lt;&gt;"",COUNTIF($A$6:$A$505,A331)&gt;1),"duplicate migration_customer_key; ","")&amp;IF(E331="","missing branch_id; ","")&amp;IF(G331="","missing first_name; ","")&amp;IF(I331="","missing last_name; ","")&amp;IF(M331="","missing primary_phone; ","")&amp;IF(AND(M331&lt;&gt;"",COUNTIF($M$6:$M$505,M331)&gt;1),"duplicate primary_phone; ","")&amp;IF(AND(L331="mobile",N331&lt;&gt;"invalid",OR(LEN(M331)&lt;&gt;10,LEFT(M331,2)&lt;&gt;"09")),"mobile must be 09XXXXXXXX or status invalid; ","")&amp;IF(T331="","missing neighborhood_id; ","")))))</x:f>
      </x:c>
    </x:row>
    <x:row r="332">
      <x:c r="A332" s="232"/>
      <x:c r="B332" s="233"/>
      <x:c r="C332" s="234"/>
      <x:c r="D332" s="233"/>
      <x:c r="E332" s="233"/>
      <x:c r="F332" s="233"/>
      <x:c r="G332" s="233"/>
      <x:c r="H332" s="233"/>
      <x:c r="I332" s="233"/>
      <x:c r="J332" s="233"/>
      <x:c r="K332" s="233" t="str">
        <x:f>TRIM(G332&amp;" "&amp;H332&amp;" "&amp;I332&amp;IF(J332&lt;&gt;""," ("&amp;J332&amp;")",""))</x:f>
      </x:c>
      <x:c r="L332" s="233"/>
      <x:c r="M332" s="234"/>
      <x:c r="N332" s="233"/>
      <x:c r="O332" s="233"/>
      <x:c r="P332" s="233"/>
      <x:c r="Q332" s="233"/>
      <x:c r="R332" s="233"/>
      <x:c r="S332" s="233"/>
      <x:c r="T332" s="233"/>
      <x:c r="U332" s="233"/>
      <x:c r="V332" s="233"/>
      <x:c r="W332" s="235"/>
      <x:c r="X332" s="235"/>
      <x:c r="Y332" s="233"/>
      <x:c r="Z332" s="233"/>
      <x:c r="AA332" s="233"/>
      <x:c r="AB332" s="233"/>
      <x:c r="AC332" s="236"/>
      <x:c r="AD332" s="233"/>
      <x:c r="AE332" s="233"/>
      <x:c r="AF332" s="233"/>
      <x:c r="AG332" s="233"/>
      <x:c r="AH332" s="234"/>
      <x:c r="AI332" s="233"/>
      <x:c r="AJ332" s="233"/>
      <x:c r="AK332" s="233"/>
      <x:c r="AL332" s="236"/>
      <x:c r="AM332" s="233"/>
      <x:c r="AN332" s="233"/>
      <x:c r="AO332" s="234"/>
      <x:c r="AP332" s="234"/>
      <x:c r="AQ332" s="233"/>
      <x:c r="AR332" s="236"/>
      <x:c r="AS332" s="234"/>
      <x:c r="AT332" s="233"/>
      <x:c r="AU332" s="233"/>
      <x:c r="AV332" s="233"/>
      <x:c r="AW332" s="233"/>
      <x:c r="AX332" s="233"/>
      <x:c r="AY332" s="233"/>
      <x:c r="AZ332" s="236"/>
      <x:c r="BA332" s="233"/>
      <x:c r="BB332" s="233"/>
      <x:c r="BC332" s="233"/>
      <x:c r="BD332" s="233"/>
      <x:c r="BE332" s="237" t="str">
        <x:f>IF(AND(A332="",B332="",C332="",E332="",G332="",I332="",M332="",T332="",BB332="",BD332=""),"",IF(B332="skip","SKIP",IF(OR(B332="",A332="",E332="",G332="",I332="",M332="",T332="",COUNTIF($A$6:$A$505,A332)&gt;1,COUNTIF($M$6:$M$505,M332)&gt;1,AND(L332="mobile",N332&lt;&gt;"invalid",OR(LEN(M332)&lt;&gt;10,LEFT(M332,2)&lt;&gt;"09"))),"REVIEW","READY")))</x:f>
      </x:c>
      <x:c r="BF332" s="238" t="str">
        <x:f>IF(BE332="","",IF(BE332="READY","",IF(B332="skip","Skipped by import_action",TRIM(IF(B332="","missing import_action; ","")&amp;IF(A332="","missing migration_customer_key; ","")&amp;IF(AND(A332&lt;&gt;"",COUNTIF($A$6:$A$505,A332)&gt;1),"duplicate migration_customer_key; ","")&amp;IF(E332="","missing branch_id; ","")&amp;IF(G332="","missing first_name; ","")&amp;IF(I332="","missing last_name; ","")&amp;IF(M332="","missing primary_phone; ","")&amp;IF(AND(M332&lt;&gt;"",COUNTIF($M$6:$M$505,M332)&gt;1),"duplicate primary_phone; ","")&amp;IF(AND(L332="mobile",N332&lt;&gt;"invalid",OR(LEN(M332)&lt;&gt;10,LEFT(M332,2)&lt;&gt;"09")),"mobile must be 09XXXXXXXX or status invalid; ","")&amp;IF(T332="","missing neighborhood_id; ","")))))</x:f>
      </x:c>
    </x:row>
    <x:row r="333">
      <x:c r="A333" s="232"/>
      <x:c r="B333" s="233"/>
      <x:c r="C333" s="234"/>
      <x:c r="D333" s="233"/>
      <x:c r="E333" s="233"/>
      <x:c r="F333" s="233"/>
      <x:c r="G333" s="233"/>
      <x:c r="H333" s="233"/>
      <x:c r="I333" s="233"/>
      <x:c r="J333" s="233"/>
      <x:c r="K333" s="233" t="str">
        <x:f>TRIM(G333&amp;" "&amp;H333&amp;" "&amp;I333&amp;IF(J333&lt;&gt;""," ("&amp;J333&amp;")",""))</x:f>
      </x:c>
      <x:c r="L333" s="233"/>
      <x:c r="M333" s="234"/>
      <x:c r="N333" s="233"/>
      <x:c r="O333" s="233"/>
      <x:c r="P333" s="233"/>
      <x:c r="Q333" s="233"/>
      <x:c r="R333" s="233"/>
      <x:c r="S333" s="233"/>
      <x:c r="T333" s="233"/>
      <x:c r="U333" s="233"/>
      <x:c r="V333" s="233"/>
      <x:c r="W333" s="235"/>
      <x:c r="X333" s="235"/>
      <x:c r="Y333" s="233"/>
      <x:c r="Z333" s="233"/>
      <x:c r="AA333" s="233"/>
      <x:c r="AB333" s="233"/>
      <x:c r="AC333" s="236"/>
      <x:c r="AD333" s="233"/>
      <x:c r="AE333" s="233"/>
      <x:c r="AF333" s="233"/>
      <x:c r="AG333" s="233"/>
      <x:c r="AH333" s="234"/>
      <x:c r="AI333" s="233"/>
      <x:c r="AJ333" s="233"/>
      <x:c r="AK333" s="233"/>
      <x:c r="AL333" s="236"/>
      <x:c r="AM333" s="233"/>
      <x:c r="AN333" s="233"/>
      <x:c r="AO333" s="234"/>
      <x:c r="AP333" s="234"/>
      <x:c r="AQ333" s="233"/>
      <x:c r="AR333" s="236"/>
      <x:c r="AS333" s="234"/>
      <x:c r="AT333" s="233"/>
      <x:c r="AU333" s="233"/>
      <x:c r="AV333" s="233"/>
      <x:c r="AW333" s="233"/>
      <x:c r="AX333" s="233"/>
      <x:c r="AY333" s="233"/>
      <x:c r="AZ333" s="236"/>
      <x:c r="BA333" s="233"/>
      <x:c r="BB333" s="233"/>
      <x:c r="BC333" s="233"/>
      <x:c r="BD333" s="233"/>
      <x:c r="BE333" s="237" t="str">
        <x:f>IF(AND(A333="",B333="",C333="",E333="",G333="",I333="",M333="",T333="",BB333="",BD333=""),"",IF(B333="skip","SKIP",IF(OR(B333="",A333="",E333="",G333="",I333="",M333="",T333="",COUNTIF($A$6:$A$505,A333)&gt;1,COUNTIF($M$6:$M$505,M333)&gt;1,AND(L333="mobile",N333&lt;&gt;"invalid",OR(LEN(M333)&lt;&gt;10,LEFT(M333,2)&lt;&gt;"09"))),"REVIEW","READY")))</x:f>
      </x:c>
      <x:c r="BF333" s="238" t="str">
        <x:f>IF(BE333="","",IF(BE333="READY","",IF(B333="skip","Skipped by import_action",TRIM(IF(B333="","missing import_action; ","")&amp;IF(A333="","missing migration_customer_key; ","")&amp;IF(AND(A333&lt;&gt;"",COUNTIF($A$6:$A$505,A333)&gt;1),"duplicate migration_customer_key; ","")&amp;IF(E333="","missing branch_id; ","")&amp;IF(G333="","missing first_name; ","")&amp;IF(I333="","missing last_name; ","")&amp;IF(M333="","missing primary_phone; ","")&amp;IF(AND(M333&lt;&gt;"",COUNTIF($M$6:$M$505,M333)&gt;1),"duplicate primary_phone; ","")&amp;IF(AND(L333="mobile",N333&lt;&gt;"invalid",OR(LEN(M333)&lt;&gt;10,LEFT(M333,2)&lt;&gt;"09")),"mobile must be 09XXXXXXXX or status invalid; ","")&amp;IF(T333="","missing neighborhood_id; ","")))))</x:f>
      </x:c>
    </x:row>
    <x:row r="334">
      <x:c r="A334" s="232"/>
      <x:c r="B334" s="233"/>
      <x:c r="C334" s="234"/>
      <x:c r="D334" s="233"/>
      <x:c r="E334" s="233"/>
      <x:c r="F334" s="233"/>
      <x:c r="G334" s="233"/>
      <x:c r="H334" s="233"/>
      <x:c r="I334" s="233"/>
      <x:c r="J334" s="233"/>
      <x:c r="K334" s="233" t="str">
        <x:f>TRIM(G334&amp;" "&amp;H334&amp;" "&amp;I334&amp;IF(J334&lt;&gt;""," ("&amp;J334&amp;")",""))</x:f>
      </x:c>
      <x:c r="L334" s="233"/>
      <x:c r="M334" s="234"/>
      <x:c r="N334" s="233"/>
      <x:c r="O334" s="233"/>
      <x:c r="P334" s="233"/>
      <x:c r="Q334" s="233"/>
      <x:c r="R334" s="233"/>
      <x:c r="S334" s="233"/>
      <x:c r="T334" s="233"/>
      <x:c r="U334" s="233"/>
      <x:c r="V334" s="233"/>
      <x:c r="W334" s="235"/>
      <x:c r="X334" s="235"/>
      <x:c r="Y334" s="233"/>
      <x:c r="Z334" s="233"/>
      <x:c r="AA334" s="233"/>
      <x:c r="AB334" s="233"/>
      <x:c r="AC334" s="236"/>
      <x:c r="AD334" s="233"/>
      <x:c r="AE334" s="233"/>
      <x:c r="AF334" s="233"/>
      <x:c r="AG334" s="233"/>
      <x:c r="AH334" s="234"/>
      <x:c r="AI334" s="233"/>
      <x:c r="AJ334" s="233"/>
      <x:c r="AK334" s="233"/>
      <x:c r="AL334" s="236"/>
      <x:c r="AM334" s="233"/>
      <x:c r="AN334" s="233"/>
      <x:c r="AO334" s="234"/>
      <x:c r="AP334" s="234"/>
      <x:c r="AQ334" s="233"/>
      <x:c r="AR334" s="236"/>
      <x:c r="AS334" s="234"/>
      <x:c r="AT334" s="233"/>
      <x:c r="AU334" s="233"/>
      <x:c r="AV334" s="233"/>
      <x:c r="AW334" s="233"/>
      <x:c r="AX334" s="233"/>
      <x:c r="AY334" s="233"/>
      <x:c r="AZ334" s="236"/>
      <x:c r="BA334" s="233"/>
      <x:c r="BB334" s="233"/>
      <x:c r="BC334" s="233"/>
      <x:c r="BD334" s="233"/>
      <x:c r="BE334" s="237" t="str">
        <x:f>IF(AND(A334="",B334="",C334="",E334="",G334="",I334="",M334="",T334="",BB334="",BD334=""),"",IF(B334="skip","SKIP",IF(OR(B334="",A334="",E334="",G334="",I334="",M334="",T334="",COUNTIF($A$6:$A$505,A334)&gt;1,COUNTIF($M$6:$M$505,M334)&gt;1,AND(L334="mobile",N334&lt;&gt;"invalid",OR(LEN(M334)&lt;&gt;10,LEFT(M334,2)&lt;&gt;"09"))),"REVIEW","READY")))</x:f>
      </x:c>
      <x:c r="BF334" s="238" t="str">
        <x:f>IF(BE334="","",IF(BE334="READY","",IF(B334="skip","Skipped by import_action",TRIM(IF(B334="","missing import_action; ","")&amp;IF(A334="","missing migration_customer_key; ","")&amp;IF(AND(A334&lt;&gt;"",COUNTIF($A$6:$A$505,A334)&gt;1),"duplicate migration_customer_key; ","")&amp;IF(E334="","missing branch_id; ","")&amp;IF(G334="","missing first_name; ","")&amp;IF(I334="","missing last_name; ","")&amp;IF(M334="","missing primary_phone; ","")&amp;IF(AND(M334&lt;&gt;"",COUNTIF($M$6:$M$505,M334)&gt;1),"duplicate primary_phone; ","")&amp;IF(AND(L334="mobile",N334&lt;&gt;"invalid",OR(LEN(M334)&lt;&gt;10,LEFT(M334,2)&lt;&gt;"09")),"mobile must be 09XXXXXXXX or status invalid; ","")&amp;IF(T334="","missing neighborhood_id; ","")))))</x:f>
      </x:c>
    </x:row>
    <x:row r="335">
      <x:c r="A335" s="232"/>
      <x:c r="B335" s="233"/>
      <x:c r="C335" s="234"/>
      <x:c r="D335" s="233"/>
      <x:c r="E335" s="233"/>
      <x:c r="F335" s="233"/>
      <x:c r="G335" s="233"/>
      <x:c r="H335" s="233"/>
      <x:c r="I335" s="233"/>
      <x:c r="J335" s="233"/>
      <x:c r="K335" s="233" t="str">
        <x:f>TRIM(G335&amp;" "&amp;H335&amp;" "&amp;I335&amp;IF(J335&lt;&gt;""," ("&amp;J335&amp;")",""))</x:f>
      </x:c>
      <x:c r="L335" s="233"/>
      <x:c r="M335" s="234"/>
      <x:c r="N335" s="233"/>
      <x:c r="O335" s="233"/>
      <x:c r="P335" s="233"/>
      <x:c r="Q335" s="233"/>
      <x:c r="R335" s="233"/>
      <x:c r="S335" s="233"/>
      <x:c r="T335" s="233"/>
      <x:c r="U335" s="233"/>
      <x:c r="V335" s="233"/>
      <x:c r="W335" s="235"/>
      <x:c r="X335" s="235"/>
      <x:c r="Y335" s="233"/>
      <x:c r="Z335" s="233"/>
      <x:c r="AA335" s="233"/>
      <x:c r="AB335" s="233"/>
      <x:c r="AC335" s="236"/>
      <x:c r="AD335" s="233"/>
      <x:c r="AE335" s="233"/>
      <x:c r="AF335" s="233"/>
      <x:c r="AG335" s="233"/>
      <x:c r="AH335" s="234"/>
      <x:c r="AI335" s="233"/>
      <x:c r="AJ335" s="233"/>
      <x:c r="AK335" s="233"/>
      <x:c r="AL335" s="236"/>
      <x:c r="AM335" s="233"/>
      <x:c r="AN335" s="233"/>
      <x:c r="AO335" s="234"/>
      <x:c r="AP335" s="234"/>
      <x:c r="AQ335" s="233"/>
      <x:c r="AR335" s="236"/>
      <x:c r="AS335" s="234"/>
      <x:c r="AT335" s="233"/>
      <x:c r="AU335" s="233"/>
      <x:c r="AV335" s="233"/>
      <x:c r="AW335" s="233"/>
      <x:c r="AX335" s="233"/>
      <x:c r="AY335" s="233"/>
      <x:c r="AZ335" s="236"/>
      <x:c r="BA335" s="233"/>
      <x:c r="BB335" s="233"/>
      <x:c r="BC335" s="233"/>
      <x:c r="BD335" s="233"/>
      <x:c r="BE335" s="237" t="str">
        <x:f>IF(AND(A335="",B335="",C335="",E335="",G335="",I335="",M335="",T335="",BB335="",BD335=""),"",IF(B335="skip","SKIP",IF(OR(B335="",A335="",E335="",G335="",I335="",M335="",T335="",COUNTIF($A$6:$A$505,A335)&gt;1,COUNTIF($M$6:$M$505,M335)&gt;1,AND(L335="mobile",N335&lt;&gt;"invalid",OR(LEN(M335)&lt;&gt;10,LEFT(M335,2)&lt;&gt;"09"))),"REVIEW","READY")))</x:f>
      </x:c>
      <x:c r="BF335" s="238" t="str">
        <x:f>IF(BE335="","",IF(BE335="READY","",IF(B335="skip","Skipped by import_action",TRIM(IF(B335="","missing import_action; ","")&amp;IF(A335="","missing migration_customer_key; ","")&amp;IF(AND(A335&lt;&gt;"",COUNTIF($A$6:$A$505,A335)&gt;1),"duplicate migration_customer_key; ","")&amp;IF(E335="","missing branch_id; ","")&amp;IF(G335="","missing first_name; ","")&amp;IF(I335="","missing last_name; ","")&amp;IF(M335="","missing primary_phone; ","")&amp;IF(AND(M335&lt;&gt;"",COUNTIF($M$6:$M$505,M335)&gt;1),"duplicate primary_phone; ","")&amp;IF(AND(L335="mobile",N335&lt;&gt;"invalid",OR(LEN(M335)&lt;&gt;10,LEFT(M335,2)&lt;&gt;"09")),"mobile must be 09XXXXXXXX or status invalid; ","")&amp;IF(T335="","missing neighborhood_id; ","")))))</x:f>
      </x:c>
    </x:row>
    <x:row r="336">
      <x:c r="A336" s="232"/>
      <x:c r="B336" s="233"/>
      <x:c r="C336" s="234"/>
      <x:c r="D336" s="233"/>
      <x:c r="E336" s="233"/>
      <x:c r="F336" s="233"/>
      <x:c r="G336" s="233"/>
      <x:c r="H336" s="233"/>
      <x:c r="I336" s="233"/>
      <x:c r="J336" s="233"/>
      <x:c r="K336" s="233" t="str">
        <x:f>TRIM(G336&amp;" "&amp;H336&amp;" "&amp;I336&amp;IF(J336&lt;&gt;""," ("&amp;J336&amp;")",""))</x:f>
      </x:c>
      <x:c r="L336" s="233"/>
      <x:c r="M336" s="234"/>
      <x:c r="N336" s="233"/>
      <x:c r="O336" s="233"/>
      <x:c r="P336" s="233"/>
      <x:c r="Q336" s="233"/>
      <x:c r="R336" s="233"/>
      <x:c r="S336" s="233"/>
      <x:c r="T336" s="233"/>
      <x:c r="U336" s="233"/>
      <x:c r="V336" s="233"/>
      <x:c r="W336" s="235"/>
      <x:c r="X336" s="235"/>
      <x:c r="Y336" s="233"/>
      <x:c r="Z336" s="233"/>
      <x:c r="AA336" s="233"/>
      <x:c r="AB336" s="233"/>
      <x:c r="AC336" s="236"/>
      <x:c r="AD336" s="233"/>
      <x:c r="AE336" s="233"/>
      <x:c r="AF336" s="233"/>
      <x:c r="AG336" s="233"/>
      <x:c r="AH336" s="234"/>
      <x:c r="AI336" s="233"/>
      <x:c r="AJ336" s="233"/>
      <x:c r="AK336" s="233"/>
      <x:c r="AL336" s="236"/>
      <x:c r="AM336" s="233"/>
      <x:c r="AN336" s="233"/>
      <x:c r="AO336" s="234"/>
      <x:c r="AP336" s="234"/>
      <x:c r="AQ336" s="233"/>
      <x:c r="AR336" s="236"/>
      <x:c r="AS336" s="234"/>
      <x:c r="AT336" s="233"/>
      <x:c r="AU336" s="233"/>
      <x:c r="AV336" s="233"/>
      <x:c r="AW336" s="233"/>
      <x:c r="AX336" s="233"/>
      <x:c r="AY336" s="233"/>
      <x:c r="AZ336" s="236"/>
      <x:c r="BA336" s="233"/>
      <x:c r="BB336" s="233"/>
      <x:c r="BC336" s="233"/>
      <x:c r="BD336" s="233"/>
      <x:c r="BE336" s="237" t="str">
        <x:f>IF(AND(A336="",B336="",C336="",E336="",G336="",I336="",M336="",T336="",BB336="",BD336=""),"",IF(B336="skip","SKIP",IF(OR(B336="",A336="",E336="",G336="",I336="",M336="",T336="",COUNTIF($A$6:$A$505,A336)&gt;1,COUNTIF($M$6:$M$505,M336)&gt;1,AND(L336="mobile",N336&lt;&gt;"invalid",OR(LEN(M336)&lt;&gt;10,LEFT(M336,2)&lt;&gt;"09"))),"REVIEW","READY")))</x:f>
      </x:c>
      <x:c r="BF336" s="238" t="str">
        <x:f>IF(BE336="","",IF(BE336="READY","",IF(B336="skip","Skipped by import_action",TRIM(IF(B336="","missing import_action; ","")&amp;IF(A336="","missing migration_customer_key; ","")&amp;IF(AND(A336&lt;&gt;"",COUNTIF($A$6:$A$505,A336)&gt;1),"duplicate migration_customer_key; ","")&amp;IF(E336="","missing branch_id; ","")&amp;IF(G336="","missing first_name; ","")&amp;IF(I336="","missing last_name; ","")&amp;IF(M336="","missing primary_phone; ","")&amp;IF(AND(M336&lt;&gt;"",COUNTIF($M$6:$M$505,M336)&gt;1),"duplicate primary_phone; ","")&amp;IF(AND(L336="mobile",N336&lt;&gt;"invalid",OR(LEN(M336)&lt;&gt;10,LEFT(M336,2)&lt;&gt;"09")),"mobile must be 09XXXXXXXX or status invalid; ","")&amp;IF(T336="","missing neighborhood_id; ","")))))</x:f>
      </x:c>
    </x:row>
    <x:row r="337">
      <x:c r="A337" s="232"/>
      <x:c r="B337" s="233"/>
      <x:c r="C337" s="234"/>
      <x:c r="D337" s="233"/>
      <x:c r="E337" s="233"/>
      <x:c r="F337" s="233"/>
      <x:c r="G337" s="233"/>
      <x:c r="H337" s="233"/>
      <x:c r="I337" s="233"/>
      <x:c r="J337" s="233"/>
      <x:c r="K337" s="233" t="str">
        <x:f>TRIM(G337&amp;" "&amp;H337&amp;" "&amp;I337&amp;IF(J337&lt;&gt;""," ("&amp;J337&amp;")",""))</x:f>
      </x:c>
      <x:c r="L337" s="233"/>
      <x:c r="M337" s="234"/>
      <x:c r="N337" s="233"/>
      <x:c r="O337" s="233"/>
      <x:c r="P337" s="233"/>
      <x:c r="Q337" s="233"/>
      <x:c r="R337" s="233"/>
      <x:c r="S337" s="233"/>
      <x:c r="T337" s="233"/>
      <x:c r="U337" s="233"/>
      <x:c r="V337" s="233"/>
      <x:c r="W337" s="235"/>
      <x:c r="X337" s="235"/>
      <x:c r="Y337" s="233"/>
      <x:c r="Z337" s="233"/>
      <x:c r="AA337" s="233"/>
      <x:c r="AB337" s="233"/>
      <x:c r="AC337" s="236"/>
      <x:c r="AD337" s="233"/>
      <x:c r="AE337" s="233"/>
      <x:c r="AF337" s="233"/>
      <x:c r="AG337" s="233"/>
      <x:c r="AH337" s="234"/>
      <x:c r="AI337" s="233"/>
      <x:c r="AJ337" s="233"/>
      <x:c r="AK337" s="233"/>
      <x:c r="AL337" s="236"/>
      <x:c r="AM337" s="233"/>
      <x:c r="AN337" s="233"/>
      <x:c r="AO337" s="234"/>
      <x:c r="AP337" s="234"/>
      <x:c r="AQ337" s="233"/>
      <x:c r="AR337" s="236"/>
      <x:c r="AS337" s="234"/>
      <x:c r="AT337" s="233"/>
      <x:c r="AU337" s="233"/>
      <x:c r="AV337" s="233"/>
      <x:c r="AW337" s="233"/>
      <x:c r="AX337" s="233"/>
      <x:c r="AY337" s="233"/>
      <x:c r="AZ337" s="236"/>
      <x:c r="BA337" s="233"/>
      <x:c r="BB337" s="233"/>
      <x:c r="BC337" s="233"/>
      <x:c r="BD337" s="233"/>
      <x:c r="BE337" s="237" t="str">
        <x:f>IF(AND(A337="",B337="",C337="",E337="",G337="",I337="",M337="",T337="",BB337="",BD337=""),"",IF(B337="skip","SKIP",IF(OR(B337="",A337="",E337="",G337="",I337="",M337="",T337="",COUNTIF($A$6:$A$505,A337)&gt;1,COUNTIF($M$6:$M$505,M337)&gt;1,AND(L337="mobile",N337&lt;&gt;"invalid",OR(LEN(M337)&lt;&gt;10,LEFT(M337,2)&lt;&gt;"09"))),"REVIEW","READY")))</x:f>
      </x:c>
      <x:c r="BF337" s="238" t="str">
        <x:f>IF(BE337="","",IF(BE337="READY","",IF(B337="skip","Skipped by import_action",TRIM(IF(B337="","missing import_action; ","")&amp;IF(A337="","missing migration_customer_key; ","")&amp;IF(AND(A337&lt;&gt;"",COUNTIF($A$6:$A$505,A337)&gt;1),"duplicate migration_customer_key; ","")&amp;IF(E337="","missing branch_id; ","")&amp;IF(G337="","missing first_name; ","")&amp;IF(I337="","missing last_name; ","")&amp;IF(M337="","missing primary_phone; ","")&amp;IF(AND(M337&lt;&gt;"",COUNTIF($M$6:$M$505,M337)&gt;1),"duplicate primary_phone; ","")&amp;IF(AND(L337="mobile",N337&lt;&gt;"invalid",OR(LEN(M337)&lt;&gt;10,LEFT(M337,2)&lt;&gt;"09")),"mobile must be 09XXXXXXXX or status invalid; ","")&amp;IF(T337="","missing neighborhood_id; ","")))))</x:f>
      </x:c>
    </x:row>
    <x:row r="338">
      <x:c r="A338" s="232"/>
      <x:c r="B338" s="233"/>
      <x:c r="C338" s="234"/>
      <x:c r="D338" s="233"/>
      <x:c r="E338" s="233"/>
      <x:c r="F338" s="233"/>
      <x:c r="G338" s="233"/>
      <x:c r="H338" s="233"/>
      <x:c r="I338" s="233"/>
      <x:c r="J338" s="233"/>
      <x:c r="K338" s="233" t="str">
        <x:f>TRIM(G338&amp;" "&amp;H338&amp;" "&amp;I338&amp;IF(J338&lt;&gt;""," ("&amp;J338&amp;")",""))</x:f>
      </x:c>
      <x:c r="L338" s="233"/>
      <x:c r="M338" s="234"/>
      <x:c r="N338" s="233"/>
      <x:c r="O338" s="233"/>
      <x:c r="P338" s="233"/>
      <x:c r="Q338" s="233"/>
      <x:c r="R338" s="233"/>
      <x:c r="S338" s="233"/>
      <x:c r="T338" s="233"/>
      <x:c r="U338" s="233"/>
      <x:c r="V338" s="233"/>
      <x:c r="W338" s="235"/>
      <x:c r="X338" s="235"/>
      <x:c r="Y338" s="233"/>
      <x:c r="Z338" s="233"/>
      <x:c r="AA338" s="233"/>
      <x:c r="AB338" s="233"/>
      <x:c r="AC338" s="236"/>
      <x:c r="AD338" s="233"/>
      <x:c r="AE338" s="233"/>
      <x:c r="AF338" s="233"/>
      <x:c r="AG338" s="233"/>
      <x:c r="AH338" s="234"/>
      <x:c r="AI338" s="233"/>
      <x:c r="AJ338" s="233"/>
      <x:c r="AK338" s="233"/>
      <x:c r="AL338" s="236"/>
      <x:c r="AM338" s="233"/>
      <x:c r="AN338" s="233"/>
      <x:c r="AO338" s="234"/>
      <x:c r="AP338" s="234"/>
      <x:c r="AQ338" s="233"/>
      <x:c r="AR338" s="236"/>
      <x:c r="AS338" s="234"/>
      <x:c r="AT338" s="233"/>
      <x:c r="AU338" s="233"/>
      <x:c r="AV338" s="233"/>
      <x:c r="AW338" s="233"/>
      <x:c r="AX338" s="233"/>
      <x:c r="AY338" s="233"/>
      <x:c r="AZ338" s="236"/>
      <x:c r="BA338" s="233"/>
      <x:c r="BB338" s="233"/>
      <x:c r="BC338" s="233"/>
      <x:c r="BD338" s="233"/>
      <x:c r="BE338" s="237" t="str">
        <x:f>IF(AND(A338="",B338="",C338="",E338="",G338="",I338="",M338="",T338="",BB338="",BD338=""),"",IF(B338="skip","SKIP",IF(OR(B338="",A338="",E338="",G338="",I338="",M338="",T338="",COUNTIF($A$6:$A$505,A338)&gt;1,COUNTIF($M$6:$M$505,M338)&gt;1,AND(L338="mobile",N338&lt;&gt;"invalid",OR(LEN(M338)&lt;&gt;10,LEFT(M338,2)&lt;&gt;"09"))),"REVIEW","READY")))</x:f>
      </x:c>
      <x:c r="BF338" s="238" t="str">
        <x:f>IF(BE338="","",IF(BE338="READY","",IF(B338="skip","Skipped by import_action",TRIM(IF(B338="","missing import_action; ","")&amp;IF(A338="","missing migration_customer_key; ","")&amp;IF(AND(A338&lt;&gt;"",COUNTIF($A$6:$A$505,A338)&gt;1),"duplicate migration_customer_key; ","")&amp;IF(E338="","missing branch_id; ","")&amp;IF(G338="","missing first_name; ","")&amp;IF(I338="","missing last_name; ","")&amp;IF(M338="","missing primary_phone; ","")&amp;IF(AND(M338&lt;&gt;"",COUNTIF($M$6:$M$505,M338)&gt;1),"duplicate primary_phone; ","")&amp;IF(AND(L338="mobile",N338&lt;&gt;"invalid",OR(LEN(M338)&lt;&gt;10,LEFT(M338,2)&lt;&gt;"09")),"mobile must be 09XXXXXXXX or status invalid; ","")&amp;IF(T338="","missing neighborhood_id; ","")))))</x:f>
      </x:c>
    </x:row>
    <x:row r="339">
      <x:c r="A339" s="232"/>
      <x:c r="B339" s="233"/>
      <x:c r="C339" s="234"/>
      <x:c r="D339" s="233"/>
      <x:c r="E339" s="233"/>
      <x:c r="F339" s="233"/>
      <x:c r="G339" s="233"/>
      <x:c r="H339" s="233"/>
      <x:c r="I339" s="233"/>
      <x:c r="J339" s="233"/>
      <x:c r="K339" s="233" t="str">
        <x:f>TRIM(G339&amp;" "&amp;H339&amp;" "&amp;I339&amp;IF(J339&lt;&gt;""," ("&amp;J339&amp;")",""))</x:f>
      </x:c>
      <x:c r="L339" s="233"/>
      <x:c r="M339" s="234"/>
      <x:c r="N339" s="233"/>
      <x:c r="O339" s="233"/>
      <x:c r="P339" s="233"/>
      <x:c r="Q339" s="233"/>
      <x:c r="R339" s="233"/>
      <x:c r="S339" s="233"/>
      <x:c r="T339" s="233"/>
      <x:c r="U339" s="233"/>
      <x:c r="V339" s="233"/>
      <x:c r="W339" s="235"/>
      <x:c r="X339" s="235"/>
      <x:c r="Y339" s="233"/>
      <x:c r="Z339" s="233"/>
      <x:c r="AA339" s="233"/>
      <x:c r="AB339" s="233"/>
      <x:c r="AC339" s="236"/>
      <x:c r="AD339" s="233"/>
      <x:c r="AE339" s="233"/>
      <x:c r="AF339" s="233"/>
      <x:c r="AG339" s="233"/>
      <x:c r="AH339" s="234"/>
      <x:c r="AI339" s="233"/>
      <x:c r="AJ339" s="233"/>
      <x:c r="AK339" s="233"/>
      <x:c r="AL339" s="236"/>
      <x:c r="AM339" s="233"/>
      <x:c r="AN339" s="233"/>
      <x:c r="AO339" s="234"/>
      <x:c r="AP339" s="234"/>
      <x:c r="AQ339" s="233"/>
      <x:c r="AR339" s="236"/>
      <x:c r="AS339" s="234"/>
      <x:c r="AT339" s="233"/>
      <x:c r="AU339" s="233"/>
      <x:c r="AV339" s="233"/>
      <x:c r="AW339" s="233"/>
      <x:c r="AX339" s="233"/>
      <x:c r="AY339" s="233"/>
      <x:c r="AZ339" s="236"/>
      <x:c r="BA339" s="233"/>
      <x:c r="BB339" s="233"/>
      <x:c r="BC339" s="233"/>
      <x:c r="BD339" s="233"/>
      <x:c r="BE339" s="237" t="str">
        <x:f>IF(AND(A339="",B339="",C339="",E339="",G339="",I339="",M339="",T339="",BB339="",BD339=""),"",IF(B339="skip","SKIP",IF(OR(B339="",A339="",E339="",G339="",I339="",M339="",T339="",COUNTIF($A$6:$A$505,A339)&gt;1,COUNTIF($M$6:$M$505,M339)&gt;1,AND(L339="mobile",N339&lt;&gt;"invalid",OR(LEN(M339)&lt;&gt;10,LEFT(M339,2)&lt;&gt;"09"))),"REVIEW","READY")))</x:f>
      </x:c>
      <x:c r="BF339" s="238" t="str">
        <x:f>IF(BE339="","",IF(BE339="READY","",IF(B339="skip","Skipped by import_action",TRIM(IF(B339="","missing import_action; ","")&amp;IF(A339="","missing migration_customer_key; ","")&amp;IF(AND(A339&lt;&gt;"",COUNTIF($A$6:$A$505,A339)&gt;1),"duplicate migration_customer_key; ","")&amp;IF(E339="","missing branch_id; ","")&amp;IF(G339="","missing first_name; ","")&amp;IF(I339="","missing last_name; ","")&amp;IF(M339="","missing primary_phone; ","")&amp;IF(AND(M339&lt;&gt;"",COUNTIF($M$6:$M$505,M339)&gt;1),"duplicate primary_phone; ","")&amp;IF(AND(L339="mobile",N339&lt;&gt;"invalid",OR(LEN(M339)&lt;&gt;10,LEFT(M339,2)&lt;&gt;"09")),"mobile must be 09XXXXXXXX or status invalid; ","")&amp;IF(T339="","missing neighborhood_id; ","")))))</x:f>
      </x:c>
    </x:row>
    <x:row r="340">
      <x:c r="A340" s="232"/>
      <x:c r="B340" s="233"/>
      <x:c r="C340" s="234"/>
      <x:c r="D340" s="233"/>
      <x:c r="E340" s="233"/>
      <x:c r="F340" s="233"/>
      <x:c r="G340" s="233"/>
      <x:c r="H340" s="233"/>
      <x:c r="I340" s="233"/>
      <x:c r="J340" s="233"/>
      <x:c r="K340" s="233" t="str">
        <x:f>TRIM(G340&amp;" "&amp;H340&amp;" "&amp;I340&amp;IF(J340&lt;&gt;""," ("&amp;J340&amp;")",""))</x:f>
      </x:c>
      <x:c r="L340" s="233"/>
      <x:c r="M340" s="234"/>
      <x:c r="N340" s="233"/>
      <x:c r="O340" s="233"/>
      <x:c r="P340" s="233"/>
      <x:c r="Q340" s="233"/>
      <x:c r="R340" s="233"/>
      <x:c r="S340" s="233"/>
      <x:c r="T340" s="233"/>
      <x:c r="U340" s="233"/>
      <x:c r="V340" s="233"/>
      <x:c r="W340" s="235"/>
      <x:c r="X340" s="235"/>
      <x:c r="Y340" s="233"/>
      <x:c r="Z340" s="233"/>
      <x:c r="AA340" s="233"/>
      <x:c r="AB340" s="233"/>
      <x:c r="AC340" s="236"/>
      <x:c r="AD340" s="233"/>
      <x:c r="AE340" s="233"/>
      <x:c r="AF340" s="233"/>
      <x:c r="AG340" s="233"/>
      <x:c r="AH340" s="234"/>
      <x:c r="AI340" s="233"/>
      <x:c r="AJ340" s="233"/>
      <x:c r="AK340" s="233"/>
      <x:c r="AL340" s="236"/>
      <x:c r="AM340" s="233"/>
      <x:c r="AN340" s="233"/>
      <x:c r="AO340" s="234"/>
      <x:c r="AP340" s="234"/>
      <x:c r="AQ340" s="233"/>
      <x:c r="AR340" s="236"/>
      <x:c r="AS340" s="234"/>
      <x:c r="AT340" s="233"/>
      <x:c r="AU340" s="233"/>
      <x:c r="AV340" s="233"/>
      <x:c r="AW340" s="233"/>
      <x:c r="AX340" s="233"/>
      <x:c r="AY340" s="233"/>
      <x:c r="AZ340" s="236"/>
      <x:c r="BA340" s="233"/>
      <x:c r="BB340" s="233"/>
      <x:c r="BC340" s="233"/>
      <x:c r="BD340" s="233"/>
      <x:c r="BE340" s="237" t="str">
        <x:f>IF(AND(A340="",B340="",C340="",E340="",G340="",I340="",M340="",T340="",BB340="",BD340=""),"",IF(B340="skip","SKIP",IF(OR(B340="",A340="",E340="",G340="",I340="",M340="",T340="",COUNTIF($A$6:$A$505,A340)&gt;1,COUNTIF($M$6:$M$505,M340)&gt;1,AND(L340="mobile",N340&lt;&gt;"invalid",OR(LEN(M340)&lt;&gt;10,LEFT(M340,2)&lt;&gt;"09"))),"REVIEW","READY")))</x:f>
      </x:c>
      <x:c r="BF340" s="238" t="str">
        <x:f>IF(BE340="","",IF(BE340="READY","",IF(B340="skip","Skipped by import_action",TRIM(IF(B340="","missing import_action; ","")&amp;IF(A340="","missing migration_customer_key; ","")&amp;IF(AND(A340&lt;&gt;"",COUNTIF($A$6:$A$505,A340)&gt;1),"duplicate migration_customer_key; ","")&amp;IF(E340="","missing branch_id; ","")&amp;IF(G340="","missing first_name; ","")&amp;IF(I340="","missing last_name; ","")&amp;IF(M340="","missing primary_phone; ","")&amp;IF(AND(M340&lt;&gt;"",COUNTIF($M$6:$M$505,M340)&gt;1),"duplicate primary_phone; ","")&amp;IF(AND(L340="mobile",N340&lt;&gt;"invalid",OR(LEN(M340)&lt;&gt;10,LEFT(M340,2)&lt;&gt;"09")),"mobile must be 09XXXXXXXX or status invalid; ","")&amp;IF(T340="","missing neighborhood_id; ","")))))</x:f>
      </x:c>
    </x:row>
    <x:row r="341">
      <x:c r="A341" s="232"/>
      <x:c r="B341" s="233"/>
      <x:c r="C341" s="234"/>
      <x:c r="D341" s="233"/>
      <x:c r="E341" s="233"/>
      <x:c r="F341" s="233"/>
      <x:c r="G341" s="233"/>
      <x:c r="H341" s="233"/>
      <x:c r="I341" s="233"/>
      <x:c r="J341" s="233"/>
      <x:c r="K341" s="233" t="str">
        <x:f>TRIM(G341&amp;" "&amp;H341&amp;" "&amp;I341&amp;IF(J341&lt;&gt;""," ("&amp;J341&amp;")",""))</x:f>
      </x:c>
      <x:c r="L341" s="233"/>
      <x:c r="M341" s="234"/>
      <x:c r="N341" s="233"/>
      <x:c r="O341" s="233"/>
      <x:c r="P341" s="233"/>
      <x:c r="Q341" s="233"/>
      <x:c r="R341" s="233"/>
      <x:c r="S341" s="233"/>
      <x:c r="T341" s="233"/>
      <x:c r="U341" s="233"/>
      <x:c r="V341" s="233"/>
      <x:c r="W341" s="235"/>
      <x:c r="X341" s="235"/>
      <x:c r="Y341" s="233"/>
      <x:c r="Z341" s="233"/>
      <x:c r="AA341" s="233"/>
      <x:c r="AB341" s="233"/>
      <x:c r="AC341" s="236"/>
      <x:c r="AD341" s="233"/>
      <x:c r="AE341" s="233"/>
      <x:c r="AF341" s="233"/>
      <x:c r="AG341" s="233"/>
      <x:c r="AH341" s="234"/>
      <x:c r="AI341" s="233"/>
      <x:c r="AJ341" s="233"/>
      <x:c r="AK341" s="233"/>
      <x:c r="AL341" s="236"/>
      <x:c r="AM341" s="233"/>
      <x:c r="AN341" s="233"/>
      <x:c r="AO341" s="234"/>
      <x:c r="AP341" s="234"/>
      <x:c r="AQ341" s="233"/>
      <x:c r="AR341" s="236"/>
      <x:c r="AS341" s="234"/>
      <x:c r="AT341" s="233"/>
      <x:c r="AU341" s="233"/>
      <x:c r="AV341" s="233"/>
      <x:c r="AW341" s="233"/>
      <x:c r="AX341" s="233"/>
      <x:c r="AY341" s="233"/>
      <x:c r="AZ341" s="236"/>
      <x:c r="BA341" s="233"/>
      <x:c r="BB341" s="233"/>
      <x:c r="BC341" s="233"/>
      <x:c r="BD341" s="233"/>
      <x:c r="BE341" s="237" t="str">
        <x:f>IF(AND(A341="",B341="",C341="",E341="",G341="",I341="",M341="",T341="",BB341="",BD341=""),"",IF(B341="skip","SKIP",IF(OR(B341="",A341="",E341="",G341="",I341="",M341="",T341="",COUNTIF($A$6:$A$505,A341)&gt;1,COUNTIF($M$6:$M$505,M341)&gt;1,AND(L341="mobile",N341&lt;&gt;"invalid",OR(LEN(M341)&lt;&gt;10,LEFT(M341,2)&lt;&gt;"09"))),"REVIEW","READY")))</x:f>
      </x:c>
      <x:c r="BF341" s="238" t="str">
        <x:f>IF(BE341="","",IF(BE341="READY","",IF(B341="skip","Skipped by import_action",TRIM(IF(B341="","missing import_action; ","")&amp;IF(A341="","missing migration_customer_key; ","")&amp;IF(AND(A341&lt;&gt;"",COUNTIF($A$6:$A$505,A341)&gt;1),"duplicate migration_customer_key; ","")&amp;IF(E341="","missing branch_id; ","")&amp;IF(G341="","missing first_name; ","")&amp;IF(I341="","missing last_name; ","")&amp;IF(M341="","missing primary_phone; ","")&amp;IF(AND(M341&lt;&gt;"",COUNTIF($M$6:$M$505,M341)&gt;1),"duplicate primary_phone; ","")&amp;IF(AND(L341="mobile",N341&lt;&gt;"invalid",OR(LEN(M341)&lt;&gt;10,LEFT(M341,2)&lt;&gt;"09")),"mobile must be 09XXXXXXXX or status invalid; ","")&amp;IF(T341="","missing neighborhood_id; ","")))))</x:f>
      </x:c>
    </x:row>
    <x:row r="342">
      <x:c r="A342" s="232"/>
      <x:c r="B342" s="233"/>
      <x:c r="C342" s="234"/>
      <x:c r="D342" s="233"/>
      <x:c r="E342" s="233"/>
      <x:c r="F342" s="233"/>
      <x:c r="G342" s="233"/>
      <x:c r="H342" s="233"/>
      <x:c r="I342" s="233"/>
      <x:c r="J342" s="233"/>
      <x:c r="K342" s="233" t="str">
        <x:f>TRIM(G342&amp;" "&amp;H342&amp;" "&amp;I342&amp;IF(J342&lt;&gt;""," ("&amp;J342&amp;")",""))</x:f>
      </x:c>
      <x:c r="L342" s="233"/>
      <x:c r="M342" s="234"/>
      <x:c r="N342" s="233"/>
      <x:c r="O342" s="233"/>
      <x:c r="P342" s="233"/>
      <x:c r="Q342" s="233"/>
      <x:c r="R342" s="233"/>
      <x:c r="S342" s="233"/>
      <x:c r="T342" s="233"/>
      <x:c r="U342" s="233"/>
      <x:c r="V342" s="233"/>
      <x:c r="W342" s="235"/>
      <x:c r="X342" s="235"/>
      <x:c r="Y342" s="233"/>
      <x:c r="Z342" s="233"/>
      <x:c r="AA342" s="233"/>
      <x:c r="AB342" s="233"/>
      <x:c r="AC342" s="236"/>
      <x:c r="AD342" s="233"/>
      <x:c r="AE342" s="233"/>
      <x:c r="AF342" s="233"/>
      <x:c r="AG342" s="233"/>
      <x:c r="AH342" s="234"/>
      <x:c r="AI342" s="233"/>
      <x:c r="AJ342" s="233"/>
      <x:c r="AK342" s="233"/>
      <x:c r="AL342" s="236"/>
      <x:c r="AM342" s="233"/>
      <x:c r="AN342" s="233"/>
      <x:c r="AO342" s="234"/>
      <x:c r="AP342" s="234"/>
      <x:c r="AQ342" s="233"/>
      <x:c r="AR342" s="236"/>
      <x:c r="AS342" s="234"/>
      <x:c r="AT342" s="233"/>
      <x:c r="AU342" s="233"/>
      <x:c r="AV342" s="233"/>
      <x:c r="AW342" s="233"/>
      <x:c r="AX342" s="233"/>
      <x:c r="AY342" s="233"/>
      <x:c r="AZ342" s="236"/>
      <x:c r="BA342" s="233"/>
      <x:c r="BB342" s="233"/>
      <x:c r="BC342" s="233"/>
      <x:c r="BD342" s="233"/>
      <x:c r="BE342" s="237" t="str">
        <x:f>IF(AND(A342="",B342="",C342="",E342="",G342="",I342="",M342="",T342="",BB342="",BD342=""),"",IF(B342="skip","SKIP",IF(OR(B342="",A342="",E342="",G342="",I342="",M342="",T342="",COUNTIF($A$6:$A$505,A342)&gt;1,COUNTIF($M$6:$M$505,M342)&gt;1,AND(L342="mobile",N342&lt;&gt;"invalid",OR(LEN(M342)&lt;&gt;10,LEFT(M342,2)&lt;&gt;"09"))),"REVIEW","READY")))</x:f>
      </x:c>
      <x:c r="BF342" s="238" t="str">
        <x:f>IF(BE342="","",IF(BE342="READY","",IF(B342="skip","Skipped by import_action",TRIM(IF(B342="","missing import_action; ","")&amp;IF(A342="","missing migration_customer_key; ","")&amp;IF(AND(A342&lt;&gt;"",COUNTIF($A$6:$A$505,A342)&gt;1),"duplicate migration_customer_key; ","")&amp;IF(E342="","missing branch_id; ","")&amp;IF(G342="","missing first_name; ","")&amp;IF(I342="","missing last_name; ","")&amp;IF(M342="","missing primary_phone; ","")&amp;IF(AND(M342&lt;&gt;"",COUNTIF($M$6:$M$505,M342)&gt;1),"duplicate primary_phone; ","")&amp;IF(AND(L342="mobile",N342&lt;&gt;"invalid",OR(LEN(M342)&lt;&gt;10,LEFT(M342,2)&lt;&gt;"09")),"mobile must be 09XXXXXXXX or status invalid; ","")&amp;IF(T342="","missing neighborhood_id; ","")))))</x:f>
      </x:c>
    </x:row>
    <x:row r="343">
      <x:c r="A343" s="232"/>
      <x:c r="B343" s="233"/>
      <x:c r="C343" s="234"/>
      <x:c r="D343" s="233"/>
      <x:c r="E343" s="233"/>
      <x:c r="F343" s="233"/>
      <x:c r="G343" s="233"/>
      <x:c r="H343" s="233"/>
      <x:c r="I343" s="233"/>
      <x:c r="J343" s="233"/>
      <x:c r="K343" s="233" t="str">
        <x:f>TRIM(G343&amp;" "&amp;H343&amp;" "&amp;I343&amp;IF(J343&lt;&gt;""," ("&amp;J343&amp;")",""))</x:f>
      </x:c>
      <x:c r="L343" s="233"/>
      <x:c r="M343" s="234"/>
      <x:c r="N343" s="233"/>
      <x:c r="O343" s="233"/>
      <x:c r="P343" s="233"/>
      <x:c r="Q343" s="233"/>
      <x:c r="R343" s="233"/>
      <x:c r="S343" s="233"/>
      <x:c r="T343" s="233"/>
      <x:c r="U343" s="233"/>
      <x:c r="V343" s="233"/>
      <x:c r="W343" s="235"/>
      <x:c r="X343" s="235"/>
      <x:c r="Y343" s="233"/>
      <x:c r="Z343" s="233"/>
      <x:c r="AA343" s="233"/>
      <x:c r="AB343" s="233"/>
      <x:c r="AC343" s="236"/>
      <x:c r="AD343" s="233"/>
      <x:c r="AE343" s="233"/>
      <x:c r="AF343" s="233"/>
      <x:c r="AG343" s="233"/>
      <x:c r="AH343" s="234"/>
      <x:c r="AI343" s="233"/>
      <x:c r="AJ343" s="233"/>
      <x:c r="AK343" s="233"/>
      <x:c r="AL343" s="236"/>
      <x:c r="AM343" s="233"/>
      <x:c r="AN343" s="233"/>
      <x:c r="AO343" s="234"/>
      <x:c r="AP343" s="234"/>
      <x:c r="AQ343" s="233"/>
      <x:c r="AR343" s="236"/>
      <x:c r="AS343" s="234"/>
      <x:c r="AT343" s="233"/>
      <x:c r="AU343" s="233"/>
      <x:c r="AV343" s="233"/>
      <x:c r="AW343" s="233"/>
      <x:c r="AX343" s="233"/>
      <x:c r="AY343" s="233"/>
      <x:c r="AZ343" s="236"/>
      <x:c r="BA343" s="233"/>
      <x:c r="BB343" s="233"/>
      <x:c r="BC343" s="233"/>
      <x:c r="BD343" s="233"/>
      <x:c r="BE343" s="237" t="str">
        <x:f>IF(AND(A343="",B343="",C343="",E343="",G343="",I343="",M343="",T343="",BB343="",BD343=""),"",IF(B343="skip","SKIP",IF(OR(B343="",A343="",E343="",G343="",I343="",M343="",T343="",COUNTIF($A$6:$A$505,A343)&gt;1,COUNTIF($M$6:$M$505,M343)&gt;1,AND(L343="mobile",N343&lt;&gt;"invalid",OR(LEN(M343)&lt;&gt;10,LEFT(M343,2)&lt;&gt;"09"))),"REVIEW","READY")))</x:f>
      </x:c>
      <x:c r="BF343" s="238" t="str">
        <x:f>IF(BE343="","",IF(BE343="READY","",IF(B343="skip","Skipped by import_action",TRIM(IF(B343="","missing import_action; ","")&amp;IF(A343="","missing migration_customer_key; ","")&amp;IF(AND(A343&lt;&gt;"",COUNTIF($A$6:$A$505,A343)&gt;1),"duplicate migration_customer_key; ","")&amp;IF(E343="","missing branch_id; ","")&amp;IF(G343="","missing first_name; ","")&amp;IF(I343="","missing last_name; ","")&amp;IF(M343="","missing primary_phone; ","")&amp;IF(AND(M343&lt;&gt;"",COUNTIF($M$6:$M$505,M343)&gt;1),"duplicate primary_phone; ","")&amp;IF(AND(L343="mobile",N343&lt;&gt;"invalid",OR(LEN(M343)&lt;&gt;10,LEFT(M343,2)&lt;&gt;"09")),"mobile must be 09XXXXXXXX or status invalid; ","")&amp;IF(T343="","missing neighborhood_id; ","")))))</x:f>
      </x:c>
    </x:row>
    <x:row r="344">
      <x:c r="A344" s="232"/>
      <x:c r="B344" s="233"/>
      <x:c r="C344" s="234"/>
      <x:c r="D344" s="233"/>
      <x:c r="E344" s="233"/>
      <x:c r="F344" s="233"/>
      <x:c r="G344" s="233"/>
      <x:c r="H344" s="233"/>
      <x:c r="I344" s="233"/>
      <x:c r="J344" s="233"/>
      <x:c r="K344" s="233" t="str">
        <x:f>TRIM(G344&amp;" "&amp;H344&amp;" "&amp;I344&amp;IF(J344&lt;&gt;""," ("&amp;J344&amp;")",""))</x:f>
      </x:c>
      <x:c r="L344" s="233"/>
      <x:c r="M344" s="234"/>
      <x:c r="N344" s="233"/>
      <x:c r="O344" s="233"/>
      <x:c r="P344" s="233"/>
      <x:c r="Q344" s="233"/>
      <x:c r="R344" s="233"/>
      <x:c r="S344" s="233"/>
      <x:c r="T344" s="233"/>
      <x:c r="U344" s="233"/>
      <x:c r="V344" s="233"/>
      <x:c r="W344" s="235"/>
      <x:c r="X344" s="235"/>
      <x:c r="Y344" s="233"/>
      <x:c r="Z344" s="233"/>
      <x:c r="AA344" s="233"/>
      <x:c r="AB344" s="233"/>
      <x:c r="AC344" s="236"/>
      <x:c r="AD344" s="233"/>
      <x:c r="AE344" s="233"/>
      <x:c r="AF344" s="233"/>
      <x:c r="AG344" s="233"/>
      <x:c r="AH344" s="234"/>
      <x:c r="AI344" s="233"/>
      <x:c r="AJ344" s="233"/>
      <x:c r="AK344" s="233"/>
      <x:c r="AL344" s="236"/>
      <x:c r="AM344" s="233"/>
      <x:c r="AN344" s="233"/>
      <x:c r="AO344" s="234"/>
      <x:c r="AP344" s="234"/>
      <x:c r="AQ344" s="233"/>
      <x:c r="AR344" s="236"/>
      <x:c r="AS344" s="234"/>
      <x:c r="AT344" s="233"/>
      <x:c r="AU344" s="233"/>
      <x:c r="AV344" s="233"/>
      <x:c r="AW344" s="233"/>
      <x:c r="AX344" s="233"/>
      <x:c r="AY344" s="233"/>
      <x:c r="AZ344" s="236"/>
      <x:c r="BA344" s="233"/>
      <x:c r="BB344" s="233"/>
      <x:c r="BC344" s="233"/>
      <x:c r="BD344" s="233"/>
      <x:c r="BE344" s="237" t="str">
        <x:f>IF(AND(A344="",B344="",C344="",E344="",G344="",I344="",M344="",T344="",BB344="",BD344=""),"",IF(B344="skip","SKIP",IF(OR(B344="",A344="",E344="",G344="",I344="",M344="",T344="",COUNTIF($A$6:$A$505,A344)&gt;1,COUNTIF($M$6:$M$505,M344)&gt;1,AND(L344="mobile",N344&lt;&gt;"invalid",OR(LEN(M344)&lt;&gt;10,LEFT(M344,2)&lt;&gt;"09"))),"REVIEW","READY")))</x:f>
      </x:c>
      <x:c r="BF344" s="238" t="str">
        <x:f>IF(BE344="","",IF(BE344="READY","",IF(B344="skip","Skipped by import_action",TRIM(IF(B344="","missing import_action; ","")&amp;IF(A344="","missing migration_customer_key; ","")&amp;IF(AND(A344&lt;&gt;"",COUNTIF($A$6:$A$505,A344)&gt;1),"duplicate migration_customer_key; ","")&amp;IF(E344="","missing branch_id; ","")&amp;IF(G344="","missing first_name; ","")&amp;IF(I344="","missing last_name; ","")&amp;IF(M344="","missing primary_phone; ","")&amp;IF(AND(M344&lt;&gt;"",COUNTIF($M$6:$M$505,M344)&gt;1),"duplicate primary_phone; ","")&amp;IF(AND(L344="mobile",N344&lt;&gt;"invalid",OR(LEN(M344)&lt;&gt;10,LEFT(M344,2)&lt;&gt;"09")),"mobile must be 09XXXXXXXX or status invalid; ","")&amp;IF(T344="","missing neighborhood_id; ","")))))</x:f>
      </x:c>
    </x:row>
    <x:row r="345">
      <x:c r="A345" s="232"/>
      <x:c r="B345" s="233"/>
      <x:c r="C345" s="234"/>
      <x:c r="D345" s="233"/>
      <x:c r="E345" s="233"/>
      <x:c r="F345" s="233"/>
      <x:c r="G345" s="233"/>
      <x:c r="H345" s="233"/>
      <x:c r="I345" s="233"/>
      <x:c r="J345" s="233"/>
      <x:c r="K345" s="233" t="str">
        <x:f>TRIM(G345&amp;" "&amp;H345&amp;" "&amp;I345&amp;IF(J345&lt;&gt;""," ("&amp;J345&amp;")",""))</x:f>
      </x:c>
      <x:c r="L345" s="233"/>
      <x:c r="M345" s="234"/>
      <x:c r="N345" s="233"/>
      <x:c r="O345" s="233"/>
      <x:c r="P345" s="233"/>
      <x:c r="Q345" s="233"/>
      <x:c r="R345" s="233"/>
      <x:c r="S345" s="233"/>
      <x:c r="T345" s="233"/>
      <x:c r="U345" s="233"/>
      <x:c r="V345" s="233"/>
      <x:c r="W345" s="235"/>
      <x:c r="X345" s="235"/>
      <x:c r="Y345" s="233"/>
      <x:c r="Z345" s="233"/>
      <x:c r="AA345" s="233"/>
      <x:c r="AB345" s="233"/>
      <x:c r="AC345" s="236"/>
      <x:c r="AD345" s="233"/>
      <x:c r="AE345" s="233"/>
      <x:c r="AF345" s="233"/>
      <x:c r="AG345" s="233"/>
      <x:c r="AH345" s="234"/>
      <x:c r="AI345" s="233"/>
      <x:c r="AJ345" s="233"/>
      <x:c r="AK345" s="233"/>
      <x:c r="AL345" s="236"/>
      <x:c r="AM345" s="233"/>
      <x:c r="AN345" s="233"/>
      <x:c r="AO345" s="234"/>
      <x:c r="AP345" s="234"/>
      <x:c r="AQ345" s="233"/>
      <x:c r="AR345" s="236"/>
      <x:c r="AS345" s="234"/>
      <x:c r="AT345" s="233"/>
      <x:c r="AU345" s="233"/>
      <x:c r="AV345" s="233"/>
      <x:c r="AW345" s="233"/>
      <x:c r="AX345" s="233"/>
      <x:c r="AY345" s="233"/>
      <x:c r="AZ345" s="236"/>
      <x:c r="BA345" s="233"/>
      <x:c r="BB345" s="233"/>
      <x:c r="BC345" s="233"/>
      <x:c r="BD345" s="233"/>
      <x:c r="BE345" s="237" t="str">
        <x:f>IF(AND(A345="",B345="",C345="",E345="",G345="",I345="",M345="",T345="",BB345="",BD345=""),"",IF(B345="skip","SKIP",IF(OR(B345="",A345="",E345="",G345="",I345="",M345="",T345="",COUNTIF($A$6:$A$505,A345)&gt;1,COUNTIF($M$6:$M$505,M345)&gt;1,AND(L345="mobile",N345&lt;&gt;"invalid",OR(LEN(M345)&lt;&gt;10,LEFT(M345,2)&lt;&gt;"09"))),"REVIEW","READY")))</x:f>
      </x:c>
      <x:c r="BF345" s="238" t="str">
        <x:f>IF(BE345="","",IF(BE345="READY","",IF(B345="skip","Skipped by import_action",TRIM(IF(B345="","missing import_action; ","")&amp;IF(A345="","missing migration_customer_key; ","")&amp;IF(AND(A345&lt;&gt;"",COUNTIF($A$6:$A$505,A345)&gt;1),"duplicate migration_customer_key; ","")&amp;IF(E345="","missing branch_id; ","")&amp;IF(G345="","missing first_name; ","")&amp;IF(I345="","missing last_name; ","")&amp;IF(M345="","missing primary_phone; ","")&amp;IF(AND(M345&lt;&gt;"",COUNTIF($M$6:$M$505,M345)&gt;1),"duplicate primary_phone; ","")&amp;IF(AND(L345="mobile",N345&lt;&gt;"invalid",OR(LEN(M345)&lt;&gt;10,LEFT(M345,2)&lt;&gt;"09")),"mobile must be 09XXXXXXXX or status invalid; ","")&amp;IF(T345="","missing neighborhood_id; ","")))))</x:f>
      </x:c>
    </x:row>
    <x:row r="346">
      <x:c r="A346" s="232"/>
      <x:c r="B346" s="233"/>
      <x:c r="C346" s="234"/>
      <x:c r="D346" s="233"/>
      <x:c r="E346" s="233"/>
      <x:c r="F346" s="233"/>
      <x:c r="G346" s="233"/>
      <x:c r="H346" s="233"/>
      <x:c r="I346" s="233"/>
      <x:c r="J346" s="233"/>
      <x:c r="K346" s="233" t="str">
        <x:f>TRIM(G346&amp;" "&amp;H346&amp;" "&amp;I346&amp;IF(J346&lt;&gt;""," ("&amp;J346&amp;")",""))</x:f>
      </x:c>
      <x:c r="L346" s="233"/>
      <x:c r="M346" s="234"/>
      <x:c r="N346" s="233"/>
      <x:c r="O346" s="233"/>
      <x:c r="P346" s="233"/>
      <x:c r="Q346" s="233"/>
      <x:c r="R346" s="233"/>
      <x:c r="S346" s="233"/>
      <x:c r="T346" s="233"/>
      <x:c r="U346" s="233"/>
      <x:c r="V346" s="233"/>
      <x:c r="W346" s="235"/>
      <x:c r="X346" s="235"/>
      <x:c r="Y346" s="233"/>
      <x:c r="Z346" s="233"/>
      <x:c r="AA346" s="233"/>
      <x:c r="AB346" s="233"/>
      <x:c r="AC346" s="236"/>
      <x:c r="AD346" s="233"/>
      <x:c r="AE346" s="233"/>
      <x:c r="AF346" s="233"/>
      <x:c r="AG346" s="233"/>
      <x:c r="AH346" s="234"/>
      <x:c r="AI346" s="233"/>
      <x:c r="AJ346" s="233"/>
      <x:c r="AK346" s="233"/>
      <x:c r="AL346" s="236"/>
      <x:c r="AM346" s="233"/>
      <x:c r="AN346" s="233"/>
      <x:c r="AO346" s="234"/>
      <x:c r="AP346" s="234"/>
      <x:c r="AQ346" s="233"/>
      <x:c r="AR346" s="236"/>
      <x:c r="AS346" s="234"/>
      <x:c r="AT346" s="233"/>
      <x:c r="AU346" s="233"/>
      <x:c r="AV346" s="233"/>
      <x:c r="AW346" s="233"/>
      <x:c r="AX346" s="233"/>
      <x:c r="AY346" s="233"/>
      <x:c r="AZ346" s="236"/>
      <x:c r="BA346" s="233"/>
      <x:c r="BB346" s="233"/>
      <x:c r="BC346" s="233"/>
      <x:c r="BD346" s="233"/>
      <x:c r="BE346" s="237" t="str">
        <x:f>IF(AND(A346="",B346="",C346="",E346="",G346="",I346="",M346="",T346="",BB346="",BD346=""),"",IF(B346="skip","SKIP",IF(OR(B346="",A346="",E346="",G346="",I346="",M346="",T346="",COUNTIF($A$6:$A$505,A346)&gt;1,COUNTIF($M$6:$M$505,M346)&gt;1,AND(L346="mobile",N346&lt;&gt;"invalid",OR(LEN(M346)&lt;&gt;10,LEFT(M346,2)&lt;&gt;"09"))),"REVIEW","READY")))</x:f>
      </x:c>
      <x:c r="BF346" s="238" t="str">
        <x:f>IF(BE346="","",IF(BE346="READY","",IF(B346="skip","Skipped by import_action",TRIM(IF(B346="","missing import_action; ","")&amp;IF(A346="","missing migration_customer_key; ","")&amp;IF(AND(A346&lt;&gt;"",COUNTIF($A$6:$A$505,A346)&gt;1),"duplicate migration_customer_key; ","")&amp;IF(E346="","missing branch_id; ","")&amp;IF(G346="","missing first_name; ","")&amp;IF(I346="","missing last_name; ","")&amp;IF(M346="","missing primary_phone; ","")&amp;IF(AND(M346&lt;&gt;"",COUNTIF($M$6:$M$505,M346)&gt;1),"duplicate primary_phone; ","")&amp;IF(AND(L346="mobile",N346&lt;&gt;"invalid",OR(LEN(M346)&lt;&gt;10,LEFT(M346,2)&lt;&gt;"09")),"mobile must be 09XXXXXXXX or status invalid; ","")&amp;IF(T346="","missing neighborhood_id; ","")))))</x:f>
      </x:c>
    </x:row>
    <x:row r="347">
      <x:c r="A347" s="232"/>
      <x:c r="B347" s="233"/>
      <x:c r="C347" s="234"/>
      <x:c r="D347" s="233"/>
      <x:c r="E347" s="233"/>
      <x:c r="F347" s="233"/>
      <x:c r="G347" s="233"/>
      <x:c r="H347" s="233"/>
      <x:c r="I347" s="233"/>
      <x:c r="J347" s="233"/>
      <x:c r="K347" s="233" t="str">
        <x:f>TRIM(G347&amp;" "&amp;H347&amp;" "&amp;I347&amp;IF(J347&lt;&gt;""," ("&amp;J347&amp;")",""))</x:f>
      </x:c>
      <x:c r="L347" s="233"/>
      <x:c r="M347" s="234"/>
      <x:c r="N347" s="233"/>
      <x:c r="O347" s="233"/>
      <x:c r="P347" s="233"/>
      <x:c r="Q347" s="233"/>
      <x:c r="R347" s="233"/>
      <x:c r="S347" s="233"/>
      <x:c r="T347" s="233"/>
      <x:c r="U347" s="233"/>
      <x:c r="V347" s="233"/>
      <x:c r="W347" s="235"/>
      <x:c r="X347" s="235"/>
      <x:c r="Y347" s="233"/>
      <x:c r="Z347" s="233"/>
      <x:c r="AA347" s="233"/>
      <x:c r="AB347" s="233"/>
      <x:c r="AC347" s="236"/>
      <x:c r="AD347" s="233"/>
      <x:c r="AE347" s="233"/>
      <x:c r="AF347" s="233"/>
      <x:c r="AG347" s="233"/>
      <x:c r="AH347" s="234"/>
      <x:c r="AI347" s="233"/>
      <x:c r="AJ347" s="233"/>
      <x:c r="AK347" s="233"/>
      <x:c r="AL347" s="236"/>
      <x:c r="AM347" s="233"/>
      <x:c r="AN347" s="233"/>
      <x:c r="AO347" s="234"/>
      <x:c r="AP347" s="234"/>
      <x:c r="AQ347" s="233"/>
      <x:c r="AR347" s="236"/>
      <x:c r="AS347" s="234"/>
      <x:c r="AT347" s="233"/>
      <x:c r="AU347" s="233"/>
      <x:c r="AV347" s="233"/>
      <x:c r="AW347" s="233"/>
      <x:c r="AX347" s="233"/>
      <x:c r="AY347" s="233"/>
      <x:c r="AZ347" s="236"/>
      <x:c r="BA347" s="233"/>
      <x:c r="BB347" s="233"/>
      <x:c r="BC347" s="233"/>
      <x:c r="BD347" s="233"/>
      <x:c r="BE347" s="237" t="str">
        <x:f>IF(AND(A347="",B347="",C347="",E347="",G347="",I347="",M347="",T347="",BB347="",BD347=""),"",IF(B347="skip","SKIP",IF(OR(B347="",A347="",E347="",G347="",I347="",M347="",T347="",COUNTIF($A$6:$A$505,A347)&gt;1,COUNTIF($M$6:$M$505,M347)&gt;1,AND(L347="mobile",N347&lt;&gt;"invalid",OR(LEN(M347)&lt;&gt;10,LEFT(M347,2)&lt;&gt;"09"))),"REVIEW","READY")))</x:f>
      </x:c>
      <x:c r="BF347" s="238" t="str">
        <x:f>IF(BE347="","",IF(BE347="READY","",IF(B347="skip","Skipped by import_action",TRIM(IF(B347="","missing import_action; ","")&amp;IF(A347="","missing migration_customer_key; ","")&amp;IF(AND(A347&lt;&gt;"",COUNTIF($A$6:$A$505,A347)&gt;1),"duplicate migration_customer_key; ","")&amp;IF(E347="","missing branch_id; ","")&amp;IF(G347="","missing first_name; ","")&amp;IF(I347="","missing last_name; ","")&amp;IF(M347="","missing primary_phone; ","")&amp;IF(AND(M347&lt;&gt;"",COUNTIF($M$6:$M$505,M347)&gt;1),"duplicate primary_phone; ","")&amp;IF(AND(L347="mobile",N347&lt;&gt;"invalid",OR(LEN(M347)&lt;&gt;10,LEFT(M347,2)&lt;&gt;"09")),"mobile must be 09XXXXXXXX or status invalid; ","")&amp;IF(T347="","missing neighborhood_id; ","")))))</x:f>
      </x:c>
    </x:row>
    <x:row r="348">
      <x:c r="A348" s="232"/>
      <x:c r="B348" s="233"/>
      <x:c r="C348" s="234"/>
      <x:c r="D348" s="233"/>
      <x:c r="E348" s="233"/>
      <x:c r="F348" s="233"/>
      <x:c r="G348" s="233"/>
      <x:c r="H348" s="233"/>
      <x:c r="I348" s="233"/>
      <x:c r="J348" s="233"/>
      <x:c r="K348" s="233" t="str">
        <x:f>TRIM(G348&amp;" "&amp;H348&amp;" "&amp;I348&amp;IF(J348&lt;&gt;""," ("&amp;J348&amp;")",""))</x:f>
      </x:c>
      <x:c r="L348" s="233"/>
      <x:c r="M348" s="234"/>
      <x:c r="N348" s="233"/>
      <x:c r="O348" s="233"/>
      <x:c r="P348" s="233"/>
      <x:c r="Q348" s="233"/>
      <x:c r="R348" s="233"/>
      <x:c r="S348" s="233"/>
      <x:c r="T348" s="233"/>
      <x:c r="U348" s="233"/>
      <x:c r="V348" s="233"/>
      <x:c r="W348" s="235"/>
      <x:c r="X348" s="235"/>
      <x:c r="Y348" s="233"/>
      <x:c r="Z348" s="233"/>
      <x:c r="AA348" s="233"/>
      <x:c r="AB348" s="233"/>
      <x:c r="AC348" s="236"/>
      <x:c r="AD348" s="233"/>
      <x:c r="AE348" s="233"/>
      <x:c r="AF348" s="233"/>
      <x:c r="AG348" s="233"/>
      <x:c r="AH348" s="234"/>
      <x:c r="AI348" s="233"/>
      <x:c r="AJ348" s="233"/>
      <x:c r="AK348" s="233"/>
      <x:c r="AL348" s="236"/>
      <x:c r="AM348" s="233"/>
      <x:c r="AN348" s="233"/>
      <x:c r="AO348" s="234"/>
      <x:c r="AP348" s="234"/>
      <x:c r="AQ348" s="233"/>
      <x:c r="AR348" s="236"/>
      <x:c r="AS348" s="234"/>
      <x:c r="AT348" s="233"/>
      <x:c r="AU348" s="233"/>
      <x:c r="AV348" s="233"/>
      <x:c r="AW348" s="233"/>
      <x:c r="AX348" s="233"/>
      <x:c r="AY348" s="233"/>
      <x:c r="AZ348" s="236"/>
      <x:c r="BA348" s="233"/>
      <x:c r="BB348" s="233"/>
      <x:c r="BC348" s="233"/>
      <x:c r="BD348" s="233"/>
      <x:c r="BE348" s="237" t="str">
        <x:f>IF(AND(A348="",B348="",C348="",E348="",G348="",I348="",M348="",T348="",BB348="",BD348=""),"",IF(B348="skip","SKIP",IF(OR(B348="",A348="",E348="",G348="",I348="",M348="",T348="",COUNTIF($A$6:$A$505,A348)&gt;1,COUNTIF($M$6:$M$505,M348)&gt;1,AND(L348="mobile",N348&lt;&gt;"invalid",OR(LEN(M348)&lt;&gt;10,LEFT(M348,2)&lt;&gt;"09"))),"REVIEW","READY")))</x:f>
      </x:c>
      <x:c r="BF348" s="238" t="str">
        <x:f>IF(BE348="","",IF(BE348="READY","",IF(B348="skip","Skipped by import_action",TRIM(IF(B348="","missing import_action; ","")&amp;IF(A348="","missing migration_customer_key; ","")&amp;IF(AND(A348&lt;&gt;"",COUNTIF($A$6:$A$505,A348)&gt;1),"duplicate migration_customer_key; ","")&amp;IF(E348="","missing branch_id; ","")&amp;IF(G348="","missing first_name; ","")&amp;IF(I348="","missing last_name; ","")&amp;IF(M348="","missing primary_phone; ","")&amp;IF(AND(M348&lt;&gt;"",COUNTIF($M$6:$M$505,M348)&gt;1),"duplicate primary_phone; ","")&amp;IF(AND(L348="mobile",N348&lt;&gt;"invalid",OR(LEN(M348)&lt;&gt;10,LEFT(M348,2)&lt;&gt;"09")),"mobile must be 09XXXXXXXX or status invalid; ","")&amp;IF(T348="","missing neighborhood_id; ","")))))</x:f>
      </x:c>
    </x:row>
    <x:row r="349">
      <x:c r="A349" s="232"/>
      <x:c r="B349" s="233"/>
      <x:c r="C349" s="234"/>
      <x:c r="D349" s="233"/>
      <x:c r="E349" s="233"/>
      <x:c r="F349" s="233"/>
      <x:c r="G349" s="233"/>
      <x:c r="H349" s="233"/>
      <x:c r="I349" s="233"/>
      <x:c r="J349" s="233"/>
      <x:c r="K349" s="233" t="str">
        <x:f>TRIM(G349&amp;" "&amp;H349&amp;" "&amp;I349&amp;IF(J349&lt;&gt;""," ("&amp;J349&amp;")",""))</x:f>
      </x:c>
      <x:c r="L349" s="233"/>
      <x:c r="M349" s="234"/>
      <x:c r="N349" s="233"/>
      <x:c r="O349" s="233"/>
      <x:c r="P349" s="233"/>
      <x:c r="Q349" s="233"/>
      <x:c r="R349" s="233"/>
      <x:c r="S349" s="233"/>
      <x:c r="T349" s="233"/>
      <x:c r="U349" s="233"/>
      <x:c r="V349" s="233"/>
      <x:c r="W349" s="235"/>
      <x:c r="X349" s="235"/>
      <x:c r="Y349" s="233"/>
      <x:c r="Z349" s="233"/>
      <x:c r="AA349" s="233"/>
      <x:c r="AB349" s="233"/>
      <x:c r="AC349" s="236"/>
      <x:c r="AD349" s="233"/>
      <x:c r="AE349" s="233"/>
      <x:c r="AF349" s="233"/>
      <x:c r="AG349" s="233"/>
      <x:c r="AH349" s="234"/>
      <x:c r="AI349" s="233"/>
      <x:c r="AJ349" s="233"/>
      <x:c r="AK349" s="233"/>
      <x:c r="AL349" s="236"/>
      <x:c r="AM349" s="233"/>
      <x:c r="AN349" s="233"/>
      <x:c r="AO349" s="234"/>
      <x:c r="AP349" s="234"/>
      <x:c r="AQ349" s="233"/>
      <x:c r="AR349" s="236"/>
      <x:c r="AS349" s="234"/>
      <x:c r="AT349" s="233"/>
      <x:c r="AU349" s="233"/>
      <x:c r="AV349" s="233"/>
      <x:c r="AW349" s="233"/>
      <x:c r="AX349" s="233"/>
      <x:c r="AY349" s="233"/>
      <x:c r="AZ349" s="236"/>
      <x:c r="BA349" s="233"/>
      <x:c r="BB349" s="233"/>
      <x:c r="BC349" s="233"/>
      <x:c r="BD349" s="233"/>
      <x:c r="BE349" s="237" t="str">
        <x:f>IF(AND(A349="",B349="",C349="",E349="",G349="",I349="",M349="",T349="",BB349="",BD349=""),"",IF(B349="skip","SKIP",IF(OR(B349="",A349="",E349="",G349="",I349="",M349="",T349="",COUNTIF($A$6:$A$505,A349)&gt;1,COUNTIF($M$6:$M$505,M349)&gt;1,AND(L349="mobile",N349&lt;&gt;"invalid",OR(LEN(M349)&lt;&gt;10,LEFT(M349,2)&lt;&gt;"09"))),"REVIEW","READY")))</x:f>
      </x:c>
      <x:c r="BF349" s="238" t="str">
        <x:f>IF(BE349="","",IF(BE349="READY","",IF(B349="skip","Skipped by import_action",TRIM(IF(B349="","missing import_action; ","")&amp;IF(A349="","missing migration_customer_key; ","")&amp;IF(AND(A349&lt;&gt;"",COUNTIF($A$6:$A$505,A349)&gt;1),"duplicate migration_customer_key; ","")&amp;IF(E349="","missing branch_id; ","")&amp;IF(G349="","missing first_name; ","")&amp;IF(I349="","missing last_name; ","")&amp;IF(M349="","missing primary_phone; ","")&amp;IF(AND(M349&lt;&gt;"",COUNTIF($M$6:$M$505,M349)&gt;1),"duplicate primary_phone; ","")&amp;IF(AND(L349="mobile",N349&lt;&gt;"invalid",OR(LEN(M349)&lt;&gt;10,LEFT(M349,2)&lt;&gt;"09")),"mobile must be 09XXXXXXXX or status invalid; ","")&amp;IF(T349="","missing neighborhood_id; ","")))))</x:f>
      </x:c>
    </x:row>
    <x:row r="350">
      <x:c r="A350" s="232"/>
      <x:c r="B350" s="233"/>
      <x:c r="C350" s="234"/>
      <x:c r="D350" s="233"/>
      <x:c r="E350" s="233"/>
      <x:c r="F350" s="233"/>
      <x:c r="G350" s="233"/>
      <x:c r="H350" s="233"/>
      <x:c r="I350" s="233"/>
      <x:c r="J350" s="233"/>
      <x:c r="K350" s="233" t="str">
        <x:f>TRIM(G350&amp;" "&amp;H350&amp;" "&amp;I350&amp;IF(J350&lt;&gt;""," ("&amp;J350&amp;")",""))</x:f>
      </x:c>
      <x:c r="L350" s="233"/>
      <x:c r="M350" s="234"/>
      <x:c r="N350" s="233"/>
      <x:c r="O350" s="233"/>
      <x:c r="P350" s="233"/>
      <x:c r="Q350" s="233"/>
      <x:c r="R350" s="233"/>
      <x:c r="S350" s="233"/>
      <x:c r="T350" s="233"/>
      <x:c r="U350" s="233"/>
      <x:c r="V350" s="233"/>
      <x:c r="W350" s="235"/>
      <x:c r="X350" s="235"/>
      <x:c r="Y350" s="233"/>
      <x:c r="Z350" s="233"/>
      <x:c r="AA350" s="233"/>
      <x:c r="AB350" s="233"/>
      <x:c r="AC350" s="236"/>
      <x:c r="AD350" s="233"/>
      <x:c r="AE350" s="233"/>
      <x:c r="AF350" s="233"/>
      <x:c r="AG350" s="233"/>
      <x:c r="AH350" s="234"/>
      <x:c r="AI350" s="233"/>
      <x:c r="AJ350" s="233"/>
      <x:c r="AK350" s="233"/>
      <x:c r="AL350" s="236"/>
      <x:c r="AM350" s="233"/>
      <x:c r="AN350" s="233"/>
      <x:c r="AO350" s="234"/>
      <x:c r="AP350" s="234"/>
      <x:c r="AQ350" s="233"/>
      <x:c r="AR350" s="236"/>
      <x:c r="AS350" s="234"/>
      <x:c r="AT350" s="233"/>
      <x:c r="AU350" s="233"/>
      <x:c r="AV350" s="233"/>
      <x:c r="AW350" s="233"/>
      <x:c r="AX350" s="233"/>
      <x:c r="AY350" s="233"/>
      <x:c r="AZ350" s="236"/>
      <x:c r="BA350" s="233"/>
      <x:c r="BB350" s="233"/>
      <x:c r="BC350" s="233"/>
      <x:c r="BD350" s="233"/>
      <x:c r="BE350" s="237" t="str">
        <x:f>IF(AND(A350="",B350="",C350="",E350="",G350="",I350="",M350="",T350="",BB350="",BD350=""),"",IF(B350="skip","SKIP",IF(OR(B350="",A350="",E350="",G350="",I350="",M350="",T350="",COUNTIF($A$6:$A$505,A350)&gt;1,COUNTIF($M$6:$M$505,M350)&gt;1,AND(L350="mobile",N350&lt;&gt;"invalid",OR(LEN(M350)&lt;&gt;10,LEFT(M350,2)&lt;&gt;"09"))),"REVIEW","READY")))</x:f>
      </x:c>
      <x:c r="BF350" s="238" t="str">
        <x:f>IF(BE350="","",IF(BE350="READY","",IF(B350="skip","Skipped by import_action",TRIM(IF(B350="","missing import_action; ","")&amp;IF(A350="","missing migration_customer_key; ","")&amp;IF(AND(A350&lt;&gt;"",COUNTIF($A$6:$A$505,A350)&gt;1),"duplicate migration_customer_key; ","")&amp;IF(E350="","missing branch_id; ","")&amp;IF(G350="","missing first_name; ","")&amp;IF(I350="","missing last_name; ","")&amp;IF(M350="","missing primary_phone; ","")&amp;IF(AND(M350&lt;&gt;"",COUNTIF($M$6:$M$505,M350)&gt;1),"duplicate primary_phone; ","")&amp;IF(AND(L350="mobile",N350&lt;&gt;"invalid",OR(LEN(M350)&lt;&gt;10,LEFT(M350,2)&lt;&gt;"09")),"mobile must be 09XXXXXXXX or status invalid; ","")&amp;IF(T350="","missing neighborhood_id; ","")))))</x:f>
      </x:c>
    </x:row>
    <x:row r="351">
      <x:c r="A351" s="232"/>
      <x:c r="B351" s="233"/>
      <x:c r="C351" s="234"/>
      <x:c r="D351" s="233"/>
      <x:c r="E351" s="233"/>
      <x:c r="F351" s="233"/>
      <x:c r="G351" s="233"/>
      <x:c r="H351" s="233"/>
      <x:c r="I351" s="233"/>
      <x:c r="J351" s="233"/>
      <x:c r="K351" s="233" t="str">
        <x:f>TRIM(G351&amp;" "&amp;H351&amp;" "&amp;I351&amp;IF(J351&lt;&gt;""," ("&amp;J351&amp;")",""))</x:f>
      </x:c>
      <x:c r="L351" s="233"/>
      <x:c r="M351" s="234"/>
      <x:c r="N351" s="233"/>
      <x:c r="O351" s="233"/>
      <x:c r="P351" s="233"/>
      <x:c r="Q351" s="233"/>
      <x:c r="R351" s="233"/>
      <x:c r="S351" s="233"/>
      <x:c r="T351" s="233"/>
      <x:c r="U351" s="233"/>
      <x:c r="V351" s="233"/>
      <x:c r="W351" s="235"/>
      <x:c r="X351" s="235"/>
      <x:c r="Y351" s="233"/>
      <x:c r="Z351" s="233"/>
      <x:c r="AA351" s="233"/>
      <x:c r="AB351" s="233"/>
      <x:c r="AC351" s="236"/>
      <x:c r="AD351" s="233"/>
      <x:c r="AE351" s="233"/>
      <x:c r="AF351" s="233"/>
      <x:c r="AG351" s="233"/>
      <x:c r="AH351" s="234"/>
      <x:c r="AI351" s="233"/>
      <x:c r="AJ351" s="233"/>
      <x:c r="AK351" s="233"/>
      <x:c r="AL351" s="236"/>
      <x:c r="AM351" s="233"/>
      <x:c r="AN351" s="233"/>
      <x:c r="AO351" s="234"/>
      <x:c r="AP351" s="234"/>
      <x:c r="AQ351" s="233"/>
      <x:c r="AR351" s="236"/>
      <x:c r="AS351" s="234"/>
      <x:c r="AT351" s="233"/>
      <x:c r="AU351" s="233"/>
      <x:c r="AV351" s="233"/>
      <x:c r="AW351" s="233"/>
      <x:c r="AX351" s="233"/>
      <x:c r="AY351" s="233"/>
      <x:c r="AZ351" s="236"/>
      <x:c r="BA351" s="233"/>
      <x:c r="BB351" s="233"/>
      <x:c r="BC351" s="233"/>
      <x:c r="BD351" s="233"/>
      <x:c r="BE351" s="237" t="str">
        <x:f>IF(AND(A351="",B351="",C351="",E351="",G351="",I351="",M351="",T351="",BB351="",BD351=""),"",IF(B351="skip","SKIP",IF(OR(B351="",A351="",E351="",G351="",I351="",M351="",T351="",COUNTIF($A$6:$A$505,A351)&gt;1,COUNTIF($M$6:$M$505,M351)&gt;1,AND(L351="mobile",N351&lt;&gt;"invalid",OR(LEN(M351)&lt;&gt;10,LEFT(M351,2)&lt;&gt;"09"))),"REVIEW","READY")))</x:f>
      </x:c>
      <x:c r="BF351" s="238" t="str">
        <x:f>IF(BE351="","",IF(BE351="READY","",IF(B351="skip","Skipped by import_action",TRIM(IF(B351="","missing import_action; ","")&amp;IF(A351="","missing migration_customer_key; ","")&amp;IF(AND(A351&lt;&gt;"",COUNTIF($A$6:$A$505,A351)&gt;1),"duplicate migration_customer_key; ","")&amp;IF(E351="","missing branch_id; ","")&amp;IF(G351="","missing first_name; ","")&amp;IF(I351="","missing last_name; ","")&amp;IF(M351="","missing primary_phone; ","")&amp;IF(AND(M351&lt;&gt;"",COUNTIF($M$6:$M$505,M351)&gt;1),"duplicate primary_phone; ","")&amp;IF(AND(L351="mobile",N351&lt;&gt;"invalid",OR(LEN(M351)&lt;&gt;10,LEFT(M351,2)&lt;&gt;"09")),"mobile must be 09XXXXXXXX or status invalid; ","")&amp;IF(T351="","missing neighborhood_id; ","")))))</x:f>
      </x:c>
    </x:row>
    <x:row r="352">
      <x:c r="A352" s="232"/>
      <x:c r="B352" s="233"/>
      <x:c r="C352" s="234"/>
      <x:c r="D352" s="233"/>
      <x:c r="E352" s="233"/>
      <x:c r="F352" s="233"/>
      <x:c r="G352" s="233"/>
      <x:c r="H352" s="233"/>
      <x:c r="I352" s="233"/>
      <x:c r="J352" s="233"/>
      <x:c r="K352" s="233" t="str">
        <x:f>TRIM(G352&amp;" "&amp;H352&amp;" "&amp;I352&amp;IF(J352&lt;&gt;""," ("&amp;J352&amp;")",""))</x:f>
      </x:c>
      <x:c r="L352" s="233"/>
      <x:c r="M352" s="234"/>
      <x:c r="N352" s="233"/>
      <x:c r="O352" s="233"/>
      <x:c r="P352" s="233"/>
      <x:c r="Q352" s="233"/>
      <x:c r="R352" s="233"/>
      <x:c r="S352" s="233"/>
      <x:c r="T352" s="233"/>
      <x:c r="U352" s="233"/>
      <x:c r="V352" s="233"/>
      <x:c r="W352" s="235"/>
      <x:c r="X352" s="235"/>
      <x:c r="Y352" s="233"/>
      <x:c r="Z352" s="233"/>
      <x:c r="AA352" s="233"/>
      <x:c r="AB352" s="233"/>
      <x:c r="AC352" s="236"/>
      <x:c r="AD352" s="233"/>
      <x:c r="AE352" s="233"/>
      <x:c r="AF352" s="233"/>
      <x:c r="AG352" s="233"/>
      <x:c r="AH352" s="234"/>
      <x:c r="AI352" s="233"/>
      <x:c r="AJ352" s="233"/>
      <x:c r="AK352" s="233"/>
      <x:c r="AL352" s="236"/>
      <x:c r="AM352" s="233"/>
      <x:c r="AN352" s="233"/>
      <x:c r="AO352" s="234"/>
      <x:c r="AP352" s="234"/>
      <x:c r="AQ352" s="233"/>
      <x:c r="AR352" s="236"/>
      <x:c r="AS352" s="234"/>
      <x:c r="AT352" s="233"/>
      <x:c r="AU352" s="233"/>
      <x:c r="AV352" s="233"/>
      <x:c r="AW352" s="233"/>
      <x:c r="AX352" s="233"/>
      <x:c r="AY352" s="233"/>
      <x:c r="AZ352" s="236"/>
      <x:c r="BA352" s="233"/>
      <x:c r="BB352" s="233"/>
      <x:c r="BC352" s="233"/>
      <x:c r="BD352" s="233"/>
      <x:c r="BE352" s="237" t="str">
        <x:f>IF(AND(A352="",B352="",C352="",E352="",G352="",I352="",M352="",T352="",BB352="",BD352=""),"",IF(B352="skip","SKIP",IF(OR(B352="",A352="",E352="",G352="",I352="",M352="",T352="",COUNTIF($A$6:$A$505,A352)&gt;1,COUNTIF($M$6:$M$505,M352)&gt;1,AND(L352="mobile",N352&lt;&gt;"invalid",OR(LEN(M352)&lt;&gt;10,LEFT(M352,2)&lt;&gt;"09"))),"REVIEW","READY")))</x:f>
      </x:c>
      <x:c r="BF352" s="238" t="str">
        <x:f>IF(BE352="","",IF(BE352="READY","",IF(B352="skip","Skipped by import_action",TRIM(IF(B352="","missing import_action; ","")&amp;IF(A352="","missing migration_customer_key; ","")&amp;IF(AND(A352&lt;&gt;"",COUNTIF($A$6:$A$505,A352)&gt;1),"duplicate migration_customer_key; ","")&amp;IF(E352="","missing branch_id; ","")&amp;IF(G352="","missing first_name; ","")&amp;IF(I352="","missing last_name; ","")&amp;IF(M352="","missing primary_phone; ","")&amp;IF(AND(M352&lt;&gt;"",COUNTIF($M$6:$M$505,M352)&gt;1),"duplicate primary_phone; ","")&amp;IF(AND(L352="mobile",N352&lt;&gt;"invalid",OR(LEN(M352)&lt;&gt;10,LEFT(M352,2)&lt;&gt;"09")),"mobile must be 09XXXXXXXX or status invalid; ","")&amp;IF(T352="","missing neighborhood_id; ","")))))</x:f>
      </x:c>
    </x:row>
    <x:row r="353">
      <x:c r="A353" s="232"/>
      <x:c r="B353" s="233"/>
      <x:c r="C353" s="234"/>
      <x:c r="D353" s="233"/>
      <x:c r="E353" s="233"/>
      <x:c r="F353" s="233"/>
      <x:c r="G353" s="233"/>
      <x:c r="H353" s="233"/>
      <x:c r="I353" s="233"/>
      <x:c r="J353" s="233"/>
      <x:c r="K353" s="233" t="str">
        <x:f>TRIM(G353&amp;" "&amp;H353&amp;" "&amp;I353&amp;IF(J353&lt;&gt;""," ("&amp;J353&amp;")",""))</x:f>
      </x:c>
      <x:c r="L353" s="233"/>
      <x:c r="M353" s="234"/>
      <x:c r="N353" s="233"/>
      <x:c r="O353" s="233"/>
      <x:c r="P353" s="233"/>
      <x:c r="Q353" s="233"/>
      <x:c r="R353" s="233"/>
      <x:c r="S353" s="233"/>
      <x:c r="T353" s="233"/>
      <x:c r="U353" s="233"/>
      <x:c r="V353" s="233"/>
      <x:c r="W353" s="235"/>
      <x:c r="X353" s="235"/>
      <x:c r="Y353" s="233"/>
      <x:c r="Z353" s="233"/>
      <x:c r="AA353" s="233"/>
      <x:c r="AB353" s="233"/>
      <x:c r="AC353" s="236"/>
      <x:c r="AD353" s="233"/>
      <x:c r="AE353" s="233"/>
      <x:c r="AF353" s="233"/>
      <x:c r="AG353" s="233"/>
      <x:c r="AH353" s="234"/>
      <x:c r="AI353" s="233"/>
      <x:c r="AJ353" s="233"/>
      <x:c r="AK353" s="233"/>
      <x:c r="AL353" s="236"/>
      <x:c r="AM353" s="233"/>
      <x:c r="AN353" s="233"/>
      <x:c r="AO353" s="234"/>
      <x:c r="AP353" s="234"/>
      <x:c r="AQ353" s="233"/>
      <x:c r="AR353" s="236"/>
      <x:c r="AS353" s="234"/>
      <x:c r="AT353" s="233"/>
      <x:c r="AU353" s="233"/>
      <x:c r="AV353" s="233"/>
      <x:c r="AW353" s="233"/>
      <x:c r="AX353" s="233"/>
      <x:c r="AY353" s="233"/>
      <x:c r="AZ353" s="236"/>
      <x:c r="BA353" s="233"/>
      <x:c r="BB353" s="233"/>
      <x:c r="BC353" s="233"/>
      <x:c r="BD353" s="233"/>
      <x:c r="BE353" s="237" t="str">
        <x:f>IF(AND(A353="",B353="",C353="",E353="",G353="",I353="",M353="",T353="",BB353="",BD353=""),"",IF(B353="skip","SKIP",IF(OR(B353="",A353="",E353="",G353="",I353="",M353="",T353="",COUNTIF($A$6:$A$505,A353)&gt;1,COUNTIF($M$6:$M$505,M353)&gt;1,AND(L353="mobile",N353&lt;&gt;"invalid",OR(LEN(M353)&lt;&gt;10,LEFT(M353,2)&lt;&gt;"09"))),"REVIEW","READY")))</x:f>
      </x:c>
      <x:c r="BF353" s="238" t="str">
        <x:f>IF(BE353="","",IF(BE353="READY","",IF(B353="skip","Skipped by import_action",TRIM(IF(B353="","missing import_action; ","")&amp;IF(A353="","missing migration_customer_key; ","")&amp;IF(AND(A353&lt;&gt;"",COUNTIF($A$6:$A$505,A353)&gt;1),"duplicate migration_customer_key; ","")&amp;IF(E353="","missing branch_id; ","")&amp;IF(G353="","missing first_name; ","")&amp;IF(I353="","missing last_name; ","")&amp;IF(M353="","missing primary_phone; ","")&amp;IF(AND(M353&lt;&gt;"",COUNTIF($M$6:$M$505,M353)&gt;1),"duplicate primary_phone; ","")&amp;IF(AND(L353="mobile",N353&lt;&gt;"invalid",OR(LEN(M353)&lt;&gt;10,LEFT(M353,2)&lt;&gt;"09")),"mobile must be 09XXXXXXXX or status invalid; ","")&amp;IF(T353="","missing neighborhood_id; ","")))))</x:f>
      </x:c>
    </x:row>
    <x:row r="354">
      <x:c r="A354" s="232"/>
      <x:c r="B354" s="233"/>
      <x:c r="C354" s="234"/>
      <x:c r="D354" s="233"/>
      <x:c r="E354" s="233"/>
      <x:c r="F354" s="233"/>
      <x:c r="G354" s="233"/>
      <x:c r="H354" s="233"/>
      <x:c r="I354" s="233"/>
      <x:c r="J354" s="233"/>
      <x:c r="K354" s="233" t="str">
        <x:f>TRIM(G354&amp;" "&amp;H354&amp;" "&amp;I354&amp;IF(J354&lt;&gt;""," ("&amp;J354&amp;")",""))</x:f>
      </x:c>
      <x:c r="L354" s="233"/>
      <x:c r="M354" s="234"/>
      <x:c r="N354" s="233"/>
      <x:c r="O354" s="233"/>
      <x:c r="P354" s="233"/>
      <x:c r="Q354" s="233"/>
      <x:c r="R354" s="233"/>
      <x:c r="S354" s="233"/>
      <x:c r="T354" s="233"/>
      <x:c r="U354" s="233"/>
      <x:c r="V354" s="233"/>
      <x:c r="W354" s="235"/>
      <x:c r="X354" s="235"/>
      <x:c r="Y354" s="233"/>
      <x:c r="Z354" s="233"/>
      <x:c r="AA354" s="233"/>
      <x:c r="AB354" s="233"/>
      <x:c r="AC354" s="236"/>
      <x:c r="AD354" s="233"/>
      <x:c r="AE354" s="233"/>
      <x:c r="AF354" s="233"/>
      <x:c r="AG354" s="233"/>
      <x:c r="AH354" s="234"/>
      <x:c r="AI354" s="233"/>
      <x:c r="AJ354" s="233"/>
      <x:c r="AK354" s="233"/>
      <x:c r="AL354" s="236"/>
      <x:c r="AM354" s="233"/>
      <x:c r="AN354" s="233"/>
      <x:c r="AO354" s="234"/>
      <x:c r="AP354" s="234"/>
      <x:c r="AQ354" s="233"/>
      <x:c r="AR354" s="236"/>
      <x:c r="AS354" s="234"/>
      <x:c r="AT354" s="233"/>
      <x:c r="AU354" s="233"/>
      <x:c r="AV354" s="233"/>
      <x:c r="AW354" s="233"/>
      <x:c r="AX354" s="233"/>
      <x:c r="AY354" s="233"/>
      <x:c r="AZ354" s="236"/>
      <x:c r="BA354" s="233"/>
      <x:c r="BB354" s="233"/>
      <x:c r="BC354" s="233"/>
      <x:c r="BD354" s="233"/>
      <x:c r="BE354" s="237" t="str">
        <x:f>IF(AND(A354="",B354="",C354="",E354="",G354="",I354="",M354="",T354="",BB354="",BD354=""),"",IF(B354="skip","SKIP",IF(OR(B354="",A354="",E354="",G354="",I354="",M354="",T354="",COUNTIF($A$6:$A$505,A354)&gt;1,COUNTIF($M$6:$M$505,M354)&gt;1,AND(L354="mobile",N354&lt;&gt;"invalid",OR(LEN(M354)&lt;&gt;10,LEFT(M354,2)&lt;&gt;"09"))),"REVIEW","READY")))</x:f>
      </x:c>
      <x:c r="BF354" s="238" t="str">
        <x:f>IF(BE354="","",IF(BE354="READY","",IF(B354="skip","Skipped by import_action",TRIM(IF(B354="","missing import_action; ","")&amp;IF(A354="","missing migration_customer_key; ","")&amp;IF(AND(A354&lt;&gt;"",COUNTIF($A$6:$A$505,A354)&gt;1),"duplicate migration_customer_key; ","")&amp;IF(E354="","missing branch_id; ","")&amp;IF(G354="","missing first_name; ","")&amp;IF(I354="","missing last_name; ","")&amp;IF(M354="","missing primary_phone; ","")&amp;IF(AND(M354&lt;&gt;"",COUNTIF($M$6:$M$505,M354)&gt;1),"duplicate primary_phone; ","")&amp;IF(AND(L354="mobile",N354&lt;&gt;"invalid",OR(LEN(M354)&lt;&gt;10,LEFT(M354,2)&lt;&gt;"09")),"mobile must be 09XXXXXXXX or status invalid; ","")&amp;IF(T354="","missing neighborhood_id; ","")))))</x:f>
      </x:c>
    </x:row>
    <x:row r="355">
      <x:c r="A355" s="232"/>
      <x:c r="B355" s="233"/>
      <x:c r="C355" s="234"/>
      <x:c r="D355" s="233"/>
      <x:c r="E355" s="233"/>
      <x:c r="F355" s="233"/>
      <x:c r="G355" s="233"/>
      <x:c r="H355" s="233"/>
      <x:c r="I355" s="233"/>
      <x:c r="J355" s="233"/>
      <x:c r="K355" s="233" t="str">
        <x:f>TRIM(G355&amp;" "&amp;H355&amp;" "&amp;I355&amp;IF(J355&lt;&gt;""," ("&amp;J355&amp;")",""))</x:f>
      </x:c>
      <x:c r="L355" s="233"/>
      <x:c r="M355" s="234"/>
      <x:c r="N355" s="233"/>
      <x:c r="O355" s="233"/>
      <x:c r="P355" s="233"/>
      <x:c r="Q355" s="233"/>
      <x:c r="R355" s="233"/>
      <x:c r="S355" s="233"/>
      <x:c r="T355" s="233"/>
      <x:c r="U355" s="233"/>
      <x:c r="V355" s="233"/>
      <x:c r="W355" s="235"/>
      <x:c r="X355" s="235"/>
      <x:c r="Y355" s="233"/>
      <x:c r="Z355" s="233"/>
      <x:c r="AA355" s="233"/>
      <x:c r="AB355" s="233"/>
      <x:c r="AC355" s="236"/>
      <x:c r="AD355" s="233"/>
      <x:c r="AE355" s="233"/>
      <x:c r="AF355" s="233"/>
      <x:c r="AG355" s="233"/>
      <x:c r="AH355" s="234"/>
      <x:c r="AI355" s="233"/>
      <x:c r="AJ355" s="233"/>
      <x:c r="AK355" s="233"/>
      <x:c r="AL355" s="236"/>
      <x:c r="AM355" s="233"/>
      <x:c r="AN355" s="233"/>
      <x:c r="AO355" s="234"/>
      <x:c r="AP355" s="234"/>
      <x:c r="AQ355" s="233"/>
      <x:c r="AR355" s="236"/>
      <x:c r="AS355" s="234"/>
      <x:c r="AT355" s="233"/>
      <x:c r="AU355" s="233"/>
      <x:c r="AV355" s="233"/>
      <x:c r="AW355" s="233"/>
      <x:c r="AX355" s="233"/>
      <x:c r="AY355" s="233"/>
      <x:c r="AZ355" s="236"/>
      <x:c r="BA355" s="233"/>
      <x:c r="BB355" s="233"/>
      <x:c r="BC355" s="233"/>
      <x:c r="BD355" s="233"/>
      <x:c r="BE355" s="237" t="str">
        <x:f>IF(AND(A355="",B355="",C355="",E355="",G355="",I355="",M355="",T355="",BB355="",BD355=""),"",IF(B355="skip","SKIP",IF(OR(B355="",A355="",E355="",G355="",I355="",M355="",T355="",COUNTIF($A$6:$A$505,A355)&gt;1,COUNTIF($M$6:$M$505,M355)&gt;1,AND(L355="mobile",N355&lt;&gt;"invalid",OR(LEN(M355)&lt;&gt;10,LEFT(M355,2)&lt;&gt;"09"))),"REVIEW","READY")))</x:f>
      </x:c>
      <x:c r="BF355" s="238" t="str">
        <x:f>IF(BE355="","",IF(BE355="READY","",IF(B355="skip","Skipped by import_action",TRIM(IF(B355="","missing import_action; ","")&amp;IF(A355="","missing migration_customer_key; ","")&amp;IF(AND(A355&lt;&gt;"",COUNTIF($A$6:$A$505,A355)&gt;1),"duplicate migration_customer_key; ","")&amp;IF(E355="","missing branch_id; ","")&amp;IF(G355="","missing first_name; ","")&amp;IF(I355="","missing last_name; ","")&amp;IF(M355="","missing primary_phone; ","")&amp;IF(AND(M355&lt;&gt;"",COUNTIF($M$6:$M$505,M355)&gt;1),"duplicate primary_phone; ","")&amp;IF(AND(L355="mobile",N355&lt;&gt;"invalid",OR(LEN(M355)&lt;&gt;10,LEFT(M355,2)&lt;&gt;"09")),"mobile must be 09XXXXXXXX or status invalid; ","")&amp;IF(T355="","missing neighborhood_id; ","")))))</x:f>
      </x:c>
    </x:row>
    <x:row r="356">
      <x:c r="A356" s="232"/>
      <x:c r="B356" s="233"/>
      <x:c r="C356" s="234"/>
      <x:c r="D356" s="233"/>
      <x:c r="E356" s="233"/>
      <x:c r="F356" s="233"/>
      <x:c r="G356" s="233"/>
      <x:c r="H356" s="233"/>
      <x:c r="I356" s="233"/>
      <x:c r="J356" s="233"/>
      <x:c r="K356" s="233" t="str">
        <x:f>TRIM(G356&amp;" "&amp;H356&amp;" "&amp;I356&amp;IF(J356&lt;&gt;""," ("&amp;J356&amp;")",""))</x:f>
      </x:c>
      <x:c r="L356" s="233"/>
      <x:c r="M356" s="234"/>
      <x:c r="N356" s="233"/>
      <x:c r="O356" s="233"/>
      <x:c r="P356" s="233"/>
      <x:c r="Q356" s="233"/>
      <x:c r="R356" s="233"/>
      <x:c r="S356" s="233"/>
      <x:c r="T356" s="233"/>
      <x:c r="U356" s="233"/>
      <x:c r="V356" s="233"/>
      <x:c r="W356" s="235"/>
      <x:c r="X356" s="235"/>
      <x:c r="Y356" s="233"/>
      <x:c r="Z356" s="233"/>
      <x:c r="AA356" s="233"/>
      <x:c r="AB356" s="233"/>
      <x:c r="AC356" s="236"/>
      <x:c r="AD356" s="233"/>
      <x:c r="AE356" s="233"/>
      <x:c r="AF356" s="233"/>
      <x:c r="AG356" s="233"/>
      <x:c r="AH356" s="234"/>
      <x:c r="AI356" s="233"/>
      <x:c r="AJ356" s="233"/>
      <x:c r="AK356" s="233"/>
      <x:c r="AL356" s="236"/>
      <x:c r="AM356" s="233"/>
      <x:c r="AN356" s="233"/>
      <x:c r="AO356" s="234"/>
      <x:c r="AP356" s="234"/>
      <x:c r="AQ356" s="233"/>
      <x:c r="AR356" s="236"/>
      <x:c r="AS356" s="234"/>
      <x:c r="AT356" s="233"/>
      <x:c r="AU356" s="233"/>
      <x:c r="AV356" s="233"/>
      <x:c r="AW356" s="233"/>
      <x:c r="AX356" s="233"/>
      <x:c r="AY356" s="233"/>
      <x:c r="AZ356" s="236"/>
      <x:c r="BA356" s="233"/>
      <x:c r="BB356" s="233"/>
      <x:c r="BC356" s="233"/>
      <x:c r="BD356" s="233"/>
      <x:c r="BE356" s="237" t="str">
        <x:f>IF(AND(A356="",B356="",C356="",E356="",G356="",I356="",M356="",T356="",BB356="",BD356=""),"",IF(B356="skip","SKIP",IF(OR(B356="",A356="",E356="",G356="",I356="",M356="",T356="",COUNTIF($A$6:$A$505,A356)&gt;1,COUNTIF($M$6:$M$505,M356)&gt;1,AND(L356="mobile",N356&lt;&gt;"invalid",OR(LEN(M356)&lt;&gt;10,LEFT(M356,2)&lt;&gt;"09"))),"REVIEW","READY")))</x:f>
      </x:c>
      <x:c r="BF356" s="238" t="str">
        <x:f>IF(BE356="","",IF(BE356="READY","",IF(B356="skip","Skipped by import_action",TRIM(IF(B356="","missing import_action; ","")&amp;IF(A356="","missing migration_customer_key; ","")&amp;IF(AND(A356&lt;&gt;"",COUNTIF($A$6:$A$505,A356)&gt;1),"duplicate migration_customer_key; ","")&amp;IF(E356="","missing branch_id; ","")&amp;IF(G356="","missing first_name; ","")&amp;IF(I356="","missing last_name; ","")&amp;IF(M356="","missing primary_phone; ","")&amp;IF(AND(M356&lt;&gt;"",COUNTIF($M$6:$M$505,M356)&gt;1),"duplicate primary_phone; ","")&amp;IF(AND(L356="mobile",N356&lt;&gt;"invalid",OR(LEN(M356)&lt;&gt;10,LEFT(M356,2)&lt;&gt;"09")),"mobile must be 09XXXXXXXX or status invalid; ","")&amp;IF(T356="","missing neighborhood_id; ","")))))</x:f>
      </x:c>
    </x:row>
    <x:row r="357">
      <x:c r="A357" s="232"/>
      <x:c r="B357" s="233"/>
      <x:c r="C357" s="234"/>
      <x:c r="D357" s="233"/>
      <x:c r="E357" s="233"/>
      <x:c r="F357" s="233"/>
      <x:c r="G357" s="233"/>
      <x:c r="H357" s="233"/>
      <x:c r="I357" s="233"/>
      <x:c r="J357" s="233"/>
      <x:c r="K357" s="233" t="str">
        <x:f>TRIM(G357&amp;" "&amp;H357&amp;" "&amp;I357&amp;IF(J357&lt;&gt;""," ("&amp;J357&amp;")",""))</x:f>
      </x:c>
      <x:c r="L357" s="233"/>
      <x:c r="M357" s="234"/>
      <x:c r="N357" s="233"/>
      <x:c r="O357" s="233"/>
      <x:c r="P357" s="233"/>
      <x:c r="Q357" s="233"/>
      <x:c r="R357" s="233"/>
      <x:c r="S357" s="233"/>
      <x:c r="T357" s="233"/>
      <x:c r="U357" s="233"/>
      <x:c r="V357" s="233"/>
      <x:c r="W357" s="235"/>
      <x:c r="X357" s="235"/>
      <x:c r="Y357" s="233"/>
      <x:c r="Z357" s="233"/>
      <x:c r="AA357" s="233"/>
      <x:c r="AB357" s="233"/>
      <x:c r="AC357" s="236"/>
      <x:c r="AD357" s="233"/>
      <x:c r="AE357" s="233"/>
      <x:c r="AF357" s="233"/>
      <x:c r="AG357" s="233"/>
      <x:c r="AH357" s="234"/>
      <x:c r="AI357" s="233"/>
      <x:c r="AJ357" s="233"/>
      <x:c r="AK357" s="233"/>
      <x:c r="AL357" s="236"/>
      <x:c r="AM357" s="233"/>
      <x:c r="AN357" s="233"/>
      <x:c r="AO357" s="234"/>
      <x:c r="AP357" s="234"/>
      <x:c r="AQ357" s="233"/>
      <x:c r="AR357" s="236"/>
      <x:c r="AS357" s="234"/>
      <x:c r="AT357" s="233"/>
      <x:c r="AU357" s="233"/>
      <x:c r="AV357" s="233"/>
      <x:c r="AW357" s="233"/>
      <x:c r="AX357" s="233"/>
      <x:c r="AY357" s="233"/>
      <x:c r="AZ357" s="236"/>
      <x:c r="BA357" s="233"/>
      <x:c r="BB357" s="233"/>
      <x:c r="BC357" s="233"/>
      <x:c r="BD357" s="233"/>
      <x:c r="BE357" s="237" t="str">
        <x:f>IF(AND(A357="",B357="",C357="",E357="",G357="",I357="",M357="",T357="",BB357="",BD357=""),"",IF(B357="skip","SKIP",IF(OR(B357="",A357="",E357="",G357="",I357="",M357="",T357="",COUNTIF($A$6:$A$505,A357)&gt;1,COUNTIF($M$6:$M$505,M357)&gt;1,AND(L357="mobile",N357&lt;&gt;"invalid",OR(LEN(M357)&lt;&gt;10,LEFT(M357,2)&lt;&gt;"09"))),"REVIEW","READY")))</x:f>
      </x:c>
      <x:c r="BF357" s="238" t="str">
        <x:f>IF(BE357="","",IF(BE357="READY","",IF(B357="skip","Skipped by import_action",TRIM(IF(B357="","missing import_action; ","")&amp;IF(A357="","missing migration_customer_key; ","")&amp;IF(AND(A357&lt;&gt;"",COUNTIF($A$6:$A$505,A357)&gt;1),"duplicate migration_customer_key; ","")&amp;IF(E357="","missing branch_id; ","")&amp;IF(G357="","missing first_name; ","")&amp;IF(I357="","missing last_name; ","")&amp;IF(M357="","missing primary_phone; ","")&amp;IF(AND(M357&lt;&gt;"",COUNTIF($M$6:$M$505,M357)&gt;1),"duplicate primary_phone; ","")&amp;IF(AND(L357="mobile",N357&lt;&gt;"invalid",OR(LEN(M357)&lt;&gt;10,LEFT(M357,2)&lt;&gt;"09")),"mobile must be 09XXXXXXXX or status invalid; ","")&amp;IF(T357="","missing neighborhood_id; ","")))))</x:f>
      </x:c>
    </x:row>
    <x:row r="358">
      <x:c r="A358" s="232"/>
      <x:c r="B358" s="233"/>
      <x:c r="C358" s="234"/>
      <x:c r="D358" s="233"/>
      <x:c r="E358" s="233"/>
      <x:c r="F358" s="233"/>
      <x:c r="G358" s="233"/>
      <x:c r="H358" s="233"/>
      <x:c r="I358" s="233"/>
      <x:c r="J358" s="233"/>
      <x:c r="K358" s="233" t="str">
        <x:f>TRIM(G358&amp;" "&amp;H358&amp;" "&amp;I358&amp;IF(J358&lt;&gt;""," ("&amp;J358&amp;")",""))</x:f>
      </x:c>
      <x:c r="L358" s="233"/>
      <x:c r="M358" s="234"/>
      <x:c r="N358" s="233"/>
      <x:c r="O358" s="233"/>
      <x:c r="P358" s="233"/>
      <x:c r="Q358" s="233"/>
      <x:c r="R358" s="233"/>
      <x:c r="S358" s="233"/>
      <x:c r="T358" s="233"/>
      <x:c r="U358" s="233"/>
      <x:c r="V358" s="233"/>
      <x:c r="W358" s="235"/>
      <x:c r="X358" s="235"/>
      <x:c r="Y358" s="233"/>
      <x:c r="Z358" s="233"/>
      <x:c r="AA358" s="233"/>
      <x:c r="AB358" s="233"/>
      <x:c r="AC358" s="236"/>
      <x:c r="AD358" s="233"/>
      <x:c r="AE358" s="233"/>
      <x:c r="AF358" s="233"/>
      <x:c r="AG358" s="233"/>
      <x:c r="AH358" s="234"/>
      <x:c r="AI358" s="233"/>
      <x:c r="AJ358" s="233"/>
      <x:c r="AK358" s="233"/>
      <x:c r="AL358" s="236"/>
      <x:c r="AM358" s="233"/>
      <x:c r="AN358" s="233"/>
      <x:c r="AO358" s="234"/>
      <x:c r="AP358" s="234"/>
      <x:c r="AQ358" s="233"/>
      <x:c r="AR358" s="236"/>
      <x:c r="AS358" s="234"/>
      <x:c r="AT358" s="233"/>
      <x:c r="AU358" s="233"/>
      <x:c r="AV358" s="233"/>
      <x:c r="AW358" s="233"/>
      <x:c r="AX358" s="233"/>
      <x:c r="AY358" s="233"/>
      <x:c r="AZ358" s="236"/>
      <x:c r="BA358" s="233"/>
      <x:c r="BB358" s="233"/>
      <x:c r="BC358" s="233"/>
      <x:c r="BD358" s="233"/>
      <x:c r="BE358" s="237" t="str">
        <x:f>IF(AND(A358="",B358="",C358="",E358="",G358="",I358="",M358="",T358="",BB358="",BD358=""),"",IF(B358="skip","SKIP",IF(OR(B358="",A358="",E358="",G358="",I358="",M358="",T358="",COUNTIF($A$6:$A$505,A358)&gt;1,COUNTIF($M$6:$M$505,M358)&gt;1,AND(L358="mobile",N358&lt;&gt;"invalid",OR(LEN(M358)&lt;&gt;10,LEFT(M358,2)&lt;&gt;"09"))),"REVIEW","READY")))</x:f>
      </x:c>
      <x:c r="BF358" s="238" t="str">
        <x:f>IF(BE358="","",IF(BE358="READY","",IF(B358="skip","Skipped by import_action",TRIM(IF(B358="","missing import_action; ","")&amp;IF(A358="","missing migration_customer_key; ","")&amp;IF(AND(A358&lt;&gt;"",COUNTIF($A$6:$A$505,A358)&gt;1),"duplicate migration_customer_key; ","")&amp;IF(E358="","missing branch_id; ","")&amp;IF(G358="","missing first_name; ","")&amp;IF(I358="","missing last_name; ","")&amp;IF(M358="","missing primary_phone; ","")&amp;IF(AND(M358&lt;&gt;"",COUNTIF($M$6:$M$505,M358)&gt;1),"duplicate primary_phone; ","")&amp;IF(AND(L358="mobile",N358&lt;&gt;"invalid",OR(LEN(M358)&lt;&gt;10,LEFT(M358,2)&lt;&gt;"09")),"mobile must be 09XXXXXXXX or status invalid; ","")&amp;IF(T358="","missing neighborhood_id; ","")))))</x:f>
      </x:c>
    </x:row>
    <x:row r="359">
      <x:c r="A359" s="232"/>
      <x:c r="B359" s="233"/>
      <x:c r="C359" s="234"/>
      <x:c r="D359" s="233"/>
      <x:c r="E359" s="233"/>
      <x:c r="F359" s="233"/>
      <x:c r="G359" s="233"/>
      <x:c r="H359" s="233"/>
      <x:c r="I359" s="233"/>
      <x:c r="J359" s="233"/>
      <x:c r="K359" s="233" t="str">
        <x:f>TRIM(G359&amp;" "&amp;H359&amp;" "&amp;I359&amp;IF(J359&lt;&gt;""," ("&amp;J359&amp;")",""))</x:f>
      </x:c>
      <x:c r="L359" s="233"/>
      <x:c r="M359" s="234"/>
      <x:c r="N359" s="233"/>
      <x:c r="O359" s="233"/>
      <x:c r="P359" s="233"/>
      <x:c r="Q359" s="233"/>
      <x:c r="R359" s="233"/>
      <x:c r="S359" s="233"/>
      <x:c r="T359" s="233"/>
      <x:c r="U359" s="233"/>
      <x:c r="V359" s="233"/>
      <x:c r="W359" s="235"/>
      <x:c r="X359" s="235"/>
      <x:c r="Y359" s="233"/>
      <x:c r="Z359" s="233"/>
      <x:c r="AA359" s="233"/>
      <x:c r="AB359" s="233"/>
      <x:c r="AC359" s="236"/>
      <x:c r="AD359" s="233"/>
      <x:c r="AE359" s="233"/>
      <x:c r="AF359" s="233"/>
      <x:c r="AG359" s="233"/>
      <x:c r="AH359" s="234"/>
      <x:c r="AI359" s="233"/>
      <x:c r="AJ359" s="233"/>
      <x:c r="AK359" s="233"/>
      <x:c r="AL359" s="236"/>
      <x:c r="AM359" s="233"/>
      <x:c r="AN359" s="233"/>
      <x:c r="AO359" s="234"/>
      <x:c r="AP359" s="234"/>
      <x:c r="AQ359" s="233"/>
      <x:c r="AR359" s="236"/>
      <x:c r="AS359" s="234"/>
      <x:c r="AT359" s="233"/>
      <x:c r="AU359" s="233"/>
      <x:c r="AV359" s="233"/>
      <x:c r="AW359" s="233"/>
      <x:c r="AX359" s="233"/>
      <x:c r="AY359" s="233"/>
      <x:c r="AZ359" s="236"/>
      <x:c r="BA359" s="233"/>
      <x:c r="BB359" s="233"/>
      <x:c r="BC359" s="233"/>
      <x:c r="BD359" s="233"/>
      <x:c r="BE359" s="237" t="str">
        <x:f>IF(AND(A359="",B359="",C359="",E359="",G359="",I359="",M359="",T359="",BB359="",BD359=""),"",IF(B359="skip","SKIP",IF(OR(B359="",A359="",E359="",G359="",I359="",M359="",T359="",COUNTIF($A$6:$A$505,A359)&gt;1,COUNTIF($M$6:$M$505,M359)&gt;1,AND(L359="mobile",N359&lt;&gt;"invalid",OR(LEN(M359)&lt;&gt;10,LEFT(M359,2)&lt;&gt;"09"))),"REVIEW","READY")))</x:f>
      </x:c>
      <x:c r="BF359" s="238" t="str">
        <x:f>IF(BE359="","",IF(BE359="READY","",IF(B359="skip","Skipped by import_action",TRIM(IF(B359="","missing import_action; ","")&amp;IF(A359="","missing migration_customer_key; ","")&amp;IF(AND(A359&lt;&gt;"",COUNTIF($A$6:$A$505,A359)&gt;1),"duplicate migration_customer_key; ","")&amp;IF(E359="","missing branch_id; ","")&amp;IF(G359="","missing first_name; ","")&amp;IF(I359="","missing last_name; ","")&amp;IF(M359="","missing primary_phone; ","")&amp;IF(AND(M359&lt;&gt;"",COUNTIF($M$6:$M$505,M359)&gt;1),"duplicate primary_phone; ","")&amp;IF(AND(L359="mobile",N359&lt;&gt;"invalid",OR(LEN(M359)&lt;&gt;10,LEFT(M359,2)&lt;&gt;"09")),"mobile must be 09XXXXXXXX or status invalid; ","")&amp;IF(T359="","missing neighborhood_id; ","")))))</x:f>
      </x:c>
    </x:row>
    <x:row r="360">
      <x:c r="A360" s="232"/>
      <x:c r="B360" s="233"/>
      <x:c r="C360" s="234"/>
      <x:c r="D360" s="233"/>
      <x:c r="E360" s="233"/>
      <x:c r="F360" s="233"/>
      <x:c r="G360" s="233"/>
      <x:c r="H360" s="233"/>
      <x:c r="I360" s="233"/>
      <x:c r="J360" s="233"/>
      <x:c r="K360" s="233" t="str">
        <x:f>TRIM(G360&amp;" "&amp;H360&amp;" "&amp;I360&amp;IF(J360&lt;&gt;""," ("&amp;J360&amp;")",""))</x:f>
      </x:c>
      <x:c r="L360" s="233"/>
      <x:c r="M360" s="234"/>
      <x:c r="N360" s="233"/>
      <x:c r="O360" s="233"/>
      <x:c r="P360" s="233"/>
      <x:c r="Q360" s="233"/>
      <x:c r="R360" s="233"/>
      <x:c r="S360" s="233"/>
      <x:c r="T360" s="233"/>
      <x:c r="U360" s="233"/>
      <x:c r="V360" s="233"/>
      <x:c r="W360" s="235"/>
      <x:c r="X360" s="235"/>
      <x:c r="Y360" s="233"/>
      <x:c r="Z360" s="233"/>
      <x:c r="AA360" s="233"/>
      <x:c r="AB360" s="233"/>
      <x:c r="AC360" s="236"/>
      <x:c r="AD360" s="233"/>
      <x:c r="AE360" s="233"/>
      <x:c r="AF360" s="233"/>
      <x:c r="AG360" s="233"/>
      <x:c r="AH360" s="234"/>
      <x:c r="AI360" s="233"/>
      <x:c r="AJ360" s="233"/>
      <x:c r="AK360" s="233"/>
      <x:c r="AL360" s="236"/>
      <x:c r="AM360" s="233"/>
      <x:c r="AN360" s="233"/>
      <x:c r="AO360" s="234"/>
      <x:c r="AP360" s="234"/>
      <x:c r="AQ360" s="233"/>
      <x:c r="AR360" s="236"/>
      <x:c r="AS360" s="234"/>
      <x:c r="AT360" s="233"/>
      <x:c r="AU360" s="233"/>
      <x:c r="AV360" s="233"/>
      <x:c r="AW360" s="233"/>
      <x:c r="AX360" s="233"/>
      <x:c r="AY360" s="233"/>
      <x:c r="AZ360" s="236"/>
      <x:c r="BA360" s="233"/>
      <x:c r="BB360" s="233"/>
      <x:c r="BC360" s="233"/>
      <x:c r="BD360" s="233"/>
      <x:c r="BE360" s="237" t="str">
        <x:f>IF(AND(A360="",B360="",C360="",E360="",G360="",I360="",M360="",T360="",BB360="",BD360=""),"",IF(B360="skip","SKIP",IF(OR(B360="",A360="",E360="",G360="",I360="",M360="",T360="",COUNTIF($A$6:$A$505,A360)&gt;1,COUNTIF($M$6:$M$505,M360)&gt;1,AND(L360="mobile",N360&lt;&gt;"invalid",OR(LEN(M360)&lt;&gt;10,LEFT(M360,2)&lt;&gt;"09"))),"REVIEW","READY")))</x:f>
      </x:c>
      <x:c r="BF360" s="238" t="str">
        <x:f>IF(BE360="","",IF(BE360="READY","",IF(B360="skip","Skipped by import_action",TRIM(IF(B360="","missing import_action; ","")&amp;IF(A360="","missing migration_customer_key; ","")&amp;IF(AND(A360&lt;&gt;"",COUNTIF($A$6:$A$505,A360)&gt;1),"duplicate migration_customer_key; ","")&amp;IF(E360="","missing branch_id; ","")&amp;IF(G360="","missing first_name; ","")&amp;IF(I360="","missing last_name; ","")&amp;IF(M360="","missing primary_phone; ","")&amp;IF(AND(M360&lt;&gt;"",COUNTIF($M$6:$M$505,M360)&gt;1),"duplicate primary_phone; ","")&amp;IF(AND(L360="mobile",N360&lt;&gt;"invalid",OR(LEN(M360)&lt;&gt;10,LEFT(M360,2)&lt;&gt;"09")),"mobile must be 09XXXXXXXX or status invalid; ","")&amp;IF(T360="","missing neighborhood_id; ","")))))</x:f>
      </x:c>
    </x:row>
    <x:row r="361">
      <x:c r="A361" s="232"/>
      <x:c r="B361" s="233"/>
      <x:c r="C361" s="234"/>
      <x:c r="D361" s="233"/>
      <x:c r="E361" s="233"/>
      <x:c r="F361" s="233"/>
      <x:c r="G361" s="233"/>
      <x:c r="H361" s="233"/>
      <x:c r="I361" s="233"/>
      <x:c r="J361" s="233"/>
      <x:c r="K361" s="233" t="str">
        <x:f>TRIM(G361&amp;" "&amp;H361&amp;" "&amp;I361&amp;IF(J361&lt;&gt;""," ("&amp;J361&amp;")",""))</x:f>
      </x:c>
      <x:c r="L361" s="233"/>
      <x:c r="M361" s="234"/>
      <x:c r="N361" s="233"/>
      <x:c r="O361" s="233"/>
      <x:c r="P361" s="233"/>
      <x:c r="Q361" s="233"/>
      <x:c r="R361" s="233"/>
      <x:c r="S361" s="233"/>
      <x:c r="T361" s="233"/>
      <x:c r="U361" s="233"/>
      <x:c r="V361" s="233"/>
      <x:c r="W361" s="235"/>
      <x:c r="X361" s="235"/>
      <x:c r="Y361" s="233"/>
      <x:c r="Z361" s="233"/>
      <x:c r="AA361" s="233"/>
      <x:c r="AB361" s="233"/>
      <x:c r="AC361" s="236"/>
      <x:c r="AD361" s="233"/>
      <x:c r="AE361" s="233"/>
      <x:c r="AF361" s="233"/>
      <x:c r="AG361" s="233"/>
      <x:c r="AH361" s="234"/>
      <x:c r="AI361" s="233"/>
      <x:c r="AJ361" s="233"/>
      <x:c r="AK361" s="233"/>
      <x:c r="AL361" s="236"/>
      <x:c r="AM361" s="233"/>
      <x:c r="AN361" s="233"/>
      <x:c r="AO361" s="234"/>
      <x:c r="AP361" s="234"/>
      <x:c r="AQ361" s="233"/>
      <x:c r="AR361" s="236"/>
      <x:c r="AS361" s="234"/>
      <x:c r="AT361" s="233"/>
      <x:c r="AU361" s="233"/>
      <x:c r="AV361" s="233"/>
      <x:c r="AW361" s="233"/>
      <x:c r="AX361" s="233"/>
      <x:c r="AY361" s="233"/>
      <x:c r="AZ361" s="236"/>
      <x:c r="BA361" s="233"/>
      <x:c r="BB361" s="233"/>
      <x:c r="BC361" s="233"/>
      <x:c r="BD361" s="233"/>
      <x:c r="BE361" s="237" t="str">
        <x:f>IF(AND(A361="",B361="",C361="",E361="",G361="",I361="",M361="",T361="",BB361="",BD361=""),"",IF(B361="skip","SKIP",IF(OR(B361="",A361="",E361="",G361="",I361="",M361="",T361="",COUNTIF($A$6:$A$505,A361)&gt;1,COUNTIF($M$6:$M$505,M361)&gt;1,AND(L361="mobile",N361&lt;&gt;"invalid",OR(LEN(M361)&lt;&gt;10,LEFT(M361,2)&lt;&gt;"09"))),"REVIEW","READY")))</x:f>
      </x:c>
      <x:c r="BF361" s="238" t="str">
        <x:f>IF(BE361="","",IF(BE361="READY","",IF(B361="skip","Skipped by import_action",TRIM(IF(B361="","missing import_action; ","")&amp;IF(A361="","missing migration_customer_key; ","")&amp;IF(AND(A361&lt;&gt;"",COUNTIF($A$6:$A$505,A361)&gt;1),"duplicate migration_customer_key; ","")&amp;IF(E361="","missing branch_id; ","")&amp;IF(G361="","missing first_name; ","")&amp;IF(I361="","missing last_name; ","")&amp;IF(M361="","missing primary_phone; ","")&amp;IF(AND(M361&lt;&gt;"",COUNTIF($M$6:$M$505,M361)&gt;1),"duplicate primary_phone; ","")&amp;IF(AND(L361="mobile",N361&lt;&gt;"invalid",OR(LEN(M361)&lt;&gt;10,LEFT(M361,2)&lt;&gt;"09")),"mobile must be 09XXXXXXXX or status invalid; ","")&amp;IF(T361="","missing neighborhood_id; ","")))))</x:f>
      </x:c>
    </x:row>
    <x:row r="362">
      <x:c r="A362" s="232"/>
      <x:c r="B362" s="233"/>
      <x:c r="C362" s="234"/>
      <x:c r="D362" s="233"/>
      <x:c r="E362" s="233"/>
      <x:c r="F362" s="233"/>
      <x:c r="G362" s="233"/>
      <x:c r="H362" s="233"/>
      <x:c r="I362" s="233"/>
      <x:c r="J362" s="233"/>
      <x:c r="K362" s="233" t="str">
        <x:f>TRIM(G362&amp;" "&amp;H362&amp;" "&amp;I362&amp;IF(J362&lt;&gt;""," ("&amp;J362&amp;")",""))</x:f>
      </x:c>
      <x:c r="L362" s="233"/>
      <x:c r="M362" s="234"/>
      <x:c r="N362" s="233"/>
      <x:c r="O362" s="233"/>
      <x:c r="P362" s="233"/>
      <x:c r="Q362" s="233"/>
      <x:c r="R362" s="233"/>
      <x:c r="S362" s="233"/>
      <x:c r="T362" s="233"/>
      <x:c r="U362" s="233"/>
      <x:c r="V362" s="233"/>
      <x:c r="W362" s="235"/>
      <x:c r="X362" s="235"/>
      <x:c r="Y362" s="233"/>
      <x:c r="Z362" s="233"/>
      <x:c r="AA362" s="233"/>
      <x:c r="AB362" s="233"/>
      <x:c r="AC362" s="236"/>
      <x:c r="AD362" s="233"/>
      <x:c r="AE362" s="233"/>
      <x:c r="AF362" s="233"/>
      <x:c r="AG362" s="233"/>
      <x:c r="AH362" s="234"/>
      <x:c r="AI362" s="233"/>
      <x:c r="AJ362" s="233"/>
      <x:c r="AK362" s="233"/>
      <x:c r="AL362" s="236"/>
      <x:c r="AM362" s="233"/>
      <x:c r="AN362" s="233"/>
      <x:c r="AO362" s="234"/>
      <x:c r="AP362" s="234"/>
      <x:c r="AQ362" s="233"/>
      <x:c r="AR362" s="236"/>
      <x:c r="AS362" s="234"/>
      <x:c r="AT362" s="233"/>
      <x:c r="AU362" s="233"/>
      <x:c r="AV362" s="233"/>
      <x:c r="AW362" s="233"/>
      <x:c r="AX362" s="233"/>
      <x:c r="AY362" s="233"/>
      <x:c r="AZ362" s="236"/>
      <x:c r="BA362" s="233"/>
      <x:c r="BB362" s="233"/>
      <x:c r="BC362" s="233"/>
      <x:c r="BD362" s="233"/>
      <x:c r="BE362" s="237" t="str">
        <x:f>IF(AND(A362="",B362="",C362="",E362="",G362="",I362="",M362="",T362="",BB362="",BD362=""),"",IF(B362="skip","SKIP",IF(OR(B362="",A362="",E362="",G362="",I362="",M362="",T362="",COUNTIF($A$6:$A$505,A362)&gt;1,COUNTIF($M$6:$M$505,M362)&gt;1,AND(L362="mobile",N362&lt;&gt;"invalid",OR(LEN(M362)&lt;&gt;10,LEFT(M362,2)&lt;&gt;"09"))),"REVIEW","READY")))</x:f>
      </x:c>
      <x:c r="BF362" s="238" t="str">
        <x:f>IF(BE362="","",IF(BE362="READY","",IF(B362="skip","Skipped by import_action",TRIM(IF(B362="","missing import_action; ","")&amp;IF(A362="","missing migration_customer_key; ","")&amp;IF(AND(A362&lt;&gt;"",COUNTIF($A$6:$A$505,A362)&gt;1),"duplicate migration_customer_key; ","")&amp;IF(E362="","missing branch_id; ","")&amp;IF(G362="","missing first_name; ","")&amp;IF(I362="","missing last_name; ","")&amp;IF(M362="","missing primary_phone; ","")&amp;IF(AND(M362&lt;&gt;"",COUNTIF($M$6:$M$505,M362)&gt;1),"duplicate primary_phone; ","")&amp;IF(AND(L362="mobile",N362&lt;&gt;"invalid",OR(LEN(M362)&lt;&gt;10,LEFT(M362,2)&lt;&gt;"09")),"mobile must be 09XXXXXXXX or status invalid; ","")&amp;IF(T362="","missing neighborhood_id; ","")))))</x:f>
      </x:c>
    </x:row>
    <x:row r="363">
      <x:c r="A363" s="232"/>
      <x:c r="B363" s="233"/>
      <x:c r="C363" s="234"/>
      <x:c r="D363" s="233"/>
      <x:c r="E363" s="233"/>
      <x:c r="F363" s="233"/>
      <x:c r="G363" s="233"/>
      <x:c r="H363" s="233"/>
      <x:c r="I363" s="233"/>
      <x:c r="J363" s="233"/>
      <x:c r="K363" s="233" t="str">
        <x:f>TRIM(G363&amp;" "&amp;H363&amp;" "&amp;I363&amp;IF(J363&lt;&gt;""," ("&amp;J363&amp;")",""))</x:f>
      </x:c>
      <x:c r="L363" s="233"/>
      <x:c r="M363" s="234"/>
      <x:c r="N363" s="233"/>
      <x:c r="O363" s="233"/>
      <x:c r="P363" s="233"/>
      <x:c r="Q363" s="233"/>
      <x:c r="R363" s="233"/>
      <x:c r="S363" s="233"/>
      <x:c r="T363" s="233"/>
      <x:c r="U363" s="233"/>
      <x:c r="V363" s="233"/>
      <x:c r="W363" s="235"/>
      <x:c r="X363" s="235"/>
      <x:c r="Y363" s="233"/>
      <x:c r="Z363" s="233"/>
      <x:c r="AA363" s="233"/>
      <x:c r="AB363" s="233"/>
      <x:c r="AC363" s="236"/>
      <x:c r="AD363" s="233"/>
      <x:c r="AE363" s="233"/>
      <x:c r="AF363" s="233"/>
      <x:c r="AG363" s="233"/>
      <x:c r="AH363" s="234"/>
      <x:c r="AI363" s="233"/>
      <x:c r="AJ363" s="233"/>
      <x:c r="AK363" s="233"/>
      <x:c r="AL363" s="236"/>
      <x:c r="AM363" s="233"/>
      <x:c r="AN363" s="233"/>
      <x:c r="AO363" s="234"/>
      <x:c r="AP363" s="234"/>
      <x:c r="AQ363" s="233"/>
      <x:c r="AR363" s="236"/>
      <x:c r="AS363" s="234"/>
      <x:c r="AT363" s="233"/>
      <x:c r="AU363" s="233"/>
      <x:c r="AV363" s="233"/>
      <x:c r="AW363" s="233"/>
      <x:c r="AX363" s="233"/>
      <x:c r="AY363" s="233"/>
      <x:c r="AZ363" s="236"/>
      <x:c r="BA363" s="233"/>
      <x:c r="BB363" s="233"/>
      <x:c r="BC363" s="233"/>
      <x:c r="BD363" s="233"/>
      <x:c r="BE363" s="237" t="str">
        <x:f>IF(AND(A363="",B363="",C363="",E363="",G363="",I363="",M363="",T363="",BB363="",BD363=""),"",IF(B363="skip","SKIP",IF(OR(B363="",A363="",E363="",G363="",I363="",M363="",T363="",COUNTIF($A$6:$A$505,A363)&gt;1,COUNTIF($M$6:$M$505,M363)&gt;1,AND(L363="mobile",N363&lt;&gt;"invalid",OR(LEN(M363)&lt;&gt;10,LEFT(M363,2)&lt;&gt;"09"))),"REVIEW","READY")))</x:f>
      </x:c>
      <x:c r="BF363" s="238" t="str">
        <x:f>IF(BE363="","",IF(BE363="READY","",IF(B363="skip","Skipped by import_action",TRIM(IF(B363="","missing import_action; ","")&amp;IF(A363="","missing migration_customer_key; ","")&amp;IF(AND(A363&lt;&gt;"",COUNTIF($A$6:$A$505,A363)&gt;1),"duplicate migration_customer_key; ","")&amp;IF(E363="","missing branch_id; ","")&amp;IF(G363="","missing first_name; ","")&amp;IF(I363="","missing last_name; ","")&amp;IF(M363="","missing primary_phone; ","")&amp;IF(AND(M363&lt;&gt;"",COUNTIF($M$6:$M$505,M363)&gt;1),"duplicate primary_phone; ","")&amp;IF(AND(L363="mobile",N363&lt;&gt;"invalid",OR(LEN(M363)&lt;&gt;10,LEFT(M363,2)&lt;&gt;"09")),"mobile must be 09XXXXXXXX or status invalid; ","")&amp;IF(T363="","missing neighborhood_id; ","")))))</x:f>
      </x:c>
    </x:row>
    <x:row r="364">
      <x:c r="A364" s="232"/>
      <x:c r="B364" s="233"/>
      <x:c r="C364" s="234"/>
      <x:c r="D364" s="233"/>
      <x:c r="E364" s="233"/>
      <x:c r="F364" s="233"/>
      <x:c r="G364" s="233"/>
      <x:c r="H364" s="233"/>
      <x:c r="I364" s="233"/>
      <x:c r="J364" s="233"/>
      <x:c r="K364" s="233" t="str">
        <x:f>TRIM(G364&amp;" "&amp;H364&amp;" "&amp;I364&amp;IF(J364&lt;&gt;""," ("&amp;J364&amp;")",""))</x:f>
      </x:c>
      <x:c r="L364" s="233"/>
      <x:c r="M364" s="234"/>
      <x:c r="N364" s="233"/>
      <x:c r="O364" s="233"/>
      <x:c r="P364" s="233"/>
      <x:c r="Q364" s="233"/>
      <x:c r="R364" s="233"/>
      <x:c r="S364" s="233"/>
      <x:c r="T364" s="233"/>
      <x:c r="U364" s="233"/>
      <x:c r="V364" s="233"/>
      <x:c r="W364" s="235"/>
      <x:c r="X364" s="235"/>
      <x:c r="Y364" s="233"/>
      <x:c r="Z364" s="233"/>
      <x:c r="AA364" s="233"/>
      <x:c r="AB364" s="233"/>
      <x:c r="AC364" s="236"/>
      <x:c r="AD364" s="233"/>
      <x:c r="AE364" s="233"/>
      <x:c r="AF364" s="233"/>
      <x:c r="AG364" s="233"/>
      <x:c r="AH364" s="234"/>
      <x:c r="AI364" s="233"/>
      <x:c r="AJ364" s="233"/>
      <x:c r="AK364" s="233"/>
      <x:c r="AL364" s="236"/>
      <x:c r="AM364" s="233"/>
      <x:c r="AN364" s="233"/>
      <x:c r="AO364" s="234"/>
      <x:c r="AP364" s="234"/>
      <x:c r="AQ364" s="233"/>
      <x:c r="AR364" s="236"/>
      <x:c r="AS364" s="234"/>
      <x:c r="AT364" s="233"/>
      <x:c r="AU364" s="233"/>
      <x:c r="AV364" s="233"/>
      <x:c r="AW364" s="233"/>
      <x:c r="AX364" s="233"/>
      <x:c r="AY364" s="233"/>
      <x:c r="AZ364" s="236"/>
      <x:c r="BA364" s="233"/>
      <x:c r="BB364" s="233"/>
      <x:c r="BC364" s="233"/>
      <x:c r="BD364" s="233"/>
      <x:c r="BE364" s="237" t="str">
        <x:f>IF(AND(A364="",B364="",C364="",E364="",G364="",I364="",M364="",T364="",BB364="",BD364=""),"",IF(B364="skip","SKIP",IF(OR(B364="",A364="",E364="",G364="",I364="",M364="",T364="",COUNTIF($A$6:$A$505,A364)&gt;1,COUNTIF($M$6:$M$505,M364)&gt;1,AND(L364="mobile",N364&lt;&gt;"invalid",OR(LEN(M364)&lt;&gt;10,LEFT(M364,2)&lt;&gt;"09"))),"REVIEW","READY")))</x:f>
      </x:c>
      <x:c r="BF364" s="238" t="str">
        <x:f>IF(BE364="","",IF(BE364="READY","",IF(B364="skip","Skipped by import_action",TRIM(IF(B364="","missing import_action; ","")&amp;IF(A364="","missing migration_customer_key; ","")&amp;IF(AND(A364&lt;&gt;"",COUNTIF($A$6:$A$505,A364)&gt;1),"duplicate migration_customer_key; ","")&amp;IF(E364="","missing branch_id; ","")&amp;IF(G364="","missing first_name; ","")&amp;IF(I364="","missing last_name; ","")&amp;IF(M364="","missing primary_phone; ","")&amp;IF(AND(M364&lt;&gt;"",COUNTIF($M$6:$M$505,M364)&gt;1),"duplicate primary_phone; ","")&amp;IF(AND(L364="mobile",N364&lt;&gt;"invalid",OR(LEN(M364)&lt;&gt;10,LEFT(M364,2)&lt;&gt;"09")),"mobile must be 09XXXXXXXX or status invalid; ","")&amp;IF(T364="","missing neighborhood_id; ","")))))</x:f>
      </x:c>
    </x:row>
    <x:row r="365">
      <x:c r="A365" s="232"/>
      <x:c r="B365" s="233"/>
      <x:c r="C365" s="234"/>
      <x:c r="D365" s="233"/>
      <x:c r="E365" s="233"/>
      <x:c r="F365" s="233"/>
      <x:c r="G365" s="233"/>
      <x:c r="H365" s="233"/>
      <x:c r="I365" s="233"/>
      <x:c r="J365" s="233"/>
      <x:c r="K365" s="233" t="str">
        <x:f>TRIM(G365&amp;" "&amp;H365&amp;" "&amp;I365&amp;IF(J365&lt;&gt;""," ("&amp;J365&amp;")",""))</x:f>
      </x:c>
      <x:c r="L365" s="233"/>
      <x:c r="M365" s="234"/>
      <x:c r="N365" s="233"/>
      <x:c r="O365" s="233"/>
      <x:c r="P365" s="233"/>
      <x:c r="Q365" s="233"/>
      <x:c r="R365" s="233"/>
      <x:c r="S365" s="233"/>
      <x:c r="T365" s="233"/>
      <x:c r="U365" s="233"/>
      <x:c r="V365" s="233"/>
      <x:c r="W365" s="235"/>
      <x:c r="X365" s="235"/>
      <x:c r="Y365" s="233"/>
      <x:c r="Z365" s="233"/>
      <x:c r="AA365" s="233"/>
      <x:c r="AB365" s="233"/>
      <x:c r="AC365" s="236"/>
      <x:c r="AD365" s="233"/>
      <x:c r="AE365" s="233"/>
      <x:c r="AF365" s="233"/>
      <x:c r="AG365" s="233"/>
      <x:c r="AH365" s="234"/>
      <x:c r="AI365" s="233"/>
      <x:c r="AJ365" s="233"/>
      <x:c r="AK365" s="233"/>
      <x:c r="AL365" s="236"/>
      <x:c r="AM365" s="233"/>
      <x:c r="AN365" s="233"/>
      <x:c r="AO365" s="234"/>
      <x:c r="AP365" s="234"/>
      <x:c r="AQ365" s="233"/>
      <x:c r="AR365" s="236"/>
      <x:c r="AS365" s="234"/>
      <x:c r="AT365" s="233"/>
      <x:c r="AU365" s="233"/>
      <x:c r="AV365" s="233"/>
      <x:c r="AW365" s="233"/>
      <x:c r="AX365" s="233"/>
      <x:c r="AY365" s="233"/>
      <x:c r="AZ365" s="236"/>
      <x:c r="BA365" s="233"/>
      <x:c r="BB365" s="233"/>
      <x:c r="BC365" s="233"/>
      <x:c r="BD365" s="233"/>
      <x:c r="BE365" s="237" t="str">
        <x:f>IF(AND(A365="",B365="",C365="",E365="",G365="",I365="",M365="",T365="",BB365="",BD365=""),"",IF(B365="skip","SKIP",IF(OR(B365="",A365="",E365="",G365="",I365="",M365="",T365="",COUNTIF($A$6:$A$505,A365)&gt;1,COUNTIF($M$6:$M$505,M365)&gt;1,AND(L365="mobile",N365&lt;&gt;"invalid",OR(LEN(M365)&lt;&gt;10,LEFT(M365,2)&lt;&gt;"09"))),"REVIEW","READY")))</x:f>
      </x:c>
      <x:c r="BF365" s="238" t="str">
        <x:f>IF(BE365="","",IF(BE365="READY","",IF(B365="skip","Skipped by import_action",TRIM(IF(B365="","missing import_action; ","")&amp;IF(A365="","missing migration_customer_key; ","")&amp;IF(AND(A365&lt;&gt;"",COUNTIF($A$6:$A$505,A365)&gt;1),"duplicate migration_customer_key; ","")&amp;IF(E365="","missing branch_id; ","")&amp;IF(G365="","missing first_name; ","")&amp;IF(I365="","missing last_name; ","")&amp;IF(M365="","missing primary_phone; ","")&amp;IF(AND(M365&lt;&gt;"",COUNTIF($M$6:$M$505,M365)&gt;1),"duplicate primary_phone; ","")&amp;IF(AND(L365="mobile",N365&lt;&gt;"invalid",OR(LEN(M365)&lt;&gt;10,LEFT(M365,2)&lt;&gt;"09")),"mobile must be 09XXXXXXXX or status invalid; ","")&amp;IF(T365="","missing neighborhood_id; ","")))))</x:f>
      </x:c>
    </x:row>
    <x:row r="366">
      <x:c r="A366" s="232"/>
      <x:c r="B366" s="233"/>
      <x:c r="C366" s="234"/>
      <x:c r="D366" s="233"/>
      <x:c r="E366" s="233"/>
      <x:c r="F366" s="233"/>
      <x:c r="G366" s="233"/>
      <x:c r="H366" s="233"/>
      <x:c r="I366" s="233"/>
      <x:c r="J366" s="233"/>
      <x:c r="K366" s="233" t="str">
        <x:f>TRIM(G366&amp;" "&amp;H366&amp;" "&amp;I366&amp;IF(J366&lt;&gt;""," ("&amp;J366&amp;")",""))</x:f>
      </x:c>
      <x:c r="L366" s="233"/>
      <x:c r="M366" s="234"/>
      <x:c r="N366" s="233"/>
      <x:c r="O366" s="233"/>
      <x:c r="P366" s="233"/>
      <x:c r="Q366" s="233"/>
      <x:c r="R366" s="233"/>
      <x:c r="S366" s="233"/>
      <x:c r="T366" s="233"/>
      <x:c r="U366" s="233"/>
      <x:c r="V366" s="233"/>
      <x:c r="W366" s="235"/>
      <x:c r="X366" s="235"/>
      <x:c r="Y366" s="233"/>
      <x:c r="Z366" s="233"/>
      <x:c r="AA366" s="233"/>
      <x:c r="AB366" s="233"/>
      <x:c r="AC366" s="236"/>
      <x:c r="AD366" s="233"/>
      <x:c r="AE366" s="233"/>
      <x:c r="AF366" s="233"/>
      <x:c r="AG366" s="233"/>
      <x:c r="AH366" s="234"/>
      <x:c r="AI366" s="233"/>
      <x:c r="AJ366" s="233"/>
      <x:c r="AK366" s="233"/>
      <x:c r="AL366" s="236"/>
      <x:c r="AM366" s="233"/>
      <x:c r="AN366" s="233"/>
      <x:c r="AO366" s="234"/>
      <x:c r="AP366" s="234"/>
      <x:c r="AQ366" s="233"/>
      <x:c r="AR366" s="236"/>
      <x:c r="AS366" s="234"/>
      <x:c r="AT366" s="233"/>
      <x:c r="AU366" s="233"/>
      <x:c r="AV366" s="233"/>
      <x:c r="AW366" s="233"/>
      <x:c r="AX366" s="233"/>
      <x:c r="AY366" s="233"/>
      <x:c r="AZ366" s="236"/>
      <x:c r="BA366" s="233"/>
      <x:c r="BB366" s="233"/>
      <x:c r="BC366" s="233"/>
      <x:c r="BD366" s="233"/>
      <x:c r="BE366" s="237" t="str">
        <x:f>IF(AND(A366="",B366="",C366="",E366="",G366="",I366="",M366="",T366="",BB366="",BD366=""),"",IF(B366="skip","SKIP",IF(OR(B366="",A366="",E366="",G366="",I366="",M366="",T366="",COUNTIF($A$6:$A$505,A366)&gt;1,COUNTIF($M$6:$M$505,M366)&gt;1,AND(L366="mobile",N366&lt;&gt;"invalid",OR(LEN(M366)&lt;&gt;10,LEFT(M366,2)&lt;&gt;"09"))),"REVIEW","READY")))</x:f>
      </x:c>
      <x:c r="BF366" s="238" t="str">
        <x:f>IF(BE366="","",IF(BE366="READY","",IF(B366="skip","Skipped by import_action",TRIM(IF(B366="","missing import_action; ","")&amp;IF(A366="","missing migration_customer_key; ","")&amp;IF(AND(A366&lt;&gt;"",COUNTIF($A$6:$A$505,A366)&gt;1),"duplicate migration_customer_key; ","")&amp;IF(E366="","missing branch_id; ","")&amp;IF(G366="","missing first_name; ","")&amp;IF(I366="","missing last_name; ","")&amp;IF(M366="","missing primary_phone; ","")&amp;IF(AND(M366&lt;&gt;"",COUNTIF($M$6:$M$505,M366)&gt;1),"duplicate primary_phone; ","")&amp;IF(AND(L366="mobile",N366&lt;&gt;"invalid",OR(LEN(M366)&lt;&gt;10,LEFT(M366,2)&lt;&gt;"09")),"mobile must be 09XXXXXXXX or status invalid; ","")&amp;IF(T366="","missing neighborhood_id; ","")))))</x:f>
      </x:c>
    </x:row>
    <x:row r="367">
      <x:c r="A367" s="232"/>
      <x:c r="B367" s="233"/>
      <x:c r="C367" s="234"/>
      <x:c r="D367" s="233"/>
      <x:c r="E367" s="233"/>
      <x:c r="F367" s="233"/>
      <x:c r="G367" s="233"/>
      <x:c r="H367" s="233"/>
      <x:c r="I367" s="233"/>
      <x:c r="J367" s="233"/>
      <x:c r="K367" s="233" t="str">
        <x:f>TRIM(G367&amp;" "&amp;H367&amp;" "&amp;I367&amp;IF(J367&lt;&gt;""," ("&amp;J367&amp;")",""))</x:f>
      </x:c>
      <x:c r="L367" s="233"/>
      <x:c r="M367" s="234"/>
      <x:c r="N367" s="233"/>
      <x:c r="O367" s="233"/>
      <x:c r="P367" s="233"/>
      <x:c r="Q367" s="233"/>
      <x:c r="R367" s="233"/>
      <x:c r="S367" s="233"/>
      <x:c r="T367" s="233"/>
      <x:c r="U367" s="233"/>
      <x:c r="V367" s="233"/>
      <x:c r="W367" s="235"/>
      <x:c r="X367" s="235"/>
      <x:c r="Y367" s="233"/>
      <x:c r="Z367" s="233"/>
      <x:c r="AA367" s="233"/>
      <x:c r="AB367" s="233"/>
      <x:c r="AC367" s="236"/>
      <x:c r="AD367" s="233"/>
      <x:c r="AE367" s="233"/>
      <x:c r="AF367" s="233"/>
      <x:c r="AG367" s="233"/>
      <x:c r="AH367" s="234"/>
      <x:c r="AI367" s="233"/>
      <x:c r="AJ367" s="233"/>
      <x:c r="AK367" s="233"/>
      <x:c r="AL367" s="236"/>
      <x:c r="AM367" s="233"/>
      <x:c r="AN367" s="233"/>
      <x:c r="AO367" s="234"/>
      <x:c r="AP367" s="234"/>
      <x:c r="AQ367" s="233"/>
      <x:c r="AR367" s="236"/>
      <x:c r="AS367" s="234"/>
      <x:c r="AT367" s="233"/>
      <x:c r="AU367" s="233"/>
      <x:c r="AV367" s="233"/>
      <x:c r="AW367" s="233"/>
      <x:c r="AX367" s="233"/>
      <x:c r="AY367" s="233"/>
      <x:c r="AZ367" s="236"/>
      <x:c r="BA367" s="233"/>
      <x:c r="BB367" s="233"/>
      <x:c r="BC367" s="233"/>
      <x:c r="BD367" s="233"/>
      <x:c r="BE367" s="237" t="str">
        <x:f>IF(AND(A367="",B367="",C367="",E367="",G367="",I367="",M367="",T367="",BB367="",BD367=""),"",IF(B367="skip","SKIP",IF(OR(B367="",A367="",E367="",G367="",I367="",M367="",T367="",COUNTIF($A$6:$A$505,A367)&gt;1,COUNTIF($M$6:$M$505,M367)&gt;1,AND(L367="mobile",N367&lt;&gt;"invalid",OR(LEN(M367)&lt;&gt;10,LEFT(M367,2)&lt;&gt;"09"))),"REVIEW","READY")))</x:f>
      </x:c>
      <x:c r="BF367" s="238" t="str">
        <x:f>IF(BE367="","",IF(BE367="READY","",IF(B367="skip","Skipped by import_action",TRIM(IF(B367="","missing import_action; ","")&amp;IF(A367="","missing migration_customer_key; ","")&amp;IF(AND(A367&lt;&gt;"",COUNTIF($A$6:$A$505,A367)&gt;1),"duplicate migration_customer_key; ","")&amp;IF(E367="","missing branch_id; ","")&amp;IF(G367="","missing first_name; ","")&amp;IF(I367="","missing last_name; ","")&amp;IF(M367="","missing primary_phone; ","")&amp;IF(AND(M367&lt;&gt;"",COUNTIF($M$6:$M$505,M367)&gt;1),"duplicate primary_phone; ","")&amp;IF(AND(L367="mobile",N367&lt;&gt;"invalid",OR(LEN(M367)&lt;&gt;10,LEFT(M367,2)&lt;&gt;"09")),"mobile must be 09XXXXXXXX or status invalid; ","")&amp;IF(T367="","missing neighborhood_id; ","")))))</x:f>
      </x:c>
    </x:row>
    <x:row r="368">
      <x:c r="A368" s="232"/>
      <x:c r="B368" s="233"/>
      <x:c r="C368" s="234"/>
      <x:c r="D368" s="233"/>
      <x:c r="E368" s="233"/>
      <x:c r="F368" s="233"/>
      <x:c r="G368" s="233"/>
      <x:c r="H368" s="233"/>
      <x:c r="I368" s="233"/>
      <x:c r="J368" s="233"/>
      <x:c r="K368" s="233" t="str">
        <x:f>TRIM(G368&amp;" "&amp;H368&amp;" "&amp;I368&amp;IF(J368&lt;&gt;""," ("&amp;J368&amp;")",""))</x:f>
      </x:c>
      <x:c r="L368" s="233"/>
      <x:c r="M368" s="234"/>
      <x:c r="N368" s="233"/>
      <x:c r="O368" s="233"/>
      <x:c r="P368" s="233"/>
      <x:c r="Q368" s="233"/>
      <x:c r="R368" s="233"/>
      <x:c r="S368" s="233"/>
      <x:c r="T368" s="233"/>
      <x:c r="U368" s="233"/>
      <x:c r="V368" s="233"/>
      <x:c r="W368" s="235"/>
      <x:c r="X368" s="235"/>
      <x:c r="Y368" s="233"/>
      <x:c r="Z368" s="233"/>
      <x:c r="AA368" s="233"/>
      <x:c r="AB368" s="233"/>
      <x:c r="AC368" s="236"/>
      <x:c r="AD368" s="233"/>
      <x:c r="AE368" s="233"/>
      <x:c r="AF368" s="233"/>
      <x:c r="AG368" s="233"/>
      <x:c r="AH368" s="234"/>
      <x:c r="AI368" s="233"/>
      <x:c r="AJ368" s="233"/>
      <x:c r="AK368" s="233"/>
      <x:c r="AL368" s="236"/>
      <x:c r="AM368" s="233"/>
      <x:c r="AN368" s="233"/>
      <x:c r="AO368" s="234"/>
      <x:c r="AP368" s="234"/>
      <x:c r="AQ368" s="233"/>
      <x:c r="AR368" s="236"/>
      <x:c r="AS368" s="234"/>
      <x:c r="AT368" s="233"/>
      <x:c r="AU368" s="233"/>
      <x:c r="AV368" s="233"/>
      <x:c r="AW368" s="233"/>
      <x:c r="AX368" s="233"/>
      <x:c r="AY368" s="233"/>
      <x:c r="AZ368" s="236"/>
      <x:c r="BA368" s="233"/>
      <x:c r="BB368" s="233"/>
      <x:c r="BC368" s="233"/>
      <x:c r="BD368" s="233"/>
      <x:c r="BE368" s="237" t="str">
        <x:f>IF(AND(A368="",B368="",C368="",E368="",G368="",I368="",M368="",T368="",BB368="",BD368=""),"",IF(B368="skip","SKIP",IF(OR(B368="",A368="",E368="",G368="",I368="",M368="",T368="",COUNTIF($A$6:$A$505,A368)&gt;1,COUNTIF($M$6:$M$505,M368)&gt;1,AND(L368="mobile",N368&lt;&gt;"invalid",OR(LEN(M368)&lt;&gt;10,LEFT(M368,2)&lt;&gt;"09"))),"REVIEW","READY")))</x:f>
      </x:c>
      <x:c r="BF368" s="238" t="str">
        <x:f>IF(BE368="","",IF(BE368="READY","",IF(B368="skip","Skipped by import_action",TRIM(IF(B368="","missing import_action; ","")&amp;IF(A368="","missing migration_customer_key; ","")&amp;IF(AND(A368&lt;&gt;"",COUNTIF($A$6:$A$505,A368)&gt;1),"duplicate migration_customer_key; ","")&amp;IF(E368="","missing branch_id; ","")&amp;IF(G368="","missing first_name; ","")&amp;IF(I368="","missing last_name; ","")&amp;IF(M368="","missing primary_phone; ","")&amp;IF(AND(M368&lt;&gt;"",COUNTIF($M$6:$M$505,M368)&gt;1),"duplicate primary_phone; ","")&amp;IF(AND(L368="mobile",N368&lt;&gt;"invalid",OR(LEN(M368)&lt;&gt;10,LEFT(M368,2)&lt;&gt;"09")),"mobile must be 09XXXXXXXX or status invalid; ","")&amp;IF(T368="","missing neighborhood_id; ","")))))</x:f>
      </x:c>
    </x:row>
    <x:row r="369">
      <x:c r="A369" s="232"/>
      <x:c r="B369" s="233"/>
      <x:c r="C369" s="234"/>
      <x:c r="D369" s="233"/>
      <x:c r="E369" s="233"/>
      <x:c r="F369" s="233"/>
      <x:c r="G369" s="233"/>
      <x:c r="H369" s="233"/>
      <x:c r="I369" s="233"/>
      <x:c r="J369" s="233"/>
      <x:c r="K369" s="233" t="str">
        <x:f>TRIM(G369&amp;" "&amp;H369&amp;" "&amp;I369&amp;IF(J369&lt;&gt;""," ("&amp;J369&amp;")",""))</x:f>
      </x:c>
      <x:c r="L369" s="233"/>
      <x:c r="M369" s="234"/>
      <x:c r="N369" s="233"/>
      <x:c r="O369" s="233"/>
      <x:c r="P369" s="233"/>
      <x:c r="Q369" s="233"/>
      <x:c r="R369" s="233"/>
      <x:c r="S369" s="233"/>
      <x:c r="T369" s="233"/>
      <x:c r="U369" s="233"/>
      <x:c r="V369" s="233"/>
      <x:c r="W369" s="235"/>
      <x:c r="X369" s="235"/>
      <x:c r="Y369" s="233"/>
      <x:c r="Z369" s="233"/>
      <x:c r="AA369" s="233"/>
      <x:c r="AB369" s="233"/>
      <x:c r="AC369" s="236"/>
      <x:c r="AD369" s="233"/>
      <x:c r="AE369" s="233"/>
      <x:c r="AF369" s="233"/>
      <x:c r="AG369" s="233"/>
      <x:c r="AH369" s="234"/>
      <x:c r="AI369" s="233"/>
      <x:c r="AJ369" s="233"/>
      <x:c r="AK369" s="233"/>
      <x:c r="AL369" s="236"/>
      <x:c r="AM369" s="233"/>
      <x:c r="AN369" s="233"/>
      <x:c r="AO369" s="234"/>
      <x:c r="AP369" s="234"/>
      <x:c r="AQ369" s="233"/>
      <x:c r="AR369" s="236"/>
      <x:c r="AS369" s="234"/>
      <x:c r="AT369" s="233"/>
      <x:c r="AU369" s="233"/>
      <x:c r="AV369" s="233"/>
      <x:c r="AW369" s="233"/>
      <x:c r="AX369" s="233"/>
      <x:c r="AY369" s="233"/>
      <x:c r="AZ369" s="236"/>
      <x:c r="BA369" s="233"/>
      <x:c r="BB369" s="233"/>
      <x:c r="BC369" s="233"/>
      <x:c r="BD369" s="233"/>
      <x:c r="BE369" s="237" t="str">
        <x:f>IF(AND(A369="",B369="",C369="",E369="",G369="",I369="",M369="",T369="",BB369="",BD369=""),"",IF(B369="skip","SKIP",IF(OR(B369="",A369="",E369="",G369="",I369="",M369="",T369="",COUNTIF($A$6:$A$505,A369)&gt;1,COUNTIF($M$6:$M$505,M369)&gt;1,AND(L369="mobile",N369&lt;&gt;"invalid",OR(LEN(M369)&lt;&gt;10,LEFT(M369,2)&lt;&gt;"09"))),"REVIEW","READY")))</x:f>
      </x:c>
      <x:c r="BF369" s="238" t="str">
        <x:f>IF(BE369="","",IF(BE369="READY","",IF(B369="skip","Skipped by import_action",TRIM(IF(B369="","missing import_action; ","")&amp;IF(A369="","missing migration_customer_key; ","")&amp;IF(AND(A369&lt;&gt;"",COUNTIF($A$6:$A$505,A369)&gt;1),"duplicate migration_customer_key; ","")&amp;IF(E369="","missing branch_id; ","")&amp;IF(G369="","missing first_name; ","")&amp;IF(I369="","missing last_name; ","")&amp;IF(M369="","missing primary_phone; ","")&amp;IF(AND(M369&lt;&gt;"",COUNTIF($M$6:$M$505,M369)&gt;1),"duplicate primary_phone; ","")&amp;IF(AND(L369="mobile",N369&lt;&gt;"invalid",OR(LEN(M369)&lt;&gt;10,LEFT(M369,2)&lt;&gt;"09")),"mobile must be 09XXXXXXXX or status invalid; ","")&amp;IF(T369="","missing neighborhood_id; ","")))))</x:f>
      </x:c>
    </x:row>
    <x:row r="370">
      <x:c r="A370" s="232"/>
      <x:c r="B370" s="233"/>
      <x:c r="C370" s="234"/>
      <x:c r="D370" s="233"/>
      <x:c r="E370" s="233"/>
      <x:c r="F370" s="233"/>
      <x:c r="G370" s="233"/>
      <x:c r="H370" s="233"/>
      <x:c r="I370" s="233"/>
      <x:c r="J370" s="233"/>
      <x:c r="K370" s="233" t="str">
        <x:f>TRIM(G370&amp;" "&amp;H370&amp;" "&amp;I370&amp;IF(J370&lt;&gt;""," ("&amp;J370&amp;")",""))</x:f>
      </x:c>
      <x:c r="L370" s="233"/>
      <x:c r="M370" s="234"/>
      <x:c r="N370" s="233"/>
      <x:c r="O370" s="233"/>
      <x:c r="P370" s="233"/>
      <x:c r="Q370" s="233"/>
      <x:c r="R370" s="233"/>
      <x:c r="S370" s="233"/>
      <x:c r="T370" s="233"/>
      <x:c r="U370" s="233"/>
      <x:c r="V370" s="233"/>
      <x:c r="W370" s="235"/>
      <x:c r="X370" s="235"/>
      <x:c r="Y370" s="233"/>
      <x:c r="Z370" s="233"/>
      <x:c r="AA370" s="233"/>
      <x:c r="AB370" s="233"/>
      <x:c r="AC370" s="236"/>
      <x:c r="AD370" s="233"/>
      <x:c r="AE370" s="233"/>
      <x:c r="AF370" s="233"/>
      <x:c r="AG370" s="233"/>
      <x:c r="AH370" s="234"/>
      <x:c r="AI370" s="233"/>
      <x:c r="AJ370" s="233"/>
      <x:c r="AK370" s="233"/>
      <x:c r="AL370" s="236"/>
      <x:c r="AM370" s="233"/>
      <x:c r="AN370" s="233"/>
      <x:c r="AO370" s="234"/>
      <x:c r="AP370" s="234"/>
      <x:c r="AQ370" s="233"/>
      <x:c r="AR370" s="236"/>
      <x:c r="AS370" s="234"/>
      <x:c r="AT370" s="233"/>
      <x:c r="AU370" s="233"/>
      <x:c r="AV370" s="233"/>
      <x:c r="AW370" s="233"/>
      <x:c r="AX370" s="233"/>
      <x:c r="AY370" s="233"/>
      <x:c r="AZ370" s="236"/>
      <x:c r="BA370" s="233"/>
      <x:c r="BB370" s="233"/>
      <x:c r="BC370" s="233"/>
      <x:c r="BD370" s="233"/>
      <x:c r="BE370" s="237" t="str">
        <x:f>IF(AND(A370="",B370="",C370="",E370="",G370="",I370="",M370="",T370="",BB370="",BD370=""),"",IF(B370="skip","SKIP",IF(OR(B370="",A370="",E370="",G370="",I370="",M370="",T370="",COUNTIF($A$6:$A$505,A370)&gt;1,COUNTIF($M$6:$M$505,M370)&gt;1,AND(L370="mobile",N370&lt;&gt;"invalid",OR(LEN(M370)&lt;&gt;10,LEFT(M370,2)&lt;&gt;"09"))),"REVIEW","READY")))</x:f>
      </x:c>
      <x:c r="BF370" s="238" t="str">
        <x:f>IF(BE370="","",IF(BE370="READY","",IF(B370="skip","Skipped by import_action",TRIM(IF(B370="","missing import_action; ","")&amp;IF(A370="","missing migration_customer_key; ","")&amp;IF(AND(A370&lt;&gt;"",COUNTIF($A$6:$A$505,A370)&gt;1),"duplicate migration_customer_key; ","")&amp;IF(E370="","missing branch_id; ","")&amp;IF(G370="","missing first_name; ","")&amp;IF(I370="","missing last_name; ","")&amp;IF(M370="","missing primary_phone; ","")&amp;IF(AND(M370&lt;&gt;"",COUNTIF($M$6:$M$505,M370)&gt;1),"duplicate primary_phone; ","")&amp;IF(AND(L370="mobile",N370&lt;&gt;"invalid",OR(LEN(M370)&lt;&gt;10,LEFT(M370,2)&lt;&gt;"09")),"mobile must be 09XXXXXXXX or status invalid; ","")&amp;IF(T370="","missing neighborhood_id; ","")))))</x:f>
      </x:c>
    </x:row>
    <x:row r="371">
      <x:c r="A371" s="232"/>
      <x:c r="B371" s="233"/>
      <x:c r="C371" s="234"/>
      <x:c r="D371" s="233"/>
      <x:c r="E371" s="233"/>
      <x:c r="F371" s="233"/>
      <x:c r="G371" s="233"/>
      <x:c r="H371" s="233"/>
      <x:c r="I371" s="233"/>
      <x:c r="J371" s="233"/>
      <x:c r="K371" s="233" t="str">
        <x:f>TRIM(G371&amp;" "&amp;H371&amp;" "&amp;I371&amp;IF(J371&lt;&gt;""," ("&amp;J371&amp;")",""))</x:f>
      </x:c>
      <x:c r="L371" s="233"/>
      <x:c r="M371" s="234"/>
      <x:c r="N371" s="233"/>
      <x:c r="O371" s="233"/>
      <x:c r="P371" s="233"/>
      <x:c r="Q371" s="233"/>
      <x:c r="R371" s="233"/>
      <x:c r="S371" s="233"/>
      <x:c r="T371" s="233"/>
      <x:c r="U371" s="233"/>
      <x:c r="V371" s="233"/>
      <x:c r="W371" s="235"/>
      <x:c r="X371" s="235"/>
      <x:c r="Y371" s="233"/>
      <x:c r="Z371" s="233"/>
      <x:c r="AA371" s="233"/>
      <x:c r="AB371" s="233"/>
      <x:c r="AC371" s="236"/>
      <x:c r="AD371" s="233"/>
      <x:c r="AE371" s="233"/>
      <x:c r="AF371" s="233"/>
      <x:c r="AG371" s="233"/>
      <x:c r="AH371" s="234"/>
      <x:c r="AI371" s="233"/>
      <x:c r="AJ371" s="233"/>
      <x:c r="AK371" s="233"/>
      <x:c r="AL371" s="236"/>
      <x:c r="AM371" s="233"/>
      <x:c r="AN371" s="233"/>
      <x:c r="AO371" s="234"/>
      <x:c r="AP371" s="234"/>
      <x:c r="AQ371" s="233"/>
      <x:c r="AR371" s="236"/>
      <x:c r="AS371" s="234"/>
      <x:c r="AT371" s="233"/>
      <x:c r="AU371" s="233"/>
      <x:c r="AV371" s="233"/>
      <x:c r="AW371" s="233"/>
      <x:c r="AX371" s="233"/>
      <x:c r="AY371" s="233"/>
      <x:c r="AZ371" s="236"/>
      <x:c r="BA371" s="233"/>
      <x:c r="BB371" s="233"/>
      <x:c r="BC371" s="233"/>
      <x:c r="BD371" s="233"/>
      <x:c r="BE371" s="237" t="str">
        <x:f>IF(AND(A371="",B371="",C371="",E371="",G371="",I371="",M371="",T371="",BB371="",BD371=""),"",IF(B371="skip","SKIP",IF(OR(B371="",A371="",E371="",G371="",I371="",M371="",T371="",COUNTIF($A$6:$A$505,A371)&gt;1,COUNTIF($M$6:$M$505,M371)&gt;1,AND(L371="mobile",N371&lt;&gt;"invalid",OR(LEN(M371)&lt;&gt;10,LEFT(M371,2)&lt;&gt;"09"))),"REVIEW","READY")))</x:f>
      </x:c>
      <x:c r="BF371" s="238" t="str">
        <x:f>IF(BE371="","",IF(BE371="READY","",IF(B371="skip","Skipped by import_action",TRIM(IF(B371="","missing import_action; ","")&amp;IF(A371="","missing migration_customer_key; ","")&amp;IF(AND(A371&lt;&gt;"",COUNTIF($A$6:$A$505,A371)&gt;1),"duplicate migration_customer_key; ","")&amp;IF(E371="","missing branch_id; ","")&amp;IF(G371="","missing first_name; ","")&amp;IF(I371="","missing last_name; ","")&amp;IF(M371="","missing primary_phone; ","")&amp;IF(AND(M371&lt;&gt;"",COUNTIF($M$6:$M$505,M371)&gt;1),"duplicate primary_phone; ","")&amp;IF(AND(L371="mobile",N371&lt;&gt;"invalid",OR(LEN(M371)&lt;&gt;10,LEFT(M371,2)&lt;&gt;"09")),"mobile must be 09XXXXXXXX or status invalid; ","")&amp;IF(T371="","missing neighborhood_id; ","")))))</x:f>
      </x:c>
    </x:row>
    <x:row r="372">
      <x:c r="A372" s="232"/>
      <x:c r="B372" s="233"/>
      <x:c r="C372" s="234"/>
      <x:c r="D372" s="233"/>
      <x:c r="E372" s="233"/>
      <x:c r="F372" s="233"/>
      <x:c r="G372" s="233"/>
      <x:c r="H372" s="233"/>
      <x:c r="I372" s="233"/>
      <x:c r="J372" s="233"/>
      <x:c r="K372" s="233" t="str">
        <x:f>TRIM(G372&amp;" "&amp;H372&amp;" "&amp;I372&amp;IF(J372&lt;&gt;""," ("&amp;J372&amp;")",""))</x:f>
      </x:c>
      <x:c r="L372" s="233"/>
      <x:c r="M372" s="234"/>
      <x:c r="N372" s="233"/>
      <x:c r="O372" s="233"/>
      <x:c r="P372" s="233"/>
      <x:c r="Q372" s="233"/>
      <x:c r="R372" s="233"/>
      <x:c r="S372" s="233"/>
      <x:c r="T372" s="233"/>
      <x:c r="U372" s="233"/>
      <x:c r="V372" s="233"/>
      <x:c r="W372" s="235"/>
      <x:c r="X372" s="235"/>
      <x:c r="Y372" s="233"/>
      <x:c r="Z372" s="233"/>
      <x:c r="AA372" s="233"/>
      <x:c r="AB372" s="233"/>
      <x:c r="AC372" s="236"/>
      <x:c r="AD372" s="233"/>
      <x:c r="AE372" s="233"/>
      <x:c r="AF372" s="233"/>
      <x:c r="AG372" s="233"/>
      <x:c r="AH372" s="234"/>
      <x:c r="AI372" s="233"/>
      <x:c r="AJ372" s="233"/>
      <x:c r="AK372" s="233"/>
      <x:c r="AL372" s="236"/>
      <x:c r="AM372" s="233"/>
      <x:c r="AN372" s="233"/>
      <x:c r="AO372" s="234"/>
      <x:c r="AP372" s="234"/>
      <x:c r="AQ372" s="233"/>
      <x:c r="AR372" s="236"/>
      <x:c r="AS372" s="234"/>
      <x:c r="AT372" s="233"/>
      <x:c r="AU372" s="233"/>
      <x:c r="AV372" s="233"/>
      <x:c r="AW372" s="233"/>
      <x:c r="AX372" s="233"/>
      <x:c r="AY372" s="233"/>
      <x:c r="AZ372" s="236"/>
      <x:c r="BA372" s="233"/>
      <x:c r="BB372" s="233"/>
      <x:c r="BC372" s="233"/>
      <x:c r="BD372" s="233"/>
      <x:c r="BE372" s="237" t="str">
        <x:f>IF(AND(A372="",B372="",C372="",E372="",G372="",I372="",M372="",T372="",BB372="",BD372=""),"",IF(B372="skip","SKIP",IF(OR(B372="",A372="",E372="",G372="",I372="",M372="",T372="",COUNTIF($A$6:$A$505,A372)&gt;1,COUNTIF($M$6:$M$505,M372)&gt;1,AND(L372="mobile",N372&lt;&gt;"invalid",OR(LEN(M372)&lt;&gt;10,LEFT(M372,2)&lt;&gt;"09"))),"REVIEW","READY")))</x:f>
      </x:c>
      <x:c r="BF372" s="238" t="str">
        <x:f>IF(BE372="","",IF(BE372="READY","",IF(B372="skip","Skipped by import_action",TRIM(IF(B372="","missing import_action; ","")&amp;IF(A372="","missing migration_customer_key; ","")&amp;IF(AND(A372&lt;&gt;"",COUNTIF($A$6:$A$505,A372)&gt;1),"duplicate migration_customer_key; ","")&amp;IF(E372="","missing branch_id; ","")&amp;IF(G372="","missing first_name; ","")&amp;IF(I372="","missing last_name; ","")&amp;IF(M372="","missing primary_phone; ","")&amp;IF(AND(M372&lt;&gt;"",COUNTIF($M$6:$M$505,M372)&gt;1),"duplicate primary_phone; ","")&amp;IF(AND(L372="mobile",N372&lt;&gt;"invalid",OR(LEN(M372)&lt;&gt;10,LEFT(M372,2)&lt;&gt;"09")),"mobile must be 09XXXXXXXX or status invalid; ","")&amp;IF(T372="","missing neighborhood_id; ","")))))</x:f>
      </x:c>
    </x:row>
    <x:row r="373">
      <x:c r="A373" s="232"/>
      <x:c r="B373" s="233"/>
      <x:c r="C373" s="234"/>
      <x:c r="D373" s="233"/>
      <x:c r="E373" s="233"/>
      <x:c r="F373" s="233"/>
      <x:c r="G373" s="233"/>
      <x:c r="H373" s="233"/>
      <x:c r="I373" s="233"/>
      <x:c r="J373" s="233"/>
      <x:c r="K373" s="233" t="str">
        <x:f>TRIM(G373&amp;" "&amp;H373&amp;" "&amp;I373&amp;IF(J373&lt;&gt;""," ("&amp;J373&amp;")",""))</x:f>
      </x:c>
      <x:c r="L373" s="233"/>
      <x:c r="M373" s="234"/>
      <x:c r="N373" s="233"/>
      <x:c r="O373" s="233"/>
      <x:c r="P373" s="233"/>
      <x:c r="Q373" s="233"/>
      <x:c r="R373" s="233"/>
      <x:c r="S373" s="233"/>
      <x:c r="T373" s="233"/>
      <x:c r="U373" s="233"/>
      <x:c r="V373" s="233"/>
      <x:c r="W373" s="235"/>
      <x:c r="X373" s="235"/>
      <x:c r="Y373" s="233"/>
      <x:c r="Z373" s="233"/>
      <x:c r="AA373" s="233"/>
      <x:c r="AB373" s="233"/>
      <x:c r="AC373" s="236"/>
      <x:c r="AD373" s="233"/>
      <x:c r="AE373" s="233"/>
      <x:c r="AF373" s="233"/>
      <x:c r="AG373" s="233"/>
      <x:c r="AH373" s="234"/>
      <x:c r="AI373" s="233"/>
      <x:c r="AJ373" s="233"/>
      <x:c r="AK373" s="233"/>
      <x:c r="AL373" s="236"/>
      <x:c r="AM373" s="233"/>
      <x:c r="AN373" s="233"/>
      <x:c r="AO373" s="234"/>
      <x:c r="AP373" s="234"/>
      <x:c r="AQ373" s="233"/>
      <x:c r="AR373" s="236"/>
      <x:c r="AS373" s="234"/>
      <x:c r="AT373" s="233"/>
      <x:c r="AU373" s="233"/>
      <x:c r="AV373" s="233"/>
      <x:c r="AW373" s="233"/>
      <x:c r="AX373" s="233"/>
      <x:c r="AY373" s="233"/>
      <x:c r="AZ373" s="236"/>
      <x:c r="BA373" s="233"/>
      <x:c r="BB373" s="233"/>
      <x:c r="BC373" s="233"/>
      <x:c r="BD373" s="233"/>
      <x:c r="BE373" s="237" t="str">
        <x:f>IF(AND(A373="",B373="",C373="",E373="",G373="",I373="",M373="",T373="",BB373="",BD373=""),"",IF(B373="skip","SKIP",IF(OR(B373="",A373="",E373="",G373="",I373="",M373="",T373="",COUNTIF($A$6:$A$505,A373)&gt;1,COUNTIF($M$6:$M$505,M373)&gt;1,AND(L373="mobile",N373&lt;&gt;"invalid",OR(LEN(M373)&lt;&gt;10,LEFT(M373,2)&lt;&gt;"09"))),"REVIEW","READY")))</x:f>
      </x:c>
      <x:c r="BF373" s="238" t="str">
        <x:f>IF(BE373="","",IF(BE373="READY","",IF(B373="skip","Skipped by import_action",TRIM(IF(B373="","missing import_action; ","")&amp;IF(A373="","missing migration_customer_key; ","")&amp;IF(AND(A373&lt;&gt;"",COUNTIF($A$6:$A$505,A373)&gt;1),"duplicate migration_customer_key; ","")&amp;IF(E373="","missing branch_id; ","")&amp;IF(G373="","missing first_name; ","")&amp;IF(I373="","missing last_name; ","")&amp;IF(M373="","missing primary_phone; ","")&amp;IF(AND(M373&lt;&gt;"",COUNTIF($M$6:$M$505,M373)&gt;1),"duplicate primary_phone; ","")&amp;IF(AND(L373="mobile",N373&lt;&gt;"invalid",OR(LEN(M373)&lt;&gt;10,LEFT(M373,2)&lt;&gt;"09")),"mobile must be 09XXXXXXXX or status invalid; ","")&amp;IF(T373="","missing neighborhood_id; ","")))))</x:f>
      </x:c>
    </x:row>
    <x:row r="374">
      <x:c r="A374" s="232"/>
      <x:c r="B374" s="233"/>
      <x:c r="C374" s="234"/>
      <x:c r="D374" s="233"/>
      <x:c r="E374" s="233"/>
      <x:c r="F374" s="233"/>
      <x:c r="G374" s="233"/>
      <x:c r="H374" s="233"/>
      <x:c r="I374" s="233"/>
      <x:c r="J374" s="233"/>
      <x:c r="K374" s="233" t="str">
        <x:f>TRIM(G374&amp;" "&amp;H374&amp;" "&amp;I374&amp;IF(J374&lt;&gt;""," ("&amp;J374&amp;")",""))</x:f>
      </x:c>
      <x:c r="L374" s="233"/>
      <x:c r="M374" s="234"/>
      <x:c r="N374" s="233"/>
      <x:c r="O374" s="233"/>
      <x:c r="P374" s="233"/>
      <x:c r="Q374" s="233"/>
      <x:c r="R374" s="233"/>
      <x:c r="S374" s="233"/>
      <x:c r="T374" s="233"/>
      <x:c r="U374" s="233"/>
      <x:c r="V374" s="233"/>
      <x:c r="W374" s="235"/>
      <x:c r="X374" s="235"/>
      <x:c r="Y374" s="233"/>
      <x:c r="Z374" s="233"/>
      <x:c r="AA374" s="233"/>
      <x:c r="AB374" s="233"/>
      <x:c r="AC374" s="236"/>
      <x:c r="AD374" s="233"/>
      <x:c r="AE374" s="233"/>
      <x:c r="AF374" s="233"/>
      <x:c r="AG374" s="233"/>
      <x:c r="AH374" s="234"/>
      <x:c r="AI374" s="233"/>
      <x:c r="AJ374" s="233"/>
      <x:c r="AK374" s="233"/>
      <x:c r="AL374" s="236"/>
      <x:c r="AM374" s="233"/>
      <x:c r="AN374" s="233"/>
      <x:c r="AO374" s="234"/>
      <x:c r="AP374" s="234"/>
      <x:c r="AQ374" s="233"/>
      <x:c r="AR374" s="236"/>
      <x:c r="AS374" s="234"/>
      <x:c r="AT374" s="233"/>
      <x:c r="AU374" s="233"/>
      <x:c r="AV374" s="233"/>
      <x:c r="AW374" s="233"/>
      <x:c r="AX374" s="233"/>
      <x:c r="AY374" s="233"/>
      <x:c r="AZ374" s="236"/>
      <x:c r="BA374" s="233"/>
      <x:c r="BB374" s="233"/>
      <x:c r="BC374" s="233"/>
      <x:c r="BD374" s="233"/>
      <x:c r="BE374" s="237" t="str">
        <x:f>IF(AND(A374="",B374="",C374="",E374="",G374="",I374="",M374="",T374="",BB374="",BD374=""),"",IF(B374="skip","SKIP",IF(OR(B374="",A374="",E374="",G374="",I374="",M374="",T374="",COUNTIF($A$6:$A$505,A374)&gt;1,COUNTIF($M$6:$M$505,M374)&gt;1,AND(L374="mobile",N374&lt;&gt;"invalid",OR(LEN(M374)&lt;&gt;10,LEFT(M374,2)&lt;&gt;"09"))),"REVIEW","READY")))</x:f>
      </x:c>
      <x:c r="BF374" s="238" t="str">
        <x:f>IF(BE374="","",IF(BE374="READY","",IF(B374="skip","Skipped by import_action",TRIM(IF(B374="","missing import_action; ","")&amp;IF(A374="","missing migration_customer_key; ","")&amp;IF(AND(A374&lt;&gt;"",COUNTIF($A$6:$A$505,A374)&gt;1),"duplicate migration_customer_key; ","")&amp;IF(E374="","missing branch_id; ","")&amp;IF(G374="","missing first_name; ","")&amp;IF(I374="","missing last_name; ","")&amp;IF(M374="","missing primary_phone; ","")&amp;IF(AND(M374&lt;&gt;"",COUNTIF($M$6:$M$505,M374)&gt;1),"duplicate primary_phone; ","")&amp;IF(AND(L374="mobile",N374&lt;&gt;"invalid",OR(LEN(M374)&lt;&gt;10,LEFT(M374,2)&lt;&gt;"09")),"mobile must be 09XXXXXXXX or status invalid; ","")&amp;IF(T374="","missing neighborhood_id; ","")))))</x:f>
      </x:c>
    </x:row>
    <x:row r="375">
      <x:c r="A375" s="232"/>
      <x:c r="B375" s="233"/>
      <x:c r="C375" s="234"/>
      <x:c r="D375" s="233"/>
      <x:c r="E375" s="233"/>
      <x:c r="F375" s="233"/>
      <x:c r="G375" s="233"/>
      <x:c r="H375" s="233"/>
      <x:c r="I375" s="233"/>
      <x:c r="J375" s="233"/>
      <x:c r="K375" s="233" t="str">
        <x:f>TRIM(G375&amp;" "&amp;H375&amp;" "&amp;I375&amp;IF(J375&lt;&gt;""," ("&amp;J375&amp;")",""))</x:f>
      </x:c>
      <x:c r="L375" s="233"/>
      <x:c r="M375" s="234"/>
      <x:c r="N375" s="233"/>
      <x:c r="O375" s="233"/>
      <x:c r="P375" s="233"/>
      <x:c r="Q375" s="233"/>
      <x:c r="R375" s="233"/>
      <x:c r="S375" s="233"/>
      <x:c r="T375" s="233"/>
      <x:c r="U375" s="233"/>
      <x:c r="V375" s="233"/>
      <x:c r="W375" s="235"/>
      <x:c r="X375" s="235"/>
      <x:c r="Y375" s="233"/>
      <x:c r="Z375" s="233"/>
      <x:c r="AA375" s="233"/>
      <x:c r="AB375" s="233"/>
      <x:c r="AC375" s="236"/>
      <x:c r="AD375" s="233"/>
      <x:c r="AE375" s="233"/>
      <x:c r="AF375" s="233"/>
      <x:c r="AG375" s="233"/>
      <x:c r="AH375" s="234"/>
      <x:c r="AI375" s="233"/>
      <x:c r="AJ375" s="233"/>
      <x:c r="AK375" s="233"/>
      <x:c r="AL375" s="236"/>
      <x:c r="AM375" s="233"/>
      <x:c r="AN375" s="233"/>
      <x:c r="AO375" s="234"/>
      <x:c r="AP375" s="234"/>
      <x:c r="AQ375" s="233"/>
      <x:c r="AR375" s="236"/>
      <x:c r="AS375" s="234"/>
      <x:c r="AT375" s="233"/>
      <x:c r="AU375" s="233"/>
      <x:c r="AV375" s="233"/>
      <x:c r="AW375" s="233"/>
      <x:c r="AX375" s="233"/>
      <x:c r="AY375" s="233"/>
      <x:c r="AZ375" s="236"/>
      <x:c r="BA375" s="233"/>
      <x:c r="BB375" s="233"/>
      <x:c r="BC375" s="233"/>
      <x:c r="BD375" s="233"/>
      <x:c r="BE375" s="237" t="str">
        <x:f>IF(AND(A375="",B375="",C375="",E375="",G375="",I375="",M375="",T375="",BB375="",BD375=""),"",IF(B375="skip","SKIP",IF(OR(B375="",A375="",E375="",G375="",I375="",M375="",T375="",COUNTIF($A$6:$A$505,A375)&gt;1,COUNTIF($M$6:$M$505,M375)&gt;1,AND(L375="mobile",N375&lt;&gt;"invalid",OR(LEN(M375)&lt;&gt;10,LEFT(M375,2)&lt;&gt;"09"))),"REVIEW","READY")))</x:f>
      </x:c>
      <x:c r="BF375" s="238" t="str">
        <x:f>IF(BE375="","",IF(BE375="READY","",IF(B375="skip","Skipped by import_action",TRIM(IF(B375="","missing import_action; ","")&amp;IF(A375="","missing migration_customer_key; ","")&amp;IF(AND(A375&lt;&gt;"",COUNTIF($A$6:$A$505,A375)&gt;1),"duplicate migration_customer_key; ","")&amp;IF(E375="","missing branch_id; ","")&amp;IF(G375="","missing first_name; ","")&amp;IF(I375="","missing last_name; ","")&amp;IF(M375="","missing primary_phone; ","")&amp;IF(AND(M375&lt;&gt;"",COUNTIF($M$6:$M$505,M375)&gt;1),"duplicate primary_phone; ","")&amp;IF(AND(L375="mobile",N375&lt;&gt;"invalid",OR(LEN(M375)&lt;&gt;10,LEFT(M375,2)&lt;&gt;"09")),"mobile must be 09XXXXXXXX or status invalid; ","")&amp;IF(T375="","missing neighborhood_id; ","")))))</x:f>
      </x:c>
    </x:row>
    <x:row r="376">
      <x:c r="A376" s="232"/>
      <x:c r="B376" s="233"/>
      <x:c r="C376" s="234"/>
      <x:c r="D376" s="233"/>
      <x:c r="E376" s="233"/>
      <x:c r="F376" s="233"/>
      <x:c r="G376" s="233"/>
      <x:c r="H376" s="233"/>
      <x:c r="I376" s="233"/>
      <x:c r="J376" s="233"/>
      <x:c r="K376" s="233" t="str">
        <x:f>TRIM(G376&amp;" "&amp;H376&amp;" "&amp;I376&amp;IF(J376&lt;&gt;""," ("&amp;J376&amp;")",""))</x:f>
      </x:c>
      <x:c r="L376" s="233"/>
      <x:c r="M376" s="234"/>
      <x:c r="N376" s="233"/>
      <x:c r="O376" s="233"/>
      <x:c r="P376" s="233"/>
      <x:c r="Q376" s="233"/>
      <x:c r="R376" s="233"/>
      <x:c r="S376" s="233"/>
      <x:c r="T376" s="233"/>
      <x:c r="U376" s="233"/>
      <x:c r="V376" s="233"/>
      <x:c r="W376" s="235"/>
      <x:c r="X376" s="235"/>
      <x:c r="Y376" s="233"/>
      <x:c r="Z376" s="233"/>
      <x:c r="AA376" s="233"/>
      <x:c r="AB376" s="233"/>
      <x:c r="AC376" s="236"/>
      <x:c r="AD376" s="233"/>
      <x:c r="AE376" s="233"/>
      <x:c r="AF376" s="233"/>
      <x:c r="AG376" s="233"/>
      <x:c r="AH376" s="234"/>
      <x:c r="AI376" s="233"/>
      <x:c r="AJ376" s="233"/>
      <x:c r="AK376" s="233"/>
      <x:c r="AL376" s="236"/>
      <x:c r="AM376" s="233"/>
      <x:c r="AN376" s="233"/>
      <x:c r="AO376" s="234"/>
      <x:c r="AP376" s="234"/>
      <x:c r="AQ376" s="233"/>
      <x:c r="AR376" s="236"/>
      <x:c r="AS376" s="234"/>
      <x:c r="AT376" s="233"/>
      <x:c r="AU376" s="233"/>
      <x:c r="AV376" s="233"/>
      <x:c r="AW376" s="233"/>
      <x:c r="AX376" s="233"/>
      <x:c r="AY376" s="233"/>
      <x:c r="AZ376" s="236"/>
      <x:c r="BA376" s="233"/>
      <x:c r="BB376" s="233"/>
      <x:c r="BC376" s="233"/>
      <x:c r="BD376" s="233"/>
      <x:c r="BE376" s="237" t="str">
        <x:f>IF(AND(A376="",B376="",C376="",E376="",G376="",I376="",M376="",T376="",BB376="",BD376=""),"",IF(B376="skip","SKIP",IF(OR(B376="",A376="",E376="",G376="",I376="",M376="",T376="",COUNTIF($A$6:$A$505,A376)&gt;1,COUNTIF($M$6:$M$505,M376)&gt;1,AND(L376="mobile",N376&lt;&gt;"invalid",OR(LEN(M376)&lt;&gt;10,LEFT(M376,2)&lt;&gt;"09"))),"REVIEW","READY")))</x:f>
      </x:c>
      <x:c r="BF376" s="238" t="str">
        <x:f>IF(BE376="","",IF(BE376="READY","",IF(B376="skip","Skipped by import_action",TRIM(IF(B376="","missing import_action; ","")&amp;IF(A376="","missing migration_customer_key; ","")&amp;IF(AND(A376&lt;&gt;"",COUNTIF($A$6:$A$505,A376)&gt;1),"duplicate migration_customer_key; ","")&amp;IF(E376="","missing branch_id; ","")&amp;IF(G376="","missing first_name; ","")&amp;IF(I376="","missing last_name; ","")&amp;IF(M376="","missing primary_phone; ","")&amp;IF(AND(M376&lt;&gt;"",COUNTIF($M$6:$M$505,M376)&gt;1),"duplicate primary_phone; ","")&amp;IF(AND(L376="mobile",N376&lt;&gt;"invalid",OR(LEN(M376)&lt;&gt;10,LEFT(M376,2)&lt;&gt;"09")),"mobile must be 09XXXXXXXX or status invalid; ","")&amp;IF(T376="","missing neighborhood_id; ","")))))</x:f>
      </x:c>
    </x:row>
    <x:row r="377">
      <x:c r="A377" s="232"/>
      <x:c r="B377" s="233"/>
      <x:c r="C377" s="234"/>
      <x:c r="D377" s="233"/>
      <x:c r="E377" s="233"/>
      <x:c r="F377" s="233"/>
      <x:c r="G377" s="233"/>
      <x:c r="H377" s="233"/>
      <x:c r="I377" s="233"/>
      <x:c r="J377" s="233"/>
      <x:c r="K377" s="233" t="str">
        <x:f>TRIM(G377&amp;" "&amp;H377&amp;" "&amp;I377&amp;IF(J377&lt;&gt;""," ("&amp;J377&amp;")",""))</x:f>
      </x:c>
      <x:c r="L377" s="233"/>
      <x:c r="M377" s="234"/>
      <x:c r="N377" s="233"/>
      <x:c r="O377" s="233"/>
      <x:c r="P377" s="233"/>
      <x:c r="Q377" s="233"/>
      <x:c r="R377" s="233"/>
      <x:c r="S377" s="233"/>
      <x:c r="T377" s="233"/>
      <x:c r="U377" s="233"/>
      <x:c r="V377" s="233"/>
      <x:c r="W377" s="235"/>
      <x:c r="X377" s="235"/>
      <x:c r="Y377" s="233"/>
      <x:c r="Z377" s="233"/>
      <x:c r="AA377" s="233"/>
      <x:c r="AB377" s="233"/>
      <x:c r="AC377" s="236"/>
      <x:c r="AD377" s="233"/>
      <x:c r="AE377" s="233"/>
      <x:c r="AF377" s="233"/>
      <x:c r="AG377" s="233"/>
      <x:c r="AH377" s="234"/>
      <x:c r="AI377" s="233"/>
      <x:c r="AJ377" s="233"/>
      <x:c r="AK377" s="233"/>
      <x:c r="AL377" s="236"/>
      <x:c r="AM377" s="233"/>
      <x:c r="AN377" s="233"/>
      <x:c r="AO377" s="234"/>
      <x:c r="AP377" s="234"/>
      <x:c r="AQ377" s="233"/>
      <x:c r="AR377" s="236"/>
      <x:c r="AS377" s="234"/>
      <x:c r="AT377" s="233"/>
      <x:c r="AU377" s="233"/>
      <x:c r="AV377" s="233"/>
      <x:c r="AW377" s="233"/>
      <x:c r="AX377" s="233"/>
      <x:c r="AY377" s="233"/>
      <x:c r="AZ377" s="236"/>
      <x:c r="BA377" s="233"/>
      <x:c r="BB377" s="233"/>
      <x:c r="BC377" s="233"/>
      <x:c r="BD377" s="233"/>
      <x:c r="BE377" s="237" t="str">
        <x:f>IF(AND(A377="",B377="",C377="",E377="",G377="",I377="",M377="",T377="",BB377="",BD377=""),"",IF(B377="skip","SKIP",IF(OR(B377="",A377="",E377="",G377="",I377="",M377="",T377="",COUNTIF($A$6:$A$505,A377)&gt;1,COUNTIF($M$6:$M$505,M377)&gt;1,AND(L377="mobile",N377&lt;&gt;"invalid",OR(LEN(M377)&lt;&gt;10,LEFT(M377,2)&lt;&gt;"09"))),"REVIEW","READY")))</x:f>
      </x:c>
      <x:c r="BF377" s="238" t="str">
        <x:f>IF(BE377="","",IF(BE377="READY","",IF(B377="skip","Skipped by import_action",TRIM(IF(B377="","missing import_action; ","")&amp;IF(A377="","missing migration_customer_key; ","")&amp;IF(AND(A377&lt;&gt;"",COUNTIF($A$6:$A$505,A377)&gt;1),"duplicate migration_customer_key; ","")&amp;IF(E377="","missing branch_id; ","")&amp;IF(G377="","missing first_name; ","")&amp;IF(I377="","missing last_name; ","")&amp;IF(M377="","missing primary_phone; ","")&amp;IF(AND(M377&lt;&gt;"",COUNTIF($M$6:$M$505,M377)&gt;1),"duplicate primary_phone; ","")&amp;IF(AND(L377="mobile",N377&lt;&gt;"invalid",OR(LEN(M377)&lt;&gt;10,LEFT(M377,2)&lt;&gt;"09")),"mobile must be 09XXXXXXXX or status invalid; ","")&amp;IF(T377="","missing neighborhood_id; ","")))))</x:f>
      </x:c>
    </x:row>
    <x:row r="378">
      <x:c r="A378" s="232"/>
      <x:c r="B378" s="233"/>
      <x:c r="C378" s="234"/>
      <x:c r="D378" s="233"/>
      <x:c r="E378" s="233"/>
      <x:c r="F378" s="233"/>
      <x:c r="G378" s="233"/>
      <x:c r="H378" s="233"/>
      <x:c r="I378" s="233"/>
      <x:c r="J378" s="233"/>
      <x:c r="K378" s="233" t="str">
        <x:f>TRIM(G378&amp;" "&amp;H378&amp;" "&amp;I378&amp;IF(J378&lt;&gt;""," ("&amp;J378&amp;")",""))</x:f>
      </x:c>
      <x:c r="L378" s="233"/>
      <x:c r="M378" s="234"/>
      <x:c r="N378" s="233"/>
      <x:c r="O378" s="233"/>
      <x:c r="P378" s="233"/>
      <x:c r="Q378" s="233"/>
      <x:c r="R378" s="233"/>
      <x:c r="S378" s="233"/>
      <x:c r="T378" s="233"/>
      <x:c r="U378" s="233"/>
      <x:c r="V378" s="233"/>
      <x:c r="W378" s="235"/>
      <x:c r="X378" s="235"/>
      <x:c r="Y378" s="233"/>
      <x:c r="Z378" s="233"/>
      <x:c r="AA378" s="233"/>
      <x:c r="AB378" s="233"/>
      <x:c r="AC378" s="236"/>
      <x:c r="AD378" s="233"/>
      <x:c r="AE378" s="233"/>
      <x:c r="AF378" s="233"/>
      <x:c r="AG378" s="233"/>
      <x:c r="AH378" s="234"/>
      <x:c r="AI378" s="233"/>
      <x:c r="AJ378" s="233"/>
      <x:c r="AK378" s="233"/>
      <x:c r="AL378" s="236"/>
      <x:c r="AM378" s="233"/>
      <x:c r="AN378" s="233"/>
      <x:c r="AO378" s="234"/>
      <x:c r="AP378" s="234"/>
      <x:c r="AQ378" s="233"/>
      <x:c r="AR378" s="236"/>
      <x:c r="AS378" s="234"/>
      <x:c r="AT378" s="233"/>
      <x:c r="AU378" s="233"/>
      <x:c r="AV378" s="233"/>
      <x:c r="AW378" s="233"/>
      <x:c r="AX378" s="233"/>
      <x:c r="AY378" s="233"/>
      <x:c r="AZ378" s="236"/>
      <x:c r="BA378" s="233"/>
      <x:c r="BB378" s="233"/>
      <x:c r="BC378" s="233"/>
      <x:c r="BD378" s="233"/>
      <x:c r="BE378" s="237" t="str">
        <x:f>IF(AND(A378="",B378="",C378="",E378="",G378="",I378="",M378="",T378="",BB378="",BD378=""),"",IF(B378="skip","SKIP",IF(OR(B378="",A378="",E378="",G378="",I378="",M378="",T378="",COUNTIF($A$6:$A$505,A378)&gt;1,COUNTIF($M$6:$M$505,M378)&gt;1,AND(L378="mobile",N378&lt;&gt;"invalid",OR(LEN(M378)&lt;&gt;10,LEFT(M378,2)&lt;&gt;"09"))),"REVIEW","READY")))</x:f>
      </x:c>
      <x:c r="BF378" s="238" t="str">
        <x:f>IF(BE378="","",IF(BE378="READY","",IF(B378="skip","Skipped by import_action",TRIM(IF(B378="","missing import_action; ","")&amp;IF(A378="","missing migration_customer_key; ","")&amp;IF(AND(A378&lt;&gt;"",COUNTIF($A$6:$A$505,A378)&gt;1),"duplicate migration_customer_key; ","")&amp;IF(E378="","missing branch_id; ","")&amp;IF(G378="","missing first_name; ","")&amp;IF(I378="","missing last_name; ","")&amp;IF(M378="","missing primary_phone; ","")&amp;IF(AND(M378&lt;&gt;"",COUNTIF($M$6:$M$505,M378)&gt;1),"duplicate primary_phone; ","")&amp;IF(AND(L378="mobile",N378&lt;&gt;"invalid",OR(LEN(M378)&lt;&gt;10,LEFT(M378,2)&lt;&gt;"09")),"mobile must be 09XXXXXXXX or status invalid; ","")&amp;IF(T378="","missing neighborhood_id; ","")))))</x:f>
      </x:c>
    </x:row>
    <x:row r="379">
      <x:c r="A379" s="232"/>
      <x:c r="B379" s="233"/>
      <x:c r="C379" s="234"/>
      <x:c r="D379" s="233"/>
      <x:c r="E379" s="233"/>
      <x:c r="F379" s="233"/>
      <x:c r="G379" s="233"/>
      <x:c r="H379" s="233"/>
      <x:c r="I379" s="233"/>
      <x:c r="J379" s="233"/>
      <x:c r="K379" s="233" t="str">
        <x:f>TRIM(G379&amp;" "&amp;H379&amp;" "&amp;I379&amp;IF(J379&lt;&gt;""," ("&amp;J379&amp;")",""))</x:f>
      </x:c>
      <x:c r="L379" s="233"/>
      <x:c r="M379" s="234"/>
      <x:c r="N379" s="233"/>
      <x:c r="O379" s="233"/>
      <x:c r="P379" s="233"/>
      <x:c r="Q379" s="233"/>
      <x:c r="R379" s="233"/>
      <x:c r="S379" s="233"/>
      <x:c r="T379" s="233"/>
      <x:c r="U379" s="233"/>
      <x:c r="V379" s="233"/>
      <x:c r="W379" s="235"/>
      <x:c r="X379" s="235"/>
      <x:c r="Y379" s="233"/>
      <x:c r="Z379" s="233"/>
      <x:c r="AA379" s="233"/>
      <x:c r="AB379" s="233"/>
      <x:c r="AC379" s="236"/>
      <x:c r="AD379" s="233"/>
      <x:c r="AE379" s="233"/>
      <x:c r="AF379" s="233"/>
      <x:c r="AG379" s="233"/>
      <x:c r="AH379" s="234"/>
      <x:c r="AI379" s="233"/>
      <x:c r="AJ379" s="233"/>
      <x:c r="AK379" s="233"/>
      <x:c r="AL379" s="236"/>
      <x:c r="AM379" s="233"/>
      <x:c r="AN379" s="233"/>
      <x:c r="AO379" s="234"/>
      <x:c r="AP379" s="234"/>
      <x:c r="AQ379" s="233"/>
      <x:c r="AR379" s="236"/>
      <x:c r="AS379" s="234"/>
      <x:c r="AT379" s="233"/>
      <x:c r="AU379" s="233"/>
      <x:c r="AV379" s="233"/>
      <x:c r="AW379" s="233"/>
      <x:c r="AX379" s="233"/>
      <x:c r="AY379" s="233"/>
      <x:c r="AZ379" s="236"/>
      <x:c r="BA379" s="233"/>
      <x:c r="BB379" s="233"/>
      <x:c r="BC379" s="233"/>
      <x:c r="BD379" s="233"/>
      <x:c r="BE379" s="237" t="str">
        <x:f>IF(AND(A379="",B379="",C379="",E379="",G379="",I379="",M379="",T379="",BB379="",BD379=""),"",IF(B379="skip","SKIP",IF(OR(B379="",A379="",E379="",G379="",I379="",M379="",T379="",COUNTIF($A$6:$A$505,A379)&gt;1,COUNTIF($M$6:$M$505,M379)&gt;1,AND(L379="mobile",N379&lt;&gt;"invalid",OR(LEN(M379)&lt;&gt;10,LEFT(M379,2)&lt;&gt;"09"))),"REVIEW","READY")))</x:f>
      </x:c>
      <x:c r="BF379" s="238" t="str">
        <x:f>IF(BE379="","",IF(BE379="READY","",IF(B379="skip","Skipped by import_action",TRIM(IF(B379="","missing import_action; ","")&amp;IF(A379="","missing migration_customer_key; ","")&amp;IF(AND(A379&lt;&gt;"",COUNTIF($A$6:$A$505,A379)&gt;1),"duplicate migration_customer_key; ","")&amp;IF(E379="","missing branch_id; ","")&amp;IF(G379="","missing first_name; ","")&amp;IF(I379="","missing last_name; ","")&amp;IF(M379="","missing primary_phone; ","")&amp;IF(AND(M379&lt;&gt;"",COUNTIF($M$6:$M$505,M379)&gt;1),"duplicate primary_phone; ","")&amp;IF(AND(L379="mobile",N379&lt;&gt;"invalid",OR(LEN(M379)&lt;&gt;10,LEFT(M379,2)&lt;&gt;"09")),"mobile must be 09XXXXXXXX or status invalid; ","")&amp;IF(T379="","missing neighborhood_id; ","")))))</x:f>
      </x:c>
    </x:row>
    <x:row r="380">
      <x:c r="A380" s="232"/>
      <x:c r="B380" s="233"/>
      <x:c r="C380" s="234"/>
      <x:c r="D380" s="233"/>
      <x:c r="E380" s="233"/>
      <x:c r="F380" s="233"/>
      <x:c r="G380" s="233"/>
      <x:c r="H380" s="233"/>
      <x:c r="I380" s="233"/>
      <x:c r="J380" s="233"/>
      <x:c r="K380" s="233" t="str">
        <x:f>TRIM(G380&amp;" "&amp;H380&amp;" "&amp;I380&amp;IF(J380&lt;&gt;""," ("&amp;J380&amp;")",""))</x:f>
      </x:c>
      <x:c r="L380" s="233"/>
      <x:c r="M380" s="234"/>
      <x:c r="N380" s="233"/>
      <x:c r="O380" s="233"/>
      <x:c r="P380" s="233"/>
      <x:c r="Q380" s="233"/>
      <x:c r="R380" s="233"/>
      <x:c r="S380" s="233"/>
      <x:c r="T380" s="233"/>
      <x:c r="U380" s="233"/>
      <x:c r="V380" s="233"/>
      <x:c r="W380" s="235"/>
      <x:c r="X380" s="235"/>
      <x:c r="Y380" s="233"/>
      <x:c r="Z380" s="233"/>
      <x:c r="AA380" s="233"/>
      <x:c r="AB380" s="233"/>
      <x:c r="AC380" s="236"/>
      <x:c r="AD380" s="233"/>
      <x:c r="AE380" s="233"/>
      <x:c r="AF380" s="233"/>
      <x:c r="AG380" s="233"/>
      <x:c r="AH380" s="234"/>
      <x:c r="AI380" s="233"/>
      <x:c r="AJ380" s="233"/>
      <x:c r="AK380" s="233"/>
      <x:c r="AL380" s="236"/>
      <x:c r="AM380" s="233"/>
      <x:c r="AN380" s="233"/>
      <x:c r="AO380" s="234"/>
      <x:c r="AP380" s="234"/>
      <x:c r="AQ380" s="233"/>
      <x:c r="AR380" s="236"/>
      <x:c r="AS380" s="234"/>
      <x:c r="AT380" s="233"/>
      <x:c r="AU380" s="233"/>
      <x:c r="AV380" s="233"/>
      <x:c r="AW380" s="233"/>
      <x:c r="AX380" s="233"/>
      <x:c r="AY380" s="233"/>
      <x:c r="AZ380" s="236"/>
      <x:c r="BA380" s="233"/>
      <x:c r="BB380" s="233"/>
      <x:c r="BC380" s="233"/>
      <x:c r="BD380" s="233"/>
      <x:c r="BE380" s="237" t="str">
        <x:f>IF(AND(A380="",B380="",C380="",E380="",G380="",I380="",M380="",T380="",BB380="",BD380=""),"",IF(B380="skip","SKIP",IF(OR(B380="",A380="",E380="",G380="",I380="",M380="",T380="",COUNTIF($A$6:$A$505,A380)&gt;1,COUNTIF($M$6:$M$505,M380)&gt;1,AND(L380="mobile",N380&lt;&gt;"invalid",OR(LEN(M380)&lt;&gt;10,LEFT(M380,2)&lt;&gt;"09"))),"REVIEW","READY")))</x:f>
      </x:c>
      <x:c r="BF380" s="238" t="str">
        <x:f>IF(BE380="","",IF(BE380="READY","",IF(B380="skip","Skipped by import_action",TRIM(IF(B380="","missing import_action; ","")&amp;IF(A380="","missing migration_customer_key; ","")&amp;IF(AND(A380&lt;&gt;"",COUNTIF($A$6:$A$505,A380)&gt;1),"duplicate migration_customer_key; ","")&amp;IF(E380="","missing branch_id; ","")&amp;IF(G380="","missing first_name; ","")&amp;IF(I380="","missing last_name; ","")&amp;IF(M380="","missing primary_phone; ","")&amp;IF(AND(M380&lt;&gt;"",COUNTIF($M$6:$M$505,M380)&gt;1),"duplicate primary_phone; ","")&amp;IF(AND(L380="mobile",N380&lt;&gt;"invalid",OR(LEN(M380)&lt;&gt;10,LEFT(M380,2)&lt;&gt;"09")),"mobile must be 09XXXXXXXX or status invalid; ","")&amp;IF(T380="","missing neighborhood_id; ","")))))</x:f>
      </x:c>
    </x:row>
    <x:row r="381">
      <x:c r="A381" s="232"/>
      <x:c r="B381" s="233"/>
      <x:c r="C381" s="234"/>
      <x:c r="D381" s="233"/>
      <x:c r="E381" s="233"/>
      <x:c r="F381" s="233"/>
      <x:c r="G381" s="233"/>
      <x:c r="H381" s="233"/>
      <x:c r="I381" s="233"/>
      <x:c r="J381" s="233"/>
      <x:c r="K381" s="233" t="str">
        <x:f>TRIM(G381&amp;" "&amp;H381&amp;" "&amp;I381&amp;IF(J381&lt;&gt;""," ("&amp;J381&amp;")",""))</x:f>
      </x:c>
      <x:c r="L381" s="233"/>
      <x:c r="M381" s="234"/>
      <x:c r="N381" s="233"/>
      <x:c r="O381" s="233"/>
      <x:c r="P381" s="233"/>
      <x:c r="Q381" s="233"/>
      <x:c r="R381" s="233"/>
      <x:c r="S381" s="233"/>
      <x:c r="T381" s="233"/>
      <x:c r="U381" s="233"/>
      <x:c r="V381" s="233"/>
      <x:c r="W381" s="235"/>
      <x:c r="X381" s="235"/>
      <x:c r="Y381" s="233"/>
      <x:c r="Z381" s="233"/>
      <x:c r="AA381" s="233"/>
      <x:c r="AB381" s="233"/>
      <x:c r="AC381" s="236"/>
      <x:c r="AD381" s="233"/>
      <x:c r="AE381" s="233"/>
      <x:c r="AF381" s="233"/>
      <x:c r="AG381" s="233"/>
      <x:c r="AH381" s="234"/>
      <x:c r="AI381" s="233"/>
      <x:c r="AJ381" s="233"/>
      <x:c r="AK381" s="233"/>
      <x:c r="AL381" s="236"/>
      <x:c r="AM381" s="233"/>
      <x:c r="AN381" s="233"/>
      <x:c r="AO381" s="234"/>
      <x:c r="AP381" s="234"/>
      <x:c r="AQ381" s="233"/>
      <x:c r="AR381" s="236"/>
      <x:c r="AS381" s="234"/>
      <x:c r="AT381" s="233"/>
      <x:c r="AU381" s="233"/>
      <x:c r="AV381" s="233"/>
      <x:c r="AW381" s="233"/>
      <x:c r="AX381" s="233"/>
      <x:c r="AY381" s="233"/>
      <x:c r="AZ381" s="236"/>
      <x:c r="BA381" s="233"/>
      <x:c r="BB381" s="233"/>
      <x:c r="BC381" s="233"/>
      <x:c r="BD381" s="233"/>
      <x:c r="BE381" s="237" t="str">
        <x:f>IF(AND(A381="",B381="",C381="",E381="",G381="",I381="",M381="",T381="",BB381="",BD381=""),"",IF(B381="skip","SKIP",IF(OR(B381="",A381="",E381="",G381="",I381="",M381="",T381="",COUNTIF($A$6:$A$505,A381)&gt;1,COUNTIF($M$6:$M$505,M381)&gt;1,AND(L381="mobile",N381&lt;&gt;"invalid",OR(LEN(M381)&lt;&gt;10,LEFT(M381,2)&lt;&gt;"09"))),"REVIEW","READY")))</x:f>
      </x:c>
      <x:c r="BF381" s="238" t="str">
        <x:f>IF(BE381="","",IF(BE381="READY","",IF(B381="skip","Skipped by import_action",TRIM(IF(B381="","missing import_action; ","")&amp;IF(A381="","missing migration_customer_key; ","")&amp;IF(AND(A381&lt;&gt;"",COUNTIF($A$6:$A$505,A381)&gt;1),"duplicate migration_customer_key; ","")&amp;IF(E381="","missing branch_id; ","")&amp;IF(G381="","missing first_name; ","")&amp;IF(I381="","missing last_name; ","")&amp;IF(M381="","missing primary_phone; ","")&amp;IF(AND(M381&lt;&gt;"",COUNTIF($M$6:$M$505,M381)&gt;1),"duplicate primary_phone; ","")&amp;IF(AND(L381="mobile",N381&lt;&gt;"invalid",OR(LEN(M381)&lt;&gt;10,LEFT(M381,2)&lt;&gt;"09")),"mobile must be 09XXXXXXXX or status invalid; ","")&amp;IF(T381="","missing neighborhood_id; ","")))))</x:f>
      </x:c>
    </x:row>
    <x:row r="382">
      <x:c r="A382" s="232"/>
      <x:c r="B382" s="233"/>
      <x:c r="C382" s="234"/>
      <x:c r="D382" s="233"/>
      <x:c r="E382" s="233"/>
      <x:c r="F382" s="233"/>
      <x:c r="G382" s="233"/>
      <x:c r="H382" s="233"/>
      <x:c r="I382" s="233"/>
      <x:c r="J382" s="233"/>
      <x:c r="K382" s="233" t="str">
        <x:f>TRIM(G382&amp;" "&amp;H382&amp;" "&amp;I382&amp;IF(J382&lt;&gt;""," ("&amp;J382&amp;")",""))</x:f>
      </x:c>
      <x:c r="L382" s="233"/>
      <x:c r="M382" s="234"/>
      <x:c r="N382" s="233"/>
      <x:c r="O382" s="233"/>
      <x:c r="P382" s="233"/>
      <x:c r="Q382" s="233"/>
      <x:c r="R382" s="233"/>
      <x:c r="S382" s="233"/>
      <x:c r="T382" s="233"/>
      <x:c r="U382" s="233"/>
      <x:c r="V382" s="233"/>
      <x:c r="W382" s="235"/>
      <x:c r="X382" s="235"/>
      <x:c r="Y382" s="233"/>
      <x:c r="Z382" s="233"/>
      <x:c r="AA382" s="233"/>
      <x:c r="AB382" s="233"/>
      <x:c r="AC382" s="236"/>
      <x:c r="AD382" s="233"/>
      <x:c r="AE382" s="233"/>
      <x:c r="AF382" s="233"/>
      <x:c r="AG382" s="233"/>
      <x:c r="AH382" s="234"/>
      <x:c r="AI382" s="233"/>
      <x:c r="AJ382" s="233"/>
      <x:c r="AK382" s="233"/>
      <x:c r="AL382" s="236"/>
      <x:c r="AM382" s="233"/>
      <x:c r="AN382" s="233"/>
      <x:c r="AO382" s="234"/>
      <x:c r="AP382" s="234"/>
      <x:c r="AQ382" s="233"/>
      <x:c r="AR382" s="236"/>
      <x:c r="AS382" s="234"/>
      <x:c r="AT382" s="233"/>
      <x:c r="AU382" s="233"/>
      <x:c r="AV382" s="233"/>
      <x:c r="AW382" s="233"/>
      <x:c r="AX382" s="233"/>
      <x:c r="AY382" s="233"/>
      <x:c r="AZ382" s="236"/>
      <x:c r="BA382" s="233"/>
      <x:c r="BB382" s="233"/>
      <x:c r="BC382" s="233"/>
      <x:c r="BD382" s="233"/>
      <x:c r="BE382" s="237" t="str">
        <x:f>IF(AND(A382="",B382="",C382="",E382="",G382="",I382="",M382="",T382="",BB382="",BD382=""),"",IF(B382="skip","SKIP",IF(OR(B382="",A382="",E382="",G382="",I382="",M382="",T382="",COUNTIF($A$6:$A$505,A382)&gt;1,COUNTIF($M$6:$M$505,M382)&gt;1,AND(L382="mobile",N382&lt;&gt;"invalid",OR(LEN(M382)&lt;&gt;10,LEFT(M382,2)&lt;&gt;"09"))),"REVIEW","READY")))</x:f>
      </x:c>
      <x:c r="BF382" s="238" t="str">
        <x:f>IF(BE382="","",IF(BE382="READY","",IF(B382="skip","Skipped by import_action",TRIM(IF(B382="","missing import_action; ","")&amp;IF(A382="","missing migration_customer_key; ","")&amp;IF(AND(A382&lt;&gt;"",COUNTIF($A$6:$A$505,A382)&gt;1),"duplicate migration_customer_key; ","")&amp;IF(E382="","missing branch_id; ","")&amp;IF(G382="","missing first_name; ","")&amp;IF(I382="","missing last_name; ","")&amp;IF(M382="","missing primary_phone; ","")&amp;IF(AND(M382&lt;&gt;"",COUNTIF($M$6:$M$505,M382)&gt;1),"duplicate primary_phone; ","")&amp;IF(AND(L382="mobile",N382&lt;&gt;"invalid",OR(LEN(M382)&lt;&gt;10,LEFT(M382,2)&lt;&gt;"09")),"mobile must be 09XXXXXXXX or status invalid; ","")&amp;IF(T382="","missing neighborhood_id; ","")))))</x:f>
      </x:c>
    </x:row>
    <x:row r="383">
      <x:c r="A383" s="232"/>
      <x:c r="B383" s="233"/>
      <x:c r="C383" s="234"/>
      <x:c r="D383" s="233"/>
      <x:c r="E383" s="233"/>
      <x:c r="F383" s="233"/>
      <x:c r="G383" s="233"/>
      <x:c r="H383" s="233"/>
      <x:c r="I383" s="233"/>
      <x:c r="J383" s="233"/>
      <x:c r="K383" s="233" t="str">
        <x:f>TRIM(G383&amp;" "&amp;H383&amp;" "&amp;I383&amp;IF(J383&lt;&gt;""," ("&amp;J383&amp;")",""))</x:f>
      </x:c>
      <x:c r="L383" s="233"/>
      <x:c r="M383" s="234"/>
      <x:c r="N383" s="233"/>
      <x:c r="O383" s="233"/>
      <x:c r="P383" s="233"/>
      <x:c r="Q383" s="233"/>
      <x:c r="R383" s="233"/>
      <x:c r="S383" s="233"/>
      <x:c r="T383" s="233"/>
      <x:c r="U383" s="233"/>
      <x:c r="V383" s="233"/>
      <x:c r="W383" s="235"/>
      <x:c r="X383" s="235"/>
      <x:c r="Y383" s="233"/>
      <x:c r="Z383" s="233"/>
      <x:c r="AA383" s="233"/>
      <x:c r="AB383" s="233"/>
      <x:c r="AC383" s="236"/>
      <x:c r="AD383" s="233"/>
      <x:c r="AE383" s="233"/>
      <x:c r="AF383" s="233"/>
      <x:c r="AG383" s="233"/>
      <x:c r="AH383" s="234"/>
      <x:c r="AI383" s="233"/>
      <x:c r="AJ383" s="233"/>
      <x:c r="AK383" s="233"/>
      <x:c r="AL383" s="236"/>
      <x:c r="AM383" s="233"/>
      <x:c r="AN383" s="233"/>
      <x:c r="AO383" s="234"/>
      <x:c r="AP383" s="234"/>
      <x:c r="AQ383" s="233"/>
      <x:c r="AR383" s="236"/>
      <x:c r="AS383" s="234"/>
      <x:c r="AT383" s="233"/>
      <x:c r="AU383" s="233"/>
      <x:c r="AV383" s="233"/>
      <x:c r="AW383" s="233"/>
      <x:c r="AX383" s="233"/>
      <x:c r="AY383" s="233"/>
      <x:c r="AZ383" s="236"/>
      <x:c r="BA383" s="233"/>
      <x:c r="BB383" s="233"/>
      <x:c r="BC383" s="233"/>
      <x:c r="BD383" s="233"/>
      <x:c r="BE383" s="237" t="str">
        <x:f>IF(AND(A383="",B383="",C383="",E383="",G383="",I383="",M383="",T383="",BB383="",BD383=""),"",IF(B383="skip","SKIP",IF(OR(B383="",A383="",E383="",G383="",I383="",M383="",T383="",COUNTIF($A$6:$A$505,A383)&gt;1,COUNTIF($M$6:$M$505,M383)&gt;1,AND(L383="mobile",N383&lt;&gt;"invalid",OR(LEN(M383)&lt;&gt;10,LEFT(M383,2)&lt;&gt;"09"))),"REVIEW","READY")))</x:f>
      </x:c>
      <x:c r="BF383" s="238" t="str">
        <x:f>IF(BE383="","",IF(BE383="READY","",IF(B383="skip","Skipped by import_action",TRIM(IF(B383="","missing import_action; ","")&amp;IF(A383="","missing migration_customer_key; ","")&amp;IF(AND(A383&lt;&gt;"",COUNTIF($A$6:$A$505,A383)&gt;1),"duplicate migration_customer_key; ","")&amp;IF(E383="","missing branch_id; ","")&amp;IF(G383="","missing first_name; ","")&amp;IF(I383="","missing last_name; ","")&amp;IF(M383="","missing primary_phone; ","")&amp;IF(AND(M383&lt;&gt;"",COUNTIF($M$6:$M$505,M383)&gt;1),"duplicate primary_phone; ","")&amp;IF(AND(L383="mobile",N383&lt;&gt;"invalid",OR(LEN(M383)&lt;&gt;10,LEFT(M383,2)&lt;&gt;"09")),"mobile must be 09XXXXXXXX or status invalid; ","")&amp;IF(T383="","missing neighborhood_id; ","")))))</x:f>
      </x:c>
    </x:row>
    <x:row r="384">
      <x:c r="A384" s="232"/>
      <x:c r="B384" s="233"/>
      <x:c r="C384" s="234"/>
      <x:c r="D384" s="233"/>
      <x:c r="E384" s="233"/>
      <x:c r="F384" s="233"/>
      <x:c r="G384" s="233"/>
      <x:c r="H384" s="233"/>
      <x:c r="I384" s="233"/>
      <x:c r="J384" s="233"/>
      <x:c r="K384" s="233" t="str">
        <x:f>TRIM(G384&amp;" "&amp;H384&amp;" "&amp;I384&amp;IF(J384&lt;&gt;""," ("&amp;J384&amp;")",""))</x:f>
      </x:c>
      <x:c r="L384" s="233"/>
      <x:c r="M384" s="234"/>
      <x:c r="N384" s="233"/>
      <x:c r="O384" s="233"/>
      <x:c r="P384" s="233"/>
      <x:c r="Q384" s="233"/>
      <x:c r="R384" s="233"/>
      <x:c r="S384" s="233"/>
      <x:c r="T384" s="233"/>
      <x:c r="U384" s="233"/>
      <x:c r="V384" s="233"/>
      <x:c r="W384" s="235"/>
      <x:c r="X384" s="235"/>
      <x:c r="Y384" s="233"/>
      <x:c r="Z384" s="233"/>
      <x:c r="AA384" s="233"/>
      <x:c r="AB384" s="233"/>
      <x:c r="AC384" s="236"/>
      <x:c r="AD384" s="233"/>
      <x:c r="AE384" s="233"/>
      <x:c r="AF384" s="233"/>
      <x:c r="AG384" s="233"/>
      <x:c r="AH384" s="234"/>
      <x:c r="AI384" s="233"/>
      <x:c r="AJ384" s="233"/>
      <x:c r="AK384" s="233"/>
      <x:c r="AL384" s="236"/>
      <x:c r="AM384" s="233"/>
      <x:c r="AN384" s="233"/>
      <x:c r="AO384" s="234"/>
      <x:c r="AP384" s="234"/>
      <x:c r="AQ384" s="233"/>
      <x:c r="AR384" s="236"/>
      <x:c r="AS384" s="234"/>
      <x:c r="AT384" s="233"/>
      <x:c r="AU384" s="233"/>
      <x:c r="AV384" s="233"/>
      <x:c r="AW384" s="233"/>
      <x:c r="AX384" s="233"/>
      <x:c r="AY384" s="233"/>
      <x:c r="AZ384" s="236"/>
      <x:c r="BA384" s="233"/>
      <x:c r="BB384" s="233"/>
      <x:c r="BC384" s="233"/>
      <x:c r="BD384" s="233"/>
      <x:c r="BE384" s="237" t="str">
        <x:f>IF(AND(A384="",B384="",C384="",E384="",G384="",I384="",M384="",T384="",BB384="",BD384=""),"",IF(B384="skip","SKIP",IF(OR(B384="",A384="",E384="",G384="",I384="",M384="",T384="",COUNTIF($A$6:$A$505,A384)&gt;1,COUNTIF($M$6:$M$505,M384)&gt;1,AND(L384="mobile",N384&lt;&gt;"invalid",OR(LEN(M384)&lt;&gt;10,LEFT(M384,2)&lt;&gt;"09"))),"REVIEW","READY")))</x:f>
      </x:c>
      <x:c r="BF384" s="238" t="str">
        <x:f>IF(BE384="","",IF(BE384="READY","",IF(B384="skip","Skipped by import_action",TRIM(IF(B384="","missing import_action; ","")&amp;IF(A384="","missing migration_customer_key; ","")&amp;IF(AND(A384&lt;&gt;"",COUNTIF($A$6:$A$505,A384)&gt;1),"duplicate migration_customer_key; ","")&amp;IF(E384="","missing branch_id; ","")&amp;IF(G384="","missing first_name; ","")&amp;IF(I384="","missing last_name; ","")&amp;IF(M384="","missing primary_phone; ","")&amp;IF(AND(M384&lt;&gt;"",COUNTIF($M$6:$M$505,M384)&gt;1),"duplicate primary_phone; ","")&amp;IF(AND(L384="mobile",N384&lt;&gt;"invalid",OR(LEN(M384)&lt;&gt;10,LEFT(M384,2)&lt;&gt;"09")),"mobile must be 09XXXXXXXX or status invalid; ","")&amp;IF(T384="","missing neighborhood_id; ","")))))</x:f>
      </x:c>
    </x:row>
    <x:row r="385">
      <x:c r="A385" s="232"/>
      <x:c r="B385" s="233"/>
      <x:c r="C385" s="234"/>
      <x:c r="D385" s="233"/>
      <x:c r="E385" s="233"/>
      <x:c r="F385" s="233"/>
      <x:c r="G385" s="233"/>
      <x:c r="H385" s="233"/>
      <x:c r="I385" s="233"/>
      <x:c r="J385" s="233"/>
      <x:c r="K385" s="233" t="str">
        <x:f>TRIM(G385&amp;" "&amp;H385&amp;" "&amp;I385&amp;IF(J385&lt;&gt;""," ("&amp;J385&amp;")",""))</x:f>
      </x:c>
      <x:c r="L385" s="233"/>
      <x:c r="M385" s="234"/>
      <x:c r="N385" s="233"/>
      <x:c r="O385" s="233"/>
      <x:c r="P385" s="233"/>
      <x:c r="Q385" s="233"/>
      <x:c r="R385" s="233"/>
      <x:c r="S385" s="233"/>
      <x:c r="T385" s="233"/>
      <x:c r="U385" s="233"/>
      <x:c r="V385" s="233"/>
      <x:c r="W385" s="235"/>
      <x:c r="X385" s="235"/>
      <x:c r="Y385" s="233"/>
      <x:c r="Z385" s="233"/>
      <x:c r="AA385" s="233"/>
      <x:c r="AB385" s="233"/>
      <x:c r="AC385" s="236"/>
      <x:c r="AD385" s="233"/>
      <x:c r="AE385" s="233"/>
      <x:c r="AF385" s="233"/>
      <x:c r="AG385" s="233"/>
      <x:c r="AH385" s="234"/>
      <x:c r="AI385" s="233"/>
      <x:c r="AJ385" s="233"/>
      <x:c r="AK385" s="233"/>
      <x:c r="AL385" s="236"/>
      <x:c r="AM385" s="233"/>
      <x:c r="AN385" s="233"/>
      <x:c r="AO385" s="234"/>
      <x:c r="AP385" s="234"/>
      <x:c r="AQ385" s="233"/>
      <x:c r="AR385" s="236"/>
      <x:c r="AS385" s="234"/>
      <x:c r="AT385" s="233"/>
      <x:c r="AU385" s="233"/>
      <x:c r="AV385" s="233"/>
      <x:c r="AW385" s="233"/>
      <x:c r="AX385" s="233"/>
      <x:c r="AY385" s="233"/>
      <x:c r="AZ385" s="236"/>
      <x:c r="BA385" s="233"/>
      <x:c r="BB385" s="233"/>
      <x:c r="BC385" s="233"/>
      <x:c r="BD385" s="233"/>
      <x:c r="BE385" s="237" t="str">
        <x:f>IF(AND(A385="",B385="",C385="",E385="",G385="",I385="",M385="",T385="",BB385="",BD385=""),"",IF(B385="skip","SKIP",IF(OR(B385="",A385="",E385="",G385="",I385="",M385="",T385="",COUNTIF($A$6:$A$505,A385)&gt;1,COUNTIF($M$6:$M$505,M385)&gt;1,AND(L385="mobile",N385&lt;&gt;"invalid",OR(LEN(M385)&lt;&gt;10,LEFT(M385,2)&lt;&gt;"09"))),"REVIEW","READY")))</x:f>
      </x:c>
      <x:c r="BF385" s="238" t="str">
        <x:f>IF(BE385="","",IF(BE385="READY","",IF(B385="skip","Skipped by import_action",TRIM(IF(B385="","missing import_action; ","")&amp;IF(A385="","missing migration_customer_key; ","")&amp;IF(AND(A385&lt;&gt;"",COUNTIF($A$6:$A$505,A385)&gt;1),"duplicate migration_customer_key; ","")&amp;IF(E385="","missing branch_id; ","")&amp;IF(G385="","missing first_name; ","")&amp;IF(I385="","missing last_name; ","")&amp;IF(M385="","missing primary_phone; ","")&amp;IF(AND(M385&lt;&gt;"",COUNTIF($M$6:$M$505,M385)&gt;1),"duplicate primary_phone; ","")&amp;IF(AND(L385="mobile",N385&lt;&gt;"invalid",OR(LEN(M385)&lt;&gt;10,LEFT(M385,2)&lt;&gt;"09")),"mobile must be 09XXXXXXXX or status invalid; ","")&amp;IF(T385="","missing neighborhood_id; ","")))))</x:f>
      </x:c>
    </x:row>
    <x:row r="386">
      <x:c r="A386" s="232"/>
      <x:c r="B386" s="233"/>
      <x:c r="C386" s="234"/>
      <x:c r="D386" s="233"/>
      <x:c r="E386" s="233"/>
      <x:c r="F386" s="233"/>
      <x:c r="G386" s="233"/>
      <x:c r="H386" s="233"/>
      <x:c r="I386" s="233"/>
      <x:c r="J386" s="233"/>
      <x:c r="K386" s="233" t="str">
        <x:f>TRIM(G386&amp;" "&amp;H386&amp;" "&amp;I386&amp;IF(J386&lt;&gt;""," ("&amp;J386&amp;")",""))</x:f>
      </x:c>
      <x:c r="L386" s="233"/>
      <x:c r="M386" s="234"/>
      <x:c r="N386" s="233"/>
      <x:c r="O386" s="233"/>
      <x:c r="P386" s="233"/>
      <x:c r="Q386" s="233"/>
      <x:c r="R386" s="233"/>
      <x:c r="S386" s="233"/>
      <x:c r="T386" s="233"/>
      <x:c r="U386" s="233"/>
      <x:c r="V386" s="233"/>
      <x:c r="W386" s="235"/>
      <x:c r="X386" s="235"/>
      <x:c r="Y386" s="233"/>
      <x:c r="Z386" s="233"/>
      <x:c r="AA386" s="233"/>
      <x:c r="AB386" s="233"/>
      <x:c r="AC386" s="236"/>
      <x:c r="AD386" s="233"/>
      <x:c r="AE386" s="233"/>
      <x:c r="AF386" s="233"/>
      <x:c r="AG386" s="233"/>
      <x:c r="AH386" s="234"/>
      <x:c r="AI386" s="233"/>
      <x:c r="AJ386" s="233"/>
      <x:c r="AK386" s="233"/>
      <x:c r="AL386" s="236"/>
      <x:c r="AM386" s="233"/>
      <x:c r="AN386" s="233"/>
      <x:c r="AO386" s="234"/>
      <x:c r="AP386" s="234"/>
      <x:c r="AQ386" s="233"/>
      <x:c r="AR386" s="236"/>
      <x:c r="AS386" s="234"/>
      <x:c r="AT386" s="233"/>
      <x:c r="AU386" s="233"/>
      <x:c r="AV386" s="233"/>
      <x:c r="AW386" s="233"/>
      <x:c r="AX386" s="233"/>
      <x:c r="AY386" s="233"/>
      <x:c r="AZ386" s="236"/>
      <x:c r="BA386" s="233"/>
      <x:c r="BB386" s="233"/>
      <x:c r="BC386" s="233"/>
      <x:c r="BD386" s="233"/>
      <x:c r="BE386" s="237" t="str">
        <x:f>IF(AND(A386="",B386="",C386="",E386="",G386="",I386="",M386="",T386="",BB386="",BD386=""),"",IF(B386="skip","SKIP",IF(OR(B386="",A386="",E386="",G386="",I386="",M386="",T386="",COUNTIF($A$6:$A$505,A386)&gt;1,COUNTIF($M$6:$M$505,M386)&gt;1,AND(L386="mobile",N386&lt;&gt;"invalid",OR(LEN(M386)&lt;&gt;10,LEFT(M386,2)&lt;&gt;"09"))),"REVIEW","READY")))</x:f>
      </x:c>
      <x:c r="BF386" s="238" t="str">
        <x:f>IF(BE386="","",IF(BE386="READY","",IF(B386="skip","Skipped by import_action",TRIM(IF(B386="","missing import_action; ","")&amp;IF(A386="","missing migration_customer_key; ","")&amp;IF(AND(A386&lt;&gt;"",COUNTIF($A$6:$A$505,A386)&gt;1),"duplicate migration_customer_key; ","")&amp;IF(E386="","missing branch_id; ","")&amp;IF(G386="","missing first_name; ","")&amp;IF(I386="","missing last_name; ","")&amp;IF(M386="","missing primary_phone; ","")&amp;IF(AND(M386&lt;&gt;"",COUNTIF($M$6:$M$505,M386)&gt;1),"duplicate primary_phone; ","")&amp;IF(AND(L386="mobile",N386&lt;&gt;"invalid",OR(LEN(M386)&lt;&gt;10,LEFT(M386,2)&lt;&gt;"09")),"mobile must be 09XXXXXXXX or status invalid; ","")&amp;IF(T386="","missing neighborhood_id; ","")))))</x:f>
      </x:c>
    </x:row>
    <x:row r="387">
      <x:c r="A387" s="232"/>
      <x:c r="B387" s="233"/>
      <x:c r="C387" s="234"/>
      <x:c r="D387" s="233"/>
      <x:c r="E387" s="233"/>
      <x:c r="F387" s="233"/>
      <x:c r="G387" s="233"/>
      <x:c r="H387" s="233"/>
      <x:c r="I387" s="233"/>
      <x:c r="J387" s="233"/>
      <x:c r="K387" s="233" t="str">
        <x:f>TRIM(G387&amp;" "&amp;H387&amp;" "&amp;I387&amp;IF(J387&lt;&gt;""," ("&amp;J387&amp;")",""))</x:f>
      </x:c>
      <x:c r="L387" s="233"/>
      <x:c r="M387" s="234"/>
      <x:c r="N387" s="233"/>
      <x:c r="O387" s="233"/>
      <x:c r="P387" s="233"/>
      <x:c r="Q387" s="233"/>
      <x:c r="R387" s="233"/>
      <x:c r="S387" s="233"/>
      <x:c r="T387" s="233"/>
      <x:c r="U387" s="233"/>
      <x:c r="V387" s="233"/>
      <x:c r="W387" s="235"/>
      <x:c r="X387" s="235"/>
      <x:c r="Y387" s="233"/>
      <x:c r="Z387" s="233"/>
      <x:c r="AA387" s="233"/>
      <x:c r="AB387" s="233"/>
      <x:c r="AC387" s="236"/>
      <x:c r="AD387" s="233"/>
      <x:c r="AE387" s="233"/>
      <x:c r="AF387" s="233"/>
      <x:c r="AG387" s="233"/>
      <x:c r="AH387" s="234"/>
      <x:c r="AI387" s="233"/>
      <x:c r="AJ387" s="233"/>
      <x:c r="AK387" s="233"/>
      <x:c r="AL387" s="236"/>
      <x:c r="AM387" s="233"/>
      <x:c r="AN387" s="233"/>
      <x:c r="AO387" s="234"/>
      <x:c r="AP387" s="234"/>
      <x:c r="AQ387" s="233"/>
      <x:c r="AR387" s="236"/>
      <x:c r="AS387" s="234"/>
      <x:c r="AT387" s="233"/>
      <x:c r="AU387" s="233"/>
      <x:c r="AV387" s="233"/>
      <x:c r="AW387" s="233"/>
      <x:c r="AX387" s="233"/>
      <x:c r="AY387" s="233"/>
      <x:c r="AZ387" s="236"/>
      <x:c r="BA387" s="233"/>
      <x:c r="BB387" s="233"/>
      <x:c r="BC387" s="233"/>
      <x:c r="BD387" s="233"/>
      <x:c r="BE387" s="237" t="str">
        <x:f>IF(AND(A387="",B387="",C387="",E387="",G387="",I387="",M387="",T387="",BB387="",BD387=""),"",IF(B387="skip","SKIP",IF(OR(B387="",A387="",E387="",G387="",I387="",M387="",T387="",COUNTIF($A$6:$A$505,A387)&gt;1,COUNTIF($M$6:$M$505,M387)&gt;1,AND(L387="mobile",N387&lt;&gt;"invalid",OR(LEN(M387)&lt;&gt;10,LEFT(M387,2)&lt;&gt;"09"))),"REVIEW","READY")))</x:f>
      </x:c>
      <x:c r="BF387" s="238" t="str">
        <x:f>IF(BE387="","",IF(BE387="READY","",IF(B387="skip","Skipped by import_action",TRIM(IF(B387="","missing import_action; ","")&amp;IF(A387="","missing migration_customer_key; ","")&amp;IF(AND(A387&lt;&gt;"",COUNTIF($A$6:$A$505,A387)&gt;1),"duplicate migration_customer_key; ","")&amp;IF(E387="","missing branch_id; ","")&amp;IF(G387="","missing first_name; ","")&amp;IF(I387="","missing last_name; ","")&amp;IF(M387="","missing primary_phone; ","")&amp;IF(AND(M387&lt;&gt;"",COUNTIF($M$6:$M$505,M387)&gt;1),"duplicate primary_phone; ","")&amp;IF(AND(L387="mobile",N387&lt;&gt;"invalid",OR(LEN(M387)&lt;&gt;10,LEFT(M387,2)&lt;&gt;"09")),"mobile must be 09XXXXXXXX or status invalid; ","")&amp;IF(T387="","missing neighborhood_id; ","")))))</x:f>
      </x:c>
    </x:row>
    <x:row r="388">
      <x:c r="A388" s="232"/>
      <x:c r="B388" s="233"/>
      <x:c r="C388" s="234"/>
      <x:c r="D388" s="233"/>
      <x:c r="E388" s="233"/>
      <x:c r="F388" s="233"/>
      <x:c r="G388" s="233"/>
      <x:c r="H388" s="233"/>
      <x:c r="I388" s="233"/>
      <x:c r="J388" s="233"/>
      <x:c r="K388" s="233" t="str">
        <x:f>TRIM(G388&amp;" "&amp;H388&amp;" "&amp;I388&amp;IF(J388&lt;&gt;""," ("&amp;J388&amp;")",""))</x:f>
      </x:c>
      <x:c r="L388" s="233"/>
      <x:c r="M388" s="234"/>
      <x:c r="N388" s="233"/>
      <x:c r="O388" s="233"/>
      <x:c r="P388" s="233"/>
      <x:c r="Q388" s="233"/>
      <x:c r="R388" s="233"/>
      <x:c r="S388" s="233"/>
      <x:c r="T388" s="233"/>
      <x:c r="U388" s="233"/>
      <x:c r="V388" s="233"/>
      <x:c r="W388" s="235"/>
      <x:c r="X388" s="235"/>
      <x:c r="Y388" s="233"/>
      <x:c r="Z388" s="233"/>
      <x:c r="AA388" s="233"/>
      <x:c r="AB388" s="233"/>
      <x:c r="AC388" s="236"/>
      <x:c r="AD388" s="233"/>
      <x:c r="AE388" s="233"/>
      <x:c r="AF388" s="233"/>
      <x:c r="AG388" s="233"/>
      <x:c r="AH388" s="234"/>
      <x:c r="AI388" s="233"/>
      <x:c r="AJ388" s="233"/>
      <x:c r="AK388" s="233"/>
      <x:c r="AL388" s="236"/>
      <x:c r="AM388" s="233"/>
      <x:c r="AN388" s="233"/>
      <x:c r="AO388" s="234"/>
      <x:c r="AP388" s="234"/>
      <x:c r="AQ388" s="233"/>
      <x:c r="AR388" s="236"/>
      <x:c r="AS388" s="234"/>
      <x:c r="AT388" s="233"/>
      <x:c r="AU388" s="233"/>
      <x:c r="AV388" s="233"/>
      <x:c r="AW388" s="233"/>
      <x:c r="AX388" s="233"/>
      <x:c r="AY388" s="233"/>
      <x:c r="AZ388" s="236"/>
      <x:c r="BA388" s="233"/>
      <x:c r="BB388" s="233"/>
      <x:c r="BC388" s="233"/>
      <x:c r="BD388" s="233"/>
      <x:c r="BE388" s="237" t="str">
        <x:f>IF(AND(A388="",B388="",C388="",E388="",G388="",I388="",M388="",T388="",BB388="",BD388=""),"",IF(B388="skip","SKIP",IF(OR(B388="",A388="",E388="",G388="",I388="",M388="",T388="",COUNTIF($A$6:$A$505,A388)&gt;1,COUNTIF($M$6:$M$505,M388)&gt;1,AND(L388="mobile",N388&lt;&gt;"invalid",OR(LEN(M388)&lt;&gt;10,LEFT(M388,2)&lt;&gt;"09"))),"REVIEW","READY")))</x:f>
      </x:c>
      <x:c r="BF388" s="238" t="str">
        <x:f>IF(BE388="","",IF(BE388="READY","",IF(B388="skip","Skipped by import_action",TRIM(IF(B388="","missing import_action; ","")&amp;IF(A388="","missing migration_customer_key; ","")&amp;IF(AND(A388&lt;&gt;"",COUNTIF($A$6:$A$505,A388)&gt;1),"duplicate migration_customer_key; ","")&amp;IF(E388="","missing branch_id; ","")&amp;IF(G388="","missing first_name; ","")&amp;IF(I388="","missing last_name; ","")&amp;IF(M388="","missing primary_phone; ","")&amp;IF(AND(M388&lt;&gt;"",COUNTIF($M$6:$M$505,M388)&gt;1),"duplicate primary_phone; ","")&amp;IF(AND(L388="mobile",N388&lt;&gt;"invalid",OR(LEN(M388)&lt;&gt;10,LEFT(M388,2)&lt;&gt;"09")),"mobile must be 09XXXXXXXX or status invalid; ","")&amp;IF(T388="","missing neighborhood_id; ","")))))</x:f>
      </x:c>
    </x:row>
    <x:row r="389">
      <x:c r="A389" s="232"/>
      <x:c r="B389" s="233"/>
      <x:c r="C389" s="234"/>
      <x:c r="D389" s="233"/>
      <x:c r="E389" s="233"/>
      <x:c r="F389" s="233"/>
      <x:c r="G389" s="233"/>
      <x:c r="H389" s="233"/>
      <x:c r="I389" s="233"/>
      <x:c r="J389" s="233"/>
      <x:c r="K389" s="233" t="str">
        <x:f>TRIM(G389&amp;" "&amp;H389&amp;" "&amp;I389&amp;IF(J389&lt;&gt;""," ("&amp;J389&amp;")",""))</x:f>
      </x:c>
      <x:c r="L389" s="233"/>
      <x:c r="M389" s="234"/>
      <x:c r="N389" s="233"/>
      <x:c r="O389" s="233"/>
      <x:c r="P389" s="233"/>
      <x:c r="Q389" s="233"/>
      <x:c r="R389" s="233"/>
      <x:c r="S389" s="233"/>
      <x:c r="T389" s="233"/>
      <x:c r="U389" s="233"/>
      <x:c r="V389" s="233"/>
      <x:c r="W389" s="235"/>
      <x:c r="X389" s="235"/>
      <x:c r="Y389" s="233"/>
      <x:c r="Z389" s="233"/>
      <x:c r="AA389" s="233"/>
      <x:c r="AB389" s="233"/>
      <x:c r="AC389" s="236"/>
      <x:c r="AD389" s="233"/>
      <x:c r="AE389" s="233"/>
      <x:c r="AF389" s="233"/>
      <x:c r="AG389" s="233"/>
      <x:c r="AH389" s="234"/>
      <x:c r="AI389" s="233"/>
      <x:c r="AJ389" s="233"/>
      <x:c r="AK389" s="233"/>
      <x:c r="AL389" s="236"/>
      <x:c r="AM389" s="233"/>
      <x:c r="AN389" s="233"/>
      <x:c r="AO389" s="234"/>
      <x:c r="AP389" s="234"/>
      <x:c r="AQ389" s="233"/>
      <x:c r="AR389" s="236"/>
      <x:c r="AS389" s="234"/>
      <x:c r="AT389" s="233"/>
      <x:c r="AU389" s="233"/>
      <x:c r="AV389" s="233"/>
      <x:c r="AW389" s="233"/>
      <x:c r="AX389" s="233"/>
      <x:c r="AY389" s="233"/>
      <x:c r="AZ389" s="236"/>
      <x:c r="BA389" s="233"/>
      <x:c r="BB389" s="233"/>
      <x:c r="BC389" s="233"/>
      <x:c r="BD389" s="233"/>
      <x:c r="BE389" s="237" t="str">
        <x:f>IF(AND(A389="",B389="",C389="",E389="",G389="",I389="",M389="",T389="",BB389="",BD389=""),"",IF(B389="skip","SKIP",IF(OR(B389="",A389="",E389="",G389="",I389="",M389="",T389="",COUNTIF($A$6:$A$505,A389)&gt;1,COUNTIF($M$6:$M$505,M389)&gt;1,AND(L389="mobile",N389&lt;&gt;"invalid",OR(LEN(M389)&lt;&gt;10,LEFT(M389,2)&lt;&gt;"09"))),"REVIEW","READY")))</x:f>
      </x:c>
      <x:c r="BF389" s="238" t="str">
        <x:f>IF(BE389="","",IF(BE389="READY","",IF(B389="skip","Skipped by import_action",TRIM(IF(B389="","missing import_action; ","")&amp;IF(A389="","missing migration_customer_key; ","")&amp;IF(AND(A389&lt;&gt;"",COUNTIF($A$6:$A$505,A389)&gt;1),"duplicate migration_customer_key; ","")&amp;IF(E389="","missing branch_id; ","")&amp;IF(G389="","missing first_name; ","")&amp;IF(I389="","missing last_name; ","")&amp;IF(M389="","missing primary_phone; ","")&amp;IF(AND(M389&lt;&gt;"",COUNTIF($M$6:$M$505,M389)&gt;1),"duplicate primary_phone; ","")&amp;IF(AND(L389="mobile",N389&lt;&gt;"invalid",OR(LEN(M389)&lt;&gt;10,LEFT(M389,2)&lt;&gt;"09")),"mobile must be 09XXXXXXXX or status invalid; ","")&amp;IF(T389="","missing neighborhood_id; ","")))))</x:f>
      </x:c>
    </x:row>
    <x:row r="390">
      <x:c r="A390" s="232"/>
      <x:c r="B390" s="233"/>
      <x:c r="C390" s="234"/>
      <x:c r="D390" s="233"/>
      <x:c r="E390" s="233"/>
      <x:c r="F390" s="233"/>
      <x:c r="G390" s="233"/>
      <x:c r="H390" s="233"/>
      <x:c r="I390" s="233"/>
      <x:c r="J390" s="233"/>
      <x:c r="K390" s="233" t="str">
        <x:f>TRIM(G390&amp;" "&amp;H390&amp;" "&amp;I390&amp;IF(J390&lt;&gt;""," ("&amp;J390&amp;")",""))</x:f>
      </x:c>
      <x:c r="L390" s="233"/>
      <x:c r="M390" s="234"/>
      <x:c r="N390" s="233"/>
      <x:c r="O390" s="233"/>
      <x:c r="P390" s="233"/>
      <x:c r="Q390" s="233"/>
      <x:c r="R390" s="233"/>
      <x:c r="S390" s="233"/>
      <x:c r="T390" s="233"/>
      <x:c r="U390" s="233"/>
      <x:c r="V390" s="233"/>
      <x:c r="W390" s="235"/>
      <x:c r="X390" s="235"/>
      <x:c r="Y390" s="233"/>
      <x:c r="Z390" s="233"/>
      <x:c r="AA390" s="233"/>
      <x:c r="AB390" s="233"/>
      <x:c r="AC390" s="236"/>
      <x:c r="AD390" s="233"/>
      <x:c r="AE390" s="233"/>
      <x:c r="AF390" s="233"/>
      <x:c r="AG390" s="233"/>
      <x:c r="AH390" s="234"/>
      <x:c r="AI390" s="233"/>
      <x:c r="AJ390" s="233"/>
      <x:c r="AK390" s="233"/>
      <x:c r="AL390" s="236"/>
      <x:c r="AM390" s="233"/>
      <x:c r="AN390" s="233"/>
      <x:c r="AO390" s="234"/>
      <x:c r="AP390" s="234"/>
      <x:c r="AQ390" s="233"/>
      <x:c r="AR390" s="236"/>
      <x:c r="AS390" s="234"/>
      <x:c r="AT390" s="233"/>
      <x:c r="AU390" s="233"/>
      <x:c r="AV390" s="233"/>
      <x:c r="AW390" s="233"/>
      <x:c r="AX390" s="233"/>
      <x:c r="AY390" s="233"/>
      <x:c r="AZ390" s="236"/>
      <x:c r="BA390" s="233"/>
      <x:c r="BB390" s="233"/>
      <x:c r="BC390" s="233"/>
      <x:c r="BD390" s="233"/>
      <x:c r="BE390" s="237" t="str">
        <x:f>IF(AND(A390="",B390="",C390="",E390="",G390="",I390="",M390="",T390="",BB390="",BD390=""),"",IF(B390="skip","SKIP",IF(OR(B390="",A390="",E390="",G390="",I390="",M390="",T390="",COUNTIF($A$6:$A$505,A390)&gt;1,COUNTIF($M$6:$M$505,M390)&gt;1,AND(L390="mobile",N390&lt;&gt;"invalid",OR(LEN(M390)&lt;&gt;10,LEFT(M390,2)&lt;&gt;"09"))),"REVIEW","READY")))</x:f>
      </x:c>
      <x:c r="BF390" s="238" t="str">
        <x:f>IF(BE390="","",IF(BE390="READY","",IF(B390="skip","Skipped by import_action",TRIM(IF(B390="","missing import_action; ","")&amp;IF(A390="","missing migration_customer_key; ","")&amp;IF(AND(A390&lt;&gt;"",COUNTIF($A$6:$A$505,A390)&gt;1),"duplicate migration_customer_key; ","")&amp;IF(E390="","missing branch_id; ","")&amp;IF(G390="","missing first_name; ","")&amp;IF(I390="","missing last_name; ","")&amp;IF(M390="","missing primary_phone; ","")&amp;IF(AND(M390&lt;&gt;"",COUNTIF($M$6:$M$505,M390)&gt;1),"duplicate primary_phone; ","")&amp;IF(AND(L390="mobile",N390&lt;&gt;"invalid",OR(LEN(M390)&lt;&gt;10,LEFT(M390,2)&lt;&gt;"09")),"mobile must be 09XXXXXXXX or status invalid; ","")&amp;IF(T390="","missing neighborhood_id; ","")))))</x:f>
      </x:c>
    </x:row>
    <x:row r="391">
      <x:c r="A391" s="232"/>
      <x:c r="B391" s="233"/>
      <x:c r="C391" s="234"/>
      <x:c r="D391" s="233"/>
      <x:c r="E391" s="233"/>
      <x:c r="F391" s="233"/>
      <x:c r="G391" s="233"/>
      <x:c r="H391" s="233"/>
      <x:c r="I391" s="233"/>
      <x:c r="J391" s="233"/>
      <x:c r="K391" s="233" t="str">
        <x:f>TRIM(G391&amp;" "&amp;H391&amp;" "&amp;I391&amp;IF(J391&lt;&gt;""," ("&amp;J391&amp;")",""))</x:f>
      </x:c>
      <x:c r="L391" s="233"/>
      <x:c r="M391" s="234"/>
      <x:c r="N391" s="233"/>
      <x:c r="O391" s="233"/>
      <x:c r="P391" s="233"/>
      <x:c r="Q391" s="233"/>
      <x:c r="R391" s="233"/>
      <x:c r="S391" s="233"/>
      <x:c r="T391" s="233"/>
      <x:c r="U391" s="233"/>
      <x:c r="V391" s="233"/>
      <x:c r="W391" s="235"/>
      <x:c r="X391" s="235"/>
      <x:c r="Y391" s="233"/>
      <x:c r="Z391" s="233"/>
      <x:c r="AA391" s="233"/>
      <x:c r="AB391" s="233"/>
      <x:c r="AC391" s="236"/>
      <x:c r="AD391" s="233"/>
      <x:c r="AE391" s="233"/>
      <x:c r="AF391" s="233"/>
      <x:c r="AG391" s="233"/>
      <x:c r="AH391" s="234"/>
      <x:c r="AI391" s="233"/>
      <x:c r="AJ391" s="233"/>
      <x:c r="AK391" s="233"/>
      <x:c r="AL391" s="236"/>
      <x:c r="AM391" s="233"/>
      <x:c r="AN391" s="233"/>
      <x:c r="AO391" s="234"/>
      <x:c r="AP391" s="234"/>
      <x:c r="AQ391" s="233"/>
      <x:c r="AR391" s="236"/>
      <x:c r="AS391" s="234"/>
      <x:c r="AT391" s="233"/>
      <x:c r="AU391" s="233"/>
      <x:c r="AV391" s="233"/>
      <x:c r="AW391" s="233"/>
      <x:c r="AX391" s="233"/>
      <x:c r="AY391" s="233"/>
      <x:c r="AZ391" s="236"/>
      <x:c r="BA391" s="233"/>
      <x:c r="BB391" s="233"/>
      <x:c r="BC391" s="233"/>
      <x:c r="BD391" s="233"/>
      <x:c r="BE391" s="237" t="str">
        <x:f>IF(AND(A391="",B391="",C391="",E391="",G391="",I391="",M391="",T391="",BB391="",BD391=""),"",IF(B391="skip","SKIP",IF(OR(B391="",A391="",E391="",G391="",I391="",M391="",T391="",COUNTIF($A$6:$A$505,A391)&gt;1,COUNTIF($M$6:$M$505,M391)&gt;1,AND(L391="mobile",N391&lt;&gt;"invalid",OR(LEN(M391)&lt;&gt;10,LEFT(M391,2)&lt;&gt;"09"))),"REVIEW","READY")))</x:f>
      </x:c>
      <x:c r="BF391" s="238" t="str">
        <x:f>IF(BE391="","",IF(BE391="READY","",IF(B391="skip","Skipped by import_action",TRIM(IF(B391="","missing import_action; ","")&amp;IF(A391="","missing migration_customer_key; ","")&amp;IF(AND(A391&lt;&gt;"",COUNTIF($A$6:$A$505,A391)&gt;1),"duplicate migration_customer_key; ","")&amp;IF(E391="","missing branch_id; ","")&amp;IF(G391="","missing first_name; ","")&amp;IF(I391="","missing last_name; ","")&amp;IF(M391="","missing primary_phone; ","")&amp;IF(AND(M391&lt;&gt;"",COUNTIF($M$6:$M$505,M391)&gt;1),"duplicate primary_phone; ","")&amp;IF(AND(L391="mobile",N391&lt;&gt;"invalid",OR(LEN(M391)&lt;&gt;10,LEFT(M391,2)&lt;&gt;"09")),"mobile must be 09XXXXXXXX or status invalid; ","")&amp;IF(T391="","missing neighborhood_id; ","")))))</x:f>
      </x:c>
    </x:row>
    <x:row r="392">
      <x:c r="A392" s="232"/>
      <x:c r="B392" s="233"/>
      <x:c r="C392" s="234"/>
      <x:c r="D392" s="233"/>
      <x:c r="E392" s="233"/>
      <x:c r="F392" s="233"/>
      <x:c r="G392" s="233"/>
      <x:c r="H392" s="233"/>
      <x:c r="I392" s="233"/>
      <x:c r="J392" s="233"/>
      <x:c r="K392" s="233" t="str">
        <x:f>TRIM(G392&amp;" "&amp;H392&amp;" "&amp;I392&amp;IF(J392&lt;&gt;""," ("&amp;J392&amp;")",""))</x:f>
      </x:c>
      <x:c r="L392" s="233"/>
      <x:c r="M392" s="234"/>
      <x:c r="N392" s="233"/>
      <x:c r="O392" s="233"/>
      <x:c r="P392" s="233"/>
      <x:c r="Q392" s="233"/>
      <x:c r="R392" s="233"/>
      <x:c r="S392" s="233"/>
      <x:c r="T392" s="233"/>
      <x:c r="U392" s="233"/>
      <x:c r="V392" s="233"/>
      <x:c r="W392" s="235"/>
      <x:c r="X392" s="235"/>
      <x:c r="Y392" s="233"/>
      <x:c r="Z392" s="233"/>
      <x:c r="AA392" s="233"/>
      <x:c r="AB392" s="233"/>
      <x:c r="AC392" s="236"/>
      <x:c r="AD392" s="233"/>
      <x:c r="AE392" s="233"/>
      <x:c r="AF392" s="233"/>
      <x:c r="AG392" s="233"/>
      <x:c r="AH392" s="234"/>
      <x:c r="AI392" s="233"/>
      <x:c r="AJ392" s="233"/>
      <x:c r="AK392" s="233"/>
      <x:c r="AL392" s="236"/>
      <x:c r="AM392" s="233"/>
      <x:c r="AN392" s="233"/>
      <x:c r="AO392" s="234"/>
      <x:c r="AP392" s="234"/>
      <x:c r="AQ392" s="233"/>
      <x:c r="AR392" s="236"/>
      <x:c r="AS392" s="234"/>
      <x:c r="AT392" s="233"/>
      <x:c r="AU392" s="233"/>
      <x:c r="AV392" s="233"/>
      <x:c r="AW392" s="233"/>
      <x:c r="AX392" s="233"/>
      <x:c r="AY392" s="233"/>
      <x:c r="AZ392" s="236"/>
      <x:c r="BA392" s="233"/>
      <x:c r="BB392" s="233"/>
      <x:c r="BC392" s="233"/>
      <x:c r="BD392" s="233"/>
      <x:c r="BE392" s="237" t="str">
        <x:f>IF(AND(A392="",B392="",C392="",E392="",G392="",I392="",M392="",T392="",BB392="",BD392=""),"",IF(B392="skip","SKIP",IF(OR(B392="",A392="",E392="",G392="",I392="",M392="",T392="",COUNTIF($A$6:$A$505,A392)&gt;1,COUNTIF($M$6:$M$505,M392)&gt;1,AND(L392="mobile",N392&lt;&gt;"invalid",OR(LEN(M392)&lt;&gt;10,LEFT(M392,2)&lt;&gt;"09"))),"REVIEW","READY")))</x:f>
      </x:c>
      <x:c r="BF392" s="238" t="str">
        <x:f>IF(BE392="","",IF(BE392="READY","",IF(B392="skip","Skipped by import_action",TRIM(IF(B392="","missing import_action; ","")&amp;IF(A392="","missing migration_customer_key; ","")&amp;IF(AND(A392&lt;&gt;"",COUNTIF($A$6:$A$505,A392)&gt;1),"duplicate migration_customer_key; ","")&amp;IF(E392="","missing branch_id; ","")&amp;IF(G392="","missing first_name; ","")&amp;IF(I392="","missing last_name; ","")&amp;IF(M392="","missing primary_phone; ","")&amp;IF(AND(M392&lt;&gt;"",COUNTIF($M$6:$M$505,M392)&gt;1),"duplicate primary_phone; ","")&amp;IF(AND(L392="mobile",N392&lt;&gt;"invalid",OR(LEN(M392)&lt;&gt;10,LEFT(M392,2)&lt;&gt;"09")),"mobile must be 09XXXXXXXX or status invalid; ","")&amp;IF(T392="","missing neighborhood_id; ","")))))</x:f>
      </x:c>
    </x:row>
    <x:row r="393">
      <x:c r="A393" s="232"/>
      <x:c r="B393" s="233"/>
      <x:c r="C393" s="234"/>
      <x:c r="D393" s="233"/>
      <x:c r="E393" s="233"/>
      <x:c r="F393" s="233"/>
      <x:c r="G393" s="233"/>
      <x:c r="H393" s="233"/>
      <x:c r="I393" s="233"/>
      <x:c r="J393" s="233"/>
      <x:c r="K393" s="233" t="str">
        <x:f>TRIM(G393&amp;" "&amp;H393&amp;" "&amp;I393&amp;IF(J393&lt;&gt;""," ("&amp;J393&amp;")",""))</x:f>
      </x:c>
      <x:c r="L393" s="233"/>
      <x:c r="M393" s="234"/>
      <x:c r="N393" s="233"/>
      <x:c r="O393" s="233"/>
      <x:c r="P393" s="233"/>
      <x:c r="Q393" s="233"/>
      <x:c r="R393" s="233"/>
      <x:c r="S393" s="233"/>
      <x:c r="T393" s="233"/>
      <x:c r="U393" s="233"/>
      <x:c r="V393" s="233"/>
      <x:c r="W393" s="235"/>
      <x:c r="X393" s="235"/>
      <x:c r="Y393" s="233"/>
      <x:c r="Z393" s="233"/>
      <x:c r="AA393" s="233"/>
      <x:c r="AB393" s="233"/>
      <x:c r="AC393" s="236"/>
      <x:c r="AD393" s="233"/>
      <x:c r="AE393" s="233"/>
      <x:c r="AF393" s="233"/>
      <x:c r="AG393" s="233"/>
      <x:c r="AH393" s="234"/>
      <x:c r="AI393" s="233"/>
      <x:c r="AJ393" s="233"/>
      <x:c r="AK393" s="233"/>
      <x:c r="AL393" s="236"/>
      <x:c r="AM393" s="233"/>
      <x:c r="AN393" s="233"/>
      <x:c r="AO393" s="234"/>
      <x:c r="AP393" s="234"/>
      <x:c r="AQ393" s="233"/>
      <x:c r="AR393" s="236"/>
      <x:c r="AS393" s="234"/>
      <x:c r="AT393" s="233"/>
      <x:c r="AU393" s="233"/>
      <x:c r="AV393" s="233"/>
      <x:c r="AW393" s="233"/>
      <x:c r="AX393" s="233"/>
      <x:c r="AY393" s="233"/>
      <x:c r="AZ393" s="236"/>
      <x:c r="BA393" s="233"/>
      <x:c r="BB393" s="233"/>
      <x:c r="BC393" s="233"/>
      <x:c r="BD393" s="233"/>
      <x:c r="BE393" s="237" t="str">
        <x:f>IF(AND(A393="",B393="",C393="",E393="",G393="",I393="",M393="",T393="",BB393="",BD393=""),"",IF(B393="skip","SKIP",IF(OR(B393="",A393="",E393="",G393="",I393="",M393="",T393="",COUNTIF($A$6:$A$505,A393)&gt;1,COUNTIF($M$6:$M$505,M393)&gt;1,AND(L393="mobile",N393&lt;&gt;"invalid",OR(LEN(M393)&lt;&gt;10,LEFT(M393,2)&lt;&gt;"09"))),"REVIEW","READY")))</x:f>
      </x:c>
      <x:c r="BF393" s="238" t="str">
        <x:f>IF(BE393="","",IF(BE393="READY","",IF(B393="skip","Skipped by import_action",TRIM(IF(B393="","missing import_action; ","")&amp;IF(A393="","missing migration_customer_key; ","")&amp;IF(AND(A393&lt;&gt;"",COUNTIF($A$6:$A$505,A393)&gt;1),"duplicate migration_customer_key; ","")&amp;IF(E393="","missing branch_id; ","")&amp;IF(G393="","missing first_name; ","")&amp;IF(I393="","missing last_name; ","")&amp;IF(M393="","missing primary_phone; ","")&amp;IF(AND(M393&lt;&gt;"",COUNTIF($M$6:$M$505,M393)&gt;1),"duplicate primary_phone; ","")&amp;IF(AND(L393="mobile",N393&lt;&gt;"invalid",OR(LEN(M393)&lt;&gt;10,LEFT(M393,2)&lt;&gt;"09")),"mobile must be 09XXXXXXXX or status invalid; ","")&amp;IF(T393="","missing neighborhood_id; ","")))))</x:f>
      </x:c>
    </x:row>
    <x:row r="394">
      <x:c r="A394" s="232"/>
      <x:c r="B394" s="233"/>
      <x:c r="C394" s="234"/>
      <x:c r="D394" s="233"/>
      <x:c r="E394" s="233"/>
      <x:c r="F394" s="233"/>
      <x:c r="G394" s="233"/>
      <x:c r="H394" s="233"/>
      <x:c r="I394" s="233"/>
      <x:c r="J394" s="233"/>
      <x:c r="K394" s="233" t="str">
        <x:f>TRIM(G394&amp;" "&amp;H394&amp;" "&amp;I394&amp;IF(J394&lt;&gt;""," ("&amp;J394&amp;")",""))</x:f>
      </x:c>
      <x:c r="L394" s="233"/>
      <x:c r="M394" s="234"/>
      <x:c r="N394" s="233"/>
      <x:c r="O394" s="233"/>
      <x:c r="P394" s="233"/>
      <x:c r="Q394" s="233"/>
      <x:c r="R394" s="233"/>
      <x:c r="S394" s="233"/>
      <x:c r="T394" s="233"/>
      <x:c r="U394" s="233"/>
      <x:c r="V394" s="233"/>
      <x:c r="W394" s="235"/>
      <x:c r="X394" s="235"/>
      <x:c r="Y394" s="233"/>
      <x:c r="Z394" s="233"/>
      <x:c r="AA394" s="233"/>
      <x:c r="AB394" s="233"/>
      <x:c r="AC394" s="236"/>
      <x:c r="AD394" s="233"/>
      <x:c r="AE394" s="233"/>
      <x:c r="AF394" s="233"/>
      <x:c r="AG394" s="233"/>
      <x:c r="AH394" s="234"/>
      <x:c r="AI394" s="233"/>
      <x:c r="AJ394" s="233"/>
      <x:c r="AK394" s="233"/>
      <x:c r="AL394" s="236"/>
      <x:c r="AM394" s="233"/>
      <x:c r="AN394" s="233"/>
      <x:c r="AO394" s="234"/>
      <x:c r="AP394" s="234"/>
      <x:c r="AQ394" s="233"/>
      <x:c r="AR394" s="236"/>
      <x:c r="AS394" s="234"/>
      <x:c r="AT394" s="233"/>
      <x:c r="AU394" s="233"/>
      <x:c r="AV394" s="233"/>
      <x:c r="AW394" s="233"/>
      <x:c r="AX394" s="233"/>
      <x:c r="AY394" s="233"/>
      <x:c r="AZ394" s="236"/>
      <x:c r="BA394" s="233"/>
      <x:c r="BB394" s="233"/>
      <x:c r="BC394" s="233"/>
      <x:c r="BD394" s="233"/>
      <x:c r="BE394" s="237" t="str">
        <x:f>IF(AND(A394="",B394="",C394="",E394="",G394="",I394="",M394="",T394="",BB394="",BD394=""),"",IF(B394="skip","SKIP",IF(OR(B394="",A394="",E394="",G394="",I394="",M394="",T394="",COUNTIF($A$6:$A$505,A394)&gt;1,COUNTIF($M$6:$M$505,M394)&gt;1,AND(L394="mobile",N394&lt;&gt;"invalid",OR(LEN(M394)&lt;&gt;10,LEFT(M394,2)&lt;&gt;"09"))),"REVIEW","READY")))</x:f>
      </x:c>
      <x:c r="BF394" s="238" t="str">
        <x:f>IF(BE394="","",IF(BE394="READY","",IF(B394="skip","Skipped by import_action",TRIM(IF(B394="","missing import_action; ","")&amp;IF(A394="","missing migration_customer_key; ","")&amp;IF(AND(A394&lt;&gt;"",COUNTIF($A$6:$A$505,A394)&gt;1),"duplicate migration_customer_key; ","")&amp;IF(E394="","missing branch_id; ","")&amp;IF(G394="","missing first_name; ","")&amp;IF(I394="","missing last_name; ","")&amp;IF(M394="","missing primary_phone; ","")&amp;IF(AND(M394&lt;&gt;"",COUNTIF($M$6:$M$505,M394)&gt;1),"duplicate primary_phone; ","")&amp;IF(AND(L394="mobile",N394&lt;&gt;"invalid",OR(LEN(M394)&lt;&gt;10,LEFT(M394,2)&lt;&gt;"09")),"mobile must be 09XXXXXXXX or status invalid; ","")&amp;IF(T394="","missing neighborhood_id; ","")))))</x:f>
      </x:c>
    </x:row>
    <x:row r="395">
      <x:c r="A395" s="232"/>
      <x:c r="B395" s="233"/>
      <x:c r="C395" s="234"/>
      <x:c r="D395" s="233"/>
      <x:c r="E395" s="233"/>
      <x:c r="F395" s="233"/>
      <x:c r="G395" s="233"/>
      <x:c r="H395" s="233"/>
      <x:c r="I395" s="233"/>
      <x:c r="J395" s="233"/>
      <x:c r="K395" s="233" t="str">
        <x:f>TRIM(G395&amp;" "&amp;H395&amp;" "&amp;I395&amp;IF(J395&lt;&gt;""," ("&amp;J395&amp;")",""))</x:f>
      </x:c>
      <x:c r="L395" s="233"/>
      <x:c r="M395" s="234"/>
      <x:c r="N395" s="233"/>
      <x:c r="O395" s="233"/>
      <x:c r="P395" s="233"/>
      <x:c r="Q395" s="233"/>
      <x:c r="R395" s="233"/>
      <x:c r="S395" s="233"/>
      <x:c r="T395" s="233"/>
      <x:c r="U395" s="233"/>
      <x:c r="V395" s="233"/>
      <x:c r="W395" s="235"/>
      <x:c r="X395" s="235"/>
      <x:c r="Y395" s="233"/>
      <x:c r="Z395" s="233"/>
      <x:c r="AA395" s="233"/>
      <x:c r="AB395" s="233"/>
      <x:c r="AC395" s="236"/>
      <x:c r="AD395" s="233"/>
      <x:c r="AE395" s="233"/>
      <x:c r="AF395" s="233"/>
      <x:c r="AG395" s="233"/>
      <x:c r="AH395" s="234"/>
      <x:c r="AI395" s="233"/>
      <x:c r="AJ395" s="233"/>
      <x:c r="AK395" s="233"/>
      <x:c r="AL395" s="236"/>
      <x:c r="AM395" s="233"/>
      <x:c r="AN395" s="233"/>
      <x:c r="AO395" s="234"/>
      <x:c r="AP395" s="234"/>
      <x:c r="AQ395" s="233"/>
      <x:c r="AR395" s="236"/>
      <x:c r="AS395" s="234"/>
      <x:c r="AT395" s="233"/>
      <x:c r="AU395" s="233"/>
      <x:c r="AV395" s="233"/>
      <x:c r="AW395" s="233"/>
      <x:c r="AX395" s="233"/>
      <x:c r="AY395" s="233"/>
      <x:c r="AZ395" s="236"/>
      <x:c r="BA395" s="233"/>
      <x:c r="BB395" s="233"/>
      <x:c r="BC395" s="233"/>
      <x:c r="BD395" s="233"/>
      <x:c r="BE395" s="237" t="str">
        <x:f>IF(AND(A395="",B395="",C395="",E395="",G395="",I395="",M395="",T395="",BB395="",BD395=""),"",IF(B395="skip","SKIP",IF(OR(B395="",A395="",E395="",G395="",I395="",M395="",T395="",COUNTIF($A$6:$A$505,A395)&gt;1,COUNTIF($M$6:$M$505,M395)&gt;1,AND(L395="mobile",N395&lt;&gt;"invalid",OR(LEN(M395)&lt;&gt;10,LEFT(M395,2)&lt;&gt;"09"))),"REVIEW","READY")))</x:f>
      </x:c>
      <x:c r="BF395" s="238" t="str">
        <x:f>IF(BE395="","",IF(BE395="READY","",IF(B395="skip","Skipped by import_action",TRIM(IF(B395="","missing import_action; ","")&amp;IF(A395="","missing migration_customer_key; ","")&amp;IF(AND(A395&lt;&gt;"",COUNTIF($A$6:$A$505,A395)&gt;1),"duplicate migration_customer_key; ","")&amp;IF(E395="","missing branch_id; ","")&amp;IF(G395="","missing first_name; ","")&amp;IF(I395="","missing last_name; ","")&amp;IF(M395="","missing primary_phone; ","")&amp;IF(AND(M395&lt;&gt;"",COUNTIF($M$6:$M$505,M395)&gt;1),"duplicate primary_phone; ","")&amp;IF(AND(L395="mobile",N395&lt;&gt;"invalid",OR(LEN(M395)&lt;&gt;10,LEFT(M395,2)&lt;&gt;"09")),"mobile must be 09XXXXXXXX or status invalid; ","")&amp;IF(T395="","missing neighborhood_id; ","")))))</x:f>
      </x:c>
    </x:row>
    <x:row r="396">
      <x:c r="A396" s="232"/>
      <x:c r="B396" s="233"/>
      <x:c r="C396" s="234"/>
      <x:c r="D396" s="233"/>
      <x:c r="E396" s="233"/>
      <x:c r="F396" s="233"/>
      <x:c r="G396" s="233"/>
      <x:c r="H396" s="233"/>
      <x:c r="I396" s="233"/>
      <x:c r="J396" s="233"/>
      <x:c r="K396" s="233" t="str">
        <x:f>TRIM(G396&amp;" "&amp;H396&amp;" "&amp;I396&amp;IF(J396&lt;&gt;""," ("&amp;J396&amp;")",""))</x:f>
      </x:c>
      <x:c r="L396" s="233"/>
      <x:c r="M396" s="234"/>
      <x:c r="N396" s="233"/>
      <x:c r="O396" s="233"/>
      <x:c r="P396" s="233"/>
      <x:c r="Q396" s="233"/>
      <x:c r="R396" s="233"/>
      <x:c r="S396" s="233"/>
      <x:c r="T396" s="233"/>
      <x:c r="U396" s="233"/>
      <x:c r="V396" s="233"/>
      <x:c r="W396" s="235"/>
      <x:c r="X396" s="235"/>
      <x:c r="Y396" s="233"/>
      <x:c r="Z396" s="233"/>
      <x:c r="AA396" s="233"/>
      <x:c r="AB396" s="233"/>
      <x:c r="AC396" s="236"/>
      <x:c r="AD396" s="233"/>
      <x:c r="AE396" s="233"/>
      <x:c r="AF396" s="233"/>
      <x:c r="AG396" s="233"/>
      <x:c r="AH396" s="234"/>
      <x:c r="AI396" s="233"/>
      <x:c r="AJ396" s="233"/>
      <x:c r="AK396" s="233"/>
      <x:c r="AL396" s="236"/>
      <x:c r="AM396" s="233"/>
      <x:c r="AN396" s="233"/>
      <x:c r="AO396" s="234"/>
      <x:c r="AP396" s="234"/>
      <x:c r="AQ396" s="233"/>
      <x:c r="AR396" s="236"/>
      <x:c r="AS396" s="234"/>
      <x:c r="AT396" s="233"/>
      <x:c r="AU396" s="233"/>
      <x:c r="AV396" s="233"/>
      <x:c r="AW396" s="233"/>
      <x:c r="AX396" s="233"/>
      <x:c r="AY396" s="233"/>
      <x:c r="AZ396" s="236"/>
      <x:c r="BA396" s="233"/>
      <x:c r="BB396" s="233"/>
      <x:c r="BC396" s="233"/>
      <x:c r="BD396" s="233"/>
      <x:c r="BE396" s="237" t="str">
        <x:f>IF(AND(A396="",B396="",C396="",E396="",G396="",I396="",M396="",T396="",BB396="",BD396=""),"",IF(B396="skip","SKIP",IF(OR(B396="",A396="",E396="",G396="",I396="",M396="",T396="",COUNTIF($A$6:$A$505,A396)&gt;1,COUNTIF($M$6:$M$505,M396)&gt;1,AND(L396="mobile",N396&lt;&gt;"invalid",OR(LEN(M396)&lt;&gt;10,LEFT(M396,2)&lt;&gt;"09"))),"REVIEW","READY")))</x:f>
      </x:c>
      <x:c r="BF396" s="238" t="str">
        <x:f>IF(BE396="","",IF(BE396="READY","",IF(B396="skip","Skipped by import_action",TRIM(IF(B396="","missing import_action; ","")&amp;IF(A396="","missing migration_customer_key; ","")&amp;IF(AND(A396&lt;&gt;"",COUNTIF($A$6:$A$505,A396)&gt;1),"duplicate migration_customer_key; ","")&amp;IF(E396="","missing branch_id; ","")&amp;IF(G396="","missing first_name; ","")&amp;IF(I396="","missing last_name; ","")&amp;IF(M396="","missing primary_phone; ","")&amp;IF(AND(M396&lt;&gt;"",COUNTIF($M$6:$M$505,M396)&gt;1),"duplicate primary_phone; ","")&amp;IF(AND(L396="mobile",N396&lt;&gt;"invalid",OR(LEN(M396)&lt;&gt;10,LEFT(M396,2)&lt;&gt;"09")),"mobile must be 09XXXXXXXX or status invalid; ","")&amp;IF(T396="","missing neighborhood_id; ","")))))</x:f>
      </x:c>
    </x:row>
    <x:row r="397">
      <x:c r="A397" s="232"/>
      <x:c r="B397" s="233"/>
      <x:c r="C397" s="234"/>
      <x:c r="D397" s="233"/>
      <x:c r="E397" s="233"/>
      <x:c r="F397" s="233"/>
      <x:c r="G397" s="233"/>
      <x:c r="H397" s="233"/>
      <x:c r="I397" s="233"/>
      <x:c r="J397" s="233"/>
      <x:c r="K397" s="233" t="str">
        <x:f>TRIM(G397&amp;" "&amp;H397&amp;" "&amp;I397&amp;IF(J397&lt;&gt;""," ("&amp;J397&amp;")",""))</x:f>
      </x:c>
      <x:c r="L397" s="233"/>
      <x:c r="M397" s="234"/>
      <x:c r="N397" s="233"/>
      <x:c r="O397" s="233"/>
      <x:c r="P397" s="233"/>
      <x:c r="Q397" s="233"/>
      <x:c r="R397" s="233"/>
      <x:c r="S397" s="233"/>
      <x:c r="T397" s="233"/>
      <x:c r="U397" s="233"/>
      <x:c r="V397" s="233"/>
      <x:c r="W397" s="235"/>
      <x:c r="X397" s="235"/>
      <x:c r="Y397" s="233"/>
      <x:c r="Z397" s="233"/>
      <x:c r="AA397" s="233"/>
      <x:c r="AB397" s="233"/>
      <x:c r="AC397" s="236"/>
      <x:c r="AD397" s="233"/>
      <x:c r="AE397" s="233"/>
      <x:c r="AF397" s="233"/>
      <x:c r="AG397" s="233"/>
      <x:c r="AH397" s="234"/>
      <x:c r="AI397" s="233"/>
      <x:c r="AJ397" s="233"/>
      <x:c r="AK397" s="233"/>
      <x:c r="AL397" s="236"/>
      <x:c r="AM397" s="233"/>
      <x:c r="AN397" s="233"/>
      <x:c r="AO397" s="234"/>
      <x:c r="AP397" s="234"/>
      <x:c r="AQ397" s="233"/>
      <x:c r="AR397" s="236"/>
      <x:c r="AS397" s="234"/>
      <x:c r="AT397" s="233"/>
      <x:c r="AU397" s="233"/>
      <x:c r="AV397" s="233"/>
      <x:c r="AW397" s="233"/>
      <x:c r="AX397" s="233"/>
      <x:c r="AY397" s="233"/>
      <x:c r="AZ397" s="236"/>
      <x:c r="BA397" s="233"/>
      <x:c r="BB397" s="233"/>
      <x:c r="BC397" s="233"/>
      <x:c r="BD397" s="233"/>
      <x:c r="BE397" s="237" t="str">
        <x:f>IF(AND(A397="",B397="",C397="",E397="",G397="",I397="",M397="",T397="",BB397="",BD397=""),"",IF(B397="skip","SKIP",IF(OR(B397="",A397="",E397="",G397="",I397="",M397="",T397="",COUNTIF($A$6:$A$505,A397)&gt;1,COUNTIF($M$6:$M$505,M397)&gt;1,AND(L397="mobile",N397&lt;&gt;"invalid",OR(LEN(M397)&lt;&gt;10,LEFT(M397,2)&lt;&gt;"09"))),"REVIEW","READY")))</x:f>
      </x:c>
      <x:c r="BF397" s="238" t="str">
        <x:f>IF(BE397="","",IF(BE397="READY","",IF(B397="skip","Skipped by import_action",TRIM(IF(B397="","missing import_action; ","")&amp;IF(A397="","missing migration_customer_key; ","")&amp;IF(AND(A397&lt;&gt;"",COUNTIF($A$6:$A$505,A397)&gt;1),"duplicate migration_customer_key; ","")&amp;IF(E397="","missing branch_id; ","")&amp;IF(G397="","missing first_name; ","")&amp;IF(I397="","missing last_name; ","")&amp;IF(M397="","missing primary_phone; ","")&amp;IF(AND(M397&lt;&gt;"",COUNTIF($M$6:$M$505,M397)&gt;1),"duplicate primary_phone; ","")&amp;IF(AND(L397="mobile",N397&lt;&gt;"invalid",OR(LEN(M397)&lt;&gt;10,LEFT(M397,2)&lt;&gt;"09")),"mobile must be 09XXXXXXXX or status invalid; ","")&amp;IF(T397="","missing neighborhood_id; ","")))))</x:f>
      </x:c>
    </x:row>
    <x:row r="398">
      <x:c r="A398" s="232"/>
      <x:c r="B398" s="233"/>
      <x:c r="C398" s="234"/>
      <x:c r="D398" s="233"/>
      <x:c r="E398" s="233"/>
      <x:c r="F398" s="233"/>
      <x:c r="G398" s="233"/>
      <x:c r="H398" s="233"/>
      <x:c r="I398" s="233"/>
      <x:c r="J398" s="233"/>
      <x:c r="K398" s="233" t="str">
        <x:f>TRIM(G398&amp;" "&amp;H398&amp;" "&amp;I398&amp;IF(J398&lt;&gt;""," ("&amp;J398&amp;")",""))</x:f>
      </x:c>
      <x:c r="L398" s="233"/>
      <x:c r="M398" s="234"/>
      <x:c r="N398" s="233"/>
      <x:c r="O398" s="233"/>
      <x:c r="P398" s="233"/>
      <x:c r="Q398" s="233"/>
      <x:c r="R398" s="233"/>
      <x:c r="S398" s="233"/>
      <x:c r="T398" s="233"/>
      <x:c r="U398" s="233"/>
      <x:c r="V398" s="233"/>
      <x:c r="W398" s="235"/>
      <x:c r="X398" s="235"/>
      <x:c r="Y398" s="233"/>
      <x:c r="Z398" s="233"/>
      <x:c r="AA398" s="233"/>
      <x:c r="AB398" s="233"/>
      <x:c r="AC398" s="236"/>
      <x:c r="AD398" s="233"/>
      <x:c r="AE398" s="233"/>
      <x:c r="AF398" s="233"/>
      <x:c r="AG398" s="233"/>
      <x:c r="AH398" s="234"/>
      <x:c r="AI398" s="233"/>
      <x:c r="AJ398" s="233"/>
      <x:c r="AK398" s="233"/>
      <x:c r="AL398" s="236"/>
      <x:c r="AM398" s="233"/>
      <x:c r="AN398" s="233"/>
      <x:c r="AO398" s="234"/>
      <x:c r="AP398" s="234"/>
      <x:c r="AQ398" s="233"/>
      <x:c r="AR398" s="236"/>
      <x:c r="AS398" s="234"/>
      <x:c r="AT398" s="233"/>
      <x:c r="AU398" s="233"/>
      <x:c r="AV398" s="233"/>
      <x:c r="AW398" s="233"/>
      <x:c r="AX398" s="233"/>
      <x:c r="AY398" s="233"/>
      <x:c r="AZ398" s="236"/>
      <x:c r="BA398" s="233"/>
      <x:c r="BB398" s="233"/>
      <x:c r="BC398" s="233"/>
      <x:c r="BD398" s="233"/>
      <x:c r="BE398" s="237" t="str">
        <x:f>IF(AND(A398="",B398="",C398="",E398="",G398="",I398="",M398="",T398="",BB398="",BD398=""),"",IF(B398="skip","SKIP",IF(OR(B398="",A398="",E398="",G398="",I398="",M398="",T398="",COUNTIF($A$6:$A$505,A398)&gt;1,COUNTIF($M$6:$M$505,M398)&gt;1,AND(L398="mobile",N398&lt;&gt;"invalid",OR(LEN(M398)&lt;&gt;10,LEFT(M398,2)&lt;&gt;"09"))),"REVIEW","READY")))</x:f>
      </x:c>
      <x:c r="BF398" s="238" t="str">
        <x:f>IF(BE398="","",IF(BE398="READY","",IF(B398="skip","Skipped by import_action",TRIM(IF(B398="","missing import_action; ","")&amp;IF(A398="","missing migration_customer_key; ","")&amp;IF(AND(A398&lt;&gt;"",COUNTIF($A$6:$A$505,A398)&gt;1),"duplicate migration_customer_key; ","")&amp;IF(E398="","missing branch_id; ","")&amp;IF(G398="","missing first_name; ","")&amp;IF(I398="","missing last_name; ","")&amp;IF(M398="","missing primary_phone; ","")&amp;IF(AND(M398&lt;&gt;"",COUNTIF($M$6:$M$505,M398)&gt;1),"duplicate primary_phone; ","")&amp;IF(AND(L398="mobile",N398&lt;&gt;"invalid",OR(LEN(M398)&lt;&gt;10,LEFT(M398,2)&lt;&gt;"09")),"mobile must be 09XXXXXXXX or status invalid; ","")&amp;IF(T398="","missing neighborhood_id; ","")))))</x:f>
      </x:c>
    </x:row>
    <x:row r="399">
      <x:c r="A399" s="232"/>
      <x:c r="B399" s="233"/>
      <x:c r="C399" s="234"/>
      <x:c r="D399" s="233"/>
      <x:c r="E399" s="233"/>
      <x:c r="F399" s="233"/>
      <x:c r="G399" s="233"/>
      <x:c r="H399" s="233"/>
      <x:c r="I399" s="233"/>
      <x:c r="J399" s="233"/>
      <x:c r="K399" s="233" t="str">
        <x:f>TRIM(G399&amp;" "&amp;H399&amp;" "&amp;I399&amp;IF(J399&lt;&gt;""," ("&amp;J399&amp;")",""))</x:f>
      </x:c>
      <x:c r="L399" s="233"/>
      <x:c r="M399" s="234"/>
      <x:c r="N399" s="233"/>
      <x:c r="O399" s="233"/>
      <x:c r="P399" s="233"/>
      <x:c r="Q399" s="233"/>
      <x:c r="R399" s="233"/>
      <x:c r="S399" s="233"/>
      <x:c r="T399" s="233"/>
      <x:c r="U399" s="233"/>
      <x:c r="V399" s="233"/>
      <x:c r="W399" s="235"/>
      <x:c r="X399" s="235"/>
      <x:c r="Y399" s="233"/>
      <x:c r="Z399" s="233"/>
      <x:c r="AA399" s="233"/>
      <x:c r="AB399" s="233"/>
      <x:c r="AC399" s="236"/>
      <x:c r="AD399" s="233"/>
      <x:c r="AE399" s="233"/>
      <x:c r="AF399" s="233"/>
      <x:c r="AG399" s="233"/>
      <x:c r="AH399" s="234"/>
      <x:c r="AI399" s="233"/>
      <x:c r="AJ399" s="233"/>
      <x:c r="AK399" s="233"/>
      <x:c r="AL399" s="236"/>
      <x:c r="AM399" s="233"/>
      <x:c r="AN399" s="233"/>
      <x:c r="AO399" s="234"/>
      <x:c r="AP399" s="234"/>
      <x:c r="AQ399" s="233"/>
      <x:c r="AR399" s="236"/>
      <x:c r="AS399" s="234"/>
      <x:c r="AT399" s="233"/>
      <x:c r="AU399" s="233"/>
      <x:c r="AV399" s="233"/>
      <x:c r="AW399" s="233"/>
      <x:c r="AX399" s="233"/>
      <x:c r="AY399" s="233"/>
      <x:c r="AZ399" s="236"/>
      <x:c r="BA399" s="233"/>
      <x:c r="BB399" s="233"/>
      <x:c r="BC399" s="233"/>
      <x:c r="BD399" s="233"/>
      <x:c r="BE399" s="237" t="str">
        <x:f>IF(AND(A399="",B399="",C399="",E399="",G399="",I399="",M399="",T399="",BB399="",BD399=""),"",IF(B399="skip","SKIP",IF(OR(B399="",A399="",E399="",G399="",I399="",M399="",T399="",COUNTIF($A$6:$A$505,A399)&gt;1,COUNTIF($M$6:$M$505,M399)&gt;1,AND(L399="mobile",N399&lt;&gt;"invalid",OR(LEN(M399)&lt;&gt;10,LEFT(M399,2)&lt;&gt;"09"))),"REVIEW","READY")))</x:f>
      </x:c>
      <x:c r="BF399" s="238" t="str">
        <x:f>IF(BE399="","",IF(BE399="READY","",IF(B399="skip","Skipped by import_action",TRIM(IF(B399="","missing import_action; ","")&amp;IF(A399="","missing migration_customer_key; ","")&amp;IF(AND(A399&lt;&gt;"",COUNTIF($A$6:$A$505,A399)&gt;1),"duplicate migration_customer_key; ","")&amp;IF(E399="","missing branch_id; ","")&amp;IF(G399="","missing first_name; ","")&amp;IF(I399="","missing last_name; ","")&amp;IF(M399="","missing primary_phone; ","")&amp;IF(AND(M399&lt;&gt;"",COUNTIF($M$6:$M$505,M399)&gt;1),"duplicate primary_phone; ","")&amp;IF(AND(L399="mobile",N399&lt;&gt;"invalid",OR(LEN(M399)&lt;&gt;10,LEFT(M399,2)&lt;&gt;"09")),"mobile must be 09XXXXXXXX or status invalid; ","")&amp;IF(T399="","missing neighborhood_id; ","")))))</x:f>
      </x:c>
    </x:row>
    <x:row r="400">
      <x:c r="A400" s="232"/>
      <x:c r="B400" s="233"/>
      <x:c r="C400" s="234"/>
      <x:c r="D400" s="233"/>
      <x:c r="E400" s="233"/>
      <x:c r="F400" s="233"/>
      <x:c r="G400" s="233"/>
      <x:c r="H400" s="233"/>
      <x:c r="I400" s="233"/>
      <x:c r="J400" s="233"/>
      <x:c r="K400" s="233" t="str">
        <x:f>TRIM(G400&amp;" "&amp;H400&amp;" "&amp;I400&amp;IF(J400&lt;&gt;""," ("&amp;J400&amp;")",""))</x:f>
      </x:c>
      <x:c r="L400" s="233"/>
      <x:c r="M400" s="234"/>
      <x:c r="N400" s="233"/>
      <x:c r="O400" s="233"/>
      <x:c r="P400" s="233"/>
      <x:c r="Q400" s="233"/>
      <x:c r="R400" s="233"/>
      <x:c r="S400" s="233"/>
      <x:c r="T400" s="233"/>
      <x:c r="U400" s="233"/>
      <x:c r="V400" s="233"/>
      <x:c r="W400" s="235"/>
      <x:c r="X400" s="235"/>
      <x:c r="Y400" s="233"/>
      <x:c r="Z400" s="233"/>
      <x:c r="AA400" s="233"/>
      <x:c r="AB400" s="233"/>
      <x:c r="AC400" s="236"/>
      <x:c r="AD400" s="233"/>
      <x:c r="AE400" s="233"/>
      <x:c r="AF400" s="233"/>
      <x:c r="AG400" s="233"/>
      <x:c r="AH400" s="234"/>
      <x:c r="AI400" s="233"/>
      <x:c r="AJ400" s="233"/>
      <x:c r="AK400" s="233"/>
      <x:c r="AL400" s="236"/>
      <x:c r="AM400" s="233"/>
      <x:c r="AN400" s="233"/>
      <x:c r="AO400" s="234"/>
      <x:c r="AP400" s="234"/>
      <x:c r="AQ400" s="233"/>
      <x:c r="AR400" s="236"/>
      <x:c r="AS400" s="234"/>
      <x:c r="AT400" s="233"/>
      <x:c r="AU400" s="233"/>
      <x:c r="AV400" s="233"/>
      <x:c r="AW400" s="233"/>
      <x:c r="AX400" s="233"/>
      <x:c r="AY400" s="233"/>
      <x:c r="AZ400" s="236"/>
      <x:c r="BA400" s="233"/>
      <x:c r="BB400" s="233"/>
      <x:c r="BC400" s="233"/>
      <x:c r="BD400" s="233"/>
      <x:c r="BE400" s="237" t="str">
        <x:f>IF(AND(A400="",B400="",C400="",E400="",G400="",I400="",M400="",T400="",BB400="",BD400=""),"",IF(B400="skip","SKIP",IF(OR(B400="",A400="",E400="",G400="",I400="",M400="",T400="",COUNTIF($A$6:$A$505,A400)&gt;1,COUNTIF($M$6:$M$505,M400)&gt;1,AND(L400="mobile",N400&lt;&gt;"invalid",OR(LEN(M400)&lt;&gt;10,LEFT(M400,2)&lt;&gt;"09"))),"REVIEW","READY")))</x:f>
      </x:c>
      <x:c r="BF400" s="238" t="str">
        <x:f>IF(BE400="","",IF(BE400="READY","",IF(B400="skip","Skipped by import_action",TRIM(IF(B400="","missing import_action; ","")&amp;IF(A400="","missing migration_customer_key; ","")&amp;IF(AND(A400&lt;&gt;"",COUNTIF($A$6:$A$505,A400)&gt;1),"duplicate migration_customer_key; ","")&amp;IF(E400="","missing branch_id; ","")&amp;IF(G400="","missing first_name; ","")&amp;IF(I400="","missing last_name; ","")&amp;IF(M400="","missing primary_phone; ","")&amp;IF(AND(M400&lt;&gt;"",COUNTIF($M$6:$M$505,M400)&gt;1),"duplicate primary_phone; ","")&amp;IF(AND(L400="mobile",N400&lt;&gt;"invalid",OR(LEN(M400)&lt;&gt;10,LEFT(M400,2)&lt;&gt;"09")),"mobile must be 09XXXXXXXX or status invalid; ","")&amp;IF(T400="","missing neighborhood_id; ","")))))</x:f>
      </x:c>
    </x:row>
    <x:row r="401">
      <x:c r="A401" s="232"/>
      <x:c r="B401" s="233"/>
      <x:c r="C401" s="234"/>
      <x:c r="D401" s="233"/>
      <x:c r="E401" s="233"/>
      <x:c r="F401" s="233"/>
      <x:c r="G401" s="233"/>
      <x:c r="H401" s="233"/>
      <x:c r="I401" s="233"/>
      <x:c r="J401" s="233"/>
      <x:c r="K401" s="233" t="str">
        <x:f>TRIM(G401&amp;" "&amp;H401&amp;" "&amp;I401&amp;IF(J401&lt;&gt;""," ("&amp;J401&amp;")",""))</x:f>
      </x:c>
      <x:c r="L401" s="233"/>
      <x:c r="M401" s="234"/>
      <x:c r="N401" s="233"/>
      <x:c r="O401" s="233"/>
      <x:c r="P401" s="233"/>
      <x:c r="Q401" s="233"/>
      <x:c r="R401" s="233"/>
      <x:c r="S401" s="233"/>
      <x:c r="T401" s="233"/>
      <x:c r="U401" s="233"/>
      <x:c r="V401" s="233"/>
      <x:c r="W401" s="235"/>
      <x:c r="X401" s="235"/>
      <x:c r="Y401" s="233"/>
      <x:c r="Z401" s="233"/>
      <x:c r="AA401" s="233"/>
      <x:c r="AB401" s="233"/>
      <x:c r="AC401" s="236"/>
      <x:c r="AD401" s="233"/>
      <x:c r="AE401" s="233"/>
      <x:c r="AF401" s="233"/>
      <x:c r="AG401" s="233"/>
      <x:c r="AH401" s="234"/>
      <x:c r="AI401" s="233"/>
      <x:c r="AJ401" s="233"/>
      <x:c r="AK401" s="233"/>
      <x:c r="AL401" s="236"/>
      <x:c r="AM401" s="233"/>
      <x:c r="AN401" s="233"/>
      <x:c r="AO401" s="234"/>
      <x:c r="AP401" s="234"/>
      <x:c r="AQ401" s="233"/>
      <x:c r="AR401" s="236"/>
      <x:c r="AS401" s="234"/>
      <x:c r="AT401" s="233"/>
      <x:c r="AU401" s="233"/>
      <x:c r="AV401" s="233"/>
      <x:c r="AW401" s="233"/>
      <x:c r="AX401" s="233"/>
      <x:c r="AY401" s="233"/>
      <x:c r="AZ401" s="236"/>
      <x:c r="BA401" s="233"/>
      <x:c r="BB401" s="233"/>
      <x:c r="BC401" s="233"/>
      <x:c r="BD401" s="233"/>
      <x:c r="BE401" s="237" t="str">
        <x:f>IF(AND(A401="",B401="",C401="",E401="",G401="",I401="",M401="",T401="",BB401="",BD401=""),"",IF(B401="skip","SKIP",IF(OR(B401="",A401="",E401="",G401="",I401="",M401="",T401="",COUNTIF($A$6:$A$505,A401)&gt;1,COUNTIF($M$6:$M$505,M401)&gt;1,AND(L401="mobile",N401&lt;&gt;"invalid",OR(LEN(M401)&lt;&gt;10,LEFT(M401,2)&lt;&gt;"09"))),"REVIEW","READY")))</x:f>
      </x:c>
      <x:c r="BF401" s="238" t="str">
        <x:f>IF(BE401="","",IF(BE401="READY","",IF(B401="skip","Skipped by import_action",TRIM(IF(B401="","missing import_action; ","")&amp;IF(A401="","missing migration_customer_key; ","")&amp;IF(AND(A401&lt;&gt;"",COUNTIF($A$6:$A$505,A401)&gt;1),"duplicate migration_customer_key; ","")&amp;IF(E401="","missing branch_id; ","")&amp;IF(G401="","missing first_name; ","")&amp;IF(I401="","missing last_name; ","")&amp;IF(M401="","missing primary_phone; ","")&amp;IF(AND(M401&lt;&gt;"",COUNTIF($M$6:$M$505,M401)&gt;1),"duplicate primary_phone; ","")&amp;IF(AND(L401="mobile",N401&lt;&gt;"invalid",OR(LEN(M401)&lt;&gt;10,LEFT(M401,2)&lt;&gt;"09")),"mobile must be 09XXXXXXXX or status invalid; ","")&amp;IF(T401="","missing neighborhood_id; ","")))))</x:f>
      </x:c>
    </x:row>
    <x:row r="402">
      <x:c r="A402" s="232"/>
      <x:c r="B402" s="233"/>
      <x:c r="C402" s="234"/>
      <x:c r="D402" s="233"/>
      <x:c r="E402" s="233"/>
      <x:c r="F402" s="233"/>
      <x:c r="G402" s="233"/>
      <x:c r="H402" s="233"/>
      <x:c r="I402" s="233"/>
      <x:c r="J402" s="233"/>
      <x:c r="K402" s="233" t="str">
        <x:f>TRIM(G402&amp;" "&amp;H402&amp;" "&amp;I402&amp;IF(J402&lt;&gt;""," ("&amp;J402&amp;")",""))</x:f>
      </x:c>
      <x:c r="L402" s="233"/>
      <x:c r="M402" s="234"/>
      <x:c r="N402" s="233"/>
      <x:c r="O402" s="233"/>
      <x:c r="P402" s="233"/>
      <x:c r="Q402" s="233"/>
      <x:c r="R402" s="233"/>
      <x:c r="S402" s="233"/>
      <x:c r="T402" s="233"/>
      <x:c r="U402" s="233"/>
      <x:c r="V402" s="233"/>
      <x:c r="W402" s="235"/>
      <x:c r="X402" s="235"/>
      <x:c r="Y402" s="233"/>
      <x:c r="Z402" s="233"/>
      <x:c r="AA402" s="233"/>
      <x:c r="AB402" s="233"/>
      <x:c r="AC402" s="236"/>
      <x:c r="AD402" s="233"/>
      <x:c r="AE402" s="233"/>
      <x:c r="AF402" s="233"/>
      <x:c r="AG402" s="233"/>
      <x:c r="AH402" s="234"/>
      <x:c r="AI402" s="233"/>
      <x:c r="AJ402" s="233"/>
      <x:c r="AK402" s="233"/>
      <x:c r="AL402" s="236"/>
      <x:c r="AM402" s="233"/>
      <x:c r="AN402" s="233"/>
      <x:c r="AO402" s="234"/>
      <x:c r="AP402" s="234"/>
      <x:c r="AQ402" s="233"/>
      <x:c r="AR402" s="236"/>
      <x:c r="AS402" s="234"/>
      <x:c r="AT402" s="233"/>
      <x:c r="AU402" s="233"/>
      <x:c r="AV402" s="233"/>
      <x:c r="AW402" s="233"/>
      <x:c r="AX402" s="233"/>
      <x:c r="AY402" s="233"/>
      <x:c r="AZ402" s="236"/>
      <x:c r="BA402" s="233"/>
      <x:c r="BB402" s="233"/>
      <x:c r="BC402" s="233"/>
      <x:c r="BD402" s="233"/>
      <x:c r="BE402" s="237" t="str">
        <x:f>IF(AND(A402="",B402="",C402="",E402="",G402="",I402="",M402="",T402="",BB402="",BD402=""),"",IF(B402="skip","SKIP",IF(OR(B402="",A402="",E402="",G402="",I402="",M402="",T402="",COUNTIF($A$6:$A$505,A402)&gt;1,COUNTIF($M$6:$M$505,M402)&gt;1,AND(L402="mobile",N402&lt;&gt;"invalid",OR(LEN(M402)&lt;&gt;10,LEFT(M402,2)&lt;&gt;"09"))),"REVIEW","READY")))</x:f>
      </x:c>
      <x:c r="BF402" s="238" t="str">
        <x:f>IF(BE402="","",IF(BE402="READY","",IF(B402="skip","Skipped by import_action",TRIM(IF(B402="","missing import_action; ","")&amp;IF(A402="","missing migration_customer_key; ","")&amp;IF(AND(A402&lt;&gt;"",COUNTIF($A$6:$A$505,A402)&gt;1),"duplicate migration_customer_key; ","")&amp;IF(E402="","missing branch_id; ","")&amp;IF(G402="","missing first_name; ","")&amp;IF(I402="","missing last_name; ","")&amp;IF(M402="","missing primary_phone; ","")&amp;IF(AND(M402&lt;&gt;"",COUNTIF($M$6:$M$505,M402)&gt;1),"duplicate primary_phone; ","")&amp;IF(AND(L402="mobile",N402&lt;&gt;"invalid",OR(LEN(M402)&lt;&gt;10,LEFT(M402,2)&lt;&gt;"09")),"mobile must be 09XXXXXXXX or status invalid; ","")&amp;IF(T402="","missing neighborhood_id; ","")))))</x:f>
      </x:c>
    </x:row>
    <x:row r="403">
      <x:c r="A403" s="232"/>
      <x:c r="B403" s="233"/>
      <x:c r="C403" s="234"/>
      <x:c r="D403" s="233"/>
      <x:c r="E403" s="233"/>
      <x:c r="F403" s="233"/>
      <x:c r="G403" s="233"/>
      <x:c r="H403" s="233"/>
      <x:c r="I403" s="233"/>
      <x:c r="J403" s="233"/>
      <x:c r="K403" s="233" t="str">
        <x:f>TRIM(G403&amp;" "&amp;H403&amp;" "&amp;I403&amp;IF(J403&lt;&gt;""," ("&amp;J403&amp;")",""))</x:f>
      </x:c>
      <x:c r="L403" s="233"/>
      <x:c r="M403" s="234"/>
      <x:c r="N403" s="233"/>
      <x:c r="O403" s="233"/>
      <x:c r="P403" s="233"/>
      <x:c r="Q403" s="233"/>
      <x:c r="R403" s="233"/>
      <x:c r="S403" s="233"/>
      <x:c r="T403" s="233"/>
      <x:c r="U403" s="233"/>
      <x:c r="V403" s="233"/>
      <x:c r="W403" s="235"/>
      <x:c r="X403" s="235"/>
      <x:c r="Y403" s="233"/>
      <x:c r="Z403" s="233"/>
      <x:c r="AA403" s="233"/>
      <x:c r="AB403" s="233"/>
      <x:c r="AC403" s="236"/>
      <x:c r="AD403" s="233"/>
      <x:c r="AE403" s="233"/>
      <x:c r="AF403" s="233"/>
      <x:c r="AG403" s="233"/>
      <x:c r="AH403" s="234"/>
      <x:c r="AI403" s="233"/>
      <x:c r="AJ403" s="233"/>
      <x:c r="AK403" s="233"/>
      <x:c r="AL403" s="236"/>
      <x:c r="AM403" s="233"/>
      <x:c r="AN403" s="233"/>
      <x:c r="AO403" s="234"/>
      <x:c r="AP403" s="234"/>
      <x:c r="AQ403" s="233"/>
      <x:c r="AR403" s="236"/>
      <x:c r="AS403" s="234"/>
      <x:c r="AT403" s="233"/>
      <x:c r="AU403" s="233"/>
      <x:c r="AV403" s="233"/>
      <x:c r="AW403" s="233"/>
      <x:c r="AX403" s="233"/>
      <x:c r="AY403" s="233"/>
      <x:c r="AZ403" s="236"/>
      <x:c r="BA403" s="233"/>
      <x:c r="BB403" s="233"/>
      <x:c r="BC403" s="233"/>
      <x:c r="BD403" s="233"/>
      <x:c r="BE403" s="237" t="str">
        <x:f>IF(AND(A403="",B403="",C403="",E403="",G403="",I403="",M403="",T403="",BB403="",BD403=""),"",IF(B403="skip","SKIP",IF(OR(B403="",A403="",E403="",G403="",I403="",M403="",T403="",COUNTIF($A$6:$A$505,A403)&gt;1,COUNTIF($M$6:$M$505,M403)&gt;1,AND(L403="mobile",N403&lt;&gt;"invalid",OR(LEN(M403)&lt;&gt;10,LEFT(M403,2)&lt;&gt;"09"))),"REVIEW","READY")))</x:f>
      </x:c>
      <x:c r="BF403" s="238" t="str">
        <x:f>IF(BE403="","",IF(BE403="READY","",IF(B403="skip","Skipped by import_action",TRIM(IF(B403="","missing import_action; ","")&amp;IF(A403="","missing migration_customer_key; ","")&amp;IF(AND(A403&lt;&gt;"",COUNTIF($A$6:$A$505,A403)&gt;1),"duplicate migration_customer_key; ","")&amp;IF(E403="","missing branch_id; ","")&amp;IF(G403="","missing first_name; ","")&amp;IF(I403="","missing last_name; ","")&amp;IF(M403="","missing primary_phone; ","")&amp;IF(AND(M403&lt;&gt;"",COUNTIF($M$6:$M$505,M403)&gt;1),"duplicate primary_phone; ","")&amp;IF(AND(L403="mobile",N403&lt;&gt;"invalid",OR(LEN(M403)&lt;&gt;10,LEFT(M403,2)&lt;&gt;"09")),"mobile must be 09XXXXXXXX or status invalid; ","")&amp;IF(T403="","missing neighborhood_id; ","")))))</x:f>
      </x:c>
    </x:row>
    <x:row r="404">
      <x:c r="A404" s="232"/>
      <x:c r="B404" s="233"/>
      <x:c r="C404" s="234"/>
      <x:c r="D404" s="233"/>
      <x:c r="E404" s="233"/>
      <x:c r="F404" s="233"/>
      <x:c r="G404" s="233"/>
      <x:c r="H404" s="233"/>
      <x:c r="I404" s="233"/>
      <x:c r="J404" s="233"/>
      <x:c r="K404" s="233" t="str">
        <x:f>TRIM(G404&amp;" "&amp;H404&amp;" "&amp;I404&amp;IF(J404&lt;&gt;""," ("&amp;J404&amp;")",""))</x:f>
      </x:c>
      <x:c r="L404" s="233"/>
      <x:c r="M404" s="234"/>
      <x:c r="N404" s="233"/>
      <x:c r="O404" s="233"/>
      <x:c r="P404" s="233"/>
      <x:c r="Q404" s="233"/>
      <x:c r="R404" s="233"/>
      <x:c r="S404" s="233"/>
      <x:c r="T404" s="233"/>
      <x:c r="U404" s="233"/>
      <x:c r="V404" s="233"/>
      <x:c r="W404" s="235"/>
      <x:c r="X404" s="235"/>
      <x:c r="Y404" s="233"/>
      <x:c r="Z404" s="233"/>
      <x:c r="AA404" s="233"/>
      <x:c r="AB404" s="233"/>
      <x:c r="AC404" s="236"/>
      <x:c r="AD404" s="233"/>
      <x:c r="AE404" s="233"/>
      <x:c r="AF404" s="233"/>
      <x:c r="AG404" s="233"/>
      <x:c r="AH404" s="234"/>
      <x:c r="AI404" s="233"/>
      <x:c r="AJ404" s="233"/>
      <x:c r="AK404" s="233"/>
      <x:c r="AL404" s="236"/>
      <x:c r="AM404" s="233"/>
      <x:c r="AN404" s="233"/>
      <x:c r="AO404" s="234"/>
      <x:c r="AP404" s="234"/>
      <x:c r="AQ404" s="233"/>
      <x:c r="AR404" s="236"/>
      <x:c r="AS404" s="234"/>
      <x:c r="AT404" s="233"/>
      <x:c r="AU404" s="233"/>
      <x:c r="AV404" s="233"/>
      <x:c r="AW404" s="233"/>
      <x:c r="AX404" s="233"/>
      <x:c r="AY404" s="233"/>
      <x:c r="AZ404" s="236"/>
      <x:c r="BA404" s="233"/>
      <x:c r="BB404" s="233"/>
      <x:c r="BC404" s="233"/>
      <x:c r="BD404" s="233"/>
      <x:c r="BE404" s="237" t="str">
        <x:f>IF(AND(A404="",B404="",C404="",E404="",G404="",I404="",M404="",T404="",BB404="",BD404=""),"",IF(B404="skip","SKIP",IF(OR(B404="",A404="",E404="",G404="",I404="",M404="",T404="",COUNTIF($A$6:$A$505,A404)&gt;1,COUNTIF($M$6:$M$505,M404)&gt;1,AND(L404="mobile",N404&lt;&gt;"invalid",OR(LEN(M404)&lt;&gt;10,LEFT(M404,2)&lt;&gt;"09"))),"REVIEW","READY")))</x:f>
      </x:c>
      <x:c r="BF404" s="238" t="str">
        <x:f>IF(BE404="","",IF(BE404="READY","",IF(B404="skip","Skipped by import_action",TRIM(IF(B404="","missing import_action; ","")&amp;IF(A404="","missing migration_customer_key; ","")&amp;IF(AND(A404&lt;&gt;"",COUNTIF($A$6:$A$505,A404)&gt;1),"duplicate migration_customer_key; ","")&amp;IF(E404="","missing branch_id; ","")&amp;IF(G404="","missing first_name; ","")&amp;IF(I404="","missing last_name; ","")&amp;IF(M404="","missing primary_phone; ","")&amp;IF(AND(M404&lt;&gt;"",COUNTIF($M$6:$M$505,M404)&gt;1),"duplicate primary_phone; ","")&amp;IF(AND(L404="mobile",N404&lt;&gt;"invalid",OR(LEN(M404)&lt;&gt;10,LEFT(M404,2)&lt;&gt;"09")),"mobile must be 09XXXXXXXX or status invalid; ","")&amp;IF(T404="","missing neighborhood_id; ","")))))</x:f>
      </x:c>
    </x:row>
    <x:row r="405">
      <x:c r="A405" s="232"/>
      <x:c r="B405" s="233"/>
      <x:c r="C405" s="234"/>
      <x:c r="D405" s="233"/>
      <x:c r="E405" s="233"/>
      <x:c r="F405" s="233"/>
      <x:c r="G405" s="233"/>
      <x:c r="H405" s="233"/>
      <x:c r="I405" s="233"/>
      <x:c r="J405" s="233"/>
      <x:c r="K405" s="233" t="str">
        <x:f>TRIM(G405&amp;" "&amp;H405&amp;" "&amp;I405&amp;IF(J405&lt;&gt;""," ("&amp;J405&amp;")",""))</x:f>
      </x:c>
      <x:c r="L405" s="233"/>
      <x:c r="M405" s="234"/>
      <x:c r="N405" s="233"/>
      <x:c r="O405" s="233"/>
      <x:c r="P405" s="233"/>
      <x:c r="Q405" s="233"/>
      <x:c r="R405" s="233"/>
      <x:c r="S405" s="233"/>
      <x:c r="T405" s="233"/>
      <x:c r="U405" s="233"/>
      <x:c r="V405" s="233"/>
      <x:c r="W405" s="235"/>
      <x:c r="X405" s="235"/>
      <x:c r="Y405" s="233"/>
      <x:c r="Z405" s="233"/>
      <x:c r="AA405" s="233"/>
      <x:c r="AB405" s="233"/>
      <x:c r="AC405" s="236"/>
      <x:c r="AD405" s="233"/>
      <x:c r="AE405" s="233"/>
      <x:c r="AF405" s="233"/>
      <x:c r="AG405" s="233"/>
      <x:c r="AH405" s="234"/>
      <x:c r="AI405" s="233"/>
      <x:c r="AJ405" s="233"/>
      <x:c r="AK405" s="233"/>
      <x:c r="AL405" s="236"/>
      <x:c r="AM405" s="233"/>
      <x:c r="AN405" s="233"/>
      <x:c r="AO405" s="234"/>
      <x:c r="AP405" s="234"/>
      <x:c r="AQ405" s="233"/>
      <x:c r="AR405" s="236"/>
      <x:c r="AS405" s="234"/>
      <x:c r="AT405" s="233"/>
      <x:c r="AU405" s="233"/>
      <x:c r="AV405" s="233"/>
      <x:c r="AW405" s="233"/>
      <x:c r="AX405" s="233"/>
      <x:c r="AY405" s="233"/>
      <x:c r="AZ405" s="236"/>
      <x:c r="BA405" s="233"/>
      <x:c r="BB405" s="233"/>
      <x:c r="BC405" s="233"/>
      <x:c r="BD405" s="233"/>
      <x:c r="BE405" s="237" t="str">
        <x:f>IF(AND(A405="",B405="",C405="",E405="",G405="",I405="",M405="",T405="",BB405="",BD405=""),"",IF(B405="skip","SKIP",IF(OR(B405="",A405="",E405="",G405="",I405="",M405="",T405="",COUNTIF($A$6:$A$505,A405)&gt;1,COUNTIF($M$6:$M$505,M405)&gt;1,AND(L405="mobile",N405&lt;&gt;"invalid",OR(LEN(M405)&lt;&gt;10,LEFT(M405,2)&lt;&gt;"09"))),"REVIEW","READY")))</x:f>
      </x:c>
      <x:c r="BF405" s="238" t="str">
        <x:f>IF(BE405="","",IF(BE405="READY","",IF(B405="skip","Skipped by import_action",TRIM(IF(B405="","missing import_action; ","")&amp;IF(A405="","missing migration_customer_key; ","")&amp;IF(AND(A405&lt;&gt;"",COUNTIF($A$6:$A$505,A405)&gt;1),"duplicate migration_customer_key; ","")&amp;IF(E405="","missing branch_id; ","")&amp;IF(G405="","missing first_name; ","")&amp;IF(I405="","missing last_name; ","")&amp;IF(M405="","missing primary_phone; ","")&amp;IF(AND(M405&lt;&gt;"",COUNTIF($M$6:$M$505,M405)&gt;1),"duplicate primary_phone; ","")&amp;IF(AND(L405="mobile",N405&lt;&gt;"invalid",OR(LEN(M405)&lt;&gt;10,LEFT(M405,2)&lt;&gt;"09")),"mobile must be 09XXXXXXXX or status invalid; ","")&amp;IF(T405="","missing neighborhood_id; ","")))))</x:f>
      </x:c>
    </x:row>
    <x:row r="406">
      <x:c r="A406" s="232"/>
      <x:c r="B406" s="233"/>
      <x:c r="C406" s="234"/>
      <x:c r="D406" s="233"/>
      <x:c r="E406" s="233"/>
      <x:c r="F406" s="233"/>
      <x:c r="G406" s="233"/>
      <x:c r="H406" s="233"/>
      <x:c r="I406" s="233"/>
      <x:c r="J406" s="233"/>
      <x:c r="K406" s="233" t="str">
        <x:f>TRIM(G406&amp;" "&amp;H406&amp;" "&amp;I406&amp;IF(J406&lt;&gt;""," ("&amp;J406&amp;")",""))</x:f>
      </x:c>
      <x:c r="L406" s="233"/>
      <x:c r="M406" s="234"/>
      <x:c r="N406" s="233"/>
      <x:c r="O406" s="233"/>
      <x:c r="P406" s="233"/>
      <x:c r="Q406" s="233"/>
      <x:c r="R406" s="233"/>
      <x:c r="S406" s="233"/>
      <x:c r="T406" s="233"/>
      <x:c r="U406" s="233"/>
      <x:c r="V406" s="233"/>
      <x:c r="W406" s="235"/>
      <x:c r="X406" s="235"/>
      <x:c r="Y406" s="233"/>
      <x:c r="Z406" s="233"/>
      <x:c r="AA406" s="233"/>
      <x:c r="AB406" s="233"/>
      <x:c r="AC406" s="236"/>
      <x:c r="AD406" s="233"/>
      <x:c r="AE406" s="233"/>
      <x:c r="AF406" s="233"/>
      <x:c r="AG406" s="233"/>
      <x:c r="AH406" s="234"/>
      <x:c r="AI406" s="233"/>
      <x:c r="AJ406" s="233"/>
      <x:c r="AK406" s="233"/>
      <x:c r="AL406" s="236"/>
      <x:c r="AM406" s="233"/>
      <x:c r="AN406" s="233"/>
      <x:c r="AO406" s="234"/>
      <x:c r="AP406" s="234"/>
      <x:c r="AQ406" s="233"/>
      <x:c r="AR406" s="236"/>
      <x:c r="AS406" s="234"/>
      <x:c r="AT406" s="233"/>
      <x:c r="AU406" s="233"/>
      <x:c r="AV406" s="233"/>
      <x:c r="AW406" s="233"/>
      <x:c r="AX406" s="233"/>
      <x:c r="AY406" s="233"/>
      <x:c r="AZ406" s="236"/>
      <x:c r="BA406" s="233"/>
      <x:c r="BB406" s="233"/>
      <x:c r="BC406" s="233"/>
      <x:c r="BD406" s="233"/>
      <x:c r="BE406" s="237" t="str">
        <x:f>IF(AND(A406="",B406="",C406="",E406="",G406="",I406="",M406="",T406="",BB406="",BD406=""),"",IF(B406="skip","SKIP",IF(OR(B406="",A406="",E406="",G406="",I406="",M406="",T406="",COUNTIF($A$6:$A$505,A406)&gt;1,COUNTIF($M$6:$M$505,M406)&gt;1,AND(L406="mobile",N406&lt;&gt;"invalid",OR(LEN(M406)&lt;&gt;10,LEFT(M406,2)&lt;&gt;"09"))),"REVIEW","READY")))</x:f>
      </x:c>
      <x:c r="BF406" s="238" t="str">
        <x:f>IF(BE406="","",IF(BE406="READY","",IF(B406="skip","Skipped by import_action",TRIM(IF(B406="","missing import_action; ","")&amp;IF(A406="","missing migration_customer_key; ","")&amp;IF(AND(A406&lt;&gt;"",COUNTIF($A$6:$A$505,A406)&gt;1),"duplicate migration_customer_key; ","")&amp;IF(E406="","missing branch_id; ","")&amp;IF(G406="","missing first_name; ","")&amp;IF(I406="","missing last_name; ","")&amp;IF(M406="","missing primary_phone; ","")&amp;IF(AND(M406&lt;&gt;"",COUNTIF($M$6:$M$505,M406)&gt;1),"duplicate primary_phone; ","")&amp;IF(AND(L406="mobile",N406&lt;&gt;"invalid",OR(LEN(M406)&lt;&gt;10,LEFT(M406,2)&lt;&gt;"09")),"mobile must be 09XXXXXXXX or status invalid; ","")&amp;IF(T406="","missing neighborhood_id; ","")))))</x:f>
      </x:c>
    </x:row>
    <x:row r="407">
      <x:c r="A407" s="232"/>
      <x:c r="B407" s="233"/>
      <x:c r="C407" s="234"/>
      <x:c r="D407" s="233"/>
      <x:c r="E407" s="233"/>
      <x:c r="F407" s="233"/>
      <x:c r="G407" s="233"/>
      <x:c r="H407" s="233"/>
      <x:c r="I407" s="233"/>
      <x:c r="J407" s="233"/>
      <x:c r="K407" s="233" t="str">
        <x:f>TRIM(G407&amp;" "&amp;H407&amp;" "&amp;I407&amp;IF(J407&lt;&gt;""," ("&amp;J407&amp;")",""))</x:f>
      </x:c>
      <x:c r="L407" s="233"/>
      <x:c r="M407" s="234"/>
      <x:c r="N407" s="233"/>
      <x:c r="O407" s="233"/>
      <x:c r="P407" s="233"/>
      <x:c r="Q407" s="233"/>
      <x:c r="R407" s="233"/>
      <x:c r="S407" s="233"/>
      <x:c r="T407" s="233"/>
      <x:c r="U407" s="233"/>
      <x:c r="V407" s="233"/>
      <x:c r="W407" s="235"/>
      <x:c r="X407" s="235"/>
      <x:c r="Y407" s="233"/>
      <x:c r="Z407" s="233"/>
      <x:c r="AA407" s="233"/>
      <x:c r="AB407" s="233"/>
      <x:c r="AC407" s="236"/>
      <x:c r="AD407" s="233"/>
      <x:c r="AE407" s="233"/>
      <x:c r="AF407" s="233"/>
      <x:c r="AG407" s="233"/>
      <x:c r="AH407" s="234"/>
      <x:c r="AI407" s="233"/>
      <x:c r="AJ407" s="233"/>
      <x:c r="AK407" s="233"/>
      <x:c r="AL407" s="236"/>
      <x:c r="AM407" s="233"/>
      <x:c r="AN407" s="233"/>
      <x:c r="AO407" s="234"/>
      <x:c r="AP407" s="234"/>
      <x:c r="AQ407" s="233"/>
      <x:c r="AR407" s="236"/>
      <x:c r="AS407" s="234"/>
      <x:c r="AT407" s="233"/>
      <x:c r="AU407" s="233"/>
      <x:c r="AV407" s="233"/>
      <x:c r="AW407" s="233"/>
      <x:c r="AX407" s="233"/>
      <x:c r="AY407" s="233"/>
      <x:c r="AZ407" s="236"/>
      <x:c r="BA407" s="233"/>
      <x:c r="BB407" s="233"/>
      <x:c r="BC407" s="233"/>
      <x:c r="BD407" s="233"/>
      <x:c r="BE407" s="237" t="str">
        <x:f>IF(AND(A407="",B407="",C407="",E407="",G407="",I407="",M407="",T407="",BB407="",BD407=""),"",IF(B407="skip","SKIP",IF(OR(B407="",A407="",E407="",G407="",I407="",M407="",T407="",COUNTIF($A$6:$A$505,A407)&gt;1,COUNTIF($M$6:$M$505,M407)&gt;1,AND(L407="mobile",N407&lt;&gt;"invalid",OR(LEN(M407)&lt;&gt;10,LEFT(M407,2)&lt;&gt;"09"))),"REVIEW","READY")))</x:f>
      </x:c>
      <x:c r="BF407" s="238" t="str">
        <x:f>IF(BE407="","",IF(BE407="READY","",IF(B407="skip","Skipped by import_action",TRIM(IF(B407="","missing import_action; ","")&amp;IF(A407="","missing migration_customer_key; ","")&amp;IF(AND(A407&lt;&gt;"",COUNTIF($A$6:$A$505,A407)&gt;1),"duplicate migration_customer_key; ","")&amp;IF(E407="","missing branch_id; ","")&amp;IF(G407="","missing first_name; ","")&amp;IF(I407="","missing last_name; ","")&amp;IF(M407="","missing primary_phone; ","")&amp;IF(AND(M407&lt;&gt;"",COUNTIF($M$6:$M$505,M407)&gt;1),"duplicate primary_phone; ","")&amp;IF(AND(L407="mobile",N407&lt;&gt;"invalid",OR(LEN(M407)&lt;&gt;10,LEFT(M407,2)&lt;&gt;"09")),"mobile must be 09XXXXXXXX or status invalid; ","")&amp;IF(T407="","missing neighborhood_id; ","")))))</x:f>
      </x:c>
    </x:row>
    <x:row r="408">
      <x:c r="A408" s="232"/>
      <x:c r="B408" s="233"/>
      <x:c r="C408" s="234"/>
      <x:c r="D408" s="233"/>
      <x:c r="E408" s="233"/>
      <x:c r="F408" s="233"/>
      <x:c r="G408" s="233"/>
      <x:c r="H408" s="233"/>
      <x:c r="I408" s="233"/>
      <x:c r="J408" s="233"/>
      <x:c r="K408" s="233" t="str">
        <x:f>TRIM(G408&amp;" "&amp;H408&amp;" "&amp;I408&amp;IF(J408&lt;&gt;""," ("&amp;J408&amp;")",""))</x:f>
      </x:c>
      <x:c r="L408" s="233"/>
      <x:c r="M408" s="234"/>
      <x:c r="N408" s="233"/>
      <x:c r="O408" s="233"/>
      <x:c r="P408" s="233"/>
      <x:c r="Q408" s="233"/>
      <x:c r="R408" s="233"/>
      <x:c r="S408" s="233"/>
      <x:c r="T408" s="233"/>
      <x:c r="U408" s="233"/>
      <x:c r="V408" s="233"/>
      <x:c r="W408" s="235"/>
      <x:c r="X408" s="235"/>
      <x:c r="Y408" s="233"/>
      <x:c r="Z408" s="233"/>
      <x:c r="AA408" s="233"/>
      <x:c r="AB408" s="233"/>
      <x:c r="AC408" s="236"/>
      <x:c r="AD408" s="233"/>
      <x:c r="AE408" s="233"/>
      <x:c r="AF408" s="233"/>
      <x:c r="AG408" s="233"/>
      <x:c r="AH408" s="234"/>
      <x:c r="AI408" s="233"/>
      <x:c r="AJ408" s="233"/>
      <x:c r="AK408" s="233"/>
      <x:c r="AL408" s="236"/>
      <x:c r="AM408" s="233"/>
      <x:c r="AN408" s="233"/>
      <x:c r="AO408" s="234"/>
      <x:c r="AP408" s="234"/>
      <x:c r="AQ408" s="233"/>
      <x:c r="AR408" s="236"/>
      <x:c r="AS408" s="234"/>
      <x:c r="AT408" s="233"/>
      <x:c r="AU408" s="233"/>
      <x:c r="AV408" s="233"/>
      <x:c r="AW408" s="233"/>
      <x:c r="AX408" s="233"/>
      <x:c r="AY408" s="233"/>
      <x:c r="AZ408" s="236"/>
      <x:c r="BA408" s="233"/>
      <x:c r="BB408" s="233"/>
      <x:c r="BC408" s="233"/>
      <x:c r="BD408" s="233"/>
      <x:c r="BE408" s="237" t="str">
        <x:f>IF(AND(A408="",B408="",C408="",E408="",G408="",I408="",M408="",T408="",BB408="",BD408=""),"",IF(B408="skip","SKIP",IF(OR(B408="",A408="",E408="",G408="",I408="",M408="",T408="",COUNTIF($A$6:$A$505,A408)&gt;1,COUNTIF($M$6:$M$505,M408)&gt;1,AND(L408="mobile",N408&lt;&gt;"invalid",OR(LEN(M408)&lt;&gt;10,LEFT(M408,2)&lt;&gt;"09"))),"REVIEW","READY")))</x:f>
      </x:c>
      <x:c r="BF408" s="238" t="str">
        <x:f>IF(BE408="","",IF(BE408="READY","",IF(B408="skip","Skipped by import_action",TRIM(IF(B408="","missing import_action; ","")&amp;IF(A408="","missing migration_customer_key; ","")&amp;IF(AND(A408&lt;&gt;"",COUNTIF($A$6:$A$505,A408)&gt;1),"duplicate migration_customer_key; ","")&amp;IF(E408="","missing branch_id; ","")&amp;IF(G408="","missing first_name; ","")&amp;IF(I408="","missing last_name; ","")&amp;IF(M408="","missing primary_phone; ","")&amp;IF(AND(M408&lt;&gt;"",COUNTIF($M$6:$M$505,M408)&gt;1),"duplicate primary_phone; ","")&amp;IF(AND(L408="mobile",N408&lt;&gt;"invalid",OR(LEN(M408)&lt;&gt;10,LEFT(M408,2)&lt;&gt;"09")),"mobile must be 09XXXXXXXX or status invalid; ","")&amp;IF(T408="","missing neighborhood_id; ","")))))</x:f>
      </x:c>
    </x:row>
    <x:row r="409">
      <x:c r="A409" s="232"/>
      <x:c r="B409" s="233"/>
      <x:c r="C409" s="234"/>
      <x:c r="D409" s="233"/>
      <x:c r="E409" s="233"/>
      <x:c r="F409" s="233"/>
      <x:c r="G409" s="233"/>
      <x:c r="H409" s="233"/>
      <x:c r="I409" s="233"/>
      <x:c r="J409" s="233"/>
      <x:c r="K409" s="233" t="str">
        <x:f>TRIM(G409&amp;" "&amp;H409&amp;" "&amp;I409&amp;IF(J409&lt;&gt;""," ("&amp;J409&amp;")",""))</x:f>
      </x:c>
      <x:c r="L409" s="233"/>
      <x:c r="M409" s="234"/>
      <x:c r="N409" s="233"/>
      <x:c r="O409" s="233"/>
      <x:c r="P409" s="233"/>
      <x:c r="Q409" s="233"/>
      <x:c r="R409" s="233"/>
      <x:c r="S409" s="233"/>
      <x:c r="T409" s="233"/>
      <x:c r="U409" s="233"/>
      <x:c r="V409" s="233"/>
      <x:c r="W409" s="235"/>
      <x:c r="X409" s="235"/>
      <x:c r="Y409" s="233"/>
      <x:c r="Z409" s="233"/>
      <x:c r="AA409" s="233"/>
      <x:c r="AB409" s="233"/>
      <x:c r="AC409" s="236"/>
      <x:c r="AD409" s="233"/>
      <x:c r="AE409" s="233"/>
      <x:c r="AF409" s="233"/>
      <x:c r="AG409" s="233"/>
      <x:c r="AH409" s="234"/>
      <x:c r="AI409" s="233"/>
      <x:c r="AJ409" s="233"/>
      <x:c r="AK409" s="233"/>
      <x:c r="AL409" s="236"/>
      <x:c r="AM409" s="233"/>
      <x:c r="AN409" s="233"/>
      <x:c r="AO409" s="234"/>
      <x:c r="AP409" s="234"/>
      <x:c r="AQ409" s="233"/>
      <x:c r="AR409" s="236"/>
      <x:c r="AS409" s="234"/>
      <x:c r="AT409" s="233"/>
      <x:c r="AU409" s="233"/>
      <x:c r="AV409" s="233"/>
      <x:c r="AW409" s="233"/>
      <x:c r="AX409" s="233"/>
      <x:c r="AY409" s="233"/>
      <x:c r="AZ409" s="236"/>
      <x:c r="BA409" s="233"/>
      <x:c r="BB409" s="233"/>
      <x:c r="BC409" s="233"/>
      <x:c r="BD409" s="233"/>
      <x:c r="BE409" s="237" t="str">
        <x:f>IF(AND(A409="",B409="",C409="",E409="",G409="",I409="",M409="",T409="",BB409="",BD409=""),"",IF(B409="skip","SKIP",IF(OR(B409="",A409="",E409="",G409="",I409="",M409="",T409="",COUNTIF($A$6:$A$505,A409)&gt;1,COUNTIF($M$6:$M$505,M409)&gt;1,AND(L409="mobile",N409&lt;&gt;"invalid",OR(LEN(M409)&lt;&gt;10,LEFT(M409,2)&lt;&gt;"09"))),"REVIEW","READY")))</x:f>
      </x:c>
      <x:c r="BF409" s="238" t="str">
        <x:f>IF(BE409="","",IF(BE409="READY","",IF(B409="skip","Skipped by import_action",TRIM(IF(B409="","missing import_action; ","")&amp;IF(A409="","missing migration_customer_key; ","")&amp;IF(AND(A409&lt;&gt;"",COUNTIF($A$6:$A$505,A409)&gt;1),"duplicate migration_customer_key; ","")&amp;IF(E409="","missing branch_id; ","")&amp;IF(G409="","missing first_name; ","")&amp;IF(I409="","missing last_name; ","")&amp;IF(M409="","missing primary_phone; ","")&amp;IF(AND(M409&lt;&gt;"",COUNTIF($M$6:$M$505,M409)&gt;1),"duplicate primary_phone; ","")&amp;IF(AND(L409="mobile",N409&lt;&gt;"invalid",OR(LEN(M409)&lt;&gt;10,LEFT(M409,2)&lt;&gt;"09")),"mobile must be 09XXXXXXXX or status invalid; ","")&amp;IF(T409="","missing neighborhood_id; ","")))))</x:f>
      </x:c>
    </x:row>
    <x:row r="410">
      <x:c r="A410" s="232"/>
      <x:c r="B410" s="233"/>
      <x:c r="C410" s="234"/>
      <x:c r="D410" s="233"/>
      <x:c r="E410" s="233"/>
      <x:c r="F410" s="233"/>
      <x:c r="G410" s="233"/>
      <x:c r="H410" s="233"/>
      <x:c r="I410" s="233"/>
      <x:c r="J410" s="233"/>
      <x:c r="K410" s="233" t="str">
        <x:f>TRIM(G410&amp;" "&amp;H410&amp;" "&amp;I410&amp;IF(J410&lt;&gt;""," ("&amp;J410&amp;")",""))</x:f>
      </x:c>
      <x:c r="L410" s="233"/>
      <x:c r="M410" s="234"/>
      <x:c r="N410" s="233"/>
      <x:c r="O410" s="233"/>
      <x:c r="P410" s="233"/>
      <x:c r="Q410" s="233"/>
      <x:c r="R410" s="233"/>
      <x:c r="S410" s="233"/>
      <x:c r="T410" s="233"/>
      <x:c r="U410" s="233"/>
      <x:c r="V410" s="233"/>
      <x:c r="W410" s="235"/>
      <x:c r="X410" s="235"/>
      <x:c r="Y410" s="233"/>
      <x:c r="Z410" s="233"/>
      <x:c r="AA410" s="233"/>
      <x:c r="AB410" s="233"/>
      <x:c r="AC410" s="236"/>
      <x:c r="AD410" s="233"/>
      <x:c r="AE410" s="233"/>
      <x:c r="AF410" s="233"/>
      <x:c r="AG410" s="233"/>
      <x:c r="AH410" s="234"/>
      <x:c r="AI410" s="233"/>
      <x:c r="AJ410" s="233"/>
      <x:c r="AK410" s="233"/>
      <x:c r="AL410" s="236"/>
      <x:c r="AM410" s="233"/>
      <x:c r="AN410" s="233"/>
      <x:c r="AO410" s="234"/>
      <x:c r="AP410" s="234"/>
      <x:c r="AQ410" s="233"/>
      <x:c r="AR410" s="236"/>
      <x:c r="AS410" s="234"/>
      <x:c r="AT410" s="233"/>
      <x:c r="AU410" s="233"/>
      <x:c r="AV410" s="233"/>
      <x:c r="AW410" s="233"/>
      <x:c r="AX410" s="233"/>
      <x:c r="AY410" s="233"/>
      <x:c r="AZ410" s="236"/>
      <x:c r="BA410" s="233"/>
      <x:c r="BB410" s="233"/>
      <x:c r="BC410" s="233"/>
      <x:c r="BD410" s="233"/>
      <x:c r="BE410" s="237" t="str">
        <x:f>IF(AND(A410="",B410="",C410="",E410="",G410="",I410="",M410="",T410="",BB410="",BD410=""),"",IF(B410="skip","SKIP",IF(OR(B410="",A410="",E410="",G410="",I410="",M410="",T410="",COUNTIF($A$6:$A$505,A410)&gt;1,COUNTIF($M$6:$M$505,M410)&gt;1,AND(L410="mobile",N410&lt;&gt;"invalid",OR(LEN(M410)&lt;&gt;10,LEFT(M410,2)&lt;&gt;"09"))),"REVIEW","READY")))</x:f>
      </x:c>
      <x:c r="BF410" s="238" t="str">
        <x:f>IF(BE410="","",IF(BE410="READY","",IF(B410="skip","Skipped by import_action",TRIM(IF(B410="","missing import_action; ","")&amp;IF(A410="","missing migration_customer_key; ","")&amp;IF(AND(A410&lt;&gt;"",COUNTIF($A$6:$A$505,A410)&gt;1),"duplicate migration_customer_key; ","")&amp;IF(E410="","missing branch_id; ","")&amp;IF(G410="","missing first_name; ","")&amp;IF(I410="","missing last_name; ","")&amp;IF(M410="","missing primary_phone; ","")&amp;IF(AND(M410&lt;&gt;"",COUNTIF($M$6:$M$505,M410)&gt;1),"duplicate primary_phone; ","")&amp;IF(AND(L410="mobile",N410&lt;&gt;"invalid",OR(LEN(M410)&lt;&gt;10,LEFT(M410,2)&lt;&gt;"09")),"mobile must be 09XXXXXXXX or status invalid; ","")&amp;IF(T410="","missing neighborhood_id; ","")))))</x:f>
      </x:c>
    </x:row>
    <x:row r="411">
      <x:c r="A411" s="232"/>
      <x:c r="B411" s="233"/>
      <x:c r="C411" s="234"/>
      <x:c r="D411" s="233"/>
      <x:c r="E411" s="233"/>
      <x:c r="F411" s="233"/>
      <x:c r="G411" s="233"/>
      <x:c r="H411" s="233"/>
      <x:c r="I411" s="233"/>
      <x:c r="J411" s="233"/>
      <x:c r="K411" s="233" t="str">
        <x:f>TRIM(G411&amp;" "&amp;H411&amp;" "&amp;I411&amp;IF(J411&lt;&gt;""," ("&amp;J411&amp;")",""))</x:f>
      </x:c>
      <x:c r="L411" s="233"/>
      <x:c r="M411" s="234"/>
      <x:c r="N411" s="233"/>
      <x:c r="O411" s="233"/>
      <x:c r="P411" s="233"/>
      <x:c r="Q411" s="233"/>
      <x:c r="R411" s="233"/>
      <x:c r="S411" s="233"/>
      <x:c r="T411" s="233"/>
      <x:c r="U411" s="233"/>
      <x:c r="V411" s="233"/>
      <x:c r="W411" s="235"/>
      <x:c r="X411" s="235"/>
      <x:c r="Y411" s="233"/>
      <x:c r="Z411" s="233"/>
      <x:c r="AA411" s="233"/>
      <x:c r="AB411" s="233"/>
      <x:c r="AC411" s="236"/>
      <x:c r="AD411" s="233"/>
      <x:c r="AE411" s="233"/>
      <x:c r="AF411" s="233"/>
      <x:c r="AG411" s="233"/>
      <x:c r="AH411" s="234"/>
      <x:c r="AI411" s="233"/>
      <x:c r="AJ411" s="233"/>
      <x:c r="AK411" s="233"/>
      <x:c r="AL411" s="236"/>
      <x:c r="AM411" s="233"/>
      <x:c r="AN411" s="233"/>
      <x:c r="AO411" s="234"/>
      <x:c r="AP411" s="234"/>
      <x:c r="AQ411" s="233"/>
      <x:c r="AR411" s="236"/>
      <x:c r="AS411" s="234"/>
      <x:c r="AT411" s="233"/>
      <x:c r="AU411" s="233"/>
      <x:c r="AV411" s="233"/>
      <x:c r="AW411" s="233"/>
      <x:c r="AX411" s="233"/>
      <x:c r="AY411" s="233"/>
      <x:c r="AZ411" s="236"/>
      <x:c r="BA411" s="233"/>
      <x:c r="BB411" s="233"/>
      <x:c r="BC411" s="233"/>
      <x:c r="BD411" s="233"/>
      <x:c r="BE411" s="237" t="str">
        <x:f>IF(AND(A411="",B411="",C411="",E411="",G411="",I411="",M411="",T411="",BB411="",BD411=""),"",IF(B411="skip","SKIP",IF(OR(B411="",A411="",E411="",G411="",I411="",M411="",T411="",COUNTIF($A$6:$A$505,A411)&gt;1,COUNTIF($M$6:$M$505,M411)&gt;1,AND(L411="mobile",N411&lt;&gt;"invalid",OR(LEN(M411)&lt;&gt;10,LEFT(M411,2)&lt;&gt;"09"))),"REVIEW","READY")))</x:f>
      </x:c>
      <x:c r="BF411" s="238" t="str">
        <x:f>IF(BE411="","",IF(BE411="READY","",IF(B411="skip","Skipped by import_action",TRIM(IF(B411="","missing import_action; ","")&amp;IF(A411="","missing migration_customer_key; ","")&amp;IF(AND(A411&lt;&gt;"",COUNTIF($A$6:$A$505,A411)&gt;1),"duplicate migration_customer_key; ","")&amp;IF(E411="","missing branch_id; ","")&amp;IF(G411="","missing first_name; ","")&amp;IF(I411="","missing last_name; ","")&amp;IF(M411="","missing primary_phone; ","")&amp;IF(AND(M411&lt;&gt;"",COUNTIF($M$6:$M$505,M411)&gt;1),"duplicate primary_phone; ","")&amp;IF(AND(L411="mobile",N411&lt;&gt;"invalid",OR(LEN(M411)&lt;&gt;10,LEFT(M411,2)&lt;&gt;"09")),"mobile must be 09XXXXXXXX or status invalid; ","")&amp;IF(T411="","missing neighborhood_id; ","")))))</x:f>
      </x:c>
    </x:row>
    <x:row r="412">
      <x:c r="A412" s="232"/>
      <x:c r="B412" s="233"/>
      <x:c r="C412" s="234"/>
      <x:c r="D412" s="233"/>
      <x:c r="E412" s="233"/>
      <x:c r="F412" s="233"/>
      <x:c r="G412" s="233"/>
      <x:c r="H412" s="233"/>
      <x:c r="I412" s="233"/>
      <x:c r="J412" s="233"/>
      <x:c r="K412" s="233" t="str">
        <x:f>TRIM(G412&amp;" "&amp;H412&amp;" "&amp;I412&amp;IF(J412&lt;&gt;""," ("&amp;J412&amp;")",""))</x:f>
      </x:c>
      <x:c r="L412" s="233"/>
      <x:c r="M412" s="234"/>
      <x:c r="N412" s="233"/>
      <x:c r="O412" s="233"/>
      <x:c r="P412" s="233"/>
      <x:c r="Q412" s="233"/>
      <x:c r="R412" s="233"/>
      <x:c r="S412" s="233"/>
      <x:c r="T412" s="233"/>
      <x:c r="U412" s="233"/>
      <x:c r="V412" s="233"/>
      <x:c r="W412" s="235"/>
      <x:c r="X412" s="235"/>
      <x:c r="Y412" s="233"/>
      <x:c r="Z412" s="233"/>
      <x:c r="AA412" s="233"/>
      <x:c r="AB412" s="233"/>
      <x:c r="AC412" s="236"/>
      <x:c r="AD412" s="233"/>
      <x:c r="AE412" s="233"/>
      <x:c r="AF412" s="233"/>
      <x:c r="AG412" s="233"/>
      <x:c r="AH412" s="234"/>
      <x:c r="AI412" s="233"/>
      <x:c r="AJ412" s="233"/>
      <x:c r="AK412" s="233"/>
      <x:c r="AL412" s="236"/>
      <x:c r="AM412" s="233"/>
      <x:c r="AN412" s="233"/>
      <x:c r="AO412" s="234"/>
      <x:c r="AP412" s="234"/>
      <x:c r="AQ412" s="233"/>
      <x:c r="AR412" s="236"/>
      <x:c r="AS412" s="234"/>
      <x:c r="AT412" s="233"/>
      <x:c r="AU412" s="233"/>
      <x:c r="AV412" s="233"/>
      <x:c r="AW412" s="233"/>
      <x:c r="AX412" s="233"/>
      <x:c r="AY412" s="233"/>
      <x:c r="AZ412" s="236"/>
      <x:c r="BA412" s="233"/>
      <x:c r="BB412" s="233"/>
      <x:c r="BC412" s="233"/>
      <x:c r="BD412" s="233"/>
      <x:c r="BE412" s="237" t="str">
        <x:f>IF(AND(A412="",B412="",C412="",E412="",G412="",I412="",M412="",T412="",BB412="",BD412=""),"",IF(B412="skip","SKIP",IF(OR(B412="",A412="",E412="",G412="",I412="",M412="",T412="",COUNTIF($A$6:$A$505,A412)&gt;1,COUNTIF($M$6:$M$505,M412)&gt;1,AND(L412="mobile",N412&lt;&gt;"invalid",OR(LEN(M412)&lt;&gt;10,LEFT(M412,2)&lt;&gt;"09"))),"REVIEW","READY")))</x:f>
      </x:c>
      <x:c r="BF412" s="238" t="str">
        <x:f>IF(BE412="","",IF(BE412="READY","",IF(B412="skip","Skipped by import_action",TRIM(IF(B412="","missing import_action; ","")&amp;IF(A412="","missing migration_customer_key; ","")&amp;IF(AND(A412&lt;&gt;"",COUNTIF($A$6:$A$505,A412)&gt;1),"duplicate migration_customer_key; ","")&amp;IF(E412="","missing branch_id; ","")&amp;IF(G412="","missing first_name; ","")&amp;IF(I412="","missing last_name; ","")&amp;IF(M412="","missing primary_phone; ","")&amp;IF(AND(M412&lt;&gt;"",COUNTIF($M$6:$M$505,M412)&gt;1),"duplicate primary_phone; ","")&amp;IF(AND(L412="mobile",N412&lt;&gt;"invalid",OR(LEN(M412)&lt;&gt;10,LEFT(M412,2)&lt;&gt;"09")),"mobile must be 09XXXXXXXX or status invalid; ","")&amp;IF(T412="","missing neighborhood_id; ","")))))</x:f>
      </x:c>
    </x:row>
    <x:row r="413">
      <x:c r="A413" s="232"/>
      <x:c r="B413" s="233"/>
      <x:c r="C413" s="234"/>
      <x:c r="D413" s="233"/>
      <x:c r="E413" s="233"/>
      <x:c r="F413" s="233"/>
      <x:c r="G413" s="233"/>
      <x:c r="H413" s="233"/>
      <x:c r="I413" s="233"/>
      <x:c r="J413" s="233"/>
      <x:c r="K413" s="233" t="str">
        <x:f>TRIM(G413&amp;" "&amp;H413&amp;" "&amp;I413&amp;IF(J413&lt;&gt;""," ("&amp;J413&amp;")",""))</x:f>
      </x:c>
      <x:c r="L413" s="233"/>
      <x:c r="M413" s="234"/>
      <x:c r="N413" s="233"/>
      <x:c r="O413" s="233"/>
      <x:c r="P413" s="233"/>
      <x:c r="Q413" s="233"/>
      <x:c r="R413" s="233"/>
      <x:c r="S413" s="233"/>
      <x:c r="T413" s="233"/>
      <x:c r="U413" s="233"/>
      <x:c r="V413" s="233"/>
      <x:c r="W413" s="235"/>
      <x:c r="X413" s="235"/>
      <x:c r="Y413" s="233"/>
      <x:c r="Z413" s="233"/>
      <x:c r="AA413" s="233"/>
      <x:c r="AB413" s="233"/>
      <x:c r="AC413" s="236"/>
      <x:c r="AD413" s="233"/>
      <x:c r="AE413" s="233"/>
      <x:c r="AF413" s="233"/>
      <x:c r="AG413" s="233"/>
      <x:c r="AH413" s="234"/>
      <x:c r="AI413" s="233"/>
      <x:c r="AJ413" s="233"/>
      <x:c r="AK413" s="233"/>
      <x:c r="AL413" s="236"/>
      <x:c r="AM413" s="233"/>
      <x:c r="AN413" s="233"/>
      <x:c r="AO413" s="234"/>
      <x:c r="AP413" s="234"/>
      <x:c r="AQ413" s="233"/>
      <x:c r="AR413" s="236"/>
      <x:c r="AS413" s="234"/>
      <x:c r="AT413" s="233"/>
      <x:c r="AU413" s="233"/>
      <x:c r="AV413" s="233"/>
      <x:c r="AW413" s="233"/>
      <x:c r="AX413" s="233"/>
      <x:c r="AY413" s="233"/>
      <x:c r="AZ413" s="236"/>
      <x:c r="BA413" s="233"/>
      <x:c r="BB413" s="233"/>
      <x:c r="BC413" s="233"/>
      <x:c r="BD413" s="233"/>
      <x:c r="BE413" s="237" t="str">
        <x:f>IF(AND(A413="",B413="",C413="",E413="",G413="",I413="",M413="",T413="",BB413="",BD413=""),"",IF(B413="skip","SKIP",IF(OR(B413="",A413="",E413="",G413="",I413="",M413="",T413="",COUNTIF($A$6:$A$505,A413)&gt;1,COUNTIF($M$6:$M$505,M413)&gt;1,AND(L413="mobile",N413&lt;&gt;"invalid",OR(LEN(M413)&lt;&gt;10,LEFT(M413,2)&lt;&gt;"09"))),"REVIEW","READY")))</x:f>
      </x:c>
      <x:c r="BF413" s="238" t="str">
        <x:f>IF(BE413="","",IF(BE413="READY","",IF(B413="skip","Skipped by import_action",TRIM(IF(B413="","missing import_action; ","")&amp;IF(A413="","missing migration_customer_key; ","")&amp;IF(AND(A413&lt;&gt;"",COUNTIF($A$6:$A$505,A413)&gt;1),"duplicate migration_customer_key; ","")&amp;IF(E413="","missing branch_id; ","")&amp;IF(G413="","missing first_name; ","")&amp;IF(I413="","missing last_name; ","")&amp;IF(M413="","missing primary_phone; ","")&amp;IF(AND(M413&lt;&gt;"",COUNTIF($M$6:$M$505,M413)&gt;1),"duplicate primary_phone; ","")&amp;IF(AND(L413="mobile",N413&lt;&gt;"invalid",OR(LEN(M413)&lt;&gt;10,LEFT(M413,2)&lt;&gt;"09")),"mobile must be 09XXXXXXXX or status invalid; ","")&amp;IF(T413="","missing neighborhood_id; ","")))))</x:f>
      </x:c>
    </x:row>
    <x:row r="414">
      <x:c r="A414" s="232"/>
      <x:c r="B414" s="233"/>
      <x:c r="C414" s="234"/>
      <x:c r="D414" s="233"/>
      <x:c r="E414" s="233"/>
      <x:c r="F414" s="233"/>
      <x:c r="G414" s="233"/>
      <x:c r="H414" s="233"/>
      <x:c r="I414" s="233"/>
      <x:c r="J414" s="233"/>
      <x:c r="K414" s="233" t="str">
        <x:f>TRIM(G414&amp;" "&amp;H414&amp;" "&amp;I414&amp;IF(J414&lt;&gt;""," ("&amp;J414&amp;")",""))</x:f>
      </x:c>
      <x:c r="L414" s="233"/>
      <x:c r="M414" s="234"/>
      <x:c r="N414" s="233"/>
      <x:c r="O414" s="233"/>
      <x:c r="P414" s="233"/>
      <x:c r="Q414" s="233"/>
      <x:c r="R414" s="233"/>
      <x:c r="S414" s="233"/>
      <x:c r="T414" s="233"/>
      <x:c r="U414" s="233"/>
      <x:c r="V414" s="233"/>
      <x:c r="W414" s="235"/>
      <x:c r="X414" s="235"/>
      <x:c r="Y414" s="233"/>
      <x:c r="Z414" s="233"/>
      <x:c r="AA414" s="233"/>
      <x:c r="AB414" s="233"/>
      <x:c r="AC414" s="236"/>
      <x:c r="AD414" s="233"/>
      <x:c r="AE414" s="233"/>
      <x:c r="AF414" s="233"/>
      <x:c r="AG414" s="233"/>
      <x:c r="AH414" s="234"/>
      <x:c r="AI414" s="233"/>
      <x:c r="AJ414" s="233"/>
      <x:c r="AK414" s="233"/>
      <x:c r="AL414" s="236"/>
      <x:c r="AM414" s="233"/>
      <x:c r="AN414" s="233"/>
      <x:c r="AO414" s="234"/>
      <x:c r="AP414" s="234"/>
      <x:c r="AQ414" s="233"/>
      <x:c r="AR414" s="236"/>
      <x:c r="AS414" s="234"/>
      <x:c r="AT414" s="233"/>
      <x:c r="AU414" s="233"/>
      <x:c r="AV414" s="233"/>
      <x:c r="AW414" s="233"/>
      <x:c r="AX414" s="233"/>
      <x:c r="AY414" s="233"/>
      <x:c r="AZ414" s="236"/>
      <x:c r="BA414" s="233"/>
      <x:c r="BB414" s="233"/>
      <x:c r="BC414" s="233"/>
      <x:c r="BD414" s="233"/>
      <x:c r="BE414" s="237" t="str">
        <x:f>IF(AND(A414="",B414="",C414="",E414="",G414="",I414="",M414="",T414="",BB414="",BD414=""),"",IF(B414="skip","SKIP",IF(OR(B414="",A414="",E414="",G414="",I414="",M414="",T414="",COUNTIF($A$6:$A$505,A414)&gt;1,COUNTIF($M$6:$M$505,M414)&gt;1,AND(L414="mobile",N414&lt;&gt;"invalid",OR(LEN(M414)&lt;&gt;10,LEFT(M414,2)&lt;&gt;"09"))),"REVIEW","READY")))</x:f>
      </x:c>
      <x:c r="BF414" s="238" t="str">
        <x:f>IF(BE414="","",IF(BE414="READY","",IF(B414="skip","Skipped by import_action",TRIM(IF(B414="","missing import_action; ","")&amp;IF(A414="","missing migration_customer_key; ","")&amp;IF(AND(A414&lt;&gt;"",COUNTIF($A$6:$A$505,A414)&gt;1),"duplicate migration_customer_key; ","")&amp;IF(E414="","missing branch_id; ","")&amp;IF(G414="","missing first_name; ","")&amp;IF(I414="","missing last_name; ","")&amp;IF(M414="","missing primary_phone; ","")&amp;IF(AND(M414&lt;&gt;"",COUNTIF($M$6:$M$505,M414)&gt;1),"duplicate primary_phone; ","")&amp;IF(AND(L414="mobile",N414&lt;&gt;"invalid",OR(LEN(M414)&lt;&gt;10,LEFT(M414,2)&lt;&gt;"09")),"mobile must be 09XXXXXXXX or status invalid; ","")&amp;IF(T414="","missing neighborhood_id; ","")))))</x:f>
      </x:c>
    </x:row>
    <x:row r="415">
      <x:c r="A415" s="232"/>
      <x:c r="B415" s="233"/>
      <x:c r="C415" s="234"/>
      <x:c r="D415" s="233"/>
      <x:c r="E415" s="233"/>
      <x:c r="F415" s="233"/>
      <x:c r="G415" s="233"/>
      <x:c r="H415" s="233"/>
      <x:c r="I415" s="233"/>
      <x:c r="J415" s="233"/>
      <x:c r="K415" s="233" t="str">
        <x:f>TRIM(G415&amp;" "&amp;H415&amp;" "&amp;I415&amp;IF(J415&lt;&gt;""," ("&amp;J415&amp;")",""))</x:f>
      </x:c>
      <x:c r="L415" s="233"/>
      <x:c r="M415" s="234"/>
      <x:c r="N415" s="233"/>
      <x:c r="O415" s="233"/>
      <x:c r="P415" s="233"/>
      <x:c r="Q415" s="233"/>
      <x:c r="R415" s="233"/>
      <x:c r="S415" s="233"/>
      <x:c r="T415" s="233"/>
      <x:c r="U415" s="233"/>
      <x:c r="V415" s="233"/>
      <x:c r="W415" s="235"/>
      <x:c r="X415" s="235"/>
      <x:c r="Y415" s="233"/>
      <x:c r="Z415" s="233"/>
      <x:c r="AA415" s="233"/>
      <x:c r="AB415" s="233"/>
      <x:c r="AC415" s="236"/>
      <x:c r="AD415" s="233"/>
      <x:c r="AE415" s="233"/>
      <x:c r="AF415" s="233"/>
      <x:c r="AG415" s="233"/>
      <x:c r="AH415" s="234"/>
      <x:c r="AI415" s="233"/>
      <x:c r="AJ415" s="233"/>
      <x:c r="AK415" s="233"/>
      <x:c r="AL415" s="236"/>
      <x:c r="AM415" s="233"/>
      <x:c r="AN415" s="233"/>
      <x:c r="AO415" s="234"/>
      <x:c r="AP415" s="234"/>
      <x:c r="AQ415" s="233"/>
      <x:c r="AR415" s="236"/>
      <x:c r="AS415" s="234"/>
      <x:c r="AT415" s="233"/>
      <x:c r="AU415" s="233"/>
      <x:c r="AV415" s="233"/>
      <x:c r="AW415" s="233"/>
      <x:c r="AX415" s="233"/>
      <x:c r="AY415" s="233"/>
      <x:c r="AZ415" s="236"/>
      <x:c r="BA415" s="233"/>
      <x:c r="BB415" s="233"/>
      <x:c r="BC415" s="233"/>
      <x:c r="BD415" s="233"/>
      <x:c r="BE415" s="237" t="str">
        <x:f>IF(AND(A415="",B415="",C415="",E415="",G415="",I415="",M415="",T415="",BB415="",BD415=""),"",IF(B415="skip","SKIP",IF(OR(B415="",A415="",E415="",G415="",I415="",M415="",T415="",COUNTIF($A$6:$A$505,A415)&gt;1,COUNTIF($M$6:$M$505,M415)&gt;1,AND(L415="mobile",N415&lt;&gt;"invalid",OR(LEN(M415)&lt;&gt;10,LEFT(M415,2)&lt;&gt;"09"))),"REVIEW","READY")))</x:f>
      </x:c>
      <x:c r="BF415" s="238" t="str">
        <x:f>IF(BE415="","",IF(BE415="READY","",IF(B415="skip","Skipped by import_action",TRIM(IF(B415="","missing import_action; ","")&amp;IF(A415="","missing migration_customer_key; ","")&amp;IF(AND(A415&lt;&gt;"",COUNTIF($A$6:$A$505,A415)&gt;1),"duplicate migration_customer_key; ","")&amp;IF(E415="","missing branch_id; ","")&amp;IF(G415="","missing first_name; ","")&amp;IF(I415="","missing last_name; ","")&amp;IF(M415="","missing primary_phone; ","")&amp;IF(AND(M415&lt;&gt;"",COUNTIF($M$6:$M$505,M415)&gt;1),"duplicate primary_phone; ","")&amp;IF(AND(L415="mobile",N415&lt;&gt;"invalid",OR(LEN(M415)&lt;&gt;10,LEFT(M415,2)&lt;&gt;"09")),"mobile must be 09XXXXXXXX or status invalid; ","")&amp;IF(T415="","missing neighborhood_id; ","")))))</x:f>
      </x:c>
    </x:row>
    <x:row r="416">
      <x:c r="A416" s="232"/>
      <x:c r="B416" s="233"/>
      <x:c r="C416" s="234"/>
      <x:c r="D416" s="233"/>
      <x:c r="E416" s="233"/>
      <x:c r="F416" s="233"/>
      <x:c r="G416" s="233"/>
      <x:c r="H416" s="233"/>
      <x:c r="I416" s="233"/>
      <x:c r="J416" s="233"/>
      <x:c r="K416" s="233" t="str">
        <x:f>TRIM(G416&amp;" "&amp;H416&amp;" "&amp;I416&amp;IF(J416&lt;&gt;""," ("&amp;J416&amp;")",""))</x:f>
      </x:c>
      <x:c r="L416" s="233"/>
      <x:c r="M416" s="234"/>
      <x:c r="N416" s="233"/>
      <x:c r="O416" s="233"/>
      <x:c r="P416" s="233"/>
      <x:c r="Q416" s="233"/>
      <x:c r="R416" s="233"/>
      <x:c r="S416" s="233"/>
      <x:c r="T416" s="233"/>
      <x:c r="U416" s="233"/>
      <x:c r="V416" s="233"/>
      <x:c r="W416" s="235"/>
      <x:c r="X416" s="235"/>
      <x:c r="Y416" s="233"/>
      <x:c r="Z416" s="233"/>
      <x:c r="AA416" s="233"/>
      <x:c r="AB416" s="233"/>
      <x:c r="AC416" s="236"/>
      <x:c r="AD416" s="233"/>
      <x:c r="AE416" s="233"/>
      <x:c r="AF416" s="233"/>
      <x:c r="AG416" s="233"/>
      <x:c r="AH416" s="234"/>
      <x:c r="AI416" s="233"/>
      <x:c r="AJ416" s="233"/>
      <x:c r="AK416" s="233"/>
      <x:c r="AL416" s="236"/>
      <x:c r="AM416" s="233"/>
      <x:c r="AN416" s="233"/>
      <x:c r="AO416" s="234"/>
      <x:c r="AP416" s="234"/>
      <x:c r="AQ416" s="233"/>
      <x:c r="AR416" s="236"/>
      <x:c r="AS416" s="234"/>
      <x:c r="AT416" s="233"/>
      <x:c r="AU416" s="233"/>
      <x:c r="AV416" s="233"/>
      <x:c r="AW416" s="233"/>
      <x:c r="AX416" s="233"/>
      <x:c r="AY416" s="233"/>
      <x:c r="AZ416" s="236"/>
      <x:c r="BA416" s="233"/>
      <x:c r="BB416" s="233"/>
      <x:c r="BC416" s="233"/>
      <x:c r="BD416" s="233"/>
      <x:c r="BE416" s="237" t="str">
        <x:f>IF(AND(A416="",B416="",C416="",E416="",G416="",I416="",M416="",T416="",BB416="",BD416=""),"",IF(B416="skip","SKIP",IF(OR(B416="",A416="",E416="",G416="",I416="",M416="",T416="",COUNTIF($A$6:$A$505,A416)&gt;1,COUNTIF($M$6:$M$505,M416)&gt;1,AND(L416="mobile",N416&lt;&gt;"invalid",OR(LEN(M416)&lt;&gt;10,LEFT(M416,2)&lt;&gt;"09"))),"REVIEW","READY")))</x:f>
      </x:c>
      <x:c r="BF416" s="238" t="str">
        <x:f>IF(BE416="","",IF(BE416="READY","",IF(B416="skip","Skipped by import_action",TRIM(IF(B416="","missing import_action; ","")&amp;IF(A416="","missing migration_customer_key; ","")&amp;IF(AND(A416&lt;&gt;"",COUNTIF($A$6:$A$505,A416)&gt;1),"duplicate migration_customer_key; ","")&amp;IF(E416="","missing branch_id; ","")&amp;IF(G416="","missing first_name; ","")&amp;IF(I416="","missing last_name; ","")&amp;IF(M416="","missing primary_phone; ","")&amp;IF(AND(M416&lt;&gt;"",COUNTIF($M$6:$M$505,M416)&gt;1),"duplicate primary_phone; ","")&amp;IF(AND(L416="mobile",N416&lt;&gt;"invalid",OR(LEN(M416)&lt;&gt;10,LEFT(M416,2)&lt;&gt;"09")),"mobile must be 09XXXXXXXX or status invalid; ","")&amp;IF(T416="","missing neighborhood_id; ","")))))</x:f>
      </x:c>
    </x:row>
    <x:row r="417">
      <x:c r="A417" s="232"/>
      <x:c r="B417" s="233"/>
      <x:c r="C417" s="234"/>
      <x:c r="D417" s="233"/>
      <x:c r="E417" s="233"/>
      <x:c r="F417" s="233"/>
      <x:c r="G417" s="233"/>
      <x:c r="H417" s="233"/>
      <x:c r="I417" s="233"/>
      <x:c r="J417" s="233"/>
      <x:c r="K417" s="233" t="str">
        <x:f>TRIM(G417&amp;" "&amp;H417&amp;" "&amp;I417&amp;IF(J417&lt;&gt;""," ("&amp;J417&amp;")",""))</x:f>
      </x:c>
      <x:c r="L417" s="233"/>
      <x:c r="M417" s="234"/>
      <x:c r="N417" s="233"/>
      <x:c r="O417" s="233"/>
      <x:c r="P417" s="233"/>
      <x:c r="Q417" s="233"/>
      <x:c r="R417" s="233"/>
      <x:c r="S417" s="233"/>
      <x:c r="T417" s="233"/>
      <x:c r="U417" s="233"/>
      <x:c r="V417" s="233"/>
      <x:c r="W417" s="235"/>
      <x:c r="X417" s="235"/>
      <x:c r="Y417" s="233"/>
      <x:c r="Z417" s="233"/>
      <x:c r="AA417" s="233"/>
      <x:c r="AB417" s="233"/>
      <x:c r="AC417" s="236"/>
      <x:c r="AD417" s="233"/>
      <x:c r="AE417" s="233"/>
      <x:c r="AF417" s="233"/>
      <x:c r="AG417" s="233"/>
      <x:c r="AH417" s="234"/>
      <x:c r="AI417" s="233"/>
      <x:c r="AJ417" s="233"/>
      <x:c r="AK417" s="233"/>
      <x:c r="AL417" s="236"/>
      <x:c r="AM417" s="233"/>
      <x:c r="AN417" s="233"/>
      <x:c r="AO417" s="234"/>
      <x:c r="AP417" s="234"/>
      <x:c r="AQ417" s="233"/>
      <x:c r="AR417" s="236"/>
      <x:c r="AS417" s="234"/>
      <x:c r="AT417" s="233"/>
      <x:c r="AU417" s="233"/>
      <x:c r="AV417" s="233"/>
      <x:c r="AW417" s="233"/>
      <x:c r="AX417" s="233"/>
      <x:c r="AY417" s="233"/>
      <x:c r="AZ417" s="236"/>
      <x:c r="BA417" s="233"/>
      <x:c r="BB417" s="233"/>
      <x:c r="BC417" s="233"/>
      <x:c r="BD417" s="233"/>
      <x:c r="BE417" s="237" t="str">
        <x:f>IF(AND(A417="",B417="",C417="",E417="",G417="",I417="",M417="",T417="",BB417="",BD417=""),"",IF(B417="skip","SKIP",IF(OR(B417="",A417="",E417="",G417="",I417="",M417="",T417="",COUNTIF($A$6:$A$505,A417)&gt;1,COUNTIF($M$6:$M$505,M417)&gt;1,AND(L417="mobile",N417&lt;&gt;"invalid",OR(LEN(M417)&lt;&gt;10,LEFT(M417,2)&lt;&gt;"09"))),"REVIEW","READY")))</x:f>
      </x:c>
      <x:c r="BF417" s="238" t="str">
        <x:f>IF(BE417="","",IF(BE417="READY","",IF(B417="skip","Skipped by import_action",TRIM(IF(B417="","missing import_action; ","")&amp;IF(A417="","missing migration_customer_key; ","")&amp;IF(AND(A417&lt;&gt;"",COUNTIF($A$6:$A$505,A417)&gt;1),"duplicate migration_customer_key; ","")&amp;IF(E417="","missing branch_id; ","")&amp;IF(G417="","missing first_name; ","")&amp;IF(I417="","missing last_name; ","")&amp;IF(M417="","missing primary_phone; ","")&amp;IF(AND(M417&lt;&gt;"",COUNTIF($M$6:$M$505,M417)&gt;1),"duplicate primary_phone; ","")&amp;IF(AND(L417="mobile",N417&lt;&gt;"invalid",OR(LEN(M417)&lt;&gt;10,LEFT(M417,2)&lt;&gt;"09")),"mobile must be 09XXXXXXXX or status invalid; ","")&amp;IF(T417="","missing neighborhood_id; ","")))))</x:f>
      </x:c>
    </x:row>
    <x:row r="418">
      <x:c r="A418" s="232"/>
      <x:c r="B418" s="233"/>
      <x:c r="C418" s="234"/>
      <x:c r="D418" s="233"/>
      <x:c r="E418" s="233"/>
      <x:c r="F418" s="233"/>
      <x:c r="G418" s="233"/>
      <x:c r="H418" s="233"/>
      <x:c r="I418" s="233"/>
      <x:c r="J418" s="233"/>
      <x:c r="K418" s="233" t="str">
        <x:f>TRIM(G418&amp;" "&amp;H418&amp;" "&amp;I418&amp;IF(J418&lt;&gt;""," ("&amp;J418&amp;")",""))</x:f>
      </x:c>
      <x:c r="L418" s="233"/>
      <x:c r="M418" s="234"/>
      <x:c r="N418" s="233"/>
      <x:c r="O418" s="233"/>
      <x:c r="P418" s="233"/>
      <x:c r="Q418" s="233"/>
      <x:c r="R418" s="233"/>
      <x:c r="S418" s="233"/>
      <x:c r="T418" s="233"/>
      <x:c r="U418" s="233"/>
      <x:c r="V418" s="233"/>
      <x:c r="W418" s="235"/>
      <x:c r="X418" s="235"/>
      <x:c r="Y418" s="233"/>
      <x:c r="Z418" s="233"/>
      <x:c r="AA418" s="233"/>
      <x:c r="AB418" s="233"/>
      <x:c r="AC418" s="236"/>
      <x:c r="AD418" s="233"/>
      <x:c r="AE418" s="233"/>
      <x:c r="AF418" s="233"/>
      <x:c r="AG418" s="233"/>
      <x:c r="AH418" s="234"/>
      <x:c r="AI418" s="233"/>
      <x:c r="AJ418" s="233"/>
      <x:c r="AK418" s="233"/>
      <x:c r="AL418" s="236"/>
      <x:c r="AM418" s="233"/>
      <x:c r="AN418" s="233"/>
      <x:c r="AO418" s="234"/>
      <x:c r="AP418" s="234"/>
      <x:c r="AQ418" s="233"/>
      <x:c r="AR418" s="236"/>
      <x:c r="AS418" s="234"/>
      <x:c r="AT418" s="233"/>
      <x:c r="AU418" s="233"/>
      <x:c r="AV418" s="233"/>
      <x:c r="AW418" s="233"/>
      <x:c r="AX418" s="233"/>
      <x:c r="AY418" s="233"/>
      <x:c r="AZ418" s="236"/>
      <x:c r="BA418" s="233"/>
      <x:c r="BB418" s="233"/>
      <x:c r="BC418" s="233"/>
      <x:c r="BD418" s="233"/>
      <x:c r="BE418" s="237" t="str">
        <x:f>IF(AND(A418="",B418="",C418="",E418="",G418="",I418="",M418="",T418="",BB418="",BD418=""),"",IF(B418="skip","SKIP",IF(OR(B418="",A418="",E418="",G418="",I418="",M418="",T418="",COUNTIF($A$6:$A$505,A418)&gt;1,COUNTIF($M$6:$M$505,M418)&gt;1,AND(L418="mobile",N418&lt;&gt;"invalid",OR(LEN(M418)&lt;&gt;10,LEFT(M418,2)&lt;&gt;"09"))),"REVIEW","READY")))</x:f>
      </x:c>
      <x:c r="BF418" s="238" t="str">
        <x:f>IF(BE418="","",IF(BE418="READY","",IF(B418="skip","Skipped by import_action",TRIM(IF(B418="","missing import_action; ","")&amp;IF(A418="","missing migration_customer_key; ","")&amp;IF(AND(A418&lt;&gt;"",COUNTIF($A$6:$A$505,A418)&gt;1),"duplicate migration_customer_key; ","")&amp;IF(E418="","missing branch_id; ","")&amp;IF(G418="","missing first_name; ","")&amp;IF(I418="","missing last_name; ","")&amp;IF(M418="","missing primary_phone; ","")&amp;IF(AND(M418&lt;&gt;"",COUNTIF($M$6:$M$505,M418)&gt;1),"duplicate primary_phone; ","")&amp;IF(AND(L418="mobile",N418&lt;&gt;"invalid",OR(LEN(M418)&lt;&gt;10,LEFT(M418,2)&lt;&gt;"09")),"mobile must be 09XXXXXXXX or status invalid; ","")&amp;IF(T418="","missing neighborhood_id; ","")))))</x:f>
      </x:c>
    </x:row>
    <x:row r="419">
      <x:c r="A419" s="232"/>
      <x:c r="B419" s="233"/>
      <x:c r="C419" s="234"/>
      <x:c r="D419" s="233"/>
      <x:c r="E419" s="233"/>
      <x:c r="F419" s="233"/>
      <x:c r="G419" s="233"/>
      <x:c r="H419" s="233"/>
      <x:c r="I419" s="233"/>
      <x:c r="J419" s="233"/>
      <x:c r="K419" s="233" t="str">
        <x:f>TRIM(G419&amp;" "&amp;H419&amp;" "&amp;I419&amp;IF(J419&lt;&gt;""," ("&amp;J419&amp;")",""))</x:f>
      </x:c>
      <x:c r="L419" s="233"/>
      <x:c r="M419" s="234"/>
      <x:c r="N419" s="233"/>
      <x:c r="O419" s="233"/>
      <x:c r="P419" s="233"/>
      <x:c r="Q419" s="233"/>
      <x:c r="R419" s="233"/>
      <x:c r="S419" s="233"/>
      <x:c r="T419" s="233"/>
      <x:c r="U419" s="233"/>
      <x:c r="V419" s="233"/>
      <x:c r="W419" s="235"/>
      <x:c r="X419" s="235"/>
      <x:c r="Y419" s="233"/>
      <x:c r="Z419" s="233"/>
      <x:c r="AA419" s="233"/>
      <x:c r="AB419" s="233"/>
      <x:c r="AC419" s="236"/>
      <x:c r="AD419" s="233"/>
      <x:c r="AE419" s="233"/>
      <x:c r="AF419" s="233"/>
      <x:c r="AG419" s="233"/>
      <x:c r="AH419" s="234"/>
      <x:c r="AI419" s="233"/>
      <x:c r="AJ419" s="233"/>
      <x:c r="AK419" s="233"/>
      <x:c r="AL419" s="236"/>
      <x:c r="AM419" s="233"/>
      <x:c r="AN419" s="233"/>
      <x:c r="AO419" s="234"/>
      <x:c r="AP419" s="234"/>
      <x:c r="AQ419" s="233"/>
      <x:c r="AR419" s="236"/>
      <x:c r="AS419" s="234"/>
      <x:c r="AT419" s="233"/>
      <x:c r="AU419" s="233"/>
      <x:c r="AV419" s="233"/>
      <x:c r="AW419" s="233"/>
      <x:c r="AX419" s="233"/>
      <x:c r="AY419" s="233"/>
      <x:c r="AZ419" s="236"/>
      <x:c r="BA419" s="233"/>
      <x:c r="BB419" s="233"/>
      <x:c r="BC419" s="233"/>
      <x:c r="BD419" s="233"/>
      <x:c r="BE419" s="237" t="str">
        <x:f>IF(AND(A419="",B419="",C419="",E419="",G419="",I419="",M419="",T419="",BB419="",BD419=""),"",IF(B419="skip","SKIP",IF(OR(B419="",A419="",E419="",G419="",I419="",M419="",T419="",COUNTIF($A$6:$A$505,A419)&gt;1,COUNTIF($M$6:$M$505,M419)&gt;1,AND(L419="mobile",N419&lt;&gt;"invalid",OR(LEN(M419)&lt;&gt;10,LEFT(M419,2)&lt;&gt;"09"))),"REVIEW","READY")))</x:f>
      </x:c>
      <x:c r="BF419" s="238" t="str">
        <x:f>IF(BE419="","",IF(BE419="READY","",IF(B419="skip","Skipped by import_action",TRIM(IF(B419="","missing import_action; ","")&amp;IF(A419="","missing migration_customer_key; ","")&amp;IF(AND(A419&lt;&gt;"",COUNTIF($A$6:$A$505,A419)&gt;1),"duplicate migration_customer_key; ","")&amp;IF(E419="","missing branch_id; ","")&amp;IF(G419="","missing first_name; ","")&amp;IF(I419="","missing last_name; ","")&amp;IF(M419="","missing primary_phone; ","")&amp;IF(AND(M419&lt;&gt;"",COUNTIF($M$6:$M$505,M419)&gt;1),"duplicate primary_phone; ","")&amp;IF(AND(L419="mobile",N419&lt;&gt;"invalid",OR(LEN(M419)&lt;&gt;10,LEFT(M419,2)&lt;&gt;"09")),"mobile must be 09XXXXXXXX or status invalid; ","")&amp;IF(T419="","missing neighborhood_id; ","")))))</x:f>
      </x:c>
    </x:row>
    <x:row r="420">
      <x:c r="A420" s="232"/>
      <x:c r="B420" s="233"/>
      <x:c r="C420" s="234"/>
      <x:c r="D420" s="233"/>
      <x:c r="E420" s="233"/>
      <x:c r="F420" s="233"/>
      <x:c r="G420" s="233"/>
      <x:c r="H420" s="233"/>
      <x:c r="I420" s="233"/>
      <x:c r="J420" s="233"/>
      <x:c r="K420" s="233" t="str">
        <x:f>TRIM(G420&amp;" "&amp;H420&amp;" "&amp;I420&amp;IF(J420&lt;&gt;""," ("&amp;J420&amp;")",""))</x:f>
      </x:c>
      <x:c r="L420" s="233"/>
      <x:c r="M420" s="234"/>
      <x:c r="N420" s="233"/>
      <x:c r="O420" s="233"/>
      <x:c r="P420" s="233"/>
      <x:c r="Q420" s="233"/>
      <x:c r="R420" s="233"/>
      <x:c r="S420" s="233"/>
      <x:c r="T420" s="233"/>
      <x:c r="U420" s="233"/>
      <x:c r="V420" s="233"/>
      <x:c r="W420" s="235"/>
      <x:c r="X420" s="235"/>
      <x:c r="Y420" s="233"/>
      <x:c r="Z420" s="233"/>
      <x:c r="AA420" s="233"/>
      <x:c r="AB420" s="233"/>
      <x:c r="AC420" s="236"/>
      <x:c r="AD420" s="233"/>
      <x:c r="AE420" s="233"/>
      <x:c r="AF420" s="233"/>
      <x:c r="AG420" s="233"/>
      <x:c r="AH420" s="234"/>
      <x:c r="AI420" s="233"/>
      <x:c r="AJ420" s="233"/>
      <x:c r="AK420" s="233"/>
      <x:c r="AL420" s="236"/>
      <x:c r="AM420" s="233"/>
      <x:c r="AN420" s="233"/>
      <x:c r="AO420" s="234"/>
      <x:c r="AP420" s="234"/>
      <x:c r="AQ420" s="233"/>
      <x:c r="AR420" s="236"/>
      <x:c r="AS420" s="234"/>
      <x:c r="AT420" s="233"/>
      <x:c r="AU420" s="233"/>
      <x:c r="AV420" s="233"/>
      <x:c r="AW420" s="233"/>
      <x:c r="AX420" s="233"/>
      <x:c r="AY420" s="233"/>
      <x:c r="AZ420" s="236"/>
      <x:c r="BA420" s="233"/>
      <x:c r="BB420" s="233"/>
      <x:c r="BC420" s="233"/>
      <x:c r="BD420" s="233"/>
      <x:c r="BE420" s="237" t="str">
        <x:f>IF(AND(A420="",B420="",C420="",E420="",G420="",I420="",M420="",T420="",BB420="",BD420=""),"",IF(B420="skip","SKIP",IF(OR(B420="",A420="",E420="",G420="",I420="",M420="",T420="",COUNTIF($A$6:$A$505,A420)&gt;1,COUNTIF($M$6:$M$505,M420)&gt;1,AND(L420="mobile",N420&lt;&gt;"invalid",OR(LEN(M420)&lt;&gt;10,LEFT(M420,2)&lt;&gt;"09"))),"REVIEW","READY")))</x:f>
      </x:c>
      <x:c r="BF420" s="238" t="str">
        <x:f>IF(BE420="","",IF(BE420="READY","",IF(B420="skip","Skipped by import_action",TRIM(IF(B420="","missing import_action; ","")&amp;IF(A420="","missing migration_customer_key; ","")&amp;IF(AND(A420&lt;&gt;"",COUNTIF($A$6:$A$505,A420)&gt;1),"duplicate migration_customer_key; ","")&amp;IF(E420="","missing branch_id; ","")&amp;IF(G420="","missing first_name; ","")&amp;IF(I420="","missing last_name; ","")&amp;IF(M420="","missing primary_phone; ","")&amp;IF(AND(M420&lt;&gt;"",COUNTIF($M$6:$M$505,M420)&gt;1),"duplicate primary_phone; ","")&amp;IF(AND(L420="mobile",N420&lt;&gt;"invalid",OR(LEN(M420)&lt;&gt;10,LEFT(M420,2)&lt;&gt;"09")),"mobile must be 09XXXXXXXX or status invalid; ","")&amp;IF(T420="","missing neighborhood_id; ","")))))</x:f>
      </x:c>
    </x:row>
    <x:row r="421">
      <x:c r="A421" s="232"/>
      <x:c r="B421" s="233"/>
      <x:c r="C421" s="234"/>
      <x:c r="D421" s="233"/>
      <x:c r="E421" s="233"/>
      <x:c r="F421" s="233"/>
      <x:c r="G421" s="233"/>
      <x:c r="H421" s="233"/>
      <x:c r="I421" s="233"/>
      <x:c r="J421" s="233"/>
      <x:c r="K421" s="233" t="str">
        <x:f>TRIM(G421&amp;" "&amp;H421&amp;" "&amp;I421&amp;IF(J421&lt;&gt;""," ("&amp;J421&amp;")",""))</x:f>
      </x:c>
      <x:c r="L421" s="233"/>
      <x:c r="M421" s="234"/>
      <x:c r="N421" s="233"/>
      <x:c r="O421" s="233"/>
      <x:c r="P421" s="233"/>
      <x:c r="Q421" s="233"/>
      <x:c r="R421" s="233"/>
      <x:c r="S421" s="233"/>
      <x:c r="T421" s="233"/>
      <x:c r="U421" s="233"/>
      <x:c r="V421" s="233"/>
      <x:c r="W421" s="235"/>
      <x:c r="X421" s="235"/>
      <x:c r="Y421" s="233"/>
      <x:c r="Z421" s="233"/>
      <x:c r="AA421" s="233"/>
      <x:c r="AB421" s="233"/>
      <x:c r="AC421" s="236"/>
      <x:c r="AD421" s="233"/>
      <x:c r="AE421" s="233"/>
      <x:c r="AF421" s="233"/>
      <x:c r="AG421" s="233"/>
      <x:c r="AH421" s="234"/>
      <x:c r="AI421" s="233"/>
      <x:c r="AJ421" s="233"/>
      <x:c r="AK421" s="233"/>
      <x:c r="AL421" s="236"/>
      <x:c r="AM421" s="233"/>
      <x:c r="AN421" s="233"/>
      <x:c r="AO421" s="234"/>
      <x:c r="AP421" s="234"/>
      <x:c r="AQ421" s="233"/>
      <x:c r="AR421" s="236"/>
      <x:c r="AS421" s="234"/>
      <x:c r="AT421" s="233"/>
      <x:c r="AU421" s="233"/>
      <x:c r="AV421" s="233"/>
      <x:c r="AW421" s="233"/>
      <x:c r="AX421" s="233"/>
      <x:c r="AY421" s="233"/>
      <x:c r="AZ421" s="236"/>
      <x:c r="BA421" s="233"/>
      <x:c r="BB421" s="233"/>
      <x:c r="BC421" s="233"/>
      <x:c r="BD421" s="233"/>
      <x:c r="BE421" s="237" t="str">
        <x:f>IF(AND(A421="",B421="",C421="",E421="",G421="",I421="",M421="",T421="",BB421="",BD421=""),"",IF(B421="skip","SKIP",IF(OR(B421="",A421="",E421="",G421="",I421="",M421="",T421="",COUNTIF($A$6:$A$505,A421)&gt;1,COUNTIF($M$6:$M$505,M421)&gt;1,AND(L421="mobile",N421&lt;&gt;"invalid",OR(LEN(M421)&lt;&gt;10,LEFT(M421,2)&lt;&gt;"09"))),"REVIEW","READY")))</x:f>
      </x:c>
      <x:c r="BF421" s="238" t="str">
        <x:f>IF(BE421="","",IF(BE421="READY","",IF(B421="skip","Skipped by import_action",TRIM(IF(B421="","missing import_action; ","")&amp;IF(A421="","missing migration_customer_key; ","")&amp;IF(AND(A421&lt;&gt;"",COUNTIF($A$6:$A$505,A421)&gt;1),"duplicate migration_customer_key; ","")&amp;IF(E421="","missing branch_id; ","")&amp;IF(G421="","missing first_name; ","")&amp;IF(I421="","missing last_name; ","")&amp;IF(M421="","missing primary_phone; ","")&amp;IF(AND(M421&lt;&gt;"",COUNTIF($M$6:$M$505,M421)&gt;1),"duplicate primary_phone; ","")&amp;IF(AND(L421="mobile",N421&lt;&gt;"invalid",OR(LEN(M421)&lt;&gt;10,LEFT(M421,2)&lt;&gt;"09")),"mobile must be 09XXXXXXXX or status invalid; ","")&amp;IF(T421="","missing neighborhood_id; ","")))))</x:f>
      </x:c>
    </x:row>
    <x:row r="422">
      <x:c r="A422" s="232"/>
      <x:c r="B422" s="233"/>
      <x:c r="C422" s="234"/>
      <x:c r="D422" s="233"/>
      <x:c r="E422" s="233"/>
      <x:c r="F422" s="233"/>
      <x:c r="G422" s="233"/>
      <x:c r="H422" s="233"/>
      <x:c r="I422" s="233"/>
      <x:c r="J422" s="233"/>
      <x:c r="K422" s="233" t="str">
        <x:f>TRIM(G422&amp;" "&amp;H422&amp;" "&amp;I422&amp;IF(J422&lt;&gt;""," ("&amp;J422&amp;")",""))</x:f>
      </x:c>
      <x:c r="L422" s="233"/>
      <x:c r="M422" s="234"/>
      <x:c r="N422" s="233"/>
      <x:c r="O422" s="233"/>
      <x:c r="P422" s="233"/>
      <x:c r="Q422" s="233"/>
      <x:c r="R422" s="233"/>
      <x:c r="S422" s="233"/>
      <x:c r="T422" s="233"/>
      <x:c r="U422" s="233"/>
      <x:c r="V422" s="233"/>
      <x:c r="W422" s="235"/>
      <x:c r="X422" s="235"/>
      <x:c r="Y422" s="233"/>
      <x:c r="Z422" s="233"/>
      <x:c r="AA422" s="233"/>
      <x:c r="AB422" s="233"/>
      <x:c r="AC422" s="236"/>
      <x:c r="AD422" s="233"/>
      <x:c r="AE422" s="233"/>
      <x:c r="AF422" s="233"/>
      <x:c r="AG422" s="233"/>
      <x:c r="AH422" s="234"/>
      <x:c r="AI422" s="233"/>
      <x:c r="AJ422" s="233"/>
      <x:c r="AK422" s="233"/>
      <x:c r="AL422" s="236"/>
      <x:c r="AM422" s="233"/>
      <x:c r="AN422" s="233"/>
      <x:c r="AO422" s="234"/>
      <x:c r="AP422" s="234"/>
      <x:c r="AQ422" s="233"/>
      <x:c r="AR422" s="236"/>
      <x:c r="AS422" s="234"/>
      <x:c r="AT422" s="233"/>
      <x:c r="AU422" s="233"/>
      <x:c r="AV422" s="233"/>
      <x:c r="AW422" s="233"/>
      <x:c r="AX422" s="233"/>
      <x:c r="AY422" s="233"/>
      <x:c r="AZ422" s="236"/>
      <x:c r="BA422" s="233"/>
      <x:c r="BB422" s="233"/>
      <x:c r="BC422" s="233"/>
      <x:c r="BD422" s="233"/>
      <x:c r="BE422" s="237" t="str">
        <x:f>IF(AND(A422="",B422="",C422="",E422="",G422="",I422="",M422="",T422="",BB422="",BD422=""),"",IF(B422="skip","SKIP",IF(OR(B422="",A422="",E422="",G422="",I422="",M422="",T422="",COUNTIF($A$6:$A$505,A422)&gt;1,COUNTIF($M$6:$M$505,M422)&gt;1,AND(L422="mobile",N422&lt;&gt;"invalid",OR(LEN(M422)&lt;&gt;10,LEFT(M422,2)&lt;&gt;"09"))),"REVIEW","READY")))</x:f>
      </x:c>
      <x:c r="BF422" s="238" t="str">
        <x:f>IF(BE422="","",IF(BE422="READY","",IF(B422="skip","Skipped by import_action",TRIM(IF(B422="","missing import_action; ","")&amp;IF(A422="","missing migration_customer_key; ","")&amp;IF(AND(A422&lt;&gt;"",COUNTIF($A$6:$A$505,A422)&gt;1),"duplicate migration_customer_key; ","")&amp;IF(E422="","missing branch_id; ","")&amp;IF(G422="","missing first_name; ","")&amp;IF(I422="","missing last_name; ","")&amp;IF(M422="","missing primary_phone; ","")&amp;IF(AND(M422&lt;&gt;"",COUNTIF($M$6:$M$505,M422)&gt;1),"duplicate primary_phone; ","")&amp;IF(AND(L422="mobile",N422&lt;&gt;"invalid",OR(LEN(M422)&lt;&gt;10,LEFT(M422,2)&lt;&gt;"09")),"mobile must be 09XXXXXXXX or status invalid; ","")&amp;IF(T422="","missing neighborhood_id; ","")))))</x:f>
      </x:c>
    </x:row>
    <x:row r="423">
      <x:c r="A423" s="232"/>
      <x:c r="B423" s="233"/>
      <x:c r="C423" s="234"/>
      <x:c r="D423" s="233"/>
      <x:c r="E423" s="233"/>
      <x:c r="F423" s="233"/>
      <x:c r="G423" s="233"/>
      <x:c r="H423" s="233"/>
      <x:c r="I423" s="233"/>
      <x:c r="J423" s="233"/>
      <x:c r="K423" s="233" t="str">
        <x:f>TRIM(G423&amp;" "&amp;H423&amp;" "&amp;I423&amp;IF(J423&lt;&gt;""," ("&amp;J423&amp;")",""))</x:f>
      </x:c>
      <x:c r="L423" s="233"/>
      <x:c r="M423" s="234"/>
      <x:c r="N423" s="233"/>
      <x:c r="O423" s="233"/>
      <x:c r="P423" s="233"/>
      <x:c r="Q423" s="233"/>
      <x:c r="R423" s="233"/>
      <x:c r="S423" s="233"/>
      <x:c r="T423" s="233"/>
      <x:c r="U423" s="233"/>
      <x:c r="V423" s="233"/>
      <x:c r="W423" s="235"/>
      <x:c r="X423" s="235"/>
      <x:c r="Y423" s="233"/>
      <x:c r="Z423" s="233"/>
      <x:c r="AA423" s="233"/>
      <x:c r="AB423" s="233"/>
      <x:c r="AC423" s="236"/>
      <x:c r="AD423" s="233"/>
      <x:c r="AE423" s="233"/>
      <x:c r="AF423" s="233"/>
      <x:c r="AG423" s="233"/>
      <x:c r="AH423" s="234"/>
      <x:c r="AI423" s="233"/>
      <x:c r="AJ423" s="233"/>
      <x:c r="AK423" s="233"/>
      <x:c r="AL423" s="236"/>
      <x:c r="AM423" s="233"/>
      <x:c r="AN423" s="233"/>
      <x:c r="AO423" s="234"/>
      <x:c r="AP423" s="234"/>
      <x:c r="AQ423" s="233"/>
      <x:c r="AR423" s="236"/>
      <x:c r="AS423" s="234"/>
      <x:c r="AT423" s="233"/>
      <x:c r="AU423" s="233"/>
      <x:c r="AV423" s="233"/>
      <x:c r="AW423" s="233"/>
      <x:c r="AX423" s="233"/>
      <x:c r="AY423" s="233"/>
      <x:c r="AZ423" s="236"/>
      <x:c r="BA423" s="233"/>
      <x:c r="BB423" s="233"/>
      <x:c r="BC423" s="233"/>
      <x:c r="BD423" s="233"/>
      <x:c r="BE423" s="237" t="str">
        <x:f>IF(AND(A423="",B423="",C423="",E423="",G423="",I423="",M423="",T423="",BB423="",BD423=""),"",IF(B423="skip","SKIP",IF(OR(B423="",A423="",E423="",G423="",I423="",M423="",T423="",COUNTIF($A$6:$A$505,A423)&gt;1,COUNTIF($M$6:$M$505,M423)&gt;1,AND(L423="mobile",N423&lt;&gt;"invalid",OR(LEN(M423)&lt;&gt;10,LEFT(M423,2)&lt;&gt;"09"))),"REVIEW","READY")))</x:f>
      </x:c>
      <x:c r="BF423" s="238" t="str">
        <x:f>IF(BE423="","",IF(BE423="READY","",IF(B423="skip","Skipped by import_action",TRIM(IF(B423="","missing import_action; ","")&amp;IF(A423="","missing migration_customer_key; ","")&amp;IF(AND(A423&lt;&gt;"",COUNTIF($A$6:$A$505,A423)&gt;1),"duplicate migration_customer_key; ","")&amp;IF(E423="","missing branch_id; ","")&amp;IF(G423="","missing first_name; ","")&amp;IF(I423="","missing last_name; ","")&amp;IF(M423="","missing primary_phone; ","")&amp;IF(AND(M423&lt;&gt;"",COUNTIF($M$6:$M$505,M423)&gt;1),"duplicate primary_phone; ","")&amp;IF(AND(L423="mobile",N423&lt;&gt;"invalid",OR(LEN(M423)&lt;&gt;10,LEFT(M423,2)&lt;&gt;"09")),"mobile must be 09XXXXXXXX or status invalid; ","")&amp;IF(T423="","missing neighborhood_id; ","")))))</x:f>
      </x:c>
    </x:row>
    <x:row r="424">
      <x:c r="A424" s="232"/>
      <x:c r="B424" s="233"/>
      <x:c r="C424" s="234"/>
      <x:c r="D424" s="233"/>
      <x:c r="E424" s="233"/>
      <x:c r="F424" s="233"/>
      <x:c r="G424" s="233"/>
      <x:c r="H424" s="233"/>
      <x:c r="I424" s="233"/>
      <x:c r="J424" s="233"/>
      <x:c r="K424" s="233" t="str">
        <x:f>TRIM(G424&amp;" "&amp;H424&amp;" "&amp;I424&amp;IF(J424&lt;&gt;""," ("&amp;J424&amp;")",""))</x:f>
      </x:c>
      <x:c r="L424" s="233"/>
      <x:c r="M424" s="234"/>
      <x:c r="N424" s="233"/>
      <x:c r="O424" s="233"/>
      <x:c r="P424" s="233"/>
      <x:c r="Q424" s="233"/>
      <x:c r="R424" s="233"/>
      <x:c r="S424" s="233"/>
      <x:c r="T424" s="233"/>
      <x:c r="U424" s="233"/>
      <x:c r="V424" s="233"/>
      <x:c r="W424" s="235"/>
      <x:c r="X424" s="235"/>
      <x:c r="Y424" s="233"/>
      <x:c r="Z424" s="233"/>
      <x:c r="AA424" s="233"/>
      <x:c r="AB424" s="233"/>
      <x:c r="AC424" s="236"/>
      <x:c r="AD424" s="233"/>
      <x:c r="AE424" s="233"/>
      <x:c r="AF424" s="233"/>
      <x:c r="AG424" s="233"/>
      <x:c r="AH424" s="234"/>
      <x:c r="AI424" s="233"/>
      <x:c r="AJ424" s="233"/>
      <x:c r="AK424" s="233"/>
      <x:c r="AL424" s="236"/>
      <x:c r="AM424" s="233"/>
      <x:c r="AN424" s="233"/>
      <x:c r="AO424" s="234"/>
      <x:c r="AP424" s="234"/>
      <x:c r="AQ424" s="233"/>
      <x:c r="AR424" s="236"/>
      <x:c r="AS424" s="234"/>
      <x:c r="AT424" s="233"/>
      <x:c r="AU424" s="233"/>
      <x:c r="AV424" s="233"/>
      <x:c r="AW424" s="233"/>
      <x:c r="AX424" s="233"/>
      <x:c r="AY424" s="233"/>
      <x:c r="AZ424" s="236"/>
      <x:c r="BA424" s="233"/>
      <x:c r="BB424" s="233"/>
      <x:c r="BC424" s="233"/>
      <x:c r="BD424" s="233"/>
      <x:c r="BE424" s="237" t="str">
        <x:f>IF(AND(A424="",B424="",C424="",E424="",G424="",I424="",M424="",T424="",BB424="",BD424=""),"",IF(B424="skip","SKIP",IF(OR(B424="",A424="",E424="",G424="",I424="",M424="",T424="",COUNTIF($A$6:$A$505,A424)&gt;1,COUNTIF($M$6:$M$505,M424)&gt;1,AND(L424="mobile",N424&lt;&gt;"invalid",OR(LEN(M424)&lt;&gt;10,LEFT(M424,2)&lt;&gt;"09"))),"REVIEW","READY")))</x:f>
      </x:c>
      <x:c r="BF424" s="238" t="str">
        <x:f>IF(BE424="","",IF(BE424="READY","",IF(B424="skip","Skipped by import_action",TRIM(IF(B424="","missing import_action; ","")&amp;IF(A424="","missing migration_customer_key; ","")&amp;IF(AND(A424&lt;&gt;"",COUNTIF($A$6:$A$505,A424)&gt;1),"duplicate migration_customer_key; ","")&amp;IF(E424="","missing branch_id; ","")&amp;IF(G424="","missing first_name; ","")&amp;IF(I424="","missing last_name; ","")&amp;IF(M424="","missing primary_phone; ","")&amp;IF(AND(M424&lt;&gt;"",COUNTIF($M$6:$M$505,M424)&gt;1),"duplicate primary_phone; ","")&amp;IF(AND(L424="mobile",N424&lt;&gt;"invalid",OR(LEN(M424)&lt;&gt;10,LEFT(M424,2)&lt;&gt;"09")),"mobile must be 09XXXXXXXX or status invalid; ","")&amp;IF(T424="","missing neighborhood_id; ","")))))</x:f>
      </x:c>
    </x:row>
    <x:row r="425">
      <x:c r="A425" s="232"/>
      <x:c r="B425" s="233"/>
      <x:c r="C425" s="234"/>
      <x:c r="D425" s="233"/>
      <x:c r="E425" s="233"/>
      <x:c r="F425" s="233"/>
      <x:c r="G425" s="233"/>
      <x:c r="H425" s="233"/>
      <x:c r="I425" s="233"/>
      <x:c r="J425" s="233"/>
      <x:c r="K425" s="233" t="str">
        <x:f>TRIM(G425&amp;" "&amp;H425&amp;" "&amp;I425&amp;IF(J425&lt;&gt;""," ("&amp;J425&amp;")",""))</x:f>
      </x:c>
      <x:c r="L425" s="233"/>
      <x:c r="M425" s="234"/>
      <x:c r="N425" s="233"/>
      <x:c r="O425" s="233"/>
      <x:c r="P425" s="233"/>
      <x:c r="Q425" s="233"/>
      <x:c r="R425" s="233"/>
      <x:c r="S425" s="233"/>
      <x:c r="T425" s="233"/>
      <x:c r="U425" s="233"/>
      <x:c r="V425" s="233"/>
      <x:c r="W425" s="235"/>
      <x:c r="X425" s="235"/>
      <x:c r="Y425" s="233"/>
      <x:c r="Z425" s="233"/>
      <x:c r="AA425" s="233"/>
      <x:c r="AB425" s="233"/>
      <x:c r="AC425" s="236"/>
      <x:c r="AD425" s="233"/>
      <x:c r="AE425" s="233"/>
      <x:c r="AF425" s="233"/>
      <x:c r="AG425" s="233"/>
      <x:c r="AH425" s="234"/>
      <x:c r="AI425" s="233"/>
      <x:c r="AJ425" s="233"/>
      <x:c r="AK425" s="233"/>
      <x:c r="AL425" s="236"/>
      <x:c r="AM425" s="233"/>
      <x:c r="AN425" s="233"/>
      <x:c r="AO425" s="234"/>
      <x:c r="AP425" s="234"/>
      <x:c r="AQ425" s="233"/>
      <x:c r="AR425" s="236"/>
      <x:c r="AS425" s="234"/>
      <x:c r="AT425" s="233"/>
      <x:c r="AU425" s="233"/>
      <x:c r="AV425" s="233"/>
      <x:c r="AW425" s="233"/>
      <x:c r="AX425" s="233"/>
      <x:c r="AY425" s="233"/>
      <x:c r="AZ425" s="236"/>
      <x:c r="BA425" s="233"/>
      <x:c r="BB425" s="233"/>
      <x:c r="BC425" s="233"/>
      <x:c r="BD425" s="233"/>
      <x:c r="BE425" s="237" t="str">
        <x:f>IF(AND(A425="",B425="",C425="",E425="",G425="",I425="",M425="",T425="",BB425="",BD425=""),"",IF(B425="skip","SKIP",IF(OR(B425="",A425="",E425="",G425="",I425="",M425="",T425="",COUNTIF($A$6:$A$505,A425)&gt;1,COUNTIF($M$6:$M$505,M425)&gt;1,AND(L425="mobile",N425&lt;&gt;"invalid",OR(LEN(M425)&lt;&gt;10,LEFT(M425,2)&lt;&gt;"09"))),"REVIEW","READY")))</x:f>
      </x:c>
      <x:c r="BF425" s="238" t="str">
        <x:f>IF(BE425="","",IF(BE425="READY","",IF(B425="skip","Skipped by import_action",TRIM(IF(B425="","missing import_action; ","")&amp;IF(A425="","missing migration_customer_key; ","")&amp;IF(AND(A425&lt;&gt;"",COUNTIF($A$6:$A$505,A425)&gt;1),"duplicate migration_customer_key; ","")&amp;IF(E425="","missing branch_id; ","")&amp;IF(G425="","missing first_name; ","")&amp;IF(I425="","missing last_name; ","")&amp;IF(M425="","missing primary_phone; ","")&amp;IF(AND(M425&lt;&gt;"",COUNTIF($M$6:$M$505,M425)&gt;1),"duplicate primary_phone; ","")&amp;IF(AND(L425="mobile",N425&lt;&gt;"invalid",OR(LEN(M425)&lt;&gt;10,LEFT(M425,2)&lt;&gt;"09")),"mobile must be 09XXXXXXXX or status invalid; ","")&amp;IF(T425="","missing neighborhood_id; ","")))))</x:f>
      </x:c>
    </x:row>
    <x:row r="426">
      <x:c r="A426" s="232"/>
      <x:c r="B426" s="233"/>
      <x:c r="C426" s="234"/>
      <x:c r="D426" s="233"/>
      <x:c r="E426" s="233"/>
      <x:c r="F426" s="233"/>
      <x:c r="G426" s="233"/>
      <x:c r="H426" s="233"/>
      <x:c r="I426" s="233"/>
      <x:c r="J426" s="233"/>
      <x:c r="K426" s="233" t="str">
        <x:f>TRIM(G426&amp;" "&amp;H426&amp;" "&amp;I426&amp;IF(J426&lt;&gt;""," ("&amp;J426&amp;")",""))</x:f>
      </x:c>
      <x:c r="L426" s="233"/>
      <x:c r="M426" s="234"/>
      <x:c r="N426" s="233"/>
      <x:c r="O426" s="233"/>
      <x:c r="P426" s="233"/>
      <x:c r="Q426" s="233"/>
      <x:c r="R426" s="233"/>
      <x:c r="S426" s="233"/>
      <x:c r="T426" s="233"/>
      <x:c r="U426" s="233"/>
      <x:c r="V426" s="233"/>
      <x:c r="W426" s="235"/>
      <x:c r="X426" s="235"/>
      <x:c r="Y426" s="233"/>
      <x:c r="Z426" s="233"/>
      <x:c r="AA426" s="233"/>
      <x:c r="AB426" s="233"/>
      <x:c r="AC426" s="236"/>
      <x:c r="AD426" s="233"/>
      <x:c r="AE426" s="233"/>
      <x:c r="AF426" s="233"/>
      <x:c r="AG426" s="233"/>
      <x:c r="AH426" s="234"/>
      <x:c r="AI426" s="233"/>
      <x:c r="AJ426" s="233"/>
      <x:c r="AK426" s="233"/>
      <x:c r="AL426" s="236"/>
      <x:c r="AM426" s="233"/>
      <x:c r="AN426" s="233"/>
      <x:c r="AO426" s="234"/>
      <x:c r="AP426" s="234"/>
      <x:c r="AQ426" s="233"/>
      <x:c r="AR426" s="236"/>
      <x:c r="AS426" s="234"/>
      <x:c r="AT426" s="233"/>
      <x:c r="AU426" s="233"/>
      <x:c r="AV426" s="233"/>
      <x:c r="AW426" s="233"/>
      <x:c r="AX426" s="233"/>
      <x:c r="AY426" s="233"/>
      <x:c r="AZ426" s="236"/>
      <x:c r="BA426" s="233"/>
      <x:c r="BB426" s="233"/>
      <x:c r="BC426" s="233"/>
      <x:c r="BD426" s="233"/>
      <x:c r="BE426" s="237" t="str">
        <x:f>IF(AND(A426="",B426="",C426="",E426="",G426="",I426="",M426="",T426="",BB426="",BD426=""),"",IF(B426="skip","SKIP",IF(OR(B426="",A426="",E426="",G426="",I426="",M426="",T426="",COUNTIF($A$6:$A$505,A426)&gt;1,COUNTIF($M$6:$M$505,M426)&gt;1,AND(L426="mobile",N426&lt;&gt;"invalid",OR(LEN(M426)&lt;&gt;10,LEFT(M426,2)&lt;&gt;"09"))),"REVIEW","READY")))</x:f>
      </x:c>
      <x:c r="BF426" s="238" t="str">
        <x:f>IF(BE426="","",IF(BE426="READY","",IF(B426="skip","Skipped by import_action",TRIM(IF(B426="","missing import_action; ","")&amp;IF(A426="","missing migration_customer_key; ","")&amp;IF(AND(A426&lt;&gt;"",COUNTIF($A$6:$A$505,A426)&gt;1),"duplicate migration_customer_key; ","")&amp;IF(E426="","missing branch_id; ","")&amp;IF(G426="","missing first_name; ","")&amp;IF(I426="","missing last_name; ","")&amp;IF(M426="","missing primary_phone; ","")&amp;IF(AND(M426&lt;&gt;"",COUNTIF($M$6:$M$505,M426)&gt;1),"duplicate primary_phone; ","")&amp;IF(AND(L426="mobile",N426&lt;&gt;"invalid",OR(LEN(M426)&lt;&gt;10,LEFT(M426,2)&lt;&gt;"09")),"mobile must be 09XXXXXXXX or status invalid; ","")&amp;IF(T426="","missing neighborhood_id; ","")))))</x:f>
      </x:c>
    </x:row>
    <x:row r="427">
      <x:c r="A427" s="232"/>
      <x:c r="B427" s="233"/>
      <x:c r="C427" s="234"/>
      <x:c r="D427" s="233"/>
      <x:c r="E427" s="233"/>
      <x:c r="F427" s="233"/>
      <x:c r="G427" s="233"/>
      <x:c r="H427" s="233"/>
      <x:c r="I427" s="233"/>
      <x:c r="J427" s="233"/>
      <x:c r="K427" s="233" t="str">
        <x:f>TRIM(G427&amp;" "&amp;H427&amp;" "&amp;I427&amp;IF(J427&lt;&gt;""," ("&amp;J427&amp;")",""))</x:f>
      </x:c>
      <x:c r="L427" s="233"/>
      <x:c r="M427" s="234"/>
      <x:c r="N427" s="233"/>
      <x:c r="O427" s="233"/>
      <x:c r="P427" s="233"/>
      <x:c r="Q427" s="233"/>
      <x:c r="R427" s="233"/>
      <x:c r="S427" s="233"/>
      <x:c r="T427" s="233"/>
      <x:c r="U427" s="233"/>
      <x:c r="V427" s="233"/>
      <x:c r="W427" s="235"/>
      <x:c r="X427" s="235"/>
      <x:c r="Y427" s="233"/>
      <x:c r="Z427" s="233"/>
      <x:c r="AA427" s="233"/>
      <x:c r="AB427" s="233"/>
      <x:c r="AC427" s="236"/>
      <x:c r="AD427" s="233"/>
      <x:c r="AE427" s="233"/>
      <x:c r="AF427" s="233"/>
      <x:c r="AG427" s="233"/>
      <x:c r="AH427" s="234"/>
      <x:c r="AI427" s="233"/>
      <x:c r="AJ427" s="233"/>
      <x:c r="AK427" s="233"/>
      <x:c r="AL427" s="236"/>
      <x:c r="AM427" s="233"/>
      <x:c r="AN427" s="233"/>
      <x:c r="AO427" s="234"/>
      <x:c r="AP427" s="234"/>
      <x:c r="AQ427" s="233"/>
      <x:c r="AR427" s="236"/>
      <x:c r="AS427" s="234"/>
      <x:c r="AT427" s="233"/>
      <x:c r="AU427" s="233"/>
      <x:c r="AV427" s="233"/>
      <x:c r="AW427" s="233"/>
      <x:c r="AX427" s="233"/>
      <x:c r="AY427" s="233"/>
      <x:c r="AZ427" s="236"/>
      <x:c r="BA427" s="233"/>
      <x:c r="BB427" s="233"/>
      <x:c r="BC427" s="233"/>
      <x:c r="BD427" s="233"/>
      <x:c r="BE427" s="237" t="str">
        <x:f>IF(AND(A427="",B427="",C427="",E427="",G427="",I427="",M427="",T427="",BB427="",BD427=""),"",IF(B427="skip","SKIP",IF(OR(B427="",A427="",E427="",G427="",I427="",M427="",T427="",COUNTIF($A$6:$A$505,A427)&gt;1,COUNTIF($M$6:$M$505,M427)&gt;1,AND(L427="mobile",N427&lt;&gt;"invalid",OR(LEN(M427)&lt;&gt;10,LEFT(M427,2)&lt;&gt;"09"))),"REVIEW","READY")))</x:f>
      </x:c>
      <x:c r="BF427" s="238" t="str">
        <x:f>IF(BE427="","",IF(BE427="READY","",IF(B427="skip","Skipped by import_action",TRIM(IF(B427="","missing import_action; ","")&amp;IF(A427="","missing migration_customer_key; ","")&amp;IF(AND(A427&lt;&gt;"",COUNTIF($A$6:$A$505,A427)&gt;1),"duplicate migration_customer_key; ","")&amp;IF(E427="","missing branch_id; ","")&amp;IF(G427="","missing first_name; ","")&amp;IF(I427="","missing last_name; ","")&amp;IF(M427="","missing primary_phone; ","")&amp;IF(AND(M427&lt;&gt;"",COUNTIF($M$6:$M$505,M427)&gt;1),"duplicate primary_phone; ","")&amp;IF(AND(L427="mobile",N427&lt;&gt;"invalid",OR(LEN(M427)&lt;&gt;10,LEFT(M427,2)&lt;&gt;"09")),"mobile must be 09XXXXXXXX or status invalid; ","")&amp;IF(T427="","missing neighborhood_id; ","")))))</x:f>
      </x:c>
    </x:row>
    <x:row r="428">
      <x:c r="A428" s="232"/>
      <x:c r="B428" s="233"/>
      <x:c r="C428" s="234"/>
      <x:c r="D428" s="233"/>
      <x:c r="E428" s="233"/>
      <x:c r="F428" s="233"/>
      <x:c r="G428" s="233"/>
      <x:c r="H428" s="233"/>
      <x:c r="I428" s="233"/>
      <x:c r="J428" s="233"/>
      <x:c r="K428" s="233" t="str">
        <x:f>TRIM(G428&amp;" "&amp;H428&amp;" "&amp;I428&amp;IF(J428&lt;&gt;""," ("&amp;J428&amp;")",""))</x:f>
      </x:c>
      <x:c r="L428" s="233"/>
      <x:c r="M428" s="234"/>
      <x:c r="N428" s="233"/>
      <x:c r="O428" s="233"/>
      <x:c r="P428" s="233"/>
      <x:c r="Q428" s="233"/>
      <x:c r="R428" s="233"/>
      <x:c r="S428" s="233"/>
      <x:c r="T428" s="233"/>
      <x:c r="U428" s="233"/>
      <x:c r="V428" s="233"/>
      <x:c r="W428" s="235"/>
      <x:c r="X428" s="235"/>
      <x:c r="Y428" s="233"/>
      <x:c r="Z428" s="233"/>
      <x:c r="AA428" s="233"/>
      <x:c r="AB428" s="233"/>
      <x:c r="AC428" s="236"/>
      <x:c r="AD428" s="233"/>
      <x:c r="AE428" s="233"/>
      <x:c r="AF428" s="233"/>
      <x:c r="AG428" s="233"/>
      <x:c r="AH428" s="234"/>
      <x:c r="AI428" s="233"/>
      <x:c r="AJ428" s="233"/>
      <x:c r="AK428" s="233"/>
      <x:c r="AL428" s="236"/>
      <x:c r="AM428" s="233"/>
      <x:c r="AN428" s="233"/>
      <x:c r="AO428" s="234"/>
      <x:c r="AP428" s="234"/>
      <x:c r="AQ428" s="233"/>
      <x:c r="AR428" s="236"/>
      <x:c r="AS428" s="234"/>
      <x:c r="AT428" s="233"/>
      <x:c r="AU428" s="233"/>
      <x:c r="AV428" s="233"/>
      <x:c r="AW428" s="233"/>
      <x:c r="AX428" s="233"/>
      <x:c r="AY428" s="233"/>
      <x:c r="AZ428" s="236"/>
      <x:c r="BA428" s="233"/>
      <x:c r="BB428" s="233"/>
      <x:c r="BC428" s="233"/>
      <x:c r="BD428" s="233"/>
      <x:c r="BE428" s="237" t="str">
        <x:f>IF(AND(A428="",B428="",C428="",E428="",G428="",I428="",M428="",T428="",BB428="",BD428=""),"",IF(B428="skip","SKIP",IF(OR(B428="",A428="",E428="",G428="",I428="",M428="",T428="",COUNTIF($A$6:$A$505,A428)&gt;1,COUNTIF($M$6:$M$505,M428)&gt;1,AND(L428="mobile",N428&lt;&gt;"invalid",OR(LEN(M428)&lt;&gt;10,LEFT(M428,2)&lt;&gt;"09"))),"REVIEW","READY")))</x:f>
      </x:c>
      <x:c r="BF428" s="238" t="str">
        <x:f>IF(BE428="","",IF(BE428="READY","",IF(B428="skip","Skipped by import_action",TRIM(IF(B428="","missing import_action; ","")&amp;IF(A428="","missing migration_customer_key; ","")&amp;IF(AND(A428&lt;&gt;"",COUNTIF($A$6:$A$505,A428)&gt;1),"duplicate migration_customer_key; ","")&amp;IF(E428="","missing branch_id; ","")&amp;IF(G428="","missing first_name; ","")&amp;IF(I428="","missing last_name; ","")&amp;IF(M428="","missing primary_phone; ","")&amp;IF(AND(M428&lt;&gt;"",COUNTIF($M$6:$M$505,M428)&gt;1),"duplicate primary_phone; ","")&amp;IF(AND(L428="mobile",N428&lt;&gt;"invalid",OR(LEN(M428)&lt;&gt;10,LEFT(M428,2)&lt;&gt;"09")),"mobile must be 09XXXXXXXX or status invalid; ","")&amp;IF(T428="","missing neighborhood_id; ","")))))</x:f>
      </x:c>
    </x:row>
    <x:row r="429">
      <x:c r="A429" s="232"/>
      <x:c r="B429" s="233"/>
      <x:c r="C429" s="234"/>
      <x:c r="D429" s="233"/>
      <x:c r="E429" s="233"/>
      <x:c r="F429" s="233"/>
      <x:c r="G429" s="233"/>
      <x:c r="H429" s="233"/>
      <x:c r="I429" s="233"/>
      <x:c r="J429" s="233"/>
      <x:c r="K429" s="233" t="str">
        <x:f>TRIM(G429&amp;" "&amp;H429&amp;" "&amp;I429&amp;IF(J429&lt;&gt;""," ("&amp;J429&amp;")",""))</x:f>
      </x:c>
      <x:c r="L429" s="233"/>
      <x:c r="M429" s="234"/>
      <x:c r="N429" s="233"/>
      <x:c r="O429" s="233"/>
      <x:c r="P429" s="233"/>
      <x:c r="Q429" s="233"/>
      <x:c r="R429" s="233"/>
      <x:c r="S429" s="233"/>
      <x:c r="T429" s="233"/>
      <x:c r="U429" s="233"/>
      <x:c r="V429" s="233"/>
      <x:c r="W429" s="235"/>
      <x:c r="X429" s="235"/>
      <x:c r="Y429" s="233"/>
      <x:c r="Z429" s="233"/>
      <x:c r="AA429" s="233"/>
      <x:c r="AB429" s="233"/>
      <x:c r="AC429" s="236"/>
      <x:c r="AD429" s="233"/>
      <x:c r="AE429" s="233"/>
      <x:c r="AF429" s="233"/>
      <x:c r="AG429" s="233"/>
      <x:c r="AH429" s="234"/>
      <x:c r="AI429" s="233"/>
      <x:c r="AJ429" s="233"/>
      <x:c r="AK429" s="233"/>
      <x:c r="AL429" s="236"/>
      <x:c r="AM429" s="233"/>
      <x:c r="AN429" s="233"/>
      <x:c r="AO429" s="234"/>
      <x:c r="AP429" s="234"/>
      <x:c r="AQ429" s="233"/>
      <x:c r="AR429" s="236"/>
      <x:c r="AS429" s="234"/>
      <x:c r="AT429" s="233"/>
      <x:c r="AU429" s="233"/>
      <x:c r="AV429" s="233"/>
      <x:c r="AW429" s="233"/>
      <x:c r="AX429" s="233"/>
      <x:c r="AY429" s="233"/>
      <x:c r="AZ429" s="236"/>
      <x:c r="BA429" s="233"/>
      <x:c r="BB429" s="233"/>
      <x:c r="BC429" s="233"/>
      <x:c r="BD429" s="233"/>
      <x:c r="BE429" s="237" t="str">
        <x:f>IF(AND(A429="",B429="",C429="",E429="",G429="",I429="",M429="",T429="",BB429="",BD429=""),"",IF(B429="skip","SKIP",IF(OR(B429="",A429="",E429="",G429="",I429="",M429="",T429="",COUNTIF($A$6:$A$505,A429)&gt;1,COUNTIF($M$6:$M$505,M429)&gt;1,AND(L429="mobile",N429&lt;&gt;"invalid",OR(LEN(M429)&lt;&gt;10,LEFT(M429,2)&lt;&gt;"09"))),"REVIEW","READY")))</x:f>
      </x:c>
      <x:c r="BF429" s="238" t="str">
        <x:f>IF(BE429="","",IF(BE429="READY","",IF(B429="skip","Skipped by import_action",TRIM(IF(B429="","missing import_action; ","")&amp;IF(A429="","missing migration_customer_key; ","")&amp;IF(AND(A429&lt;&gt;"",COUNTIF($A$6:$A$505,A429)&gt;1),"duplicate migration_customer_key; ","")&amp;IF(E429="","missing branch_id; ","")&amp;IF(G429="","missing first_name; ","")&amp;IF(I429="","missing last_name; ","")&amp;IF(M429="","missing primary_phone; ","")&amp;IF(AND(M429&lt;&gt;"",COUNTIF($M$6:$M$505,M429)&gt;1),"duplicate primary_phone; ","")&amp;IF(AND(L429="mobile",N429&lt;&gt;"invalid",OR(LEN(M429)&lt;&gt;10,LEFT(M429,2)&lt;&gt;"09")),"mobile must be 09XXXXXXXX or status invalid; ","")&amp;IF(T429="","missing neighborhood_id; ","")))))</x:f>
      </x:c>
    </x:row>
    <x:row r="430">
      <x:c r="A430" s="232"/>
      <x:c r="B430" s="233"/>
      <x:c r="C430" s="234"/>
      <x:c r="D430" s="233"/>
      <x:c r="E430" s="233"/>
      <x:c r="F430" s="233"/>
      <x:c r="G430" s="233"/>
      <x:c r="H430" s="233"/>
      <x:c r="I430" s="233"/>
      <x:c r="J430" s="233"/>
      <x:c r="K430" s="233" t="str">
        <x:f>TRIM(G430&amp;" "&amp;H430&amp;" "&amp;I430&amp;IF(J430&lt;&gt;""," ("&amp;J430&amp;")",""))</x:f>
      </x:c>
      <x:c r="L430" s="233"/>
      <x:c r="M430" s="234"/>
      <x:c r="N430" s="233"/>
      <x:c r="O430" s="233"/>
      <x:c r="P430" s="233"/>
      <x:c r="Q430" s="233"/>
      <x:c r="R430" s="233"/>
      <x:c r="S430" s="233"/>
      <x:c r="T430" s="233"/>
      <x:c r="U430" s="233"/>
      <x:c r="V430" s="233"/>
      <x:c r="W430" s="235"/>
      <x:c r="X430" s="235"/>
      <x:c r="Y430" s="233"/>
      <x:c r="Z430" s="233"/>
      <x:c r="AA430" s="233"/>
      <x:c r="AB430" s="233"/>
      <x:c r="AC430" s="236"/>
      <x:c r="AD430" s="233"/>
      <x:c r="AE430" s="233"/>
      <x:c r="AF430" s="233"/>
      <x:c r="AG430" s="233"/>
      <x:c r="AH430" s="234"/>
      <x:c r="AI430" s="233"/>
      <x:c r="AJ430" s="233"/>
      <x:c r="AK430" s="233"/>
      <x:c r="AL430" s="236"/>
      <x:c r="AM430" s="233"/>
      <x:c r="AN430" s="233"/>
      <x:c r="AO430" s="234"/>
      <x:c r="AP430" s="234"/>
      <x:c r="AQ430" s="233"/>
      <x:c r="AR430" s="236"/>
      <x:c r="AS430" s="234"/>
      <x:c r="AT430" s="233"/>
      <x:c r="AU430" s="233"/>
      <x:c r="AV430" s="233"/>
      <x:c r="AW430" s="233"/>
      <x:c r="AX430" s="233"/>
      <x:c r="AY430" s="233"/>
      <x:c r="AZ430" s="236"/>
      <x:c r="BA430" s="233"/>
      <x:c r="BB430" s="233"/>
      <x:c r="BC430" s="233"/>
      <x:c r="BD430" s="233"/>
      <x:c r="BE430" s="237" t="str">
        <x:f>IF(AND(A430="",B430="",C430="",E430="",G430="",I430="",M430="",T430="",BB430="",BD430=""),"",IF(B430="skip","SKIP",IF(OR(B430="",A430="",E430="",G430="",I430="",M430="",T430="",COUNTIF($A$6:$A$505,A430)&gt;1,COUNTIF($M$6:$M$505,M430)&gt;1,AND(L430="mobile",N430&lt;&gt;"invalid",OR(LEN(M430)&lt;&gt;10,LEFT(M430,2)&lt;&gt;"09"))),"REVIEW","READY")))</x:f>
      </x:c>
      <x:c r="BF430" s="238" t="str">
        <x:f>IF(BE430="","",IF(BE430="READY","",IF(B430="skip","Skipped by import_action",TRIM(IF(B430="","missing import_action; ","")&amp;IF(A430="","missing migration_customer_key; ","")&amp;IF(AND(A430&lt;&gt;"",COUNTIF($A$6:$A$505,A430)&gt;1),"duplicate migration_customer_key; ","")&amp;IF(E430="","missing branch_id; ","")&amp;IF(G430="","missing first_name; ","")&amp;IF(I430="","missing last_name; ","")&amp;IF(M430="","missing primary_phone; ","")&amp;IF(AND(M430&lt;&gt;"",COUNTIF($M$6:$M$505,M430)&gt;1),"duplicate primary_phone; ","")&amp;IF(AND(L430="mobile",N430&lt;&gt;"invalid",OR(LEN(M430)&lt;&gt;10,LEFT(M430,2)&lt;&gt;"09")),"mobile must be 09XXXXXXXX or status invalid; ","")&amp;IF(T430="","missing neighborhood_id; ","")))))</x:f>
      </x:c>
    </x:row>
    <x:row r="431">
      <x:c r="A431" s="232"/>
      <x:c r="B431" s="233"/>
      <x:c r="C431" s="234"/>
      <x:c r="D431" s="233"/>
      <x:c r="E431" s="233"/>
      <x:c r="F431" s="233"/>
      <x:c r="G431" s="233"/>
      <x:c r="H431" s="233"/>
      <x:c r="I431" s="233"/>
      <x:c r="J431" s="233"/>
      <x:c r="K431" s="233" t="str">
        <x:f>TRIM(G431&amp;" "&amp;H431&amp;" "&amp;I431&amp;IF(J431&lt;&gt;""," ("&amp;J431&amp;")",""))</x:f>
      </x:c>
      <x:c r="L431" s="233"/>
      <x:c r="M431" s="234"/>
      <x:c r="N431" s="233"/>
      <x:c r="O431" s="233"/>
      <x:c r="P431" s="233"/>
      <x:c r="Q431" s="233"/>
      <x:c r="R431" s="233"/>
      <x:c r="S431" s="233"/>
      <x:c r="T431" s="233"/>
      <x:c r="U431" s="233"/>
      <x:c r="V431" s="233"/>
      <x:c r="W431" s="235"/>
      <x:c r="X431" s="235"/>
      <x:c r="Y431" s="233"/>
      <x:c r="Z431" s="233"/>
      <x:c r="AA431" s="233"/>
      <x:c r="AB431" s="233"/>
      <x:c r="AC431" s="236"/>
      <x:c r="AD431" s="233"/>
      <x:c r="AE431" s="233"/>
      <x:c r="AF431" s="233"/>
      <x:c r="AG431" s="233"/>
      <x:c r="AH431" s="234"/>
      <x:c r="AI431" s="233"/>
      <x:c r="AJ431" s="233"/>
      <x:c r="AK431" s="233"/>
      <x:c r="AL431" s="236"/>
      <x:c r="AM431" s="233"/>
      <x:c r="AN431" s="233"/>
      <x:c r="AO431" s="234"/>
      <x:c r="AP431" s="234"/>
      <x:c r="AQ431" s="233"/>
      <x:c r="AR431" s="236"/>
      <x:c r="AS431" s="234"/>
      <x:c r="AT431" s="233"/>
      <x:c r="AU431" s="233"/>
      <x:c r="AV431" s="233"/>
      <x:c r="AW431" s="233"/>
      <x:c r="AX431" s="233"/>
      <x:c r="AY431" s="233"/>
      <x:c r="AZ431" s="236"/>
      <x:c r="BA431" s="233"/>
      <x:c r="BB431" s="233"/>
      <x:c r="BC431" s="233"/>
      <x:c r="BD431" s="233"/>
      <x:c r="BE431" s="237" t="str">
        <x:f>IF(AND(A431="",B431="",C431="",E431="",G431="",I431="",M431="",T431="",BB431="",BD431=""),"",IF(B431="skip","SKIP",IF(OR(B431="",A431="",E431="",G431="",I431="",M431="",T431="",COUNTIF($A$6:$A$505,A431)&gt;1,COUNTIF($M$6:$M$505,M431)&gt;1,AND(L431="mobile",N431&lt;&gt;"invalid",OR(LEN(M431)&lt;&gt;10,LEFT(M431,2)&lt;&gt;"09"))),"REVIEW","READY")))</x:f>
      </x:c>
      <x:c r="BF431" s="238" t="str">
        <x:f>IF(BE431="","",IF(BE431="READY","",IF(B431="skip","Skipped by import_action",TRIM(IF(B431="","missing import_action; ","")&amp;IF(A431="","missing migration_customer_key; ","")&amp;IF(AND(A431&lt;&gt;"",COUNTIF($A$6:$A$505,A431)&gt;1),"duplicate migration_customer_key; ","")&amp;IF(E431="","missing branch_id; ","")&amp;IF(G431="","missing first_name; ","")&amp;IF(I431="","missing last_name; ","")&amp;IF(M431="","missing primary_phone; ","")&amp;IF(AND(M431&lt;&gt;"",COUNTIF($M$6:$M$505,M431)&gt;1),"duplicate primary_phone; ","")&amp;IF(AND(L431="mobile",N431&lt;&gt;"invalid",OR(LEN(M431)&lt;&gt;10,LEFT(M431,2)&lt;&gt;"09")),"mobile must be 09XXXXXXXX or status invalid; ","")&amp;IF(T431="","missing neighborhood_id; ","")))))</x:f>
      </x:c>
    </x:row>
    <x:row r="432">
      <x:c r="A432" s="232"/>
      <x:c r="B432" s="233"/>
      <x:c r="C432" s="234"/>
      <x:c r="D432" s="233"/>
      <x:c r="E432" s="233"/>
      <x:c r="F432" s="233"/>
      <x:c r="G432" s="233"/>
      <x:c r="H432" s="233"/>
      <x:c r="I432" s="233"/>
      <x:c r="J432" s="233"/>
      <x:c r="K432" s="233" t="str">
        <x:f>TRIM(G432&amp;" "&amp;H432&amp;" "&amp;I432&amp;IF(J432&lt;&gt;""," ("&amp;J432&amp;")",""))</x:f>
      </x:c>
      <x:c r="L432" s="233"/>
      <x:c r="M432" s="234"/>
      <x:c r="N432" s="233"/>
      <x:c r="O432" s="233"/>
      <x:c r="P432" s="233"/>
      <x:c r="Q432" s="233"/>
      <x:c r="R432" s="233"/>
      <x:c r="S432" s="233"/>
      <x:c r="T432" s="233"/>
      <x:c r="U432" s="233"/>
      <x:c r="V432" s="233"/>
      <x:c r="W432" s="235"/>
      <x:c r="X432" s="235"/>
      <x:c r="Y432" s="233"/>
      <x:c r="Z432" s="233"/>
      <x:c r="AA432" s="233"/>
      <x:c r="AB432" s="233"/>
      <x:c r="AC432" s="236"/>
      <x:c r="AD432" s="233"/>
      <x:c r="AE432" s="233"/>
      <x:c r="AF432" s="233"/>
      <x:c r="AG432" s="233"/>
      <x:c r="AH432" s="234"/>
      <x:c r="AI432" s="233"/>
      <x:c r="AJ432" s="233"/>
      <x:c r="AK432" s="233"/>
      <x:c r="AL432" s="236"/>
      <x:c r="AM432" s="233"/>
      <x:c r="AN432" s="233"/>
      <x:c r="AO432" s="234"/>
      <x:c r="AP432" s="234"/>
      <x:c r="AQ432" s="233"/>
      <x:c r="AR432" s="236"/>
      <x:c r="AS432" s="234"/>
      <x:c r="AT432" s="233"/>
      <x:c r="AU432" s="233"/>
      <x:c r="AV432" s="233"/>
      <x:c r="AW432" s="233"/>
      <x:c r="AX432" s="233"/>
      <x:c r="AY432" s="233"/>
      <x:c r="AZ432" s="236"/>
      <x:c r="BA432" s="233"/>
      <x:c r="BB432" s="233"/>
      <x:c r="BC432" s="233"/>
      <x:c r="BD432" s="233"/>
      <x:c r="BE432" s="237" t="str">
        <x:f>IF(AND(A432="",B432="",C432="",E432="",G432="",I432="",M432="",T432="",BB432="",BD432=""),"",IF(B432="skip","SKIP",IF(OR(B432="",A432="",E432="",G432="",I432="",M432="",T432="",COUNTIF($A$6:$A$505,A432)&gt;1,COUNTIF($M$6:$M$505,M432)&gt;1,AND(L432="mobile",N432&lt;&gt;"invalid",OR(LEN(M432)&lt;&gt;10,LEFT(M432,2)&lt;&gt;"09"))),"REVIEW","READY")))</x:f>
      </x:c>
      <x:c r="BF432" s="238" t="str">
        <x:f>IF(BE432="","",IF(BE432="READY","",IF(B432="skip","Skipped by import_action",TRIM(IF(B432="","missing import_action; ","")&amp;IF(A432="","missing migration_customer_key; ","")&amp;IF(AND(A432&lt;&gt;"",COUNTIF($A$6:$A$505,A432)&gt;1),"duplicate migration_customer_key; ","")&amp;IF(E432="","missing branch_id; ","")&amp;IF(G432="","missing first_name; ","")&amp;IF(I432="","missing last_name; ","")&amp;IF(M432="","missing primary_phone; ","")&amp;IF(AND(M432&lt;&gt;"",COUNTIF($M$6:$M$505,M432)&gt;1),"duplicate primary_phone; ","")&amp;IF(AND(L432="mobile",N432&lt;&gt;"invalid",OR(LEN(M432)&lt;&gt;10,LEFT(M432,2)&lt;&gt;"09")),"mobile must be 09XXXXXXXX or status invalid; ","")&amp;IF(T432="","missing neighborhood_id; ","")))))</x:f>
      </x:c>
    </x:row>
    <x:row r="433">
      <x:c r="A433" s="232"/>
      <x:c r="B433" s="233"/>
      <x:c r="C433" s="234"/>
      <x:c r="D433" s="233"/>
      <x:c r="E433" s="233"/>
      <x:c r="F433" s="233"/>
      <x:c r="G433" s="233"/>
      <x:c r="H433" s="233"/>
      <x:c r="I433" s="233"/>
      <x:c r="J433" s="233"/>
      <x:c r="K433" s="233" t="str">
        <x:f>TRIM(G433&amp;" "&amp;H433&amp;" "&amp;I433&amp;IF(J433&lt;&gt;""," ("&amp;J433&amp;")",""))</x:f>
      </x:c>
      <x:c r="L433" s="233"/>
      <x:c r="M433" s="234"/>
      <x:c r="N433" s="233"/>
      <x:c r="O433" s="233"/>
      <x:c r="P433" s="233"/>
      <x:c r="Q433" s="233"/>
      <x:c r="R433" s="233"/>
      <x:c r="S433" s="233"/>
      <x:c r="T433" s="233"/>
      <x:c r="U433" s="233"/>
      <x:c r="V433" s="233"/>
      <x:c r="W433" s="235"/>
      <x:c r="X433" s="235"/>
      <x:c r="Y433" s="233"/>
      <x:c r="Z433" s="233"/>
      <x:c r="AA433" s="233"/>
      <x:c r="AB433" s="233"/>
      <x:c r="AC433" s="236"/>
      <x:c r="AD433" s="233"/>
      <x:c r="AE433" s="233"/>
      <x:c r="AF433" s="233"/>
      <x:c r="AG433" s="233"/>
      <x:c r="AH433" s="234"/>
      <x:c r="AI433" s="233"/>
      <x:c r="AJ433" s="233"/>
      <x:c r="AK433" s="233"/>
      <x:c r="AL433" s="236"/>
      <x:c r="AM433" s="233"/>
      <x:c r="AN433" s="233"/>
      <x:c r="AO433" s="234"/>
      <x:c r="AP433" s="234"/>
      <x:c r="AQ433" s="233"/>
      <x:c r="AR433" s="236"/>
      <x:c r="AS433" s="234"/>
      <x:c r="AT433" s="233"/>
      <x:c r="AU433" s="233"/>
      <x:c r="AV433" s="233"/>
      <x:c r="AW433" s="233"/>
      <x:c r="AX433" s="233"/>
      <x:c r="AY433" s="233"/>
      <x:c r="AZ433" s="236"/>
      <x:c r="BA433" s="233"/>
      <x:c r="BB433" s="233"/>
      <x:c r="BC433" s="233"/>
      <x:c r="BD433" s="233"/>
      <x:c r="BE433" s="237" t="str">
        <x:f>IF(AND(A433="",B433="",C433="",E433="",G433="",I433="",M433="",T433="",BB433="",BD433=""),"",IF(B433="skip","SKIP",IF(OR(B433="",A433="",E433="",G433="",I433="",M433="",T433="",COUNTIF($A$6:$A$505,A433)&gt;1,COUNTIF($M$6:$M$505,M433)&gt;1,AND(L433="mobile",N433&lt;&gt;"invalid",OR(LEN(M433)&lt;&gt;10,LEFT(M433,2)&lt;&gt;"09"))),"REVIEW","READY")))</x:f>
      </x:c>
      <x:c r="BF433" s="238" t="str">
        <x:f>IF(BE433="","",IF(BE433="READY","",IF(B433="skip","Skipped by import_action",TRIM(IF(B433="","missing import_action; ","")&amp;IF(A433="","missing migration_customer_key; ","")&amp;IF(AND(A433&lt;&gt;"",COUNTIF($A$6:$A$505,A433)&gt;1),"duplicate migration_customer_key; ","")&amp;IF(E433="","missing branch_id; ","")&amp;IF(G433="","missing first_name; ","")&amp;IF(I433="","missing last_name; ","")&amp;IF(M433="","missing primary_phone; ","")&amp;IF(AND(M433&lt;&gt;"",COUNTIF($M$6:$M$505,M433)&gt;1),"duplicate primary_phone; ","")&amp;IF(AND(L433="mobile",N433&lt;&gt;"invalid",OR(LEN(M433)&lt;&gt;10,LEFT(M433,2)&lt;&gt;"09")),"mobile must be 09XXXXXXXX or status invalid; ","")&amp;IF(T433="","missing neighborhood_id; ","")))))</x:f>
      </x:c>
    </x:row>
    <x:row r="434">
      <x:c r="A434" s="232"/>
      <x:c r="B434" s="233"/>
      <x:c r="C434" s="234"/>
      <x:c r="D434" s="233"/>
      <x:c r="E434" s="233"/>
      <x:c r="F434" s="233"/>
      <x:c r="G434" s="233"/>
      <x:c r="H434" s="233"/>
      <x:c r="I434" s="233"/>
      <x:c r="J434" s="233"/>
      <x:c r="K434" s="233" t="str">
        <x:f>TRIM(G434&amp;" "&amp;H434&amp;" "&amp;I434&amp;IF(J434&lt;&gt;""," ("&amp;J434&amp;")",""))</x:f>
      </x:c>
      <x:c r="L434" s="233"/>
      <x:c r="M434" s="234"/>
      <x:c r="N434" s="233"/>
      <x:c r="O434" s="233"/>
      <x:c r="P434" s="233"/>
      <x:c r="Q434" s="233"/>
      <x:c r="R434" s="233"/>
      <x:c r="S434" s="233"/>
      <x:c r="T434" s="233"/>
      <x:c r="U434" s="233"/>
      <x:c r="V434" s="233"/>
      <x:c r="W434" s="235"/>
      <x:c r="X434" s="235"/>
      <x:c r="Y434" s="233"/>
      <x:c r="Z434" s="233"/>
      <x:c r="AA434" s="233"/>
      <x:c r="AB434" s="233"/>
      <x:c r="AC434" s="236"/>
      <x:c r="AD434" s="233"/>
      <x:c r="AE434" s="233"/>
      <x:c r="AF434" s="233"/>
      <x:c r="AG434" s="233"/>
      <x:c r="AH434" s="234"/>
      <x:c r="AI434" s="233"/>
      <x:c r="AJ434" s="233"/>
      <x:c r="AK434" s="233"/>
      <x:c r="AL434" s="236"/>
      <x:c r="AM434" s="233"/>
      <x:c r="AN434" s="233"/>
      <x:c r="AO434" s="234"/>
      <x:c r="AP434" s="234"/>
      <x:c r="AQ434" s="233"/>
      <x:c r="AR434" s="236"/>
      <x:c r="AS434" s="234"/>
      <x:c r="AT434" s="233"/>
      <x:c r="AU434" s="233"/>
      <x:c r="AV434" s="233"/>
      <x:c r="AW434" s="233"/>
      <x:c r="AX434" s="233"/>
      <x:c r="AY434" s="233"/>
      <x:c r="AZ434" s="236"/>
      <x:c r="BA434" s="233"/>
      <x:c r="BB434" s="233"/>
      <x:c r="BC434" s="233"/>
      <x:c r="BD434" s="233"/>
      <x:c r="BE434" s="237" t="str">
        <x:f>IF(AND(A434="",B434="",C434="",E434="",G434="",I434="",M434="",T434="",BB434="",BD434=""),"",IF(B434="skip","SKIP",IF(OR(B434="",A434="",E434="",G434="",I434="",M434="",T434="",COUNTIF($A$6:$A$505,A434)&gt;1,COUNTIF($M$6:$M$505,M434)&gt;1,AND(L434="mobile",N434&lt;&gt;"invalid",OR(LEN(M434)&lt;&gt;10,LEFT(M434,2)&lt;&gt;"09"))),"REVIEW","READY")))</x:f>
      </x:c>
      <x:c r="BF434" s="238" t="str">
        <x:f>IF(BE434="","",IF(BE434="READY","",IF(B434="skip","Skipped by import_action",TRIM(IF(B434="","missing import_action; ","")&amp;IF(A434="","missing migration_customer_key; ","")&amp;IF(AND(A434&lt;&gt;"",COUNTIF($A$6:$A$505,A434)&gt;1),"duplicate migration_customer_key; ","")&amp;IF(E434="","missing branch_id; ","")&amp;IF(G434="","missing first_name; ","")&amp;IF(I434="","missing last_name; ","")&amp;IF(M434="","missing primary_phone; ","")&amp;IF(AND(M434&lt;&gt;"",COUNTIF($M$6:$M$505,M434)&gt;1),"duplicate primary_phone; ","")&amp;IF(AND(L434="mobile",N434&lt;&gt;"invalid",OR(LEN(M434)&lt;&gt;10,LEFT(M434,2)&lt;&gt;"09")),"mobile must be 09XXXXXXXX or status invalid; ","")&amp;IF(T434="","missing neighborhood_id; ","")))))</x:f>
      </x:c>
    </x:row>
    <x:row r="435">
      <x:c r="A435" s="232"/>
      <x:c r="B435" s="233"/>
      <x:c r="C435" s="234"/>
      <x:c r="D435" s="233"/>
      <x:c r="E435" s="233"/>
      <x:c r="F435" s="233"/>
      <x:c r="G435" s="233"/>
      <x:c r="H435" s="233"/>
      <x:c r="I435" s="233"/>
      <x:c r="J435" s="233"/>
      <x:c r="K435" s="233" t="str">
        <x:f>TRIM(G435&amp;" "&amp;H435&amp;" "&amp;I435&amp;IF(J435&lt;&gt;""," ("&amp;J435&amp;")",""))</x:f>
      </x:c>
      <x:c r="L435" s="233"/>
      <x:c r="M435" s="234"/>
      <x:c r="N435" s="233"/>
      <x:c r="O435" s="233"/>
      <x:c r="P435" s="233"/>
      <x:c r="Q435" s="233"/>
      <x:c r="R435" s="233"/>
      <x:c r="S435" s="233"/>
      <x:c r="T435" s="233"/>
      <x:c r="U435" s="233"/>
      <x:c r="V435" s="233"/>
      <x:c r="W435" s="235"/>
      <x:c r="X435" s="235"/>
      <x:c r="Y435" s="233"/>
      <x:c r="Z435" s="233"/>
      <x:c r="AA435" s="233"/>
      <x:c r="AB435" s="233"/>
      <x:c r="AC435" s="236"/>
      <x:c r="AD435" s="233"/>
      <x:c r="AE435" s="233"/>
      <x:c r="AF435" s="233"/>
      <x:c r="AG435" s="233"/>
      <x:c r="AH435" s="234"/>
      <x:c r="AI435" s="233"/>
      <x:c r="AJ435" s="233"/>
      <x:c r="AK435" s="233"/>
      <x:c r="AL435" s="236"/>
      <x:c r="AM435" s="233"/>
      <x:c r="AN435" s="233"/>
      <x:c r="AO435" s="234"/>
      <x:c r="AP435" s="234"/>
      <x:c r="AQ435" s="233"/>
      <x:c r="AR435" s="236"/>
      <x:c r="AS435" s="234"/>
      <x:c r="AT435" s="233"/>
      <x:c r="AU435" s="233"/>
      <x:c r="AV435" s="233"/>
      <x:c r="AW435" s="233"/>
      <x:c r="AX435" s="233"/>
      <x:c r="AY435" s="233"/>
      <x:c r="AZ435" s="236"/>
      <x:c r="BA435" s="233"/>
      <x:c r="BB435" s="233"/>
      <x:c r="BC435" s="233"/>
      <x:c r="BD435" s="233"/>
      <x:c r="BE435" s="237" t="str">
        <x:f>IF(AND(A435="",B435="",C435="",E435="",G435="",I435="",M435="",T435="",BB435="",BD435=""),"",IF(B435="skip","SKIP",IF(OR(B435="",A435="",E435="",G435="",I435="",M435="",T435="",COUNTIF($A$6:$A$505,A435)&gt;1,COUNTIF($M$6:$M$505,M435)&gt;1,AND(L435="mobile",N435&lt;&gt;"invalid",OR(LEN(M435)&lt;&gt;10,LEFT(M435,2)&lt;&gt;"09"))),"REVIEW","READY")))</x:f>
      </x:c>
      <x:c r="BF435" s="238" t="str">
        <x:f>IF(BE435="","",IF(BE435="READY","",IF(B435="skip","Skipped by import_action",TRIM(IF(B435="","missing import_action; ","")&amp;IF(A435="","missing migration_customer_key; ","")&amp;IF(AND(A435&lt;&gt;"",COUNTIF($A$6:$A$505,A435)&gt;1),"duplicate migration_customer_key; ","")&amp;IF(E435="","missing branch_id; ","")&amp;IF(G435="","missing first_name; ","")&amp;IF(I435="","missing last_name; ","")&amp;IF(M435="","missing primary_phone; ","")&amp;IF(AND(M435&lt;&gt;"",COUNTIF($M$6:$M$505,M435)&gt;1),"duplicate primary_phone; ","")&amp;IF(AND(L435="mobile",N435&lt;&gt;"invalid",OR(LEN(M435)&lt;&gt;10,LEFT(M435,2)&lt;&gt;"09")),"mobile must be 09XXXXXXXX or status invalid; ","")&amp;IF(T435="","missing neighborhood_id; ","")))))</x:f>
      </x:c>
    </x:row>
    <x:row r="436">
      <x:c r="A436" s="232"/>
      <x:c r="B436" s="233"/>
      <x:c r="C436" s="234"/>
      <x:c r="D436" s="233"/>
      <x:c r="E436" s="233"/>
      <x:c r="F436" s="233"/>
      <x:c r="G436" s="233"/>
      <x:c r="H436" s="233"/>
      <x:c r="I436" s="233"/>
      <x:c r="J436" s="233"/>
      <x:c r="K436" s="233" t="str">
        <x:f>TRIM(G436&amp;" "&amp;H436&amp;" "&amp;I436&amp;IF(J436&lt;&gt;""," ("&amp;J436&amp;")",""))</x:f>
      </x:c>
      <x:c r="L436" s="233"/>
      <x:c r="M436" s="234"/>
      <x:c r="N436" s="233"/>
      <x:c r="O436" s="233"/>
      <x:c r="P436" s="233"/>
      <x:c r="Q436" s="233"/>
      <x:c r="R436" s="233"/>
      <x:c r="S436" s="233"/>
      <x:c r="T436" s="233"/>
      <x:c r="U436" s="233"/>
      <x:c r="V436" s="233"/>
      <x:c r="W436" s="235"/>
      <x:c r="X436" s="235"/>
      <x:c r="Y436" s="233"/>
      <x:c r="Z436" s="233"/>
      <x:c r="AA436" s="233"/>
      <x:c r="AB436" s="233"/>
      <x:c r="AC436" s="236"/>
      <x:c r="AD436" s="233"/>
      <x:c r="AE436" s="233"/>
      <x:c r="AF436" s="233"/>
      <x:c r="AG436" s="233"/>
      <x:c r="AH436" s="234"/>
      <x:c r="AI436" s="233"/>
      <x:c r="AJ436" s="233"/>
      <x:c r="AK436" s="233"/>
      <x:c r="AL436" s="236"/>
      <x:c r="AM436" s="233"/>
      <x:c r="AN436" s="233"/>
      <x:c r="AO436" s="234"/>
      <x:c r="AP436" s="234"/>
      <x:c r="AQ436" s="233"/>
      <x:c r="AR436" s="236"/>
      <x:c r="AS436" s="234"/>
      <x:c r="AT436" s="233"/>
      <x:c r="AU436" s="233"/>
      <x:c r="AV436" s="233"/>
      <x:c r="AW436" s="233"/>
      <x:c r="AX436" s="233"/>
      <x:c r="AY436" s="233"/>
      <x:c r="AZ436" s="236"/>
      <x:c r="BA436" s="233"/>
      <x:c r="BB436" s="233"/>
      <x:c r="BC436" s="233"/>
      <x:c r="BD436" s="233"/>
      <x:c r="BE436" s="237" t="str">
        <x:f>IF(AND(A436="",B436="",C436="",E436="",G436="",I436="",M436="",T436="",BB436="",BD436=""),"",IF(B436="skip","SKIP",IF(OR(B436="",A436="",E436="",G436="",I436="",M436="",T436="",COUNTIF($A$6:$A$505,A436)&gt;1,COUNTIF($M$6:$M$505,M436)&gt;1,AND(L436="mobile",N436&lt;&gt;"invalid",OR(LEN(M436)&lt;&gt;10,LEFT(M436,2)&lt;&gt;"09"))),"REVIEW","READY")))</x:f>
      </x:c>
      <x:c r="BF436" s="238" t="str">
        <x:f>IF(BE436="","",IF(BE436="READY","",IF(B436="skip","Skipped by import_action",TRIM(IF(B436="","missing import_action; ","")&amp;IF(A436="","missing migration_customer_key; ","")&amp;IF(AND(A436&lt;&gt;"",COUNTIF($A$6:$A$505,A436)&gt;1),"duplicate migration_customer_key; ","")&amp;IF(E436="","missing branch_id; ","")&amp;IF(G436="","missing first_name; ","")&amp;IF(I436="","missing last_name; ","")&amp;IF(M436="","missing primary_phone; ","")&amp;IF(AND(M436&lt;&gt;"",COUNTIF($M$6:$M$505,M436)&gt;1),"duplicate primary_phone; ","")&amp;IF(AND(L436="mobile",N436&lt;&gt;"invalid",OR(LEN(M436)&lt;&gt;10,LEFT(M436,2)&lt;&gt;"09")),"mobile must be 09XXXXXXXX or status invalid; ","")&amp;IF(T436="","missing neighborhood_id; ","")))))</x:f>
      </x:c>
    </x:row>
    <x:row r="437">
      <x:c r="A437" s="232"/>
      <x:c r="B437" s="233"/>
      <x:c r="C437" s="234"/>
      <x:c r="D437" s="233"/>
      <x:c r="E437" s="233"/>
      <x:c r="F437" s="233"/>
      <x:c r="G437" s="233"/>
      <x:c r="H437" s="233"/>
      <x:c r="I437" s="233"/>
      <x:c r="J437" s="233"/>
      <x:c r="K437" s="233" t="str">
        <x:f>TRIM(G437&amp;" "&amp;H437&amp;" "&amp;I437&amp;IF(J437&lt;&gt;""," ("&amp;J437&amp;")",""))</x:f>
      </x:c>
      <x:c r="L437" s="233"/>
      <x:c r="M437" s="234"/>
      <x:c r="N437" s="233"/>
      <x:c r="O437" s="233"/>
      <x:c r="P437" s="233"/>
      <x:c r="Q437" s="233"/>
      <x:c r="R437" s="233"/>
      <x:c r="S437" s="233"/>
      <x:c r="T437" s="233"/>
      <x:c r="U437" s="233"/>
      <x:c r="V437" s="233"/>
      <x:c r="W437" s="235"/>
      <x:c r="X437" s="235"/>
      <x:c r="Y437" s="233"/>
      <x:c r="Z437" s="233"/>
      <x:c r="AA437" s="233"/>
      <x:c r="AB437" s="233"/>
      <x:c r="AC437" s="236"/>
      <x:c r="AD437" s="233"/>
      <x:c r="AE437" s="233"/>
      <x:c r="AF437" s="233"/>
      <x:c r="AG437" s="233"/>
      <x:c r="AH437" s="234"/>
      <x:c r="AI437" s="233"/>
      <x:c r="AJ437" s="233"/>
      <x:c r="AK437" s="233"/>
      <x:c r="AL437" s="236"/>
      <x:c r="AM437" s="233"/>
      <x:c r="AN437" s="233"/>
      <x:c r="AO437" s="234"/>
      <x:c r="AP437" s="234"/>
      <x:c r="AQ437" s="233"/>
      <x:c r="AR437" s="236"/>
      <x:c r="AS437" s="234"/>
      <x:c r="AT437" s="233"/>
      <x:c r="AU437" s="233"/>
      <x:c r="AV437" s="233"/>
      <x:c r="AW437" s="233"/>
      <x:c r="AX437" s="233"/>
      <x:c r="AY437" s="233"/>
      <x:c r="AZ437" s="236"/>
      <x:c r="BA437" s="233"/>
      <x:c r="BB437" s="233"/>
      <x:c r="BC437" s="233"/>
      <x:c r="BD437" s="233"/>
      <x:c r="BE437" s="237" t="str">
        <x:f>IF(AND(A437="",B437="",C437="",E437="",G437="",I437="",M437="",T437="",BB437="",BD437=""),"",IF(B437="skip","SKIP",IF(OR(B437="",A437="",E437="",G437="",I437="",M437="",T437="",COUNTIF($A$6:$A$505,A437)&gt;1,COUNTIF($M$6:$M$505,M437)&gt;1,AND(L437="mobile",N437&lt;&gt;"invalid",OR(LEN(M437)&lt;&gt;10,LEFT(M437,2)&lt;&gt;"09"))),"REVIEW","READY")))</x:f>
      </x:c>
      <x:c r="BF437" s="238" t="str">
        <x:f>IF(BE437="","",IF(BE437="READY","",IF(B437="skip","Skipped by import_action",TRIM(IF(B437="","missing import_action; ","")&amp;IF(A437="","missing migration_customer_key; ","")&amp;IF(AND(A437&lt;&gt;"",COUNTIF($A$6:$A$505,A437)&gt;1),"duplicate migration_customer_key; ","")&amp;IF(E437="","missing branch_id; ","")&amp;IF(G437="","missing first_name; ","")&amp;IF(I437="","missing last_name; ","")&amp;IF(M437="","missing primary_phone; ","")&amp;IF(AND(M437&lt;&gt;"",COUNTIF($M$6:$M$505,M437)&gt;1),"duplicate primary_phone; ","")&amp;IF(AND(L437="mobile",N437&lt;&gt;"invalid",OR(LEN(M437)&lt;&gt;10,LEFT(M437,2)&lt;&gt;"09")),"mobile must be 09XXXXXXXX or status invalid; ","")&amp;IF(T437="","missing neighborhood_id; ","")))))</x:f>
      </x:c>
    </x:row>
    <x:row r="438">
      <x:c r="A438" s="232"/>
      <x:c r="B438" s="233"/>
      <x:c r="C438" s="234"/>
      <x:c r="D438" s="233"/>
      <x:c r="E438" s="233"/>
      <x:c r="F438" s="233"/>
      <x:c r="G438" s="233"/>
      <x:c r="H438" s="233"/>
      <x:c r="I438" s="233"/>
      <x:c r="J438" s="233"/>
      <x:c r="K438" s="233" t="str">
        <x:f>TRIM(G438&amp;" "&amp;H438&amp;" "&amp;I438&amp;IF(J438&lt;&gt;""," ("&amp;J438&amp;")",""))</x:f>
      </x:c>
      <x:c r="L438" s="233"/>
      <x:c r="M438" s="234"/>
      <x:c r="N438" s="233"/>
      <x:c r="O438" s="233"/>
      <x:c r="P438" s="233"/>
      <x:c r="Q438" s="233"/>
      <x:c r="R438" s="233"/>
      <x:c r="S438" s="233"/>
      <x:c r="T438" s="233"/>
      <x:c r="U438" s="233"/>
      <x:c r="V438" s="233"/>
      <x:c r="W438" s="235"/>
      <x:c r="X438" s="235"/>
      <x:c r="Y438" s="233"/>
      <x:c r="Z438" s="233"/>
      <x:c r="AA438" s="233"/>
      <x:c r="AB438" s="233"/>
      <x:c r="AC438" s="236"/>
      <x:c r="AD438" s="233"/>
      <x:c r="AE438" s="233"/>
      <x:c r="AF438" s="233"/>
      <x:c r="AG438" s="233"/>
      <x:c r="AH438" s="234"/>
      <x:c r="AI438" s="233"/>
      <x:c r="AJ438" s="233"/>
      <x:c r="AK438" s="233"/>
      <x:c r="AL438" s="236"/>
      <x:c r="AM438" s="233"/>
      <x:c r="AN438" s="233"/>
      <x:c r="AO438" s="234"/>
      <x:c r="AP438" s="234"/>
      <x:c r="AQ438" s="233"/>
      <x:c r="AR438" s="236"/>
      <x:c r="AS438" s="234"/>
      <x:c r="AT438" s="233"/>
      <x:c r="AU438" s="233"/>
      <x:c r="AV438" s="233"/>
      <x:c r="AW438" s="233"/>
      <x:c r="AX438" s="233"/>
      <x:c r="AY438" s="233"/>
      <x:c r="AZ438" s="236"/>
      <x:c r="BA438" s="233"/>
      <x:c r="BB438" s="233"/>
      <x:c r="BC438" s="233"/>
      <x:c r="BD438" s="233"/>
      <x:c r="BE438" s="237" t="str">
        <x:f>IF(AND(A438="",B438="",C438="",E438="",G438="",I438="",M438="",T438="",BB438="",BD438=""),"",IF(B438="skip","SKIP",IF(OR(B438="",A438="",E438="",G438="",I438="",M438="",T438="",COUNTIF($A$6:$A$505,A438)&gt;1,COUNTIF($M$6:$M$505,M438)&gt;1,AND(L438="mobile",N438&lt;&gt;"invalid",OR(LEN(M438)&lt;&gt;10,LEFT(M438,2)&lt;&gt;"09"))),"REVIEW","READY")))</x:f>
      </x:c>
      <x:c r="BF438" s="238" t="str">
        <x:f>IF(BE438="","",IF(BE438="READY","",IF(B438="skip","Skipped by import_action",TRIM(IF(B438="","missing import_action; ","")&amp;IF(A438="","missing migration_customer_key; ","")&amp;IF(AND(A438&lt;&gt;"",COUNTIF($A$6:$A$505,A438)&gt;1),"duplicate migration_customer_key; ","")&amp;IF(E438="","missing branch_id; ","")&amp;IF(G438="","missing first_name; ","")&amp;IF(I438="","missing last_name; ","")&amp;IF(M438="","missing primary_phone; ","")&amp;IF(AND(M438&lt;&gt;"",COUNTIF($M$6:$M$505,M438)&gt;1),"duplicate primary_phone; ","")&amp;IF(AND(L438="mobile",N438&lt;&gt;"invalid",OR(LEN(M438)&lt;&gt;10,LEFT(M438,2)&lt;&gt;"09")),"mobile must be 09XXXXXXXX or status invalid; ","")&amp;IF(T438="","missing neighborhood_id; ","")))))</x:f>
      </x:c>
    </x:row>
    <x:row r="439">
      <x:c r="A439" s="232"/>
      <x:c r="B439" s="233"/>
      <x:c r="C439" s="234"/>
      <x:c r="D439" s="233"/>
      <x:c r="E439" s="233"/>
      <x:c r="F439" s="233"/>
      <x:c r="G439" s="233"/>
      <x:c r="H439" s="233"/>
      <x:c r="I439" s="233"/>
      <x:c r="J439" s="233"/>
      <x:c r="K439" s="233" t="str">
        <x:f>TRIM(G439&amp;" "&amp;H439&amp;" "&amp;I439&amp;IF(J439&lt;&gt;""," ("&amp;J439&amp;")",""))</x:f>
      </x:c>
      <x:c r="L439" s="233"/>
      <x:c r="M439" s="234"/>
      <x:c r="N439" s="233"/>
      <x:c r="O439" s="233"/>
      <x:c r="P439" s="233"/>
      <x:c r="Q439" s="233"/>
      <x:c r="R439" s="233"/>
      <x:c r="S439" s="233"/>
      <x:c r="T439" s="233"/>
      <x:c r="U439" s="233"/>
      <x:c r="V439" s="233"/>
      <x:c r="W439" s="235"/>
      <x:c r="X439" s="235"/>
      <x:c r="Y439" s="233"/>
      <x:c r="Z439" s="233"/>
      <x:c r="AA439" s="233"/>
      <x:c r="AB439" s="233"/>
      <x:c r="AC439" s="236"/>
      <x:c r="AD439" s="233"/>
      <x:c r="AE439" s="233"/>
      <x:c r="AF439" s="233"/>
      <x:c r="AG439" s="233"/>
      <x:c r="AH439" s="234"/>
      <x:c r="AI439" s="233"/>
      <x:c r="AJ439" s="233"/>
      <x:c r="AK439" s="233"/>
      <x:c r="AL439" s="236"/>
      <x:c r="AM439" s="233"/>
      <x:c r="AN439" s="233"/>
      <x:c r="AO439" s="234"/>
      <x:c r="AP439" s="234"/>
      <x:c r="AQ439" s="233"/>
      <x:c r="AR439" s="236"/>
      <x:c r="AS439" s="234"/>
      <x:c r="AT439" s="233"/>
      <x:c r="AU439" s="233"/>
      <x:c r="AV439" s="233"/>
      <x:c r="AW439" s="233"/>
      <x:c r="AX439" s="233"/>
      <x:c r="AY439" s="233"/>
      <x:c r="AZ439" s="236"/>
      <x:c r="BA439" s="233"/>
      <x:c r="BB439" s="233"/>
      <x:c r="BC439" s="233"/>
      <x:c r="BD439" s="233"/>
      <x:c r="BE439" s="237" t="str">
        <x:f>IF(AND(A439="",B439="",C439="",E439="",G439="",I439="",M439="",T439="",BB439="",BD439=""),"",IF(B439="skip","SKIP",IF(OR(B439="",A439="",E439="",G439="",I439="",M439="",T439="",COUNTIF($A$6:$A$505,A439)&gt;1,COUNTIF($M$6:$M$505,M439)&gt;1,AND(L439="mobile",N439&lt;&gt;"invalid",OR(LEN(M439)&lt;&gt;10,LEFT(M439,2)&lt;&gt;"09"))),"REVIEW","READY")))</x:f>
      </x:c>
      <x:c r="BF439" s="238" t="str">
        <x:f>IF(BE439="","",IF(BE439="READY","",IF(B439="skip","Skipped by import_action",TRIM(IF(B439="","missing import_action; ","")&amp;IF(A439="","missing migration_customer_key; ","")&amp;IF(AND(A439&lt;&gt;"",COUNTIF($A$6:$A$505,A439)&gt;1),"duplicate migration_customer_key; ","")&amp;IF(E439="","missing branch_id; ","")&amp;IF(G439="","missing first_name; ","")&amp;IF(I439="","missing last_name; ","")&amp;IF(M439="","missing primary_phone; ","")&amp;IF(AND(M439&lt;&gt;"",COUNTIF($M$6:$M$505,M439)&gt;1),"duplicate primary_phone; ","")&amp;IF(AND(L439="mobile",N439&lt;&gt;"invalid",OR(LEN(M439)&lt;&gt;10,LEFT(M439,2)&lt;&gt;"09")),"mobile must be 09XXXXXXXX or status invalid; ","")&amp;IF(T439="","missing neighborhood_id; ","")))))</x:f>
      </x:c>
    </x:row>
    <x:row r="440">
      <x:c r="A440" s="232"/>
      <x:c r="B440" s="233"/>
      <x:c r="C440" s="234"/>
      <x:c r="D440" s="233"/>
      <x:c r="E440" s="233"/>
      <x:c r="F440" s="233"/>
      <x:c r="G440" s="233"/>
      <x:c r="H440" s="233"/>
      <x:c r="I440" s="233"/>
      <x:c r="J440" s="233"/>
      <x:c r="K440" s="233" t="str">
        <x:f>TRIM(G440&amp;" "&amp;H440&amp;" "&amp;I440&amp;IF(J440&lt;&gt;""," ("&amp;J440&amp;")",""))</x:f>
      </x:c>
      <x:c r="L440" s="233"/>
      <x:c r="M440" s="234"/>
      <x:c r="N440" s="233"/>
      <x:c r="O440" s="233"/>
      <x:c r="P440" s="233"/>
      <x:c r="Q440" s="233"/>
      <x:c r="R440" s="233"/>
      <x:c r="S440" s="233"/>
      <x:c r="T440" s="233"/>
      <x:c r="U440" s="233"/>
      <x:c r="V440" s="233"/>
      <x:c r="W440" s="235"/>
      <x:c r="X440" s="235"/>
      <x:c r="Y440" s="233"/>
      <x:c r="Z440" s="233"/>
      <x:c r="AA440" s="233"/>
      <x:c r="AB440" s="233"/>
      <x:c r="AC440" s="236"/>
      <x:c r="AD440" s="233"/>
      <x:c r="AE440" s="233"/>
      <x:c r="AF440" s="233"/>
      <x:c r="AG440" s="233"/>
      <x:c r="AH440" s="234"/>
      <x:c r="AI440" s="233"/>
      <x:c r="AJ440" s="233"/>
      <x:c r="AK440" s="233"/>
      <x:c r="AL440" s="236"/>
      <x:c r="AM440" s="233"/>
      <x:c r="AN440" s="233"/>
      <x:c r="AO440" s="234"/>
      <x:c r="AP440" s="234"/>
      <x:c r="AQ440" s="233"/>
      <x:c r="AR440" s="236"/>
      <x:c r="AS440" s="234"/>
      <x:c r="AT440" s="233"/>
      <x:c r="AU440" s="233"/>
      <x:c r="AV440" s="233"/>
      <x:c r="AW440" s="233"/>
      <x:c r="AX440" s="233"/>
      <x:c r="AY440" s="233"/>
      <x:c r="AZ440" s="236"/>
      <x:c r="BA440" s="233"/>
      <x:c r="BB440" s="233"/>
      <x:c r="BC440" s="233"/>
      <x:c r="BD440" s="233"/>
      <x:c r="BE440" s="237" t="str">
        <x:f>IF(AND(A440="",B440="",C440="",E440="",G440="",I440="",M440="",T440="",BB440="",BD440=""),"",IF(B440="skip","SKIP",IF(OR(B440="",A440="",E440="",G440="",I440="",M440="",T440="",COUNTIF($A$6:$A$505,A440)&gt;1,COUNTIF($M$6:$M$505,M440)&gt;1,AND(L440="mobile",N440&lt;&gt;"invalid",OR(LEN(M440)&lt;&gt;10,LEFT(M440,2)&lt;&gt;"09"))),"REVIEW","READY")))</x:f>
      </x:c>
      <x:c r="BF440" s="238" t="str">
        <x:f>IF(BE440="","",IF(BE440="READY","",IF(B440="skip","Skipped by import_action",TRIM(IF(B440="","missing import_action; ","")&amp;IF(A440="","missing migration_customer_key; ","")&amp;IF(AND(A440&lt;&gt;"",COUNTIF($A$6:$A$505,A440)&gt;1),"duplicate migration_customer_key; ","")&amp;IF(E440="","missing branch_id; ","")&amp;IF(G440="","missing first_name; ","")&amp;IF(I440="","missing last_name; ","")&amp;IF(M440="","missing primary_phone; ","")&amp;IF(AND(M440&lt;&gt;"",COUNTIF($M$6:$M$505,M440)&gt;1),"duplicate primary_phone; ","")&amp;IF(AND(L440="mobile",N440&lt;&gt;"invalid",OR(LEN(M440)&lt;&gt;10,LEFT(M440,2)&lt;&gt;"09")),"mobile must be 09XXXXXXXX or status invalid; ","")&amp;IF(T440="","missing neighborhood_id; ","")))))</x:f>
      </x:c>
    </x:row>
    <x:row r="441">
      <x:c r="A441" s="232"/>
      <x:c r="B441" s="233"/>
      <x:c r="C441" s="234"/>
      <x:c r="D441" s="233"/>
      <x:c r="E441" s="233"/>
      <x:c r="F441" s="233"/>
      <x:c r="G441" s="233"/>
      <x:c r="H441" s="233"/>
      <x:c r="I441" s="233"/>
      <x:c r="J441" s="233"/>
      <x:c r="K441" s="233" t="str">
        <x:f>TRIM(G441&amp;" "&amp;H441&amp;" "&amp;I441&amp;IF(J441&lt;&gt;""," ("&amp;J441&amp;")",""))</x:f>
      </x:c>
      <x:c r="L441" s="233"/>
      <x:c r="M441" s="234"/>
      <x:c r="N441" s="233"/>
      <x:c r="O441" s="233"/>
      <x:c r="P441" s="233"/>
      <x:c r="Q441" s="233"/>
      <x:c r="R441" s="233"/>
      <x:c r="S441" s="233"/>
      <x:c r="T441" s="233"/>
      <x:c r="U441" s="233"/>
      <x:c r="V441" s="233"/>
      <x:c r="W441" s="235"/>
      <x:c r="X441" s="235"/>
      <x:c r="Y441" s="233"/>
      <x:c r="Z441" s="233"/>
      <x:c r="AA441" s="233"/>
      <x:c r="AB441" s="233"/>
      <x:c r="AC441" s="236"/>
      <x:c r="AD441" s="233"/>
      <x:c r="AE441" s="233"/>
      <x:c r="AF441" s="233"/>
      <x:c r="AG441" s="233"/>
      <x:c r="AH441" s="234"/>
      <x:c r="AI441" s="233"/>
      <x:c r="AJ441" s="233"/>
      <x:c r="AK441" s="233"/>
      <x:c r="AL441" s="236"/>
      <x:c r="AM441" s="233"/>
      <x:c r="AN441" s="233"/>
      <x:c r="AO441" s="234"/>
      <x:c r="AP441" s="234"/>
      <x:c r="AQ441" s="233"/>
      <x:c r="AR441" s="236"/>
      <x:c r="AS441" s="234"/>
      <x:c r="AT441" s="233"/>
      <x:c r="AU441" s="233"/>
      <x:c r="AV441" s="233"/>
      <x:c r="AW441" s="233"/>
      <x:c r="AX441" s="233"/>
      <x:c r="AY441" s="233"/>
      <x:c r="AZ441" s="236"/>
      <x:c r="BA441" s="233"/>
      <x:c r="BB441" s="233"/>
      <x:c r="BC441" s="233"/>
      <x:c r="BD441" s="233"/>
      <x:c r="BE441" s="237" t="str">
        <x:f>IF(AND(A441="",B441="",C441="",E441="",G441="",I441="",M441="",T441="",BB441="",BD441=""),"",IF(B441="skip","SKIP",IF(OR(B441="",A441="",E441="",G441="",I441="",M441="",T441="",COUNTIF($A$6:$A$505,A441)&gt;1,COUNTIF($M$6:$M$505,M441)&gt;1,AND(L441="mobile",N441&lt;&gt;"invalid",OR(LEN(M441)&lt;&gt;10,LEFT(M441,2)&lt;&gt;"09"))),"REVIEW","READY")))</x:f>
      </x:c>
      <x:c r="BF441" s="238" t="str">
        <x:f>IF(BE441="","",IF(BE441="READY","",IF(B441="skip","Skipped by import_action",TRIM(IF(B441="","missing import_action; ","")&amp;IF(A441="","missing migration_customer_key; ","")&amp;IF(AND(A441&lt;&gt;"",COUNTIF($A$6:$A$505,A441)&gt;1),"duplicate migration_customer_key; ","")&amp;IF(E441="","missing branch_id; ","")&amp;IF(G441="","missing first_name; ","")&amp;IF(I441="","missing last_name; ","")&amp;IF(M441="","missing primary_phone; ","")&amp;IF(AND(M441&lt;&gt;"",COUNTIF($M$6:$M$505,M441)&gt;1),"duplicate primary_phone; ","")&amp;IF(AND(L441="mobile",N441&lt;&gt;"invalid",OR(LEN(M441)&lt;&gt;10,LEFT(M441,2)&lt;&gt;"09")),"mobile must be 09XXXXXXXX or status invalid; ","")&amp;IF(T441="","missing neighborhood_id; ","")))))</x:f>
      </x:c>
    </x:row>
    <x:row r="442">
      <x:c r="A442" s="232"/>
      <x:c r="B442" s="233"/>
      <x:c r="C442" s="234"/>
      <x:c r="D442" s="233"/>
      <x:c r="E442" s="233"/>
      <x:c r="F442" s="233"/>
      <x:c r="G442" s="233"/>
      <x:c r="H442" s="233"/>
      <x:c r="I442" s="233"/>
      <x:c r="J442" s="233"/>
      <x:c r="K442" s="233" t="str">
        <x:f>TRIM(G442&amp;" "&amp;H442&amp;" "&amp;I442&amp;IF(J442&lt;&gt;""," ("&amp;J442&amp;")",""))</x:f>
      </x:c>
      <x:c r="L442" s="233"/>
      <x:c r="M442" s="234"/>
      <x:c r="N442" s="233"/>
      <x:c r="O442" s="233"/>
      <x:c r="P442" s="233"/>
      <x:c r="Q442" s="233"/>
      <x:c r="R442" s="233"/>
      <x:c r="S442" s="233"/>
      <x:c r="T442" s="233"/>
      <x:c r="U442" s="233"/>
      <x:c r="V442" s="233"/>
      <x:c r="W442" s="235"/>
      <x:c r="X442" s="235"/>
      <x:c r="Y442" s="233"/>
      <x:c r="Z442" s="233"/>
      <x:c r="AA442" s="233"/>
      <x:c r="AB442" s="233"/>
      <x:c r="AC442" s="236"/>
      <x:c r="AD442" s="233"/>
      <x:c r="AE442" s="233"/>
      <x:c r="AF442" s="233"/>
      <x:c r="AG442" s="233"/>
      <x:c r="AH442" s="234"/>
      <x:c r="AI442" s="233"/>
      <x:c r="AJ442" s="233"/>
      <x:c r="AK442" s="233"/>
      <x:c r="AL442" s="236"/>
      <x:c r="AM442" s="233"/>
      <x:c r="AN442" s="233"/>
      <x:c r="AO442" s="234"/>
      <x:c r="AP442" s="234"/>
      <x:c r="AQ442" s="233"/>
      <x:c r="AR442" s="236"/>
      <x:c r="AS442" s="234"/>
      <x:c r="AT442" s="233"/>
      <x:c r="AU442" s="233"/>
      <x:c r="AV442" s="233"/>
      <x:c r="AW442" s="233"/>
      <x:c r="AX442" s="233"/>
      <x:c r="AY442" s="233"/>
      <x:c r="AZ442" s="236"/>
      <x:c r="BA442" s="233"/>
      <x:c r="BB442" s="233"/>
      <x:c r="BC442" s="233"/>
      <x:c r="BD442" s="233"/>
      <x:c r="BE442" s="237" t="str">
        <x:f>IF(AND(A442="",B442="",C442="",E442="",G442="",I442="",M442="",T442="",BB442="",BD442=""),"",IF(B442="skip","SKIP",IF(OR(B442="",A442="",E442="",G442="",I442="",M442="",T442="",COUNTIF($A$6:$A$505,A442)&gt;1,COUNTIF($M$6:$M$505,M442)&gt;1,AND(L442="mobile",N442&lt;&gt;"invalid",OR(LEN(M442)&lt;&gt;10,LEFT(M442,2)&lt;&gt;"09"))),"REVIEW","READY")))</x:f>
      </x:c>
      <x:c r="BF442" s="238" t="str">
        <x:f>IF(BE442="","",IF(BE442="READY","",IF(B442="skip","Skipped by import_action",TRIM(IF(B442="","missing import_action; ","")&amp;IF(A442="","missing migration_customer_key; ","")&amp;IF(AND(A442&lt;&gt;"",COUNTIF($A$6:$A$505,A442)&gt;1),"duplicate migration_customer_key; ","")&amp;IF(E442="","missing branch_id; ","")&amp;IF(G442="","missing first_name; ","")&amp;IF(I442="","missing last_name; ","")&amp;IF(M442="","missing primary_phone; ","")&amp;IF(AND(M442&lt;&gt;"",COUNTIF($M$6:$M$505,M442)&gt;1),"duplicate primary_phone; ","")&amp;IF(AND(L442="mobile",N442&lt;&gt;"invalid",OR(LEN(M442)&lt;&gt;10,LEFT(M442,2)&lt;&gt;"09")),"mobile must be 09XXXXXXXX or status invalid; ","")&amp;IF(T442="","missing neighborhood_id; ","")))))</x:f>
      </x:c>
    </x:row>
    <x:row r="443">
      <x:c r="A443" s="232"/>
      <x:c r="B443" s="233"/>
      <x:c r="C443" s="234"/>
      <x:c r="D443" s="233"/>
      <x:c r="E443" s="233"/>
      <x:c r="F443" s="233"/>
      <x:c r="G443" s="233"/>
      <x:c r="H443" s="233"/>
      <x:c r="I443" s="233"/>
      <x:c r="J443" s="233"/>
      <x:c r="K443" s="233" t="str">
        <x:f>TRIM(G443&amp;" "&amp;H443&amp;" "&amp;I443&amp;IF(J443&lt;&gt;""," ("&amp;J443&amp;")",""))</x:f>
      </x:c>
      <x:c r="L443" s="233"/>
      <x:c r="M443" s="234"/>
      <x:c r="N443" s="233"/>
      <x:c r="O443" s="233"/>
      <x:c r="P443" s="233"/>
      <x:c r="Q443" s="233"/>
      <x:c r="R443" s="233"/>
      <x:c r="S443" s="233"/>
      <x:c r="T443" s="233"/>
      <x:c r="U443" s="233"/>
      <x:c r="V443" s="233"/>
      <x:c r="W443" s="235"/>
      <x:c r="X443" s="235"/>
      <x:c r="Y443" s="233"/>
      <x:c r="Z443" s="233"/>
      <x:c r="AA443" s="233"/>
      <x:c r="AB443" s="233"/>
      <x:c r="AC443" s="236"/>
      <x:c r="AD443" s="233"/>
      <x:c r="AE443" s="233"/>
      <x:c r="AF443" s="233"/>
      <x:c r="AG443" s="233"/>
      <x:c r="AH443" s="234"/>
      <x:c r="AI443" s="233"/>
      <x:c r="AJ443" s="233"/>
      <x:c r="AK443" s="233"/>
      <x:c r="AL443" s="236"/>
      <x:c r="AM443" s="233"/>
      <x:c r="AN443" s="233"/>
      <x:c r="AO443" s="234"/>
      <x:c r="AP443" s="234"/>
      <x:c r="AQ443" s="233"/>
      <x:c r="AR443" s="236"/>
      <x:c r="AS443" s="234"/>
      <x:c r="AT443" s="233"/>
      <x:c r="AU443" s="233"/>
      <x:c r="AV443" s="233"/>
      <x:c r="AW443" s="233"/>
      <x:c r="AX443" s="233"/>
      <x:c r="AY443" s="233"/>
      <x:c r="AZ443" s="236"/>
      <x:c r="BA443" s="233"/>
      <x:c r="BB443" s="233"/>
      <x:c r="BC443" s="233"/>
      <x:c r="BD443" s="233"/>
      <x:c r="BE443" s="237" t="str">
        <x:f>IF(AND(A443="",B443="",C443="",E443="",G443="",I443="",M443="",T443="",BB443="",BD443=""),"",IF(B443="skip","SKIP",IF(OR(B443="",A443="",E443="",G443="",I443="",M443="",T443="",COUNTIF($A$6:$A$505,A443)&gt;1,COUNTIF($M$6:$M$505,M443)&gt;1,AND(L443="mobile",N443&lt;&gt;"invalid",OR(LEN(M443)&lt;&gt;10,LEFT(M443,2)&lt;&gt;"09"))),"REVIEW","READY")))</x:f>
      </x:c>
      <x:c r="BF443" s="238" t="str">
        <x:f>IF(BE443="","",IF(BE443="READY","",IF(B443="skip","Skipped by import_action",TRIM(IF(B443="","missing import_action; ","")&amp;IF(A443="","missing migration_customer_key; ","")&amp;IF(AND(A443&lt;&gt;"",COUNTIF($A$6:$A$505,A443)&gt;1),"duplicate migration_customer_key; ","")&amp;IF(E443="","missing branch_id; ","")&amp;IF(G443="","missing first_name; ","")&amp;IF(I443="","missing last_name; ","")&amp;IF(M443="","missing primary_phone; ","")&amp;IF(AND(M443&lt;&gt;"",COUNTIF($M$6:$M$505,M443)&gt;1),"duplicate primary_phone; ","")&amp;IF(AND(L443="mobile",N443&lt;&gt;"invalid",OR(LEN(M443)&lt;&gt;10,LEFT(M443,2)&lt;&gt;"09")),"mobile must be 09XXXXXXXX or status invalid; ","")&amp;IF(T443="","missing neighborhood_id; ","")))))</x:f>
      </x:c>
    </x:row>
    <x:row r="444">
      <x:c r="A444" s="232"/>
      <x:c r="B444" s="233"/>
      <x:c r="C444" s="234"/>
      <x:c r="D444" s="233"/>
      <x:c r="E444" s="233"/>
      <x:c r="F444" s="233"/>
      <x:c r="G444" s="233"/>
      <x:c r="H444" s="233"/>
      <x:c r="I444" s="233"/>
      <x:c r="J444" s="233"/>
      <x:c r="K444" s="233" t="str">
        <x:f>TRIM(G444&amp;" "&amp;H444&amp;" "&amp;I444&amp;IF(J444&lt;&gt;""," ("&amp;J444&amp;")",""))</x:f>
      </x:c>
      <x:c r="L444" s="233"/>
      <x:c r="M444" s="234"/>
      <x:c r="N444" s="233"/>
      <x:c r="O444" s="233"/>
      <x:c r="P444" s="233"/>
      <x:c r="Q444" s="233"/>
      <x:c r="R444" s="233"/>
      <x:c r="S444" s="233"/>
      <x:c r="T444" s="233"/>
      <x:c r="U444" s="233"/>
      <x:c r="V444" s="233"/>
      <x:c r="W444" s="235"/>
      <x:c r="X444" s="235"/>
      <x:c r="Y444" s="233"/>
      <x:c r="Z444" s="233"/>
      <x:c r="AA444" s="233"/>
      <x:c r="AB444" s="233"/>
      <x:c r="AC444" s="236"/>
      <x:c r="AD444" s="233"/>
      <x:c r="AE444" s="233"/>
      <x:c r="AF444" s="233"/>
      <x:c r="AG444" s="233"/>
      <x:c r="AH444" s="234"/>
      <x:c r="AI444" s="233"/>
      <x:c r="AJ444" s="233"/>
      <x:c r="AK444" s="233"/>
      <x:c r="AL444" s="236"/>
      <x:c r="AM444" s="233"/>
      <x:c r="AN444" s="233"/>
      <x:c r="AO444" s="234"/>
      <x:c r="AP444" s="234"/>
      <x:c r="AQ444" s="233"/>
      <x:c r="AR444" s="236"/>
      <x:c r="AS444" s="234"/>
      <x:c r="AT444" s="233"/>
      <x:c r="AU444" s="233"/>
      <x:c r="AV444" s="233"/>
      <x:c r="AW444" s="233"/>
      <x:c r="AX444" s="233"/>
      <x:c r="AY444" s="233"/>
      <x:c r="AZ444" s="236"/>
      <x:c r="BA444" s="233"/>
      <x:c r="BB444" s="233"/>
      <x:c r="BC444" s="233"/>
      <x:c r="BD444" s="233"/>
      <x:c r="BE444" s="237" t="str">
        <x:f>IF(AND(A444="",B444="",C444="",E444="",G444="",I444="",M444="",T444="",BB444="",BD444=""),"",IF(B444="skip","SKIP",IF(OR(B444="",A444="",E444="",G444="",I444="",M444="",T444="",COUNTIF($A$6:$A$505,A444)&gt;1,COUNTIF($M$6:$M$505,M444)&gt;1,AND(L444="mobile",N444&lt;&gt;"invalid",OR(LEN(M444)&lt;&gt;10,LEFT(M444,2)&lt;&gt;"09"))),"REVIEW","READY")))</x:f>
      </x:c>
      <x:c r="BF444" s="238" t="str">
        <x:f>IF(BE444="","",IF(BE444="READY","",IF(B444="skip","Skipped by import_action",TRIM(IF(B444="","missing import_action; ","")&amp;IF(A444="","missing migration_customer_key; ","")&amp;IF(AND(A444&lt;&gt;"",COUNTIF($A$6:$A$505,A444)&gt;1),"duplicate migration_customer_key; ","")&amp;IF(E444="","missing branch_id; ","")&amp;IF(G444="","missing first_name; ","")&amp;IF(I444="","missing last_name; ","")&amp;IF(M444="","missing primary_phone; ","")&amp;IF(AND(M444&lt;&gt;"",COUNTIF($M$6:$M$505,M444)&gt;1),"duplicate primary_phone; ","")&amp;IF(AND(L444="mobile",N444&lt;&gt;"invalid",OR(LEN(M444)&lt;&gt;10,LEFT(M444,2)&lt;&gt;"09")),"mobile must be 09XXXXXXXX or status invalid; ","")&amp;IF(T444="","missing neighborhood_id; ","")))))</x:f>
      </x:c>
    </x:row>
    <x:row r="445">
      <x:c r="A445" s="232"/>
      <x:c r="B445" s="233"/>
      <x:c r="C445" s="234"/>
      <x:c r="D445" s="233"/>
      <x:c r="E445" s="233"/>
      <x:c r="F445" s="233"/>
      <x:c r="G445" s="233"/>
      <x:c r="H445" s="233"/>
      <x:c r="I445" s="233"/>
      <x:c r="J445" s="233"/>
      <x:c r="K445" s="233" t="str">
        <x:f>TRIM(G445&amp;" "&amp;H445&amp;" "&amp;I445&amp;IF(J445&lt;&gt;""," ("&amp;J445&amp;")",""))</x:f>
      </x:c>
      <x:c r="L445" s="233"/>
      <x:c r="M445" s="234"/>
      <x:c r="N445" s="233"/>
      <x:c r="O445" s="233"/>
      <x:c r="P445" s="233"/>
      <x:c r="Q445" s="233"/>
      <x:c r="R445" s="233"/>
      <x:c r="S445" s="233"/>
      <x:c r="T445" s="233"/>
      <x:c r="U445" s="233"/>
      <x:c r="V445" s="233"/>
      <x:c r="W445" s="235"/>
      <x:c r="X445" s="235"/>
      <x:c r="Y445" s="233"/>
      <x:c r="Z445" s="233"/>
      <x:c r="AA445" s="233"/>
      <x:c r="AB445" s="233"/>
      <x:c r="AC445" s="236"/>
      <x:c r="AD445" s="233"/>
      <x:c r="AE445" s="233"/>
      <x:c r="AF445" s="233"/>
      <x:c r="AG445" s="233"/>
      <x:c r="AH445" s="234"/>
      <x:c r="AI445" s="233"/>
      <x:c r="AJ445" s="233"/>
      <x:c r="AK445" s="233"/>
      <x:c r="AL445" s="236"/>
      <x:c r="AM445" s="233"/>
      <x:c r="AN445" s="233"/>
      <x:c r="AO445" s="234"/>
      <x:c r="AP445" s="234"/>
      <x:c r="AQ445" s="233"/>
      <x:c r="AR445" s="236"/>
      <x:c r="AS445" s="234"/>
      <x:c r="AT445" s="233"/>
      <x:c r="AU445" s="233"/>
      <x:c r="AV445" s="233"/>
      <x:c r="AW445" s="233"/>
      <x:c r="AX445" s="233"/>
      <x:c r="AY445" s="233"/>
      <x:c r="AZ445" s="236"/>
      <x:c r="BA445" s="233"/>
      <x:c r="BB445" s="233"/>
      <x:c r="BC445" s="233"/>
      <x:c r="BD445" s="233"/>
      <x:c r="BE445" s="237" t="str">
        <x:f>IF(AND(A445="",B445="",C445="",E445="",G445="",I445="",M445="",T445="",BB445="",BD445=""),"",IF(B445="skip","SKIP",IF(OR(B445="",A445="",E445="",G445="",I445="",M445="",T445="",COUNTIF($A$6:$A$505,A445)&gt;1,COUNTIF($M$6:$M$505,M445)&gt;1,AND(L445="mobile",N445&lt;&gt;"invalid",OR(LEN(M445)&lt;&gt;10,LEFT(M445,2)&lt;&gt;"09"))),"REVIEW","READY")))</x:f>
      </x:c>
      <x:c r="BF445" s="238" t="str">
        <x:f>IF(BE445="","",IF(BE445="READY","",IF(B445="skip","Skipped by import_action",TRIM(IF(B445="","missing import_action; ","")&amp;IF(A445="","missing migration_customer_key; ","")&amp;IF(AND(A445&lt;&gt;"",COUNTIF($A$6:$A$505,A445)&gt;1),"duplicate migration_customer_key; ","")&amp;IF(E445="","missing branch_id; ","")&amp;IF(G445="","missing first_name; ","")&amp;IF(I445="","missing last_name; ","")&amp;IF(M445="","missing primary_phone; ","")&amp;IF(AND(M445&lt;&gt;"",COUNTIF($M$6:$M$505,M445)&gt;1),"duplicate primary_phone; ","")&amp;IF(AND(L445="mobile",N445&lt;&gt;"invalid",OR(LEN(M445)&lt;&gt;10,LEFT(M445,2)&lt;&gt;"09")),"mobile must be 09XXXXXXXX or status invalid; ","")&amp;IF(T445="","missing neighborhood_id; ","")))))</x:f>
      </x:c>
    </x:row>
    <x:row r="446">
      <x:c r="A446" s="232"/>
      <x:c r="B446" s="233"/>
      <x:c r="C446" s="234"/>
      <x:c r="D446" s="233"/>
      <x:c r="E446" s="233"/>
      <x:c r="F446" s="233"/>
      <x:c r="G446" s="233"/>
      <x:c r="H446" s="233"/>
      <x:c r="I446" s="233"/>
      <x:c r="J446" s="233"/>
      <x:c r="K446" s="233" t="str">
        <x:f>TRIM(G446&amp;" "&amp;H446&amp;" "&amp;I446&amp;IF(J446&lt;&gt;""," ("&amp;J446&amp;")",""))</x:f>
      </x:c>
      <x:c r="L446" s="233"/>
      <x:c r="M446" s="234"/>
      <x:c r="N446" s="233"/>
      <x:c r="O446" s="233"/>
      <x:c r="P446" s="233"/>
      <x:c r="Q446" s="233"/>
      <x:c r="R446" s="233"/>
      <x:c r="S446" s="233"/>
      <x:c r="T446" s="233"/>
      <x:c r="U446" s="233"/>
      <x:c r="V446" s="233"/>
      <x:c r="W446" s="235"/>
      <x:c r="X446" s="235"/>
      <x:c r="Y446" s="233"/>
      <x:c r="Z446" s="233"/>
      <x:c r="AA446" s="233"/>
      <x:c r="AB446" s="233"/>
      <x:c r="AC446" s="236"/>
      <x:c r="AD446" s="233"/>
      <x:c r="AE446" s="233"/>
      <x:c r="AF446" s="233"/>
      <x:c r="AG446" s="233"/>
      <x:c r="AH446" s="234"/>
      <x:c r="AI446" s="233"/>
      <x:c r="AJ446" s="233"/>
      <x:c r="AK446" s="233"/>
      <x:c r="AL446" s="236"/>
      <x:c r="AM446" s="233"/>
      <x:c r="AN446" s="233"/>
      <x:c r="AO446" s="234"/>
      <x:c r="AP446" s="234"/>
      <x:c r="AQ446" s="233"/>
      <x:c r="AR446" s="236"/>
      <x:c r="AS446" s="234"/>
      <x:c r="AT446" s="233"/>
      <x:c r="AU446" s="233"/>
      <x:c r="AV446" s="233"/>
      <x:c r="AW446" s="233"/>
      <x:c r="AX446" s="233"/>
      <x:c r="AY446" s="233"/>
      <x:c r="AZ446" s="236"/>
      <x:c r="BA446" s="233"/>
      <x:c r="BB446" s="233"/>
      <x:c r="BC446" s="233"/>
      <x:c r="BD446" s="233"/>
      <x:c r="BE446" s="237" t="str">
        <x:f>IF(AND(A446="",B446="",C446="",E446="",G446="",I446="",M446="",T446="",BB446="",BD446=""),"",IF(B446="skip","SKIP",IF(OR(B446="",A446="",E446="",G446="",I446="",M446="",T446="",COUNTIF($A$6:$A$505,A446)&gt;1,COUNTIF($M$6:$M$505,M446)&gt;1,AND(L446="mobile",N446&lt;&gt;"invalid",OR(LEN(M446)&lt;&gt;10,LEFT(M446,2)&lt;&gt;"09"))),"REVIEW","READY")))</x:f>
      </x:c>
      <x:c r="BF446" s="238" t="str">
        <x:f>IF(BE446="","",IF(BE446="READY","",IF(B446="skip","Skipped by import_action",TRIM(IF(B446="","missing import_action; ","")&amp;IF(A446="","missing migration_customer_key; ","")&amp;IF(AND(A446&lt;&gt;"",COUNTIF($A$6:$A$505,A446)&gt;1),"duplicate migration_customer_key; ","")&amp;IF(E446="","missing branch_id; ","")&amp;IF(G446="","missing first_name; ","")&amp;IF(I446="","missing last_name; ","")&amp;IF(M446="","missing primary_phone; ","")&amp;IF(AND(M446&lt;&gt;"",COUNTIF($M$6:$M$505,M446)&gt;1),"duplicate primary_phone; ","")&amp;IF(AND(L446="mobile",N446&lt;&gt;"invalid",OR(LEN(M446)&lt;&gt;10,LEFT(M446,2)&lt;&gt;"09")),"mobile must be 09XXXXXXXX or status invalid; ","")&amp;IF(T446="","missing neighborhood_id; ","")))))</x:f>
      </x:c>
    </x:row>
    <x:row r="447">
      <x:c r="A447" s="232"/>
      <x:c r="B447" s="233"/>
      <x:c r="C447" s="234"/>
      <x:c r="D447" s="233"/>
      <x:c r="E447" s="233"/>
      <x:c r="F447" s="233"/>
      <x:c r="G447" s="233"/>
      <x:c r="H447" s="233"/>
      <x:c r="I447" s="233"/>
      <x:c r="J447" s="233"/>
      <x:c r="K447" s="233" t="str">
        <x:f>TRIM(G447&amp;" "&amp;H447&amp;" "&amp;I447&amp;IF(J447&lt;&gt;""," ("&amp;J447&amp;")",""))</x:f>
      </x:c>
      <x:c r="L447" s="233"/>
      <x:c r="M447" s="234"/>
      <x:c r="N447" s="233"/>
      <x:c r="O447" s="233"/>
      <x:c r="P447" s="233"/>
      <x:c r="Q447" s="233"/>
      <x:c r="R447" s="233"/>
      <x:c r="S447" s="233"/>
      <x:c r="T447" s="233"/>
      <x:c r="U447" s="233"/>
      <x:c r="V447" s="233"/>
      <x:c r="W447" s="235"/>
      <x:c r="X447" s="235"/>
      <x:c r="Y447" s="233"/>
      <x:c r="Z447" s="233"/>
      <x:c r="AA447" s="233"/>
      <x:c r="AB447" s="233"/>
      <x:c r="AC447" s="236"/>
      <x:c r="AD447" s="233"/>
      <x:c r="AE447" s="233"/>
      <x:c r="AF447" s="233"/>
      <x:c r="AG447" s="233"/>
      <x:c r="AH447" s="234"/>
      <x:c r="AI447" s="233"/>
      <x:c r="AJ447" s="233"/>
      <x:c r="AK447" s="233"/>
      <x:c r="AL447" s="236"/>
      <x:c r="AM447" s="233"/>
      <x:c r="AN447" s="233"/>
      <x:c r="AO447" s="234"/>
      <x:c r="AP447" s="234"/>
      <x:c r="AQ447" s="233"/>
      <x:c r="AR447" s="236"/>
      <x:c r="AS447" s="234"/>
      <x:c r="AT447" s="233"/>
      <x:c r="AU447" s="233"/>
      <x:c r="AV447" s="233"/>
      <x:c r="AW447" s="233"/>
      <x:c r="AX447" s="233"/>
      <x:c r="AY447" s="233"/>
      <x:c r="AZ447" s="236"/>
      <x:c r="BA447" s="233"/>
      <x:c r="BB447" s="233"/>
      <x:c r="BC447" s="233"/>
      <x:c r="BD447" s="233"/>
      <x:c r="BE447" s="237" t="str">
        <x:f>IF(AND(A447="",B447="",C447="",E447="",G447="",I447="",M447="",T447="",BB447="",BD447=""),"",IF(B447="skip","SKIP",IF(OR(B447="",A447="",E447="",G447="",I447="",M447="",T447="",COUNTIF($A$6:$A$505,A447)&gt;1,COUNTIF($M$6:$M$505,M447)&gt;1,AND(L447="mobile",N447&lt;&gt;"invalid",OR(LEN(M447)&lt;&gt;10,LEFT(M447,2)&lt;&gt;"09"))),"REVIEW","READY")))</x:f>
      </x:c>
      <x:c r="BF447" s="238" t="str">
        <x:f>IF(BE447="","",IF(BE447="READY","",IF(B447="skip","Skipped by import_action",TRIM(IF(B447="","missing import_action; ","")&amp;IF(A447="","missing migration_customer_key; ","")&amp;IF(AND(A447&lt;&gt;"",COUNTIF($A$6:$A$505,A447)&gt;1),"duplicate migration_customer_key; ","")&amp;IF(E447="","missing branch_id; ","")&amp;IF(G447="","missing first_name; ","")&amp;IF(I447="","missing last_name; ","")&amp;IF(M447="","missing primary_phone; ","")&amp;IF(AND(M447&lt;&gt;"",COUNTIF($M$6:$M$505,M447)&gt;1),"duplicate primary_phone; ","")&amp;IF(AND(L447="mobile",N447&lt;&gt;"invalid",OR(LEN(M447)&lt;&gt;10,LEFT(M447,2)&lt;&gt;"09")),"mobile must be 09XXXXXXXX or status invalid; ","")&amp;IF(T447="","missing neighborhood_id; ","")))))</x:f>
      </x:c>
    </x:row>
    <x:row r="448">
      <x:c r="A448" s="232"/>
      <x:c r="B448" s="233"/>
      <x:c r="C448" s="234"/>
      <x:c r="D448" s="233"/>
      <x:c r="E448" s="233"/>
      <x:c r="F448" s="233"/>
      <x:c r="G448" s="233"/>
      <x:c r="H448" s="233"/>
      <x:c r="I448" s="233"/>
      <x:c r="J448" s="233"/>
      <x:c r="K448" s="233" t="str">
        <x:f>TRIM(G448&amp;" "&amp;H448&amp;" "&amp;I448&amp;IF(J448&lt;&gt;""," ("&amp;J448&amp;")",""))</x:f>
      </x:c>
      <x:c r="L448" s="233"/>
      <x:c r="M448" s="234"/>
      <x:c r="N448" s="233"/>
      <x:c r="O448" s="233"/>
      <x:c r="P448" s="233"/>
      <x:c r="Q448" s="233"/>
      <x:c r="R448" s="233"/>
      <x:c r="S448" s="233"/>
      <x:c r="T448" s="233"/>
      <x:c r="U448" s="233"/>
      <x:c r="V448" s="233"/>
      <x:c r="W448" s="235"/>
      <x:c r="X448" s="235"/>
      <x:c r="Y448" s="233"/>
      <x:c r="Z448" s="233"/>
      <x:c r="AA448" s="233"/>
      <x:c r="AB448" s="233"/>
      <x:c r="AC448" s="236"/>
      <x:c r="AD448" s="233"/>
      <x:c r="AE448" s="233"/>
      <x:c r="AF448" s="233"/>
      <x:c r="AG448" s="233"/>
      <x:c r="AH448" s="234"/>
      <x:c r="AI448" s="233"/>
      <x:c r="AJ448" s="233"/>
      <x:c r="AK448" s="233"/>
      <x:c r="AL448" s="236"/>
      <x:c r="AM448" s="233"/>
      <x:c r="AN448" s="233"/>
      <x:c r="AO448" s="234"/>
      <x:c r="AP448" s="234"/>
      <x:c r="AQ448" s="233"/>
      <x:c r="AR448" s="236"/>
      <x:c r="AS448" s="234"/>
      <x:c r="AT448" s="233"/>
      <x:c r="AU448" s="233"/>
      <x:c r="AV448" s="233"/>
      <x:c r="AW448" s="233"/>
      <x:c r="AX448" s="233"/>
      <x:c r="AY448" s="233"/>
      <x:c r="AZ448" s="236"/>
      <x:c r="BA448" s="233"/>
      <x:c r="BB448" s="233"/>
      <x:c r="BC448" s="233"/>
      <x:c r="BD448" s="233"/>
      <x:c r="BE448" s="237" t="str">
        <x:f>IF(AND(A448="",B448="",C448="",E448="",G448="",I448="",M448="",T448="",BB448="",BD448=""),"",IF(B448="skip","SKIP",IF(OR(B448="",A448="",E448="",G448="",I448="",M448="",T448="",COUNTIF($A$6:$A$505,A448)&gt;1,COUNTIF($M$6:$M$505,M448)&gt;1,AND(L448="mobile",N448&lt;&gt;"invalid",OR(LEN(M448)&lt;&gt;10,LEFT(M448,2)&lt;&gt;"09"))),"REVIEW","READY")))</x:f>
      </x:c>
      <x:c r="BF448" s="238" t="str">
        <x:f>IF(BE448="","",IF(BE448="READY","",IF(B448="skip","Skipped by import_action",TRIM(IF(B448="","missing import_action; ","")&amp;IF(A448="","missing migration_customer_key; ","")&amp;IF(AND(A448&lt;&gt;"",COUNTIF($A$6:$A$505,A448)&gt;1),"duplicate migration_customer_key; ","")&amp;IF(E448="","missing branch_id; ","")&amp;IF(G448="","missing first_name; ","")&amp;IF(I448="","missing last_name; ","")&amp;IF(M448="","missing primary_phone; ","")&amp;IF(AND(M448&lt;&gt;"",COUNTIF($M$6:$M$505,M448)&gt;1),"duplicate primary_phone; ","")&amp;IF(AND(L448="mobile",N448&lt;&gt;"invalid",OR(LEN(M448)&lt;&gt;10,LEFT(M448,2)&lt;&gt;"09")),"mobile must be 09XXXXXXXX or status invalid; ","")&amp;IF(T448="","missing neighborhood_id; ","")))))</x:f>
      </x:c>
    </x:row>
    <x:row r="449">
      <x:c r="A449" s="232"/>
      <x:c r="B449" s="233"/>
      <x:c r="C449" s="234"/>
      <x:c r="D449" s="233"/>
      <x:c r="E449" s="233"/>
      <x:c r="F449" s="233"/>
      <x:c r="G449" s="233"/>
      <x:c r="H449" s="233"/>
      <x:c r="I449" s="233"/>
      <x:c r="J449" s="233"/>
      <x:c r="K449" s="233" t="str">
        <x:f>TRIM(G449&amp;" "&amp;H449&amp;" "&amp;I449&amp;IF(J449&lt;&gt;""," ("&amp;J449&amp;")",""))</x:f>
      </x:c>
      <x:c r="L449" s="233"/>
      <x:c r="M449" s="234"/>
      <x:c r="N449" s="233"/>
      <x:c r="O449" s="233"/>
      <x:c r="P449" s="233"/>
      <x:c r="Q449" s="233"/>
      <x:c r="R449" s="233"/>
      <x:c r="S449" s="233"/>
      <x:c r="T449" s="233"/>
      <x:c r="U449" s="233"/>
      <x:c r="V449" s="233"/>
      <x:c r="W449" s="235"/>
      <x:c r="X449" s="235"/>
      <x:c r="Y449" s="233"/>
      <x:c r="Z449" s="233"/>
      <x:c r="AA449" s="233"/>
      <x:c r="AB449" s="233"/>
      <x:c r="AC449" s="236"/>
      <x:c r="AD449" s="233"/>
      <x:c r="AE449" s="233"/>
      <x:c r="AF449" s="233"/>
      <x:c r="AG449" s="233"/>
      <x:c r="AH449" s="234"/>
      <x:c r="AI449" s="233"/>
      <x:c r="AJ449" s="233"/>
      <x:c r="AK449" s="233"/>
      <x:c r="AL449" s="236"/>
      <x:c r="AM449" s="233"/>
      <x:c r="AN449" s="233"/>
      <x:c r="AO449" s="234"/>
      <x:c r="AP449" s="234"/>
      <x:c r="AQ449" s="233"/>
      <x:c r="AR449" s="236"/>
      <x:c r="AS449" s="234"/>
      <x:c r="AT449" s="233"/>
      <x:c r="AU449" s="233"/>
      <x:c r="AV449" s="233"/>
      <x:c r="AW449" s="233"/>
      <x:c r="AX449" s="233"/>
      <x:c r="AY449" s="233"/>
      <x:c r="AZ449" s="236"/>
      <x:c r="BA449" s="233"/>
      <x:c r="BB449" s="233"/>
      <x:c r="BC449" s="233"/>
      <x:c r="BD449" s="233"/>
      <x:c r="BE449" s="237" t="str">
        <x:f>IF(AND(A449="",B449="",C449="",E449="",G449="",I449="",M449="",T449="",BB449="",BD449=""),"",IF(B449="skip","SKIP",IF(OR(B449="",A449="",E449="",G449="",I449="",M449="",T449="",COUNTIF($A$6:$A$505,A449)&gt;1,COUNTIF($M$6:$M$505,M449)&gt;1,AND(L449="mobile",N449&lt;&gt;"invalid",OR(LEN(M449)&lt;&gt;10,LEFT(M449,2)&lt;&gt;"09"))),"REVIEW","READY")))</x:f>
      </x:c>
      <x:c r="BF449" s="238" t="str">
        <x:f>IF(BE449="","",IF(BE449="READY","",IF(B449="skip","Skipped by import_action",TRIM(IF(B449="","missing import_action; ","")&amp;IF(A449="","missing migration_customer_key; ","")&amp;IF(AND(A449&lt;&gt;"",COUNTIF($A$6:$A$505,A449)&gt;1),"duplicate migration_customer_key; ","")&amp;IF(E449="","missing branch_id; ","")&amp;IF(G449="","missing first_name; ","")&amp;IF(I449="","missing last_name; ","")&amp;IF(M449="","missing primary_phone; ","")&amp;IF(AND(M449&lt;&gt;"",COUNTIF($M$6:$M$505,M449)&gt;1),"duplicate primary_phone; ","")&amp;IF(AND(L449="mobile",N449&lt;&gt;"invalid",OR(LEN(M449)&lt;&gt;10,LEFT(M449,2)&lt;&gt;"09")),"mobile must be 09XXXXXXXX or status invalid; ","")&amp;IF(T449="","missing neighborhood_id; ","")))))</x:f>
      </x:c>
    </x:row>
    <x:row r="450">
      <x:c r="A450" s="232"/>
      <x:c r="B450" s="233"/>
      <x:c r="C450" s="234"/>
      <x:c r="D450" s="233"/>
      <x:c r="E450" s="233"/>
      <x:c r="F450" s="233"/>
      <x:c r="G450" s="233"/>
      <x:c r="H450" s="233"/>
      <x:c r="I450" s="233"/>
      <x:c r="J450" s="233"/>
      <x:c r="K450" s="233" t="str">
        <x:f>TRIM(G450&amp;" "&amp;H450&amp;" "&amp;I450&amp;IF(J450&lt;&gt;""," ("&amp;J450&amp;")",""))</x:f>
      </x:c>
      <x:c r="L450" s="233"/>
      <x:c r="M450" s="234"/>
      <x:c r="N450" s="233"/>
      <x:c r="O450" s="233"/>
      <x:c r="P450" s="233"/>
      <x:c r="Q450" s="233"/>
      <x:c r="R450" s="233"/>
      <x:c r="S450" s="233"/>
      <x:c r="T450" s="233"/>
      <x:c r="U450" s="233"/>
      <x:c r="V450" s="233"/>
      <x:c r="W450" s="235"/>
      <x:c r="X450" s="235"/>
      <x:c r="Y450" s="233"/>
      <x:c r="Z450" s="233"/>
      <x:c r="AA450" s="233"/>
      <x:c r="AB450" s="233"/>
      <x:c r="AC450" s="236"/>
      <x:c r="AD450" s="233"/>
      <x:c r="AE450" s="233"/>
      <x:c r="AF450" s="233"/>
      <x:c r="AG450" s="233"/>
      <x:c r="AH450" s="234"/>
      <x:c r="AI450" s="233"/>
      <x:c r="AJ450" s="233"/>
      <x:c r="AK450" s="233"/>
      <x:c r="AL450" s="236"/>
      <x:c r="AM450" s="233"/>
      <x:c r="AN450" s="233"/>
      <x:c r="AO450" s="234"/>
      <x:c r="AP450" s="234"/>
      <x:c r="AQ450" s="233"/>
      <x:c r="AR450" s="236"/>
      <x:c r="AS450" s="234"/>
      <x:c r="AT450" s="233"/>
      <x:c r="AU450" s="233"/>
      <x:c r="AV450" s="233"/>
      <x:c r="AW450" s="233"/>
      <x:c r="AX450" s="233"/>
      <x:c r="AY450" s="233"/>
      <x:c r="AZ450" s="236"/>
      <x:c r="BA450" s="233"/>
      <x:c r="BB450" s="233"/>
      <x:c r="BC450" s="233"/>
      <x:c r="BD450" s="233"/>
      <x:c r="BE450" s="237" t="str">
        <x:f>IF(AND(A450="",B450="",C450="",E450="",G450="",I450="",M450="",T450="",BB450="",BD450=""),"",IF(B450="skip","SKIP",IF(OR(B450="",A450="",E450="",G450="",I450="",M450="",T450="",COUNTIF($A$6:$A$505,A450)&gt;1,COUNTIF($M$6:$M$505,M450)&gt;1,AND(L450="mobile",N450&lt;&gt;"invalid",OR(LEN(M450)&lt;&gt;10,LEFT(M450,2)&lt;&gt;"09"))),"REVIEW","READY")))</x:f>
      </x:c>
      <x:c r="BF450" s="238" t="str">
        <x:f>IF(BE450="","",IF(BE450="READY","",IF(B450="skip","Skipped by import_action",TRIM(IF(B450="","missing import_action; ","")&amp;IF(A450="","missing migration_customer_key; ","")&amp;IF(AND(A450&lt;&gt;"",COUNTIF($A$6:$A$505,A450)&gt;1),"duplicate migration_customer_key; ","")&amp;IF(E450="","missing branch_id; ","")&amp;IF(G450="","missing first_name; ","")&amp;IF(I450="","missing last_name; ","")&amp;IF(M450="","missing primary_phone; ","")&amp;IF(AND(M450&lt;&gt;"",COUNTIF($M$6:$M$505,M450)&gt;1),"duplicate primary_phone; ","")&amp;IF(AND(L450="mobile",N450&lt;&gt;"invalid",OR(LEN(M450)&lt;&gt;10,LEFT(M450,2)&lt;&gt;"09")),"mobile must be 09XXXXXXXX or status invalid; ","")&amp;IF(T450="","missing neighborhood_id; ","")))))</x:f>
      </x:c>
    </x:row>
    <x:row r="451">
      <x:c r="A451" s="232"/>
      <x:c r="B451" s="233"/>
      <x:c r="C451" s="234"/>
      <x:c r="D451" s="233"/>
      <x:c r="E451" s="233"/>
      <x:c r="F451" s="233"/>
      <x:c r="G451" s="233"/>
      <x:c r="H451" s="233"/>
      <x:c r="I451" s="233"/>
      <x:c r="J451" s="233"/>
      <x:c r="K451" s="233" t="str">
        <x:f>TRIM(G451&amp;" "&amp;H451&amp;" "&amp;I451&amp;IF(J451&lt;&gt;""," ("&amp;J451&amp;")",""))</x:f>
      </x:c>
      <x:c r="L451" s="233"/>
      <x:c r="M451" s="234"/>
      <x:c r="N451" s="233"/>
      <x:c r="O451" s="233"/>
      <x:c r="P451" s="233"/>
      <x:c r="Q451" s="233"/>
      <x:c r="R451" s="233"/>
      <x:c r="S451" s="233"/>
      <x:c r="T451" s="233"/>
      <x:c r="U451" s="233"/>
      <x:c r="V451" s="233"/>
      <x:c r="W451" s="235"/>
      <x:c r="X451" s="235"/>
      <x:c r="Y451" s="233"/>
      <x:c r="Z451" s="233"/>
      <x:c r="AA451" s="233"/>
      <x:c r="AB451" s="233"/>
      <x:c r="AC451" s="236"/>
      <x:c r="AD451" s="233"/>
      <x:c r="AE451" s="233"/>
      <x:c r="AF451" s="233"/>
      <x:c r="AG451" s="233"/>
      <x:c r="AH451" s="234"/>
      <x:c r="AI451" s="233"/>
      <x:c r="AJ451" s="233"/>
      <x:c r="AK451" s="233"/>
      <x:c r="AL451" s="236"/>
      <x:c r="AM451" s="233"/>
      <x:c r="AN451" s="233"/>
      <x:c r="AO451" s="234"/>
      <x:c r="AP451" s="234"/>
      <x:c r="AQ451" s="233"/>
      <x:c r="AR451" s="236"/>
      <x:c r="AS451" s="234"/>
      <x:c r="AT451" s="233"/>
      <x:c r="AU451" s="233"/>
      <x:c r="AV451" s="233"/>
      <x:c r="AW451" s="233"/>
      <x:c r="AX451" s="233"/>
      <x:c r="AY451" s="233"/>
      <x:c r="AZ451" s="236"/>
      <x:c r="BA451" s="233"/>
      <x:c r="BB451" s="233"/>
      <x:c r="BC451" s="233"/>
      <x:c r="BD451" s="233"/>
      <x:c r="BE451" s="237" t="str">
        <x:f>IF(AND(A451="",B451="",C451="",E451="",G451="",I451="",M451="",T451="",BB451="",BD451=""),"",IF(B451="skip","SKIP",IF(OR(B451="",A451="",E451="",G451="",I451="",M451="",T451="",COUNTIF($A$6:$A$505,A451)&gt;1,COUNTIF($M$6:$M$505,M451)&gt;1,AND(L451="mobile",N451&lt;&gt;"invalid",OR(LEN(M451)&lt;&gt;10,LEFT(M451,2)&lt;&gt;"09"))),"REVIEW","READY")))</x:f>
      </x:c>
      <x:c r="BF451" s="238" t="str">
        <x:f>IF(BE451="","",IF(BE451="READY","",IF(B451="skip","Skipped by import_action",TRIM(IF(B451="","missing import_action; ","")&amp;IF(A451="","missing migration_customer_key; ","")&amp;IF(AND(A451&lt;&gt;"",COUNTIF($A$6:$A$505,A451)&gt;1),"duplicate migration_customer_key; ","")&amp;IF(E451="","missing branch_id; ","")&amp;IF(G451="","missing first_name; ","")&amp;IF(I451="","missing last_name; ","")&amp;IF(M451="","missing primary_phone; ","")&amp;IF(AND(M451&lt;&gt;"",COUNTIF($M$6:$M$505,M451)&gt;1),"duplicate primary_phone; ","")&amp;IF(AND(L451="mobile",N451&lt;&gt;"invalid",OR(LEN(M451)&lt;&gt;10,LEFT(M451,2)&lt;&gt;"09")),"mobile must be 09XXXXXXXX or status invalid; ","")&amp;IF(T451="","missing neighborhood_id; ","")))))</x:f>
      </x:c>
    </x:row>
    <x:row r="452">
      <x:c r="A452" s="232"/>
      <x:c r="B452" s="233"/>
      <x:c r="C452" s="234"/>
      <x:c r="D452" s="233"/>
      <x:c r="E452" s="233"/>
      <x:c r="F452" s="233"/>
      <x:c r="G452" s="233"/>
      <x:c r="H452" s="233"/>
      <x:c r="I452" s="233"/>
      <x:c r="J452" s="233"/>
      <x:c r="K452" s="233" t="str">
        <x:f>TRIM(G452&amp;" "&amp;H452&amp;" "&amp;I452&amp;IF(J452&lt;&gt;""," ("&amp;J452&amp;")",""))</x:f>
      </x:c>
      <x:c r="L452" s="233"/>
      <x:c r="M452" s="234"/>
      <x:c r="N452" s="233"/>
      <x:c r="O452" s="233"/>
      <x:c r="P452" s="233"/>
      <x:c r="Q452" s="233"/>
      <x:c r="R452" s="233"/>
      <x:c r="S452" s="233"/>
      <x:c r="T452" s="233"/>
      <x:c r="U452" s="233"/>
      <x:c r="V452" s="233"/>
      <x:c r="W452" s="235"/>
      <x:c r="X452" s="235"/>
      <x:c r="Y452" s="233"/>
      <x:c r="Z452" s="233"/>
      <x:c r="AA452" s="233"/>
      <x:c r="AB452" s="233"/>
      <x:c r="AC452" s="236"/>
      <x:c r="AD452" s="233"/>
      <x:c r="AE452" s="233"/>
      <x:c r="AF452" s="233"/>
      <x:c r="AG452" s="233"/>
      <x:c r="AH452" s="234"/>
      <x:c r="AI452" s="233"/>
      <x:c r="AJ452" s="233"/>
      <x:c r="AK452" s="233"/>
      <x:c r="AL452" s="236"/>
      <x:c r="AM452" s="233"/>
      <x:c r="AN452" s="233"/>
      <x:c r="AO452" s="234"/>
      <x:c r="AP452" s="234"/>
      <x:c r="AQ452" s="233"/>
      <x:c r="AR452" s="236"/>
      <x:c r="AS452" s="234"/>
      <x:c r="AT452" s="233"/>
      <x:c r="AU452" s="233"/>
      <x:c r="AV452" s="233"/>
      <x:c r="AW452" s="233"/>
      <x:c r="AX452" s="233"/>
      <x:c r="AY452" s="233"/>
      <x:c r="AZ452" s="236"/>
      <x:c r="BA452" s="233"/>
      <x:c r="BB452" s="233"/>
      <x:c r="BC452" s="233"/>
      <x:c r="BD452" s="233"/>
      <x:c r="BE452" s="237" t="str">
        <x:f>IF(AND(A452="",B452="",C452="",E452="",G452="",I452="",M452="",T452="",BB452="",BD452=""),"",IF(B452="skip","SKIP",IF(OR(B452="",A452="",E452="",G452="",I452="",M452="",T452="",COUNTIF($A$6:$A$505,A452)&gt;1,COUNTIF($M$6:$M$505,M452)&gt;1,AND(L452="mobile",N452&lt;&gt;"invalid",OR(LEN(M452)&lt;&gt;10,LEFT(M452,2)&lt;&gt;"09"))),"REVIEW","READY")))</x:f>
      </x:c>
      <x:c r="BF452" s="238" t="str">
        <x:f>IF(BE452="","",IF(BE452="READY","",IF(B452="skip","Skipped by import_action",TRIM(IF(B452="","missing import_action; ","")&amp;IF(A452="","missing migration_customer_key; ","")&amp;IF(AND(A452&lt;&gt;"",COUNTIF($A$6:$A$505,A452)&gt;1),"duplicate migration_customer_key; ","")&amp;IF(E452="","missing branch_id; ","")&amp;IF(G452="","missing first_name; ","")&amp;IF(I452="","missing last_name; ","")&amp;IF(M452="","missing primary_phone; ","")&amp;IF(AND(M452&lt;&gt;"",COUNTIF($M$6:$M$505,M452)&gt;1),"duplicate primary_phone; ","")&amp;IF(AND(L452="mobile",N452&lt;&gt;"invalid",OR(LEN(M452)&lt;&gt;10,LEFT(M452,2)&lt;&gt;"09")),"mobile must be 09XXXXXXXX or status invalid; ","")&amp;IF(T452="","missing neighborhood_id; ","")))))</x:f>
      </x:c>
    </x:row>
    <x:row r="453">
      <x:c r="A453" s="232"/>
      <x:c r="B453" s="233"/>
      <x:c r="C453" s="234"/>
      <x:c r="D453" s="233"/>
      <x:c r="E453" s="233"/>
      <x:c r="F453" s="233"/>
      <x:c r="G453" s="233"/>
      <x:c r="H453" s="233"/>
      <x:c r="I453" s="233"/>
      <x:c r="J453" s="233"/>
      <x:c r="K453" s="233" t="str">
        <x:f>TRIM(G453&amp;" "&amp;H453&amp;" "&amp;I453&amp;IF(J453&lt;&gt;""," ("&amp;J453&amp;")",""))</x:f>
      </x:c>
      <x:c r="L453" s="233"/>
      <x:c r="M453" s="234"/>
      <x:c r="N453" s="233"/>
      <x:c r="O453" s="233"/>
      <x:c r="P453" s="233"/>
      <x:c r="Q453" s="233"/>
      <x:c r="R453" s="233"/>
      <x:c r="S453" s="233"/>
      <x:c r="T453" s="233"/>
      <x:c r="U453" s="233"/>
      <x:c r="V453" s="233"/>
      <x:c r="W453" s="235"/>
      <x:c r="X453" s="235"/>
      <x:c r="Y453" s="233"/>
      <x:c r="Z453" s="233"/>
      <x:c r="AA453" s="233"/>
      <x:c r="AB453" s="233"/>
      <x:c r="AC453" s="236"/>
      <x:c r="AD453" s="233"/>
      <x:c r="AE453" s="233"/>
      <x:c r="AF453" s="233"/>
      <x:c r="AG453" s="233"/>
      <x:c r="AH453" s="234"/>
      <x:c r="AI453" s="233"/>
      <x:c r="AJ453" s="233"/>
      <x:c r="AK453" s="233"/>
      <x:c r="AL453" s="236"/>
      <x:c r="AM453" s="233"/>
      <x:c r="AN453" s="233"/>
      <x:c r="AO453" s="234"/>
      <x:c r="AP453" s="234"/>
      <x:c r="AQ453" s="233"/>
      <x:c r="AR453" s="236"/>
      <x:c r="AS453" s="234"/>
      <x:c r="AT453" s="233"/>
      <x:c r="AU453" s="233"/>
      <x:c r="AV453" s="233"/>
      <x:c r="AW453" s="233"/>
      <x:c r="AX453" s="233"/>
      <x:c r="AY453" s="233"/>
      <x:c r="AZ453" s="236"/>
      <x:c r="BA453" s="233"/>
      <x:c r="BB453" s="233"/>
      <x:c r="BC453" s="233"/>
      <x:c r="BD453" s="233"/>
      <x:c r="BE453" s="237" t="str">
        <x:f>IF(AND(A453="",B453="",C453="",E453="",G453="",I453="",M453="",T453="",BB453="",BD453=""),"",IF(B453="skip","SKIP",IF(OR(B453="",A453="",E453="",G453="",I453="",M453="",T453="",COUNTIF($A$6:$A$505,A453)&gt;1,COUNTIF($M$6:$M$505,M453)&gt;1,AND(L453="mobile",N453&lt;&gt;"invalid",OR(LEN(M453)&lt;&gt;10,LEFT(M453,2)&lt;&gt;"09"))),"REVIEW","READY")))</x:f>
      </x:c>
      <x:c r="BF453" s="238" t="str">
        <x:f>IF(BE453="","",IF(BE453="READY","",IF(B453="skip","Skipped by import_action",TRIM(IF(B453="","missing import_action; ","")&amp;IF(A453="","missing migration_customer_key; ","")&amp;IF(AND(A453&lt;&gt;"",COUNTIF($A$6:$A$505,A453)&gt;1),"duplicate migration_customer_key; ","")&amp;IF(E453="","missing branch_id; ","")&amp;IF(G453="","missing first_name; ","")&amp;IF(I453="","missing last_name; ","")&amp;IF(M453="","missing primary_phone; ","")&amp;IF(AND(M453&lt;&gt;"",COUNTIF($M$6:$M$505,M453)&gt;1),"duplicate primary_phone; ","")&amp;IF(AND(L453="mobile",N453&lt;&gt;"invalid",OR(LEN(M453)&lt;&gt;10,LEFT(M453,2)&lt;&gt;"09")),"mobile must be 09XXXXXXXX or status invalid; ","")&amp;IF(T453="","missing neighborhood_id; ","")))))</x:f>
      </x:c>
    </x:row>
    <x:row r="454">
      <x:c r="A454" s="232"/>
      <x:c r="B454" s="233"/>
      <x:c r="C454" s="234"/>
      <x:c r="D454" s="233"/>
      <x:c r="E454" s="233"/>
      <x:c r="F454" s="233"/>
      <x:c r="G454" s="233"/>
      <x:c r="H454" s="233"/>
      <x:c r="I454" s="233"/>
      <x:c r="J454" s="233"/>
      <x:c r="K454" s="233" t="str">
        <x:f>TRIM(G454&amp;" "&amp;H454&amp;" "&amp;I454&amp;IF(J454&lt;&gt;""," ("&amp;J454&amp;")",""))</x:f>
      </x:c>
      <x:c r="L454" s="233"/>
      <x:c r="M454" s="234"/>
      <x:c r="N454" s="233"/>
      <x:c r="O454" s="233"/>
      <x:c r="P454" s="233"/>
      <x:c r="Q454" s="233"/>
      <x:c r="R454" s="233"/>
      <x:c r="S454" s="233"/>
      <x:c r="T454" s="233"/>
      <x:c r="U454" s="233"/>
      <x:c r="V454" s="233"/>
      <x:c r="W454" s="235"/>
      <x:c r="X454" s="235"/>
      <x:c r="Y454" s="233"/>
      <x:c r="Z454" s="233"/>
      <x:c r="AA454" s="233"/>
      <x:c r="AB454" s="233"/>
      <x:c r="AC454" s="236"/>
      <x:c r="AD454" s="233"/>
      <x:c r="AE454" s="233"/>
      <x:c r="AF454" s="233"/>
      <x:c r="AG454" s="233"/>
      <x:c r="AH454" s="234"/>
      <x:c r="AI454" s="233"/>
      <x:c r="AJ454" s="233"/>
      <x:c r="AK454" s="233"/>
      <x:c r="AL454" s="236"/>
      <x:c r="AM454" s="233"/>
      <x:c r="AN454" s="233"/>
      <x:c r="AO454" s="234"/>
      <x:c r="AP454" s="234"/>
      <x:c r="AQ454" s="233"/>
      <x:c r="AR454" s="236"/>
      <x:c r="AS454" s="234"/>
      <x:c r="AT454" s="233"/>
      <x:c r="AU454" s="233"/>
      <x:c r="AV454" s="233"/>
      <x:c r="AW454" s="233"/>
      <x:c r="AX454" s="233"/>
      <x:c r="AY454" s="233"/>
      <x:c r="AZ454" s="236"/>
      <x:c r="BA454" s="233"/>
      <x:c r="BB454" s="233"/>
      <x:c r="BC454" s="233"/>
      <x:c r="BD454" s="233"/>
      <x:c r="BE454" s="237" t="str">
        <x:f>IF(AND(A454="",B454="",C454="",E454="",G454="",I454="",M454="",T454="",BB454="",BD454=""),"",IF(B454="skip","SKIP",IF(OR(B454="",A454="",E454="",G454="",I454="",M454="",T454="",COUNTIF($A$6:$A$505,A454)&gt;1,COUNTIF($M$6:$M$505,M454)&gt;1,AND(L454="mobile",N454&lt;&gt;"invalid",OR(LEN(M454)&lt;&gt;10,LEFT(M454,2)&lt;&gt;"09"))),"REVIEW","READY")))</x:f>
      </x:c>
      <x:c r="BF454" s="238" t="str">
        <x:f>IF(BE454="","",IF(BE454="READY","",IF(B454="skip","Skipped by import_action",TRIM(IF(B454="","missing import_action; ","")&amp;IF(A454="","missing migration_customer_key; ","")&amp;IF(AND(A454&lt;&gt;"",COUNTIF($A$6:$A$505,A454)&gt;1),"duplicate migration_customer_key; ","")&amp;IF(E454="","missing branch_id; ","")&amp;IF(G454="","missing first_name; ","")&amp;IF(I454="","missing last_name; ","")&amp;IF(M454="","missing primary_phone; ","")&amp;IF(AND(M454&lt;&gt;"",COUNTIF($M$6:$M$505,M454)&gt;1),"duplicate primary_phone; ","")&amp;IF(AND(L454="mobile",N454&lt;&gt;"invalid",OR(LEN(M454)&lt;&gt;10,LEFT(M454,2)&lt;&gt;"09")),"mobile must be 09XXXXXXXX or status invalid; ","")&amp;IF(T454="","missing neighborhood_id; ","")))))</x:f>
      </x:c>
    </x:row>
    <x:row r="455">
      <x:c r="A455" s="232"/>
      <x:c r="B455" s="233"/>
      <x:c r="C455" s="234"/>
      <x:c r="D455" s="233"/>
      <x:c r="E455" s="233"/>
      <x:c r="F455" s="233"/>
      <x:c r="G455" s="233"/>
      <x:c r="H455" s="233"/>
      <x:c r="I455" s="233"/>
      <x:c r="J455" s="233"/>
      <x:c r="K455" s="233" t="str">
        <x:f>TRIM(G455&amp;" "&amp;H455&amp;" "&amp;I455&amp;IF(J455&lt;&gt;""," ("&amp;J455&amp;")",""))</x:f>
      </x:c>
      <x:c r="L455" s="233"/>
      <x:c r="M455" s="234"/>
      <x:c r="N455" s="233"/>
      <x:c r="O455" s="233"/>
      <x:c r="P455" s="233"/>
      <x:c r="Q455" s="233"/>
      <x:c r="R455" s="233"/>
      <x:c r="S455" s="233"/>
      <x:c r="T455" s="233"/>
      <x:c r="U455" s="233"/>
      <x:c r="V455" s="233"/>
      <x:c r="W455" s="235"/>
      <x:c r="X455" s="235"/>
      <x:c r="Y455" s="233"/>
      <x:c r="Z455" s="233"/>
      <x:c r="AA455" s="233"/>
      <x:c r="AB455" s="233"/>
      <x:c r="AC455" s="236"/>
      <x:c r="AD455" s="233"/>
      <x:c r="AE455" s="233"/>
      <x:c r="AF455" s="233"/>
      <x:c r="AG455" s="233"/>
      <x:c r="AH455" s="234"/>
      <x:c r="AI455" s="233"/>
      <x:c r="AJ455" s="233"/>
      <x:c r="AK455" s="233"/>
      <x:c r="AL455" s="236"/>
      <x:c r="AM455" s="233"/>
      <x:c r="AN455" s="233"/>
      <x:c r="AO455" s="234"/>
      <x:c r="AP455" s="234"/>
      <x:c r="AQ455" s="233"/>
      <x:c r="AR455" s="236"/>
      <x:c r="AS455" s="234"/>
      <x:c r="AT455" s="233"/>
      <x:c r="AU455" s="233"/>
      <x:c r="AV455" s="233"/>
      <x:c r="AW455" s="233"/>
      <x:c r="AX455" s="233"/>
      <x:c r="AY455" s="233"/>
      <x:c r="AZ455" s="236"/>
      <x:c r="BA455" s="233"/>
      <x:c r="BB455" s="233"/>
      <x:c r="BC455" s="233"/>
      <x:c r="BD455" s="233"/>
      <x:c r="BE455" s="237" t="str">
        <x:f>IF(AND(A455="",B455="",C455="",E455="",G455="",I455="",M455="",T455="",BB455="",BD455=""),"",IF(B455="skip","SKIP",IF(OR(B455="",A455="",E455="",G455="",I455="",M455="",T455="",COUNTIF($A$6:$A$505,A455)&gt;1,COUNTIF($M$6:$M$505,M455)&gt;1,AND(L455="mobile",N455&lt;&gt;"invalid",OR(LEN(M455)&lt;&gt;10,LEFT(M455,2)&lt;&gt;"09"))),"REVIEW","READY")))</x:f>
      </x:c>
      <x:c r="BF455" s="238" t="str">
        <x:f>IF(BE455="","",IF(BE455="READY","",IF(B455="skip","Skipped by import_action",TRIM(IF(B455="","missing import_action; ","")&amp;IF(A455="","missing migration_customer_key; ","")&amp;IF(AND(A455&lt;&gt;"",COUNTIF($A$6:$A$505,A455)&gt;1),"duplicate migration_customer_key; ","")&amp;IF(E455="","missing branch_id; ","")&amp;IF(G455="","missing first_name; ","")&amp;IF(I455="","missing last_name; ","")&amp;IF(M455="","missing primary_phone; ","")&amp;IF(AND(M455&lt;&gt;"",COUNTIF($M$6:$M$505,M455)&gt;1),"duplicate primary_phone; ","")&amp;IF(AND(L455="mobile",N455&lt;&gt;"invalid",OR(LEN(M455)&lt;&gt;10,LEFT(M455,2)&lt;&gt;"09")),"mobile must be 09XXXXXXXX or status invalid; ","")&amp;IF(T455="","missing neighborhood_id; ","")))))</x:f>
      </x:c>
    </x:row>
    <x:row r="456">
      <x:c r="A456" s="232"/>
      <x:c r="B456" s="233"/>
      <x:c r="C456" s="234"/>
      <x:c r="D456" s="233"/>
      <x:c r="E456" s="233"/>
      <x:c r="F456" s="233"/>
      <x:c r="G456" s="233"/>
      <x:c r="H456" s="233"/>
      <x:c r="I456" s="233"/>
      <x:c r="J456" s="233"/>
      <x:c r="K456" s="233" t="str">
        <x:f>TRIM(G456&amp;" "&amp;H456&amp;" "&amp;I456&amp;IF(J456&lt;&gt;""," ("&amp;J456&amp;")",""))</x:f>
      </x:c>
      <x:c r="L456" s="233"/>
      <x:c r="M456" s="234"/>
      <x:c r="N456" s="233"/>
      <x:c r="O456" s="233"/>
      <x:c r="P456" s="233"/>
      <x:c r="Q456" s="233"/>
      <x:c r="R456" s="233"/>
      <x:c r="S456" s="233"/>
      <x:c r="T456" s="233"/>
      <x:c r="U456" s="233"/>
      <x:c r="V456" s="233"/>
      <x:c r="W456" s="235"/>
      <x:c r="X456" s="235"/>
      <x:c r="Y456" s="233"/>
      <x:c r="Z456" s="233"/>
      <x:c r="AA456" s="233"/>
      <x:c r="AB456" s="233"/>
      <x:c r="AC456" s="236"/>
      <x:c r="AD456" s="233"/>
      <x:c r="AE456" s="233"/>
      <x:c r="AF456" s="233"/>
      <x:c r="AG456" s="233"/>
      <x:c r="AH456" s="234"/>
      <x:c r="AI456" s="233"/>
      <x:c r="AJ456" s="233"/>
      <x:c r="AK456" s="233"/>
      <x:c r="AL456" s="236"/>
      <x:c r="AM456" s="233"/>
      <x:c r="AN456" s="233"/>
      <x:c r="AO456" s="234"/>
      <x:c r="AP456" s="234"/>
      <x:c r="AQ456" s="233"/>
      <x:c r="AR456" s="236"/>
      <x:c r="AS456" s="234"/>
      <x:c r="AT456" s="233"/>
      <x:c r="AU456" s="233"/>
      <x:c r="AV456" s="233"/>
      <x:c r="AW456" s="233"/>
      <x:c r="AX456" s="233"/>
      <x:c r="AY456" s="233"/>
      <x:c r="AZ456" s="236"/>
      <x:c r="BA456" s="233"/>
      <x:c r="BB456" s="233"/>
      <x:c r="BC456" s="233"/>
      <x:c r="BD456" s="233"/>
      <x:c r="BE456" s="237" t="str">
        <x:f>IF(AND(A456="",B456="",C456="",E456="",G456="",I456="",M456="",T456="",BB456="",BD456=""),"",IF(B456="skip","SKIP",IF(OR(B456="",A456="",E456="",G456="",I456="",M456="",T456="",COUNTIF($A$6:$A$505,A456)&gt;1,COUNTIF($M$6:$M$505,M456)&gt;1,AND(L456="mobile",N456&lt;&gt;"invalid",OR(LEN(M456)&lt;&gt;10,LEFT(M456,2)&lt;&gt;"09"))),"REVIEW","READY")))</x:f>
      </x:c>
      <x:c r="BF456" s="238" t="str">
        <x:f>IF(BE456="","",IF(BE456="READY","",IF(B456="skip","Skipped by import_action",TRIM(IF(B456="","missing import_action; ","")&amp;IF(A456="","missing migration_customer_key; ","")&amp;IF(AND(A456&lt;&gt;"",COUNTIF($A$6:$A$505,A456)&gt;1),"duplicate migration_customer_key; ","")&amp;IF(E456="","missing branch_id; ","")&amp;IF(G456="","missing first_name; ","")&amp;IF(I456="","missing last_name; ","")&amp;IF(M456="","missing primary_phone; ","")&amp;IF(AND(M456&lt;&gt;"",COUNTIF($M$6:$M$505,M456)&gt;1),"duplicate primary_phone; ","")&amp;IF(AND(L456="mobile",N456&lt;&gt;"invalid",OR(LEN(M456)&lt;&gt;10,LEFT(M456,2)&lt;&gt;"09")),"mobile must be 09XXXXXXXX or status invalid; ","")&amp;IF(T456="","missing neighborhood_id; ","")))))</x:f>
      </x:c>
    </x:row>
    <x:row r="457">
      <x:c r="A457" s="232"/>
      <x:c r="B457" s="233"/>
      <x:c r="C457" s="234"/>
      <x:c r="D457" s="233"/>
      <x:c r="E457" s="233"/>
      <x:c r="F457" s="233"/>
      <x:c r="G457" s="233"/>
      <x:c r="H457" s="233"/>
      <x:c r="I457" s="233"/>
      <x:c r="J457" s="233"/>
      <x:c r="K457" s="233" t="str">
        <x:f>TRIM(G457&amp;" "&amp;H457&amp;" "&amp;I457&amp;IF(J457&lt;&gt;""," ("&amp;J457&amp;")",""))</x:f>
      </x:c>
      <x:c r="L457" s="233"/>
      <x:c r="M457" s="234"/>
      <x:c r="N457" s="233"/>
      <x:c r="O457" s="233"/>
      <x:c r="P457" s="233"/>
      <x:c r="Q457" s="233"/>
      <x:c r="R457" s="233"/>
      <x:c r="S457" s="233"/>
      <x:c r="T457" s="233"/>
      <x:c r="U457" s="233"/>
      <x:c r="V457" s="233"/>
      <x:c r="W457" s="235"/>
      <x:c r="X457" s="235"/>
      <x:c r="Y457" s="233"/>
      <x:c r="Z457" s="233"/>
      <x:c r="AA457" s="233"/>
      <x:c r="AB457" s="233"/>
      <x:c r="AC457" s="236"/>
      <x:c r="AD457" s="233"/>
      <x:c r="AE457" s="233"/>
      <x:c r="AF457" s="233"/>
      <x:c r="AG457" s="233"/>
      <x:c r="AH457" s="234"/>
      <x:c r="AI457" s="233"/>
      <x:c r="AJ457" s="233"/>
      <x:c r="AK457" s="233"/>
      <x:c r="AL457" s="236"/>
      <x:c r="AM457" s="233"/>
      <x:c r="AN457" s="233"/>
      <x:c r="AO457" s="234"/>
      <x:c r="AP457" s="234"/>
      <x:c r="AQ457" s="233"/>
      <x:c r="AR457" s="236"/>
      <x:c r="AS457" s="234"/>
      <x:c r="AT457" s="233"/>
      <x:c r="AU457" s="233"/>
      <x:c r="AV457" s="233"/>
      <x:c r="AW457" s="233"/>
      <x:c r="AX457" s="233"/>
      <x:c r="AY457" s="233"/>
      <x:c r="AZ457" s="236"/>
      <x:c r="BA457" s="233"/>
      <x:c r="BB457" s="233"/>
      <x:c r="BC457" s="233"/>
      <x:c r="BD457" s="233"/>
      <x:c r="BE457" s="237" t="str">
        <x:f>IF(AND(A457="",B457="",C457="",E457="",G457="",I457="",M457="",T457="",BB457="",BD457=""),"",IF(B457="skip","SKIP",IF(OR(B457="",A457="",E457="",G457="",I457="",M457="",T457="",COUNTIF($A$6:$A$505,A457)&gt;1,COUNTIF($M$6:$M$505,M457)&gt;1,AND(L457="mobile",N457&lt;&gt;"invalid",OR(LEN(M457)&lt;&gt;10,LEFT(M457,2)&lt;&gt;"09"))),"REVIEW","READY")))</x:f>
      </x:c>
      <x:c r="BF457" s="238" t="str">
        <x:f>IF(BE457="","",IF(BE457="READY","",IF(B457="skip","Skipped by import_action",TRIM(IF(B457="","missing import_action; ","")&amp;IF(A457="","missing migration_customer_key; ","")&amp;IF(AND(A457&lt;&gt;"",COUNTIF($A$6:$A$505,A457)&gt;1),"duplicate migration_customer_key; ","")&amp;IF(E457="","missing branch_id; ","")&amp;IF(G457="","missing first_name; ","")&amp;IF(I457="","missing last_name; ","")&amp;IF(M457="","missing primary_phone; ","")&amp;IF(AND(M457&lt;&gt;"",COUNTIF($M$6:$M$505,M457)&gt;1),"duplicate primary_phone; ","")&amp;IF(AND(L457="mobile",N457&lt;&gt;"invalid",OR(LEN(M457)&lt;&gt;10,LEFT(M457,2)&lt;&gt;"09")),"mobile must be 09XXXXXXXX or status invalid; ","")&amp;IF(T457="","missing neighborhood_id; ","")))))</x:f>
      </x:c>
    </x:row>
    <x:row r="458">
      <x:c r="A458" s="232"/>
      <x:c r="B458" s="233"/>
      <x:c r="C458" s="234"/>
      <x:c r="D458" s="233"/>
      <x:c r="E458" s="233"/>
      <x:c r="F458" s="233"/>
      <x:c r="G458" s="233"/>
      <x:c r="H458" s="233"/>
      <x:c r="I458" s="233"/>
      <x:c r="J458" s="233"/>
      <x:c r="K458" s="233" t="str">
        <x:f>TRIM(G458&amp;" "&amp;H458&amp;" "&amp;I458&amp;IF(J458&lt;&gt;""," ("&amp;J458&amp;")",""))</x:f>
      </x:c>
      <x:c r="L458" s="233"/>
      <x:c r="M458" s="234"/>
      <x:c r="N458" s="233"/>
      <x:c r="O458" s="233"/>
      <x:c r="P458" s="233"/>
      <x:c r="Q458" s="233"/>
      <x:c r="R458" s="233"/>
      <x:c r="S458" s="233"/>
      <x:c r="T458" s="233"/>
      <x:c r="U458" s="233"/>
      <x:c r="V458" s="233"/>
      <x:c r="W458" s="235"/>
      <x:c r="X458" s="235"/>
      <x:c r="Y458" s="233"/>
      <x:c r="Z458" s="233"/>
      <x:c r="AA458" s="233"/>
      <x:c r="AB458" s="233"/>
      <x:c r="AC458" s="236"/>
      <x:c r="AD458" s="233"/>
      <x:c r="AE458" s="233"/>
      <x:c r="AF458" s="233"/>
      <x:c r="AG458" s="233"/>
      <x:c r="AH458" s="234"/>
      <x:c r="AI458" s="233"/>
      <x:c r="AJ458" s="233"/>
      <x:c r="AK458" s="233"/>
      <x:c r="AL458" s="236"/>
      <x:c r="AM458" s="233"/>
      <x:c r="AN458" s="233"/>
      <x:c r="AO458" s="234"/>
      <x:c r="AP458" s="234"/>
      <x:c r="AQ458" s="233"/>
      <x:c r="AR458" s="236"/>
      <x:c r="AS458" s="234"/>
      <x:c r="AT458" s="233"/>
      <x:c r="AU458" s="233"/>
      <x:c r="AV458" s="233"/>
      <x:c r="AW458" s="233"/>
      <x:c r="AX458" s="233"/>
      <x:c r="AY458" s="233"/>
      <x:c r="AZ458" s="236"/>
      <x:c r="BA458" s="233"/>
      <x:c r="BB458" s="233"/>
      <x:c r="BC458" s="233"/>
      <x:c r="BD458" s="233"/>
      <x:c r="BE458" s="237" t="str">
        <x:f>IF(AND(A458="",B458="",C458="",E458="",G458="",I458="",M458="",T458="",BB458="",BD458=""),"",IF(B458="skip","SKIP",IF(OR(B458="",A458="",E458="",G458="",I458="",M458="",T458="",COUNTIF($A$6:$A$505,A458)&gt;1,COUNTIF($M$6:$M$505,M458)&gt;1,AND(L458="mobile",N458&lt;&gt;"invalid",OR(LEN(M458)&lt;&gt;10,LEFT(M458,2)&lt;&gt;"09"))),"REVIEW","READY")))</x:f>
      </x:c>
      <x:c r="BF458" s="238" t="str">
        <x:f>IF(BE458="","",IF(BE458="READY","",IF(B458="skip","Skipped by import_action",TRIM(IF(B458="","missing import_action; ","")&amp;IF(A458="","missing migration_customer_key; ","")&amp;IF(AND(A458&lt;&gt;"",COUNTIF($A$6:$A$505,A458)&gt;1),"duplicate migration_customer_key; ","")&amp;IF(E458="","missing branch_id; ","")&amp;IF(G458="","missing first_name; ","")&amp;IF(I458="","missing last_name; ","")&amp;IF(M458="","missing primary_phone; ","")&amp;IF(AND(M458&lt;&gt;"",COUNTIF($M$6:$M$505,M458)&gt;1),"duplicate primary_phone; ","")&amp;IF(AND(L458="mobile",N458&lt;&gt;"invalid",OR(LEN(M458)&lt;&gt;10,LEFT(M458,2)&lt;&gt;"09")),"mobile must be 09XXXXXXXX or status invalid; ","")&amp;IF(T458="","missing neighborhood_id; ","")))))</x:f>
      </x:c>
    </x:row>
    <x:row r="459">
      <x:c r="A459" s="232"/>
      <x:c r="B459" s="233"/>
      <x:c r="C459" s="234"/>
      <x:c r="D459" s="233"/>
      <x:c r="E459" s="233"/>
      <x:c r="F459" s="233"/>
      <x:c r="G459" s="233"/>
      <x:c r="H459" s="233"/>
      <x:c r="I459" s="233"/>
      <x:c r="J459" s="233"/>
      <x:c r="K459" s="233" t="str">
        <x:f>TRIM(G459&amp;" "&amp;H459&amp;" "&amp;I459&amp;IF(J459&lt;&gt;""," ("&amp;J459&amp;")",""))</x:f>
      </x:c>
      <x:c r="L459" s="233"/>
      <x:c r="M459" s="234"/>
      <x:c r="N459" s="233"/>
      <x:c r="O459" s="233"/>
      <x:c r="P459" s="233"/>
      <x:c r="Q459" s="233"/>
      <x:c r="R459" s="233"/>
      <x:c r="S459" s="233"/>
      <x:c r="T459" s="233"/>
      <x:c r="U459" s="233"/>
      <x:c r="V459" s="233"/>
      <x:c r="W459" s="235"/>
      <x:c r="X459" s="235"/>
      <x:c r="Y459" s="233"/>
      <x:c r="Z459" s="233"/>
      <x:c r="AA459" s="233"/>
      <x:c r="AB459" s="233"/>
      <x:c r="AC459" s="236"/>
      <x:c r="AD459" s="233"/>
      <x:c r="AE459" s="233"/>
      <x:c r="AF459" s="233"/>
      <x:c r="AG459" s="233"/>
      <x:c r="AH459" s="234"/>
      <x:c r="AI459" s="233"/>
      <x:c r="AJ459" s="233"/>
      <x:c r="AK459" s="233"/>
      <x:c r="AL459" s="236"/>
      <x:c r="AM459" s="233"/>
      <x:c r="AN459" s="233"/>
      <x:c r="AO459" s="234"/>
      <x:c r="AP459" s="234"/>
      <x:c r="AQ459" s="233"/>
      <x:c r="AR459" s="236"/>
      <x:c r="AS459" s="234"/>
      <x:c r="AT459" s="233"/>
      <x:c r="AU459" s="233"/>
      <x:c r="AV459" s="233"/>
      <x:c r="AW459" s="233"/>
      <x:c r="AX459" s="233"/>
      <x:c r="AY459" s="233"/>
      <x:c r="AZ459" s="236"/>
      <x:c r="BA459" s="233"/>
      <x:c r="BB459" s="233"/>
      <x:c r="BC459" s="233"/>
      <x:c r="BD459" s="233"/>
      <x:c r="BE459" s="237" t="str">
        <x:f>IF(AND(A459="",B459="",C459="",E459="",G459="",I459="",M459="",T459="",BB459="",BD459=""),"",IF(B459="skip","SKIP",IF(OR(B459="",A459="",E459="",G459="",I459="",M459="",T459="",COUNTIF($A$6:$A$505,A459)&gt;1,COUNTIF($M$6:$M$505,M459)&gt;1,AND(L459="mobile",N459&lt;&gt;"invalid",OR(LEN(M459)&lt;&gt;10,LEFT(M459,2)&lt;&gt;"09"))),"REVIEW","READY")))</x:f>
      </x:c>
      <x:c r="BF459" s="238" t="str">
        <x:f>IF(BE459="","",IF(BE459="READY","",IF(B459="skip","Skipped by import_action",TRIM(IF(B459="","missing import_action; ","")&amp;IF(A459="","missing migration_customer_key; ","")&amp;IF(AND(A459&lt;&gt;"",COUNTIF($A$6:$A$505,A459)&gt;1),"duplicate migration_customer_key; ","")&amp;IF(E459="","missing branch_id; ","")&amp;IF(G459="","missing first_name; ","")&amp;IF(I459="","missing last_name; ","")&amp;IF(M459="","missing primary_phone; ","")&amp;IF(AND(M459&lt;&gt;"",COUNTIF($M$6:$M$505,M459)&gt;1),"duplicate primary_phone; ","")&amp;IF(AND(L459="mobile",N459&lt;&gt;"invalid",OR(LEN(M459)&lt;&gt;10,LEFT(M459,2)&lt;&gt;"09")),"mobile must be 09XXXXXXXX or status invalid; ","")&amp;IF(T459="","missing neighborhood_id; ","")))))</x:f>
      </x:c>
    </x:row>
    <x:row r="460">
      <x:c r="A460" s="232"/>
      <x:c r="B460" s="233"/>
      <x:c r="C460" s="234"/>
      <x:c r="D460" s="233"/>
      <x:c r="E460" s="233"/>
      <x:c r="F460" s="233"/>
      <x:c r="G460" s="233"/>
      <x:c r="H460" s="233"/>
      <x:c r="I460" s="233"/>
      <x:c r="J460" s="233"/>
      <x:c r="K460" s="233" t="str">
        <x:f>TRIM(G460&amp;" "&amp;H460&amp;" "&amp;I460&amp;IF(J460&lt;&gt;""," ("&amp;J460&amp;")",""))</x:f>
      </x:c>
      <x:c r="L460" s="233"/>
      <x:c r="M460" s="234"/>
      <x:c r="N460" s="233"/>
      <x:c r="O460" s="233"/>
      <x:c r="P460" s="233"/>
      <x:c r="Q460" s="233"/>
      <x:c r="R460" s="233"/>
      <x:c r="S460" s="233"/>
      <x:c r="T460" s="233"/>
      <x:c r="U460" s="233"/>
      <x:c r="V460" s="233"/>
      <x:c r="W460" s="235"/>
      <x:c r="X460" s="235"/>
      <x:c r="Y460" s="233"/>
      <x:c r="Z460" s="233"/>
      <x:c r="AA460" s="233"/>
      <x:c r="AB460" s="233"/>
      <x:c r="AC460" s="236"/>
      <x:c r="AD460" s="233"/>
      <x:c r="AE460" s="233"/>
      <x:c r="AF460" s="233"/>
      <x:c r="AG460" s="233"/>
      <x:c r="AH460" s="234"/>
      <x:c r="AI460" s="233"/>
      <x:c r="AJ460" s="233"/>
      <x:c r="AK460" s="233"/>
      <x:c r="AL460" s="236"/>
      <x:c r="AM460" s="233"/>
      <x:c r="AN460" s="233"/>
      <x:c r="AO460" s="234"/>
      <x:c r="AP460" s="234"/>
      <x:c r="AQ460" s="233"/>
      <x:c r="AR460" s="236"/>
      <x:c r="AS460" s="234"/>
      <x:c r="AT460" s="233"/>
      <x:c r="AU460" s="233"/>
      <x:c r="AV460" s="233"/>
      <x:c r="AW460" s="233"/>
      <x:c r="AX460" s="233"/>
      <x:c r="AY460" s="233"/>
      <x:c r="AZ460" s="236"/>
      <x:c r="BA460" s="233"/>
      <x:c r="BB460" s="233"/>
      <x:c r="BC460" s="233"/>
      <x:c r="BD460" s="233"/>
      <x:c r="BE460" s="237" t="str">
        <x:f>IF(AND(A460="",B460="",C460="",E460="",G460="",I460="",M460="",T460="",BB460="",BD460=""),"",IF(B460="skip","SKIP",IF(OR(B460="",A460="",E460="",G460="",I460="",M460="",T460="",COUNTIF($A$6:$A$505,A460)&gt;1,COUNTIF($M$6:$M$505,M460)&gt;1,AND(L460="mobile",N460&lt;&gt;"invalid",OR(LEN(M460)&lt;&gt;10,LEFT(M460,2)&lt;&gt;"09"))),"REVIEW","READY")))</x:f>
      </x:c>
      <x:c r="BF460" s="238" t="str">
        <x:f>IF(BE460="","",IF(BE460="READY","",IF(B460="skip","Skipped by import_action",TRIM(IF(B460="","missing import_action; ","")&amp;IF(A460="","missing migration_customer_key; ","")&amp;IF(AND(A460&lt;&gt;"",COUNTIF($A$6:$A$505,A460)&gt;1),"duplicate migration_customer_key; ","")&amp;IF(E460="","missing branch_id; ","")&amp;IF(G460="","missing first_name; ","")&amp;IF(I460="","missing last_name; ","")&amp;IF(M460="","missing primary_phone; ","")&amp;IF(AND(M460&lt;&gt;"",COUNTIF($M$6:$M$505,M460)&gt;1),"duplicate primary_phone; ","")&amp;IF(AND(L460="mobile",N460&lt;&gt;"invalid",OR(LEN(M460)&lt;&gt;10,LEFT(M460,2)&lt;&gt;"09")),"mobile must be 09XXXXXXXX or status invalid; ","")&amp;IF(T460="","missing neighborhood_id; ","")))))</x:f>
      </x:c>
    </x:row>
    <x:row r="461">
      <x:c r="A461" s="232"/>
      <x:c r="B461" s="233"/>
      <x:c r="C461" s="234"/>
      <x:c r="D461" s="233"/>
      <x:c r="E461" s="233"/>
      <x:c r="F461" s="233"/>
      <x:c r="G461" s="233"/>
      <x:c r="H461" s="233"/>
      <x:c r="I461" s="233"/>
      <x:c r="J461" s="233"/>
      <x:c r="K461" s="233" t="str">
        <x:f>TRIM(G461&amp;" "&amp;H461&amp;" "&amp;I461&amp;IF(J461&lt;&gt;""," ("&amp;J461&amp;")",""))</x:f>
      </x:c>
      <x:c r="L461" s="233"/>
      <x:c r="M461" s="234"/>
      <x:c r="N461" s="233"/>
      <x:c r="O461" s="233"/>
      <x:c r="P461" s="233"/>
      <x:c r="Q461" s="233"/>
      <x:c r="R461" s="233"/>
      <x:c r="S461" s="233"/>
      <x:c r="T461" s="233"/>
      <x:c r="U461" s="233"/>
      <x:c r="V461" s="233"/>
      <x:c r="W461" s="235"/>
      <x:c r="X461" s="235"/>
      <x:c r="Y461" s="233"/>
      <x:c r="Z461" s="233"/>
      <x:c r="AA461" s="233"/>
      <x:c r="AB461" s="233"/>
      <x:c r="AC461" s="236"/>
      <x:c r="AD461" s="233"/>
      <x:c r="AE461" s="233"/>
      <x:c r="AF461" s="233"/>
      <x:c r="AG461" s="233"/>
      <x:c r="AH461" s="234"/>
      <x:c r="AI461" s="233"/>
      <x:c r="AJ461" s="233"/>
      <x:c r="AK461" s="233"/>
      <x:c r="AL461" s="236"/>
      <x:c r="AM461" s="233"/>
      <x:c r="AN461" s="233"/>
      <x:c r="AO461" s="234"/>
      <x:c r="AP461" s="234"/>
      <x:c r="AQ461" s="233"/>
      <x:c r="AR461" s="236"/>
      <x:c r="AS461" s="234"/>
      <x:c r="AT461" s="233"/>
      <x:c r="AU461" s="233"/>
      <x:c r="AV461" s="233"/>
      <x:c r="AW461" s="233"/>
      <x:c r="AX461" s="233"/>
      <x:c r="AY461" s="233"/>
      <x:c r="AZ461" s="236"/>
      <x:c r="BA461" s="233"/>
      <x:c r="BB461" s="233"/>
      <x:c r="BC461" s="233"/>
      <x:c r="BD461" s="233"/>
      <x:c r="BE461" s="237" t="str">
        <x:f>IF(AND(A461="",B461="",C461="",E461="",G461="",I461="",M461="",T461="",BB461="",BD461=""),"",IF(B461="skip","SKIP",IF(OR(B461="",A461="",E461="",G461="",I461="",M461="",T461="",COUNTIF($A$6:$A$505,A461)&gt;1,COUNTIF($M$6:$M$505,M461)&gt;1,AND(L461="mobile",N461&lt;&gt;"invalid",OR(LEN(M461)&lt;&gt;10,LEFT(M461,2)&lt;&gt;"09"))),"REVIEW","READY")))</x:f>
      </x:c>
      <x:c r="BF461" s="238" t="str">
        <x:f>IF(BE461="","",IF(BE461="READY","",IF(B461="skip","Skipped by import_action",TRIM(IF(B461="","missing import_action; ","")&amp;IF(A461="","missing migration_customer_key; ","")&amp;IF(AND(A461&lt;&gt;"",COUNTIF($A$6:$A$505,A461)&gt;1),"duplicate migration_customer_key; ","")&amp;IF(E461="","missing branch_id; ","")&amp;IF(G461="","missing first_name; ","")&amp;IF(I461="","missing last_name; ","")&amp;IF(M461="","missing primary_phone; ","")&amp;IF(AND(M461&lt;&gt;"",COUNTIF($M$6:$M$505,M461)&gt;1),"duplicate primary_phone; ","")&amp;IF(AND(L461="mobile",N461&lt;&gt;"invalid",OR(LEN(M461)&lt;&gt;10,LEFT(M461,2)&lt;&gt;"09")),"mobile must be 09XXXXXXXX or status invalid; ","")&amp;IF(T461="","missing neighborhood_id; ","")))))</x:f>
      </x:c>
    </x:row>
    <x:row r="462">
      <x:c r="A462" s="232"/>
      <x:c r="B462" s="233"/>
      <x:c r="C462" s="234"/>
      <x:c r="D462" s="233"/>
      <x:c r="E462" s="233"/>
      <x:c r="F462" s="233"/>
      <x:c r="G462" s="233"/>
      <x:c r="H462" s="233"/>
      <x:c r="I462" s="233"/>
      <x:c r="J462" s="233"/>
      <x:c r="K462" s="233" t="str">
        <x:f>TRIM(G462&amp;" "&amp;H462&amp;" "&amp;I462&amp;IF(J462&lt;&gt;""," ("&amp;J462&amp;")",""))</x:f>
      </x:c>
      <x:c r="L462" s="233"/>
      <x:c r="M462" s="234"/>
      <x:c r="N462" s="233"/>
      <x:c r="O462" s="233"/>
      <x:c r="P462" s="233"/>
      <x:c r="Q462" s="233"/>
      <x:c r="R462" s="233"/>
      <x:c r="S462" s="233"/>
      <x:c r="T462" s="233"/>
      <x:c r="U462" s="233"/>
      <x:c r="V462" s="233"/>
      <x:c r="W462" s="235"/>
      <x:c r="X462" s="235"/>
      <x:c r="Y462" s="233"/>
      <x:c r="Z462" s="233"/>
      <x:c r="AA462" s="233"/>
      <x:c r="AB462" s="233"/>
      <x:c r="AC462" s="236"/>
      <x:c r="AD462" s="233"/>
      <x:c r="AE462" s="233"/>
      <x:c r="AF462" s="233"/>
      <x:c r="AG462" s="233"/>
      <x:c r="AH462" s="234"/>
      <x:c r="AI462" s="233"/>
      <x:c r="AJ462" s="233"/>
      <x:c r="AK462" s="233"/>
      <x:c r="AL462" s="236"/>
      <x:c r="AM462" s="233"/>
      <x:c r="AN462" s="233"/>
      <x:c r="AO462" s="234"/>
      <x:c r="AP462" s="234"/>
      <x:c r="AQ462" s="233"/>
      <x:c r="AR462" s="236"/>
      <x:c r="AS462" s="234"/>
      <x:c r="AT462" s="233"/>
      <x:c r="AU462" s="233"/>
      <x:c r="AV462" s="233"/>
      <x:c r="AW462" s="233"/>
      <x:c r="AX462" s="233"/>
      <x:c r="AY462" s="233"/>
      <x:c r="AZ462" s="236"/>
      <x:c r="BA462" s="233"/>
      <x:c r="BB462" s="233"/>
      <x:c r="BC462" s="233"/>
      <x:c r="BD462" s="233"/>
      <x:c r="BE462" s="237" t="str">
        <x:f>IF(AND(A462="",B462="",C462="",E462="",G462="",I462="",M462="",T462="",BB462="",BD462=""),"",IF(B462="skip","SKIP",IF(OR(B462="",A462="",E462="",G462="",I462="",M462="",T462="",COUNTIF($A$6:$A$505,A462)&gt;1,COUNTIF($M$6:$M$505,M462)&gt;1,AND(L462="mobile",N462&lt;&gt;"invalid",OR(LEN(M462)&lt;&gt;10,LEFT(M462,2)&lt;&gt;"09"))),"REVIEW","READY")))</x:f>
      </x:c>
      <x:c r="BF462" s="238" t="str">
        <x:f>IF(BE462="","",IF(BE462="READY","",IF(B462="skip","Skipped by import_action",TRIM(IF(B462="","missing import_action; ","")&amp;IF(A462="","missing migration_customer_key; ","")&amp;IF(AND(A462&lt;&gt;"",COUNTIF($A$6:$A$505,A462)&gt;1),"duplicate migration_customer_key; ","")&amp;IF(E462="","missing branch_id; ","")&amp;IF(G462="","missing first_name; ","")&amp;IF(I462="","missing last_name; ","")&amp;IF(M462="","missing primary_phone; ","")&amp;IF(AND(M462&lt;&gt;"",COUNTIF($M$6:$M$505,M462)&gt;1),"duplicate primary_phone; ","")&amp;IF(AND(L462="mobile",N462&lt;&gt;"invalid",OR(LEN(M462)&lt;&gt;10,LEFT(M462,2)&lt;&gt;"09")),"mobile must be 09XXXXXXXX or status invalid; ","")&amp;IF(T462="","missing neighborhood_id; ","")))))</x:f>
      </x:c>
    </x:row>
    <x:row r="463">
      <x:c r="A463" s="232"/>
      <x:c r="B463" s="233"/>
      <x:c r="C463" s="234"/>
      <x:c r="D463" s="233"/>
      <x:c r="E463" s="233"/>
      <x:c r="F463" s="233"/>
      <x:c r="G463" s="233"/>
      <x:c r="H463" s="233"/>
      <x:c r="I463" s="233"/>
      <x:c r="J463" s="233"/>
      <x:c r="K463" s="233" t="str">
        <x:f>TRIM(G463&amp;" "&amp;H463&amp;" "&amp;I463&amp;IF(J463&lt;&gt;""," ("&amp;J463&amp;")",""))</x:f>
      </x:c>
      <x:c r="L463" s="233"/>
      <x:c r="M463" s="234"/>
      <x:c r="N463" s="233"/>
      <x:c r="O463" s="233"/>
      <x:c r="P463" s="233"/>
      <x:c r="Q463" s="233"/>
      <x:c r="R463" s="233"/>
      <x:c r="S463" s="233"/>
      <x:c r="T463" s="233"/>
      <x:c r="U463" s="233"/>
      <x:c r="V463" s="233"/>
      <x:c r="W463" s="235"/>
      <x:c r="X463" s="235"/>
      <x:c r="Y463" s="233"/>
      <x:c r="Z463" s="233"/>
      <x:c r="AA463" s="233"/>
      <x:c r="AB463" s="233"/>
      <x:c r="AC463" s="236"/>
      <x:c r="AD463" s="233"/>
      <x:c r="AE463" s="233"/>
      <x:c r="AF463" s="233"/>
      <x:c r="AG463" s="233"/>
      <x:c r="AH463" s="234"/>
      <x:c r="AI463" s="233"/>
      <x:c r="AJ463" s="233"/>
      <x:c r="AK463" s="233"/>
      <x:c r="AL463" s="236"/>
      <x:c r="AM463" s="233"/>
      <x:c r="AN463" s="233"/>
      <x:c r="AO463" s="234"/>
      <x:c r="AP463" s="234"/>
      <x:c r="AQ463" s="233"/>
      <x:c r="AR463" s="236"/>
      <x:c r="AS463" s="234"/>
      <x:c r="AT463" s="233"/>
      <x:c r="AU463" s="233"/>
      <x:c r="AV463" s="233"/>
      <x:c r="AW463" s="233"/>
      <x:c r="AX463" s="233"/>
      <x:c r="AY463" s="233"/>
      <x:c r="AZ463" s="236"/>
      <x:c r="BA463" s="233"/>
      <x:c r="BB463" s="233"/>
      <x:c r="BC463" s="233"/>
      <x:c r="BD463" s="233"/>
      <x:c r="BE463" s="237" t="str">
        <x:f>IF(AND(A463="",B463="",C463="",E463="",G463="",I463="",M463="",T463="",BB463="",BD463=""),"",IF(B463="skip","SKIP",IF(OR(B463="",A463="",E463="",G463="",I463="",M463="",T463="",COUNTIF($A$6:$A$505,A463)&gt;1,COUNTIF($M$6:$M$505,M463)&gt;1,AND(L463="mobile",N463&lt;&gt;"invalid",OR(LEN(M463)&lt;&gt;10,LEFT(M463,2)&lt;&gt;"09"))),"REVIEW","READY")))</x:f>
      </x:c>
      <x:c r="BF463" s="238" t="str">
        <x:f>IF(BE463="","",IF(BE463="READY","",IF(B463="skip","Skipped by import_action",TRIM(IF(B463="","missing import_action; ","")&amp;IF(A463="","missing migration_customer_key; ","")&amp;IF(AND(A463&lt;&gt;"",COUNTIF($A$6:$A$505,A463)&gt;1),"duplicate migration_customer_key; ","")&amp;IF(E463="","missing branch_id; ","")&amp;IF(G463="","missing first_name; ","")&amp;IF(I463="","missing last_name; ","")&amp;IF(M463="","missing primary_phone; ","")&amp;IF(AND(M463&lt;&gt;"",COUNTIF($M$6:$M$505,M463)&gt;1),"duplicate primary_phone; ","")&amp;IF(AND(L463="mobile",N463&lt;&gt;"invalid",OR(LEN(M463)&lt;&gt;10,LEFT(M463,2)&lt;&gt;"09")),"mobile must be 09XXXXXXXX or status invalid; ","")&amp;IF(T463="","missing neighborhood_id; ","")))))</x:f>
      </x:c>
    </x:row>
    <x:row r="464">
      <x:c r="A464" s="232"/>
      <x:c r="B464" s="233"/>
      <x:c r="C464" s="234"/>
      <x:c r="D464" s="233"/>
      <x:c r="E464" s="233"/>
      <x:c r="F464" s="233"/>
      <x:c r="G464" s="233"/>
      <x:c r="H464" s="233"/>
      <x:c r="I464" s="233"/>
      <x:c r="J464" s="233"/>
      <x:c r="K464" s="233" t="str">
        <x:f>TRIM(G464&amp;" "&amp;H464&amp;" "&amp;I464&amp;IF(J464&lt;&gt;""," ("&amp;J464&amp;")",""))</x:f>
      </x:c>
      <x:c r="L464" s="233"/>
      <x:c r="M464" s="234"/>
      <x:c r="N464" s="233"/>
      <x:c r="O464" s="233"/>
      <x:c r="P464" s="233"/>
      <x:c r="Q464" s="233"/>
      <x:c r="R464" s="233"/>
      <x:c r="S464" s="233"/>
      <x:c r="T464" s="233"/>
      <x:c r="U464" s="233"/>
      <x:c r="V464" s="233"/>
      <x:c r="W464" s="235"/>
      <x:c r="X464" s="235"/>
      <x:c r="Y464" s="233"/>
      <x:c r="Z464" s="233"/>
      <x:c r="AA464" s="233"/>
      <x:c r="AB464" s="233"/>
      <x:c r="AC464" s="236"/>
      <x:c r="AD464" s="233"/>
      <x:c r="AE464" s="233"/>
      <x:c r="AF464" s="233"/>
      <x:c r="AG464" s="233"/>
      <x:c r="AH464" s="234"/>
      <x:c r="AI464" s="233"/>
      <x:c r="AJ464" s="233"/>
      <x:c r="AK464" s="233"/>
      <x:c r="AL464" s="236"/>
      <x:c r="AM464" s="233"/>
      <x:c r="AN464" s="233"/>
      <x:c r="AO464" s="234"/>
      <x:c r="AP464" s="234"/>
      <x:c r="AQ464" s="233"/>
      <x:c r="AR464" s="236"/>
      <x:c r="AS464" s="234"/>
      <x:c r="AT464" s="233"/>
      <x:c r="AU464" s="233"/>
      <x:c r="AV464" s="233"/>
      <x:c r="AW464" s="233"/>
      <x:c r="AX464" s="233"/>
      <x:c r="AY464" s="233"/>
      <x:c r="AZ464" s="236"/>
      <x:c r="BA464" s="233"/>
      <x:c r="BB464" s="233"/>
      <x:c r="BC464" s="233"/>
      <x:c r="BD464" s="233"/>
      <x:c r="BE464" s="237" t="str">
        <x:f>IF(AND(A464="",B464="",C464="",E464="",G464="",I464="",M464="",T464="",BB464="",BD464=""),"",IF(B464="skip","SKIP",IF(OR(B464="",A464="",E464="",G464="",I464="",M464="",T464="",COUNTIF($A$6:$A$505,A464)&gt;1,COUNTIF($M$6:$M$505,M464)&gt;1,AND(L464="mobile",N464&lt;&gt;"invalid",OR(LEN(M464)&lt;&gt;10,LEFT(M464,2)&lt;&gt;"09"))),"REVIEW","READY")))</x:f>
      </x:c>
      <x:c r="BF464" s="238" t="str">
        <x:f>IF(BE464="","",IF(BE464="READY","",IF(B464="skip","Skipped by import_action",TRIM(IF(B464="","missing import_action; ","")&amp;IF(A464="","missing migration_customer_key; ","")&amp;IF(AND(A464&lt;&gt;"",COUNTIF($A$6:$A$505,A464)&gt;1),"duplicate migration_customer_key; ","")&amp;IF(E464="","missing branch_id; ","")&amp;IF(G464="","missing first_name; ","")&amp;IF(I464="","missing last_name; ","")&amp;IF(M464="","missing primary_phone; ","")&amp;IF(AND(M464&lt;&gt;"",COUNTIF($M$6:$M$505,M464)&gt;1),"duplicate primary_phone; ","")&amp;IF(AND(L464="mobile",N464&lt;&gt;"invalid",OR(LEN(M464)&lt;&gt;10,LEFT(M464,2)&lt;&gt;"09")),"mobile must be 09XXXXXXXX or status invalid; ","")&amp;IF(T464="","missing neighborhood_id; ","")))))</x:f>
      </x:c>
    </x:row>
    <x:row r="465">
      <x:c r="A465" s="232"/>
      <x:c r="B465" s="233"/>
      <x:c r="C465" s="234"/>
      <x:c r="D465" s="233"/>
      <x:c r="E465" s="233"/>
      <x:c r="F465" s="233"/>
      <x:c r="G465" s="233"/>
      <x:c r="H465" s="233"/>
      <x:c r="I465" s="233"/>
      <x:c r="J465" s="233"/>
      <x:c r="K465" s="233" t="str">
        <x:f>TRIM(G465&amp;" "&amp;H465&amp;" "&amp;I465&amp;IF(J465&lt;&gt;""," ("&amp;J465&amp;")",""))</x:f>
      </x:c>
      <x:c r="L465" s="233"/>
      <x:c r="M465" s="234"/>
      <x:c r="N465" s="233"/>
      <x:c r="O465" s="233"/>
      <x:c r="P465" s="233"/>
      <x:c r="Q465" s="233"/>
      <x:c r="R465" s="233"/>
      <x:c r="S465" s="233"/>
      <x:c r="T465" s="233"/>
      <x:c r="U465" s="233"/>
      <x:c r="V465" s="233"/>
      <x:c r="W465" s="235"/>
      <x:c r="X465" s="235"/>
      <x:c r="Y465" s="233"/>
      <x:c r="Z465" s="233"/>
      <x:c r="AA465" s="233"/>
      <x:c r="AB465" s="233"/>
      <x:c r="AC465" s="236"/>
      <x:c r="AD465" s="233"/>
      <x:c r="AE465" s="233"/>
      <x:c r="AF465" s="233"/>
      <x:c r="AG465" s="233"/>
      <x:c r="AH465" s="234"/>
      <x:c r="AI465" s="233"/>
      <x:c r="AJ465" s="233"/>
      <x:c r="AK465" s="233"/>
      <x:c r="AL465" s="236"/>
      <x:c r="AM465" s="233"/>
      <x:c r="AN465" s="233"/>
      <x:c r="AO465" s="234"/>
      <x:c r="AP465" s="234"/>
      <x:c r="AQ465" s="233"/>
      <x:c r="AR465" s="236"/>
      <x:c r="AS465" s="234"/>
      <x:c r="AT465" s="233"/>
      <x:c r="AU465" s="233"/>
      <x:c r="AV465" s="233"/>
      <x:c r="AW465" s="233"/>
      <x:c r="AX465" s="233"/>
      <x:c r="AY465" s="233"/>
      <x:c r="AZ465" s="236"/>
      <x:c r="BA465" s="233"/>
      <x:c r="BB465" s="233"/>
      <x:c r="BC465" s="233"/>
      <x:c r="BD465" s="233"/>
      <x:c r="BE465" s="237" t="str">
        <x:f>IF(AND(A465="",B465="",C465="",E465="",G465="",I465="",M465="",T465="",BB465="",BD465=""),"",IF(B465="skip","SKIP",IF(OR(B465="",A465="",E465="",G465="",I465="",M465="",T465="",COUNTIF($A$6:$A$505,A465)&gt;1,COUNTIF($M$6:$M$505,M465)&gt;1,AND(L465="mobile",N465&lt;&gt;"invalid",OR(LEN(M465)&lt;&gt;10,LEFT(M465,2)&lt;&gt;"09"))),"REVIEW","READY")))</x:f>
      </x:c>
      <x:c r="BF465" s="238" t="str">
        <x:f>IF(BE465="","",IF(BE465="READY","",IF(B465="skip","Skipped by import_action",TRIM(IF(B465="","missing import_action; ","")&amp;IF(A465="","missing migration_customer_key; ","")&amp;IF(AND(A465&lt;&gt;"",COUNTIF($A$6:$A$505,A465)&gt;1),"duplicate migration_customer_key; ","")&amp;IF(E465="","missing branch_id; ","")&amp;IF(G465="","missing first_name; ","")&amp;IF(I465="","missing last_name; ","")&amp;IF(M465="","missing primary_phone; ","")&amp;IF(AND(M465&lt;&gt;"",COUNTIF($M$6:$M$505,M465)&gt;1),"duplicate primary_phone; ","")&amp;IF(AND(L465="mobile",N465&lt;&gt;"invalid",OR(LEN(M465)&lt;&gt;10,LEFT(M465,2)&lt;&gt;"09")),"mobile must be 09XXXXXXXX or status invalid; ","")&amp;IF(T465="","missing neighborhood_id; ","")))))</x:f>
      </x:c>
    </x:row>
    <x:row r="466">
      <x:c r="A466" s="232"/>
      <x:c r="B466" s="233"/>
      <x:c r="C466" s="234"/>
      <x:c r="D466" s="233"/>
      <x:c r="E466" s="233"/>
      <x:c r="F466" s="233"/>
      <x:c r="G466" s="233"/>
      <x:c r="H466" s="233"/>
      <x:c r="I466" s="233"/>
      <x:c r="J466" s="233"/>
      <x:c r="K466" s="233" t="str">
        <x:f>TRIM(G466&amp;" "&amp;H466&amp;" "&amp;I466&amp;IF(J466&lt;&gt;""," ("&amp;J466&amp;")",""))</x:f>
      </x:c>
      <x:c r="L466" s="233"/>
      <x:c r="M466" s="234"/>
      <x:c r="N466" s="233"/>
      <x:c r="O466" s="233"/>
      <x:c r="P466" s="233"/>
      <x:c r="Q466" s="233"/>
      <x:c r="R466" s="233"/>
      <x:c r="S466" s="233"/>
      <x:c r="T466" s="233"/>
      <x:c r="U466" s="233"/>
      <x:c r="V466" s="233"/>
      <x:c r="W466" s="235"/>
      <x:c r="X466" s="235"/>
      <x:c r="Y466" s="233"/>
      <x:c r="Z466" s="233"/>
      <x:c r="AA466" s="233"/>
      <x:c r="AB466" s="233"/>
      <x:c r="AC466" s="236"/>
      <x:c r="AD466" s="233"/>
      <x:c r="AE466" s="233"/>
      <x:c r="AF466" s="233"/>
      <x:c r="AG466" s="233"/>
      <x:c r="AH466" s="234"/>
      <x:c r="AI466" s="233"/>
      <x:c r="AJ466" s="233"/>
      <x:c r="AK466" s="233"/>
      <x:c r="AL466" s="236"/>
      <x:c r="AM466" s="233"/>
      <x:c r="AN466" s="233"/>
      <x:c r="AO466" s="234"/>
      <x:c r="AP466" s="234"/>
      <x:c r="AQ466" s="233"/>
      <x:c r="AR466" s="236"/>
      <x:c r="AS466" s="234"/>
      <x:c r="AT466" s="233"/>
      <x:c r="AU466" s="233"/>
      <x:c r="AV466" s="233"/>
      <x:c r="AW466" s="233"/>
      <x:c r="AX466" s="233"/>
      <x:c r="AY466" s="233"/>
      <x:c r="AZ466" s="236"/>
      <x:c r="BA466" s="233"/>
      <x:c r="BB466" s="233"/>
      <x:c r="BC466" s="233"/>
      <x:c r="BD466" s="233"/>
      <x:c r="BE466" s="237" t="str">
        <x:f>IF(AND(A466="",B466="",C466="",E466="",G466="",I466="",M466="",T466="",BB466="",BD466=""),"",IF(B466="skip","SKIP",IF(OR(B466="",A466="",E466="",G466="",I466="",M466="",T466="",COUNTIF($A$6:$A$505,A466)&gt;1,COUNTIF($M$6:$M$505,M466)&gt;1,AND(L466="mobile",N466&lt;&gt;"invalid",OR(LEN(M466)&lt;&gt;10,LEFT(M466,2)&lt;&gt;"09"))),"REVIEW","READY")))</x:f>
      </x:c>
      <x:c r="BF466" s="238" t="str">
        <x:f>IF(BE466="","",IF(BE466="READY","",IF(B466="skip","Skipped by import_action",TRIM(IF(B466="","missing import_action; ","")&amp;IF(A466="","missing migration_customer_key; ","")&amp;IF(AND(A466&lt;&gt;"",COUNTIF($A$6:$A$505,A466)&gt;1),"duplicate migration_customer_key; ","")&amp;IF(E466="","missing branch_id; ","")&amp;IF(G466="","missing first_name; ","")&amp;IF(I466="","missing last_name; ","")&amp;IF(M466="","missing primary_phone; ","")&amp;IF(AND(M466&lt;&gt;"",COUNTIF($M$6:$M$505,M466)&gt;1),"duplicate primary_phone; ","")&amp;IF(AND(L466="mobile",N466&lt;&gt;"invalid",OR(LEN(M466)&lt;&gt;10,LEFT(M466,2)&lt;&gt;"09")),"mobile must be 09XXXXXXXX or status invalid; ","")&amp;IF(T466="","missing neighborhood_id; ","")))))</x:f>
      </x:c>
    </x:row>
    <x:row r="467">
      <x:c r="A467" s="232"/>
      <x:c r="B467" s="233"/>
      <x:c r="C467" s="234"/>
      <x:c r="D467" s="233"/>
      <x:c r="E467" s="233"/>
      <x:c r="F467" s="233"/>
      <x:c r="G467" s="233"/>
      <x:c r="H467" s="233"/>
      <x:c r="I467" s="233"/>
      <x:c r="J467" s="233"/>
      <x:c r="K467" s="233" t="str">
        <x:f>TRIM(G467&amp;" "&amp;H467&amp;" "&amp;I467&amp;IF(J467&lt;&gt;""," ("&amp;J467&amp;")",""))</x:f>
      </x:c>
      <x:c r="L467" s="233"/>
      <x:c r="M467" s="234"/>
      <x:c r="N467" s="233"/>
      <x:c r="O467" s="233"/>
      <x:c r="P467" s="233"/>
      <x:c r="Q467" s="233"/>
      <x:c r="R467" s="233"/>
      <x:c r="S467" s="233"/>
      <x:c r="T467" s="233"/>
      <x:c r="U467" s="233"/>
      <x:c r="V467" s="233"/>
      <x:c r="W467" s="235"/>
      <x:c r="X467" s="235"/>
      <x:c r="Y467" s="233"/>
      <x:c r="Z467" s="233"/>
      <x:c r="AA467" s="233"/>
      <x:c r="AB467" s="233"/>
      <x:c r="AC467" s="236"/>
      <x:c r="AD467" s="233"/>
      <x:c r="AE467" s="233"/>
      <x:c r="AF467" s="233"/>
      <x:c r="AG467" s="233"/>
      <x:c r="AH467" s="234"/>
      <x:c r="AI467" s="233"/>
      <x:c r="AJ467" s="233"/>
      <x:c r="AK467" s="233"/>
      <x:c r="AL467" s="236"/>
      <x:c r="AM467" s="233"/>
      <x:c r="AN467" s="233"/>
      <x:c r="AO467" s="234"/>
      <x:c r="AP467" s="234"/>
      <x:c r="AQ467" s="233"/>
      <x:c r="AR467" s="236"/>
      <x:c r="AS467" s="234"/>
      <x:c r="AT467" s="233"/>
      <x:c r="AU467" s="233"/>
      <x:c r="AV467" s="233"/>
      <x:c r="AW467" s="233"/>
      <x:c r="AX467" s="233"/>
      <x:c r="AY467" s="233"/>
      <x:c r="AZ467" s="236"/>
      <x:c r="BA467" s="233"/>
      <x:c r="BB467" s="233"/>
      <x:c r="BC467" s="233"/>
      <x:c r="BD467" s="233"/>
      <x:c r="BE467" s="237" t="str">
        <x:f>IF(AND(A467="",B467="",C467="",E467="",G467="",I467="",M467="",T467="",BB467="",BD467=""),"",IF(B467="skip","SKIP",IF(OR(B467="",A467="",E467="",G467="",I467="",M467="",T467="",COUNTIF($A$6:$A$505,A467)&gt;1,COUNTIF($M$6:$M$505,M467)&gt;1,AND(L467="mobile",N467&lt;&gt;"invalid",OR(LEN(M467)&lt;&gt;10,LEFT(M467,2)&lt;&gt;"09"))),"REVIEW","READY")))</x:f>
      </x:c>
      <x:c r="BF467" s="238" t="str">
        <x:f>IF(BE467="","",IF(BE467="READY","",IF(B467="skip","Skipped by import_action",TRIM(IF(B467="","missing import_action; ","")&amp;IF(A467="","missing migration_customer_key; ","")&amp;IF(AND(A467&lt;&gt;"",COUNTIF($A$6:$A$505,A467)&gt;1),"duplicate migration_customer_key; ","")&amp;IF(E467="","missing branch_id; ","")&amp;IF(G467="","missing first_name; ","")&amp;IF(I467="","missing last_name; ","")&amp;IF(M467="","missing primary_phone; ","")&amp;IF(AND(M467&lt;&gt;"",COUNTIF($M$6:$M$505,M467)&gt;1),"duplicate primary_phone; ","")&amp;IF(AND(L467="mobile",N467&lt;&gt;"invalid",OR(LEN(M467)&lt;&gt;10,LEFT(M467,2)&lt;&gt;"09")),"mobile must be 09XXXXXXXX or status invalid; ","")&amp;IF(T467="","missing neighborhood_id; ","")))))</x:f>
      </x:c>
    </x:row>
    <x:row r="468">
      <x:c r="A468" s="232"/>
      <x:c r="B468" s="233"/>
      <x:c r="C468" s="234"/>
      <x:c r="D468" s="233"/>
      <x:c r="E468" s="233"/>
      <x:c r="F468" s="233"/>
      <x:c r="G468" s="233"/>
      <x:c r="H468" s="233"/>
      <x:c r="I468" s="233"/>
      <x:c r="J468" s="233"/>
      <x:c r="K468" s="233" t="str">
        <x:f>TRIM(G468&amp;" "&amp;H468&amp;" "&amp;I468&amp;IF(J468&lt;&gt;""," ("&amp;J468&amp;")",""))</x:f>
      </x:c>
      <x:c r="L468" s="233"/>
      <x:c r="M468" s="234"/>
      <x:c r="N468" s="233"/>
      <x:c r="O468" s="233"/>
      <x:c r="P468" s="233"/>
      <x:c r="Q468" s="233"/>
      <x:c r="R468" s="233"/>
      <x:c r="S468" s="233"/>
      <x:c r="T468" s="233"/>
      <x:c r="U468" s="233"/>
      <x:c r="V468" s="233"/>
      <x:c r="W468" s="235"/>
      <x:c r="X468" s="235"/>
      <x:c r="Y468" s="233"/>
      <x:c r="Z468" s="233"/>
      <x:c r="AA468" s="233"/>
      <x:c r="AB468" s="233"/>
      <x:c r="AC468" s="236"/>
      <x:c r="AD468" s="233"/>
      <x:c r="AE468" s="233"/>
      <x:c r="AF468" s="233"/>
      <x:c r="AG468" s="233"/>
      <x:c r="AH468" s="234"/>
      <x:c r="AI468" s="233"/>
      <x:c r="AJ468" s="233"/>
      <x:c r="AK468" s="233"/>
      <x:c r="AL468" s="236"/>
      <x:c r="AM468" s="233"/>
      <x:c r="AN468" s="233"/>
      <x:c r="AO468" s="234"/>
      <x:c r="AP468" s="234"/>
      <x:c r="AQ468" s="233"/>
      <x:c r="AR468" s="236"/>
      <x:c r="AS468" s="234"/>
      <x:c r="AT468" s="233"/>
      <x:c r="AU468" s="233"/>
      <x:c r="AV468" s="233"/>
      <x:c r="AW468" s="233"/>
      <x:c r="AX468" s="233"/>
      <x:c r="AY468" s="233"/>
      <x:c r="AZ468" s="236"/>
      <x:c r="BA468" s="233"/>
      <x:c r="BB468" s="233"/>
      <x:c r="BC468" s="233"/>
      <x:c r="BD468" s="233"/>
      <x:c r="BE468" s="237" t="str">
        <x:f>IF(AND(A468="",B468="",C468="",E468="",G468="",I468="",M468="",T468="",BB468="",BD468=""),"",IF(B468="skip","SKIP",IF(OR(B468="",A468="",E468="",G468="",I468="",M468="",T468="",COUNTIF($A$6:$A$505,A468)&gt;1,COUNTIF($M$6:$M$505,M468)&gt;1,AND(L468="mobile",N468&lt;&gt;"invalid",OR(LEN(M468)&lt;&gt;10,LEFT(M468,2)&lt;&gt;"09"))),"REVIEW","READY")))</x:f>
      </x:c>
      <x:c r="BF468" s="238" t="str">
        <x:f>IF(BE468="","",IF(BE468="READY","",IF(B468="skip","Skipped by import_action",TRIM(IF(B468="","missing import_action; ","")&amp;IF(A468="","missing migration_customer_key; ","")&amp;IF(AND(A468&lt;&gt;"",COUNTIF($A$6:$A$505,A468)&gt;1),"duplicate migration_customer_key; ","")&amp;IF(E468="","missing branch_id; ","")&amp;IF(G468="","missing first_name; ","")&amp;IF(I468="","missing last_name; ","")&amp;IF(M468="","missing primary_phone; ","")&amp;IF(AND(M468&lt;&gt;"",COUNTIF($M$6:$M$505,M468)&gt;1),"duplicate primary_phone; ","")&amp;IF(AND(L468="mobile",N468&lt;&gt;"invalid",OR(LEN(M468)&lt;&gt;10,LEFT(M468,2)&lt;&gt;"09")),"mobile must be 09XXXXXXXX or status invalid; ","")&amp;IF(T468="","missing neighborhood_id; ","")))))</x:f>
      </x:c>
    </x:row>
    <x:row r="469">
      <x:c r="A469" s="232"/>
      <x:c r="B469" s="233"/>
      <x:c r="C469" s="234"/>
      <x:c r="D469" s="233"/>
      <x:c r="E469" s="233"/>
      <x:c r="F469" s="233"/>
      <x:c r="G469" s="233"/>
      <x:c r="H469" s="233"/>
      <x:c r="I469" s="233"/>
      <x:c r="J469" s="233"/>
      <x:c r="K469" s="233" t="str">
        <x:f>TRIM(G469&amp;" "&amp;H469&amp;" "&amp;I469&amp;IF(J469&lt;&gt;""," ("&amp;J469&amp;")",""))</x:f>
      </x:c>
      <x:c r="L469" s="233"/>
      <x:c r="M469" s="234"/>
      <x:c r="N469" s="233"/>
      <x:c r="O469" s="233"/>
      <x:c r="P469" s="233"/>
      <x:c r="Q469" s="233"/>
      <x:c r="R469" s="233"/>
      <x:c r="S469" s="233"/>
      <x:c r="T469" s="233"/>
      <x:c r="U469" s="233"/>
      <x:c r="V469" s="233"/>
      <x:c r="W469" s="235"/>
      <x:c r="X469" s="235"/>
      <x:c r="Y469" s="233"/>
      <x:c r="Z469" s="233"/>
      <x:c r="AA469" s="233"/>
      <x:c r="AB469" s="233"/>
      <x:c r="AC469" s="236"/>
      <x:c r="AD469" s="233"/>
      <x:c r="AE469" s="233"/>
      <x:c r="AF469" s="233"/>
      <x:c r="AG469" s="233"/>
      <x:c r="AH469" s="234"/>
      <x:c r="AI469" s="233"/>
      <x:c r="AJ469" s="233"/>
      <x:c r="AK469" s="233"/>
      <x:c r="AL469" s="236"/>
      <x:c r="AM469" s="233"/>
      <x:c r="AN469" s="233"/>
      <x:c r="AO469" s="234"/>
      <x:c r="AP469" s="234"/>
      <x:c r="AQ469" s="233"/>
      <x:c r="AR469" s="236"/>
      <x:c r="AS469" s="234"/>
      <x:c r="AT469" s="233"/>
      <x:c r="AU469" s="233"/>
      <x:c r="AV469" s="233"/>
      <x:c r="AW469" s="233"/>
      <x:c r="AX469" s="233"/>
      <x:c r="AY469" s="233"/>
      <x:c r="AZ469" s="236"/>
      <x:c r="BA469" s="233"/>
      <x:c r="BB469" s="233"/>
      <x:c r="BC469" s="233"/>
      <x:c r="BD469" s="233"/>
      <x:c r="BE469" s="237" t="str">
        <x:f>IF(AND(A469="",B469="",C469="",E469="",G469="",I469="",M469="",T469="",BB469="",BD469=""),"",IF(B469="skip","SKIP",IF(OR(B469="",A469="",E469="",G469="",I469="",M469="",T469="",COUNTIF($A$6:$A$505,A469)&gt;1,COUNTIF($M$6:$M$505,M469)&gt;1,AND(L469="mobile",N469&lt;&gt;"invalid",OR(LEN(M469)&lt;&gt;10,LEFT(M469,2)&lt;&gt;"09"))),"REVIEW","READY")))</x:f>
      </x:c>
      <x:c r="BF469" s="238" t="str">
        <x:f>IF(BE469="","",IF(BE469="READY","",IF(B469="skip","Skipped by import_action",TRIM(IF(B469="","missing import_action; ","")&amp;IF(A469="","missing migration_customer_key; ","")&amp;IF(AND(A469&lt;&gt;"",COUNTIF($A$6:$A$505,A469)&gt;1),"duplicate migration_customer_key; ","")&amp;IF(E469="","missing branch_id; ","")&amp;IF(G469="","missing first_name; ","")&amp;IF(I469="","missing last_name; ","")&amp;IF(M469="","missing primary_phone; ","")&amp;IF(AND(M469&lt;&gt;"",COUNTIF($M$6:$M$505,M469)&gt;1),"duplicate primary_phone; ","")&amp;IF(AND(L469="mobile",N469&lt;&gt;"invalid",OR(LEN(M469)&lt;&gt;10,LEFT(M469,2)&lt;&gt;"09")),"mobile must be 09XXXXXXXX or status invalid; ","")&amp;IF(T469="","missing neighborhood_id; ","")))))</x:f>
      </x:c>
    </x:row>
    <x:row r="470">
      <x:c r="A470" s="232"/>
      <x:c r="B470" s="233"/>
      <x:c r="C470" s="234"/>
      <x:c r="D470" s="233"/>
      <x:c r="E470" s="233"/>
      <x:c r="F470" s="233"/>
      <x:c r="G470" s="233"/>
      <x:c r="H470" s="233"/>
      <x:c r="I470" s="233"/>
      <x:c r="J470" s="233"/>
      <x:c r="K470" s="233" t="str">
        <x:f>TRIM(G470&amp;" "&amp;H470&amp;" "&amp;I470&amp;IF(J470&lt;&gt;""," ("&amp;J470&amp;")",""))</x:f>
      </x:c>
      <x:c r="L470" s="233"/>
      <x:c r="M470" s="234"/>
      <x:c r="N470" s="233"/>
      <x:c r="O470" s="233"/>
      <x:c r="P470" s="233"/>
      <x:c r="Q470" s="233"/>
      <x:c r="R470" s="233"/>
      <x:c r="S470" s="233"/>
      <x:c r="T470" s="233"/>
      <x:c r="U470" s="233"/>
      <x:c r="V470" s="233"/>
      <x:c r="W470" s="235"/>
      <x:c r="X470" s="235"/>
      <x:c r="Y470" s="233"/>
      <x:c r="Z470" s="233"/>
      <x:c r="AA470" s="233"/>
      <x:c r="AB470" s="233"/>
      <x:c r="AC470" s="236"/>
      <x:c r="AD470" s="233"/>
      <x:c r="AE470" s="233"/>
      <x:c r="AF470" s="233"/>
      <x:c r="AG470" s="233"/>
      <x:c r="AH470" s="234"/>
      <x:c r="AI470" s="233"/>
      <x:c r="AJ470" s="233"/>
      <x:c r="AK470" s="233"/>
      <x:c r="AL470" s="236"/>
      <x:c r="AM470" s="233"/>
      <x:c r="AN470" s="233"/>
      <x:c r="AO470" s="234"/>
      <x:c r="AP470" s="234"/>
      <x:c r="AQ470" s="233"/>
      <x:c r="AR470" s="236"/>
      <x:c r="AS470" s="234"/>
      <x:c r="AT470" s="233"/>
      <x:c r="AU470" s="233"/>
      <x:c r="AV470" s="233"/>
      <x:c r="AW470" s="233"/>
      <x:c r="AX470" s="233"/>
      <x:c r="AY470" s="233"/>
      <x:c r="AZ470" s="236"/>
      <x:c r="BA470" s="233"/>
      <x:c r="BB470" s="233"/>
      <x:c r="BC470" s="233"/>
      <x:c r="BD470" s="233"/>
      <x:c r="BE470" s="237" t="str">
        <x:f>IF(AND(A470="",B470="",C470="",E470="",G470="",I470="",M470="",T470="",BB470="",BD470=""),"",IF(B470="skip","SKIP",IF(OR(B470="",A470="",E470="",G470="",I470="",M470="",T470="",COUNTIF($A$6:$A$505,A470)&gt;1,COUNTIF($M$6:$M$505,M470)&gt;1,AND(L470="mobile",N470&lt;&gt;"invalid",OR(LEN(M470)&lt;&gt;10,LEFT(M470,2)&lt;&gt;"09"))),"REVIEW","READY")))</x:f>
      </x:c>
      <x:c r="BF470" s="238" t="str">
        <x:f>IF(BE470="","",IF(BE470="READY","",IF(B470="skip","Skipped by import_action",TRIM(IF(B470="","missing import_action; ","")&amp;IF(A470="","missing migration_customer_key; ","")&amp;IF(AND(A470&lt;&gt;"",COUNTIF($A$6:$A$505,A470)&gt;1),"duplicate migration_customer_key; ","")&amp;IF(E470="","missing branch_id; ","")&amp;IF(G470="","missing first_name; ","")&amp;IF(I470="","missing last_name; ","")&amp;IF(M470="","missing primary_phone; ","")&amp;IF(AND(M470&lt;&gt;"",COUNTIF($M$6:$M$505,M470)&gt;1),"duplicate primary_phone; ","")&amp;IF(AND(L470="mobile",N470&lt;&gt;"invalid",OR(LEN(M470)&lt;&gt;10,LEFT(M470,2)&lt;&gt;"09")),"mobile must be 09XXXXXXXX or status invalid; ","")&amp;IF(T470="","missing neighborhood_id; ","")))))</x:f>
      </x:c>
    </x:row>
    <x:row r="471">
      <x:c r="A471" s="232"/>
      <x:c r="B471" s="233"/>
      <x:c r="C471" s="234"/>
      <x:c r="D471" s="233"/>
      <x:c r="E471" s="233"/>
      <x:c r="F471" s="233"/>
      <x:c r="G471" s="233"/>
      <x:c r="H471" s="233"/>
      <x:c r="I471" s="233"/>
      <x:c r="J471" s="233"/>
      <x:c r="K471" s="233" t="str">
        <x:f>TRIM(G471&amp;" "&amp;H471&amp;" "&amp;I471&amp;IF(J471&lt;&gt;""," ("&amp;J471&amp;")",""))</x:f>
      </x:c>
      <x:c r="L471" s="233"/>
      <x:c r="M471" s="234"/>
      <x:c r="N471" s="233"/>
      <x:c r="O471" s="233"/>
      <x:c r="P471" s="233"/>
      <x:c r="Q471" s="233"/>
      <x:c r="R471" s="233"/>
      <x:c r="S471" s="233"/>
      <x:c r="T471" s="233"/>
      <x:c r="U471" s="233"/>
      <x:c r="V471" s="233"/>
      <x:c r="W471" s="235"/>
      <x:c r="X471" s="235"/>
      <x:c r="Y471" s="233"/>
      <x:c r="Z471" s="233"/>
      <x:c r="AA471" s="233"/>
      <x:c r="AB471" s="233"/>
      <x:c r="AC471" s="236"/>
      <x:c r="AD471" s="233"/>
      <x:c r="AE471" s="233"/>
      <x:c r="AF471" s="233"/>
      <x:c r="AG471" s="233"/>
      <x:c r="AH471" s="234"/>
      <x:c r="AI471" s="233"/>
      <x:c r="AJ471" s="233"/>
      <x:c r="AK471" s="233"/>
      <x:c r="AL471" s="236"/>
      <x:c r="AM471" s="233"/>
      <x:c r="AN471" s="233"/>
      <x:c r="AO471" s="234"/>
      <x:c r="AP471" s="234"/>
      <x:c r="AQ471" s="233"/>
      <x:c r="AR471" s="236"/>
      <x:c r="AS471" s="234"/>
      <x:c r="AT471" s="233"/>
      <x:c r="AU471" s="233"/>
      <x:c r="AV471" s="233"/>
      <x:c r="AW471" s="233"/>
      <x:c r="AX471" s="233"/>
      <x:c r="AY471" s="233"/>
      <x:c r="AZ471" s="236"/>
      <x:c r="BA471" s="233"/>
      <x:c r="BB471" s="233"/>
      <x:c r="BC471" s="233"/>
      <x:c r="BD471" s="233"/>
      <x:c r="BE471" s="237" t="str">
        <x:f>IF(AND(A471="",B471="",C471="",E471="",G471="",I471="",M471="",T471="",BB471="",BD471=""),"",IF(B471="skip","SKIP",IF(OR(B471="",A471="",E471="",G471="",I471="",M471="",T471="",COUNTIF($A$6:$A$505,A471)&gt;1,COUNTIF($M$6:$M$505,M471)&gt;1,AND(L471="mobile",N471&lt;&gt;"invalid",OR(LEN(M471)&lt;&gt;10,LEFT(M471,2)&lt;&gt;"09"))),"REVIEW","READY")))</x:f>
      </x:c>
      <x:c r="BF471" s="238" t="str">
        <x:f>IF(BE471="","",IF(BE471="READY","",IF(B471="skip","Skipped by import_action",TRIM(IF(B471="","missing import_action; ","")&amp;IF(A471="","missing migration_customer_key; ","")&amp;IF(AND(A471&lt;&gt;"",COUNTIF($A$6:$A$505,A471)&gt;1),"duplicate migration_customer_key; ","")&amp;IF(E471="","missing branch_id; ","")&amp;IF(G471="","missing first_name; ","")&amp;IF(I471="","missing last_name; ","")&amp;IF(M471="","missing primary_phone; ","")&amp;IF(AND(M471&lt;&gt;"",COUNTIF($M$6:$M$505,M471)&gt;1),"duplicate primary_phone; ","")&amp;IF(AND(L471="mobile",N471&lt;&gt;"invalid",OR(LEN(M471)&lt;&gt;10,LEFT(M471,2)&lt;&gt;"09")),"mobile must be 09XXXXXXXX or status invalid; ","")&amp;IF(T471="","missing neighborhood_id; ","")))))</x:f>
      </x:c>
    </x:row>
    <x:row r="472">
      <x:c r="A472" s="232"/>
      <x:c r="B472" s="233"/>
      <x:c r="C472" s="234"/>
      <x:c r="D472" s="233"/>
      <x:c r="E472" s="233"/>
      <x:c r="F472" s="233"/>
      <x:c r="G472" s="233"/>
      <x:c r="H472" s="233"/>
      <x:c r="I472" s="233"/>
      <x:c r="J472" s="233"/>
      <x:c r="K472" s="233" t="str">
        <x:f>TRIM(G472&amp;" "&amp;H472&amp;" "&amp;I472&amp;IF(J472&lt;&gt;""," ("&amp;J472&amp;")",""))</x:f>
      </x:c>
      <x:c r="L472" s="233"/>
      <x:c r="M472" s="234"/>
      <x:c r="N472" s="233"/>
      <x:c r="O472" s="233"/>
      <x:c r="P472" s="233"/>
      <x:c r="Q472" s="233"/>
      <x:c r="R472" s="233"/>
      <x:c r="S472" s="233"/>
      <x:c r="T472" s="233"/>
      <x:c r="U472" s="233"/>
      <x:c r="V472" s="233"/>
      <x:c r="W472" s="235"/>
      <x:c r="X472" s="235"/>
      <x:c r="Y472" s="233"/>
      <x:c r="Z472" s="233"/>
      <x:c r="AA472" s="233"/>
      <x:c r="AB472" s="233"/>
      <x:c r="AC472" s="236"/>
      <x:c r="AD472" s="233"/>
      <x:c r="AE472" s="233"/>
      <x:c r="AF472" s="233"/>
      <x:c r="AG472" s="233"/>
      <x:c r="AH472" s="234"/>
      <x:c r="AI472" s="233"/>
      <x:c r="AJ472" s="233"/>
      <x:c r="AK472" s="233"/>
      <x:c r="AL472" s="236"/>
      <x:c r="AM472" s="233"/>
      <x:c r="AN472" s="233"/>
      <x:c r="AO472" s="234"/>
      <x:c r="AP472" s="234"/>
      <x:c r="AQ472" s="233"/>
      <x:c r="AR472" s="236"/>
      <x:c r="AS472" s="234"/>
      <x:c r="AT472" s="233"/>
      <x:c r="AU472" s="233"/>
      <x:c r="AV472" s="233"/>
      <x:c r="AW472" s="233"/>
      <x:c r="AX472" s="233"/>
      <x:c r="AY472" s="233"/>
      <x:c r="AZ472" s="236"/>
      <x:c r="BA472" s="233"/>
      <x:c r="BB472" s="233"/>
      <x:c r="BC472" s="233"/>
      <x:c r="BD472" s="233"/>
      <x:c r="BE472" s="237" t="str">
        <x:f>IF(AND(A472="",B472="",C472="",E472="",G472="",I472="",M472="",T472="",BB472="",BD472=""),"",IF(B472="skip","SKIP",IF(OR(B472="",A472="",E472="",G472="",I472="",M472="",T472="",COUNTIF($A$6:$A$505,A472)&gt;1,COUNTIF($M$6:$M$505,M472)&gt;1,AND(L472="mobile",N472&lt;&gt;"invalid",OR(LEN(M472)&lt;&gt;10,LEFT(M472,2)&lt;&gt;"09"))),"REVIEW","READY")))</x:f>
      </x:c>
      <x:c r="BF472" s="238" t="str">
        <x:f>IF(BE472="","",IF(BE472="READY","",IF(B472="skip","Skipped by import_action",TRIM(IF(B472="","missing import_action; ","")&amp;IF(A472="","missing migration_customer_key; ","")&amp;IF(AND(A472&lt;&gt;"",COUNTIF($A$6:$A$505,A472)&gt;1),"duplicate migration_customer_key; ","")&amp;IF(E472="","missing branch_id; ","")&amp;IF(G472="","missing first_name; ","")&amp;IF(I472="","missing last_name; ","")&amp;IF(M472="","missing primary_phone; ","")&amp;IF(AND(M472&lt;&gt;"",COUNTIF($M$6:$M$505,M472)&gt;1),"duplicate primary_phone; ","")&amp;IF(AND(L472="mobile",N472&lt;&gt;"invalid",OR(LEN(M472)&lt;&gt;10,LEFT(M472,2)&lt;&gt;"09")),"mobile must be 09XXXXXXXX or status invalid; ","")&amp;IF(T472="","missing neighborhood_id; ","")))))</x:f>
      </x:c>
    </x:row>
    <x:row r="473">
      <x:c r="A473" s="232"/>
      <x:c r="B473" s="233"/>
      <x:c r="C473" s="234"/>
      <x:c r="D473" s="233"/>
      <x:c r="E473" s="233"/>
      <x:c r="F473" s="233"/>
      <x:c r="G473" s="233"/>
      <x:c r="H473" s="233"/>
      <x:c r="I473" s="233"/>
      <x:c r="J473" s="233"/>
      <x:c r="K473" s="233" t="str">
        <x:f>TRIM(G473&amp;" "&amp;H473&amp;" "&amp;I473&amp;IF(J473&lt;&gt;""," ("&amp;J473&amp;")",""))</x:f>
      </x:c>
      <x:c r="L473" s="233"/>
      <x:c r="M473" s="234"/>
      <x:c r="N473" s="233"/>
      <x:c r="O473" s="233"/>
      <x:c r="P473" s="233"/>
      <x:c r="Q473" s="233"/>
      <x:c r="R473" s="233"/>
      <x:c r="S473" s="233"/>
      <x:c r="T473" s="233"/>
      <x:c r="U473" s="233"/>
      <x:c r="V473" s="233"/>
      <x:c r="W473" s="235"/>
      <x:c r="X473" s="235"/>
      <x:c r="Y473" s="233"/>
      <x:c r="Z473" s="233"/>
      <x:c r="AA473" s="233"/>
      <x:c r="AB473" s="233"/>
      <x:c r="AC473" s="236"/>
      <x:c r="AD473" s="233"/>
      <x:c r="AE473" s="233"/>
      <x:c r="AF473" s="233"/>
      <x:c r="AG473" s="233"/>
      <x:c r="AH473" s="234"/>
      <x:c r="AI473" s="233"/>
      <x:c r="AJ473" s="233"/>
      <x:c r="AK473" s="233"/>
      <x:c r="AL473" s="236"/>
      <x:c r="AM473" s="233"/>
      <x:c r="AN473" s="233"/>
      <x:c r="AO473" s="234"/>
      <x:c r="AP473" s="234"/>
      <x:c r="AQ473" s="233"/>
      <x:c r="AR473" s="236"/>
      <x:c r="AS473" s="234"/>
      <x:c r="AT473" s="233"/>
      <x:c r="AU473" s="233"/>
      <x:c r="AV473" s="233"/>
      <x:c r="AW473" s="233"/>
      <x:c r="AX473" s="233"/>
      <x:c r="AY473" s="233"/>
      <x:c r="AZ473" s="236"/>
      <x:c r="BA473" s="233"/>
      <x:c r="BB473" s="233"/>
      <x:c r="BC473" s="233"/>
      <x:c r="BD473" s="233"/>
      <x:c r="BE473" s="237" t="str">
        <x:f>IF(AND(A473="",B473="",C473="",E473="",G473="",I473="",M473="",T473="",BB473="",BD473=""),"",IF(B473="skip","SKIP",IF(OR(B473="",A473="",E473="",G473="",I473="",M473="",T473="",COUNTIF($A$6:$A$505,A473)&gt;1,COUNTIF($M$6:$M$505,M473)&gt;1,AND(L473="mobile",N473&lt;&gt;"invalid",OR(LEN(M473)&lt;&gt;10,LEFT(M473,2)&lt;&gt;"09"))),"REVIEW","READY")))</x:f>
      </x:c>
      <x:c r="BF473" s="238" t="str">
        <x:f>IF(BE473="","",IF(BE473="READY","",IF(B473="skip","Skipped by import_action",TRIM(IF(B473="","missing import_action; ","")&amp;IF(A473="","missing migration_customer_key; ","")&amp;IF(AND(A473&lt;&gt;"",COUNTIF($A$6:$A$505,A473)&gt;1),"duplicate migration_customer_key; ","")&amp;IF(E473="","missing branch_id; ","")&amp;IF(G473="","missing first_name; ","")&amp;IF(I473="","missing last_name; ","")&amp;IF(M473="","missing primary_phone; ","")&amp;IF(AND(M473&lt;&gt;"",COUNTIF($M$6:$M$505,M473)&gt;1),"duplicate primary_phone; ","")&amp;IF(AND(L473="mobile",N473&lt;&gt;"invalid",OR(LEN(M473)&lt;&gt;10,LEFT(M473,2)&lt;&gt;"09")),"mobile must be 09XXXXXXXX or status invalid; ","")&amp;IF(T473="","missing neighborhood_id; ","")))))</x:f>
      </x:c>
    </x:row>
    <x:row r="474">
      <x:c r="A474" s="232"/>
      <x:c r="B474" s="233"/>
      <x:c r="C474" s="234"/>
      <x:c r="D474" s="233"/>
      <x:c r="E474" s="233"/>
      <x:c r="F474" s="233"/>
      <x:c r="G474" s="233"/>
      <x:c r="H474" s="233"/>
      <x:c r="I474" s="233"/>
      <x:c r="J474" s="233"/>
      <x:c r="K474" s="233" t="str">
        <x:f>TRIM(G474&amp;" "&amp;H474&amp;" "&amp;I474&amp;IF(J474&lt;&gt;""," ("&amp;J474&amp;")",""))</x:f>
      </x:c>
      <x:c r="L474" s="233"/>
      <x:c r="M474" s="234"/>
      <x:c r="N474" s="233"/>
      <x:c r="O474" s="233"/>
      <x:c r="P474" s="233"/>
      <x:c r="Q474" s="233"/>
      <x:c r="R474" s="233"/>
      <x:c r="S474" s="233"/>
      <x:c r="T474" s="233"/>
      <x:c r="U474" s="233"/>
      <x:c r="V474" s="233"/>
      <x:c r="W474" s="235"/>
      <x:c r="X474" s="235"/>
      <x:c r="Y474" s="233"/>
      <x:c r="Z474" s="233"/>
      <x:c r="AA474" s="233"/>
      <x:c r="AB474" s="233"/>
      <x:c r="AC474" s="236"/>
      <x:c r="AD474" s="233"/>
      <x:c r="AE474" s="233"/>
      <x:c r="AF474" s="233"/>
      <x:c r="AG474" s="233"/>
      <x:c r="AH474" s="234"/>
      <x:c r="AI474" s="233"/>
      <x:c r="AJ474" s="233"/>
      <x:c r="AK474" s="233"/>
      <x:c r="AL474" s="236"/>
      <x:c r="AM474" s="233"/>
      <x:c r="AN474" s="233"/>
      <x:c r="AO474" s="234"/>
      <x:c r="AP474" s="234"/>
      <x:c r="AQ474" s="233"/>
      <x:c r="AR474" s="236"/>
      <x:c r="AS474" s="234"/>
      <x:c r="AT474" s="233"/>
      <x:c r="AU474" s="233"/>
      <x:c r="AV474" s="233"/>
      <x:c r="AW474" s="233"/>
      <x:c r="AX474" s="233"/>
      <x:c r="AY474" s="233"/>
      <x:c r="AZ474" s="236"/>
      <x:c r="BA474" s="233"/>
      <x:c r="BB474" s="233"/>
      <x:c r="BC474" s="233"/>
      <x:c r="BD474" s="233"/>
      <x:c r="BE474" s="237" t="str">
        <x:f>IF(AND(A474="",B474="",C474="",E474="",G474="",I474="",M474="",T474="",BB474="",BD474=""),"",IF(B474="skip","SKIP",IF(OR(B474="",A474="",E474="",G474="",I474="",M474="",T474="",COUNTIF($A$6:$A$505,A474)&gt;1,COUNTIF($M$6:$M$505,M474)&gt;1,AND(L474="mobile",N474&lt;&gt;"invalid",OR(LEN(M474)&lt;&gt;10,LEFT(M474,2)&lt;&gt;"09"))),"REVIEW","READY")))</x:f>
      </x:c>
      <x:c r="BF474" s="238" t="str">
        <x:f>IF(BE474="","",IF(BE474="READY","",IF(B474="skip","Skipped by import_action",TRIM(IF(B474="","missing import_action; ","")&amp;IF(A474="","missing migration_customer_key; ","")&amp;IF(AND(A474&lt;&gt;"",COUNTIF($A$6:$A$505,A474)&gt;1),"duplicate migration_customer_key; ","")&amp;IF(E474="","missing branch_id; ","")&amp;IF(G474="","missing first_name; ","")&amp;IF(I474="","missing last_name; ","")&amp;IF(M474="","missing primary_phone; ","")&amp;IF(AND(M474&lt;&gt;"",COUNTIF($M$6:$M$505,M474)&gt;1),"duplicate primary_phone; ","")&amp;IF(AND(L474="mobile",N474&lt;&gt;"invalid",OR(LEN(M474)&lt;&gt;10,LEFT(M474,2)&lt;&gt;"09")),"mobile must be 09XXXXXXXX or status invalid; ","")&amp;IF(T474="","missing neighborhood_id; ","")))))</x:f>
      </x:c>
    </x:row>
    <x:row r="475">
      <x:c r="A475" s="232"/>
      <x:c r="B475" s="233"/>
      <x:c r="C475" s="234"/>
      <x:c r="D475" s="233"/>
      <x:c r="E475" s="233"/>
      <x:c r="F475" s="233"/>
      <x:c r="G475" s="233"/>
      <x:c r="H475" s="233"/>
      <x:c r="I475" s="233"/>
      <x:c r="J475" s="233"/>
      <x:c r="K475" s="233" t="str">
        <x:f>TRIM(G475&amp;" "&amp;H475&amp;" "&amp;I475&amp;IF(J475&lt;&gt;""," ("&amp;J475&amp;")",""))</x:f>
      </x:c>
      <x:c r="L475" s="233"/>
      <x:c r="M475" s="234"/>
      <x:c r="N475" s="233"/>
      <x:c r="O475" s="233"/>
      <x:c r="P475" s="233"/>
      <x:c r="Q475" s="233"/>
      <x:c r="R475" s="233"/>
      <x:c r="S475" s="233"/>
      <x:c r="T475" s="233"/>
      <x:c r="U475" s="233"/>
      <x:c r="V475" s="233"/>
      <x:c r="W475" s="235"/>
      <x:c r="X475" s="235"/>
      <x:c r="Y475" s="233"/>
      <x:c r="Z475" s="233"/>
      <x:c r="AA475" s="233"/>
      <x:c r="AB475" s="233"/>
      <x:c r="AC475" s="236"/>
      <x:c r="AD475" s="233"/>
      <x:c r="AE475" s="233"/>
      <x:c r="AF475" s="233"/>
      <x:c r="AG475" s="233"/>
      <x:c r="AH475" s="234"/>
      <x:c r="AI475" s="233"/>
      <x:c r="AJ475" s="233"/>
      <x:c r="AK475" s="233"/>
      <x:c r="AL475" s="236"/>
      <x:c r="AM475" s="233"/>
      <x:c r="AN475" s="233"/>
      <x:c r="AO475" s="234"/>
      <x:c r="AP475" s="234"/>
      <x:c r="AQ475" s="233"/>
      <x:c r="AR475" s="236"/>
      <x:c r="AS475" s="234"/>
      <x:c r="AT475" s="233"/>
      <x:c r="AU475" s="233"/>
      <x:c r="AV475" s="233"/>
      <x:c r="AW475" s="233"/>
      <x:c r="AX475" s="233"/>
      <x:c r="AY475" s="233"/>
      <x:c r="AZ475" s="236"/>
      <x:c r="BA475" s="233"/>
      <x:c r="BB475" s="233"/>
      <x:c r="BC475" s="233"/>
      <x:c r="BD475" s="233"/>
      <x:c r="BE475" s="237" t="str">
        <x:f>IF(AND(A475="",B475="",C475="",E475="",G475="",I475="",M475="",T475="",BB475="",BD475=""),"",IF(B475="skip","SKIP",IF(OR(B475="",A475="",E475="",G475="",I475="",M475="",T475="",COUNTIF($A$6:$A$505,A475)&gt;1,COUNTIF($M$6:$M$505,M475)&gt;1,AND(L475="mobile",N475&lt;&gt;"invalid",OR(LEN(M475)&lt;&gt;10,LEFT(M475,2)&lt;&gt;"09"))),"REVIEW","READY")))</x:f>
      </x:c>
      <x:c r="BF475" s="238" t="str">
        <x:f>IF(BE475="","",IF(BE475="READY","",IF(B475="skip","Skipped by import_action",TRIM(IF(B475="","missing import_action; ","")&amp;IF(A475="","missing migration_customer_key; ","")&amp;IF(AND(A475&lt;&gt;"",COUNTIF($A$6:$A$505,A475)&gt;1),"duplicate migration_customer_key; ","")&amp;IF(E475="","missing branch_id; ","")&amp;IF(G475="","missing first_name; ","")&amp;IF(I475="","missing last_name; ","")&amp;IF(M475="","missing primary_phone; ","")&amp;IF(AND(M475&lt;&gt;"",COUNTIF($M$6:$M$505,M475)&gt;1),"duplicate primary_phone; ","")&amp;IF(AND(L475="mobile",N475&lt;&gt;"invalid",OR(LEN(M475)&lt;&gt;10,LEFT(M475,2)&lt;&gt;"09")),"mobile must be 09XXXXXXXX or status invalid; ","")&amp;IF(T475="","missing neighborhood_id; ","")))))</x:f>
      </x:c>
    </x:row>
    <x:row r="476">
      <x:c r="A476" s="232"/>
      <x:c r="B476" s="233"/>
      <x:c r="C476" s="234"/>
      <x:c r="D476" s="233"/>
      <x:c r="E476" s="233"/>
      <x:c r="F476" s="233"/>
      <x:c r="G476" s="233"/>
      <x:c r="H476" s="233"/>
      <x:c r="I476" s="233"/>
      <x:c r="J476" s="233"/>
      <x:c r="K476" s="233" t="str">
        <x:f>TRIM(G476&amp;" "&amp;H476&amp;" "&amp;I476&amp;IF(J476&lt;&gt;""," ("&amp;J476&amp;")",""))</x:f>
      </x:c>
      <x:c r="L476" s="233"/>
      <x:c r="M476" s="234"/>
      <x:c r="N476" s="233"/>
      <x:c r="O476" s="233"/>
      <x:c r="P476" s="233"/>
      <x:c r="Q476" s="233"/>
      <x:c r="R476" s="233"/>
      <x:c r="S476" s="233"/>
      <x:c r="T476" s="233"/>
      <x:c r="U476" s="233"/>
      <x:c r="V476" s="233"/>
      <x:c r="W476" s="235"/>
      <x:c r="X476" s="235"/>
      <x:c r="Y476" s="233"/>
      <x:c r="Z476" s="233"/>
      <x:c r="AA476" s="233"/>
      <x:c r="AB476" s="233"/>
      <x:c r="AC476" s="236"/>
      <x:c r="AD476" s="233"/>
      <x:c r="AE476" s="233"/>
      <x:c r="AF476" s="233"/>
      <x:c r="AG476" s="233"/>
      <x:c r="AH476" s="234"/>
      <x:c r="AI476" s="233"/>
      <x:c r="AJ476" s="233"/>
      <x:c r="AK476" s="233"/>
      <x:c r="AL476" s="236"/>
      <x:c r="AM476" s="233"/>
      <x:c r="AN476" s="233"/>
      <x:c r="AO476" s="234"/>
      <x:c r="AP476" s="234"/>
      <x:c r="AQ476" s="233"/>
      <x:c r="AR476" s="236"/>
      <x:c r="AS476" s="234"/>
      <x:c r="AT476" s="233"/>
      <x:c r="AU476" s="233"/>
      <x:c r="AV476" s="233"/>
      <x:c r="AW476" s="233"/>
      <x:c r="AX476" s="233"/>
      <x:c r="AY476" s="233"/>
      <x:c r="AZ476" s="236"/>
      <x:c r="BA476" s="233"/>
      <x:c r="BB476" s="233"/>
      <x:c r="BC476" s="233"/>
      <x:c r="BD476" s="233"/>
      <x:c r="BE476" s="237" t="str">
        <x:f>IF(AND(A476="",B476="",C476="",E476="",G476="",I476="",M476="",T476="",BB476="",BD476=""),"",IF(B476="skip","SKIP",IF(OR(B476="",A476="",E476="",G476="",I476="",M476="",T476="",COUNTIF($A$6:$A$505,A476)&gt;1,COUNTIF($M$6:$M$505,M476)&gt;1,AND(L476="mobile",N476&lt;&gt;"invalid",OR(LEN(M476)&lt;&gt;10,LEFT(M476,2)&lt;&gt;"09"))),"REVIEW","READY")))</x:f>
      </x:c>
      <x:c r="BF476" s="238" t="str">
        <x:f>IF(BE476="","",IF(BE476="READY","",IF(B476="skip","Skipped by import_action",TRIM(IF(B476="","missing import_action; ","")&amp;IF(A476="","missing migration_customer_key; ","")&amp;IF(AND(A476&lt;&gt;"",COUNTIF($A$6:$A$505,A476)&gt;1),"duplicate migration_customer_key; ","")&amp;IF(E476="","missing branch_id; ","")&amp;IF(G476="","missing first_name; ","")&amp;IF(I476="","missing last_name; ","")&amp;IF(M476="","missing primary_phone; ","")&amp;IF(AND(M476&lt;&gt;"",COUNTIF($M$6:$M$505,M476)&gt;1),"duplicate primary_phone; ","")&amp;IF(AND(L476="mobile",N476&lt;&gt;"invalid",OR(LEN(M476)&lt;&gt;10,LEFT(M476,2)&lt;&gt;"09")),"mobile must be 09XXXXXXXX or status invalid; ","")&amp;IF(T476="","missing neighborhood_id; ","")))))</x:f>
      </x:c>
    </x:row>
    <x:row r="477">
      <x:c r="A477" s="232"/>
      <x:c r="B477" s="233"/>
      <x:c r="C477" s="234"/>
      <x:c r="D477" s="233"/>
      <x:c r="E477" s="233"/>
      <x:c r="F477" s="233"/>
      <x:c r="G477" s="233"/>
      <x:c r="H477" s="233"/>
      <x:c r="I477" s="233"/>
      <x:c r="J477" s="233"/>
      <x:c r="K477" s="233" t="str">
        <x:f>TRIM(G477&amp;" "&amp;H477&amp;" "&amp;I477&amp;IF(J477&lt;&gt;""," ("&amp;J477&amp;")",""))</x:f>
      </x:c>
      <x:c r="L477" s="233"/>
      <x:c r="M477" s="234"/>
      <x:c r="N477" s="233"/>
      <x:c r="O477" s="233"/>
      <x:c r="P477" s="233"/>
      <x:c r="Q477" s="233"/>
      <x:c r="R477" s="233"/>
      <x:c r="S477" s="233"/>
      <x:c r="T477" s="233"/>
      <x:c r="U477" s="233"/>
      <x:c r="V477" s="233"/>
      <x:c r="W477" s="235"/>
      <x:c r="X477" s="235"/>
      <x:c r="Y477" s="233"/>
      <x:c r="Z477" s="233"/>
      <x:c r="AA477" s="233"/>
      <x:c r="AB477" s="233"/>
      <x:c r="AC477" s="236"/>
      <x:c r="AD477" s="233"/>
      <x:c r="AE477" s="233"/>
      <x:c r="AF477" s="233"/>
      <x:c r="AG477" s="233"/>
      <x:c r="AH477" s="234"/>
      <x:c r="AI477" s="233"/>
      <x:c r="AJ477" s="233"/>
      <x:c r="AK477" s="233"/>
      <x:c r="AL477" s="236"/>
      <x:c r="AM477" s="233"/>
      <x:c r="AN477" s="233"/>
      <x:c r="AO477" s="234"/>
      <x:c r="AP477" s="234"/>
      <x:c r="AQ477" s="233"/>
      <x:c r="AR477" s="236"/>
      <x:c r="AS477" s="234"/>
      <x:c r="AT477" s="233"/>
      <x:c r="AU477" s="233"/>
      <x:c r="AV477" s="233"/>
      <x:c r="AW477" s="233"/>
      <x:c r="AX477" s="233"/>
      <x:c r="AY477" s="233"/>
      <x:c r="AZ477" s="236"/>
      <x:c r="BA477" s="233"/>
      <x:c r="BB477" s="233"/>
      <x:c r="BC477" s="233"/>
      <x:c r="BD477" s="233"/>
      <x:c r="BE477" s="237" t="str">
        <x:f>IF(AND(A477="",B477="",C477="",E477="",G477="",I477="",M477="",T477="",BB477="",BD477=""),"",IF(B477="skip","SKIP",IF(OR(B477="",A477="",E477="",G477="",I477="",M477="",T477="",COUNTIF($A$6:$A$505,A477)&gt;1,COUNTIF($M$6:$M$505,M477)&gt;1,AND(L477="mobile",N477&lt;&gt;"invalid",OR(LEN(M477)&lt;&gt;10,LEFT(M477,2)&lt;&gt;"09"))),"REVIEW","READY")))</x:f>
      </x:c>
      <x:c r="BF477" s="238" t="str">
        <x:f>IF(BE477="","",IF(BE477="READY","",IF(B477="skip","Skipped by import_action",TRIM(IF(B477="","missing import_action; ","")&amp;IF(A477="","missing migration_customer_key; ","")&amp;IF(AND(A477&lt;&gt;"",COUNTIF($A$6:$A$505,A477)&gt;1),"duplicate migration_customer_key; ","")&amp;IF(E477="","missing branch_id; ","")&amp;IF(G477="","missing first_name; ","")&amp;IF(I477="","missing last_name; ","")&amp;IF(M477="","missing primary_phone; ","")&amp;IF(AND(M477&lt;&gt;"",COUNTIF($M$6:$M$505,M477)&gt;1),"duplicate primary_phone; ","")&amp;IF(AND(L477="mobile",N477&lt;&gt;"invalid",OR(LEN(M477)&lt;&gt;10,LEFT(M477,2)&lt;&gt;"09")),"mobile must be 09XXXXXXXX or status invalid; ","")&amp;IF(T477="","missing neighborhood_id; ","")))))</x:f>
      </x:c>
    </x:row>
    <x:row r="478">
      <x:c r="A478" s="232"/>
      <x:c r="B478" s="233"/>
      <x:c r="C478" s="234"/>
      <x:c r="D478" s="233"/>
      <x:c r="E478" s="233"/>
      <x:c r="F478" s="233"/>
      <x:c r="G478" s="233"/>
      <x:c r="H478" s="233"/>
      <x:c r="I478" s="233"/>
      <x:c r="J478" s="233"/>
      <x:c r="K478" s="233" t="str">
        <x:f>TRIM(G478&amp;" "&amp;H478&amp;" "&amp;I478&amp;IF(J478&lt;&gt;""," ("&amp;J478&amp;")",""))</x:f>
      </x:c>
      <x:c r="L478" s="233"/>
      <x:c r="M478" s="234"/>
      <x:c r="N478" s="233"/>
      <x:c r="O478" s="233"/>
      <x:c r="P478" s="233"/>
      <x:c r="Q478" s="233"/>
      <x:c r="R478" s="233"/>
      <x:c r="S478" s="233"/>
      <x:c r="T478" s="233"/>
      <x:c r="U478" s="233"/>
      <x:c r="V478" s="233"/>
      <x:c r="W478" s="235"/>
      <x:c r="X478" s="235"/>
      <x:c r="Y478" s="233"/>
      <x:c r="Z478" s="233"/>
      <x:c r="AA478" s="233"/>
      <x:c r="AB478" s="233"/>
      <x:c r="AC478" s="236"/>
      <x:c r="AD478" s="233"/>
      <x:c r="AE478" s="233"/>
      <x:c r="AF478" s="233"/>
      <x:c r="AG478" s="233"/>
      <x:c r="AH478" s="234"/>
      <x:c r="AI478" s="233"/>
      <x:c r="AJ478" s="233"/>
      <x:c r="AK478" s="233"/>
      <x:c r="AL478" s="236"/>
      <x:c r="AM478" s="233"/>
      <x:c r="AN478" s="233"/>
      <x:c r="AO478" s="234"/>
      <x:c r="AP478" s="234"/>
      <x:c r="AQ478" s="233"/>
      <x:c r="AR478" s="236"/>
      <x:c r="AS478" s="234"/>
      <x:c r="AT478" s="233"/>
      <x:c r="AU478" s="233"/>
      <x:c r="AV478" s="233"/>
      <x:c r="AW478" s="233"/>
      <x:c r="AX478" s="233"/>
      <x:c r="AY478" s="233"/>
      <x:c r="AZ478" s="236"/>
      <x:c r="BA478" s="233"/>
      <x:c r="BB478" s="233"/>
      <x:c r="BC478" s="233"/>
      <x:c r="BD478" s="233"/>
      <x:c r="BE478" s="237" t="str">
        <x:f>IF(AND(A478="",B478="",C478="",E478="",G478="",I478="",M478="",T478="",BB478="",BD478=""),"",IF(B478="skip","SKIP",IF(OR(B478="",A478="",E478="",G478="",I478="",M478="",T478="",COUNTIF($A$6:$A$505,A478)&gt;1,COUNTIF($M$6:$M$505,M478)&gt;1,AND(L478="mobile",N478&lt;&gt;"invalid",OR(LEN(M478)&lt;&gt;10,LEFT(M478,2)&lt;&gt;"09"))),"REVIEW","READY")))</x:f>
      </x:c>
      <x:c r="BF478" s="238" t="str">
        <x:f>IF(BE478="","",IF(BE478="READY","",IF(B478="skip","Skipped by import_action",TRIM(IF(B478="","missing import_action; ","")&amp;IF(A478="","missing migration_customer_key; ","")&amp;IF(AND(A478&lt;&gt;"",COUNTIF($A$6:$A$505,A478)&gt;1),"duplicate migration_customer_key; ","")&amp;IF(E478="","missing branch_id; ","")&amp;IF(G478="","missing first_name; ","")&amp;IF(I478="","missing last_name; ","")&amp;IF(M478="","missing primary_phone; ","")&amp;IF(AND(M478&lt;&gt;"",COUNTIF($M$6:$M$505,M478)&gt;1),"duplicate primary_phone; ","")&amp;IF(AND(L478="mobile",N478&lt;&gt;"invalid",OR(LEN(M478)&lt;&gt;10,LEFT(M478,2)&lt;&gt;"09")),"mobile must be 09XXXXXXXX or status invalid; ","")&amp;IF(T478="","missing neighborhood_id; ","")))))</x:f>
      </x:c>
    </x:row>
    <x:row r="479">
      <x:c r="A479" s="232"/>
      <x:c r="B479" s="233"/>
      <x:c r="C479" s="234"/>
      <x:c r="D479" s="233"/>
      <x:c r="E479" s="233"/>
      <x:c r="F479" s="233"/>
      <x:c r="G479" s="233"/>
      <x:c r="H479" s="233"/>
      <x:c r="I479" s="233"/>
      <x:c r="J479" s="233"/>
      <x:c r="K479" s="233" t="str">
        <x:f>TRIM(G479&amp;" "&amp;H479&amp;" "&amp;I479&amp;IF(J479&lt;&gt;""," ("&amp;J479&amp;")",""))</x:f>
      </x:c>
      <x:c r="L479" s="233"/>
      <x:c r="M479" s="234"/>
      <x:c r="N479" s="233"/>
      <x:c r="O479" s="233"/>
      <x:c r="P479" s="233"/>
      <x:c r="Q479" s="233"/>
      <x:c r="R479" s="233"/>
      <x:c r="S479" s="233"/>
      <x:c r="T479" s="233"/>
      <x:c r="U479" s="233"/>
      <x:c r="V479" s="233"/>
      <x:c r="W479" s="235"/>
      <x:c r="X479" s="235"/>
      <x:c r="Y479" s="233"/>
      <x:c r="Z479" s="233"/>
      <x:c r="AA479" s="233"/>
      <x:c r="AB479" s="233"/>
      <x:c r="AC479" s="236"/>
      <x:c r="AD479" s="233"/>
      <x:c r="AE479" s="233"/>
      <x:c r="AF479" s="233"/>
      <x:c r="AG479" s="233"/>
      <x:c r="AH479" s="234"/>
      <x:c r="AI479" s="233"/>
      <x:c r="AJ479" s="233"/>
      <x:c r="AK479" s="233"/>
      <x:c r="AL479" s="236"/>
      <x:c r="AM479" s="233"/>
      <x:c r="AN479" s="233"/>
      <x:c r="AO479" s="234"/>
      <x:c r="AP479" s="234"/>
      <x:c r="AQ479" s="233"/>
      <x:c r="AR479" s="236"/>
      <x:c r="AS479" s="234"/>
      <x:c r="AT479" s="233"/>
      <x:c r="AU479" s="233"/>
      <x:c r="AV479" s="233"/>
      <x:c r="AW479" s="233"/>
      <x:c r="AX479" s="233"/>
      <x:c r="AY479" s="233"/>
      <x:c r="AZ479" s="236"/>
      <x:c r="BA479" s="233"/>
      <x:c r="BB479" s="233"/>
      <x:c r="BC479" s="233"/>
      <x:c r="BD479" s="233"/>
      <x:c r="BE479" s="237" t="str">
        <x:f>IF(AND(A479="",B479="",C479="",E479="",G479="",I479="",M479="",T479="",BB479="",BD479=""),"",IF(B479="skip","SKIP",IF(OR(B479="",A479="",E479="",G479="",I479="",M479="",T479="",COUNTIF($A$6:$A$505,A479)&gt;1,COUNTIF($M$6:$M$505,M479)&gt;1,AND(L479="mobile",N479&lt;&gt;"invalid",OR(LEN(M479)&lt;&gt;10,LEFT(M479,2)&lt;&gt;"09"))),"REVIEW","READY")))</x:f>
      </x:c>
      <x:c r="BF479" s="238" t="str">
        <x:f>IF(BE479="","",IF(BE479="READY","",IF(B479="skip","Skipped by import_action",TRIM(IF(B479="","missing import_action; ","")&amp;IF(A479="","missing migration_customer_key; ","")&amp;IF(AND(A479&lt;&gt;"",COUNTIF($A$6:$A$505,A479)&gt;1),"duplicate migration_customer_key; ","")&amp;IF(E479="","missing branch_id; ","")&amp;IF(G479="","missing first_name; ","")&amp;IF(I479="","missing last_name; ","")&amp;IF(M479="","missing primary_phone; ","")&amp;IF(AND(M479&lt;&gt;"",COUNTIF($M$6:$M$505,M479)&gt;1),"duplicate primary_phone; ","")&amp;IF(AND(L479="mobile",N479&lt;&gt;"invalid",OR(LEN(M479)&lt;&gt;10,LEFT(M479,2)&lt;&gt;"09")),"mobile must be 09XXXXXXXX or status invalid; ","")&amp;IF(T479="","missing neighborhood_id; ","")))))</x:f>
      </x:c>
    </x:row>
    <x:row r="480">
      <x:c r="A480" s="232"/>
      <x:c r="B480" s="233"/>
      <x:c r="C480" s="234"/>
      <x:c r="D480" s="233"/>
      <x:c r="E480" s="233"/>
      <x:c r="F480" s="233"/>
      <x:c r="G480" s="233"/>
      <x:c r="H480" s="233"/>
      <x:c r="I480" s="233"/>
      <x:c r="J480" s="233"/>
      <x:c r="K480" s="233" t="str">
        <x:f>TRIM(G480&amp;" "&amp;H480&amp;" "&amp;I480&amp;IF(J480&lt;&gt;""," ("&amp;J480&amp;")",""))</x:f>
      </x:c>
      <x:c r="L480" s="233"/>
      <x:c r="M480" s="234"/>
      <x:c r="N480" s="233"/>
      <x:c r="O480" s="233"/>
      <x:c r="P480" s="233"/>
      <x:c r="Q480" s="233"/>
      <x:c r="R480" s="233"/>
      <x:c r="S480" s="233"/>
      <x:c r="T480" s="233"/>
      <x:c r="U480" s="233"/>
      <x:c r="V480" s="233"/>
      <x:c r="W480" s="235"/>
      <x:c r="X480" s="235"/>
      <x:c r="Y480" s="233"/>
      <x:c r="Z480" s="233"/>
      <x:c r="AA480" s="233"/>
      <x:c r="AB480" s="233"/>
      <x:c r="AC480" s="236"/>
      <x:c r="AD480" s="233"/>
      <x:c r="AE480" s="233"/>
      <x:c r="AF480" s="233"/>
      <x:c r="AG480" s="233"/>
      <x:c r="AH480" s="234"/>
      <x:c r="AI480" s="233"/>
      <x:c r="AJ480" s="233"/>
      <x:c r="AK480" s="233"/>
      <x:c r="AL480" s="236"/>
      <x:c r="AM480" s="233"/>
      <x:c r="AN480" s="233"/>
      <x:c r="AO480" s="234"/>
      <x:c r="AP480" s="234"/>
      <x:c r="AQ480" s="233"/>
      <x:c r="AR480" s="236"/>
      <x:c r="AS480" s="234"/>
      <x:c r="AT480" s="233"/>
      <x:c r="AU480" s="233"/>
      <x:c r="AV480" s="233"/>
      <x:c r="AW480" s="233"/>
      <x:c r="AX480" s="233"/>
      <x:c r="AY480" s="233"/>
      <x:c r="AZ480" s="236"/>
      <x:c r="BA480" s="233"/>
      <x:c r="BB480" s="233"/>
      <x:c r="BC480" s="233"/>
      <x:c r="BD480" s="233"/>
      <x:c r="BE480" s="237" t="str">
        <x:f>IF(AND(A480="",B480="",C480="",E480="",G480="",I480="",M480="",T480="",BB480="",BD480=""),"",IF(B480="skip","SKIP",IF(OR(B480="",A480="",E480="",G480="",I480="",M480="",T480="",COUNTIF($A$6:$A$505,A480)&gt;1,COUNTIF($M$6:$M$505,M480)&gt;1,AND(L480="mobile",N480&lt;&gt;"invalid",OR(LEN(M480)&lt;&gt;10,LEFT(M480,2)&lt;&gt;"09"))),"REVIEW","READY")))</x:f>
      </x:c>
      <x:c r="BF480" s="238" t="str">
        <x:f>IF(BE480="","",IF(BE480="READY","",IF(B480="skip","Skipped by import_action",TRIM(IF(B480="","missing import_action; ","")&amp;IF(A480="","missing migration_customer_key; ","")&amp;IF(AND(A480&lt;&gt;"",COUNTIF($A$6:$A$505,A480)&gt;1),"duplicate migration_customer_key; ","")&amp;IF(E480="","missing branch_id; ","")&amp;IF(G480="","missing first_name; ","")&amp;IF(I480="","missing last_name; ","")&amp;IF(M480="","missing primary_phone; ","")&amp;IF(AND(M480&lt;&gt;"",COUNTIF($M$6:$M$505,M480)&gt;1),"duplicate primary_phone; ","")&amp;IF(AND(L480="mobile",N480&lt;&gt;"invalid",OR(LEN(M480)&lt;&gt;10,LEFT(M480,2)&lt;&gt;"09")),"mobile must be 09XXXXXXXX or status invalid; ","")&amp;IF(T480="","missing neighborhood_id; ","")))))</x:f>
      </x:c>
    </x:row>
    <x:row r="481">
      <x:c r="A481" s="232"/>
      <x:c r="B481" s="233"/>
      <x:c r="C481" s="234"/>
      <x:c r="D481" s="233"/>
      <x:c r="E481" s="233"/>
      <x:c r="F481" s="233"/>
      <x:c r="G481" s="233"/>
      <x:c r="H481" s="233"/>
      <x:c r="I481" s="233"/>
      <x:c r="J481" s="233"/>
      <x:c r="K481" s="233" t="str">
        <x:f>TRIM(G481&amp;" "&amp;H481&amp;" "&amp;I481&amp;IF(J481&lt;&gt;""," ("&amp;J481&amp;")",""))</x:f>
      </x:c>
      <x:c r="L481" s="233"/>
      <x:c r="M481" s="234"/>
      <x:c r="N481" s="233"/>
      <x:c r="O481" s="233"/>
      <x:c r="P481" s="233"/>
      <x:c r="Q481" s="233"/>
      <x:c r="R481" s="233"/>
      <x:c r="S481" s="233"/>
      <x:c r="T481" s="233"/>
      <x:c r="U481" s="233"/>
      <x:c r="V481" s="233"/>
      <x:c r="W481" s="235"/>
      <x:c r="X481" s="235"/>
      <x:c r="Y481" s="233"/>
      <x:c r="Z481" s="233"/>
      <x:c r="AA481" s="233"/>
      <x:c r="AB481" s="233"/>
      <x:c r="AC481" s="236"/>
      <x:c r="AD481" s="233"/>
      <x:c r="AE481" s="233"/>
      <x:c r="AF481" s="233"/>
      <x:c r="AG481" s="233"/>
      <x:c r="AH481" s="234"/>
      <x:c r="AI481" s="233"/>
      <x:c r="AJ481" s="233"/>
      <x:c r="AK481" s="233"/>
      <x:c r="AL481" s="236"/>
      <x:c r="AM481" s="233"/>
      <x:c r="AN481" s="233"/>
      <x:c r="AO481" s="234"/>
      <x:c r="AP481" s="234"/>
      <x:c r="AQ481" s="233"/>
      <x:c r="AR481" s="236"/>
      <x:c r="AS481" s="234"/>
      <x:c r="AT481" s="233"/>
      <x:c r="AU481" s="233"/>
      <x:c r="AV481" s="233"/>
      <x:c r="AW481" s="233"/>
      <x:c r="AX481" s="233"/>
      <x:c r="AY481" s="233"/>
      <x:c r="AZ481" s="236"/>
      <x:c r="BA481" s="233"/>
      <x:c r="BB481" s="233"/>
      <x:c r="BC481" s="233"/>
      <x:c r="BD481" s="233"/>
      <x:c r="BE481" s="237" t="str">
        <x:f>IF(AND(A481="",B481="",C481="",E481="",G481="",I481="",M481="",T481="",BB481="",BD481=""),"",IF(B481="skip","SKIP",IF(OR(B481="",A481="",E481="",G481="",I481="",M481="",T481="",COUNTIF($A$6:$A$505,A481)&gt;1,COUNTIF($M$6:$M$505,M481)&gt;1,AND(L481="mobile",N481&lt;&gt;"invalid",OR(LEN(M481)&lt;&gt;10,LEFT(M481,2)&lt;&gt;"09"))),"REVIEW","READY")))</x:f>
      </x:c>
      <x:c r="BF481" s="238" t="str">
        <x:f>IF(BE481="","",IF(BE481="READY","",IF(B481="skip","Skipped by import_action",TRIM(IF(B481="","missing import_action; ","")&amp;IF(A481="","missing migration_customer_key; ","")&amp;IF(AND(A481&lt;&gt;"",COUNTIF($A$6:$A$505,A481)&gt;1),"duplicate migration_customer_key; ","")&amp;IF(E481="","missing branch_id; ","")&amp;IF(G481="","missing first_name; ","")&amp;IF(I481="","missing last_name; ","")&amp;IF(M481="","missing primary_phone; ","")&amp;IF(AND(M481&lt;&gt;"",COUNTIF($M$6:$M$505,M481)&gt;1),"duplicate primary_phone; ","")&amp;IF(AND(L481="mobile",N481&lt;&gt;"invalid",OR(LEN(M481)&lt;&gt;10,LEFT(M481,2)&lt;&gt;"09")),"mobile must be 09XXXXXXXX or status invalid; ","")&amp;IF(T481="","missing neighborhood_id; ","")))))</x:f>
      </x:c>
    </x:row>
    <x:row r="482">
      <x:c r="A482" s="232"/>
      <x:c r="B482" s="233"/>
      <x:c r="C482" s="234"/>
      <x:c r="D482" s="233"/>
      <x:c r="E482" s="233"/>
      <x:c r="F482" s="233"/>
      <x:c r="G482" s="233"/>
      <x:c r="H482" s="233"/>
      <x:c r="I482" s="233"/>
      <x:c r="J482" s="233"/>
      <x:c r="K482" s="233" t="str">
        <x:f>TRIM(G482&amp;" "&amp;H482&amp;" "&amp;I482&amp;IF(J482&lt;&gt;""," ("&amp;J482&amp;")",""))</x:f>
      </x:c>
      <x:c r="L482" s="233"/>
      <x:c r="M482" s="234"/>
      <x:c r="N482" s="233"/>
      <x:c r="O482" s="233"/>
      <x:c r="P482" s="233"/>
      <x:c r="Q482" s="233"/>
      <x:c r="R482" s="233"/>
      <x:c r="S482" s="233"/>
      <x:c r="T482" s="233"/>
      <x:c r="U482" s="233"/>
      <x:c r="V482" s="233"/>
      <x:c r="W482" s="235"/>
      <x:c r="X482" s="235"/>
      <x:c r="Y482" s="233"/>
      <x:c r="Z482" s="233"/>
      <x:c r="AA482" s="233"/>
      <x:c r="AB482" s="233"/>
      <x:c r="AC482" s="236"/>
      <x:c r="AD482" s="233"/>
      <x:c r="AE482" s="233"/>
      <x:c r="AF482" s="233"/>
      <x:c r="AG482" s="233"/>
      <x:c r="AH482" s="234"/>
      <x:c r="AI482" s="233"/>
      <x:c r="AJ482" s="233"/>
      <x:c r="AK482" s="233"/>
      <x:c r="AL482" s="236"/>
      <x:c r="AM482" s="233"/>
      <x:c r="AN482" s="233"/>
      <x:c r="AO482" s="234"/>
      <x:c r="AP482" s="234"/>
      <x:c r="AQ482" s="233"/>
      <x:c r="AR482" s="236"/>
      <x:c r="AS482" s="234"/>
      <x:c r="AT482" s="233"/>
      <x:c r="AU482" s="233"/>
      <x:c r="AV482" s="233"/>
      <x:c r="AW482" s="233"/>
      <x:c r="AX482" s="233"/>
      <x:c r="AY482" s="233"/>
      <x:c r="AZ482" s="236"/>
      <x:c r="BA482" s="233"/>
      <x:c r="BB482" s="233"/>
      <x:c r="BC482" s="233"/>
      <x:c r="BD482" s="233"/>
      <x:c r="BE482" s="237" t="str">
        <x:f>IF(AND(A482="",B482="",C482="",E482="",G482="",I482="",M482="",T482="",BB482="",BD482=""),"",IF(B482="skip","SKIP",IF(OR(B482="",A482="",E482="",G482="",I482="",M482="",T482="",COUNTIF($A$6:$A$505,A482)&gt;1,COUNTIF($M$6:$M$505,M482)&gt;1,AND(L482="mobile",N482&lt;&gt;"invalid",OR(LEN(M482)&lt;&gt;10,LEFT(M482,2)&lt;&gt;"09"))),"REVIEW","READY")))</x:f>
      </x:c>
      <x:c r="BF482" s="238" t="str">
        <x:f>IF(BE482="","",IF(BE482="READY","",IF(B482="skip","Skipped by import_action",TRIM(IF(B482="","missing import_action; ","")&amp;IF(A482="","missing migration_customer_key; ","")&amp;IF(AND(A482&lt;&gt;"",COUNTIF($A$6:$A$505,A482)&gt;1),"duplicate migration_customer_key; ","")&amp;IF(E482="","missing branch_id; ","")&amp;IF(G482="","missing first_name; ","")&amp;IF(I482="","missing last_name; ","")&amp;IF(M482="","missing primary_phone; ","")&amp;IF(AND(M482&lt;&gt;"",COUNTIF($M$6:$M$505,M482)&gt;1),"duplicate primary_phone; ","")&amp;IF(AND(L482="mobile",N482&lt;&gt;"invalid",OR(LEN(M482)&lt;&gt;10,LEFT(M482,2)&lt;&gt;"09")),"mobile must be 09XXXXXXXX or status invalid; ","")&amp;IF(T482="","missing neighborhood_id; ","")))))</x:f>
      </x:c>
    </x:row>
    <x:row r="483">
      <x:c r="A483" s="232"/>
      <x:c r="B483" s="233"/>
      <x:c r="C483" s="234"/>
      <x:c r="D483" s="233"/>
      <x:c r="E483" s="233"/>
      <x:c r="F483" s="233"/>
      <x:c r="G483" s="233"/>
      <x:c r="H483" s="233"/>
      <x:c r="I483" s="233"/>
      <x:c r="J483" s="233"/>
      <x:c r="K483" s="233" t="str">
        <x:f>TRIM(G483&amp;" "&amp;H483&amp;" "&amp;I483&amp;IF(J483&lt;&gt;""," ("&amp;J483&amp;")",""))</x:f>
      </x:c>
      <x:c r="L483" s="233"/>
      <x:c r="M483" s="234"/>
      <x:c r="N483" s="233"/>
      <x:c r="O483" s="233"/>
      <x:c r="P483" s="233"/>
      <x:c r="Q483" s="233"/>
      <x:c r="R483" s="233"/>
      <x:c r="S483" s="233"/>
      <x:c r="T483" s="233"/>
      <x:c r="U483" s="233"/>
      <x:c r="V483" s="233"/>
      <x:c r="W483" s="235"/>
      <x:c r="X483" s="235"/>
      <x:c r="Y483" s="233"/>
      <x:c r="Z483" s="233"/>
      <x:c r="AA483" s="233"/>
      <x:c r="AB483" s="233"/>
      <x:c r="AC483" s="236"/>
      <x:c r="AD483" s="233"/>
      <x:c r="AE483" s="233"/>
      <x:c r="AF483" s="233"/>
      <x:c r="AG483" s="233"/>
      <x:c r="AH483" s="234"/>
      <x:c r="AI483" s="233"/>
      <x:c r="AJ483" s="233"/>
      <x:c r="AK483" s="233"/>
      <x:c r="AL483" s="236"/>
      <x:c r="AM483" s="233"/>
      <x:c r="AN483" s="233"/>
      <x:c r="AO483" s="234"/>
      <x:c r="AP483" s="234"/>
      <x:c r="AQ483" s="233"/>
      <x:c r="AR483" s="236"/>
      <x:c r="AS483" s="234"/>
      <x:c r="AT483" s="233"/>
      <x:c r="AU483" s="233"/>
      <x:c r="AV483" s="233"/>
      <x:c r="AW483" s="233"/>
      <x:c r="AX483" s="233"/>
      <x:c r="AY483" s="233"/>
      <x:c r="AZ483" s="236"/>
      <x:c r="BA483" s="233"/>
      <x:c r="BB483" s="233"/>
      <x:c r="BC483" s="233"/>
      <x:c r="BD483" s="233"/>
      <x:c r="BE483" s="237" t="str">
        <x:f>IF(AND(A483="",B483="",C483="",E483="",G483="",I483="",M483="",T483="",BB483="",BD483=""),"",IF(B483="skip","SKIP",IF(OR(B483="",A483="",E483="",G483="",I483="",M483="",T483="",COUNTIF($A$6:$A$505,A483)&gt;1,COUNTIF($M$6:$M$505,M483)&gt;1,AND(L483="mobile",N483&lt;&gt;"invalid",OR(LEN(M483)&lt;&gt;10,LEFT(M483,2)&lt;&gt;"09"))),"REVIEW","READY")))</x:f>
      </x:c>
      <x:c r="BF483" s="238" t="str">
        <x:f>IF(BE483="","",IF(BE483="READY","",IF(B483="skip","Skipped by import_action",TRIM(IF(B483="","missing import_action; ","")&amp;IF(A483="","missing migration_customer_key; ","")&amp;IF(AND(A483&lt;&gt;"",COUNTIF($A$6:$A$505,A483)&gt;1),"duplicate migration_customer_key; ","")&amp;IF(E483="","missing branch_id; ","")&amp;IF(G483="","missing first_name; ","")&amp;IF(I483="","missing last_name; ","")&amp;IF(M483="","missing primary_phone; ","")&amp;IF(AND(M483&lt;&gt;"",COUNTIF($M$6:$M$505,M483)&gt;1),"duplicate primary_phone; ","")&amp;IF(AND(L483="mobile",N483&lt;&gt;"invalid",OR(LEN(M483)&lt;&gt;10,LEFT(M483,2)&lt;&gt;"09")),"mobile must be 09XXXXXXXX or status invalid; ","")&amp;IF(T483="","missing neighborhood_id; ","")))))</x:f>
      </x:c>
    </x:row>
    <x:row r="484">
      <x:c r="A484" s="232"/>
      <x:c r="B484" s="233"/>
      <x:c r="C484" s="234"/>
      <x:c r="D484" s="233"/>
      <x:c r="E484" s="233"/>
      <x:c r="F484" s="233"/>
      <x:c r="G484" s="233"/>
      <x:c r="H484" s="233"/>
      <x:c r="I484" s="233"/>
      <x:c r="J484" s="233"/>
      <x:c r="K484" s="233" t="str">
        <x:f>TRIM(G484&amp;" "&amp;H484&amp;" "&amp;I484&amp;IF(J484&lt;&gt;""," ("&amp;J484&amp;")",""))</x:f>
      </x:c>
      <x:c r="L484" s="233"/>
      <x:c r="M484" s="234"/>
      <x:c r="N484" s="233"/>
      <x:c r="O484" s="233"/>
      <x:c r="P484" s="233"/>
      <x:c r="Q484" s="233"/>
      <x:c r="R484" s="233"/>
      <x:c r="S484" s="233"/>
      <x:c r="T484" s="233"/>
      <x:c r="U484" s="233"/>
      <x:c r="V484" s="233"/>
      <x:c r="W484" s="235"/>
      <x:c r="X484" s="235"/>
      <x:c r="Y484" s="233"/>
      <x:c r="Z484" s="233"/>
      <x:c r="AA484" s="233"/>
      <x:c r="AB484" s="233"/>
      <x:c r="AC484" s="236"/>
      <x:c r="AD484" s="233"/>
      <x:c r="AE484" s="233"/>
      <x:c r="AF484" s="233"/>
      <x:c r="AG484" s="233"/>
      <x:c r="AH484" s="234"/>
      <x:c r="AI484" s="233"/>
      <x:c r="AJ484" s="233"/>
      <x:c r="AK484" s="233"/>
      <x:c r="AL484" s="236"/>
      <x:c r="AM484" s="233"/>
      <x:c r="AN484" s="233"/>
      <x:c r="AO484" s="234"/>
      <x:c r="AP484" s="234"/>
      <x:c r="AQ484" s="233"/>
      <x:c r="AR484" s="236"/>
      <x:c r="AS484" s="234"/>
      <x:c r="AT484" s="233"/>
      <x:c r="AU484" s="233"/>
      <x:c r="AV484" s="233"/>
      <x:c r="AW484" s="233"/>
      <x:c r="AX484" s="233"/>
      <x:c r="AY484" s="233"/>
      <x:c r="AZ484" s="236"/>
      <x:c r="BA484" s="233"/>
      <x:c r="BB484" s="233"/>
      <x:c r="BC484" s="233"/>
      <x:c r="BD484" s="233"/>
      <x:c r="BE484" s="237" t="str">
        <x:f>IF(AND(A484="",B484="",C484="",E484="",G484="",I484="",M484="",T484="",BB484="",BD484=""),"",IF(B484="skip","SKIP",IF(OR(B484="",A484="",E484="",G484="",I484="",M484="",T484="",COUNTIF($A$6:$A$505,A484)&gt;1,COUNTIF($M$6:$M$505,M484)&gt;1,AND(L484="mobile",N484&lt;&gt;"invalid",OR(LEN(M484)&lt;&gt;10,LEFT(M484,2)&lt;&gt;"09"))),"REVIEW","READY")))</x:f>
      </x:c>
      <x:c r="BF484" s="238" t="str">
        <x:f>IF(BE484="","",IF(BE484="READY","",IF(B484="skip","Skipped by import_action",TRIM(IF(B484="","missing import_action; ","")&amp;IF(A484="","missing migration_customer_key; ","")&amp;IF(AND(A484&lt;&gt;"",COUNTIF($A$6:$A$505,A484)&gt;1),"duplicate migration_customer_key; ","")&amp;IF(E484="","missing branch_id; ","")&amp;IF(G484="","missing first_name; ","")&amp;IF(I484="","missing last_name; ","")&amp;IF(M484="","missing primary_phone; ","")&amp;IF(AND(M484&lt;&gt;"",COUNTIF($M$6:$M$505,M484)&gt;1),"duplicate primary_phone; ","")&amp;IF(AND(L484="mobile",N484&lt;&gt;"invalid",OR(LEN(M484)&lt;&gt;10,LEFT(M484,2)&lt;&gt;"09")),"mobile must be 09XXXXXXXX or status invalid; ","")&amp;IF(T484="","missing neighborhood_id; ","")))))</x:f>
      </x:c>
    </x:row>
    <x:row r="485">
      <x:c r="A485" s="232"/>
      <x:c r="B485" s="233"/>
      <x:c r="C485" s="234"/>
      <x:c r="D485" s="233"/>
      <x:c r="E485" s="233"/>
      <x:c r="F485" s="233"/>
      <x:c r="G485" s="233"/>
      <x:c r="H485" s="233"/>
      <x:c r="I485" s="233"/>
      <x:c r="J485" s="233"/>
      <x:c r="K485" s="233" t="str">
        <x:f>TRIM(G485&amp;" "&amp;H485&amp;" "&amp;I485&amp;IF(J485&lt;&gt;""," ("&amp;J485&amp;")",""))</x:f>
      </x:c>
      <x:c r="L485" s="233"/>
      <x:c r="M485" s="234"/>
      <x:c r="N485" s="233"/>
      <x:c r="O485" s="233"/>
      <x:c r="P485" s="233"/>
      <x:c r="Q485" s="233"/>
      <x:c r="R485" s="233"/>
      <x:c r="S485" s="233"/>
      <x:c r="T485" s="233"/>
      <x:c r="U485" s="233"/>
      <x:c r="V485" s="233"/>
      <x:c r="W485" s="235"/>
      <x:c r="X485" s="235"/>
      <x:c r="Y485" s="233"/>
      <x:c r="Z485" s="233"/>
      <x:c r="AA485" s="233"/>
      <x:c r="AB485" s="233"/>
      <x:c r="AC485" s="236"/>
      <x:c r="AD485" s="233"/>
      <x:c r="AE485" s="233"/>
      <x:c r="AF485" s="233"/>
      <x:c r="AG485" s="233"/>
      <x:c r="AH485" s="234"/>
      <x:c r="AI485" s="233"/>
      <x:c r="AJ485" s="233"/>
      <x:c r="AK485" s="233"/>
      <x:c r="AL485" s="236"/>
      <x:c r="AM485" s="233"/>
      <x:c r="AN485" s="233"/>
      <x:c r="AO485" s="234"/>
      <x:c r="AP485" s="234"/>
      <x:c r="AQ485" s="233"/>
      <x:c r="AR485" s="236"/>
      <x:c r="AS485" s="234"/>
      <x:c r="AT485" s="233"/>
      <x:c r="AU485" s="233"/>
      <x:c r="AV485" s="233"/>
      <x:c r="AW485" s="233"/>
      <x:c r="AX485" s="233"/>
      <x:c r="AY485" s="233"/>
      <x:c r="AZ485" s="236"/>
      <x:c r="BA485" s="233"/>
      <x:c r="BB485" s="233"/>
      <x:c r="BC485" s="233"/>
      <x:c r="BD485" s="233"/>
      <x:c r="BE485" s="237" t="str">
        <x:f>IF(AND(A485="",B485="",C485="",E485="",G485="",I485="",M485="",T485="",BB485="",BD485=""),"",IF(B485="skip","SKIP",IF(OR(B485="",A485="",E485="",G485="",I485="",M485="",T485="",COUNTIF($A$6:$A$505,A485)&gt;1,COUNTIF($M$6:$M$505,M485)&gt;1,AND(L485="mobile",N485&lt;&gt;"invalid",OR(LEN(M485)&lt;&gt;10,LEFT(M485,2)&lt;&gt;"09"))),"REVIEW","READY")))</x:f>
      </x:c>
      <x:c r="BF485" s="238" t="str">
        <x:f>IF(BE485="","",IF(BE485="READY","",IF(B485="skip","Skipped by import_action",TRIM(IF(B485="","missing import_action; ","")&amp;IF(A485="","missing migration_customer_key; ","")&amp;IF(AND(A485&lt;&gt;"",COUNTIF($A$6:$A$505,A485)&gt;1),"duplicate migration_customer_key; ","")&amp;IF(E485="","missing branch_id; ","")&amp;IF(G485="","missing first_name; ","")&amp;IF(I485="","missing last_name; ","")&amp;IF(M485="","missing primary_phone; ","")&amp;IF(AND(M485&lt;&gt;"",COUNTIF($M$6:$M$505,M485)&gt;1),"duplicate primary_phone; ","")&amp;IF(AND(L485="mobile",N485&lt;&gt;"invalid",OR(LEN(M485)&lt;&gt;10,LEFT(M485,2)&lt;&gt;"09")),"mobile must be 09XXXXXXXX or status invalid; ","")&amp;IF(T485="","missing neighborhood_id; ","")))))</x:f>
      </x:c>
    </x:row>
    <x:row r="486">
      <x:c r="A486" s="232"/>
      <x:c r="B486" s="233"/>
      <x:c r="C486" s="234"/>
      <x:c r="D486" s="233"/>
      <x:c r="E486" s="233"/>
      <x:c r="F486" s="233"/>
      <x:c r="G486" s="233"/>
      <x:c r="H486" s="233"/>
      <x:c r="I486" s="233"/>
      <x:c r="J486" s="233"/>
      <x:c r="K486" s="233" t="str">
        <x:f>TRIM(G486&amp;" "&amp;H486&amp;" "&amp;I486&amp;IF(J486&lt;&gt;""," ("&amp;J486&amp;")",""))</x:f>
      </x:c>
      <x:c r="L486" s="233"/>
      <x:c r="M486" s="234"/>
      <x:c r="N486" s="233"/>
      <x:c r="O486" s="233"/>
      <x:c r="P486" s="233"/>
      <x:c r="Q486" s="233"/>
      <x:c r="R486" s="233"/>
      <x:c r="S486" s="233"/>
      <x:c r="T486" s="233"/>
      <x:c r="U486" s="233"/>
      <x:c r="V486" s="233"/>
      <x:c r="W486" s="235"/>
      <x:c r="X486" s="235"/>
      <x:c r="Y486" s="233"/>
      <x:c r="Z486" s="233"/>
      <x:c r="AA486" s="233"/>
      <x:c r="AB486" s="233"/>
      <x:c r="AC486" s="236"/>
      <x:c r="AD486" s="233"/>
      <x:c r="AE486" s="233"/>
      <x:c r="AF486" s="233"/>
      <x:c r="AG486" s="233"/>
      <x:c r="AH486" s="234"/>
      <x:c r="AI486" s="233"/>
      <x:c r="AJ486" s="233"/>
      <x:c r="AK486" s="233"/>
      <x:c r="AL486" s="236"/>
      <x:c r="AM486" s="233"/>
      <x:c r="AN486" s="233"/>
      <x:c r="AO486" s="234"/>
      <x:c r="AP486" s="234"/>
      <x:c r="AQ486" s="233"/>
      <x:c r="AR486" s="236"/>
      <x:c r="AS486" s="234"/>
      <x:c r="AT486" s="233"/>
      <x:c r="AU486" s="233"/>
      <x:c r="AV486" s="233"/>
      <x:c r="AW486" s="233"/>
      <x:c r="AX486" s="233"/>
      <x:c r="AY486" s="233"/>
      <x:c r="AZ486" s="236"/>
      <x:c r="BA486" s="233"/>
      <x:c r="BB486" s="233"/>
      <x:c r="BC486" s="233"/>
      <x:c r="BD486" s="233"/>
      <x:c r="BE486" s="237" t="str">
        <x:f>IF(AND(A486="",B486="",C486="",E486="",G486="",I486="",M486="",T486="",BB486="",BD486=""),"",IF(B486="skip","SKIP",IF(OR(B486="",A486="",E486="",G486="",I486="",M486="",T486="",COUNTIF($A$6:$A$505,A486)&gt;1,COUNTIF($M$6:$M$505,M486)&gt;1,AND(L486="mobile",N486&lt;&gt;"invalid",OR(LEN(M486)&lt;&gt;10,LEFT(M486,2)&lt;&gt;"09"))),"REVIEW","READY")))</x:f>
      </x:c>
      <x:c r="BF486" s="238" t="str">
        <x:f>IF(BE486="","",IF(BE486="READY","",IF(B486="skip","Skipped by import_action",TRIM(IF(B486="","missing import_action; ","")&amp;IF(A486="","missing migration_customer_key; ","")&amp;IF(AND(A486&lt;&gt;"",COUNTIF($A$6:$A$505,A486)&gt;1),"duplicate migration_customer_key; ","")&amp;IF(E486="","missing branch_id; ","")&amp;IF(G486="","missing first_name; ","")&amp;IF(I486="","missing last_name; ","")&amp;IF(M486="","missing primary_phone; ","")&amp;IF(AND(M486&lt;&gt;"",COUNTIF($M$6:$M$505,M486)&gt;1),"duplicate primary_phone; ","")&amp;IF(AND(L486="mobile",N486&lt;&gt;"invalid",OR(LEN(M486)&lt;&gt;10,LEFT(M486,2)&lt;&gt;"09")),"mobile must be 09XXXXXXXX or status invalid; ","")&amp;IF(T486="","missing neighborhood_id; ","")))))</x:f>
      </x:c>
    </x:row>
    <x:row r="487">
      <x:c r="A487" s="232"/>
      <x:c r="B487" s="233"/>
      <x:c r="C487" s="234"/>
      <x:c r="D487" s="233"/>
      <x:c r="E487" s="233"/>
      <x:c r="F487" s="233"/>
      <x:c r="G487" s="233"/>
      <x:c r="H487" s="233"/>
      <x:c r="I487" s="233"/>
      <x:c r="J487" s="233"/>
      <x:c r="K487" s="233" t="str">
        <x:f>TRIM(G487&amp;" "&amp;H487&amp;" "&amp;I487&amp;IF(J487&lt;&gt;""," ("&amp;J487&amp;")",""))</x:f>
      </x:c>
      <x:c r="L487" s="233"/>
      <x:c r="M487" s="234"/>
      <x:c r="N487" s="233"/>
      <x:c r="O487" s="233"/>
      <x:c r="P487" s="233"/>
      <x:c r="Q487" s="233"/>
      <x:c r="R487" s="233"/>
      <x:c r="S487" s="233"/>
      <x:c r="T487" s="233"/>
      <x:c r="U487" s="233"/>
      <x:c r="V487" s="233"/>
      <x:c r="W487" s="235"/>
      <x:c r="X487" s="235"/>
      <x:c r="Y487" s="233"/>
      <x:c r="Z487" s="233"/>
      <x:c r="AA487" s="233"/>
      <x:c r="AB487" s="233"/>
      <x:c r="AC487" s="236"/>
      <x:c r="AD487" s="233"/>
      <x:c r="AE487" s="233"/>
      <x:c r="AF487" s="233"/>
      <x:c r="AG487" s="233"/>
      <x:c r="AH487" s="234"/>
      <x:c r="AI487" s="233"/>
      <x:c r="AJ487" s="233"/>
      <x:c r="AK487" s="233"/>
      <x:c r="AL487" s="236"/>
      <x:c r="AM487" s="233"/>
      <x:c r="AN487" s="233"/>
      <x:c r="AO487" s="234"/>
      <x:c r="AP487" s="234"/>
      <x:c r="AQ487" s="233"/>
      <x:c r="AR487" s="236"/>
      <x:c r="AS487" s="234"/>
      <x:c r="AT487" s="233"/>
      <x:c r="AU487" s="233"/>
      <x:c r="AV487" s="233"/>
      <x:c r="AW487" s="233"/>
      <x:c r="AX487" s="233"/>
      <x:c r="AY487" s="233"/>
      <x:c r="AZ487" s="236"/>
      <x:c r="BA487" s="233"/>
      <x:c r="BB487" s="233"/>
      <x:c r="BC487" s="233"/>
      <x:c r="BD487" s="233"/>
      <x:c r="BE487" s="237" t="str">
        <x:f>IF(AND(A487="",B487="",C487="",E487="",G487="",I487="",M487="",T487="",BB487="",BD487=""),"",IF(B487="skip","SKIP",IF(OR(B487="",A487="",E487="",G487="",I487="",M487="",T487="",COUNTIF($A$6:$A$505,A487)&gt;1,COUNTIF($M$6:$M$505,M487)&gt;1,AND(L487="mobile",N487&lt;&gt;"invalid",OR(LEN(M487)&lt;&gt;10,LEFT(M487,2)&lt;&gt;"09"))),"REVIEW","READY")))</x:f>
      </x:c>
      <x:c r="BF487" s="238" t="str">
        <x:f>IF(BE487="","",IF(BE487="READY","",IF(B487="skip","Skipped by import_action",TRIM(IF(B487="","missing import_action; ","")&amp;IF(A487="","missing migration_customer_key; ","")&amp;IF(AND(A487&lt;&gt;"",COUNTIF($A$6:$A$505,A487)&gt;1),"duplicate migration_customer_key; ","")&amp;IF(E487="","missing branch_id; ","")&amp;IF(G487="","missing first_name; ","")&amp;IF(I487="","missing last_name; ","")&amp;IF(M487="","missing primary_phone; ","")&amp;IF(AND(M487&lt;&gt;"",COUNTIF($M$6:$M$505,M487)&gt;1),"duplicate primary_phone; ","")&amp;IF(AND(L487="mobile",N487&lt;&gt;"invalid",OR(LEN(M487)&lt;&gt;10,LEFT(M487,2)&lt;&gt;"09")),"mobile must be 09XXXXXXXX or status invalid; ","")&amp;IF(T487="","missing neighborhood_id; ","")))))</x:f>
      </x:c>
    </x:row>
    <x:row r="488">
      <x:c r="A488" s="232"/>
      <x:c r="B488" s="233"/>
      <x:c r="C488" s="234"/>
      <x:c r="D488" s="233"/>
      <x:c r="E488" s="233"/>
      <x:c r="F488" s="233"/>
      <x:c r="G488" s="233"/>
      <x:c r="H488" s="233"/>
      <x:c r="I488" s="233"/>
      <x:c r="J488" s="233"/>
      <x:c r="K488" s="233" t="str">
        <x:f>TRIM(G488&amp;" "&amp;H488&amp;" "&amp;I488&amp;IF(J488&lt;&gt;""," ("&amp;J488&amp;")",""))</x:f>
      </x:c>
      <x:c r="L488" s="233"/>
      <x:c r="M488" s="234"/>
      <x:c r="N488" s="233"/>
      <x:c r="O488" s="233"/>
      <x:c r="P488" s="233"/>
      <x:c r="Q488" s="233"/>
      <x:c r="R488" s="233"/>
      <x:c r="S488" s="233"/>
      <x:c r="T488" s="233"/>
      <x:c r="U488" s="233"/>
      <x:c r="V488" s="233"/>
      <x:c r="W488" s="235"/>
      <x:c r="X488" s="235"/>
      <x:c r="Y488" s="233"/>
      <x:c r="Z488" s="233"/>
      <x:c r="AA488" s="233"/>
      <x:c r="AB488" s="233"/>
      <x:c r="AC488" s="236"/>
      <x:c r="AD488" s="233"/>
      <x:c r="AE488" s="233"/>
      <x:c r="AF488" s="233"/>
      <x:c r="AG488" s="233"/>
      <x:c r="AH488" s="234"/>
      <x:c r="AI488" s="233"/>
      <x:c r="AJ488" s="233"/>
      <x:c r="AK488" s="233"/>
      <x:c r="AL488" s="236"/>
      <x:c r="AM488" s="233"/>
      <x:c r="AN488" s="233"/>
      <x:c r="AO488" s="234"/>
      <x:c r="AP488" s="234"/>
      <x:c r="AQ488" s="233"/>
      <x:c r="AR488" s="236"/>
      <x:c r="AS488" s="234"/>
      <x:c r="AT488" s="233"/>
      <x:c r="AU488" s="233"/>
      <x:c r="AV488" s="233"/>
      <x:c r="AW488" s="233"/>
      <x:c r="AX488" s="233"/>
      <x:c r="AY488" s="233"/>
      <x:c r="AZ488" s="236"/>
      <x:c r="BA488" s="233"/>
      <x:c r="BB488" s="233"/>
      <x:c r="BC488" s="233"/>
      <x:c r="BD488" s="233"/>
      <x:c r="BE488" s="237" t="str">
        <x:f>IF(AND(A488="",B488="",C488="",E488="",G488="",I488="",M488="",T488="",BB488="",BD488=""),"",IF(B488="skip","SKIP",IF(OR(B488="",A488="",E488="",G488="",I488="",M488="",T488="",COUNTIF($A$6:$A$505,A488)&gt;1,COUNTIF($M$6:$M$505,M488)&gt;1,AND(L488="mobile",N488&lt;&gt;"invalid",OR(LEN(M488)&lt;&gt;10,LEFT(M488,2)&lt;&gt;"09"))),"REVIEW","READY")))</x:f>
      </x:c>
      <x:c r="BF488" s="238" t="str">
        <x:f>IF(BE488="","",IF(BE488="READY","",IF(B488="skip","Skipped by import_action",TRIM(IF(B488="","missing import_action; ","")&amp;IF(A488="","missing migration_customer_key; ","")&amp;IF(AND(A488&lt;&gt;"",COUNTIF($A$6:$A$505,A488)&gt;1),"duplicate migration_customer_key; ","")&amp;IF(E488="","missing branch_id; ","")&amp;IF(G488="","missing first_name; ","")&amp;IF(I488="","missing last_name; ","")&amp;IF(M488="","missing primary_phone; ","")&amp;IF(AND(M488&lt;&gt;"",COUNTIF($M$6:$M$505,M488)&gt;1),"duplicate primary_phone; ","")&amp;IF(AND(L488="mobile",N488&lt;&gt;"invalid",OR(LEN(M488)&lt;&gt;10,LEFT(M488,2)&lt;&gt;"09")),"mobile must be 09XXXXXXXX or status invalid; ","")&amp;IF(T488="","missing neighborhood_id; ","")))))</x:f>
      </x:c>
    </x:row>
    <x:row r="489">
      <x:c r="A489" s="232"/>
      <x:c r="B489" s="233"/>
      <x:c r="C489" s="234"/>
      <x:c r="D489" s="233"/>
      <x:c r="E489" s="233"/>
      <x:c r="F489" s="233"/>
      <x:c r="G489" s="233"/>
      <x:c r="H489" s="233"/>
      <x:c r="I489" s="233"/>
      <x:c r="J489" s="233"/>
      <x:c r="K489" s="233" t="str">
        <x:f>TRIM(G489&amp;" "&amp;H489&amp;" "&amp;I489&amp;IF(J489&lt;&gt;""," ("&amp;J489&amp;")",""))</x:f>
      </x:c>
      <x:c r="L489" s="233"/>
      <x:c r="M489" s="234"/>
      <x:c r="N489" s="233"/>
      <x:c r="O489" s="233"/>
      <x:c r="P489" s="233"/>
      <x:c r="Q489" s="233"/>
      <x:c r="R489" s="233"/>
      <x:c r="S489" s="233"/>
      <x:c r="T489" s="233"/>
      <x:c r="U489" s="233"/>
      <x:c r="V489" s="233"/>
      <x:c r="W489" s="235"/>
      <x:c r="X489" s="235"/>
      <x:c r="Y489" s="233"/>
      <x:c r="Z489" s="233"/>
      <x:c r="AA489" s="233"/>
      <x:c r="AB489" s="233"/>
      <x:c r="AC489" s="236"/>
      <x:c r="AD489" s="233"/>
      <x:c r="AE489" s="233"/>
      <x:c r="AF489" s="233"/>
      <x:c r="AG489" s="233"/>
      <x:c r="AH489" s="234"/>
      <x:c r="AI489" s="233"/>
      <x:c r="AJ489" s="233"/>
      <x:c r="AK489" s="233"/>
      <x:c r="AL489" s="236"/>
      <x:c r="AM489" s="233"/>
      <x:c r="AN489" s="233"/>
      <x:c r="AO489" s="234"/>
      <x:c r="AP489" s="234"/>
      <x:c r="AQ489" s="233"/>
      <x:c r="AR489" s="236"/>
      <x:c r="AS489" s="234"/>
      <x:c r="AT489" s="233"/>
      <x:c r="AU489" s="233"/>
      <x:c r="AV489" s="233"/>
      <x:c r="AW489" s="233"/>
      <x:c r="AX489" s="233"/>
      <x:c r="AY489" s="233"/>
      <x:c r="AZ489" s="236"/>
      <x:c r="BA489" s="233"/>
      <x:c r="BB489" s="233"/>
      <x:c r="BC489" s="233"/>
      <x:c r="BD489" s="233"/>
      <x:c r="BE489" s="237" t="str">
        <x:f>IF(AND(A489="",B489="",C489="",E489="",G489="",I489="",M489="",T489="",BB489="",BD489=""),"",IF(B489="skip","SKIP",IF(OR(B489="",A489="",E489="",G489="",I489="",M489="",T489="",COUNTIF($A$6:$A$505,A489)&gt;1,COUNTIF($M$6:$M$505,M489)&gt;1,AND(L489="mobile",N489&lt;&gt;"invalid",OR(LEN(M489)&lt;&gt;10,LEFT(M489,2)&lt;&gt;"09"))),"REVIEW","READY")))</x:f>
      </x:c>
      <x:c r="BF489" s="238" t="str">
        <x:f>IF(BE489="","",IF(BE489="READY","",IF(B489="skip","Skipped by import_action",TRIM(IF(B489="","missing import_action; ","")&amp;IF(A489="","missing migration_customer_key; ","")&amp;IF(AND(A489&lt;&gt;"",COUNTIF($A$6:$A$505,A489)&gt;1),"duplicate migration_customer_key; ","")&amp;IF(E489="","missing branch_id; ","")&amp;IF(G489="","missing first_name; ","")&amp;IF(I489="","missing last_name; ","")&amp;IF(M489="","missing primary_phone; ","")&amp;IF(AND(M489&lt;&gt;"",COUNTIF($M$6:$M$505,M489)&gt;1),"duplicate primary_phone; ","")&amp;IF(AND(L489="mobile",N489&lt;&gt;"invalid",OR(LEN(M489)&lt;&gt;10,LEFT(M489,2)&lt;&gt;"09")),"mobile must be 09XXXXXXXX or status invalid; ","")&amp;IF(T489="","missing neighborhood_id; ","")))))</x:f>
      </x:c>
    </x:row>
    <x:row r="490">
      <x:c r="A490" s="232"/>
      <x:c r="B490" s="233"/>
      <x:c r="C490" s="234"/>
      <x:c r="D490" s="233"/>
      <x:c r="E490" s="233"/>
      <x:c r="F490" s="233"/>
      <x:c r="G490" s="233"/>
      <x:c r="H490" s="233"/>
      <x:c r="I490" s="233"/>
      <x:c r="J490" s="233"/>
      <x:c r="K490" s="233" t="str">
        <x:f>TRIM(G490&amp;" "&amp;H490&amp;" "&amp;I490&amp;IF(J490&lt;&gt;""," ("&amp;J490&amp;")",""))</x:f>
      </x:c>
      <x:c r="L490" s="233"/>
      <x:c r="M490" s="234"/>
      <x:c r="N490" s="233"/>
      <x:c r="O490" s="233"/>
      <x:c r="P490" s="233"/>
      <x:c r="Q490" s="233"/>
      <x:c r="R490" s="233"/>
      <x:c r="S490" s="233"/>
      <x:c r="T490" s="233"/>
      <x:c r="U490" s="233"/>
      <x:c r="V490" s="233"/>
      <x:c r="W490" s="235"/>
      <x:c r="X490" s="235"/>
      <x:c r="Y490" s="233"/>
      <x:c r="Z490" s="233"/>
      <x:c r="AA490" s="233"/>
      <x:c r="AB490" s="233"/>
      <x:c r="AC490" s="236"/>
      <x:c r="AD490" s="233"/>
      <x:c r="AE490" s="233"/>
      <x:c r="AF490" s="233"/>
      <x:c r="AG490" s="233"/>
      <x:c r="AH490" s="234"/>
      <x:c r="AI490" s="233"/>
      <x:c r="AJ490" s="233"/>
      <x:c r="AK490" s="233"/>
      <x:c r="AL490" s="236"/>
      <x:c r="AM490" s="233"/>
      <x:c r="AN490" s="233"/>
      <x:c r="AO490" s="234"/>
      <x:c r="AP490" s="234"/>
      <x:c r="AQ490" s="233"/>
      <x:c r="AR490" s="236"/>
      <x:c r="AS490" s="234"/>
      <x:c r="AT490" s="233"/>
      <x:c r="AU490" s="233"/>
      <x:c r="AV490" s="233"/>
      <x:c r="AW490" s="233"/>
      <x:c r="AX490" s="233"/>
      <x:c r="AY490" s="233"/>
      <x:c r="AZ490" s="236"/>
      <x:c r="BA490" s="233"/>
      <x:c r="BB490" s="233"/>
      <x:c r="BC490" s="233"/>
      <x:c r="BD490" s="233"/>
      <x:c r="BE490" s="237" t="str">
        <x:f>IF(AND(A490="",B490="",C490="",E490="",G490="",I490="",M490="",T490="",BB490="",BD490=""),"",IF(B490="skip","SKIP",IF(OR(B490="",A490="",E490="",G490="",I490="",M490="",T490="",COUNTIF($A$6:$A$505,A490)&gt;1,COUNTIF($M$6:$M$505,M490)&gt;1,AND(L490="mobile",N490&lt;&gt;"invalid",OR(LEN(M490)&lt;&gt;10,LEFT(M490,2)&lt;&gt;"09"))),"REVIEW","READY")))</x:f>
      </x:c>
      <x:c r="BF490" s="238" t="str">
        <x:f>IF(BE490="","",IF(BE490="READY","",IF(B490="skip","Skipped by import_action",TRIM(IF(B490="","missing import_action; ","")&amp;IF(A490="","missing migration_customer_key; ","")&amp;IF(AND(A490&lt;&gt;"",COUNTIF($A$6:$A$505,A490)&gt;1),"duplicate migration_customer_key; ","")&amp;IF(E490="","missing branch_id; ","")&amp;IF(G490="","missing first_name; ","")&amp;IF(I490="","missing last_name; ","")&amp;IF(M490="","missing primary_phone; ","")&amp;IF(AND(M490&lt;&gt;"",COUNTIF($M$6:$M$505,M490)&gt;1),"duplicate primary_phone; ","")&amp;IF(AND(L490="mobile",N490&lt;&gt;"invalid",OR(LEN(M490)&lt;&gt;10,LEFT(M490,2)&lt;&gt;"09")),"mobile must be 09XXXXXXXX or status invalid; ","")&amp;IF(T490="","missing neighborhood_id; ","")))))</x:f>
      </x:c>
    </x:row>
    <x:row r="491">
      <x:c r="A491" s="232"/>
      <x:c r="B491" s="233"/>
      <x:c r="C491" s="234"/>
      <x:c r="D491" s="233"/>
      <x:c r="E491" s="233"/>
      <x:c r="F491" s="233"/>
      <x:c r="G491" s="233"/>
      <x:c r="H491" s="233"/>
      <x:c r="I491" s="233"/>
      <x:c r="J491" s="233"/>
      <x:c r="K491" s="233" t="str">
        <x:f>TRIM(G491&amp;" "&amp;H491&amp;" "&amp;I491&amp;IF(J491&lt;&gt;""," ("&amp;J491&amp;")",""))</x:f>
      </x:c>
      <x:c r="L491" s="233"/>
      <x:c r="M491" s="234"/>
      <x:c r="N491" s="233"/>
      <x:c r="O491" s="233"/>
      <x:c r="P491" s="233"/>
      <x:c r="Q491" s="233"/>
      <x:c r="R491" s="233"/>
      <x:c r="S491" s="233"/>
      <x:c r="T491" s="233"/>
      <x:c r="U491" s="233"/>
      <x:c r="V491" s="233"/>
      <x:c r="W491" s="235"/>
      <x:c r="X491" s="235"/>
      <x:c r="Y491" s="233"/>
      <x:c r="Z491" s="233"/>
      <x:c r="AA491" s="233"/>
      <x:c r="AB491" s="233"/>
      <x:c r="AC491" s="236"/>
      <x:c r="AD491" s="233"/>
      <x:c r="AE491" s="233"/>
      <x:c r="AF491" s="233"/>
      <x:c r="AG491" s="233"/>
      <x:c r="AH491" s="234"/>
      <x:c r="AI491" s="233"/>
      <x:c r="AJ491" s="233"/>
      <x:c r="AK491" s="233"/>
      <x:c r="AL491" s="236"/>
      <x:c r="AM491" s="233"/>
      <x:c r="AN491" s="233"/>
      <x:c r="AO491" s="234"/>
      <x:c r="AP491" s="234"/>
      <x:c r="AQ491" s="233"/>
      <x:c r="AR491" s="236"/>
      <x:c r="AS491" s="234"/>
      <x:c r="AT491" s="233"/>
      <x:c r="AU491" s="233"/>
      <x:c r="AV491" s="233"/>
      <x:c r="AW491" s="233"/>
      <x:c r="AX491" s="233"/>
      <x:c r="AY491" s="233"/>
      <x:c r="AZ491" s="236"/>
      <x:c r="BA491" s="233"/>
      <x:c r="BB491" s="233"/>
      <x:c r="BC491" s="233"/>
      <x:c r="BD491" s="233"/>
      <x:c r="BE491" s="237" t="str">
        <x:f>IF(AND(A491="",B491="",C491="",E491="",G491="",I491="",M491="",T491="",BB491="",BD491=""),"",IF(B491="skip","SKIP",IF(OR(B491="",A491="",E491="",G491="",I491="",M491="",T491="",COUNTIF($A$6:$A$505,A491)&gt;1,COUNTIF($M$6:$M$505,M491)&gt;1,AND(L491="mobile",N491&lt;&gt;"invalid",OR(LEN(M491)&lt;&gt;10,LEFT(M491,2)&lt;&gt;"09"))),"REVIEW","READY")))</x:f>
      </x:c>
      <x:c r="BF491" s="238" t="str">
        <x:f>IF(BE491="","",IF(BE491="READY","",IF(B491="skip","Skipped by import_action",TRIM(IF(B491="","missing import_action; ","")&amp;IF(A491="","missing migration_customer_key; ","")&amp;IF(AND(A491&lt;&gt;"",COUNTIF($A$6:$A$505,A491)&gt;1),"duplicate migration_customer_key; ","")&amp;IF(E491="","missing branch_id; ","")&amp;IF(G491="","missing first_name; ","")&amp;IF(I491="","missing last_name; ","")&amp;IF(M491="","missing primary_phone; ","")&amp;IF(AND(M491&lt;&gt;"",COUNTIF($M$6:$M$505,M491)&gt;1),"duplicate primary_phone; ","")&amp;IF(AND(L491="mobile",N491&lt;&gt;"invalid",OR(LEN(M491)&lt;&gt;10,LEFT(M491,2)&lt;&gt;"09")),"mobile must be 09XXXXXXXX or status invalid; ","")&amp;IF(T491="","missing neighborhood_id; ","")))))</x:f>
      </x:c>
    </x:row>
    <x:row r="492">
      <x:c r="A492" s="232"/>
      <x:c r="B492" s="233"/>
      <x:c r="C492" s="234"/>
      <x:c r="D492" s="233"/>
      <x:c r="E492" s="233"/>
      <x:c r="F492" s="233"/>
      <x:c r="G492" s="233"/>
      <x:c r="H492" s="233"/>
      <x:c r="I492" s="233"/>
      <x:c r="J492" s="233"/>
      <x:c r="K492" s="233" t="str">
        <x:f>TRIM(G492&amp;" "&amp;H492&amp;" "&amp;I492&amp;IF(J492&lt;&gt;""," ("&amp;J492&amp;")",""))</x:f>
      </x:c>
      <x:c r="L492" s="233"/>
      <x:c r="M492" s="234"/>
      <x:c r="N492" s="233"/>
      <x:c r="O492" s="233"/>
      <x:c r="P492" s="233"/>
      <x:c r="Q492" s="233"/>
      <x:c r="R492" s="233"/>
      <x:c r="S492" s="233"/>
      <x:c r="T492" s="233"/>
      <x:c r="U492" s="233"/>
      <x:c r="V492" s="233"/>
      <x:c r="W492" s="235"/>
      <x:c r="X492" s="235"/>
      <x:c r="Y492" s="233"/>
      <x:c r="Z492" s="233"/>
      <x:c r="AA492" s="233"/>
      <x:c r="AB492" s="233"/>
      <x:c r="AC492" s="236"/>
      <x:c r="AD492" s="233"/>
      <x:c r="AE492" s="233"/>
      <x:c r="AF492" s="233"/>
      <x:c r="AG492" s="233"/>
      <x:c r="AH492" s="234"/>
      <x:c r="AI492" s="233"/>
      <x:c r="AJ492" s="233"/>
      <x:c r="AK492" s="233"/>
      <x:c r="AL492" s="236"/>
      <x:c r="AM492" s="233"/>
      <x:c r="AN492" s="233"/>
      <x:c r="AO492" s="234"/>
      <x:c r="AP492" s="234"/>
      <x:c r="AQ492" s="233"/>
      <x:c r="AR492" s="236"/>
      <x:c r="AS492" s="234"/>
      <x:c r="AT492" s="233"/>
      <x:c r="AU492" s="233"/>
      <x:c r="AV492" s="233"/>
      <x:c r="AW492" s="233"/>
      <x:c r="AX492" s="233"/>
      <x:c r="AY492" s="233"/>
      <x:c r="AZ492" s="236"/>
      <x:c r="BA492" s="233"/>
      <x:c r="BB492" s="233"/>
      <x:c r="BC492" s="233"/>
      <x:c r="BD492" s="233"/>
      <x:c r="BE492" s="237" t="str">
        <x:f>IF(AND(A492="",B492="",C492="",E492="",G492="",I492="",M492="",T492="",BB492="",BD492=""),"",IF(B492="skip","SKIP",IF(OR(B492="",A492="",E492="",G492="",I492="",M492="",T492="",COUNTIF($A$6:$A$505,A492)&gt;1,COUNTIF($M$6:$M$505,M492)&gt;1,AND(L492="mobile",N492&lt;&gt;"invalid",OR(LEN(M492)&lt;&gt;10,LEFT(M492,2)&lt;&gt;"09"))),"REVIEW","READY")))</x:f>
      </x:c>
      <x:c r="BF492" s="238" t="str">
        <x:f>IF(BE492="","",IF(BE492="READY","",IF(B492="skip","Skipped by import_action",TRIM(IF(B492="","missing import_action; ","")&amp;IF(A492="","missing migration_customer_key; ","")&amp;IF(AND(A492&lt;&gt;"",COUNTIF($A$6:$A$505,A492)&gt;1),"duplicate migration_customer_key; ","")&amp;IF(E492="","missing branch_id; ","")&amp;IF(G492="","missing first_name; ","")&amp;IF(I492="","missing last_name; ","")&amp;IF(M492="","missing primary_phone; ","")&amp;IF(AND(M492&lt;&gt;"",COUNTIF($M$6:$M$505,M492)&gt;1),"duplicate primary_phone; ","")&amp;IF(AND(L492="mobile",N492&lt;&gt;"invalid",OR(LEN(M492)&lt;&gt;10,LEFT(M492,2)&lt;&gt;"09")),"mobile must be 09XXXXXXXX or status invalid; ","")&amp;IF(T492="","missing neighborhood_id; ","")))))</x:f>
      </x:c>
    </x:row>
    <x:row r="493">
      <x:c r="A493" s="232"/>
      <x:c r="B493" s="233"/>
      <x:c r="C493" s="234"/>
      <x:c r="D493" s="233"/>
      <x:c r="E493" s="233"/>
      <x:c r="F493" s="233"/>
      <x:c r="G493" s="233"/>
      <x:c r="H493" s="233"/>
      <x:c r="I493" s="233"/>
      <x:c r="J493" s="233"/>
      <x:c r="K493" s="233" t="str">
        <x:f>TRIM(G493&amp;" "&amp;H493&amp;" "&amp;I493&amp;IF(J493&lt;&gt;""," ("&amp;J493&amp;")",""))</x:f>
      </x:c>
      <x:c r="L493" s="233"/>
      <x:c r="M493" s="234"/>
      <x:c r="N493" s="233"/>
      <x:c r="O493" s="233"/>
      <x:c r="P493" s="233"/>
      <x:c r="Q493" s="233"/>
      <x:c r="R493" s="233"/>
      <x:c r="S493" s="233"/>
      <x:c r="T493" s="233"/>
      <x:c r="U493" s="233"/>
      <x:c r="V493" s="233"/>
      <x:c r="W493" s="235"/>
      <x:c r="X493" s="235"/>
      <x:c r="Y493" s="233"/>
      <x:c r="Z493" s="233"/>
      <x:c r="AA493" s="233"/>
      <x:c r="AB493" s="233"/>
      <x:c r="AC493" s="236"/>
      <x:c r="AD493" s="233"/>
      <x:c r="AE493" s="233"/>
      <x:c r="AF493" s="233"/>
      <x:c r="AG493" s="233"/>
      <x:c r="AH493" s="234"/>
      <x:c r="AI493" s="233"/>
      <x:c r="AJ493" s="233"/>
      <x:c r="AK493" s="233"/>
      <x:c r="AL493" s="236"/>
      <x:c r="AM493" s="233"/>
      <x:c r="AN493" s="233"/>
      <x:c r="AO493" s="234"/>
      <x:c r="AP493" s="234"/>
      <x:c r="AQ493" s="233"/>
      <x:c r="AR493" s="236"/>
      <x:c r="AS493" s="234"/>
      <x:c r="AT493" s="233"/>
      <x:c r="AU493" s="233"/>
      <x:c r="AV493" s="233"/>
      <x:c r="AW493" s="233"/>
      <x:c r="AX493" s="233"/>
      <x:c r="AY493" s="233"/>
      <x:c r="AZ493" s="236"/>
      <x:c r="BA493" s="233"/>
      <x:c r="BB493" s="233"/>
      <x:c r="BC493" s="233"/>
      <x:c r="BD493" s="233"/>
      <x:c r="BE493" s="237" t="str">
        <x:f>IF(AND(A493="",B493="",C493="",E493="",G493="",I493="",M493="",T493="",BB493="",BD493=""),"",IF(B493="skip","SKIP",IF(OR(B493="",A493="",E493="",G493="",I493="",M493="",T493="",COUNTIF($A$6:$A$505,A493)&gt;1,COUNTIF($M$6:$M$505,M493)&gt;1,AND(L493="mobile",N493&lt;&gt;"invalid",OR(LEN(M493)&lt;&gt;10,LEFT(M493,2)&lt;&gt;"09"))),"REVIEW","READY")))</x:f>
      </x:c>
      <x:c r="BF493" s="238" t="str">
        <x:f>IF(BE493="","",IF(BE493="READY","",IF(B493="skip","Skipped by import_action",TRIM(IF(B493="","missing import_action; ","")&amp;IF(A493="","missing migration_customer_key; ","")&amp;IF(AND(A493&lt;&gt;"",COUNTIF($A$6:$A$505,A493)&gt;1),"duplicate migration_customer_key; ","")&amp;IF(E493="","missing branch_id; ","")&amp;IF(G493="","missing first_name; ","")&amp;IF(I493="","missing last_name; ","")&amp;IF(M493="","missing primary_phone; ","")&amp;IF(AND(M493&lt;&gt;"",COUNTIF($M$6:$M$505,M493)&gt;1),"duplicate primary_phone; ","")&amp;IF(AND(L493="mobile",N493&lt;&gt;"invalid",OR(LEN(M493)&lt;&gt;10,LEFT(M493,2)&lt;&gt;"09")),"mobile must be 09XXXXXXXX or status invalid; ","")&amp;IF(T493="","missing neighborhood_id; ","")))))</x:f>
      </x:c>
    </x:row>
    <x:row r="494">
      <x:c r="A494" s="232"/>
      <x:c r="B494" s="233"/>
      <x:c r="C494" s="234"/>
      <x:c r="D494" s="233"/>
      <x:c r="E494" s="233"/>
      <x:c r="F494" s="233"/>
      <x:c r="G494" s="233"/>
      <x:c r="H494" s="233"/>
      <x:c r="I494" s="233"/>
      <x:c r="J494" s="233"/>
      <x:c r="K494" s="233" t="str">
        <x:f>TRIM(G494&amp;" "&amp;H494&amp;" "&amp;I494&amp;IF(J494&lt;&gt;""," ("&amp;J494&amp;")",""))</x:f>
      </x:c>
      <x:c r="L494" s="233"/>
      <x:c r="M494" s="234"/>
      <x:c r="N494" s="233"/>
      <x:c r="O494" s="233"/>
      <x:c r="P494" s="233"/>
      <x:c r="Q494" s="233"/>
      <x:c r="R494" s="233"/>
      <x:c r="S494" s="233"/>
      <x:c r="T494" s="233"/>
      <x:c r="U494" s="233"/>
      <x:c r="V494" s="233"/>
      <x:c r="W494" s="235"/>
      <x:c r="X494" s="235"/>
      <x:c r="Y494" s="233"/>
      <x:c r="Z494" s="233"/>
      <x:c r="AA494" s="233"/>
      <x:c r="AB494" s="233"/>
      <x:c r="AC494" s="236"/>
      <x:c r="AD494" s="233"/>
      <x:c r="AE494" s="233"/>
      <x:c r="AF494" s="233"/>
      <x:c r="AG494" s="233"/>
      <x:c r="AH494" s="234"/>
      <x:c r="AI494" s="233"/>
      <x:c r="AJ494" s="233"/>
      <x:c r="AK494" s="233"/>
      <x:c r="AL494" s="236"/>
      <x:c r="AM494" s="233"/>
      <x:c r="AN494" s="233"/>
      <x:c r="AO494" s="234"/>
      <x:c r="AP494" s="234"/>
      <x:c r="AQ494" s="233"/>
      <x:c r="AR494" s="236"/>
      <x:c r="AS494" s="234"/>
      <x:c r="AT494" s="233"/>
      <x:c r="AU494" s="233"/>
      <x:c r="AV494" s="233"/>
      <x:c r="AW494" s="233"/>
      <x:c r="AX494" s="233"/>
      <x:c r="AY494" s="233"/>
      <x:c r="AZ494" s="236"/>
      <x:c r="BA494" s="233"/>
      <x:c r="BB494" s="233"/>
      <x:c r="BC494" s="233"/>
      <x:c r="BD494" s="233"/>
      <x:c r="BE494" s="237" t="str">
        <x:f>IF(AND(A494="",B494="",C494="",E494="",G494="",I494="",M494="",T494="",BB494="",BD494=""),"",IF(B494="skip","SKIP",IF(OR(B494="",A494="",E494="",G494="",I494="",M494="",T494="",COUNTIF($A$6:$A$505,A494)&gt;1,COUNTIF($M$6:$M$505,M494)&gt;1,AND(L494="mobile",N494&lt;&gt;"invalid",OR(LEN(M494)&lt;&gt;10,LEFT(M494,2)&lt;&gt;"09"))),"REVIEW","READY")))</x:f>
      </x:c>
      <x:c r="BF494" s="238" t="str">
        <x:f>IF(BE494="","",IF(BE494="READY","",IF(B494="skip","Skipped by import_action",TRIM(IF(B494="","missing import_action; ","")&amp;IF(A494="","missing migration_customer_key; ","")&amp;IF(AND(A494&lt;&gt;"",COUNTIF($A$6:$A$505,A494)&gt;1),"duplicate migration_customer_key; ","")&amp;IF(E494="","missing branch_id; ","")&amp;IF(G494="","missing first_name; ","")&amp;IF(I494="","missing last_name; ","")&amp;IF(M494="","missing primary_phone; ","")&amp;IF(AND(M494&lt;&gt;"",COUNTIF($M$6:$M$505,M494)&gt;1),"duplicate primary_phone; ","")&amp;IF(AND(L494="mobile",N494&lt;&gt;"invalid",OR(LEN(M494)&lt;&gt;10,LEFT(M494,2)&lt;&gt;"09")),"mobile must be 09XXXXXXXX or status invalid; ","")&amp;IF(T494="","missing neighborhood_id; ","")))))</x:f>
      </x:c>
    </x:row>
    <x:row r="495">
      <x:c r="A495" s="232"/>
      <x:c r="B495" s="233"/>
      <x:c r="C495" s="234"/>
      <x:c r="D495" s="233"/>
      <x:c r="E495" s="233"/>
      <x:c r="F495" s="233"/>
      <x:c r="G495" s="233"/>
      <x:c r="H495" s="233"/>
      <x:c r="I495" s="233"/>
      <x:c r="J495" s="233"/>
      <x:c r="K495" s="233" t="str">
        <x:f>TRIM(G495&amp;" "&amp;H495&amp;" "&amp;I495&amp;IF(J495&lt;&gt;""," ("&amp;J495&amp;")",""))</x:f>
      </x:c>
      <x:c r="L495" s="233"/>
      <x:c r="M495" s="234"/>
      <x:c r="N495" s="233"/>
      <x:c r="O495" s="233"/>
      <x:c r="P495" s="233"/>
      <x:c r="Q495" s="233"/>
      <x:c r="R495" s="233"/>
      <x:c r="S495" s="233"/>
      <x:c r="T495" s="233"/>
      <x:c r="U495" s="233"/>
      <x:c r="V495" s="233"/>
      <x:c r="W495" s="235"/>
      <x:c r="X495" s="235"/>
      <x:c r="Y495" s="233"/>
      <x:c r="Z495" s="233"/>
      <x:c r="AA495" s="233"/>
      <x:c r="AB495" s="233"/>
      <x:c r="AC495" s="236"/>
      <x:c r="AD495" s="233"/>
      <x:c r="AE495" s="233"/>
      <x:c r="AF495" s="233"/>
      <x:c r="AG495" s="233"/>
      <x:c r="AH495" s="234"/>
      <x:c r="AI495" s="233"/>
      <x:c r="AJ495" s="233"/>
      <x:c r="AK495" s="233"/>
      <x:c r="AL495" s="236"/>
      <x:c r="AM495" s="233"/>
      <x:c r="AN495" s="233"/>
      <x:c r="AO495" s="234"/>
      <x:c r="AP495" s="234"/>
      <x:c r="AQ495" s="233"/>
      <x:c r="AR495" s="236"/>
      <x:c r="AS495" s="234"/>
      <x:c r="AT495" s="233"/>
      <x:c r="AU495" s="233"/>
      <x:c r="AV495" s="233"/>
      <x:c r="AW495" s="233"/>
      <x:c r="AX495" s="233"/>
      <x:c r="AY495" s="233"/>
      <x:c r="AZ495" s="236"/>
      <x:c r="BA495" s="233"/>
      <x:c r="BB495" s="233"/>
      <x:c r="BC495" s="233"/>
      <x:c r="BD495" s="233"/>
      <x:c r="BE495" s="237" t="str">
        <x:f>IF(AND(A495="",B495="",C495="",E495="",G495="",I495="",M495="",T495="",BB495="",BD495=""),"",IF(B495="skip","SKIP",IF(OR(B495="",A495="",E495="",G495="",I495="",M495="",T495="",COUNTIF($A$6:$A$505,A495)&gt;1,COUNTIF($M$6:$M$505,M495)&gt;1,AND(L495="mobile",N495&lt;&gt;"invalid",OR(LEN(M495)&lt;&gt;10,LEFT(M495,2)&lt;&gt;"09"))),"REVIEW","READY")))</x:f>
      </x:c>
      <x:c r="BF495" s="238" t="str">
        <x:f>IF(BE495="","",IF(BE495="READY","",IF(B495="skip","Skipped by import_action",TRIM(IF(B495="","missing import_action; ","")&amp;IF(A495="","missing migration_customer_key; ","")&amp;IF(AND(A495&lt;&gt;"",COUNTIF($A$6:$A$505,A495)&gt;1),"duplicate migration_customer_key; ","")&amp;IF(E495="","missing branch_id; ","")&amp;IF(G495="","missing first_name; ","")&amp;IF(I495="","missing last_name; ","")&amp;IF(M495="","missing primary_phone; ","")&amp;IF(AND(M495&lt;&gt;"",COUNTIF($M$6:$M$505,M495)&gt;1),"duplicate primary_phone; ","")&amp;IF(AND(L495="mobile",N495&lt;&gt;"invalid",OR(LEN(M495)&lt;&gt;10,LEFT(M495,2)&lt;&gt;"09")),"mobile must be 09XXXXXXXX or status invalid; ","")&amp;IF(T495="","missing neighborhood_id; ","")))))</x:f>
      </x:c>
    </x:row>
    <x:row r="496">
      <x:c r="A496" s="232"/>
      <x:c r="B496" s="233"/>
      <x:c r="C496" s="234"/>
      <x:c r="D496" s="233"/>
      <x:c r="E496" s="233"/>
      <x:c r="F496" s="233"/>
      <x:c r="G496" s="233"/>
      <x:c r="H496" s="233"/>
      <x:c r="I496" s="233"/>
      <x:c r="J496" s="233"/>
      <x:c r="K496" s="233" t="str">
        <x:f>TRIM(G496&amp;" "&amp;H496&amp;" "&amp;I496&amp;IF(J496&lt;&gt;""," ("&amp;J496&amp;")",""))</x:f>
      </x:c>
      <x:c r="L496" s="233"/>
      <x:c r="M496" s="234"/>
      <x:c r="N496" s="233"/>
      <x:c r="O496" s="233"/>
      <x:c r="P496" s="233"/>
      <x:c r="Q496" s="233"/>
      <x:c r="R496" s="233"/>
      <x:c r="S496" s="233"/>
      <x:c r="T496" s="233"/>
      <x:c r="U496" s="233"/>
      <x:c r="V496" s="233"/>
      <x:c r="W496" s="235"/>
      <x:c r="X496" s="235"/>
      <x:c r="Y496" s="233"/>
      <x:c r="Z496" s="233"/>
      <x:c r="AA496" s="233"/>
      <x:c r="AB496" s="233"/>
      <x:c r="AC496" s="236"/>
      <x:c r="AD496" s="233"/>
      <x:c r="AE496" s="233"/>
      <x:c r="AF496" s="233"/>
      <x:c r="AG496" s="233"/>
      <x:c r="AH496" s="234"/>
      <x:c r="AI496" s="233"/>
      <x:c r="AJ496" s="233"/>
      <x:c r="AK496" s="233"/>
      <x:c r="AL496" s="236"/>
      <x:c r="AM496" s="233"/>
      <x:c r="AN496" s="233"/>
      <x:c r="AO496" s="234"/>
      <x:c r="AP496" s="234"/>
      <x:c r="AQ496" s="233"/>
      <x:c r="AR496" s="236"/>
      <x:c r="AS496" s="234"/>
      <x:c r="AT496" s="233"/>
      <x:c r="AU496" s="233"/>
      <x:c r="AV496" s="233"/>
      <x:c r="AW496" s="233"/>
      <x:c r="AX496" s="233"/>
      <x:c r="AY496" s="233"/>
      <x:c r="AZ496" s="236"/>
      <x:c r="BA496" s="233"/>
      <x:c r="BB496" s="233"/>
      <x:c r="BC496" s="233"/>
      <x:c r="BD496" s="233"/>
      <x:c r="BE496" s="237" t="str">
        <x:f>IF(AND(A496="",B496="",C496="",E496="",G496="",I496="",M496="",T496="",BB496="",BD496=""),"",IF(B496="skip","SKIP",IF(OR(B496="",A496="",E496="",G496="",I496="",M496="",T496="",COUNTIF($A$6:$A$505,A496)&gt;1,COUNTIF($M$6:$M$505,M496)&gt;1,AND(L496="mobile",N496&lt;&gt;"invalid",OR(LEN(M496)&lt;&gt;10,LEFT(M496,2)&lt;&gt;"09"))),"REVIEW","READY")))</x:f>
      </x:c>
      <x:c r="BF496" s="238" t="str">
        <x:f>IF(BE496="","",IF(BE496="READY","",IF(B496="skip","Skipped by import_action",TRIM(IF(B496="","missing import_action; ","")&amp;IF(A496="","missing migration_customer_key; ","")&amp;IF(AND(A496&lt;&gt;"",COUNTIF($A$6:$A$505,A496)&gt;1),"duplicate migration_customer_key; ","")&amp;IF(E496="","missing branch_id; ","")&amp;IF(G496="","missing first_name; ","")&amp;IF(I496="","missing last_name; ","")&amp;IF(M496="","missing primary_phone; ","")&amp;IF(AND(M496&lt;&gt;"",COUNTIF($M$6:$M$505,M496)&gt;1),"duplicate primary_phone; ","")&amp;IF(AND(L496="mobile",N496&lt;&gt;"invalid",OR(LEN(M496)&lt;&gt;10,LEFT(M496,2)&lt;&gt;"09")),"mobile must be 09XXXXXXXX or status invalid; ","")&amp;IF(T496="","missing neighborhood_id; ","")))))</x:f>
      </x:c>
    </x:row>
    <x:row r="497">
      <x:c r="A497" s="232"/>
      <x:c r="B497" s="233"/>
      <x:c r="C497" s="234"/>
      <x:c r="D497" s="233"/>
      <x:c r="E497" s="233"/>
      <x:c r="F497" s="233"/>
      <x:c r="G497" s="233"/>
      <x:c r="H497" s="233"/>
      <x:c r="I497" s="233"/>
      <x:c r="J497" s="233"/>
      <x:c r="K497" s="233" t="str">
        <x:f>TRIM(G497&amp;" "&amp;H497&amp;" "&amp;I497&amp;IF(J497&lt;&gt;""," ("&amp;J497&amp;")",""))</x:f>
      </x:c>
      <x:c r="L497" s="233"/>
      <x:c r="M497" s="234"/>
      <x:c r="N497" s="233"/>
      <x:c r="O497" s="233"/>
      <x:c r="P497" s="233"/>
      <x:c r="Q497" s="233"/>
      <x:c r="R497" s="233"/>
      <x:c r="S497" s="233"/>
      <x:c r="T497" s="233"/>
      <x:c r="U497" s="233"/>
      <x:c r="V497" s="233"/>
      <x:c r="W497" s="235"/>
      <x:c r="X497" s="235"/>
      <x:c r="Y497" s="233"/>
      <x:c r="Z497" s="233"/>
      <x:c r="AA497" s="233"/>
      <x:c r="AB497" s="233"/>
      <x:c r="AC497" s="236"/>
      <x:c r="AD497" s="233"/>
      <x:c r="AE497" s="233"/>
      <x:c r="AF497" s="233"/>
      <x:c r="AG497" s="233"/>
      <x:c r="AH497" s="234"/>
      <x:c r="AI497" s="233"/>
      <x:c r="AJ497" s="233"/>
      <x:c r="AK497" s="233"/>
      <x:c r="AL497" s="236"/>
      <x:c r="AM497" s="233"/>
      <x:c r="AN497" s="233"/>
      <x:c r="AO497" s="234"/>
      <x:c r="AP497" s="234"/>
      <x:c r="AQ497" s="233"/>
      <x:c r="AR497" s="236"/>
      <x:c r="AS497" s="234"/>
      <x:c r="AT497" s="233"/>
      <x:c r="AU497" s="233"/>
      <x:c r="AV497" s="233"/>
      <x:c r="AW497" s="233"/>
      <x:c r="AX497" s="233"/>
      <x:c r="AY497" s="233"/>
      <x:c r="AZ497" s="236"/>
      <x:c r="BA497" s="233"/>
      <x:c r="BB497" s="233"/>
      <x:c r="BC497" s="233"/>
      <x:c r="BD497" s="233"/>
      <x:c r="BE497" s="237" t="str">
        <x:f>IF(AND(A497="",B497="",C497="",E497="",G497="",I497="",M497="",T497="",BB497="",BD497=""),"",IF(B497="skip","SKIP",IF(OR(B497="",A497="",E497="",G497="",I497="",M497="",T497="",COUNTIF($A$6:$A$505,A497)&gt;1,COUNTIF($M$6:$M$505,M497)&gt;1,AND(L497="mobile",N497&lt;&gt;"invalid",OR(LEN(M497)&lt;&gt;10,LEFT(M497,2)&lt;&gt;"09"))),"REVIEW","READY")))</x:f>
      </x:c>
      <x:c r="BF497" s="238" t="str">
        <x:f>IF(BE497="","",IF(BE497="READY","",IF(B497="skip","Skipped by import_action",TRIM(IF(B497="","missing import_action; ","")&amp;IF(A497="","missing migration_customer_key; ","")&amp;IF(AND(A497&lt;&gt;"",COUNTIF($A$6:$A$505,A497)&gt;1),"duplicate migration_customer_key; ","")&amp;IF(E497="","missing branch_id; ","")&amp;IF(G497="","missing first_name; ","")&amp;IF(I497="","missing last_name; ","")&amp;IF(M497="","missing primary_phone; ","")&amp;IF(AND(M497&lt;&gt;"",COUNTIF($M$6:$M$505,M497)&gt;1),"duplicate primary_phone; ","")&amp;IF(AND(L497="mobile",N497&lt;&gt;"invalid",OR(LEN(M497)&lt;&gt;10,LEFT(M497,2)&lt;&gt;"09")),"mobile must be 09XXXXXXXX or status invalid; ","")&amp;IF(T497="","missing neighborhood_id; ","")))))</x:f>
      </x:c>
    </x:row>
    <x:row r="498">
      <x:c r="A498" s="232"/>
      <x:c r="B498" s="233"/>
      <x:c r="C498" s="234"/>
      <x:c r="D498" s="233"/>
      <x:c r="E498" s="233"/>
      <x:c r="F498" s="233"/>
      <x:c r="G498" s="233"/>
      <x:c r="H498" s="233"/>
      <x:c r="I498" s="233"/>
      <x:c r="J498" s="233"/>
      <x:c r="K498" s="233" t="str">
        <x:f>TRIM(G498&amp;" "&amp;H498&amp;" "&amp;I498&amp;IF(J498&lt;&gt;""," ("&amp;J498&amp;")",""))</x:f>
      </x:c>
      <x:c r="L498" s="233"/>
      <x:c r="M498" s="234"/>
      <x:c r="N498" s="233"/>
      <x:c r="O498" s="233"/>
      <x:c r="P498" s="233"/>
      <x:c r="Q498" s="233"/>
      <x:c r="R498" s="233"/>
      <x:c r="S498" s="233"/>
      <x:c r="T498" s="233"/>
      <x:c r="U498" s="233"/>
      <x:c r="V498" s="233"/>
      <x:c r="W498" s="235"/>
      <x:c r="X498" s="235"/>
      <x:c r="Y498" s="233"/>
      <x:c r="Z498" s="233"/>
      <x:c r="AA498" s="233"/>
      <x:c r="AB498" s="233"/>
      <x:c r="AC498" s="236"/>
      <x:c r="AD498" s="233"/>
      <x:c r="AE498" s="233"/>
      <x:c r="AF498" s="233"/>
      <x:c r="AG498" s="233"/>
      <x:c r="AH498" s="234"/>
      <x:c r="AI498" s="233"/>
      <x:c r="AJ498" s="233"/>
      <x:c r="AK498" s="233"/>
      <x:c r="AL498" s="236"/>
      <x:c r="AM498" s="233"/>
      <x:c r="AN498" s="233"/>
      <x:c r="AO498" s="234"/>
      <x:c r="AP498" s="234"/>
      <x:c r="AQ498" s="233"/>
      <x:c r="AR498" s="236"/>
      <x:c r="AS498" s="234"/>
      <x:c r="AT498" s="233"/>
      <x:c r="AU498" s="233"/>
      <x:c r="AV498" s="233"/>
      <x:c r="AW498" s="233"/>
      <x:c r="AX498" s="233"/>
      <x:c r="AY498" s="233"/>
      <x:c r="AZ498" s="236"/>
      <x:c r="BA498" s="233"/>
      <x:c r="BB498" s="233"/>
      <x:c r="BC498" s="233"/>
      <x:c r="BD498" s="233"/>
      <x:c r="BE498" s="237" t="str">
        <x:f>IF(AND(A498="",B498="",C498="",E498="",G498="",I498="",M498="",T498="",BB498="",BD498=""),"",IF(B498="skip","SKIP",IF(OR(B498="",A498="",E498="",G498="",I498="",M498="",T498="",COUNTIF($A$6:$A$505,A498)&gt;1,COUNTIF($M$6:$M$505,M498)&gt;1,AND(L498="mobile",N498&lt;&gt;"invalid",OR(LEN(M498)&lt;&gt;10,LEFT(M498,2)&lt;&gt;"09"))),"REVIEW","READY")))</x:f>
      </x:c>
      <x:c r="BF498" s="238" t="str">
        <x:f>IF(BE498="","",IF(BE498="READY","",IF(B498="skip","Skipped by import_action",TRIM(IF(B498="","missing import_action; ","")&amp;IF(A498="","missing migration_customer_key; ","")&amp;IF(AND(A498&lt;&gt;"",COUNTIF($A$6:$A$505,A498)&gt;1),"duplicate migration_customer_key; ","")&amp;IF(E498="","missing branch_id; ","")&amp;IF(G498="","missing first_name; ","")&amp;IF(I498="","missing last_name; ","")&amp;IF(M498="","missing primary_phone; ","")&amp;IF(AND(M498&lt;&gt;"",COUNTIF($M$6:$M$505,M498)&gt;1),"duplicate primary_phone; ","")&amp;IF(AND(L498="mobile",N498&lt;&gt;"invalid",OR(LEN(M498)&lt;&gt;10,LEFT(M498,2)&lt;&gt;"09")),"mobile must be 09XXXXXXXX or status invalid; ","")&amp;IF(T498="","missing neighborhood_id; ","")))))</x:f>
      </x:c>
    </x:row>
    <x:row r="499">
      <x:c r="A499" s="232"/>
      <x:c r="B499" s="233"/>
      <x:c r="C499" s="234"/>
      <x:c r="D499" s="233"/>
      <x:c r="E499" s="233"/>
      <x:c r="F499" s="233"/>
      <x:c r="G499" s="233"/>
      <x:c r="H499" s="233"/>
      <x:c r="I499" s="233"/>
      <x:c r="J499" s="233"/>
      <x:c r="K499" s="233" t="str">
        <x:f>TRIM(G499&amp;" "&amp;H499&amp;" "&amp;I499&amp;IF(J499&lt;&gt;""," ("&amp;J499&amp;")",""))</x:f>
      </x:c>
      <x:c r="L499" s="233"/>
      <x:c r="M499" s="234"/>
      <x:c r="N499" s="233"/>
      <x:c r="O499" s="233"/>
      <x:c r="P499" s="233"/>
      <x:c r="Q499" s="233"/>
      <x:c r="R499" s="233"/>
      <x:c r="S499" s="233"/>
      <x:c r="T499" s="233"/>
      <x:c r="U499" s="233"/>
      <x:c r="V499" s="233"/>
      <x:c r="W499" s="235"/>
      <x:c r="X499" s="235"/>
      <x:c r="Y499" s="233"/>
      <x:c r="Z499" s="233"/>
      <x:c r="AA499" s="233"/>
      <x:c r="AB499" s="233"/>
      <x:c r="AC499" s="236"/>
      <x:c r="AD499" s="233"/>
      <x:c r="AE499" s="233"/>
      <x:c r="AF499" s="233"/>
      <x:c r="AG499" s="233"/>
      <x:c r="AH499" s="234"/>
      <x:c r="AI499" s="233"/>
      <x:c r="AJ499" s="233"/>
      <x:c r="AK499" s="233"/>
      <x:c r="AL499" s="236"/>
      <x:c r="AM499" s="233"/>
      <x:c r="AN499" s="233"/>
      <x:c r="AO499" s="234"/>
      <x:c r="AP499" s="234"/>
      <x:c r="AQ499" s="233"/>
      <x:c r="AR499" s="236"/>
      <x:c r="AS499" s="234"/>
      <x:c r="AT499" s="233"/>
      <x:c r="AU499" s="233"/>
      <x:c r="AV499" s="233"/>
      <x:c r="AW499" s="233"/>
      <x:c r="AX499" s="233"/>
      <x:c r="AY499" s="233"/>
      <x:c r="AZ499" s="236"/>
      <x:c r="BA499" s="233"/>
      <x:c r="BB499" s="233"/>
      <x:c r="BC499" s="233"/>
      <x:c r="BD499" s="233"/>
      <x:c r="BE499" s="237" t="str">
        <x:f>IF(AND(A499="",B499="",C499="",E499="",G499="",I499="",M499="",T499="",BB499="",BD499=""),"",IF(B499="skip","SKIP",IF(OR(B499="",A499="",E499="",G499="",I499="",M499="",T499="",COUNTIF($A$6:$A$505,A499)&gt;1,COUNTIF($M$6:$M$505,M499)&gt;1,AND(L499="mobile",N499&lt;&gt;"invalid",OR(LEN(M499)&lt;&gt;10,LEFT(M499,2)&lt;&gt;"09"))),"REVIEW","READY")))</x:f>
      </x:c>
      <x:c r="BF499" s="238" t="str">
        <x:f>IF(BE499="","",IF(BE499="READY","",IF(B499="skip","Skipped by import_action",TRIM(IF(B499="","missing import_action; ","")&amp;IF(A499="","missing migration_customer_key; ","")&amp;IF(AND(A499&lt;&gt;"",COUNTIF($A$6:$A$505,A499)&gt;1),"duplicate migration_customer_key; ","")&amp;IF(E499="","missing branch_id; ","")&amp;IF(G499="","missing first_name; ","")&amp;IF(I499="","missing last_name; ","")&amp;IF(M499="","missing primary_phone; ","")&amp;IF(AND(M499&lt;&gt;"",COUNTIF($M$6:$M$505,M499)&gt;1),"duplicate primary_phone; ","")&amp;IF(AND(L499="mobile",N499&lt;&gt;"invalid",OR(LEN(M499)&lt;&gt;10,LEFT(M499,2)&lt;&gt;"09")),"mobile must be 09XXXXXXXX or status invalid; ","")&amp;IF(T499="","missing neighborhood_id; ","")))))</x:f>
      </x:c>
    </x:row>
    <x:row r="500">
      <x:c r="A500" s="232"/>
      <x:c r="B500" s="233"/>
      <x:c r="C500" s="234"/>
      <x:c r="D500" s="233"/>
      <x:c r="E500" s="233"/>
      <x:c r="F500" s="233"/>
      <x:c r="G500" s="233"/>
      <x:c r="H500" s="233"/>
      <x:c r="I500" s="233"/>
      <x:c r="J500" s="233"/>
      <x:c r="K500" s="233" t="str">
        <x:f>TRIM(G500&amp;" "&amp;H500&amp;" "&amp;I500&amp;IF(J500&lt;&gt;""," ("&amp;J500&amp;")",""))</x:f>
      </x:c>
      <x:c r="L500" s="233"/>
      <x:c r="M500" s="234"/>
      <x:c r="N500" s="233"/>
      <x:c r="O500" s="233"/>
      <x:c r="P500" s="233"/>
      <x:c r="Q500" s="233"/>
      <x:c r="R500" s="233"/>
      <x:c r="S500" s="233"/>
      <x:c r="T500" s="233"/>
      <x:c r="U500" s="233"/>
      <x:c r="V500" s="233"/>
      <x:c r="W500" s="235"/>
      <x:c r="X500" s="235"/>
      <x:c r="Y500" s="233"/>
      <x:c r="Z500" s="233"/>
      <x:c r="AA500" s="233"/>
      <x:c r="AB500" s="233"/>
      <x:c r="AC500" s="236"/>
      <x:c r="AD500" s="233"/>
      <x:c r="AE500" s="233"/>
      <x:c r="AF500" s="233"/>
      <x:c r="AG500" s="233"/>
      <x:c r="AH500" s="234"/>
      <x:c r="AI500" s="233"/>
      <x:c r="AJ500" s="233"/>
      <x:c r="AK500" s="233"/>
      <x:c r="AL500" s="236"/>
      <x:c r="AM500" s="233"/>
      <x:c r="AN500" s="233"/>
      <x:c r="AO500" s="234"/>
      <x:c r="AP500" s="234"/>
      <x:c r="AQ500" s="233"/>
      <x:c r="AR500" s="236"/>
      <x:c r="AS500" s="234"/>
      <x:c r="AT500" s="233"/>
      <x:c r="AU500" s="233"/>
      <x:c r="AV500" s="233"/>
      <x:c r="AW500" s="233"/>
      <x:c r="AX500" s="233"/>
      <x:c r="AY500" s="233"/>
      <x:c r="AZ500" s="236"/>
      <x:c r="BA500" s="233"/>
      <x:c r="BB500" s="233"/>
      <x:c r="BC500" s="233"/>
      <x:c r="BD500" s="233"/>
      <x:c r="BE500" s="237" t="str">
        <x:f>IF(AND(A500="",B500="",C500="",E500="",G500="",I500="",M500="",T500="",BB500="",BD500=""),"",IF(B500="skip","SKIP",IF(OR(B500="",A500="",E500="",G500="",I500="",M500="",T500="",COUNTIF($A$6:$A$505,A500)&gt;1,COUNTIF($M$6:$M$505,M500)&gt;1,AND(L500="mobile",N500&lt;&gt;"invalid",OR(LEN(M500)&lt;&gt;10,LEFT(M500,2)&lt;&gt;"09"))),"REVIEW","READY")))</x:f>
      </x:c>
      <x:c r="BF500" s="238" t="str">
        <x:f>IF(BE500="","",IF(BE500="READY","",IF(B500="skip","Skipped by import_action",TRIM(IF(B500="","missing import_action; ","")&amp;IF(A500="","missing migration_customer_key; ","")&amp;IF(AND(A500&lt;&gt;"",COUNTIF($A$6:$A$505,A500)&gt;1),"duplicate migration_customer_key; ","")&amp;IF(E500="","missing branch_id; ","")&amp;IF(G500="","missing first_name; ","")&amp;IF(I500="","missing last_name; ","")&amp;IF(M500="","missing primary_phone; ","")&amp;IF(AND(M500&lt;&gt;"",COUNTIF($M$6:$M$505,M500)&gt;1),"duplicate primary_phone; ","")&amp;IF(AND(L500="mobile",N500&lt;&gt;"invalid",OR(LEN(M500)&lt;&gt;10,LEFT(M500,2)&lt;&gt;"09")),"mobile must be 09XXXXXXXX or status invalid; ","")&amp;IF(T500="","missing neighborhood_id; ","")))))</x:f>
      </x:c>
    </x:row>
    <x:row r="501">
      <x:c r="A501" s="232"/>
      <x:c r="B501" s="233"/>
      <x:c r="C501" s="234"/>
      <x:c r="D501" s="233"/>
      <x:c r="E501" s="233"/>
      <x:c r="F501" s="233"/>
      <x:c r="G501" s="233"/>
      <x:c r="H501" s="233"/>
      <x:c r="I501" s="233"/>
      <x:c r="J501" s="233"/>
      <x:c r="K501" s="233" t="str">
        <x:f>TRIM(G501&amp;" "&amp;H501&amp;" "&amp;I501&amp;IF(J501&lt;&gt;""," ("&amp;J501&amp;")",""))</x:f>
      </x:c>
      <x:c r="L501" s="233"/>
      <x:c r="M501" s="234"/>
      <x:c r="N501" s="233"/>
      <x:c r="O501" s="233"/>
      <x:c r="P501" s="233"/>
      <x:c r="Q501" s="233"/>
      <x:c r="R501" s="233"/>
      <x:c r="S501" s="233"/>
      <x:c r="T501" s="233"/>
      <x:c r="U501" s="233"/>
      <x:c r="V501" s="233"/>
      <x:c r="W501" s="235"/>
      <x:c r="X501" s="235"/>
      <x:c r="Y501" s="233"/>
      <x:c r="Z501" s="233"/>
      <x:c r="AA501" s="233"/>
      <x:c r="AB501" s="233"/>
      <x:c r="AC501" s="236"/>
      <x:c r="AD501" s="233"/>
      <x:c r="AE501" s="233"/>
      <x:c r="AF501" s="233"/>
      <x:c r="AG501" s="233"/>
      <x:c r="AH501" s="234"/>
      <x:c r="AI501" s="233"/>
      <x:c r="AJ501" s="233"/>
      <x:c r="AK501" s="233"/>
      <x:c r="AL501" s="236"/>
      <x:c r="AM501" s="233"/>
      <x:c r="AN501" s="233"/>
      <x:c r="AO501" s="234"/>
      <x:c r="AP501" s="234"/>
      <x:c r="AQ501" s="233"/>
      <x:c r="AR501" s="236"/>
      <x:c r="AS501" s="234"/>
      <x:c r="AT501" s="233"/>
      <x:c r="AU501" s="233"/>
      <x:c r="AV501" s="233"/>
      <x:c r="AW501" s="233"/>
      <x:c r="AX501" s="233"/>
      <x:c r="AY501" s="233"/>
      <x:c r="AZ501" s="236"/>
      <x:c r="BA501" s="233"/>
      <x:c r="BB501" s="233"/>
      <x:c r="BC501" s="233"/>
      <x:c r="BD501" s="233"/>
      <x:c r="BE501" s="237" t="str">
        <x:f>IF(AND(A501="",B501="",C501="",E501="",G501="",I501="",M501="",T501="",BB501="",BD501=""),"",IF(B501="skip","SKIP",IF(OR(B501="",A501="",E501="",G501="",I501="",M501="",T501="",COUNTIF($A$6:$A$505,A501)&gt;1,COUNTIF($M$6:$M$505,M501)&gt;1,AND(L501="mobile",N501&lt;&gt;"invalid",OR(LEN(M501)&lt;&gt;10,LEFT(M501,2)&lt;&gt;"09"))),"REVIEW","READY")))</x:f>
      </x:c>
      <x:c r="BF501" s="238" t="str">
        <x:f>IF(BE501="","",IF(BE501="READY","",IF(B501="skip","Skipped by import_action",TRIM(IF(B501="","missing import_action; ","")&amp;IF(A501="","missing migration_customer_key; ","")&amp;IF(AND(A501&lt;&gt;"",COUNTIF($A$6:$A$505,A501)&gt;1),"duplicate migration_customer_key; ","")&amp;IF(E501="","missing branch_id; ","")&amp;IF(G501="","missing first_name; ","")&amp;IF(I501="","missing last_name; ","")&amp;IF(M501="","missing primary_phone; ","")&amp;IF(AND(M501&lt;&gt;"",COUNTIF($M$6:$M$505,M501)&gt;1),"duplicate primary_phone; ","")&amp;IF(AND(L501="mobile",N501&lt;&gt;"invalid",OR(LEN(M501)&lt;&gt;10,LEFT(M501,2)&lt;&gt;"09")),"mobile must be 09XXXXXXXX or status invalid; ","")&amp;IF(T501="","missing neighborhood_id; ","")))))</x:f>
      </x:c>
    </x:row>
    <x:row r="502">
      <x:c r="A502" s="232"/>
      <x:c r="B502" s="233"/>
      <x:c r="C502" s="234"/>
      <x:c r="D502" s="233"/>
      <x:c r="E502" s="233"/>
      <x:c r="F502" s="233"/>
      <x:c r="G502" s="233"/>
      <x:c r="H502" s="233"/>
      <x:c r="I502" s="233"/>
      <x:c r="J502" s="233"/>
      <x:c r="K502" s="233" t="str">
        <x:f>TRIM(G502&amp;" "&amp;H502&amp;" "&amp;I502&amp;IF(J502&lt;&gt;""," ("&amp;J502&amp;")",""))</x:f>
      </x:c>
      <x:c r="L502" s="233"/>
      <x:c r="M502" s="234"/>
      <x:c r="N502" s="233"/>
      <x:c r="O502" s="233"/>
      <x:c r="P502" s="233"/>
      <x:c r="Q502" s="233"/>
      <x:c r="R502" s="233"/>
      <x:c r="S502" s="233"/>
      <x:c r="T502" s="233"/>
      <x:c r="U502" s="233"/>
      <x:c r="V502" s="233"/>
      <x:c r="W502" s="235"/>
      <x:c r="X502" s="235"/>
      <x:c r="Y502" s="233"/>
      <x:c r="Z502" s="233"/>
      <x:c r="AA502" s="233"/>
      <x:c r="AB502" s="233"/>
      <x:c r="AC502" s="236"/>
      <x:c r="AD502" s="233"/>
      <x:c r="AE502" s="233"/>
      <x:c r="AF502" s="233"/>
      <x:c r="AG502" s="233"/>
      <x:c r="AH502" s="234"/>
      <x:c r="AI502" s="233"/>
      <x:c r="AJ502" s="233"/>
      <x:c r="AK502" s="233"/>
      <x:c r="AL502" s="236"/>
      <x:c r="AM502" s="233"/>
      <x:c r="AN502" s="233"/>
      <x:c r="AO502" s="234"/>
      <x:c r="AP502" s="234"/>
      <x:c r="AQ502" s="233"/>
      <x:c r="AR502" s="236"/>
      <x:c r="AS502" s="234"/>
      <x:c r="AT502" s="233"/>
      <x:c r="AU502" s="233"/>
      <x:c r="AV502" s="233"/>
      <x:c r="AW502" s="233"/>
      <x:c r="AX502" s="233"/>
      <x:c r="AY502" s="233"/>
      <x:c r="AZ502" s="236"/>
      <x:c r="BA502" s="233"/>
      <x:c r="BB502" s="233"/>
      <x:c r="BC502" s="233"/>
      <x:c r="BD502" s="233"/>
      <x:c r="BE502" s="237" t="str">
        <x:f>IF(AND(A502="",B502="",C502="",E502="",G502="",I502="",M502="",T502="",BB502="",BD502=""),"",IF(B502="skip","SKIP",IF(OR(B502="",A502="",E502="",G502="",I502="",M502="",T502="",COUNTIF($A$6:$A$505,A502)&gt;1,COUNTIF($M$6:$M$505,M502)&gt;1,AND(L502="mobile",N502&lt;&gt;"invalid",OR(LEN(M502)&lt;&gt;10,LEFT(M502,2)&lt;&gt;"09"))),"REVIEW","READY")))</x:f>
      </x:c>
      <x:c r="BF502" s="238" t="str">
        <x:f>IF(BE502="","",IF(BE502="READY","",IF(B502="skip","Skipped by import_action",TRIM(IF(B502="","missing import_action; ","")&amp;IF(A502="","missing migration_customer_key; ","")&amp;IF(AND(A502&lt;&gt;"",COUNTIF($A$6:$A$505,A502)&gt;1),"duplicate migration_customer_key; ","")&amp;IF(E502="","missing branch_id; ","")&amp;IF(G502="","missing first_name; ","")&amp;IF(I502="","missing last_name; ","")&amp;IF(M502="","missing primary_phone; ","")&amp;IF(AND(M502&lt;&gt;"",COUNTIF($M$6:$M$505,M502)&gt;1),"duplicate primary_phone; ","")&amp;IF(AND(L502="mobile",N502&lt;&gt;"invalid",OR(LEN(M502)&lt;&gt;10,LEFT(M502,2)&lt;&gt;"09")),"mobile must be 09XXXXXXXX or status invalid; ","")&amp;IF(T502="","missing neighborhood_id; ","")))))</x:f>
      </x:c>
    </x:row>
    <x:row r="503">
      <x:c r="A503" s="232"/>
      <x:c r="B503" s="233"/>
      <x:c r="C503" s="234"/>
      <x:c r="D503" s="233"/>
      <x:c r="E503" s="233"/>
      <x:c r="F503" s="233"/>
      <x:c r="G503" s="233"/>
      <x:c r="H503" s="233"/>
      <x:c r="I503" s="233"/>
      <x:c r="J503" s="233"/>
      <x:c r="K503" s="233" t="str">
        <x:f>TRIM(G503&amp;" "&amp;H503&amp;" "&amp;I503&amp;IF(J503&lt;&gt;""," ("&amp;J503&amp;")",""))</x:f>
      </x:c>
      <x:c r="L503" s="233"/>
      <x:c r="M503" s="234"/>
      <x:c r="N503" s="233"/>
      <x:c r="O503" s="233"/>
      <x:c r="P503" s="233"/>
      <x:c r="Q503" s="233"/>
      <x:c r="R503" s="233"/>
      <x:c r="S503" s="233"/>
      <x:c r="T503" s="233"/>
      <x:c r="U503" s="233"/>
      <x:c r="V503" s="233"/>
      <x:c r="W503" s="235"/>
      <x:c r="X503" s="235"/>
      <x:c r="Y503" s="233"/>
      <x:c r="Z503" s="233"/>
      <x:c r="AA503" s="233"/>
      <x:c r="AB503" s="233"/>
      <x:c r="AC503" s="236"/>
      <x:c r="AD503" s="233"/>
      <x:c r="AE503" s="233"/>
      <x:c r="AF503" s="233"/>
      <x:c r="AG503" s="233"/>
      <x:c r="AH503" s="234"/>
      <x:c r="AI503" s="233"/>
      <x:c r="AJ503" s="233"/>
      <x:c r="AK503" s="233"/>
      <x:c r="AL503" s="236"/>
      <x:c r="AM503" s="233"/>
      <x:c r="AN503" s="233"/>
      <x:c r="AO503" s="234"/>
      <x:c r="AP503" s="234"/>
      <x:c r="AQ503" s="233"/>
      <x:c r="AR503" s="236"/>
      <x:c r="AS503" s="234"/>
      <x:c r="AT503" s="233"/>
      <x:c r="AU503" s="233"/>
      <x:c r="AV503" s="233"/>
      <x:c r="AW503" s="233"/>
      <x:c r="AX503" s="233"/>
      <x:c r="AY503" s="233"/>
      <x:c r="AZ503" s="236"/>
      <x:c r="BA503" s="233"/>
      <x:c r="BB503" s="233"/>
      <x:c r="BC503" s="233"/>
      <x:c r="BD503" s="233"/>
      <x:c r="BE503" s="237" t="str">
        <x:f>IF(AND(A503="",B503="",C503="",E503="",G503="",I503="",M503="",T503="",BB503="",BD503=""),"",IF(B503="skip","SKIP",IF(OR(B503="",A503="",E503="",G503="",I503="",M503="",T503="",COUNTIF($A$6:$A$505,A503)&gt;1,COUNTIF($M$6:$M$505,M503)&gt;1,AND(L503="mobile",N503&lt;&gt;"invalid",OR(LEN(M503)&lt;&gt;10,LEFT(M503,2)&lt;&gt;"09"))),"REVIEW","READY")))</x:f>
      </x:c>
      <x:c r="BF503" s="238" t="str">
        <x:f>IF(BE503="","",IF(BE503="READY","",IF(B503="skip","Skipped by import_action",TRIM(IF(B503="","missing import_action; ","")&amp;IF(A503="","missing migration_customer_key; ","")&amp;IF(AND(A503&lt;&gt;"",COUNTIF($A$6:$A$505,A503)&gt;1),"duplicate migration_customer_key; ","")&amp;IF(E503="","missing branch_id; ","")&amp;IF(G503="","missing first_name; ","")&amp;IF(I503="","missing last_name; ","")&amp;IF(M503="","missing primary_phone; ","")&amp;IF(AND(M503&lt;&gt;"",COUNTIF($M$6:$M$505,M503)&gt;1),"duplicate primary_phone; ","")&amp;IF(AND(L503="mobile",N503&lt;&gt;"invalid",OR(LEN(M503)&lt;&gt;10,LEFT(M503,2)&lt;&gt;"09")),"mobile must be 09XXXXXXXX or status invalid; ","")&amp;IF(T503="","missing neighborhood_id; ","")))))</x:f>
      </x:c>
    </x:row>
    <x:row r="504">
      <x:c r="A504" s="232"/>
      <x:c r="B504" s="233"/>
      <x:c r="C504" s="234"/>
      <x:c r="D504" s="233"/>
      <x:c r="E504" s="233"/>
      <x:c r="F504" s="233"/>
      <x:c r="G504" s="233"/>
      <x:c r="H504" s="233"/>
      <x:c r="I504" s="233"/>
      <x:c r="J504" s="233"/>
      <x:c r="K504" s="233" t="str">
        <x:f>TRIM(G504&amp;" "&amp;H504&amp;" "&amp;I504&amp;IF(J504&lt;&gt;""," ("&amp;J504&amp;")",""))</x:f>
      </x:c>
      <x:c r="L504" s="233"/>
      <x:c r="M504" s="234"/>
      <x:c r="N504" s="233"/>
      <x:c r="O504" s="233"/>
      <x:c r="P504" s="233"/>
      <x:c r="Q504" s="233"/>
      <x:c r="R504" s="233"/>
      <x:c r="S504" s="233"/>
      <x:c r="T504" s="233"/>
      <x:c r="U504" s="233"/>
      <x:c r="V504" s="233"/>
      <x:c r="W504" s="235"/>
      <x:c r="X504" s="235"/>
      <x:c r="Y504" s="233"/>
      <x:c r="Z504" s="233"/>
      <x:c r="AA504" s="233"/>
      <x:c r="AB504" s="233"/>
      <x:c r="AC504" s="236"/>
      <x:c r="AD504" s="233"/>
      <x:c r="AE504" s="233"/>
      <x:c r="AF504" s="233"/>
      <x:c r="AG504" s="233"/>
      <x:c r="AH504" s="234"/>
      <x:c r="AI504" s="233"/>
      <x:c r="AJ504" s="233"/>
      <x:c r="AK504" s="233"/>
      <x:c r="AL504" s="236"/>
      <x:c r="AM504" s="233"/>
      <x:c r="AN504" s="233"/>
      <x:c r="AO504" s="234"/>
      <x:c r="AP504" s="234"/>
      <x:c r="AQ504" s="233"/>
      <x:c r="AR504" s="236"/>
      <x:c r="AS504" s="234"/>
      <x:c r="AT504" s="233"/>
      <x:c r="AU504" s="233"/>
      <x:c r="AV504" s="233"/>
      <x:c r="AW504" s="233"/>
      <x:c r="AX504" s="233"/>
      <x:c r="AY504" s="233"/>
      <x:c r="AZ504" s="236"/>
      <x:c r="BA504" s="233"/>
      <x:c r="BB504" s="233"/>
      <x:c r="BC504" s="233"/>
      <x:c r="BD504" s="233"/>
      <x:c r="BE504" s="237" t="str">
        <x:f>IF(AND(A504="",B504="",C504="",E504="",G504="",I504="",M504="",T504="",BB504="",BD504=""),"",IF(B504="skip","SKIP",IF(OR(B504="",A504="",E504="",G504="",I504="",M504="",T504="",COUNTIF($A$6:$A$505,A504)&gt;1,COUNTIF($M$6:$M$505,M504)&gt;1,AND(L504="mobile",N504&lt;&gt;"invalid",OR(LEN(M504)&lt;&gt;10,LEFT(M504,2)&lt;&gt;"09"))),"REVIEW","READY")))</x:f>
      </x:c>
      <x:c r="BF504" s="238" t="str">
        <x:f>IF(BE504="","",IF(BE504="READY","",IF(B504="skip","Skipped by import_action",TRIM(IF(B504="","missing import_action; ","")&amp;IF(A504="","missing migration_customer_key; ","")&amp;IF(AND(A504&lt;&gt;"",COUNTIF($A$6:$A$505,A504)&gt;1),"duplicate migration_customer_key; ","")&amp;IF(E504="","missing branch_id; ","")&amp;IF(G504="","missing first_name; ","")&amp;IF(I504="","missing last_name; ","")&amp;IF(M504="","missing primary_phone; ","")&amp;IF(AND(M504&lt;&gt;"",COUNTIF($M$6:$M$505,M504)&gt;1),"duplicate primary_phone; ","")&amp;IF(AND(L504="mobile",N504&lt;&gt;"invalid",OR(LEN(M504)&lt;&gt;10,LEFT(M504,2)&lt;&gt;"09")),"mobile must be 09XXXXXXXX or status invalid; ","")&amp;IF(T504="","missing neighborhood_id; ","")))))</x:f>
      </x:c>
    </x:row>
    <x:row r="505">
      <x:c r="A505" s="239"/>
      <x:c r="B505" s="240"/>
      <x:c r="C505" s="241"/>
      <x:c r="D505" s="240"/>
      <x:c r="E505" s="240"/>
      <x:c r="F505" s="240"/>
      <x:c r="G505" s="240"/>
      <x:c r="H505" s="240"/>
      <x:c r="I505" s="240"/>
      <x:c r="J505" s="240"/>
      <x:c r="K505" s="240" t="str">
        <x:f>TRIM(G505&amp;" "&amp;H505&amp;" "&amp;I505&amp;IF(J505&lt;&gt;""," ("&amp;J505&amp;")",""))</x:f>
      </x:c>
      <x:c r="L505" s="240"/>
      <x:c r="M505" s="241"/>
      <x:c r="N505" s="240"/>
      <x:c r="O505" s="240"/>
      <x:c r="P505" s="240"/>
      <x:c r="Q505" s="240"/>
      <x:c r="R505" s="240"/>
      <x:c r="S505" s="240"/>
      <x:c r="T505" s="240"/>
      <x:c r="U505" s="240"/>
      <x:c r="V505" s="240"/>
      <x:c r="W505" s="242"/>
      <x:c r="X505" s="242"/>
      <x:c r="Y505" s="240"/>
      <x:c r="Z505" s="240"/>
      <x:c r="AA505" s="240"/>
      <x:c r="AB505" s="240"/>
      <x:c r="AC505" s="243"/>
      <x:c r="AD505" s="240"/>
      <x:c r="AE505" s="240"/>
      <x:c r="AF505" s="240"/>
      <x:c r="AG505" s="240"/>
      <x:c r="AH505" s="241"/>
      <x:c r="AI505" s="240"/>
      <x:c r="AJ505" s="240"/>
      <x:c r="AK505" s="240"/>
      <x:c r="AL505" s="243"/>
      <x:c r="AM505" s="240"/>
      <x:c r="AN505" s="240"/>
      <x:c r="AO505" s="241"/>
      <x:c r="AP505" s="241"/>
      <x:c r="AQ505" s="240"/>
      <x:c r="AR505" s="243"/>
      <x:c r="AS505" s="241"/>
      <x:c r="AT505" s="240"/>
      <x:c r="AU505" s="240"/>
      <x:c r="AV505" s="240"/>
      <x:c r="AW505" s="240"/>
      <x:c r="AX505" s="240"/>
      <x:c r="AY505" s="240"/>
      <x:c r="AZ505" s="243"/>
      <x:c r="BA505" s="240"/>
      <x:c r="BB505" s="240"/>
      <x:c r="BC505" s="240"/>
      <x:c r="BD505" s="240"/>
      <x:c r="BE505" s="244" t="str">
        <x:f>IF(AND(A505="",B505="",C505="",E505="",G505="",I505="",M505="",T505="",BB505="",BD505=""),"",IF(B505="skip","SKIP",IF(OR(B505="",A505="",E505="",G505="",I505="",M505="",T505="",COUNTIF($A$6:$A$505,A505)&gt;1,COUNTIF($M$6:$M$505,M505)&gt;1,AND(L505="mobile",N505&lt;&gt;"invalid",OR(LEN(M505)&lt;&gt;10,LEFT(M505,2)&lt;&gt;"09"))),"REVIEW","READY")))</x:f>
      </x:c>
      <x:c r="BF505" s="245" t="str">
        <x:f>IF(BE505="","",IF(BE505="READY","",IF(B505="skip","Skipped by import_action",TRIM(IF(B505="","missing import_action; ","")&amp;IF(A505="","missing migration_customer_key; ","")&amp;IF(AND(A505&lt;&gt;"",COUNTIF($A$6:$A$505,A505)&gt;1),"duplicate migration_customer_key; ","")&amp;IF(E505="","missing branch_id; ","")&amp;IF(G505="","missing first_name; ","")&amp;IF(I505="","missing last_name; ","")&amp;IF(M505="","missing primary_phone; ","")&amp;IF(AND(M505&lt;&gt;"",COUNTIF($M$6:$M$505,M505)&gt;1),"duplicate primary_phone; ","")&amp;IF(AND(L505="mobile",N505&lt;&gt;"invalid",OR(LEN(M505)&lt;&gt;10,LEFT(M505,2)&lt;&gt;"09")),"mobile must be 09XXXXXXXX or status invalid; ","")&amp;IF(T505="","missing neighborhood_id; ","")))))</x:f>
      </x:c>
    </x:row>
  </x:sheetData>
  <x:mergeCells>
    <x:mergeCell ref="A1:BF1"/>
    <x:mergeCell ref="A2:BF2"/>
    <x:mergeCell ref="A4:D4"/>
    <x:mergeCell ref="E4:F4"/>
    <x:mergeCell ref="G4:K4"/>
    <x:mergeCell ref="L4:O4"/>
    <x:mergeCell ref="P4:X4"/>
    <x:mergeCell ref="Y4:AG4"/>
    <x:mergeCell ref="AI4:AK4"/>
    <x:mergeCell ref="AL4:AS4"/>
    <x:mergeCell ref="AT4:AX4"/>
    <x:mergeCell ref="AY4:BA4"/>
    <x:mergeCell ref="BC4:BF4"/>
  </x:mergeCells>
  <x:conditionalFormatting sqref="BE6:BE505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SKIP"/>
  </x:conditionalFormatting>
  <x:dataValidations count="13">
    <x:dataValidation type="list" sqref="B6:B505">
      <x:formula1>"create,update,skip"</x:formula1>
    </x:dataValidation>
    <x:dataValidation type="list" sqref="L6:L505">
      <x:formula1>"mobile,landline,other"</x:formula1>
    </x:dataValidation>
    <x:dataValidation type="list" sqref="N6:N505">
      <x:formula1>"active,preferred,out-of-coverage,unused,invalid"</x:formula1>
    </x:dataValidation>
    <x:dataValidation type="list" sqref="O6:O505">
      <x:formula1>"TRUE,FALSE"</x:formula1>
    </x:dataValidation>
    <x:dataValidation type="list" sqref="Y6:Y505">
      <x:formula1>"PhoneCall,SocialMedia,Campaign,Acquaintance"</x:formula1>
    </x:dataValidation>
    <x:dataValidation type="list" sqref="Z6:Z505">
      <x:formula1>"Personal,Employee,Client,Unknown"</x:formula1>
    </x:dataValidation>
    <x:dataValidation type="list" sqref="AI6:AI505">
      <x:formula1>"TRUE,FALSE"</x:formula1>
    </x:dataValidation>
    <x:dataValidation type="list" sqref="AJ6:AJ505">
      <x:formula1>"Lead,FOP,OP"</x:formula1>
    </x:dataValidation>
    <x:dataValidation type="list" sqref="AL6:AL505">
      <x:formula1>"male,female"</x:formula1>
    </x:dataValidation>
    <x:dataValidation type="list" sqref="AW6:AW505">
      <x:formula1>"correct,incorrect,needs_edit"</x:formula1>
    </x:dataValidation>
    <x:dataValidation type="list" sqref="AX6:AX505">
      <x:formula1>"Undefined,Committed,NotCommitted"</x:formula1>
    </x:dataValidation>
    <x:dataValidation type="list" sqref="AY6:AY505">
      <x:formula1>"TRUE,FALSE"</x:formula1>
    </x:dataValidation>
    <x:dataValidation type="list" sqref="BC6:BC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216b19b16849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8" hidden="0" customWidth="1"/>
    <x:col min="5" max="5" width="12" hidden="0" customWidth="1"/>
    <x:col min="6" max="6" width="2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34" hidden="0" customWidth="1"/>
    <x:col min="12" max="12" width="14" hidden="0" customWidth="1"/>
    <x:col min="13" max="13" width="44" hidden="0" customWidth="1"/>
  </x:cols>
  <x:sheetData>
    <x:row r="1" ht="34" customHeight="1">
      <x:c r="A1" s="18" t="str">
        <x:v>أرقام التواصل الإضافية</x:v>
      </x:c>
      <x:c r="B1" s="18" t="str">
        <x:v>أرقام التواصل الإضافية</x:v>
      </x:c>
      <x:c r="C1" s="18" t="str">
        <x:v>أرقام التواصل الإضافية</x:v>
      </x:c>
      <x:c r="D1" s="18" t="str">
        <x:v>أرقام التواصل الإضافية</x:v>
      </x:c>
      <x:c r="E1" s="18" t="str">
        <x:v>أرقام التواصل الإضافية</x:v>
      </x:c>
      <x:c r="F1" s="18" t="str">
        <x:v>أرقام التواصل الإضافية</x:v>
      </x:c>
      <x:c r="G1" s="18" t="str">
        <x:v>أرقام التواصل الإضافية</x:v>
      </x:c>
      <x:c r="H1" s="18" t="str">
        <x:v>أرقام التواصل الإضافية</x:v>
      </x:c>
      <x:c r="I1" s="18" t="str">
        <x:v>أرقام التواصل الإضافية</x:v>
      </x:c>
      <x:c r="J1" s="18" t="str">
        <x:v>أرقام التواصل الإضافية</x:v>
      </x:c>
      <x:c r="K1" s="18" t="str">
        <x:v>أرقام التواصل الإضافية</x:v>
      </x:c>
      <x:c r="L1" s="18" t="str">
        <x:v>أرقام التواصل الإضافية</x:v>
      </x:c>
      <x:c r="M1" s="18" t="str">
        <x:v>أرقام التواصل الإضافية</x:v>
      </x:c>
    </x:row>
    <x:row r="2" ht="28" customHeight="1">
      <x:c r="A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B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C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D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E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F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G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H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I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J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K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L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M2" s="19" t="str">
        <x:v>استخدم هذا الشيت للأرقام الإضافية. الرقم الأساسي موجود في شيت الزبائن، ويمكن تكراره هنا فقط إذا احتجت تمثيل contacts كاملاً.</x:v>
      </x:c>
    </x:row>
    <x:row r="3">
      <x:c r="A3" s="196" t="str">
        <x:v>migration_customer_key</x:v>
      </x:c>
      <x:c r="B3" s="196" t="str">
        <x:v>contact_order</x:v>
      </x:c>
      <x:c r="C3" s="196" t="str">
        <x:v>contact_type</x:v>
      </x:c>
      <x:c r="D3" s="196" t="str">
        <x:v>number</x:v>
      </x:c>
      <x:c r="E3" s="196" t="str">
        <x:v>area_code</x:v>
      </x:c>
      <x:c r="F3" s="196" t="str">
        <x:v>label</x:v>
      </x:c>
      <x:c r="G3" s="196" t="str">
        <x:v>has_whatsapp</x:v>
      </x:c>
      <x:c r="H3" s="196" t="str">
        <x:v>is_primary</x:v>
      </x:c>
      <x:c r="I3" s="196" t="str">
        <x:v>status</x:v>
      </x:c>
      <x:c r="J3" s="196" t="str">
        <x:v>cleanup_status</x:v>
      </x:c>
      <x:c r="K3" s="196" t="str">
        <x:v>notes</x:v>
      </x:c>
      <x:c r="L3" s="196" t="str">
        <x:v>row_status</x:v>
      </x:c>
      <x:c r="M3" s="196" t="str">
        <x:v>row_issues</x:v>
      </x:c>
    </x:row>
    <x:row r="4">
      <x:c r="A4" s="249" t="str">
        <x:v>ربط</x:v>
      </x:c>
      <x:c r="B4" s="205" t="str">
        <x:v>التواصل</x:v>
      </x:c>
      <x:c r="C4" s="206" t="str">
        <x:v>التواصل</x:v>
      </x:c>
      <x:c r="D4" s="206" t="str">
        <x:v>التواصل</x:v>
      </x:c>
      <x:c r="E4" s="206" t="str">
        <x:v>التواصل</x:v>
      </x:c>
      <x:c r="F4" s="206" t="str">
        <x:v>التواصل</x:v>
      </x:c>
      <x:c r="G4" s="206" t="str">
        <x:v>التواصل</x:v>
      </x:c>
      <x:c r="H4" s="206" t="str">
        <x:v>التواصل</x:v>
      </x:c>
      <x:c r="I4" s="207" t="str">
        <x:v>التواصل</x:v>
      </x:c>
      <x:c r="J4" s="225" t="str">
        <x:v>مراجعة</x:v>
      </x:c>
      <x:c r="K4" s="226" t="str">
        <x:v>مراجعة</x:v>
      </x:c>
      <x:c r="L4" s="226" t="str">
        <x:v>مراجعة</x:v>
      </x:c>
      <x:c r="M4" s="227" t="str">
        <x:v>مراجعة</x:v>
      </x:c>
    </x:row>
    <x:row r="5" ht="42" customHeight="1">
      <x:c r="A5" s="250" t="str">
        <x:v>مفتاح الزبون للهجرة</x:v>
      </x:c>
      <x:c r="B5" s="230" t="str">
        <x:v>ترتيب الرقم</x:v>
      </x:c>
      <x:c r="C5" s="230" t="str">
        <x:v>نوع الرقم</x:v>
      </x:c>
      <x:c r="D5" s="230" t="str">
        <x:v>الرقم</x:v>
      </x:c>
      <x:c r="E5" s="230" t="str">
        <x:v>مفتاح الأرضي</x:v>
      </x:c>
      <x:c r="F5" s="230" t="str">
        <x:v>العلاقة/الوصف</x:v>
      </x:c>
      <x:c r="G5" s="230" t="str">
        <x:v>واتساب</x:v>
      </x:c>
      <x:c r="H5" s="230" t="str">
        <x:v>أساسي؟</x:v>
      </x:c>
      <x:c r="I5" s="230" t="str">
        <x:v>حالة الرقم</x:v>
      </x:c>
      <x:c r="J5" s="230" t="str">
        <x:v>حالة التنظيف</x:v>
      </x:c>
      <x:c r="K5" s="230" t="str">
        <x:v>ملاحظات</x:v>
      </x:c>
      <x:c r="L5" s="230" t="str">
        <x:v>حالة الصف</x:v>
      </x:c>
      <x:c r="M5" s="231" t="str">
        <x:v>رسائل التنظيف</x:v>
      </x:c>
    </x:row>
    <x:row r="6">
      <x:c r="A6" s="251" t="str">
        <x:v>CUST-0001</x:v>
      </x:c>
      <x:c r="B6" s="252" t="n">
        <x:v>2</x:v>
      </x:c>
      <x:c r="C6" s="252" t="str">
        <x:v>mobile</x:v>
      </x:c>
      <x:c r="D6" s="253" t="str">
        <x:v>987654321</x:v>
      </x:c>
      <x:c r="E6" s="253" t="str"/>
      <x:c r="F6" s="252" t="str">
        <x:v>زوجة</x:v>
      </x:c>
      <x:c r="G6" s="252" t="str">
        <x:v>TRUE</x:v>
      </x:c>
      <x:c r="H6" s="252" t="str">
        <x:v>FALSE</x:v>
      </x:c>
      <x:c r="I6" s="252" t="str">
        <x:v>invalid</x:v>
      </x:c>
      <x:c r="J6" s="252" t="str">
        <x:v>review_needed</x:v>
      </x:c>
      <x:c r="K6" s="252" t="str">
        <x:v>رقم قديم فاقد الصفر - صححه قبل الاستيراد إن أمكن</x:v>
      </x:c>
      <x:c r="L6" s="252" t="str">
        <x:f>IF(A6="","",IF(OR(C6="",D6="",I6="",COUNTIF('الزبائن'!$A$6:$A$505,A6)=0,AND(C6="mobile",I6&lt;&gt;"invalid",OR(LEN(D6)&lt;&gt;10,LEFT(D6,2)&lt;&gt;"09"))),"REVIEW","READY"))</x:f>
        <x:v>READY</x:v>
      </x:c>
      <x:c r="M6" s="254" t="str">
        <x:f>IF(L6="READY","",IF(A6="","",TRIM(IF(COUNTIF('الزبائن'!$A$6:$A$505,A6)=0,"customer key not found; ","")&amp;IF(C6="","missing contact_type; ","")&amp;IF(D6="","missing number; ","")&amp;IF(I6="","missing status; ","")&amp;IF(AND(C6="mobile",I6&lt;&gt;"invalid",OR(LEN(D6)&lt;&gt;10,LEFT(D6,2)&lt;&gt;"09")),"mobile must be 09XXXXXXXX or status invalid; ",""))))</x:f>
      </x:c>
    </x:row>
    <x:row r="7">
      <x:c r="A7" s="251" t="str">
        <x:v>CUST-0001</x:v>
      </x:c>
      <x:c r="B7" s="252" t="n">
        <x:v>3</x:v>
      </x:c>
      <x:c r="C7" s="252" t="str">
        <x:v>landline</x:v>
      </x:c>
      <x:c r="D7" s="253" t="str">
        <x:v>1234567</x:v>
      </x:c>
      <x:c r="E7" s="253" t="str">
        <x:v>011</x:v>
      </x:c>
      <x:c r="F7" s="252" t="str">
        <x:v>منزل</x:v>
      </x:c>
      <x:c r="G7" s="252" t="str">
        <x:v>FALSE</x:v>
      </x:c>
      <x:c r="H7" s="252" t="str">
        <x:v>FALSE</x:v>
      </x:c>
      <x:c r="I7" s="252" t="str">
        <x:v>active</x:v>
      </x:c>
      <x:c r="J7" s="252" t="str">
        <x:v>cleaned</x:v>
      </x:c>
      <x:c r="K7" s="252" t="str"/>
      <x:c r="L7" s="252" t="str">
        <x:f>IF(A7="","",IF(OR(C7="",D7="",I7="",COUNTIF('الزبائن'!$A$6:$A$505,A7)=0,AND(C7="mobile",I7&lt;&gt;"invalid",OR(LEN(D7)&lt;&gt;10,LEFT(D7,2)&lt;&gt;"09"))),"REVIEW","READY"))</x:f>
        <x:v>READY</x:v>
      </x:c>
      <x:c r="M7" s="254" t="str">
        <x:f>IF(L7="READY","",IF(A7="","",TRIM(IF(COUNTIF('الزبائن'!$A$6:$A$505,A7)=0,"customer key not found; ","")&amp;IF(C7="","missing contact_type; ","")&amp;IF(D7="","missing number; ","")&amp;IF(I7="","missing status; ","")&amp;IF(AND(C7="mobile",I7&lt;&gt;"invalid",OR(LEN(D7)&lt;&gt;10,LEFT(D7,2)&lt;&gt;"09")),"mobile must be 09XXXXXXXX or status invalid; ",""))))</x:f>
      </x:c>
    </x:row>
    <x:row r="8">
      <x:c r="A8" s="251"/>
      <x:c r="B8" s="252"/>
      <x:c r="C8" s="252"/>
      <x:c r="D8" s="253"/>
      <x:c r="E8" s="253"/>
      <x:c r="F8" s="252"/>
      <x:c r="G8" s="252"/>
      <x:c r="H8" s="252"/>
      <x:c r="I8" s="252"/>
      <x:c r="J8" s="252"/>
      <x:c r="K8" s="252"/>
      <x:c r="L8" s="252" t="str">
        <x:f>IF(A8="","",IF(OR(C8="",D8="",I8="",COUNTIF('الزبائن'!$A$6:$A$505,A8)=0,AND(C8="mobile",I8&lt;&gt;"invalid",OR(LEN(D8)&lt;&gt;10,LEFT(D8,2)&lt;&gt;"09"))),"REVIEW","READY"))</x:f>
      </x:c>
      <x:c r="M8" s="254" t="str">
        <x:f>IF(L8="READY","",IF(A8="","",TRIM(IF(COUNTIF('الزبائن'!$A$6:$A$505,A8)=0,"customer key not found; ","")&amp;IF(C8="","missing contact_type; ","")&amp;IF(D8="","missing number; ","")&amp;IF(I8="","missing status; ","")&amp;IF(AND(C8="mobile",I8&lt;&gt;"invalid",OR(LEN(D8)&lt;&gt;10,LEFT(D8,2)&lt;&gt;"09")),"mobile must be 09XXXXXXXX or status invalid; ",""))))</x:f>
      </x:c>
    </x:row>
    <x:row r="9">
      <x:c r="A9" s="251"/>
      <x:c r="B9" s="252"/>
      <x:c r="C9" s="252"/>
      <x:c r="D9" s="253"/>
      <x:c r="E9" s="253"/>
      <x:c r="F9" s="252"/>
      <x:c r="G9" s="252"/>
      <x:c r="H9" s="252"/>
      <x:c r="I9" s="252"/>
      <x:c r="J9" s="252"/>
      <x:c r="K9" s="252"/>
      <x:c r="L9" s="252" t="str">
        <x:f>IF(A9="","",IF(OR(C9="",D9="",I9="",COUNTIF('الزبائن'!$A$6:$A$505,A9)=0,AND(C9="mobile",I9&lt;&gt;"invalid",OR(LEN(D9)&lt;&gt;10,LEFT(D9,2)&lt;&gt;"09"))),"REVIEW","READY"))</x:f>
      </x:c>
      <x:c r="M9" s="254" t="str">
        <x:f>IF(L9="READY","",IF(A9="","",TRIM(IF(COUNTIF('الزبائن'!$A$6:$A$505,A9)=0,"customer key not found; ","")&amp;IF(C9="","missing contact_type; ","")&amp;IF(D9="","missing number; ","")&amp;IF(I9="","missing status; ","")&amp;IF(AND(C9="mobile",I9&lt;&gt;"invalid",OR(LEN(D9)&lt;&gt;10,LEFT(D9,2)&lt;&gt;"09")),"mobile must be 09XXXXXXXX or status invalid; ",""))))</x:f>
      </x:c>
    </x:row>
    <x:row r="10">
      <x:c r="A10" s="251"/>
      <x:c r="B10" s="252"/>
      <x:c r="C10" s="252"/>
      <x:c r="D10" s="253"/>
      <x:c r="E10" s="253"/>
      <x:c r="F10" s="252"/>
      <x:c r="G10" s="252"/>
      <x:c r="H10" s="252"/>
      <x:c r="I10" s="252"/>
      <x:c r="J10" s="252"/>
      <x:c r="K10" s="252"/>
      <x:c r="L10" s="252" t="str">
        <x:f>IF(A10="","",IF(OR(C10="",D10="",I10="",COUNTIF('الزبائن'!$A$6:$A$505,A10)=0,AND(C10="mobile",I10&lt;&gt;"invalid",OR(LEN(D10)&lt;&gt;10,LEFT(D10,2)&lt;&gt;"09"))),"REVIEW","READY"))</x:f>
      </x:c>
      <x:c r="M10" s="254" t="str">
        <x:f>IF(L10="READY","",IF(A10="","",TRIM(IF(COUNTIF('الزبائن'!$A$6:$A$505,A10)=0,"customer key not found; ","")&amp;IF(C10="","missing contact_type; ","")&amp;IF(D10="","missing number; ","")&amp;IF(I10="","missing status; ","")&amp;IF(AND(C10="mobile",I10&lt;&gt;"invalid",OR(LEN(D10)&lt;&gt;10,LEFT(D10,2)&lt;&gt;"09")),"mobile must be 09XXXXXXXX or status invalid; ",""))))</x:f>
      </x:c>
    </x:row>
    <x:row r="11">
      <x:c r="A11" s="251"/>
      <x:c r="B11" s="252"/>
      <x:c r="C11" s="252"/>
      <x:c r="D11" s="253"/>
      <x:c r="E11" s="253"/>
      <x:c r="F11" s="252"/>
      <x:c r="G11" s="252"/>
      <x:c r="H11" s="252"/>
      <x:c r="I11" s="252"/>
      <x:c r="J11" s="252"/>
      <x:c r="K11" s="252"/>
      <x:c r="L11" s="252" t="str">
        <x:f>IF(A11="","",IF(OR(C11="",D11="",I11="",COUNTIF('الزبائن'!$A$6:$A$505,A11)=0,AND(C11="mobile",I11&lt;&gt;"invalid",OR(LEN(D11)&lt;&gt;10,LEFT(D11,2)&lt;&gt;"09"))),"REVIEW","READY"))</x:f>
      </x:c>
      <x:c r="M11" s="254" t="str">
        <x:f>IF(L11="READY","",IF(A11="","",TRIM(IF(COUNTIF('الزبائن'!$A$6:$A$505,A11)=0,"customer key not found; ","")&amp;IF(C11="","missing contact_type; ","")&amp;IF(D11="","missing number; ","")&amp;IF(I11="","missing status; ","")&amp;IF(AND(C11="mobile",I11&lt;&gt;"invalid",OR(LEN(D11)&lt;&gt;10,LEFT(D11,2)&lt;&gt;"09")),"mobile must be 09XXXXXXXX or status invalid; ",""))))</x:f>
      </x:c>
    </x:row>
    <x:row r="12">
      <x:c r="A12" s="251"/>
      <x:c r="B12" s="252"/>
      <x:c r="C12" s="252"/>
      <x:c r="D12" s="253"/>
      <x:c r="E12" s="253"/>
      <x:c r="F12" s="252"/>
      <x:c r="G12" s="252"/>
      <x:c r="H12" s="252"/>
      <x:c r="I12" s="252"/>
      <x:c r="J12" s="252"/>
      <x:c r="K12" s="252"/>
      <x:c r="L12" s="252" t="str">
        <x:f>IF(A12="","",IF(OR(C12="",D12="",I12="",COUNTIF('الزبائن'!$A$6:$A$505,A12)=0,AND(C12="mobile",I12&lt;&gt;"invalid",OR(LEN(D12)&lt;&gt;10,LEFT(D12,2)&lt;&gt;"09"))),"REVIEW","READY"))</x:f>
      </x:c>
      <x:c r="M12" s="254" t="str">
        <x:f>IF(L12="READY","",IF(A12="","",TRIM(IF(COUNTIF('الزبائن'!$A$6:$A$505,A12)=0,"customer key not found; ","")&amp;IF(C12="","missing contact_type; ","")&amp;IF(D12="","missing number; ","")&amp;IF(I12="","missing status; ","")&amp;IF(AND(C12="mobile",I12&lt;&gt;"invalid",OR(LEN(D12)&lt;&gt;10,LEFT(D12,2)&lt;&gt;"09")),"mobile must be 09XXXXXXXX or status invalid; ",""))))</x:f>
      </x:c>
    </x:row>
    <x:row r="13">
      <x:c r="A13" s="251"/>
      <x:c r="B13" s="252"/>
      <x:c r="C13" s="252"/>
      <x:c r="D13" s="253"/>
      <x:c r="E13" s="253"/>
      <x:c r="F13" s="252"/>
      <x:c r="G13" s="252"/>
      <x:c r="H13" s="252"/>
      <x:c r="I13" s="252"/>
      <x:c r="J13" s="252"/>
      <x:c r="K13" s="252"/>
      <x:c r="L13" s="252" t="str">
        <x:f>IF(A13="","",IF(OR(C13="",D13="",I13="",COUNTIF('الزبائن'!$A$6:$A$505,A13)=0,AND(C13="mobile",I13&lt;&gt;"invalid",OR(LEN(D13)&lt;&gt;10,LEFT(D13,2)&lt;&gt;"09"))),"REVIEW","READY"))</x:f>
      </x:c>
      <x:c r="M13" s="254" t="str">
        <x:f>IF(L13="READY","",IF(A13="","",TRIM(IF(COUNTIF('الزبائن'!$A$6:$A$505,A13)=0,"customer key not found; ","")&amp;IF(C13="","missing contact_type; ","")&amp;IF(D13="","missing number; ","")&amp;IF(I13="","missing status; ","")&amp;IF(AND(C13="mobile",I13&lt;&gt;"invalid",OR(LEN(D13)&lt;&gt;10,LEFT(D13,2)&lt;&gt;"09")),"mobile must be 09XXXXXXXX or status invalid; ",""))))</x:f>
      </x:c>
    </x:row>
    <x:row r="14">
      <x:c r="A14" s="251"/>
      <x:c r="B14" s="252"/>
      <x:c r="C14" s="252"/>
      <x:c r="D14" s="253"/>
      <x:c r="E14" s="253"/>
      <x:c r="F14" s="252"/>
      <x:c r="G14" s="252"/>
      <x:c r="H14" s="252"/>
      <x:c r="I14" s="252"/>
      <x:c r="J14" s="252"/>
      <x:c r="K14" s="252"/>
      <x:c r="L14" s="252" t="str">
        <x:f>IF(A14="","",IF(OR(C14="",D14="",I14="",COUNTIF('الزبائن'!$A$6:$A$505,A14)=0,AND(C14="mobile",I14&lt;&gt;"invalid",OR(LEN(D14)&lt;&gt;10,LEFT(D14,2)&lt;&gt;"09"))),"REVIEW","READY"))</x:f>
      </x:c>
      <x:c r="M14" s="254" t="str">
        <x:f>IF(L14="READY","",IF(A14="","",TRIM(IF(COUNTIF('الزبائن'!$A$6:$A$505,A14)=0,"customer key not found; ","")&amp;IF(C14="","missing contact_type; ","")&amp;IF(D14="","missing number; ","")&amp;IF(I14="","missing status; ","")&amp;IF(AND(C14="mobile",I14&lt;&gt;"invalid",OR(LEN(D14)&lt;&gt;10,LEFT(D14,2)&lt;&gt;"09")),"mobile must be 09XXXXXXXX or status invalid; ",""))))</x:f>
      </x:c>
    </x:row>
    <x:row r="15">
      <x:c r="A15" s="251"/>
      <x:c r="B15" s="252"/>
      <x:c r="C15" s="252"/>
      <x:c r="D15" s="253"/>
      <x:c r="E15" s="253"/>
      <x:c r="F15" s="252"/>
      <x:c r="G15" s="252"/>
      <x:c r="H15" s="252"/>
      <x:c r="I15" s="252"/>
      <x:c r="J15" s="252"/>
      <x:c r="K15" s="252"/>
      <x:c r="L15" s="252" t="str">
        <x:f>IF(A15="","",IF(OR(C15="",D15="",I15="",COUNTIF('الزبائن'!$A$6:$A$505,A15)=0,AND(C15="mobile",I15&lt;&gt;"invalid",OR(LEN(D15)&lt;&gt;10,LEFT(D15,2)&lt;&gt;"09"))),"REVIEW","READY"))</x:f>
      </x:c>
      <x:c r="M15" s="254" t="str">
        <x:f>IF(L15="READY","",IF(A15="","",TRIM(IF(COUNTIF('الزبائن'!$A$6:$A$505,A15)=0,"customer key not found; ","")&amp;IF(C15="","missing contact_type; ","")&amp;IF(D15="","missing number; ","")&amp;IF(I15="","missing status; ","")&amp;IF(AND(C15="mobile",I15&lt;&gt;"invalid",OR(LEN(D15)&lt;&gt;10,LEFT(D15,2)&lt;&gt;"09")),"mobile must be 09XXXXXXXX or status invalid; ",""))))</x:f>
      </x:c>
    </x:row>
    <x:row r="16">
      <x:c r="A16" s="251"/>
      <x:c r="B16" s="252"/>
      <x:c r="C16" s="252"/>
      <x:c r="D16" s="253"/>
      <x:c r="E16" s="253"/>
      <x:c r="F16" s="252"/>
      <x:c r="G16" s="252"/>
      <x:c r="H16" s="252"/>
      <x:c r="I16" s="252"/>
      <x:c r="J16" s="252"/>
      <x:c r="K16" s="252"/>
      <x:c r="L16" s="252" t="str">
        <x:f>IF(A16="","",IF(OR(C16="",D16="",I16="",COUNTIF('الزبائن'!$A$6:$A$505,A16)=0,AND(C16="mobile",I16&lt;&gt;"invalid",OR(LEN(D16)&lt;&gt;10,LEFT(D16,2)&lt;&gt;"09"))),"REVIEW","READY"))</x:f>
      </x:c>
      <x:c r="M16" s="254" t="str">
        <x:f>IF(L16="READY","",IF(A16="","",TRIM(IF(COUNTIF('الزبائن'!$A$6:$A$505,A16)=0,"customer key not found; ","")&amp;IF(C16="","missing contact_type; ","")&amp;IF(D16="","missing number; ","")&amp;IF(I16="","missing status; ","")&amp;IF(AND(C16="mobile",I16&lt;&gt;"invalid",OR(LEN(D16)&lt;&gt;10,LEFT(D16,2)&lt;&gt;"09")),"mobile must be 09XXXXXXXX or status invalid; ",""))))</x:f>
      </x:c>
    </x:row>
    <x:row r="17">
      <x:c r="A17" s="251"/>
      <x:c r="B17" s="252"/>
      <x:c r="C17" s="252"/>
      <x:c r="D17" s="253"/>
      <x:c r="E17" s="253"/>
      <x:c r="F17" s="252"/>
      <x:c r="G17" s="252"/>
      <x:c r="H17" s="252"/>
      <x:c r="I17" s="252"/>
      <x:c r="J17" s="252"/>
      <x:c r="K17" s="252"/>
      <x:c r="L17" s="252" t="str">
        <x:f>IF(A17="","",IF(OR(C17="",D17="",I17="",COUNTIF('الزبائن'!$A$6:$A$505,A17)=0,AND(C17="mobile",I17&lt;&gt;"invalid",OR(LEN(D17)&lt;&gt;10,LEFT(D17,2)&lt;&gt;"09"))),"REVIEW","READY"))</x:f>
      </x:c>
      <x:c r="M17" s="254" t="str">
        <x:f>IF(L17="READY","",IF(A17="","",TRIM(IF(COUNTIF('الزبائن'!$A$6:$A$505,A17)=0,"customer key not found; ","")&amp;IF(C17="","missing contact_type; ","")&amp;IF(D17="","missing number; ","")&amp;IF(I17="","missing status; ","")&amp;IF(AND(C17="mobile",I17&lt;&gt;"invalid",OR(LEN(D17)&lt;&gt;10,LEFT(D17,2)&lt;&gt;"09")),"mobile must be 09XXXXXXXX or status invalid; ",""))))</x:f>
      </x:c>
    </x:row>
    <x:row r="18">
      <x:c r="A18" s="251"/>
      <x:c r="B18" s="252"/>
      <x:c r="C18" s="252"/>
      <x:c r="D18" s="253"/>
      <x:c r="E18" s="253"/>
      <x:c r="F18" s="252"/>
      <x:c r="G18" s="252"/>
      <x:c r="H18" s="252"/>
      <x:c r="I18" s="252"/>
      <x:c r="J18" s="252"/>
      <x:c r="K18" s="252"/>
      <x:c r="L18" s="252" t="str">
        <x:f>IF(A18="","",IF(OR(C18="",D18="",I18="",COUNTIF('الزبائن'!$A$6:$A$505,A18)=0,AND(C18="mobile",I18&lt;&gt;"invalid",OR(LEN(D18)&lt;&gt;10,LEFT(D18,2)&lt;&gt;"09"))),"REVIEW","READY"))</x:f>
      </x:c>
      <x:c r="M18" s="254" t="str">
        <x:f>IF(L18="READY","",IF(A18="","",TRIM(IF(COUNTIF('الزبائن'!$A$6:$A$505,A18)=0,"customer key not found; ","")&amp;IF(C18="","missing contact_type; ","")&amp;IF(D18="","missing number; ","")&amp;IF(I18="","missing status; ","")&amp;IF(AND(C18="mobile",I18&lt;&gt;"invalid",OR(LEN(D18)&lt;&gt;10,LEFT(D18,2)&lt;&gt;"09")),"mobile must be 09XXXXXXXX or status invalid; ",""))))</x:f>
      </x:c>
    </x:row>
    <x:row r="19">
      <x:c r="A19" s="251"/>
      <x:c r="B19" s="252"/>
      <x:c r="C19" s="252"/>
      <x:c r="D19" s="253"/>
      <x:c r="E19" s="253"/>
      <x:c r="F19" s="252"/>
      <x:c r="G19" s="252"/>
      <x:c r="H19" s="252"/>
      <x:c r="I19" s="252"/>
      <x:c r="J19" s="252"/>
      <x:c r="K19" s="252"/>
      <x:c r="L19" s="252" t="str">
        <x:f>IF(A19="","",IF(OR(C19="",D19="",I19="",COUNTIF('الزبائن'!$A$6:$A$505,A19)=0,AND(C19="mobile",I19&lt;&gt;"invalid",OR(LEN(D19)&lt;&gt;10,LEFT(D19,2)&lt;&gt;"09"))),"REVIEW","READY"))</x:f>
      </x:c>
      <x:c r="M19" s="254" t="str">
        <x:f>IF(L19="READY","",IF(A19="","",TRIM(IF(COUNTIF('الزبائن'!$A$6:$A$505,A19)=0,"customer key not found; ","")&amp;IF(C19="","missing contact_type; ","")&amp;IF(D19="","missing number; ","")&amp;IF(I19="","missing status; ","")&amp;IF(AND(C19="mobile",I19&lt;&gt;"invalid",OR(LEN(D19)&lt;&gt;10,LEFT(D19,2)&lt;&gt;"09")),"mobile must be 09XXXXXXXX or status invalid; ",""))))</x:f>
      </x:c>
    </x:row>
    <x:row r="20">
      <x:c r="A20" s="251"/>
      <x:c r="B20" s="252"/>
      <x:c r="C20" s="252"/>
      <x:c r="D20" s="253"/>
      <x:c r="E20" s="253"/>
      <x:c r="F20" s="252"/>
      <x:c r="G20" s="252"/>
      <x:c r="H20" s="252"/>
      <x:c r="I20" s="252"/>
      <x:c r="J20" s="252"/>
      <x:c r="K20" s="252"/>
      <x:c r="L20" s="252" t="str">
        <x:f>IF(A20="","",IF(OR(C20="",D20="",I20="",COUNTIF('الزبائن'!$A$6:$A$505,A20)=0,AND(C20="mobile",I20&lt;&gt;"invalid",OR(LEN(D20)&lt;&gt;10,LEFT(D20,2)&lt;&gt;"09"))),"REVIEW","READY"))</x:f>
      </x:c>
      <x:c r="M20" s="254" t="str">
        <x:f>IF(L20="READY","",IF(A20="","",TRIM(IF(COUNTIF('الزبائن'!$A$6:$A$505,A20)=0,"customer key not found; ","")&amp;IF(C20="","missing contact_type; ","")&amp;IF(D20="","missing number; ","")&amp;IF(I20="","missing status; ","")&amp;IF(AND(C20="mobile",I20&lt;&gt;"invalid",OR(LEN(D20)&lt;&gt;10,LEFT(D20,2)&lt;&gt;"09")),"mobile must be 09XXXXXXXX or status invalid; ",""))))</x:f>
      </x:c>
    </x:row>
    <x:row r="21">
      <x:c r="A21" s="251"/>
      <x:c r="B21" s="252"/>
      <x:c r="C21" s="252"/>
      <x:c r="D21" s="253"/>
      <x:c r="E21" s="253"/>
      <x:c r="F21" s="252"/>
      <x:c r="G21" s="252"/>
      <x:c r="H21" s="252"/>
      <x:c r="I21" s="252"/>
      <x:c r="J21" s="252"/>
      <x:c r="K21" s="252"/>
      <x:c r="L21" s="252" t="str">
        <x:f>IF(A21="","",IF(OR(C21="",D21="",I21="",COUNTIF('الزبائن'!$A$6:$A$505,A21)=0,AND(C21="mobile",I21&lt;&gt;"invalid",OR(LEN(D21)&lt;&gt;10,LEFT(D21,2)&lt;&gt;"09"))),"REVIEW","READY"))</x:f>
      </x:c>
      <x:c r="M21" s="254" t="str">
        <x:f>IF(L21="READY","",IF(A21="","",TRIM(IF(COUNTIF('الزبائن'!$A$6:$A$505,A21)=0,"customer key not found; ","")&amp;IF(C21="","missing contact_type; ","")&amp;IF(D21="","missing number; ","")&amp;IF(I21="","missing status; ","")&amp;IF(AND(C21="mobile",I21&lt;&gt;"invalid",OR(LEN(D21)&lt;&gt;10,LEFT(D21,2)&lt;&gt;"09")),"mobile must be 09XXXXXXXX or status invalid; ",""))))</x:f>
      </x:c>
    </x:row>
    <x:row r="22">
      <x:c r="A22" s="251"/>
      <x:c r="B22" s="252"/>
      <x:c r="C22" s="252"/>
      <x:c r="D22" s="253"/>
      <x:c r="E22" s="253"/>
      <x:c r="F22" s="252"/>
      <x:c r="G22" s="252"/>
      <x:c r="H22" s="252"/>
      <x:c r="I22" s="252"/>
      <x:c r="J22" s="252"/>
      <x:c r="K22" s="252"/>
      <x:c r="L22" s="252" t="str">
        <x:f>IF(A22="","",IF(OR(C22="",D22="",I22="",COUNTIF('الزبائن'!$A$6:$A$505,A22)=0,AND(C22="mobile",I22&lt;&gt;"invalid",OR(LEN(D22)&lt;&gt;10,LEFT(D22,2)&lt;&gt;"09"))),"REVIEW","READY"))</x:f>
      </x:c>
      <x:c r="M22" s="254" t="str">
        <x:f>IF(L22="READY","",IF(A22="","",TRIM(IF(COUNTIF('الزبائن'!$A$6:$A$505,A22)=0,"customer key not found; ","")&amp;IF(C22="","missing contact_type; ","")&amp;IF(D22="","missing number; ","")&amp;IF(I22="","missing status; ","")&amp;IF(AND(C22="mobile",I22&lt;&gt;"invalid",OR(LEN(D22)&lt;&gt;10,LEFT(D22,2)&lt;&gt;"09")),"mobile must be 09XXXXXXXX or status invalid; ",""))))</x:f>
      </x:c>
    </x:row>
    <x:row r="23">
      <x:c r="A23" s="251"/>
      <x:c r="B23" s="252"/>
      <x:c r="C23" s="252"/>
      <x:c r="D23" s="253"/>
      <x:c r="E23" s="253"/>
      <x:c r="F23" s="252"/>
      <x:c r="G23" s="252"/>
      <x:c r="H23" s="252"/>
      <x:c r="I23" s="252"/>
      <x:c r="J23" s="252"/>
      <x:c r="K23" s="252"/>
      <x:c r="L23" s="252" t="str">
        <x:f>IF(A23="","",IF(OR(C23="",D23="",I23="",COUNTIF('الزبائن'!$A$6:$A$505,A23)=0,AND(C23="mobile",I23&lt;&gt;"invalid",OR(LEN(D23)&lt;&gt;10,LEFT(D23,2)&lt;&gt;"09"))),"REVIEW","READY"))</x:f>
      </x:c>
      <x:c r="M23" s="254" t="str">
        <x:f>IF(L23="READY","",IF(A23="","",TRIM(IF(COUNTIF('الزبائن'!$A$6:$A$505,A23)=0,"customer key not found; ","")&amp;IF(C23="","missing contact_type; ","")&amp;IF(D23="","missing number; ","")&amp;IF(I23="","missing status; ","")&amp;IF(AND(C23="mobile",I23&lt;&gt;"invalid",OR(LEN(D23)&lt;&gt;10,LEFT(D23,2)&lt;&gt;"09")),"mobile must be 09XXXXXXXX or status invalid; ",""))))</x:f>
      </x:c>
    </x:row>
    <x:row r="24">
      <x:c r="A24" s="251"/>
      <x:c r="B24" s="252"/>
      <x:c r="C24" s="252"/>
      <x:c r="D24" s="253"/>
      <x:c r="E24" s="253"/>
      <x:c r="F24" s="252"/>
      <x:c r="G24" s="252"/>
      <x:c r="H24" s="252"/>
      <x:c r="I24" s="252"/>
      <x:c r="J24" s="252"/>
      <x:c r="K24" s="252"/>
      <x:c r="L24" s="252" t="str">
        <x:f>IF(A24="","",IF(OR(C24="",D24="",I24="",COUNTIF('الزبائن'!$A$6:$A$505,A24)=0,AND(C24="mobile",I24&lt;&gt;"invalid",OR(LEN(D24)&lt;&gt;10,LEFT(D24,2)&lt;&gt;"09"))),"REVIEW","READY"))</x:f>
      </x:c>
      <x:c r="M24" s="254" t="str">
        <x:f>IF(L24="READY","",IF(A24="","",TRIM(IF(COUNTIF('الزبائن'!$A$6:$A$505,A24)=0,"customer key not found; ","")&amp;IF(C24="","missing contact_type; ","")&amp;IF(D24="","missing number; ","")&amp;IF(I24="","missing status; ","")&amp;IF(AND(C24="mobile",I24&lt;&gt;"invalid",OR(LEN(D24)&lt;&gt;10,LEFT(D24,2)&lt;&gt;"09")),"mobile must be 09XXXXXXXX or status invalid; ",""))))</x:f>
      </x:c>
    </x:row>
    <x:row r="25">
      <x:c r="A25" s="251"/>
      <x:c r="B25" s="252"/>
      <x:c r="C25" s="252"/>
      <x:c r="D25" s="253"/>
      <x:c r="E25" s="253"/>
      <x:c r="F25" s="252"/>
      <x:c r="G25" s="252"/>
      <x:c r="H25" s="252"/>
      <x:c r="I25" s="252"/>
      <x:c r="J25" s="252"/>
      <x:c r="K25" s="252"/>
      <x:c r="L25" s="252" t="str">
        <x:f>IF(A25="","",IF(OR(C25="",D25="",I25="",COUNTIF('الزبائن'!$A$6:$A$505,A25)=0,AND(C25="mobile",I25&lt;&gt;"invalid",OR(LEN(D25)&lt;&gt;10,LEFT(D25,2)&lt;&gt;"09"))),"REVIEW","READY"))</x:f>
      </x:c>
      <x:c r="M25" s="254" t="str">
        <x:f>IF(L25="READY","",IF(A25="","",TRIM(IF(COUNTIF('الزبائن'!$A$6:$A$505,A25)=0,"customer key not found; ","")&amp;IF(C25="","missing contact_type; ","")&amp;IF(D25="","missing number; ","")&amp;IF(I25="","missing status; ","")&amp;IF(AND(C25="mobile",I25&lt;&gt;"invalid",OR(LEN(D25)&lt;&gt;10,LEFT(D25,2)&lt;&gt;"09")),"mobile must be 09XXXXXXXX or status invalid; ",""))))</x:f>
      </x:c>
    </x:row>
    <x:row r="26">
      <x:c r="A26" s="251"/>
      <x:c r="B26" s="252"/>
      <x:c r="C26" s="252"/>
      <x:c r="D26" s="253"/>
      <x:c r="E26" s="253"/>
      <x:c r="F26" s="252"/>
      <x:c r="G26" s="252"/>
      <x:c r="H26" s="252"/>
      <x:c r="I26" s="252"/>
      <x:c r="J26" s="252"/>
      <x:c r="K26" s="252"/>
      <x:c r="L26" s="252" t="str">
        <x:f>IF(A26="","",IF(OR(C26="",D26="",I26="",COUNTIF('الزبائن'!$A$6:$A$505,A26)=0,AND(C26="mobile",I26&lt;&gt;"invalid",OR(LEN(D26)&lt;&gt;10,LEFT(D26,2)&lt;&gt;"09"))),"REVIEW","READY"))</x:f>
      </x:c>
      <x:c r="M26" s="254" t="str">
        <x:f>IF(L26="READY","",IF(A26="","",TRIM(IF(COUNTIF('الزبائن'!$A$6:$A$505,A26)=0,"customer key not found; ","")&amp;IF(C26="","missing contact_type; ","")&amp;IF(D26="","missing number; ","")&amp;IF(I26="","missing status; ","")&amp;IF(AND(C26="mobile",I26&lt;&gt;"invalid",OR(LEN(D26)&lt;&gt;10,LEFT(D26,2)&lt;&gt;"09")),"mobile must be 09XXXXXXXX or status invalid; ",""))))</x:f>
      </x:c>
    </x:row>
    <x:row r="27">
      <x:c r="A27" s="251"/>
      <x:c r="B27" s="252"/>
      <x:c r="C27" s="252"/>
      <x:c r="D27" s="253"/>
      <x:c r="E27" s="253"/>
      <x:c r="F27" s="252"/>
      <x:c r="G27" s="252"/>
      <x:c r="H27" s="252"/>
      <x:c r="I27" s="252"/>
      <x:c r="J27" s="252"/>
      <x:c r="K27" s="252"/>
      <x:c r="L27" s="252" t="str">
        <x:f>IF(A27="","",IF(OR(C27="",D27="",I27="",COUNTIF('الزبائن'!$A$6:$A$505,A27)=0,AND(C27="mobile",I27&lt;&gt;"invalid",OR(LEN(D27)&lt;&gt;10,LEFT(D27,2)&lt;&gt;"09"))),"REVIEW","READY"))</x:f>
      </x:c>
      <x:c r="M27" s="254" t="str">
        <x:f>IF(L27="READY","",IF(A27="","",TRIM(IF(COUNTIF('الزبائن'!$A$6:$A$505,A27)=0,"customer key not found; ","")&amp;IF(C27="","missing contact_type; ","")&amp;IF(D27="","missing number; ","")&amp;IF(I27="","missing status; ","")&amp;IF(AND(C27="mobile",I27&lt;&gt;"invalid",OR(LEN(D27)&lt;&gt;10,LEFT(D27,2)&lt;&gt;"09")),"mobile must be 09XXXXXXXX or status invalid; ",""))))</x:f>
      </x:c>
    </x:row>
    <x:row r="28">
      <x:c r="A28" s="251"/>
      <x:c r="B28" s="252"/>
      <x:c r="C28" s="252"/>
      <x:c r="D28" s="253"/>
      <x:c r="E28" s="253"/>
      <x:c r="F28" s="252"/>
      <x:c r="G28" s="252"/>
      <x:c r="H28" s="252"/>
      <x:c r="I28" s="252"/>
      <x:c r="J28" s="252"/>
      <x:c r="K28" s="252"/>
      <x:c r="L28" s="252" t="str">
        <x:f>IF(A28="","",IF(OR(C28="",D28="",I28="",COUNTIF('الزبائن'!$A$6:$A$505,A28)=0,AND(C28="mobile",I28&lt;&gt;"invalid",OR(LEN(D28)&lt;&gt;10,LEFT(D28,2)&lt;&gt;"09"))),"REVIEW","READY"))</x:f>
      </x:c>
      <x:c r="M28" s="254" t="str">
        <x:f>IF(L28="READY","",IF(A28="","",TRIM(IF(COUNTIF('الزبائن'!$A$6:$A$505,A28)=0,"customer key not found; ","")&amp;IF(C28="","missing contact_type; ","")&amp;IF(D28="","missing number; ","")&amp;IF(I28="","missing status; ","")&amp;IF(AND(C28="mobile",I28&lt;&gt;"invalid",OR(LEN(D28)&lt;&gt;10,LEFT(D28,2)&lt;&gt;"09")),"mobile must be 09XXXXXXXX or status invalid; ",""))))</x:f>
      </x:c>
    </x:row>
    <x:row r="29">
      <x:c r="A29" s="251"/>
      <x:c r="B29" s="252"/>
      <x:c r="C29" s="252"/>
      <x:c r="D29" s="253"/>
      <x:c r="E29" s="253"/>
      <x:c r="F29" s="252"/>
      <x:c r="G29" s="252"/>
      <x:c r="H29" s="252"/>
      <x:c r="I29" s="252"/>
      <x:c r="J29" s="252"/>
      <x:c r="K29" s="252"/>
      <x:c r="L29" s="252" t="str">
        <x:f>IF(A29="","",IF(OR(C29="",D29="",I29="",COUNTIF('الزبائن'!$A$6:$A$505,A29)=0,AND(C29="mobile",I29&lt;&gt;"invalid",OR(LEN(D29)&lt;&gt;10,LEFT(D29,2)&lt;&gt;"09"))),"REVIEW","READY"))</x:f>
      </x:c>
      <x:c r="M29" s="254" t="str">
        <x:f>IF(L29="READY","",IF(A29="","",TRIM(IF(COUNTIF('الزبائن'!$A$6:$A$505,A29)=0,"customer key not found; ","")&amp;IF(C29="","missing contact_type; ","")&amp;IF(D29="","missing number; ","")&amp;IF(I29="","missing status; ","")&amp;IF(AND(C29="mobile",I29&lt;&gt;"invalid",OR(LEN(D29)&lt;&gt;10,LEFT(D29,2)&lt;&gt;"09")),"mobile must be 09XXXXXXXX or status invalid; ",""))))</x:f>
      </x:c>
    </x:row>
    <x:row r="30">
      <x:c r="A30" s="251"/>
      <x:c r="B30" s="252"/>
      <x:c r="C30" s="252"/>
      <x:c r="D30" s="253"/>
      <x:c r="E30" s="253"/>
      <x:c r="F30" s="252"/>
      <x:c r="G30" s="252"/>
      <x:c r="H30" s="252"/>
      <x:c r="I30" s="252"/>
      <x:c r="J30" s="252"/>
      <x:c r="K30" s="252"/>
      <x:c r="L30" s="252" t="str">
        <x:f>IF(A30="","",IF(OR(C30="",D30="",I30="",COUNTIF('الزبائن'!$A$6:$A$505,A30)=0,AND(C30="mobile",I30&lt;&gt;"invalid",OR(LEN(D30)&lt;&gt;10,LEFT(D30,2)&lt;&gt;"09"))),"REVIEW","READY"))</x:f>
      </x:c>
      <x:c r="M30" s="254" t="str">
        <x:f>IF(L30="READY","",IF(A30="","",TRIM(IF(COUNTIF('الزبائن'!$A$6:$A$505,A30)=0,"customer key not found; ","")&amp;IF(C30="","missing contact_type; ","")&amp;IF(D30="","missing number; ","")&amp;IF(I30="","missing status; ","")&amp;IF(AND(C30="mobile",I30&lt;&gt;"invalid",OR(LEN(D30)&lt;&gt;10,LEFT(D30,2)&lt;&gt;"09")),"mobile must be 09XXXXXXXX or status invalid; ",""))))</x:f>
      </x:c>
    </x:row>
    <x:row r="31">
      <x:c r="A31" s="251"/>
      <x:c r="B31" s="252"/>
      <x:c r="C31" s="252"/>
      <x:c r="D31" s="253"/>
      <x:c r="E31" s="253"/>
      <x:c r="F31" s="252"/>
      <x:c r="G31" s="252"/>
      <x:c r="H31" s="252"/>
      <x:c r="I31" s="252"/>
      <x:c r="J31" s="252"/>
      <x:c r="K31" s="252"/>
      <x:c r="L31" s="252" t="str">
        <x:f>IF(A31="","",IF(OR(C31="",D31="",I31="",COUNTIF('الزبائن'!$A$6:$A$505,A31)=0,AND(C31="mobile",I31&lt;&gt;"invalid",OR(LEN(D31)&lt;&gt;10,LEFT(D31,2)&lt;&gt;"09"))),"REVIEW","READY"))</x:f>
      </x:c>
      <x:c r="M31" s="254" t="str">
        <x:f>IF(L31="READY","",IF(A31="","",TRIM(IF(COUNTIF('الزبائن'!$A$6:$A$505,A31)=0,"customer key not found; ","")&amp;IF(C31="","missing contact_type; ","")&amp;IF(D31="","missing number; ","")&amp;IF(I31="","missing status; ","")&amp;IF(AND(C31="mobile",I31&lt;&gt;"invalid",OR(LEN(D31)&lt;&gt;10,LEFT(D31,2)&lt;&gt;"09")),"mobile must be 09XXXXXXXX or status invalid; ",""))))</x:f>
      </x:c>
    </x:row>
    <x:row r="32">
      <x:c r="A32" s="251"/>
      <x:c r="B32" s="252"/>
      <x:c r="C32" s="252"/>
      <x:c r="D32" s="253"/>
      <x:c r="E32" s="253"/>
      <x:c r="F32" s="252"/>
      <x:c r="G32" s="252"/>
      <x:c r="H32" s="252"/>
      <x:c r="I32" s="252"/>
      <x:c r="J32" s="252"/>
      <x:c r="K32" s="252"/>
      <x:c r="L32" s="252" t="str">
        <x:f>IF(A32="","",IF(OR(C32="",D32="",I32="",COUNTIF('الزبائن'!$A$6:$A$505,A32)=0,AND(C32="mobile",I32&lt;&gt;"invalid",OR(LEN(D32)&lt;&gt;10,LEFT(D32,2)&lt;&gt;"09"))),"REVIEW","READY"))</x:f>
      </x:c>
      <x:c r="M32" s="254" t="str">
        <x:f>IF(L32="READY","",IF(A32="","",TRIM(IF(COUNTIF('الزبائن'!$A$6:$A$505,A32)=0,"customer key not found; ","")&amp;IF(C32="","missing contact_type; ","")&amp;IF(D32="","missing number; ","")&amp;IF(I32="","missing status; ","")&amp;IF(AND(C32="mobile",I32&lt;&gt;"invalid",OR(LEN(D32)&lt;&gt;10,LEFT(D32,2)&lt;&gt;"09")),"mobile must be 09XXXXXXXX or status invalid; ",""))))</x:f>
      </x:c>
    </x:row>
    <x:row r="33">
      <x:c r="A33" s="251"/>
      <x:c r="B33" s="252"/>
      <x:c r="C33" s="252"/>
      <x:c r="D33" s="253"/>
      <x:c r="E33" s="253"/>
      <x:c r="F33" s="252"/>
      <x:c r="G33" s="252"/>
      <x:c r="H33" s="252"/>
      <x:c r="I33" s="252"/>
      <x:c r="J33" s="252"/>
      <x:c r="K33" s="252"/>
      <x:c r="L33" s="252" t="str">
        <x:f>IF(A33="","",IF(OR(C33="",D33="",I33="",COUNTIF('الزبائن'!$A$6:$A$505,A33)=0,AND(C33="mobile",I33&lt;&gt;"invalid",OR(LEN(D33)&lt;&gt;10,LEFT(D33,2)&lt;&gt;"09"))),"REVIEW","READY"))</x:f>
      </x:c>
      <x:c r="M33" s="254" t="str">
        <x:f>IF(L33="READY","",IF(A33="","",TRIM(IF(COUNTIF('الزبائن'!$A$6:$A$505,A33)=0,"customer key not found; ","")&amp;IF(C33="","missing contact_type; ","")&amp;IF(D33="","missing number; ","")&amp;IF(I33="","missing status; ","")&amp;IF(AND(C33="mobile",I33&lt;&gt;"invalid",OR(LEN(D33)&lt;&gt;10,LEFT(D33,2)&lt;&gt;"09")),"mobile must be 09XXXXXXXX or status invalid; ",""))))</x:f>
      </x:c>
    </x:row>
    <x:row r="34">
      <x:c r="A34" s="251"/>
      <x:c r="B34" s="252"/>
      <x:c r="C34" s="252"/>
      <x:c r="D34" s="253"/>
      <x:c r="E34" s="253"/>
      <x:c r="F34" s="252"/>
      <x:c r="G34" s="252"/>
      <x:c r="H34" s="252"/>
      <x:c r="I34" s="252"/>
      <x:c r="J34" s="252"/>
      <x:c r="K34" s="252"/>
      <x:c r="L34" s="252" t="str">
        <x:f>IF(A34="","",IF(OR(C34="",D34="",I34="",COUNTIF('الزبائن'!$A$6:$A$505,A34)=0,AND(C34="mobile",I34&lt;&gt;"invalid",OR(LEN(D34)&lt;&gt;10,LEFT(D34,2)&lt;&gt;"09"))),"REVIEW","READY"))</x:f>
      </x:c>
      <x:c r="M34" s="254" t="str">
        <x:f>IF(L34="READY","",IF(A34="","",TRIM(IF(COUNTIF('الزبائن'!$A$6:$A$505,A34)=0,"customer key not found; ","")&amp;IF(C34="","missing contact_type; ","")&amp;IF(D34="","missing number; ","")&amp;IF(I34="","missing status; ","")&amp;IF(AND(C34="mobile",I34&lt;&gt;"invalid",OR(LEN(D34)&lt;&gt;10,LEFT(D34,2)&lt;&gt;"09")),"mobile must be 09XXXXXXXX or status invalid; ",""))))</x:f>
      </x:c>
    </x:row>
    <x:row r="35">
      <x:c r="A35" s="251"/>
      <x:c r="B35" s="252"/>
      <x:c r="C35" s="252"/>
      <x:c r="D35" s="253"/>
      <x:c r="E35" s="253"/>
      <x:c r="F35" s="252"/>
      <x:c r="G35" s="252"/>
      <x:c r="H35" s="252"/>
      <x:c r="I35" s="252"/>
      <x:c r="J35" s="252"/>
      <x:c r="K35" s="252"/>
      <x:c r="L35" s="252" t="str">
        <x:f>IF(A35="","",IF(OR(C35="",D35="",I35="",COUNTIF('الزبائن'!$A$6:$A$505,A35)=0,AND(C35="mobile",I35&lt;&gt;"invalid",OR(LEN(D35)&lt;&gt;10,LEFT(D35,2)&lt;&gt;"09"))),"REVIEW","READY"))</x:f>
      </x:c>
      <x:c r="M35" s="254" t="str">
        <x:f>IF(L35="READY","",IF(A35="","",TRIM(IF(COUNTIF('الزبائن'!$A$6:$A$505,A35)=0,"customer key not found; ","")&amp;IF(C35="","missing contact_type; ","")&amp;IF(D35="","missing number; ","")&amp;IF(I35="","missing status; ","")&amp;IF(AND(C35="mobile",I35&lt;&gt;"invalid",OR(LEN(D35)&lt;&gt;10,LEFT(D35,2)&lt;&gt;"09")),"mobile must be 09XXXXXXXX or status invalid; ",""))))</x:f>
      </x:c>
    </x:row>
    <x:row r="36">
      <x:c r="A36" s="251"/>
      <x:c r="B36" s="252"/>
      <x:c r="C36" s="252"/>
      <x:c r="D36" s="253"/>
      <x:c r="E36" s="253"/>
      <x:c r="F36" s="252"/>
      <x:c r="G36" s="252"/>
      <x:c r="H36" s="252"/>
      <x:c r="I36" s="252"/>
      <x:c r="J36" s="252"/>
      <x:c r="K36" s="252"/>
      <x:c r="L36" s="252" t="str">
        <x:f>IF(A36="","",IF(OR(C36="",D36="",I36="",COUNTIF('الزبائن'!$A$6:$A$505,A36)=0,AND(C36="mobile",I36&lt;&gt;"invalid",OR(LEN(D36)&lt;&gt;10,LEFT(D36,2)&lt;&gt;"09"))),"REVIEW","READY"))</x:f>
      </x:c>
      <x:c r="M36" s="254" t="str">
        <x:f>IF(L36="READY","",IF(A36="","",TRIM(IF(COUNTIF('الزبائن'!$A$6:$A$505,A36)=0,"customer key not found; ","")&amp;IF(C36="","missing contact_type; ","")&amp;IF(D36="","missing number; ","")&amp;IF(I36="","missing status; ","")&amp;IF(AND(C36="mobile",I36&lt;&gt;"invalid",OR(LEN(D36)&lt;&gt;10,LEFT(D36,2)&lt;&gt;"09")),"mobile must be 09XXXXXXXX or status invalid; ",""))))</x:f>
      </x:c>
    </x:row>
    <x:row r="37">
      <x:c r="A37" s="251"/>
      <x:c r="B37" s="252"/>
      <x:c r="C37" s="252"/>
      <x:c r="D37" s="253"/>
      <x:c r="E37" s="253"/>
      <x:c r="F37" s="252"/>
      <x:c r="G37" s="252"/>
      <x:c r="H37" s="252"/>
      <x:c r="I37" s="252"/>
      <x:c r="J37" s="252"/>
      <x:c r="K37" s="252"/>
      <x:c r="L37" s="252" t="str">
        <x:f>IF(A37="","",IF(OR(C37="",D37="",I37="",COUNTIF('الزبائن'!$A$6:$A$505,A37)=0,AND(C37="mobile",I37&lt;&gt;"invalid",OR(LEN(D37)&lt;&gt;10,LEFT(D37,2)&lt;&gt;"09"))),"REVIEW","READY"))</x:f>
      </x:c>
      <x:c r="M37" s="254" t="str">
        <x:f>IF(L37="READY","",IF(A37="","",TRIM(IF(COUNTIF('الزبائن'!$A$6:$A$505,A37)=0,"customer key not found; ","")&amp;IF(C37="","missing contact_type; ","")&amp;IF(D37="","missing number; ","")&amp;IF(I37="","missing status; ","")&amp;IF(AND(C37="mobile",I37&lt;&gt;"invalid",OR(LEN(D37)&lt;&gt;10,LEFT(D37,2)&lt;&gt;"09")),"mobile must be 09XXXXXXXX or status invalid; ",""))))</x:f>
      </x:c>
    </x:row>
    <x:row r="38">
      <x:c r="A38" s="251"/>
      <x:c r="B38" s="252"/>
      <x:c r="C38" s="252"/>
      <x:c r="D38" s="253"/>
      <x:c r="E38" s="253"/>
      <x:c r="F38" s="252"/>
      <x:c r="G38" s="252"/>
      <x:c r="H38" s="252"/>
      <x:c r="I38" s="252"/>
      <x:c r="J38" s="252"/>
      <x:c r="K38" s="252"/>
      <x:c r="L38" s="252" t="str">
        <x:f>IF(A38="","",IF(OR(C38="",D38="",I38="",COUNTIF('الزبائن'!$A$6:$A$505,A38)=0,AND(C38="mobile",I38&lt;&gt;"invalid",OR(LEN(D38)&lt;&gt;10,LEFT(D38,2)&lt;&gt;"09"))),"REVIEW","READY"))</x:f>
      </x:c>
      <x:c r="M38" s="254" t="str">
        <x:f>IF(L38="READY","",IF(A38="","",TRIM(IF(COUNTIF('الزبائن'!$A$6:$A$505,A38)=0,"customer key not found; ","")&amp;IF(C38="","missing contact_type; ","")&amp;IF(D38="","missing number; ","")&amp;IF(I38="","missing status; ","")&amp;IF(AND(C38="mobile",I38&lt;&gt;"invalid",OR(LEN(D38)&lt;&gt;10,LEFT(D38,2)&lt;&gt;"09")),"mobile must be 09XXXXXXXX or status invalid; ",""))))</x:f>
      </x:c>
    </x:row>
    <x:row r="39">
      <x:c r="A39" s="251"/>
      <x:c r="B39" s="252"/>
      <x:c r="C39" s="252"/>
      <x:c r="D39" s="253"/>
      <x:c r="E39" s="253"/>
      <x:c r="F39" s="252"/>
      <x:c r="G39" s="252"/>
      <x:c r="H39" s="252"/>
      <x:c r="I39" s="252"/>
      <x:c r="J39" s="252"/>
      <x:c r="K39" s="252"/>
      <x:c r="L39" s="252" t="str">
        <x:f>IF(A39="","",IF(OR(C39="",D39="",I39="",COUNTIF('الزبائن'!$A$6:$A$505,A39)=0,AND(C39="mobile",I39&lt;&gt;"invalid",OR(LEN(D39)&lt;&gt;10,LEFT(D39,2)&lt;&gt;"09"))),"REVIEW","READY"))</x:f>
      </x:c>
      <x:c r="M39" s="254" t="str">
        <x:f>IF(L39="READY","",IF(A39="","",TRIM(IF(COUNTIF('الزبائن'!$A$6:$A$505,A39)=0,"customer key not found; ","")&amp;IF(C39="","missing contact_type; ","")&amp;IF(D39="","missing number; ","")&amp;IF(I39="","missing status; ","")&amp;IF(AND(C39="mobile",I39&lt;&gt;"invalid",OR(LEN(D39)&lt;&gt;10,LEFT(D39,2)&lt;&gt;"09")),"mobile must be 09XXXXXXXX or status invalid; ",""))))</x:f>
      </x:c>
    </x:row>
    <x:row r="40">
      <x:c r="A40" s="251"/>
      <x:c r="B40" s="252"/>
      <x:c r="C40" s="252"/>
      <x:c r="D40" s="253"/>
      <x:c r="E40" s="253"/>
      <x:c r="F40" s="252"/>
      <x:c r="G40" s="252"/>
      <x:c r="H40" s="252"/>
      <x:c r="I40" s="252"/>
      <x:c r="J40" s="252"/>
      <x:c r="K40" s="252"/>
      <x:c r="L40" s="252" t="str">
        <x:f>IF(A40="","",IF(OR(C40="",D40="",I40="",COUNTIF('الزبائن'!$A$6:$A$505,A40)=0,AND(C40="mobile",I40&lt;&gt;"invalid",OR(LEN(D40)&lt;&gt;10,LEFT(D40,2)&lt;&gt;"09"))),"REVIEW","READY"))</x:f>
      </x:c>
      <x:c r="M40" s="254" t="str">
        <x:f>IF(L40="READY","",IF(A40="","",TRIM(IF(COUNTIF('الزبائن'!$A$6:$A$505,A40)=0,"customer key not found; ","")&amp;IF(C40="","missing contact_type; ","")&amp;IF(D40="","missing number; ","")&amp;IF(I40="","missing status; ","")&amp;IF(AND(C40="mobile",I40&lt;&gt;"invalid",OR(LEN(D40)&lt;&gt;10,LEFT(D40,2)&lt;&gt;"09")),"mobile must be 09XXXXXXXX or status invalid; ",""))))</x:f>
      </x:c>
    </x:row>
    <x:row r="41">
      <x:c r="A41" s="251"/>
      <x:c r="B41" s="252"/>
      <x:c r="C41" s="252"/>
      <x:c r="D41" s="253"/>
      <x:c r="E41" s="253"/>
      <x:c r="F41" s="252"/>
      <x:c r="G41" s="252"/>
      <x:c r="H41" s="252"/>
      <x:c r="I41" s="252"/>
      <x:c r="J41" s="252"/>
      <x:c r="K41" s="252"/>
      <x:c r="L41" s="252" t="str">
        <x:f>IF(A41="","",IF(OR(C41="",D41="",I41="",COUNTIF('الزبائن'!$A$6:$A$505,A41)=0,AND(C41="mobile",I41&lt;&gt;"invalid",OR(LEN(D41)&lt;&gt;10,LEFT(D41,2)&lt;&gt;"09"))),"REVIEW","READY"))</x:f>
      </x:c>
      <x:c r="M41" s="254" t="str">
        <x:f>IF(L41="READY","",IF(A41="","",TRIM(IF(COUNTIF('الزبائن'!$A$6:$A$505,A41)=0,"customer key not found; ","")&amp;IF(C41="","missing contact_type; ","")&amp;IF(D41="","missing number; ","")&amp;IF(I41="","missing status; ","")&amp;IF(AND(C41="mobile",I41&lt;&gt;"invalid",OR(LEN(D41)&lt;&gt;10,LEFT(D41,2)&lt;&gt;"09")),"mobile must be 09XXXXXXXX or status invalid; ",""))))</x:f>
      </x:c>
    </x:row>
    <x:row r="42">
      <x:c r="A42" s="251"/>
      <x:c r="B42" s="252"/>
      <x:c r="C42" s="252"/>
      <x:c r="D42" s="253"/>
      <x:c r="E42" s="253"/>
      <x:c r="F42" s="252"/>
      <x:c r="G42" s="252"/>
      <x:c r="H42" s="252"/>
      <x:c r="I42" s="252"/>
      <x:c r="J42" s="252"/>
      <x:c r="K42" s="252"/>
      <x:c r="L42" s="252" t="str">
        <x:f>IF(A42="","",IF(OR(C42="",D42="",I42="",COUNTIF('الزبائن'!$A$6:$A$505,A42)=0,AND(C42="mobile",I42&lt;&gt;"invalid",OR(LEN(D42)&lt;&gt;10,LEFT(D42,2)&lt;&gt;"09"))),"REVIEW","READY"))</x:f>
      </x:c>
      <x:c r="M42" s="254" t="str">
        <x:f>IF(L42="READY","",IF(A42="","",TRIM(IF(COUNTIF('الزبائن'!$A$6:$A$505,A42)=0,"customer key not found; ","")&amp;IF(C42="","missing contact_type; ","")&amp;IF(D42="","missing number; ","")&amp;IF(I42="","missing status; ","")&amp;IF(AND(C42="mobile",I42&lt;&gt;"invalid",OR(LEN(D42)&lt;&gt;10,LEFT(D42,2)&lt;&gt;"09")),"mobile must be 09XXXXXXXX or status invalid; ",""))))</x:f>
      </x:c>
    </x:row>
    <x:row r="43">
      <x:c r="A43" s="251"/>
      <x:c r="B43" s="252"/>
      <x:c r="C43" s="252"/>
      <x:c r="D43" s="253"/>
      <x:c r="E43" s="253"/>
      <x:c r="F43" s="252"/>
      <x:c r="G43" s="252"/>
      <x:c r="H43" s="252"/>
      <x:c r="I43" s="252"/>
      <x:c r="J43" s="252"/>
      <x:c r="K43" s="252"/>
      <x:c r="L43" s="252" t="str">
        <x:f>IF(A43="","",IF(OR(C43="",D43="",I43="",COUNTIF('الزبائن'!$A$6:$A$505,A43)=0,AND(C43="mobile",I43&lt;&gt;"invalid",OR(LEN(D43)&lt;&gt;10,LEFT(D43,2)&lt;&gt;"09"))),"REVIEW","READY"))</x:f>
      </x:c>
      <x:c r="M43" s="254" t="str">
        <x:f>IF(L43="READY","",IF(A43="","",TRIM(IF(COUNTIF('الزبائن'!$A$6:$A$505,A43)=0,"customer key not found; ","")&amp;IF(C43="","missing contact_type; ","")&amp;IF(D43="","missing number; ","")&amp;IF(I43="","missing status; ","")&amp;IF(AND(C43="mobile",I43&lt;&gt;"invalid",OR(LEN(D43)&lt;&gt;10,LEFT(D43,2)&lt;&gt;"09")),"mobile must be 09XXXXXXXX or status invalid; ",""))))</x:f>
      </x:c>
    </x:row>
    <x:row r="44">
      <x:c r="A44" s="251"/>
      <x:c r="B44" s="252"/>
      <x:c r="C44" s="252"/>
      <x:c r="D44" s="253"/>
      <x:c r="E44" s="253"/>
      <x:c r="F44" s="252"/>
      <x:c r="G44" s="252"/>
      <x:c r="H44" s="252"/>
      <x:c r="I44" s="252"/>
      <x:c r="J44" s="252"/>
      <x:c r="K44" s="252"/>
      <x:c r="L44" s="252" t="str">
        <x:f>IF(A44="","",IF(OR(C44="",D44="",I44="",COUNTIF('الزبائن'!$A$6:$A$505,A44)=0,AND(C44="mobile",I44&lt;&gt;"invalid",OR(LEN(D44)&lt;&gt;10,LEFT(D44,2)&lt;&gt;"09"))),"REVIEW","READY"))</x:f>
      </x:c>
      <x:c r="M44" s="254" t="str">
        <x:f>IF(L44="READY","",IF(A44="","",TRIM(IF(COUNTIF('الزبائن'!$A$6:$A$505,A44)=0,"customer key not found; ","")&amp;IF(C44="","missing contact_type; ","")&amp;IF(D44="","missing number; ","")&amp;IF(I44="","missing status; ","")&amp;IF(AND(C44="mobile",I44&lt;&gt;"invalid",OR(LEN(D44)&lt;&gt;10,LEFT(D44,2)&lt;&gt;"09")),"mobile must be 09XXXXXXXX or status invalid; ",""))))</x:f>
      </x:c>
    </x:row>
    <x:row r="45">
      <x:c r="A45" s="251"/>
      <x:c r="B45" s="252"/>
      <x:c r="C45" s="252"/>
      <x:c r="D45" s="253"/>
      <x:c r="E45" s="253"/>
      <x:c r="F45" s="252"/>
      <x:c r="G45" s="252"/>
      <x:c r="H45" s="252"/>
      <x:c r="I45" s="252"/>
      <x:c r="J45" s="252"/>
      <x:c r="K45" s="252"/>
      <x:c r="L45" s="252" t="str">
        <x:f>IF(A45="","",IF(OR(C45="",D45="",I45="",COUNTIF('الزبائن'!$A$6:$A$505,A45)=0,AND(C45="mobile",I45&lt;&gt;"invalid",OR(LEN(D45)&lt;&gt;10,LEFT(D45,2)&lt;&gt;"09"))),"REVIEW","READY"))</x:f>
      </x:c>
      <x:c r="M45" s="254" t="str">
        <x:f>IF(L45="READY","",IF(A45="","",TRIM(IF(COUNTIF('الزبائن'!$A$6:$A$505,A45)=0,"customer key not found; ","")&amp;IF(C45="","missing contact_type; ","")&amp;IF(D45="","missing number; ","")&amp;IF(I45="","missing status; ","")&amp;IF(AND(C45="mobile",I45&lt;&gt;"invalid",OR(LEN(D45)&lt;&gt;10,LEFT(D45,2)&lt;&gt;"09")),"mobile must be 09XXXXXXXX or status invalid; ",""))))</x:f>
      </x:c>
    </x:row>
    <x:row r="46">
      <x:c r="A46" s="251"/>
      <x:c r="B46" s="252"/>
      <x:c r="C46" s="252"/>
      <x:c r="D46" s="253"/>
      <x:c r="E46" s="253"/>
      <x:c r="F46" s="252"/>
      <x:c r="G46" s="252"/>
      <x:c r="H46" s="252"/>
      <x:c r="I46" s="252"/>
      <x:c r="J46" s="252"/>
      <x:c r="K46" s="252"/>
      <x:c r="L46" s="252" t="str">
        <x:f>IF(A46="","",IF(OR(C46="",D46="",I46="",COUNTIF('الزبائن'!$A$6:$A$505,A46)=0,AND(C46="mobile",I46&lt;&gt;"invalid",OR(LEN(D46)&lt;&gt;10,LEFT(D46,2)&lt;&gt;"09"))),"REVIEW","READY"))</x:f>
      </x:c>
      <x:c r="M46" s="254" t="str">
        <x:f>IF(L46="READY","",IF(A46="","",TRIM(IF(COUNTIF('الزبائن'!$A$6:$A$505,A46)=0,"customer key not found; ","")&amp;IF(C46="","missing contact_type; ","")&amp;IF(D46="","missing number; ","")&amp;IF(I46="","missing status; ","")&amp;IF(AND(C46="mobile",I46&lt;&gt;"invalid",OR(LEN(D46)&lt;&gt;10,LEFT(D46,2)&lt;&gt;"09")),"mobile must be 09XXXXXXXX or status invalid; ",""))))</x:f>
      </x:c>
    </x:row>
    <x:row r="47">
      <x:c r="A47" s="251"/>
      <x:c r="B47" s="252"/>
      <x:c r="C47" s="252"/>
      <x:c r="D47" s="253"/>
      <x:c r="E47" s="253"/>
      <x:c r="F47" s="252"/>
      <x:c r="G47" s="252"/>
      <x:c r="H47" s="252"/>
      <x:c r="I47" s="252"/>
      <x:c r="J47" s="252"/>
      <x:c r="K47" s="252"/>
      <x:c r="L47" s="252" t="str">
        <x:f>IF(A47="","",IF(OR(C47="",D47="",I47="",COUNTIF('الزبائن'!$A$6:$A$505,A47)=0,AND(C47="mobile",I47&lt;&gt;"invalid",OR(LEN(D47)&lt;&gt;10,LEFT(D47,2)&lt;&gt;"09"))),"REVIEW","READY"))</x:f>
      </x:c>
      <x:c r="M47" s="254" t="str">
        <x:f>IF(L47="READY","",IF(A47="","",TRIM(IF(COUNTIF('الزبائن'!$A$6:$A$505,A47)=0,"customer key not found; ","")&amp;IF(C47="","missing contact_type; ","")&amp;IF(D47="","missing number; ","")&amp;IF(I47="","missing status; ","")&amp;IF(AND(C47="mobile",I47&lt;&gt;"invalid",OR(LEN(D47)&lt;&gt;10,LEFT(D47,2)&lt;&gt;"09")),"mobile must be 09XXXXXXXX or status invalid; ",""))))</x:f>
      </x:c>
    </x:row>
    <x:row r="48">
      <x:c r="A48" s="251"/>
      <x:c r="B48" s="252"/>
      <x:c r="C48" s="252"/>
      <x:c r="D48" s="253"/>
      <x:c r="E48" s="253"/>
      <x:c r="F48" s="252"/>
      <x:c r="G48" s="252"/>
      <x:c r="H48" s="252"/>
      <x:c r="I48" s="252"/>
      <x:c r="J48" s="252"/>
      <x:c r="K48" s="252"/>
      <x:c r="L48" s="252" t="str">
        <x:f>IF(A48="","",IF(OR(C48="",D48="",I48="",COUNTIF('الزبائن'!$A$6:$A$505,A48)=0,AND(C48="mobile",I48&lt;&gt;"invalid",OR(LEN(D48)&lt;&gt;10,LEFT(D48,2)&lt;&gt;"09"))),"REVIEW","READY"))</x:f>
      </x:c>
      <x:c r="M48" s="254" t="str">
        <x:f>IF(L48="READY","",IF(A48="","",TRIM(IF(COUNTIF('الزبائن'!$A$6:$A$505,A48)=0,"customer key not found; ","")&amp;IF(C48="","missing contact_type; ","")&amp;IF(D48="","missing number; ","")&amp;IF(I48="","missing status; ","")&amp;IF(AND(C48="mobile",I48&lt;&gt;"invalid",OR(LEN(D48)&lt;&gt;10,LEFT(D48,2)&lt;&gt;"09")),"mobile must be 09XXXXXXXX or status invalid; ",""))))</x:f>
      </x:c>
    </x:row>
    <x:row r="49">
      <x:c r="A49" s="251"/>
      <x:c r="B49" s="252"/>
      <x:c r="C49" s="252"/>
      <x:c r="D49" s="253"/>
      <x:c r="E49" s="253"/>
      <x:c r="F49" s="252"/>
      <x:c r="G49" s="252"/>
      <x:c r="H49" s="252"/>
      <x:c r="I49" s="252"/>
      <x:c r="J49" s="252"/>
      <x:c r="K49" s="252"/>
      <x:c r="L49" s="252" t="str">
        <x:f>IF(A49="","",IF(OR(C49="",D49="",I49="",COUNTIF('الزبائن'!$A$6:$A$505,A49)=0,AND(C49="mobile",I49&lt;&gt;"invalid",OR(LEN(D49)&lt;&gt;10,LEFT(D49,2)&lt;&gt;"09"))),"REVIEW","READY"))</x:f>
      </x:c>
      <x:c r="M49" s="254" t="str">
        <x:f>IF(L49="READY","",IF(A49="","",TRIM(IF(COUNTIF('الزبائن'!$A$6:$A$505,A49)=0,"customer key not found; ","")&amp;IF(C49="","missing contact_type; ","")&amp;IF(D49="","missing number; ","")&amp;IF(I49="","missing status; ","")&amp;IF(AND(C49="mobile",I49&lt;&gt;"invalid",OR(LEN(D49)&lt;&gt;10,LEFT(D49,2)&lt;&gt;"09")),"mobile must be 09XXXXXXXX or status invalid; ",""))))</x:f>
      </x:c>
    </x:row>
    <x:row r="50">
      <x:c r="A50" s="251"/>
      <x:c r="B50" s="252"/>
      <x:c r="C50" s="252"/>
      <x:c r="D50" s="253"/>
      <x:c r="E50" s="253"/>
      <x:c r="F50" s="252"/>
      <x:c r="G50" s="252"/>
      <x:c r="H50" s="252"/>
      <x:c r="I50" s="252"/>
      <x:c r="J50" s="252"/>
      <x:c r="K50" s="252"/>
      <x:c r="L50" s="252" t="str">
        <x:f>IF(A50="","",IF(OR(C50="",D50="",I50="",COUNTIF('الزبائن'!$A$6:$A$505,A50)=0,AND(C50="mobile",I50&lt;&gt;"invalid",OR(LEN(D50)&lt;&gt;10,LEFT(D50,2)&lt;&gt;"09"))),"REVIEW","READY"))</x:f>
      </x:c>
      <x:c r="M50" s="254" t="str">
        <x:f>IF(L50="READY","",IF(A50="","",TRIM(IF(COUNTIF('الزبائن'!$A$6:$A$505,A50)=0,"customer key not found; ","")&amp;IF(C50="","missing contact_type; ","")&amp;IF(D50="","missing number; ","")&amp;IF(I50="","missing status; ","")&amp;IF(AND(C50="mobile",I50&lt;&gt;"invalid",OR(LEN(D50)&lt;&gt;10,LEFT(D50,2)&lt;&gt;"09")),"mobile must be 09XXXXXXXX or status invalid; ",""))))</x:f>
      </x:c>
    </x:row>
    <x:row r="51">
      <x:c r="A51" s="251"/>
      <x:c r="B51" s="252"/>
      <x:c r="C51" s="252"/>
      <x:c r="D51" s="253"/>
      <x:c r="E51" s="253"/>
      <x:c r="F51" s="252"/>
      <x:c r="G51" s="252"/>
      <x:c r="H51" s="252"/>
      <x:c r="I51" s="252"/>
      <x:c r="J51" s="252"/>
      <x:c r="K51" s="252"/>
      <x:c r="L51" s="252" t="str">
        <x:f>IF(A51="","",IF(OR(C51="",D51="",I51="",COUNTIF('الزبائن'!$A$6:$A$505,A51)=0,AND(C51="mobile",I51&lt;&gt;"invalid",OR(LEN(D51)&lt;&gt;10,LEFT(D51,2)&lt;&gt;"09"))),"REVIEW","READY"))</x:f>
      </x:c>
      <x:c r="M51" s="254" t="str">
        <x:f>IF(L51="READY","",IF(A51="","",TRIM(IF(COUNTIF('الزبائن'!$A$6:$A$505,A51)=0,"customer key not found; ","")&amp;IF(C51="","missing contact_type; ","")&amp;IF(D51="","missing number; ","")&amp;IF(I51="","missing status; ","")&amp;IF(AND(C51="mobile",I51&lt;&gt;"invalid",OR(LEN(D51)&lt;&gt;10,LEFT(D51,2)&lt;&gt;"09")),"mobile must be 09XXXXXXXX or status invalid; ",""))))</x:f>
      </x:c>
    </x:row>
    <x:row r="52">
      <x:c r="A52" s="251"/>
      <x:c r="B52" s="252"/>
      <x:c r="C52" s="252"/>
      <x:c r="D52" s="253"/>
      <x:c r="E52" s="253"/>
      <x:c r="F52" s="252"/>
      <x:c r="G52" s="252"/>
      <x:c r="H52" s="252"/>
      <x:c r="I52" s="252"/>
      <x:c r="J52" s="252"/>
      <x:c r="K52" s="252"/>
      <x:c r="L52" s="252" t="str">
        <x:f>IF(A52="","",IF(OR(C52="",D52="",I52="",COUNTIF('الزبائن'!$A$6:$A$505,A52)=0,AND(C52="mobile",I52&lt;&gt;"invalid",OR(LEN(D52)&lt;&gt;10,LEFT(D52,2)&lt;&gt;"09"))),"REVIEW","READY"))</x:f>
      </x:c>
      <x:c r="M52" s="254" t="str">
        <x:f>IF(L52="READY","",IF(A52="","",TRIM(IF(COUNTIF('الزبائن'!$A$6:$A$505,A52)=0,"customer key not found; ","")&amp;IF(C52="","missing contact_type; ","")&amp;IF(D52="","missing number; ","")&amp;IF(I52="","missing status; ","")&amp;IF(AND(C52="mobile",I52&lt;&gt;"invalid",OR(LEN(D52)&lt;&gt;10,LEFT(D52,2)&lt;&gt;"09")),"mobile must be 09XXXXXXXX or status invalid; ",""))))</x:f>
      </x:c>
    </x:row>
    <x:row r="53">
      <x:c r="A53" s="251"/>
      <x:c r="B53" s="252"/>
      <x:c r="C53" s="252"/>
      <x:c r="D53" s="253"/>
      <x:c r="E53" s="253"/>
      <x:c r="F53" s="252"/>
      <x:c r="G53" s="252"/>
      <x:c r="H53" s="252"/>
      <x:c r="I53" s="252"/>
      <x:c r="J53" s="252"/>
      <x:c r="K53" s="252"/>
      <x:c r="L53" s="252" t="str">
        <x:f>IF(A53="","",IF(OR(C53="",D53="",I53="",COUNTIF('الزبائن'!$A$6:$A$505,A53)=0,AND(C53="mobile",I53&lt;&gt;"invalid",OR(LEN(D53)&lt;&gt;10,LEFT(D53,2)&lt;&gt;"09"))),"REVIEW","READY"))</x:f>
      </x:c>
      <x:c r="M53" s="254" t="str">
        <x:f>IF(L53="READY","",IF(A53="","",TRIM(IF(COUNTIF('الزبائن'!$A$6:$A$505,A53)=0,"customer key not found; ","")&amp;IF(C53="","missing contact_type; ","")&amp;IF(D53="","missing number; ","")&amp;IF(I53="","missing status; ","")&amp;IF(AND(C53="mobile",I53&lt;&gt;"invalid",OR(LEN(D53)&lt;&gt;10,LEFT(D53,2)&lt;&gt;"09")),"mobile must be 09XXXXXXXX or status invalid; ",""))))</x:f>
      </x:c>
    </x:row>
    <x:row r="54">
      <x:c r="A54" s="251"/>
      <x:c r="B54" s="252"/>
      <x:c r="C54" s="252"/>
      <x:c r="D54" s="253"/>
      <x:c r="E54" s="253"/>
      <x:c r="F54" s="252"/>
      <x:c r="G54" s="252"/>
      <x:c r="H54" s="252"/>
      <x:c r="I54" s="252"/>
      <x:c r="J54" s="252"/>
      <x:c r="K54" s="252"/>
      <x:c r="L54" s="252" t="str">
        <x:f>IF(A54="","",IF(OR(C54="",D54="",I54="",COUNTIF('الزبائن'!$A$6:$A$505,A54)=0,AND(C54="mobile",I54&lt;&gt;"invalid",OR(LEN(D54)&lt;&gt;10,LEFT(D54,2)&lt;&gt;"09"))),"REVIEW","READY"))</x:f>
      </x:c>
      <x:c r="M54" s="254" t="str">
        <x:f>IF(L54="READY","",IF(A54="","",TRIM(IF(COUNTIF('الزبائن'!$A$6:$A$505,A54)=0,"customer key not found; ","")&amp;IF(C54="","missing contact_type; ","")&amp;IF(D54="","missing number; ","")&amp;IF(I54="","missing status; ","")&amp;IF(AND(C54="mobile",I54&lt;&gt;"invalid",OR(LEN(D54)&lt;&gt;10,LEFT(D54,2)&lt;&gt;"09")),"mobile must be 09XXXXXXXX or status invalid; ",""))))</x:f>
      </x:c>
    </x:row>
    <x:row r="55">
      <x:c r="A55" s="251"/>
      <x:c r="B55" s="252"/>
      <x:c r="C55" s="252"/>
      <x:c r="D55" s="253"/>
      <x:c r="E55" s="253"/>
      <x:c r="F55" s="252"/>
      <x:c r="G55" s="252"/>
      <x:c r="H55" s="252"/>
      <x:c r="I55" s="252"/>
      <x:c r="J55" s="252"/>
      <x:c r="K55" s="252"/>
      <x:c r="L55" s="252" t="str">
        <x:f>IF(A55="","",IF(OR(C55="",D55="",I55="",COUNTIF('الزبائن'!$A$6:$A$505,A55)=0,AND(C55="mobile",I55&lt;&gt;"invalid",OR(LEN(D55)&lt;&gt;10,LEFT(D55,2)&lt;&gt;"09"))),"REVIEW","READY"))</x:f>
      </x:c>
      <x:c r="M55" s="254" t="str">
        <x:f>IF(L55="READY","",IF(A55="","",TRIM(IF(COUNTIF('الزبائن'!$A$6:$A$505,A55)=0,"customer key not found; ","")&amp;IF(C55="","missing contact_type; ","")&amp;IF(D55="","missing number; ","")&amp;IF(I55="","missing status; ","")&amp;IF(AND(C55="mobile",I55&lt;&gt;"invalid",OR(LEN(D55)&lt;&gt;10,LEFT(D55,2)&lt;&gt;"09")),"mobile must be 09XXXXXXXX or status invalid; ",""))))</x:f>
      </x:c>
    </x:row>
    <x:row r="56">
      <x:c r="A56" s="251"/>
      <x:c r="B56" s="252"/>
      <x:c r="C56" s="252"/>
      <x:c r="D56" s="253"/>
      <x:c r="E56" s="253"/>
      <x:c r="F56" s="252"/>
      <x:c r="G56" s="252"/>
      <x:c r="H56" s="252"/>
      <x:c r="I56" s="252"/>
      <x:c r="J56" s="252"/>
      <x:c r="K56" s="252"/>
      <x:c r="L56" s="252" t="str">
        <x:f>IF(A56="","",IF(OR(C56="",D56="",I56="",COUNTIF('الزبائن'!$A$6:$A$505,A56)=0,AND(C56="mobile",I56&lt;&gt;"invalid",OR(LEN(D56)&lt;&gt;10,LEFT(D56,2)&lt;&gt;"09"))),"REVIEW","READY"))</x:f>
      </x:c>
      <x:c r="M56" s="254" t="str">
        <x:f>IF(L56="READY","",IF(A56="","",TRIM(IF(COUNTIF('الزبائن'!$A$6:$A$505,A56)=0,"customer key not found; ","")&amp;IF(C56="","missing contact_type; ","")&amp;IF(D56="","missing number; ","")&amp;IF(I56="","missing status; ","")&amp;IF(AND(C56="mobile",I56&lt;&gt;"invalid",OR(LEN(D56)&lt;&gt;10,LEFT(D56,2)&lt;&gt;"09")),"mobile must be 09XXXXXXXX or status invalid; ",""))))</x:f>
      </x:c>
    </x:row>
    <x:row r="57">
      <x:c r="A57" s="251"/>
      <x:c r="B57" s="252"/>
      <x:c r="C57" s="252"/>
      <x:c r="D57" s="253"/>
      <x:c r="E57" s="253"/>
      <x:c r="F57" s="252"/>
      <x:c r="G57" s="252"/>
      <x:c r="H57" s="252"/>
      <x:c r="I57" s="252"/>
      <x:c r="J57" s="252"/>
      <x:c r="K57" s="252"/>
      <x:c r="L57" s="252" t="str">
        <x:f>IF(A57="","",IF(OR(C57="",D57="",I57="",COUNTIF('الزبائن'!$A$6:$A$505,A57)=0,AND(C57="mobile",I57&lt;&gt;"invalid",OR(LEN(D57)&lt;&gt;10,LEFT(D57,2)&lt;&gt;"09"))),"REVIEW","READY"))</x:f>
      </x:c>
      <x:c r="M57" s="254" t="str">
        <x:f>IF(L57="READY","",IF(A57="","",TRIM(IF(COUNTIF('الزبائن'!$A$6:$A$505,A57)=0,"customer key not found; ","")&amp;IF(C57="","missing contact_type; ","")&amp;IF(D57="","missing number; ","")&amp;IF(I57="","missing status; ","")&amp;IF(AND(C57="mobile",I57&lt;&gt;"invalid",OR(LEN(D57)&lt;&gt;10,LEFT(D57,2)&lt;&gt;"09")),"mobile must be 09XXXXXXXX or status invalid; ",""))))</x:f>
      </x:c>
    </x:row>
    <x:row r="58">
      <x:c r="A58" s="251"/>
      <x:c r="B58" s="252"/>
      <x:c r="C58" s="252"/>
      <x:c r="D58" s="253"/>
      <x:c r="E58" s="253"/>
      <x:c r="F58" s="252"/>
      <x:c r="G58" s="252"/>
      <x:c r="H58" s="252"/>
      <x:c r="I58" s="252"/>
      <x:c r="J58" s="252"/>
      <x:c r="K58" s="252"/>
      <x:c r="L58" s="252" t="str">
        <x:f>IF(A58="","",IF(OR(C58="",D58="",I58="",COUNTIF('الزبائن'!$A$6:$A$505,A58)=0,AND(C58="mobile",I58&lt;&gt;"invalid",OR(LEN(D58)&lt;&gt;10,LEFT(D58,2)&lt;&gt;"09"))),"REVIEW","READY"))</x:f>
      </x:c>
      <x:c r="M58" s="254" t="str">
        <x:f>IF(L58="READY","",IF(A58="","",TRIM(IF(COUNTIF('الزبائن'!$A$6:$A$505,A58)=0,"customer key not found; ","")&amp;IF(C58="","missing contact_type; ","")&amp;IF(D58="","missing number; ","")&amp;IF(I58="","missing status; ","")&amp;IF(AND(C58="mobile",I58&lt;&gt;"invalid",OR(LEN(D58)&lt;&gt;10,LEFT(D58,2)&lt;&gt;"09")),"mobile must be 09XXXXXXXX or status invalid; ",""))))</x:f>
      </x:c>
    </x:row>
    <x:row r="59">
      <x:c r="A59" s="251"/>
      <x:c r="B59" s="252"/>
      <x:c r="C59" s="252"/>
      <x:c r="D59" s="253"/>
      <x:c r="E59" s="253"/>
      <x:c r="F59" s="252"/>
      <x:c r="G59" s="252"/>
      <x:c r="H59" s="252"/>
      <x:c r="I59" s="252"/>
      <x:c r="J59" s="252"/>
      <x:c r="K59" s="252"/>
      <x:c r="L59" s="252" t="str">
        <x:f>IF(A59="","",IF(OR(C59="",D59="",I59="",COUNTIF('الزبائن'!$A$6:$A$505,A59)=0,AND(C59="mobile",I59&lt;&gt;"invalid",OR(LEN(D59)&lt;&gt;10,LEFT(D59,2)&lt;&gt;"09"))),"REVIEW","READY"))</x:f>
      </x:c>
      <x:c r="M59" s="254" t="str">
        <x:f>IF(L59="READY","",IF(A59="","",TRIM(IF(COUNTIF('الزبائن'!$A$6:$A$505,A59)=0,"customer key not found; ","")&amp;IF(C59="","missing contact_type; ","")&amp;IF(D59="","missing number; ","")&amp;IF(I59="","missing status; ","")&amp;IF(AND(C59="mobile",I59&lt;&gt;"invalid",OR(LEN(D59)&lt;&gt;10,LEFT(D59,2)&lt;&gt;"09")),"mobile must be 09XXXXXXXX or status invalid; ",""))))</x:f>
      </x:c>
    </x:row>
    <x:row r="60">
      <x:c r="A60" s="251"/>
      <x:c r="B60" s="252"/>
      <x:c r="C60" s="252"/>
      <x:c r="D60" s="253"/>
      <x:c r="E60" s="253"/>
      <x:c r="F60" s="252"/>
      <x:c r="G60" s="252"/>
      <x:c r="H60" s="252"/>
      <x:c r="I60" s="252"/>
      <x:c r="J60" s="252"/>
      <x:c r="K60" s="252"/>
      <x:c r="L60" s="252" t="str">
        <x:f>IF(A60="","",IF(OR(C60="",D60="",I60="",COUNTIF('الزبائن'!$A$6:$A$505,A60)=0,AND(C60="mobile",I60&lt;&gt;"invalid",OR(LEN(D60)&lt;&gt;10,LEFT(D60,2)&lt;&gt;"09"))),"REVIEW","READY"))</x:f>
      </x:c>
      <x:c r="M60" s="254" t="str">
        <x:f>IF(L60="READY","",IF(A60="","",TRIM(IF(COUNTIF('الزبائن'!$A$6:$A$505,A60)=0,"customer key not found; ","")&amp;IF(C60="","missing contact_type; ","")&amp;IF(D60="","missing number; ","")&amp;IF(I60="","missing status; ","")&amp;IF(AND(C60="mobile",I60&lt;&gt;"invalid",OR(LEN(D60)&lt;&gt;10,LEFT(D60,2)&lt;&gt;"09")),"mobile must be 09XXXXXXXX or status invalid; ",""))))</x:f>
      </x:c>
    </x:row>
    <x:row r="61">
      <x:c r="A61" s="251"/>
      <x:c r="B61" s="252"/>
      <x:c r="C61" s="252"/>
      <x:c r="D61" s="253"/>
      <x:c r="E61" s="253"/>
      <x:c r="F61" s="252"/>
      <x:c r="G61" s="252"/>
      <x:c r="H61" s="252"/>
      <x:c r="I61" s="252"/>
      <x:c r="J61" s="252"/>
      <x:c r="K61" s="252"/>
      <x:c r="L61" s="252" t="str">
        <x:f>IF(A61="","",IF(OR(C61="",D61="",I61="",COUNTIF('الزبائن'!$A$6:$A$505,A61)=0,AND(C61="mobile",I61&lt;&gt;"invalid",OR(LEN(D61)&lt;&gt;10,LEFT(D61,2)&lt;&gt;"09"))),"REVIEW","READY"))</x:f>
      </x:c>
      <x:c r="M61" s="254" t="str">
        <x:f>IF(L61="READY","",IF(A61="","",TRIM(IF(COUNTIF('الزبائن'!$A$6:$A$505,A61)=0,"customer key not found; ","")&amp;IF(C61="","missing contact_type; ","")&amp;IF(D61="","missing number; ","")&amp;IF(I61="","missing status; ","")&amp;IF(AND(C61="mobile",I61&lt;&gt;"invalid",OR(LEN(D61)&lt;&gt;10,LEFT(D61,2)&lt;&gt;"09")),"mobile must be 09XXXXXXXX or status invalid; ",""))))</x:f>
      </x:c>
    </x:row>
    <x:row r="62">
      <x:c r="A62" s="251"/>
      <x:c r="B62" s="252"/>
      <x:c r="C62" s="252"/>
      <x:c r="D62" s="253"/>
      <x:c r="E62" s="253"/>
      <x:c r="F62" s="252"/>
      <x:c r="G62" s="252"/>
      <x:c r="H62" s="252"/>
      <x:c r="I62" s="252"/>
      <x:c r="J62" s="252"/>
      <x:c r="K62" s="252"/>
      <x:c r="L62" s="252" t="str">
        <x:f>IF(A62="","",IF(OR(C62="",D62="",I62="",COUNTIF('الزبائن'!$A$6:$A$505,A62)=0,AND(C62="mobile",I62&lt;&gt;"invalid",OR(LEN(D62)&lt;&gt;10,LEFT(D62,2)&lt;&gt;"09"))),"REVIEW","READY"))</x:f>
      </x:c>
      <x:c r="M62" s="254" t="str">
        <x:f>IF(L62="READY","",IF(A62="","",TRIM(IF(COUNTIF('الزبائن'!$A$6:$A$505,A62)=0,"customer key not found; ","")&amp;IF(C62="","missing contact_type; ","")&amp;IF(D62="","missing number; ","")&amp;IF(I62="","missing status; ","")&amp;IF(AND(C62="mobile",I62&lt;&gt;"invalid",OR(LEN(D62)&lt;&gt;10,LEFT(D62,2)&lt;&gt;"09")),"mobile must be 09XXXXXXXX or status invalid; ",""))))</x:f>
      </x:c>
    </x:row>
    <x:row r="63">
      <x:c r="A63" s="251"/>
      <x:c r="B63" s="252"/>
      <x:c r="C63" s="252"/>
      <x:c r="D63" s="253"/>
      <x:c r="E63" s="253"/>
      <x:c r="F63" s="252"/>
      <x:c r="G63" s="252"/>
      <x:c r="H63" s="252"/>
      <x:c r="I63" s="252"/>
      <x:c r="J63" s="252"/>
      <x:c r="K63" s="252"/>
      <x:c r="L63" s="252" t="str">
        <x:f>IF(A63="","",IF(OR(C63="",D63="",I63="",COUNTIF('الزبائن'!$A$6:$A$505,A63)=0,AND(C63="mobile",I63&lt;&gt;"invalid",OR(LEN(D63)&lt;&gt;10,LEFT(D63,2)&lt;&gt;"09"))),"REVIEW","READY"))</x:f>
      </x:c>
      <x:c r="M63" s="254" t="str">
        <x:f>IF(L63="READY","",IF(A63="","",TRIM(IF(COUNTIF('الزبائن'!$A$6:$A$505,A63)=0,"customer key not found; ","")&amp;IF(C63="","missing contact_type; ","")&amp;IF(D63="","missing number; ","")&amp;IF(I63="","missing status; ","")&amp;IF(AND(C63="mobile",I63&lt;&gt;"invalid",OR(LEN(D63)&lt;&gt;10,LEFT(D63,2)&lt;&gt;"09")),"mobile must be 09XXXXXXXX or status invalid; ",""))))</x:f>
      </x:c>
    </x:row>
    <x:row r="64">
      <x:c r="A64" s="251"/>
      <x:c r="B64" s="252"/>
      <x:c r="C64" s="252"/>
      <x:c r="D64" s="253"/>
      <x:c r="E64" s="253"/>
      <x:c r="F64" s="252"/>
      <x:c r="G64" s="252"/>
      <x:c r="H64" s="252"/>
      <x:c r="I64" s="252"/>
      <x:c r="J64" s="252"/>
      <x:c r="K64" s="252"/>
      <x:c r="L64" s="252" t="str">
        <x:f>IF(A64="","",IF(OR(C64="",D64="",I64="",COUNTIF('الزبائن'!$A$6:$A$505,A64)=0,AND(C64="mobile",I64&lt;&gt;"invalid",OR(LEN(D64)&lt;&gt;10,LEFT(D64,2)&lt;&gt;"09"))),"REVIEW","READY"))</x:f>
      </x:c>
      <x:c r="M64" s="254" t="str">
        <x:f>IF(L64="READY","",IF(A64="","",TRIM(IF(COUNTIF('الزبائن'!$A$6:$A$505,A64)=0,"customer key not found; ","")&amp;IF(C64="","missing contact_type; ","")&amp;IF(D64="","missing number; ","")&amp;IF(I64="","missing status; ","")&amp;IF(AND(C64="mobile",I64&lt;&gt;"invalid",OR(LEN(D64)&lt;&gt;10,LEFT(D64,2)&lt;&gt;"09")),"mobile must be 09XXXXXXXX or status invalid; ",""))))</x:f>
      </x:c>
    </x:row>
    <x:row r="65">
      <x:c r="A65" s="251"/>
      <x:c r="B65" s="252"/>
      <x:c r="C65" s="252"/>
      <x:c r="D65" s="253"/>
      <x:c r="E65" s="253"/>
      <x:c r="F65" s="252"/>
      <x:c r="G65" s="252"/>
      <x:c r="H65" s="252"/>
      <x:c r="I65" s="252"/>
      <x:c r="J65" s="252"/>
      <x:c r="K65" s="252"/>
      <x:c r="L65" s="252" t="str">
        <x:f>IF(A65="","",IF(OR(C65="",D65="",I65="",COUNTIF('الزبائن'!$A$6:$A$505,A65)=0,AND(C65="mobile",I65&lt;&gt;"invalid",OR(LEN(D65)&lt;&gt;10,LEFT(D65,2)&lt;&gt;"09"))),"REVIEW","READY"))</x:f>
      </x:c>
      <x:c r="M65" s="254" t="str">
        <x:f>IF(L65="READY","",IF(A65="","",TRIM(IF(COUNTIF('الزبائن'!$A$6:$A$505,A65)=0,"customer key not found; ","")&amp;IF(C65="","missing contact_type; ","")&amp;IF(D65="","missing number; ","")&amp;IF(I65="","missing status; ","")&amp;IF(AND(C65="mobile",I65&lt;&gt;"invalid",OR(LEN(D65)&lt;&gt;10,LEFT(D65,2)&lt;&gt;"09")),"mobile must be 09XXXXXXXX or status invalid; ",""))))</x:f>
      </x:c>
    </x:row>
    <x:row r="66">
      <x:c r="A66" s="251"/>
      <x:c r="B66" s="252"/>
      <x:c r="C66" s="252"/>
      <x:c r="D66" s="253"/>
      <x:c r="E66" s="253"/>
      <x:c r="F66" s="252"/>
      <x:c r="G66" s="252"/>
      <x:c r="H66" s="252"/>
      <x:c r="I66" s="252"/>
      <x:c r="J66" s="252"/>
      <x:c r="K66" s="252"/>
      <x:c r="L66" s="252" t="str">
        <x:f>IF(A66="","",IF(OR(C66="",D66="",I66="",COUNTIF('الزبائن'!$A$6:$A$505,A66)=0,AND(C66="mobile",I66&lt;&gt;"invalid",OR(LEN(D66)&lt;&gt;10,LEFT(D66,2)&lt;&gt;"09"))),"REVIEW","READY"))</x:f>
      </x:c>
      <x:c r="M66" s="254" t="str">
        <x:f>IF(L66="READY","",IF(A66="","",TRIM(IF(COUNTIF('الزبائن'!$A$6:$A$505,A66)=0,"customer key not found; ","")&amp;IF(C66="","missing contact_type; ","")&amp;IF(D66="","missing number; ","")&amp;IF(I66="","missing status; ","")&amp;IF(AND(C66="mobile",I66&lt;&gt;"invalid",OR(LEN(D66)&lt;&gt;10,LEFT(D66,2)&lt;&gt;"09")),"mobile must be 09XXXXXXXX or status invalid; ",""))))</x:f>
      </x:c>
    </x:row>
    <x:row r="67">
      <x:c r="A67" s="251"/>
      <x:c r="B67" s="252"/>
      <x:c r="C67" s="252"/>
      <x:c r="D67" s="253"/>
      <x:c r="E67" s="253"/>
      <x:c r="F67" s="252"/>
      <x:c r="G67" s="252"/>
      <x:c r="H67" s="252"/>
      <x:c r="I67" s="252"/>
      <x:c r="J67" s="252"/>
      <x:c r="K67" s="252"/>
      <x:c r="L67" s="252" t="str">
        <x:f>IF(A67="","",IF(OR(C67="",D67="",I67="",COUNTIF('الزبائن'!$A$6:$A$505,A67)=0,AND(C67="mobile",I67&lt;&gt;"invalid",OR(LEN(D67)&lt;&gt;10,LEFT(D67,2)&lt;&gt;"09"))),"REVIEW","READY"))</x:f>
      </x:c>
      <x:c r="M67" s="254" t="str">
        <x:f>IF(L67="READY","",IF(A67="","",TRIM(IF(COUNTIF('الزبائن'!$A$6:$A$505,A67)=0,"customer key not found; ","")&amp;IF(C67="","missing contact_type; ","")&amp;IF(D67="","missing number; ","")&amp;IF(I67="","missing status; ","")&amp;IF(AND(C67="mobile",I67&lt;&gt;"invalid",OR(LEN(D67)&lt;&gt;10,LEFT(D67,2)&lt;&gt;"09")),"mobile must be 09XXXXXXXX or status invalid; ",""))))</x:f>
      </x:c>
    </x:row>
    <x:row r="68">
      <x:c r="A68" s="251"/>
      <x:c r="B68" s="252"/>
      <x:c r="C68" s="252"/>
      <x:c r="D68" s="253"/>
      <x:c r="E68" s="253"/>
      <x:c r="F68" s="252"/>
      <x:c r="G68" s="252"/>
      <x:c r="H68" s="252"/>
      <x:c r="I68" s="252"/>
      <x:c r="J68" s="252"/>
      <x:c r="K68" s="252"/>
      <x:c r="L68" s="252" t="str">
        <x:f>IF(A68="","",IF(OR(C68="",D68="",I68="",COUNTIF('الزبائن'!$A$6:$A$505,A68)=0,AND(C68="mobile",I68&lt;&gt;"invalid",OR(LEN(D68)&lt;&gt;10,LEFT(D68,2)&lt;&gt;"09"))),"REVIEW","READY"))</x:f>
      </x:c>
      <x:c r="M68" s="254" t="str">
        <x:f>IF(L68="READY","",IF(A68="","",TRIM(IF(COUNTIF('الزبائن'!$A$6:$A$505,A68)=0,"customer key not found; ","")&amp;IF(C68="","missing contact_type; ","")&amp;IF(D68="","missing number; ","")&amp;IF(I68="","missing status; ","")&amp;IF(AND(C68="mobile",I68&lt;&gt;"invalid",OR(LEN(D68)&lt;&gt;10,LEFT(D68,2)&lt;&gt;"09")),"mobile must be 09XXXXXXXX or status invalid; ",""))))</x:f>
      </x:c>
    </x:row>
    <x:row r="69">
      <x:c r="A69" s="251"/>
      <x:c r="B69" s="252"/>
      <x:c r="C69" s="252"/>
      <x:c r="D69" s="253"/>
      <x:c r="E69" s="253"/>
      <x:c r="F69" s="252"/>
      <x:c r="G69" s="252"/>
      <x:c r="H69" s="252"/>
      <x:c r="I69" s="252"/>
      <x:c r="J69" s="252"/>
      <x:c r="K69" s="252"/>
      <x:c r="L69" s="252" t="str">
        <x:f>IF(A69="","",IF(OR(C69="",D69="",I69="",COUNTIF('الزبائن'!$A$6:$A$505,A69)=0,AND(C69="mobile",I69&lt;&gt;"invalid",OR(LEN(D69)&lt;&gt;10,LEFT(D69,2)&lt;&gt;"09"))),"REVIEW","READY"))</x:f>
      </x:c>
      <x:c r="M69" s="254" t="str">
        <x:f>IF(L69="READY","",IF(A69="","",TRIM(IF(COUNTIF('الزبائن'!$A$6:$A$505,A69)=0,"customer key not found; ","")&amp;IF(C69="","missing contact_type; ","")&amp;IF(D69="","missing number; ","")&amp;IF(I69="","missing status; ","")&amp;IF(AND(C69="mobile",I69&lt;&gt;"invalid",OR(LEN(D69)&lt;&gt;10,LEFT(D69,2)&lt;&gt;"09")),"mobile must be 09XXXXXXXX or status invalid; ",""))))</x:f>
      </x:c>
    </x:row>
    <x:row r="70">
      <x:c r="A70" s="251"/>
      <x:c r="B70" s="252"/>
      <x:c r="C70" s="252"/>
      <x:c r="D70" s="253"/>
      <x:c r="E70" s="253"/>
      <x:c r="F70" s="252"/>
      <x:c r="G70" s="252"/>
      <x:c r="H70" s="252"/>
      <x:c r="I70" s="252"/>
      <x:c r="J70" s="252"/>
      <x:c r="K70" s="252"/>
      <x:c r="L70" s="252" t="str">
        <x:f>IF(A70="","",IF(OR(C70="",D70="",I70="",COUNTIF('الزبائن'!$A$6:$A$505,A70)=0,AND(C70="mobile",I70&lt;&gt;"invalid",OR(LEN(D70)&lt;&gt;10,LEFT(D70,2)&lt;&gt;"09"))),"REVIEW","READY"))</x:f>
      </x:c>
      <x:c r="M70" s="254" t="str">
        <x:f>IF(L70="READY","",IF(A70="","",TRIM(IF(COUNTIF('الزبائن'!$A$6:$A$505,A70)=0,"customer key not found; ","")&amp;IF(C70="","missing contact_type; ","")&amp;IF(D70="","missing number; ","")&amp;IF(I70="","missing status; ","")&amp;IF(AND(C70="mobile",I70&lt;&gt;"invalid",OR(LEN(D70)&lt;&gt;10,LEFT(D70,2)&lt;&gt;"09")),"mobile must be 09XXXXXXXX or status invalid; ",""))))</x:f>
      </x:c>
    </x:row>
    <x:row r="71">
      <x:c r="A71" s="251"/>
      <x:c r="B71" s="252"/>
      <x:c r="C71" s="252"/>
      <x:c r="D71" s="253"/>
      <x:c r="E71" s="253"/>
      <x:c r="F71" s="252"/>
      <x:c r="G71" s="252"/>
      <x:c r="H71" s="252"/>
      <x:c r="I71" s="252"/>
      <x:c r="J71" s="252"/>
      <x:c r="K71" s="252"/>
      <x:c r="L71" s="252" t="str">
        <x:f>IF(A71="","",IF(OR(C71="",D71="",I71="",COUNTIF('الزبائن'!$A$6:$A$505,A71)=0,AND(C71="mobile",I71&lt;&gt;"invalid",OR(LEN(D71)&lt;&gt;10,LEFT(D71,2)&lt;&gt;"09"))),"REVIEW","READY"))</x:f>
      </x:c>
      <x:c r="M71" s="254" t="str">
        <x:f>IF(L71="READY","",IF(A71="","",TRIM(IF(COUNTIF('الزبائن'!$A$6:$A$505,A71)=0,"customer key not found; ","")&amp;IF(C71="","missing contact_type; ","")&amp;IF(D71="","missing number; ","")&amp;IF(I71="","missing status; ","")&amp;IF(AND(C71="mobile",I71&lt;&gt;"invalid",OR(LEN(D71)&lt;&gt;10,LEFT(D71,2)&lt;&gt;"09")),"mobile must be 09XXXXXXXX or status invalid; ",""))))</x:f>
      </x:c>
    </x:row>
    <x:row r="72">
      <x:c r="A72" s="251"/>
      <x:c r="B72" s="252"/>
      <x:c r="C72" s="252"/>
      <x:c r="D72" s="253"/>
      <x:c r="E72" s="253"/>
      <x:c r="F72" s="252"/>
      <x:c r="G72" s="252"/>
      <x:c r="H72" s="252"/>
      <x:c r="I72" s="252"/>
      <x:c r="J72" s="252"/>
      <x:c r="K72" s="252"/>
      <x:c r="L72" s="252" t="str">
        <x:f>IF(A72="","",IF(OR(C72="",D72="",I72="",COUNTIF('الزبائن'!$A$6:$A$505,A72)=0,AND(C72="mobile",I72&lt;&gt;"invalid",OR(LEN(D72)&lt;&gt;10,LEFT(D72,2)&lt;&gt;"09"))),"REVIEW","READY"))</x:f>
      </x:c>
      <x:c r="M72" s="254" t="str">
        <x:f>IF(L72="READY","",IF(A72="","",TRIM(IF(COUNTIF('الزبائن'!$A$6:$A$505,A72)=0,"customer key not found; ","")&amp;IF(C72="","missing contact_type; ","")&amp;IF(D72="","missing number; ","")&amp;IF(I72="","missing status; ","")&amp;IF(AND(C72="mobile",I72&lt;&gt;"invalid",OR(LEN(D72)&lt;&gt;10,LEFT(D72,2)&lt;&gt;"09")),"mobile must be 09XXXXXXXX or status invalid; ",""))))</x:f>
      </x:c>
    </x:row>
    <x:row r="73">
      <x:c r="A73" s="251"/>
      <x:c r="B73" s="252"/>
      <x:c r="C73" s="252"/>
      <x:c r="D73" s="253"/>
      <x:c r="E73" s="253"/>
      <x:c r="F73" s="252"/>
      <x:c r="G73" s="252"/>
      <x:c r="H73" s="252"/>
      <x:c r="I73" s="252"/>
      <x:c r="J73" s="252"/>
      <x:c r="K73" s="252"/>
      <x:c r="L73" s="252" t="str">
        <x:f>IF(A73="","",IF(OR(C73="",D73="",I73="",COUNTIF('الزبائن'!$A$6:$A$505,A73)=0,AND(C73="mobile",I73&lt;&gt;"invalid",OR(LEN(D73)&lt;&gt;10,LEFT(D73,2)&lt;&gt;"09"))),"REVIEW","READY"))</x:f>
      </x:c>
      <x:c r="M73" s="254" t="str">
        <x:f>IF(L73="READY","",IF(A73="","",TRIM(IF(COUNTIF('الزبائن'!$A$6:$A$505,A73)=0,"customer key not found; ","")&amp;IF(C73="","missing contact_type; ","")&amp;IF(D73="","missing number; ","")&amp;IF(I73="","missing status; ","")&amp;IF(AND(C73="mobile",I73&lt;&gt;"invalid",OR(LEN(D73)&lt;&gt;10,LEFT(D73,2)&lt;&gt;"09")),"mobile must be 09XXXXXXXX or status invalid; ",""))))</x:f>
      </x:c>
    </x:row>
    <x:row r="74">
      <x:c r="A74" s="251"/>
      <x:c r="B74" s="252"/>
      <x:c r="C74" s="252"/>
      <x:c r="D74" s="253"/>
      <x:c r="E74" s="253"/>
      <x:c r="F74" s="252"/>
      <x:c r="G74" s="252"/>
      <x:c r="H74" s="252"/>
      <x:c r="I74" s="252"/>
      <x:c r="J74" s="252"/>
      <x:c r="K74" s="252"/>
      <x:c r="L74" s="252" t="str">
        <x:f>IF(A74="","",IF(OR(C74="",D74="",I74="",COUNTIF('الزبائن'!$A$6:$A$505,A74)=0,AND(C74="mobile",I74&lt;&gt;"invalid",OR(LEN(D74)&lt;&gt;10,LEFT(D74,2)&lt;&gt;"09"))),"REVIEW","READY"))</x:f>
      </x:c>
      <x:c r="M74" s="254" t="str">
        <x:f>IF(L74="READY","",IF(A74="","",TRIM(IF(COUNTIF('الزبائن'!$A$6:$A$505,A74)=0,"customer key not found; ","")&amp;IF(C74="","missing contact_type; ","")&amp;IF(D74="","missing number; ","")&amp;IF(I74="","missing status; ","")&amp;IF(AND(C74="mobile",I74&lt;&gt;"invalid",OR(LEN(D74)&lt;&gt;10,LEFT(D74,2)&lt;&gt;"09")),"mobile must be 09XXXXXXXX or status invalid; ",""))))</x:f>
      </x:c>
    </x:row>
    <x:row r="75">
      <x:c r="A75" s="251"/>
      <x:c r="B75" s="252"/>
      <x:c r="C75" s="252"/>
      <x:c r="D75" s="253"/>
      <x:c r="E75" s="253"/>
      <x:c r="F75" s="252"/>
      <x:c r="G75" s="252"/>
      <x:c r="H75" s="252"/>
      <x:c r="I75" s="252"/>
      <x:c r="J75" s="252"/>
      <x:c r="K75" s="252"/>
      <x:c r="L75" s="252" t="str">
        <x:f>IF(A75="","",IF(OR(C75="",D75="",I75="",COUNTIF('الزبائن'!$A$6:$A$505,A75)=0,AND(C75="mobile",I75&lt;&gt;"invalid",OR(LEN(D75)&lt;&gt;10,LEFT(D75,2)&lt;&gt;"09"))),"REVIEW","READY"))</x:f>
      </x:c>
      <x:c r="M75" s="254" t="str">
        <x:f>IF(L75="READY","",IF(A75="","",TRIM(IF(COUNTIF('الزبائن'!$A$6:$A$505,A75)=0,"customer key not found; ","")&amp;IF(C75="","missing contact_type; ","")&amp;IF(D75="","missing number; ","")&amp;IF(I75="","missing status; ","")&amp;IF(AND(C75="mobile",I75&lt;&gt;"invalid",OR(LEN(D75)&lt;&gt;10,LEFT(D75,2)&lt;&gt;"09")),"mobile must be 09XXXXXXXX or status invalid; ",""))))</x:f>
      </x:c>
    </x:row>
    <x:row r="76">
      <x:c r="A76" s="251"/>
      <x:c r="B76" s="252"/>
      <x:c r="C76" s="252"/>
      <x:c r="D76" s="253"/>
      <x:c r="E76" s="253"/>
      <x:c r="F76" s="252"/>
      <x:c r="G76" s="252"/>
      <x:c r="H76" s="252"/>
      <x:c r="I76" s="252"/>
      <x:c r="J76" s="252"/>
      <x:c r="K76" s="252"/>
      <x:c r="L76" s="252" t="str">
        <x:f>IF(A76="","",IF(OR(C76="",D76="",I76="",COUNTIF('الزبائن'!$A$6:$A$505,A76)=0,AND(C76="mobile",I76&lt;&gt;"invalid",OR(LEN(D76)&lt;&gt;10,LEFT(D76,2)&lt;&gt;"09"))),"REVIEW","READY"))</x:f>
      </x:c>
      <x:c r="M76" s="254" t="str">
        <x:f>IF(L76="READY","",IF(A76="","",TRIM(IF(COUNTIF('الزبائن'!$A$6:$A$505,A76)=0,"customer key not found; ","")&amp;IF(C76="","missing contact_type; ","")&amp;IF(D76="","missing number; ","")&amp;IF(I76="","missing status; ","")&amp;IF(AND(C76="mobile",I76&lt;&gt;"invalid",OR(LEN(D76)&lt;&gt;10,LEFT(D76,2)&lt;&gt;"09")),"mobile must be 09XXXXXXXX or status invalid; ",""))))</x:f>
      </x:c>
    </x:row>
    <x:row r="77">
      <x:c r="A77" s="251"/>
      <x:c r="B77" s="252"/>
      <x:c r="C77" s="252"/>
      <x:c r="D77" s="253"/>
      <x:c r="E77" s="253"/>
      <x:c r="F77" s="252"/>
      <x:c r="G77" s="252"/>
      <x:c r="H77" s="252"/>
      <x:c r="I77" s="252"/>
      <x:c r="J77" s="252"/>
      <x:c r="K77" s="252"/>
      <x:c r="L77" s="252" t="str">
        <x:f>IF(A77="","",IF(OR(C77="",D77="",I77="",COUNTIF('الزبائن'!$A$6:$A$505,A77)=0,AND(C77="mobile",I77&lt;&gt;"invalid",OR(LEN(D77)&lt;&gt;10,LEFT(D77,2)&lt;&gt;"09"))),"REVIEW","READY"))</x:f>
      </x:c>
      <x:c r="M77" s="254" t="str">
        <x:f>IF(L77="READY","",IF(A77="","",TRIM(IF(COUNTIF('الزبائن'!$A$6:$A$505,A77)=0,"customer key not found; ","")&amp;IF(C77="","missing contact_type; ","")&amp;IF(D77="","missing number; ","")&amp;IF(I77="","missing status; ","")&amp;IF(AND(C77="mobile",I77&lt;&gt;"invalid",OR(LEN(D77)&lt;&gt;10,LEFT(D77,2)&lt;&gt;"09")),"mobile must be 09XXXXXXXX or status invalid; ",""))))</x:f>
      </x:c>
    </x:row>
    <x:row r="78">
      <x:c r="A78" s="251"/>
      <x:c r="B78" s="252"/>
      <x:c r="C78" s="252"/>
      <x:c r="D78" s="253"/>
      <x:c r="E78" s="253"/>
      <x:c r="F78" s="252"/>
      <x:c r="G78" s="252"/>
      <x:c r="H78" s="252"/>
      <x:c r="I78" s="252"/>
      <x:c r="J78" s="252"/>
      <x:c r="K78" s="252"/>
      <x:c r="L78" s="252" t="str">
        <x:f>IF(A78="","",IF(OR(C78="",D78="",I78="",COUNTIF('الزبائن'!$A$6:$A$505,A78)=0,AND(C78="mobile",I78&lt;&gt;"invalid",OR(LEN(D78)&lt;&gt;10,LEFT(D78,2)&lt;&gt;"09"))),"REVIEW","READY"))</x:f>
      </x:c>
      <x:c r="M78" s="254" t="str">
        <x:f>IF(L78="READY","",IF(A78="","",TRIM(IF(COUNTIF('الزبائن'!$A$6:$A$505,A78)=0,"customer key not found; ","")&amp;IF(C78="","missing contact_type; ","")&amp;IF(D78="","missing number; ","")&amp;IF(I78="","missing status; ","")&amp;IF(AND(C78="mobile",I78&lt;&gt;"invalid",OR(LEN(D78)&lt;&gt;10,LEFT(D78,2)&lt;&gt;"09")),"mobile must be 09XXXXXXXX or status invalid; ",""))))</x:f>
      </x:c>
    </x:row>
    <x:row r="79">
      <x:c r="A79" s="251"/>
      <x:c r="B79" s="252"/>
      <x:c r="C79" s="252"/>
      <x:c r="D79" s="253"/>
      <x:c r="E79" s="253"/>
      <x:c r="F79" s="252"/>
      <x:c r="G79" s="252"/>
      <x:c r="H79" s="252"/>
      <x:c r="I79" s="252"/>
      <x:c r="J79" s="252"/>
      <x:c r="K79" s="252"/>
      <x:c r="L79" s="252" t="str">
        <x:f>IF(A79="","",IF(OR(C79="",D79="",I79="",COUNTIF('الزبائن'!$A$6:$A$505,A79)=0,AND(C79="mobile",I79&lt;&gt;"invalid",OR(LEN(D79)&lt;&gt;10,LEFT(D79,2)&lt;&gt;"09"))),"REVIEW","READY"))</x:f>
      </x:c>
      <x:c r="M79" s="254" t="str">
        <x:f>IF(L79="READY","",IF(A79="","",TRIM(IF(COUNTIF('الزبائن'!$A$6:$A$505,A79)=0,"customer key not found; ","")&amp;IF(C79="","missing contact_type; ","")&amp;IF(D79="","missing number; ","")&amp;IF(I79="","missing status; ","")&amp;IF(AND(C79="mobile",I79&lt;&gt;"invalid",OR(LEN(D79)&lt;&gt;10,LEFT(D79,2)&lt;&gt;"09")),"mobile must be 09XXXXXXXX or status invalid; ",""))))</x:f>
      </x:c>
    </x:row>
    <x:row r="80">
      <x:c r="A80" s="251"/>
      <x:c r="B80" s="252"/>
      <x:c r="C80" s="252"/>
      <x:c r="D80" s="253"/>
      <x:c r="E80" s="253"/>
      <x:c r="F80" s="252"/>
      <x:c r="G80" s="252"/>
      <x:c r="H80" s="252"/>
      <x:c r="I80" s="252"/>
      <x:c r="J80" s="252"/>
      <x:c r="K80" s="252"/>
      <x:c r="L80" s="252" t="str">
        <x:f>IF(A80="","",IF(OR(C80="",D80="",I80="",COUNTIF('الزبائن'!$A$6:$A$505,A80)=0,AND(C80="mobile",I80&lt;&gt;"invalid",OR(LEN(D80)&lt;&gt;10,LEFT(D80,2)&lt;&gt;"09"))),"REVIEW","READY"))</x:f>
      </x:c>
      <x:c r="M80" s="254" t="str">
        <x:f>IF(L80="READY","",IF(A80="","",TRIM(IF(COUNTIF('الزبائن'!$A$6:$A$505,A80)=0,"customer key not found; ","")&amp;IF(C80="","missing contact_type; ","")&amp;IF(D80="","missing number; ","")&amp;IF(I80="","missing status; ","")&amp;IF(AND(C80="mobile",I80&lt;&gt;"invalid",OR(LEN(D80)&lt;&gt;10,LEFT(D80,2)&lt;&gt;"09")),"mobile must be 09XXXXXXXX or status invalid; ",""))))</x:f>
      </x:c>
    </x:row>
    <x:row r="81">
      <x:c r="A81" s="251"/>
      <x:c r="B81" s="252"/>
      <x:c r="C81" s="252"/>
      <x:c r="D81" s="253"/>
      <x:c r="E81" s="253"/>
      <x:c r="F81" s="252"/>
      <x:c r="G81" s="252"/>
      <x:c r="H81" s="252"/>
      <x:c r="I81" s="252"/>
      <x:c r="J81" s="252"/>
      <x:c r="K81" s="252"/>
      <x:c r="L81" s="252" t="str">
        <x:f>IF(A81="","",IF(OR(C81="",D81="",I81="",COUNTIF('الزبائن'!$A$6:$A$505,A81)=0,AND(C81="mobile",I81&lt;&gt;"invalid",OR(LEN(D81)&lt;&gt;10,LEFT(D81,2)&lt;&gt;"09"))),"REVIEW","READY"))</x:f>
      </x:c>
      <x:c r="M81" s="254" t="str">
        <x:f>IF(L81="READY","",IF(A81="","",TRIM(IF(COUNTIF('الزبائن'!$A$6:$A$505,A81)=0,"customer key not found; ","")&amp;IF(C81="","missing contact_type; ","")&amp;IF(D81="","missing number; ","")&amp;IF(I81="","missing status; ","")&amp;IF(AND(C81="mobile",I81&lt;&gt;"invalid",OR(LEN(D81)&lt;&gt;10,LEFT(D81,2)&lt;&gt;"09")),"mobile must be 09XXXXXXXX or status invalid; ",""))))</x:f>
      </x:c>
    </x:row>
    <x:row r="82">
      <x:c r="A82" s="251"/>
      <x:c r="B82" s="252"/>
      <x:c r="C82" s="252"/>
      <x:c r="D82" s="253"/>
      <x:c r="E82" s="253"/>
      <x:c r="F82" s="252"/>
      <x:c r="G82" s="252"/>
      <x:c r="H82" s="252"/>
      <x:c r="I82" s="252"/>
      <x:c r="J82" s="252"/>
      <x:c r="K82" s="252"/>
      <x:c r="L82" s="252" t="str">
        <x:f>IF(A82="","",IF(OR(C82="",D82="",I82="",COUNTIF('الزبائن'!$A$6:$A$505,A82)=0,AND(C82="mobile",I82&lt;&gt;"invalid",OR(LEN(D82)&lt;&gt;10,LEFT(D82,2)&lt;&gt;"09"))),"REVIEW","READY"))</x:f>
      </x:c>
      <x:c r="M82" s="254" t="str">
        <x:f>IF(L82="READY","",IF(A82="","",TRIM(IF(COUNTIF('الزبائن'!$A$6:$A$505,A82)=0,"customer key not found; ","")&amp;IF(C82="","missing contact_type; ","")&amp;IF(D82="","missing number; ","")&amp;IF(I82="","missing status; ","")&amp;IF(AND(C82="mobile",I82&lt;&gt;"invalid",OR(LEN(D82)&lt;&gt;10,LEFT(D82,2)&lt;&gt;"09")),"mobile must be 09XXXXXXXX or status invalid; ",""))))</x:f>
      </x:c>
    </x:row>
    <x:row r="83">
      <x:c r="A83" s="251"/>
      <x:c r="B83" s="252"/>
      <x:c r="C83" s="252"/>
      <x:c r="D83" s="253"/>
      <x:c r="E83" s="253"/>
      <x:c r="F83" s="252"/>
      <x:c r="G83" s="252"/>
      <x:c r="H83" s="252"/>
      <x:c r="I83" s="252"/>
      <x:c r="J83" s="252"/>
      <x:c r="K83" s="252"/>
      <x:c r="L83" s="252" t="str">
        <x:f>IF(A83="","",IF(OR(C83="",D83="",I83="",COUNTIF('الزبائن'!$A$6:$A$505,A83)=0,AND(C83="mobile",I83&lt;&gt;"invalid",OR(LEN(D83)&lt;&gt;10,LEFT(D83,2)&lt;&gt;"09"))),"REVIEW","READY"))</x:f>
      </x:c>
      <x:c r="M83" s="254" t="str">
        <x:f>IF(L83="READY","",IF(A83="","",TRIM(IF(COUNTIF('الزبائن'!$A$6:$A$505,A83)=0,"customer key not found; ","")&amp;IF(C83="","missing contact_type; ","")&amp;IF(D83="","missing number; ","")&amp;IF(I83="","missing status; ","")&amp;IF(AND(C83="mobile",I83&lt;&gt;"invalid",OR(LEN(D83)&lt;&gt;10,LEFT(D83,2)&lt;&gt;"09")),"mobile must be 09XXXXXXXX or status invalid; ",""))))</x:f>
      </x:c>
    </x:row>
    <x:row r="84">
      <x:c r="A84" s="251"/>
      <x:c r="B84" s="252"/>
      <x:c r="C84" s="252"/>
      <x:c r="D84" s="253"/>
      <x:c r="E84" s="253"/>
      <x:c r="F84" s="252"/>
      <x:c r="G84" s="252"/>
      <x:c r="H84" s="252"/>
      <x:c r="I84" s="252"/>
      <x:c r="J84" s="252"/>
      <x:c r="K84" s="252"/>
      <x:c r="L84" s="252" t="str">
        <x:f>IF(A84="","",IF(OR(C84="",D84="",I84="",COUNTIF('الزبائن'!$A$6:$A$505,A84)=0,AND(C84="mobile",I84&lt;&gt;"invalid",OR(LEN(D84)&lt;&gt;10,LEFT(D84,2)&lt;&gt;"09"))),"REVIEW","READY"))</x:f>
      </x:c>
      <x:c r="M84" s="254" t="str">
        <x:f>IF(L84="READY","",IF(A84="","",TRIM(IF(COUNTIF('الزبائن'!$A$6:$A$505,A84)=0,"customer key not found; ","")&amp;IF(C84="","missing contact_type; ","")&amp;IF(D84="","missing number; ","")&amp;IF(I84="","missing status; ","")&amp;IF(AND(C84="mobile",I84&lt;&gt;"invalid",OR(LEN(D84)&lt;&gt;10,LEFT(D84,2)&lt;&gt;"09")),"mobile must be 09XXXXXXXX or status invalid; ",""))))</x:f>
      </x:c>
    </x:row>
    <x:row r="85">
      <x:c r="A85" s="251"/>
      <x:c r="B85" s="252"/>
      <x:c r="C85" s="252"/>
      <x:c r="D85" s="253"/>
      <x:c r="E85" s="253"/>
      <x:c r="F85" s="252"/>
      <x:c r="G85" s="252"/>
      <x:c r="H85" s="252"/>
      <x:c r="I85" s="252"/>
      <x:c r="J85" s="252"/>
      <x:c r="K85" s="252"/>
      <x:c r="L85" s="252" t="str">
        <x:f>IF(A85="","",IF(OR(C85="",D85="",I85="",COUNTIF('الزبائن'!$A$6:$A$505,A85)=0,AND(C85="mobile",I85&lt;&gt;"invalid",OR(LEN(D85)&lt;&gt;10,LEFT(D85,2)&lt;&gt;"09"))),"REVIEW","READY"))</x:f>
      </x:c>
      <x:c r="M85" s="254" t="str">
        <x:f>IF(L85="READY","",IF(A85="","",TRIM(IF(COUNTIF('الزبائن'!$A$6:$A$505,A85)=0,"customer key not found; ","")&amp;IF(C85="","missing contact_type; ","")&amp;IF(D85="","missing number; ","")&amp;IF(I85="","missing status; ","")&amp;IF(AND(C85="mobile",I85&lt;&gt;"invalid",OR(LEN(D85)&lt;&gt;10,LEFT(D85,2)&lt;&gt;"09")),"mobile must be 09XXXXXXXX or status invalid; ",""))))</x:f>
      </x:c>
    </x:row>
    <x:row r="86">
      <x:c r="A86" s="251"/>
      <x:c r="B86" s="252"/>
      <x:c r="C86" s="252"/>
      <x:c r="D86" s="253"/>
      <x:c r="E86" s="253"/>
      <x:c r="F86" s="252"/>
      <x:c r="G86" s="252"/>
      <x:c r="H86" s="252"/>
      <x:c r="I86" s="252"/>
      <x:c r="J86" s="252"/>
      <x:c r="K86" s="252"/>
      <x:c r="L86" s="252" t="str">
        <x:f>IF(A86="","",IF(OR(C86="",D86="",I86="",COUNTIF('الزبائن'!$A$6:$A$505,A86)=0,AND(C86="mobile",I86&lt;&gt;"invalid",OR(LEN(D86)&lt;&gt;10,LEFT(D86,2)&lt;&gt;"09"))),"REVIEW","READY"))</x:f>
      </x:c>
      <x:c r="M86" s="254" t="str">
        <x:f>IF(L86="READY","",IF(A86="","",TRIM(IF(COUNTIF('الزبائن'!$A$6:$A$505,A86)=0,"customer key not found; ","")&amp;IF(C86="","missing contact_type; ","")&amp;IF(D86="","missing number; ","")&amp;IF(I86="","missing status; ","")&amp;IF(AND(C86="mobile",I86&lt;&gt;"invalid",OR(LEN(D86)&lt;&gt;10,LEFT(D86,2)&lt;&gt;"09")),"mobile must be 09XXXXXXXX or status invalid; ",""))))</x:f>
      </x:c>
    </x:row>
    <x:row r="87">
      <x:c r="A87" s="251"/>
      <x:c r="B87" s="252"/>
      <x:c r="C87" s="252"/>
      <x:c r="D87" s="253"/>
      <x:c r="E87" s="253"/>
      <x:c r="F87" s="252"/>
      <x:c r="G87" s="252"/>
      <x:c r="H87" s="252"/>
      <x:c r="I87" s="252"/>
      <x:c r="J87" s="252"/>
      <x:c r="K87" s="252"/>
      <x:c r="L87" s="252" t="str">
        <x:f>IF(A87="","",IF(OR(C87="",D87="",I87="",COUNTIF('الزبائن'!$A$6:$A$505,A87)=0,AND(C87="mobile",I87&lt;&gt;"invalid",OR(LEN(D87)&lt;&gt;10,LEFT(D87,2)&lt;&gt;"09"))),"REVIEW","READY"))</x:f>
      </x:c>
      <x:c r="M87" s="254" t="str">
        <x:f>IF(L87="READY","",IF(A87="","",TRIM(IF(COUNTIF('الزبائن'!$A$6:$A$505,A87)=0,"customer key not found; ","")&amp;IF(C87="","missing contact_type; ","")&amp;IF(D87="","missing number; ","")&amp;IF(I87="","missing status; ","")&amp;IF(AND(C87="mobile",I87&lt;&gt;"invalid",OR(LEN(D87)&lt;&gt;10,LEFT(D87,2)&lt;&gt;"09")),"mobile must be 09XXXXXXXX or status invalid; ",""))))</x:f>
      </x:c>
    </x:row>
    <x:row r="88">
      <x:c r="A88" s="251"/>
      <x:c r="B88" s="252"/>
      <x:c r="C88" s="252"/>
      <x:c r="D88" s="253"/>
      <x:c r="E88" s="253"/>
      <x:c r="F88" s="252"/>
      <x:c r="G88" s="252"/>
      <x:c r="H88" s="252"/>
      <x:c r="I88" s="252"/>
      <x:c r="J88" s="252"/>
      <x:c r="K88" s="252"/>
      <x:c r="L88" s="252" t="str">
        <x:f>IF(A88="","",IF(OR(C88="",D88="",I88="",COUNTIF('الزبائن'!$A$6:$A$505,A88)=0,AND(C88="mobile",I88&lt;&gt;"invalid",OR(LEN(D88)&lt;&gt;10,LEFT(D88,2)&lt;&gt;"09"))),"REVIEW","READY"))</x:f>
      </x:c>
      <x:c r="M88" s="254" t="str">
        <x:f>IF(L88="READY","",IF(A88="","",TRIM(IF(COUNTIF('الزبائن'!$A$6:$A$505,A88)=0,"customer key not found; ","")&amp;IF(C88="","missing contact_type; ","")&amp;IF(D88="","missing number; ","")&amp;IF(I88="","missing status; ","")&amp;IF(AND(C88="mobile",I88&lt;&gt;"invalid",OR(LEN(D88)&lt;&gt;10,LEFT(D88,2)&lt;&gt;"09")),"mobile must be 09XXXXXXXX or status invalid; ",""))))</x:f>
      </x:c>
    </x:row>
    <x:row r="89">
      <x:c r="A89" s="251"/>
      <x:c r="B89" s="252"/>
      <x:c r="C89" s="252"/>
      <x:c r="D89" s="253"/>
      <x:c r="E89" s="253"/>
      <x:c r="F89" s="252"/>
      <x:c r="G89" s="252"/>
      <x:c r="H89" s="252"/>
      <x:c r="I89" s="252"/>
      <x:c r="J89" s="252"/>
      <x:c r="K89" s="252"/>
      <x:c r="L89" s="252" t="str">
        <x:f>IF(A89="","",IF(OR(C89="",D89="",I89="",COUNTIF('الزبائن'!$A$6:$A$505,A89)=0,AND(C89="mobile",I89&lt;&gt;"invalid",OR(LEN(D89)&lt;&gt;10,LEFT(D89,2)&lt;&gt;"09"))),"REVIEW","READY"))</x:f>
      </x:c>
      <x:c r="M89" s="254" t="str">
        <x:f>IF(L89="READY","",IF(A89="","",TRIM(IF(COUNTIF('الزبائن'!$A$6:$A$505,A89)=0,"customer key not found; ","")&amp;IF(C89="","missing contact_type; ","")&amp;IF(D89="","missing number; ","")&amp;IF(I89="","missing status; ","")&amp;IF(AND(C89="mobile",I89&lt;&gt;"invalid",OR(LEN(D89)&lt;&gt;10,LEFT(D89,2)&lt;&gt;"09")),"mobile must be 09XXXXXXXX or status invalid; ",""))))</x:f>
      </x:c>
    </x:row>
    <x:row r="90">
      <x:c r="A90" s="251"/>
      <x:c r="B90" s="252"/>
      <x:c r="C90" s="252"/>
      <x:c r="D90" s="253"/>
      <x:c r="E90" s="253"/>
      <x:c r="F90" s="252"/>
      <x:c r="G90" s="252"/>
      <x:c r="H90" s="252"/>
      <x:c r="I90" s="252"/>
      <x:c r="J90" s="252"/>
      <x:c r="K90" s="252"/>
      <x:c r="L90" s="252" t="str">
        <x:f>IF(A90="","",IF(OR(C90="",D90="",I90="",COUNTIF('الزبائن'!$A$6:$A$505,A90)=0,AND(C90="mobile",I90&lt;&gt;"invalid",OR(LEN(D90)&lt;&gt;10,LEFT(D90,2)&lt;&gt;"09"))),"REVIEW","READY"))</x:f>
      </x:c>
      <x:c r="M90" s="254" t="str">
        <x:f>IF(L90="READY","",IF(A90="","",TRIM(IF(COUNTIF('الزبائن'!$A$6:$A$505,A90)=0,"customer key not found; ","")&amp;IF(C90="","missing contact_type; ","")&amp;IF(D90="","missing number; ","")&amp;IF(I90="","missing status; ","")&amp;IF(AND(C90="mobile",I90&lt;&gt;"invalid",OR(LEN(D90)&lt;&gt;10,LEFT(D90,2)&lt;&gt;"09")),"mobile must be 09XXXXXXXX or status invalid; ",""))))</x:f>
      </x:c>
    </x:row>
    <x:row r="91">
      <x:c r="A91" s="251"/>
      <x:c r="B91" s="252"/>
      <x:c r="C91" s="252"/>
      <x:c r="D91" s="253"/>
      <x:c r="E91" s="253"/>
      <x:c r="F91" s="252"/>
      <x:c r="G91" s="252"/>
      <x:c r="H91" s="252"/>
      <x:c r="I91" s="252"/>
      <x:c r="J91" s="252"/>
      <x:c r="K91" s="252"/>
      <x:c r="L91" s="252" t="str">
        <x:f>IF(A91="","",IF(OR(C91="",D91="",I91="",COUNTIF('الزبائن'!$A$6:$A$505,A91)=0,AND(C91="mobile",I91&lt;&gt;"invalid",OR(LEN(D91)&lt;&gt;10,LEFT(D91,2)&lt;&gt;"09"))),"REVIEW","READY"))</x:f>
      </x:c>
      <x:c r="M91" s="254" t="str">
        <x:f>IF(L91="READY","",IF(A91="","",TRIM(IF(COUNTIF('الزبائن'!$A$6:$A$505,A91)=0,"customer key not found; ","")&amp;IF(C91="","missing contact_type; ","")&amp;IF(D91="","missing number; ","")&amp;IF(I91="","missing status; ","")&amp;IF(AND(C91="mobile",I91&lt;&gt;"invalid",OR(LEN(D91)&lt;&gt;10,LEFT(D91,2)&lt;&gt;"09")),"mobile must be 09XXXXXXXX or status invalid; ",""))))</x:f>
      </x:c>
    </x:row>
    <x:row r="92">
      <x:c r="A92" s="251"/>
      <x:c r="B92" s="252"/>
      <x:c r="C92" s="252"/>
      <x:c r="D92" s="253"/>
      <x:c r="E92" s="253"/>
      <x:c r="F92" s="252"/>
      <x:c r="G92" s="252"/>
      <x:c r="H92" s="252"/>
      <x:c r="I92" s="252"/>
      <x:c r="J92" s="252"/>
      <x:c r="K92" s="252"/>
      <x:c r="L92" s="252" t="str">
        <x:f>IF(A92="","",IF(OR(C92="",D92="",I92="",COUNTIF('الزبائن'!$A$6:$A$505,A92)=0,AND(C92="mobile",I92&lt;&gt;"invalid",OR(LEN(D92)&lt;&gt;10,LEFT(D92,2)&lt;&gt;"09"))),"REVIEW","READY"))</x:f>
      </x:c>
      <x:c r="M92" s="254" t="str">
        <x:f>IF(L92="READY","",IF(A92="","",TRIM(IF(COUNTIF('الزبائن'!$A$6:$A$505,A92)=0,"customer key not found; ","")&amp;IF(C92="","missing contact_type; ","")&amp;IF(D92="","missing number; ","")&amp;IF(I92="","missing status; ","")&amp;IF(AND(C92="mobile",I92&lt;&gt;"invalid",OR(LEN(D92)&lt;&gt;10,LEFT(D92,2)&lt;&gt;"09")),"mobile must be 09XXXXXXXX or status invalid; ",""))))</x:f>
      </x:c>
    </x:row>
    <x:row r="93">
      <x:c r="A93" s="251"/>
      <x:c r="B93" s="252"/>
      <x:c r="C93" s="252"/>
      <x:c r="D93" s="253"/>
      <x:c r="E93" s="253"/>
      <x:c r="F93" s="252"/>
      <x:c r="G93" s="252"/>
      <x:c r="H93" s="252"/>
      <x:c r="I93" s="252"/>
      <x:c r="J93" s="252"/>
      <x:c r="K93" s="252"/>
      <x:c r="L93" s="252" t="str">
        <x:f>IF(A93="","",IF(OR(C93="",D93="",I93="",COUNTIF('الزبائن'!$A$6:$A$505,A93)=0,AND(C93="mobile",I93&lt;&gt;"invalid",OR(LEN(D93)&lt;&gt;10,LEFT(D93,2)&lt;&gt;"09"))),"REVIEW","READY"))</x:f>
      </x:c>
      <x:c r="M93" s="254" t="str">
        <x:f>IF(L93="READY","",IF(A93="","",TRIM(IF(COUNTIF('الزبائن'!$A$6:$A$505,A93)=0,"customer key not found; ","")&amp;IF(C93="","missing contact_type; ","")&amp;IF(D93="","missing number; ","")&amp;IF(I93="","missing status; ","")&amp;IF(AND(C93="mobile",I93&lt;&gt;"invalid",OR(LEN(D93)&lt;&gt;10,LEFT(D93,2)&lt;&gt;"09")),"mobile must be 09XXXXXXXX or status invalid; ",""))))</x:f>
      </x:c>
    </x:row>
    <x:row r="94">
      <x:c r="A94" s="251"/>
      <x:c r="B94" s="252"/>
      <x:c r="C94" s="252"/>
      <x:c r="D94" s="253"/>
      <x:c r="E94" s="253"/>
      <x:c r="F94" s="252"/>
      <x:c r="G94" s="252"/>
      <x:c r="H94" s="252"/>
      <x:c r="I94" s="252"/>
      <x:c r="J94" s="252"/>
      <x:c r="K94" s="252"/>
      <x:c r="L94" s="252" t="str">
        <x:f>IF(A94="","",IF(OR(C94="",D94="",I94="",COUNTIF('الزبائن'!$A$6:$A$505,A94)=0,AND(C94="mobile",I94&lt;&gt;"invalid",OR(LEN(D94)&lt;&gt;10,LEFT(D94,2)&lt;&gt;"09"))),"REVIEW","READY"))</x:f>
      </x:c>
      <x:c r="M94" s="254" t="str">
        <x:f>IF(L94="READY","",IF(A94="","",TRIM(IF(COUNTIF('الزبائن'!$A$6:$A$505,A94)=0,"customer key not found; ","")&amp;IF(C94="","missing contact_type; ","")&amp;IF(D94="","missing number; ","")&amp;IF(I94="","missing status; ","")&amp;IF(AND(C94="mobile",I94&lt;&gt;"invalid",OR(LEN(D94)&lt;&gt;10,LEFT(D94,2)&lt;&gt;"09")),"mobile must be 09XXXXXXXX or status invalid; ",""))))</x:f>
      </x:c>
    </x:row>
    <x:row r="95">
      <x:c r="A95" s="251"/>
      <x:c r="B95" s="252"/>
      <x:c r="C95" s="252"/>
      <x:c r="D95" s="253"/>
      <x:c r="E95" s="253"/>
      <x:c r="F95" s="252"/>
      <x:c r="G95" s="252"/>
      <x:c r="H95" s="252"/>
      <x:c r="I95" s="252"/>
      <x:c r="J95" s="252"/>
      <x:c r="K95" s="252"/>
      <x:c r="L95" s="252" t="str">
        <x:f>IF(A95="","",IF(OR(C95="",D95="",I95="",COUNTIF('الزبائن'!$A$6:$A$505,A95)=0,AND(C95="mobile",I95&lt;&gt;"invalid",OR(LEN(D95)&lt;&gt;10,LEFT(D95,2)&lt;&gt;"09"))),"REVIEW","READY"))</x:f>
      </x:c>
      <x:c r="M95" s="254" t="str">
        <x:f>IF(L95="READY","",IF(A95="","",TRIM(IF(COUNTIF('الزبائن'!$A$6:$A$505,A95)=0,"customer key not found; ","")&amp;IF(C95="","missing contact_type; ","")&amp;IF(D95="","missing number; ","")&amp;IF(I95="","missing status; ","")&amp;IF(AND(C95="mobile",I95&lt;&gt;"invalid",OR(LEN(D95)&lt;&gt;10,LEFT(D95,2)&lt;&gt;"09")),"mobile must be 09XXXXXXXX or status invalid; ",""))))</x:f>
      </x:c>
    </x:row>
    <x:row r="96">
      <x:c r="A96" s="251"/>
      <x:c r="B96" s="252"/>
      <x:c r="C96" s="252"/>
      <x:c r="D96" s="253"/>
      <x:c r="E96" s="253"/>
      <x:c r="F96" s="252"/>
      <x:c r="G96" s="252"/>
      <x:c r="H96" s="252"/>
      <x:c r="I96" s="252"/>
      <x:c r="J96" s="252"/>
      <x:c r="K96" s="252"/>
      <x:c r="L96" s="252" t="str">
        <x:f>IF(A96="","",IF(OR(C96="",D96="",I96="",COUNTIF('الزبائن'!$A$6:$A$505,A96)=0,AND(C96="mobile",I96&lt;&gt;"invalid",OR(LEN(D96)&lt;&gt;10,LEFT(D96,2)&lt;&gt;"09"))),"REVIEW","READY"))</x:f>
      </x:c>
      <x:c r="M96" s="254" t="str">
        <x:f>IF(L96="READY","",IF(A96="","",TRIM(IF(COUNTIF('الزبائن'!$A$6:$A$505,A96)=0,"customer key not found; ","")&amp;IF(C96="","missing contact_type; ","")&amp;IF(D96="","missing number; ","")&amp;IF(I96="","missing status; ","")&amp;IF(AND(C96="mobile",I96&lt;&gt;"invalid",OR(LEN(D96)&lt;&gt;10,LEFT(D96,2)&lt;&gt;"09")),"mobile must be 09XXXXXXXX or status invalid; ",""))))</x:f>
      </x:c>
    </x:row>
    <x:row r="97">
      <x:c r="A97" s="251"/>
      <x:c r="B97" s="252"/>
      <x:c r="C97" s="252"/>
      <x:c r="D97" s="253"/>
      <x:c r="E97" s="253"/>
      <x:c r="F97" s="252"/>
      <x:c r="G97" s="252"/>
      <x:c r="H97" s="252"/>
      <x:c r="I97" s="252"/>
      <x:c r="J97" s="252"/>
      <x:c r="K97" s="252"/>
      <x:c r="L97" s="252" t="str">
        <x:f>IF(A97="","",IF(OR(C97="",D97="",I97="",COUNTIF('الزبائن'!$A$6:$A$505,A97)=0,AND(C97="mobile",I97&lt;&gt;"invalid",OR(LEN(D97)&lt;&gt;10,LEFT(D97,2)&lt;&gt;"09"))),"REVIEW","READY"))</x:f>
      </x:c>
      <x:c r="M97" s="254" t="str">
        <x:f>IF(L97="READY","",IF(A97="","",TRIM(IF(COUNTIF('الزبائن'!$A$6:$A$505,A97)=0,"customer key not found; ","")&amp;IF(C97="","missing contact_type; ","")&amp;IF(D97="","missing number; ","")&amp;IF(I97="","missing status; ","")&amp;IF(AND(C97="mobile",I97&lt;&gt;"invalid",OR(LEN(D97)&lt;&gt;10,LEFT(D97,2)&lt;&gt;"09")),"mobile must be 09XXXXXXXX or status invalid; ",""))))</x:f>
      </x:c>
    </x:row>
    <x:row r="98">
      <x:c r="A98" s="251"/>
      <x:c r="B98" s="252"/>
      <x:c r="C98" s="252"/>
      <x:c r="D98" s="253"/>
      <x:c r="E98" s="253"/>
      <x:c r="F98" s="252"/>
      <x:c r="G98" s="252"/>
      <x:c r="H98" s="252"/>
      <x:c r="I98" s="252"/>
      <x:c r="J98" s="252"/>
      <x:c r="K98" s="252"/>
      <x:c r="L98" s="252" t="str">
        <x:f>IF(A98="","",IF(OR(C98="",D98="",I98="",COUNTIF('الزبائن'!$A$6:$A$505,A98)=0,AND(C98="mobile",I98&lt;&gt;"invalid",OR(LEN(D98)&lt;&gt;10,LEFT(D98,2)&lt;&gt;"09"))),"REVIEW","READY"))</x:f>
      </x:c>
      <x:c r="M98" s="254" t="str">
        <x:f>IF(L98="READY","",IF(A98="","",TRIM(IF(COUNTIF('الزبائن'!$A$6:$A$505,A98)=0,"customer key not found; ","")&amp;IF(C98="","missing contact_type; ","")&amp;IF(D98="","missing number; ","")&amp;IF(I98="","missing status; ","")&amp;IF(AND(C98="mobile",I98&lt;&gt;"invalid",OR(LEN(D98)&lt;&gt;10,LEFT(D98,2)&lt;&gt;"09")),"mobile must be 09XXXXXXXX or status invalid; ",""))))</x:f>
      </x:c>
    </x:row>
    <x:row r="99">
      <x:c r="A99" s="251"/>
      <x:c r="B99" s="252"/>
      <x:c r="C99" s="252"/>
      <x:c r="D99" s="253"/>
      <x:c r="E99" s="253"/>
      <x:c r="F99" s="252"/>
      <x:c r="G99" s="252"/>
      <x:c r="H99" s="252"/>
      <x:c r="I99" s="252"/>
      <x:c r="J99" s="252"/>
      <x:c r="K99" s="252"/>
      <x:c r="L99" s="252" t="str">
        <x:f>IF(A99="","",IF(OR(C99="",D99="",I99="",COUNTIF('الزبائن'!$A$6:$A$505,A99)=0,AND(C99="mobile",I99&lt;&gt;"invalid",OR(LEN(D99)&lt;&gt;10,LEFT(D99,2)&lt;&gt;"09"))),"REVIEW","READY"))</x:f>
      </x:c>
      <x:c r="M99" s="254" t="str">
        <x:f>IF(L99="READY","",IF(A99="","",TRIM(IF(COUNTIF('الزبائن'!$A$6:$A$505,A99)=0,"customer key not found; ","")&amp;IF(C99="","missing contact_type; ","")&amp;IF(D99="","missing number; ","")&amp;IF(I99="","missing status; ","")&amp;IF(AND(C99="mobile",I99&lt;&gt;"invalid",OR(LEN(D99)&lt;&gt;10,LEFT(D99,2)&lt;&gt;"09")),"mobile must be 09XXXXXXXX or status invalid; ",""))))</x:f>
      </x:c>
    </x:row>
    <x:row r="100">
      <x:c r="A100" s="251"/>
      <x:c r="B100" s="252"/>
      <x:c r="C100" s="252"/>
      <x:c r="D100" s="253"/>
      <x:c r="E100" s="253"/>
      <x:c r="F100" s="252"/>
      <x:c r="G100" s="252"/>
      <x:c r="H100" s="252"/>
      <x:c r="I100" s="252"/>
      <x:c r="J100" s="252"/>
      <x:c r="K100" s="252"/>
      <x:c r="L100" s="252" t="str">
        <x:f>IF(A100="","",IF(OR(C100="",D100="",I100="",COUNTIF('الزبائن'!$A$6:$A$505,A100)=0,AND(C100="mobile",I100&lt;&gt;"invalid",OR(LEN(D100)&lt;&gt;10,LEFT(D100,2)&lt;&gt;"09"))),"REVIEW","READY"))</x:f>
      </x:c>
      <x:c r="M100" s="254" t="str">
        <x:f>IF(L100="READY","",IF(A100="","",TRIM(IF(COUNTIF('الزبائن'!$A$6:$A$505,A100)=0,"customer key not found; ","")&amp;IF(C100="","missing contact_type; ","")&amp;IF(D100="","missing number; ","")&amp;IF(I100="","missing status; ","")&amp;IF(AND(C100="mobile",I100&lt;&gt;"invalid",OR(LEN(D100)&lt;&gt;10,LEFT(D100,2)&lt;&gt;"09")),"mobile must be 09XXXXXXXX or status invalid; ",""))))</x:f>
      </x:c>
    </x:row>
    <x:row r="101">
      <x:c r="A101" s="251"/>
      <x:c r="B101" s="252"/>
      <x:c r="C101" s="252"/>
      <x:c r="D101" s="253"/>
      <x:c r="E101" s="253"/>
      <x:c r="F101" s="252"/>
      <x:c r="G101" s="252"/>
      <x:c r="H101" s="252"/>
      <x:c r="I101" s="252"/>
      <x:c r="J101" s="252"/>
      <x:c r="K101" s="252"/>
      <x:c r="L101" s="252" t="str">
        <x:f>IF(A101="","",IF(OR(C101="",D101="",I101="",COUNTIF('الزبائن'!$A$6:$A$505,A101)=0,AND(C101="mobile",I101&lt;&gt;"invalid",OR(LEN(D101)&lt;&gt;10,LEFT(D101,2)&lt;&gt;"09"))),"REVIEW","READY"))</x:f>
      </x:c>
      <x:c r="M101" s="254" t="str">
        <x:f>IF(L101="READY","",IF(A101="","",TRIM(IF(COUNTIF('الزبائن'!$A$6:$A$505,A101)=0,"customer key not found; ","")&amp;IF(C101="","missing contact_type; ","")&amp;IF(D101="","missing number; ","")&amp;IF(I101="","missing status; ","")&amp;IF(AND(C101="mobile",I101&lt;&gt;"invalid",OR(LEN(D101)&lt;&gt;10,LEFT(D101,2)&lt;&gt;"09")),"mobile must be 09XXXXXXXX or status invalid; ",""))))</x:f>
      </x:c>
    </x:row>
    <x:row r="102">
      <x:c r="A102" s="251"/>
      <x:c r="B102" s="252"/>
      <x:c r="C102" s="252"/>
      <x:c r="D102" s="253"/>
      <x:c r="E102" s="253"/>
      <x:c r="F102" s="252"/>
      <x:c r="G102" s="252"/>
      <x:c r="H102" s="252"/>
      <x:c r="I102" s="252"/>
      <x:c r="J102" s="252"/>
      <x:c r="K102" s="252"/>
      <x:c r="L102" s="252" t="str">
        <x:f>IF(A102="","",IF(OR(C102="",D102="",I102="",COUNTIF('الزبائن'!$A$6:$A$505,A102)=0,AND(C102="mobile",I102&lt;&gt;"invalid",OR(LEN(D102)&lt;&gt;10,LEFT(D102,2)&lt;&gt;"09"))),"REVIEW","READY"))</x:f>
      </x:c>
      <x:c r="M102" s="254" t="str">
        <x:f>IF(L102="READY","",IF(A102="","",TRIM(IF(COUNTIF('الزبائن'!$A$6:$A$505,A102)=0,"customer key not found; ","")&amp;IF(C102="","missing contact_type; ","")&amp;IF(D102="","missing number; ","")&amp;IF(I102="","missing status; ","")&amp;IF(AND(C102="mobile",I102&lt;&gt;"invalid",OR(LEN(D102)&lt;&gt;10,LEFT(D102,2)&lt;&gt;"09")),"mobile must be 09XXXXXXXX or status invalid; ",""))))</x:f>
      </x:c>
    </x:row>
    <x:row r="103">
      <x:c r="A103" s="251"/>
      <x:c r="B103" s="252"/>
      <x:c r="C103" s="252"/>
      <x:c r="D103" s="253"/>
      <x:c r="E103" s="253"/>
      <x:c r="F103" s="252"/>
      <x:c r="G103" s="252"/>
      <x:c r="H103" s="252"/>
      <x:c r="I103" s="252"/>
      <x:c r="J103" s="252"/>
      <x:c r="K103" s="252"/>
      <x:c r="L103" s="252" t="str">
        <x:f>IF(A103="","",IF(OR(C103="",D103="",I103="",COUNTIF('الزبائن'!$A$6:$A$505,A103)=0,AND(C103="mobile",I103&lt;&gt;"invalid",OR(LEN(D103)&lt;&gt;10,LEFT(D103,2)&lt;&gt;"09"))),"REVIEW","READY"))</x:f>
      </x:c>
      <x:c r="M103" s="254" t="str">
        <x:f>IF(L103="READY","",IF(A103="","",TRIM(IF(COUNTIF('الزبائن'!$A$6:$A$505,A103)=0,"customer key not found; ","")&amp;IF(C103="","missing contact_type; ","")&amp;IF(D103="","missing number; ","")&amp;IF(I103="","missing status; ","")&amp;IF(AND(C103="mobile",I103&lt;&gt;"invalid",OR(LEN(D103)&lt;&gt;10,LEFT(D103,2)&lt;&gt;"09")),"mobile must be 09XXXXXXXX or status invalid; ",""))))</x:f>
      </x:c>
    </x:row>
    <x:row r="104">
      <x:c r="A104" s="251"/>
      <x:c r="B104" s="252"/>
      <x:c r="C104" s="252"/>
      <x:c r="D104" s="253"/>
      <x:c r="E104" s="253"/>
      <x:c r="F104" s="252"/>
      <x:c r="G104" s="252"/>
      <x:c r="H104" s="252"/>
      <x:c r="I104" s="252"/>
      <x:c r="J104" s="252"/>
      <x:c r="K104" s="252"/>
      <x:c r="L104" s="252" t="str">
        <x:f>IF(A104="","",IF(OR(C104="",D104="",I104="",COUNTIF('الزبائن'!$A$6:$A$505,A104)=0,AND(C104="mobile",I104&lt;&gt;"invalid",OR(LEN(D104)&lt;&gt;10,LEFT(D104,2)&lt;&gt;"09"))),"REVIEW","READY"))</x:f>
      </x:c>
      <x:c r="M104" s="254" t="str">
        <x:f>IF(L104="READY","",IF(A104="","",TRIM(IF(COUNTIF('الزبائن'!$A$6:$A$505,A104)=0,"customer key not found; ","")&amp;IF(C104="","missing contact_type; ","")&amp;IF(D104="","missing number; ","")&amp;IF(I104="","missing status; ","")&amp;IF(AND(C104="mobile",I104&lt;&gt;"invalid",OR(LEN(D104)&lt;&gt;10,LEFT(D104,2)&lt;&gt;"09")),"mobile must be 09XXXXXXXX or status invalid; ",""))))</x:f>
      </x:c>
    </x:row>
    <x:row r="105">
      <x:c r="A105" s="251"/>
      <x:c r="B105" s="252"/>
      <x:c r="C105" s="252"/>
      <x:c r="D105" s="253"/>
      <x:c r="E105" s="253"/>
      <x:c r="F105" s="252"/>
      <x:c r="G105" s="252"/>
      <x:c r="H105" s="252"/>
      <x:c r="I105" s="252"/>
      <x:c r="J105" s="252"/>
      <x:c r="K105" s="252"/>
      <x:c r="L105" s="252" t="str">
        <x:f>IF(A105="","",IF(OR(C105="",D105="",I105="",COUNTIF('الزبائن'!$A$6:$A$505,A105)=0,AND(C105="mobile",I105&lt;&gt;"invalid",OR(LEN(D105)&lt;&gt;10,LEFT(D105,2)&lt;&gt;"09"))),"REVIEW","READY"))</x:f>
      </x:c>
      <x:c r="M105" s="254" t="str">
        <x:f>IF(L105="READY","",IF(A105="","",TRIM(IF(COUNTIF('الزبائن'!$A$6:$A$505,A105)=0,"customer key not found; ","")&amp;IF(C105="","missing contact_type; ","")&amp;IF(D105="","missing number; ","")&amp;IF(I105="","missing status; ","")&amp;IF(AND(C105="mobile",I105&lt;&gt;"invalid",OR(LEN(D105)&lt;&gt;10,LEFT(D105,2)&lt;&gt;"09")),"mobile must be 09XXXXXXXX or status invalid; ",""))))</x:f>
      </x:c>
    </x:row>
    <x:row r="106">
      <x:c r="A106" s="251"/>
      <x:c r="B106" s="252"/>
      <x:c r="C106" s="252"/>
      <x:c r="D106" s="253"/>
      <x:c r="E106" s="253"/>
      <x:c r="F106" s="252"/>
      <x:c r="G106" s="252"/>
      <x:c r="H106" s="252"/>
      <x:c r="I106" s="252"/>
      <x:c r="J106" s="252"/>
      <x:c r="K106" s="252"/>
      <x:c r="L106" s="252" t="str">
        <x:f>IF(A106="","",IF(OR(C106="",D106="",I106="",COUNTIF('الزبائن'!$A$6:$A$505,A106)=0,AND(C106="mobile",I106&lt;&gt;"invalid",OR(LEN(D106)&lt;&gt;10,LEFT(D106,2)&lt;&gt;"09"))),"REVIEW","READY"))</x:f>
      </x:c>
      <x:c r="M106" s="254" t="str">
        <x:f>IF(L106="READY","",IF(A106="","",TRIM(IF(COUNTIF('الزبائن'!$A$6:$A$505,A106)=0,"customer key not found; ","")&amp;IF(C106="","missing contact_type; ","")&amp;IF(D106="","missing number; ","")&amp;IF(I106="","missing status; ","")&amp;IF(AND(C106="mobile",I106&lt;&gt;"invalid",OR(LEN(D106)&lt;&gt;10,LEFT(D106,2)&lt;&gt;"09")),"mobile must be 09XXXXXXXX or status invalid; ",""))))</x:f>
      </x:c>
    </x:row>
    <x:row r="107">
      <x:c r="A107" s="251"/>
      <x:c r="B107" s="252"/>
      <x:c r="C107" s="252"/>
      <x:c r="D107" s="253"/>
      <x:c r="E107" s="253"/>
      <x:c r="F107" s="252"/>
      <x:c r="G107" s="252"/>
      <x:c r="H107" s="252"/>
      <x:c r="I107" s="252"/>
      <x:c r="J107" s="252"/>
      <x:c r="K107" s="252"/>
      <x:c r="L107" s="252" t="str">
        <x:f>IF(A107="","",IF(OR(C107="",D107="",I107="",COUNTIF('الزبائن'!$A$6:$A$505,A107)=0,AND(C107="mobile",I107&lt;&gt;"invalid",OR(LEN(D107)&lt;&gt;10,LEFT(D107,2)&lt;&gt;"09"))),"REVIEW","READY"))</x:f>
      </x:c>
      <x:c r="M107" s="254" t="str">
        <x:f>IF(L107="READY","",IF(A107="","",TRIM(IF(COUNTIF('الزبائن'!$A$6:$A$505,A107)=0,"customer key not found; ","")&amp;IF(C107="","missing contact_type; ","")&amp;IF(D107="","missing number; ","")&amp;IF(I107="","missing status; ","")&amp;IF(AND(C107="mobile",I107&lt;&gt;"invalid",OR(LEN(D107)&lt;&gt;10,LEFT(D107,2)&lt;&gt;"09")),"mobile must be 09XXXXXXXX or status invalid; ",""))))</x:f>
      </x:c>
    </x:row>
    <x:row r="108">
      <x:c r="A108" s="251"/>
      <x:c r="B108" s="252"/>
      <x:c r="C108" s="252"/>
      <x:c r="D108" s="253"/>
      <x:c r="E108" s="253"/>
      <x:c r="F108" s="252"/>
      <x:c r="G108" s="252"/>
      <x:c r="H108" s="252"/>
      <x:c r="I108" s="252"/>
      <x:c r="J108" s="252"/>
      <x:c r="K108" s="252"/>
      <x:c r="L108" s="252" t="str">
        <x:f>IF(A108="","",IF(OR(C108="",D108="",I108="",COUNTIF('الزبائن'!$A$6:$A$505,A108)=0,AND(C108="mobile",I108&lt;&gt;"invalid",OR(LEN(D108)&lt;&gt;10,LEFT(D108,2)&lt;&gt;"09"))),"REVIEW","READY"))</x:f>
      </x:c>
      <x:c r="M108" s="254" t="str">
        <x:f>IF(L108="READY","",IF(A108="","",TRIM(IF(COUNTIF('الزبائن'!$A$6:$A$505,A108)=0,"customer key not found; ","")&amp;IF(C108="","missing contact_type; ","")&amp;IF(D108="","missing number; ","")&amp;IF(I108="","missing status; ","")&amp;IF(AND(C108="mobile",I108&lt;&gt;"invalid",OR(LEN(D108)&lt;&gt;10,LEFT(D108,2)&lt;&gt;"09")),"mobile must be 09XXXXXXXX or status invalid; ",""))))</x:f>
      </x:c>
    </x:row>
    <x:row r="109">
      <x:c r="A109" s="251"/>
      <x:c r="B109" s="252"/>
      <x:c r="C109" s="252"/>
      <x:c r="D109" s="253"/>
      <x:c r="E109" s="253"/>
      <x:c r="F109" s="252"/>
      <x:c r="G109" s="252"/>
      <x:c r="H109" s="252"/>
      <x:c r="I109" s="252"/>
      <x:c r="J109" s="252"/>
      <x:c r="K109" s="252"/>
      <x:c r="L109" s="252" t="str">
        <x:f>IF(A109="","",IF(OR(C109="",D109="",I109="",COUNTIF('الزبائن'!$A$6:$A$505,A109)=0,AND(C109="mobile",I109&lt;&gt;"invalid",OR(LEN(D109)&lt;&gt;10,LEFT(D109,2)&lt;&gt;"09"))),"REVIEW","READY"))</x:f>
      </x:c>
      <x:c r="M109" s="254" t="str">
        <x:f>IF(L109="READY","",IF(A109="","",TRIM(IF(COUNTIF('الزبائن'!$A$6:$A$505,A109)=0,"customer key not found; ","")&amp;IF(C109="","missing contact_type; ","")&amp;IF(D109="","missing number; ","")&amp;IF(I109="","missing status; ","")&amp;IF(AND(C109="mobile",I109&lt;&gt;"invalid",OR(LEN(D109)&lt;&gt;10,LEFT(D109,2)&lt;&gt;"09")),"mobile must be 09XXXXXXXX or status invalid; ",""))))</x:f>
      </x:c>
    </x:row>
    <x:row r="110">
      <x:c r="A110" s="251"/>
      <x:c r="B110" s="252"/>
      <x:c r="C110" s="252"/>
      <x:c r="D110" s="253"/>
      <x:c r="E110" s="253"/>
      <x:c r="F110" s="252"/>
      <x:c r="G110" s="252"/>
      <x:c r="H110" s="252"/>
      <x:c r="I110" s="252"/>
      <x:c r="J110" s="252"/>
      <x:c r="K110" s="252"/>
      <x:c r="L110" s="252" t="str">
        <x:f>IF(A110="","",IF(OR(C110="",D110="",I110="",COUNTIF('الزبائن'!$A$6:$A$505,A110)=0,AND(C110="mobile",I110&lt;&gt;"invalid",OR(LEN(D110)&lt;&gt;10,LEFT(D110,2)&lt;&gt;"09"))),"REVIEW","READY"))</x:f>
      </x:c>
      <x:c r="M110" s="254" t="str">
        <x:f>IF(L110="READY","",IF(A110="","",TRIM(IF(COUNTIF('الزبائن'!$A$6:$A$505,A110)=0,"customer key not found; ","")&amp;IF(C110="","missing contact_type; ","")&amp;IF(D110="","missing number; ","")&amp;IF(I110="","missing status; ","")&amp;IF(AND(C110="mobile",I110&lt;&gt;"invalid",OR(LEN(D110)&lt;&gt;10,LEFT(D110,2)&lt;&gt;"09")),"mobile must be 09XXXXXXXX or status invalid; ",""))))</x:f>
      </x:c>
    </x:row>
    <x:row r="111">
      <x:c r="A111" s="251"/>
      <x:c r="B111" s="252"/>
      <x:c r="C111" s="252"/>
      <x:c r="D111" s="253"/>
      <x:c r="E111" s="253"/>
      <x:c r="F111" s="252"/>
      <x:c r="G111" s="252"/>
      <x:c r="H111" s="252"/>
      <x:c r="I111" s="252"/>
      <x:c r="J111" s="252"/>
      <x:c r="K111" s="252"/>
      <x:c r="L111" s="252" t="str">
        <x:f>IF(A111="","",IF(OR(C111="",D111="",I111="",COUNTIF('الزبائن'!$A$6:$A$505,A111)=0,AND(C111="mobile",I111&lt;&gt;"invalid",OR(LEN(D111)&lt;&gt;10,LEFT(D111,2)&lt;&gt;"09"))),"REVIEW","READY"))</x:f>
      </x:c>
      <x:c r="M111" s="254" t="str">
        <x:f>IF(L111="READY","",IF(A111="","",TRIM(IF(COUNTIF('الزبائن'!$A$6:$A$505,A111)=0,"customer key not found; ","")&amp;IF(C111="","missing contact_type; ","")&amp;IF(D111="","missing number; ","")&amp;IF(I111="","missing status; ","")&amp;IF(AND(C111="mobile",I111&lt;&gt;"invalid",OR(LEN(D111)&lt;&gt;10,LEFT(D111,2)&lt;&gt;"09")),"mobile must be 09XXXXXXXX or status invalid; ",""))))</x:f>
      </x:c>
    </x:row>
    <x:row r="112">
      <x:c r="A112" s="251"/>
      <x:c r="B112" s="252"/>
      <x:c r="C112" s="252"/>
      <x:c r="D112" s="253"/>
      <x:c r="E112" s="253"/>
      <x:c r="F112" s="252"/>
      <x:c r="G112" s="252"/>
      <x:c r="H112" s="252"/>
      <x:c r="I112" s="252"/>
      <x:c r="J112" s="252"/>
      <x:c r="K112" s="252"/>
      <x:c r="L112" s="252" t="str">
        <x:f>IF(A112="","",IF(OR(C112="",D112="",I112="",COUNTIF('الزبائن'!$A$6:$A$505,A112)=0,AND(C112="mobile",I112&lt;&gt;"invalid",OR(LEN(D112)&lt;&gt;10,LEFT(D112,2)&lt;&gt;"09"))),"REVIEW","READY"))</x:f>
      </x:c>
      <x:c r="M112" s="254" t="str">
        <x:f>IF(L112="READY","",IF(A112="","",TRIM(IF(COUNTIF('الزبائن'!$A$6:$A$505,A112)=0,"customer key not found; ","")&amp;IF(C112="","missing contact_type; ","")&amp;IF(D112="","missing number; ","")&amp;IF(I112="","missing status; ","")&amp;IF(AND(C112="mobile",I112&lt;&gt;"invalid",OR(LEN(D112)&lt;&gt;10,LEFT(D112,2)&lt;&gt;"09")),"mobile must be 09XXXXXXXX or status invalid; ",""))))</x:f>
      </x:c>
    </x:row>
    <x:row r="113">
      <x:c r="A113" s="251"/>
      <x:c r="B113" s="252"/>
      <x:c r="C113" s="252"/>
      <x:c r="D113" s="253"/>
      <x:c r="E113" s="253"/>
      <x:c r="F113" s="252"/>
      <x:c r="G113" s="252"/>
      <x:c r="H113" s="252"/>
      <x:c r="I113" s="252"/>
      <x:c r="J113" s="252"/>
      <x:c r="K113" s="252"/>
      <x:c r="L113" s="252" t="str">
        <x:f>IF(A113="","",IF(OR(C113="",D113="",I113="",COUNTIF('الزبائن'!$A$6:$A$505,A113)=0,AND(C113="mobile",I113&lt;&gt;"invalid",OR(LEN(D113)&lt;&gt;10,LEFT(D113,2)&lt;&gt;"09"))),"REVIEW","READY"))</x:f>
      </x:c>
      <x:c r="M113" s="254" t="str">
        <x:f>IF(L113="READY","",IF(A113="","",TRIM(IF(COUNTIF('الزبائن'!$A$6:$A$505,A113)=0,"customer key not found; ","")&amp;IF(C113="","missing contact_type; ","")&amp;IF(D113="","missing number; ","")&amp;IF(I113="","missing status; ","")&amp;IF(AND(C113="mobile",I113&lt;&gt;"invalid",OR(LEN(D113)&lt;&gt;10,LEFT(D113,2)&lt;&gt;"09")),"mobile must be 09XXXXXXXX or status invalid; ",""))))</x:f>
      </x:c>
    </x:row>
    <x:row r="114">
      <x:c r="A114" s="251"/>
      <x:c r="B114" s="252"/>
      <x:c r="C114" s="252"/>
      <x:c r="D114" s="253"/>
      <x:c r="E114" s="253"/>
      <x:c r="F114" s="252"/>
      <x:c r="G114" s="252"/>
      <x:c r="H114" s="252"/>
      <x:c r="I114" s="252"/>
      <x:c r="J114" s="252"/>
      <x:c r="K114" s="252"/>
      <x:c r="L114" s="252" t="str">
        <x:f>IF(A114="","",IF(OR(C114="",D114="",I114="",COUNTIF('الزبائن'!$A$6:$A$505,A114)=0,AND(C114="mobile",I114&lt;&gt;"invalid",OR(LEN(D114)&lt;&gt;10,LEFT(D114,2)&lt;&gt;"09"))),"REVIEW","READY"))</x:f>
      </x:c>
      <x:c r="M114" s="254" t="str">
        <x:f>IF(L114="READY","",IF(A114="","",TRIM(IF(COUNTIF('الزبائن'!$A$6:$A$505,A114)=0,"customer key not found; ","")&amp;IF(C114="","missing contact_type; ","")&amp;IF(D114="","missing number; ","")&amp;IF(I114="","missing status; ","")&amp;IF(AND(C114="mobile",I114&lt;&gt;"invalid",OR(LEN(D114)&lt;&gt;10,LEFT(D114,2)&lt;&gt;"09")),"mobile must be 09XXXXXXXX or status invalid; ",""))))</x:f>
      </x:c>
    </x:row>
    <x:row r="115">
      <x:c r="A115" s="251"/>
      <x:c r="B115" s="252"/>
      <x:c r="C115" s="252"/>
      <x:c r="D115" s="253"/>
      <x:c r="E115" s="253"/>
      <x:c r="F115" s="252"/>
      <x:c r="G115" s="252"/>
      <x:c r="H115" s="252"/>
      <x:c r="I115" s="252"/>
      <x:c r="J115" s="252"/>
      <x:c r="K115" s="252"/>
      <x:c r="L115" s="252" t="str">
        <x:f>IF(A115="","",IF(OR(C115="",D115="",I115="",COUNTIF('الزبائن'!$A$6:$A$505,A115)=0,AND(C115="mobile",I115&lt;&gt;"invalid",OR(LEN(D115)&lt;&gt;10,LEFT(D115,2)&lt;&gt;"09"))),"REVIEW","READY"))</x:f>
      </x:c>
      <x:c r="M115" s="254" t="str">
        <x:f>IF(L115="READY","",IF(A115="","",TRIM(IF(COUNTIF('الزبائن'!$A$6:$A$505,A115)=0,"customer key not found; ","")&amp;IF(C115="","missing contact_type; ","")&amp;IF(D115="","missing number; ","")&amp;IF(I115="","missing status; ","")&amp;IF(AND(C115="mobile",I115&lt;&gt;"invalid",OR(LEN(D115)&lt;&gt;10,LEFT(D115,2)&lt;&gt;"09")),"mobile must be 09XXXXXXXX or status invalid; ",""))))</x:f>
      </x:c>
    </x:row>
    <x:row r="116">
      <x:c r="A116" s="251"/>
      <x:c r="B116" s="252"/>
      <x:c r="C116" s="252"/>
      <x:c r="D116" s="253"/>
      <x:c r="E116" s="253"/>
      <x:c r="F116" s="252"/>
      <x:c r="G116" s="252"/>
      <x:c r="H116" s="252"/>
      <x:c r="I116" s="252"/>
      <x:c r="J116" s="252"/>
      <x:c r="K116" s="252"/>
      <x:c r="L116" s="252" t="str">
        <x:f>IF(A116="","",IF(OR(C116="",D116="",I116="",COUNTIF('الزبائن'!$A$6:$A$505,A116)=0,AND(C116="mobile",I116&lt;&gt;"invalid",OR(LEN(D116)&lt;&gt;10,LEFT(D116,2)&lt;&gt;"09"))),"REVIEW","READY"))</x:f>
      </x:c>
      <x:c r="M116" s="254" t="str">
        <x:f>IF(L116="READY","",IF(A116="","",TRIM(IF(COUNTIF('الزبائن'!$A$6:$A$505,A116)=0,"customer key not found; ","")&amp;IF(C116="","missing contact_type; ","")&amp;IF(D116="","missing number; ","")&amp;IF(I116="","missing status; ","")&amp;IF(AND(C116="mobile",I116&lt;&gt;"invalid",OR(LEN(D116)&lt;&gt;10,LEFT(D116,2)&lt;&gt;"09")),"mobile must be 09XXXXXXXX or status invalid; ",""))))</x:f>
      </x:c>
    </x:row>
    <x:row r="117">
      <x:c r="A117" s="251"/>
      <x:c r="B117" s="252"/>
      <x:c r="C117" s="252"/>
      <x:c r="D117" s="253"/>
      <x:c r="E117" s="253"/>
      <x:c r="F117" s="252"/>
      <x:c r="G117" s="252"/>
      <x:c r="H117" s="252"/>
      <x:c r="I117" s="252"/>
      <x:c r="J117" s="252"/>
      <x:c r="K117" s="252"/>
      <x:c r="L117" s="252" t="str">
        <x:f>IF(A117="","",IF(OR(C117="",D117="",I117="",COUNTIF('الزبائن'!$A$6:$A$505,A117)=0,AND(C117="mobile",I117&lt;&gt;"invalid",OR(LEN(D117)&lt;&gt;10,LEFT(D117,2)&lt;&gt;"09"))),"REVIEW","READY"))</x:f>
      </x:c>
      <x:c r="M117" s="254" t="str">
        <x:f>IF(L117="READY","",IF(A117="","",TRIM(IF(COUNTIF('الزبائن'!$A$6:$A$505,A117)=0,"customer key not found; ","")&amp;IF(C117="","missing contact_type; ","")&amp;IF(D117="","missing number; ","")&amp;IF(I117="","missing status; ","")&amp;IF(AND(C117="mobile",I117&lt;&gt;"invalid",OR(LEN(D117)&lt;&gt;10,LEFT(D117,2)&lt;&gt;"09")),"mobile must be 09XXXXXXXX or status invalid; ",""))))</x:f>
      </x:c>
    </x:row>
    <x:row r="118">
      <x:c r="A118" s="251"/>
      <x:c r="B118" s="252"/>
      <x:c r="C118" s="252"/>
      <x:c r="D118" s="253"/>
      <x:c r="E118" s="253"/>
      <x:c r="F118" s="252"/>
      <x:c r="G118" s="252"/>
      <x:c r="H118" s="252"/>
      <x:c r="I118" s="252"/>
      <x:c r="J118" s="252"/>
      <x:c r="K118" s="252"/>
      <x:c r="L118" s="252" t="str">
        <x:f>IF(A118="","",IF(OR(C118="",D118="",I118="",COUNTIF('الزبائن'!$A$6:$A$505,A118)=0,AND(C118="mobile",I118&lt;&gt;"invalid",OR(LEN(D118)&lt;&gt;10,LEFT(D118,2)&lt;&gt;"09"))),"REVIEW","READY"))</x:f>
      </x:c>
      <x:c r="M118" s="254" t="str">
        <x:f>IF(L118="READY","",IF(A118="","",TRIM(IF(COUNTIF('الزبائن'!$A$6:$A$505,A118)=0,"customer key not found; ","")&amp;IF(C118="","missing contact_type; ","")&amp;IF(D118="","missing number; ","")&amp;IF(I118="","missing status; ","")&amp;IF(AND(C118="mobile",I118&lt;&gt;"invalid",OR(LEN(D118)&lt;&gt;10,LEFT(D118,2)&lt;&gt;"09")),"mobile must be 09XXXXXXXX or status invalid; ",""))))</x:f>
      </x:c>
    </x:row>
    <x:row r="119">
      <x:c r="A119" s="251"/>
      <x:c r="B119" s="252"/>
      <x:c r="C119" s="252"/>
      <x:c r="D119" s="253"/>
      <x:c r="E119" s="253"/>
      <x:c r="F119" s="252"/>
      <x:c r="G119" s="252"/>
      <x:c r="H119" s="252"/>
      <x:c r="I119" s="252"/>
      <x:c r="J119" s="252"/>
      <x:c r="K119" s="252"/>
      <x:c r="L119" s="252" t="str">
        <x:f>IF(A119="","",IF(OR(C119="",D119="",I119="",COUNTIF('الزبائن'!$A$6:$A$505,A119)=0,AND(C119="mobile",I119&lt;&gt;"invalid",OR(LEN(D119)&lt;&gt;10,LEFT(D119,2)&lt;&gt;"09"))),"REVIEW","READY"))</x:f>
      </x:c>
      <x:c r="M119" s="254" t="str">
        <x:f>IF(L119="READY","",IF(A119="","",TRIM(IF(COUNTIF('الزبائن'!$A$6:$A$505,A119)=0,"customer key not found; ","")&amp;IF(C119="","missing contact_type; ","")&amp;IF(D119="","missing number; ","")&amp;IF(I119="","missing status; ","")&amp;IF(AND(C119="mobile",I119&lt;&gt;"invalid",OR(LEN(D119)&lt;&gt;10,LEFT(D119,2)&lt;&gt;"09")),"mobile must be 09XXXXXXXX or status invalid; ",""))))</x:f>
      </x:c>
    </x:row>
    <x:row r="120">
      <x:c r="A120" s="251"/>
      <x:c r="B120" s="252"/>
      <x:c r="C120" s="252"/>
      <x:c r="D120" s="253"/>
      <x:c r="E120" s="253"/>
      <x:c r="F120" s="252"/>
      <x:c r="G120" s="252"/>
      <x:c r="H120" s="252"/>
      <x:c r="I120" s="252"/>
      <x:c r="J120" s="252"/>
      <x:c r="K120" s="252"/>
      <x:c r="L120" s="252" t="str">
        <x:f>IF(A120="","",IF(OR(C120="",D120="",I120="",COUNTIF('الزبائن'!$A$6:$A$505,A120)=0,AND(C120="mobile",I120&lt;&gt;"invalid",OR(LEN(D120)&lt;&gt;10,LEFT(D120,2)&lt;&gt;"09"))),"REVIEW","READY"))</x:f>
      </x:c>
      <x:c r="M120" s="254" t="str">
        <x:f>IF(L120="READY","",IF(A120="","",TRIM(IF(COUNTIF('الزبائن'!$A$6:$A$505,A120)=0,"customer key not found; ","")&amp;IF(C120="","missing contact_type; ","")&amp;IF(D120="","missing number; ","")&amp;IF(I120="","missing status; ","")&amp;IF(AND(C120="mobile",I120&lt;&gt;"invalid",OR(LEN(D120)&lt;&gt;10,LEFT(D120,2)&lt;&gt;"09")),"mobile must be 09XXXXXXXX or status invalid; ",""))))</x:f>
      </x:c>
    </x:row>
    <x:row r="121">
      <x:c r="A121" s="251"/>
      <x:c r="B121" s="252"/>
      <x:c r="C121" s="252"/>
      <x:c r="D121" s="253"/>
      <x:c r="E121" s="253"/>
      <x:c r="F121" s="252"/>
      <x:c r="G121" s="252"/>
      <x:c r="H121" s="252"/>
      <x:c r="I121" s="252"/>
      <x:c r="J121" s="252"/>
      <x:c r="K121" s="252"/>
      <x:c r="L121" s="252" t="str">
        <x:f>IF(A121="","",IF(OR(C121="",D121="",I121="",COUNTIF('الزبائن'!$A$6:$A$505,A121)=0,AND(C121="mobile",I121&lt;&gt;"invalid",OR(LEN(D121)&lt;&gt;10,LEFT(D121,2)&lt;&gt;"09"))),"REVIEW","READY"))</x:f>
      </x:c>
      <x:c r="M121" s="254" t="str">
        <x:f>IF(L121="READY","",IF(A121="","",TRIM(IF(COUNTIF('الزبائن'!$A$6:$A$505,A121)=0,"customer key not found; ","")&amp;IF(C121="","missing contact_type; ","")&amp;IF(D121="","missing number; ","")&amp;IF(I121="","missing status; ","")&amp;IF(AND(C121="mobile",I121&lt;&gt;"invalid",OR(LEN(D121)&lt;&gt;10,LEFT(D121,2)&lt;&gt;"09")),"mobile must be 09XXXXXXXX or status invalid; ",""))))</x:f>
      </x:c>
    </x:row>
    <x:row r="122">
      <x:c r="A122" s="251"/>
      <x:c r="B122" s="252"/>
      <x:c r="C122" s="252"/>
      <x:c r="D122" s="253"/>
      <x:c r="E122" s="253"/>
      <x:c r="F122" s="252"/>
      <x:c r="G122" s="252"/>
      <x:c r="H122" s="252"/>
      <x:c r="I122" s="252"/>
      <x:c r="J122" s="252"/>
      <x:c r="K122" s="252"/>
      <x:c r="L122" s="252" t="str">
        <x:f>IF(A122="","",IF(OR(C122="",D122="",I122="",COUNTIF('الزبائن'!$A$6:$A$505,A122)=0,AND(C122="mobile",I122&lt;&gt;"invalid",OR(LEN(D122)&lt;&gt;10,LEFT(D122,2)&lt;&gt;"09"))),"REVIEW","READY"))</x:f>
      </x:c>
      <x:c r="M122" s="254" t="str">
        <x:f>IF(L122="READY","",IF(A122="","",TRIM(IF(COUNTIF('الزبائن'!$A$6:$A$505,A122)=0,"customer key not found; ","")&amp;IF(C122="","missing contact_type; ","")&amp;IF(D122="","missing number; ","")&amp;IF(I122="","missing status; ","")&amp;IF(AND(C122="mobile",I122&lt;&gt;"invalid",OR(LEN(D122)&lt;&gt;10,LEFT(D122,2)&lt;&gt;"09")),"mobile must be 09XXXXXXXX or status invalid; ",""))))</x:f>
      </x:c>
    </x:row>
    <x:row r="123">
      <x:c r="A123" s="251"/>
      <x:c r="B123" s="252"/>
      <x:c r="C123" s="252"/>
      <x:c r="D123" s="253"/>
      <x:c r="E123" s="253"/>
      <x:c r="F123" s="252"/>
      <x:c r="G123" s="252"/>
      <x:c r="H123" s="252"/>
      <x:c r="I123" s="252"/>
      <x:c r="J123" s="252"/>
      <x:c r="K123" s="252"/>
      <x:c r="L123" s="252" t="str">
        <x:f>IF(A123="","",IF(OR(C123="",D123="",I123="",COUNTIF('الزبائن'!$A$6:$A$505,A123)=0,AND(C123="mobile",I123&lt;&gt;"invalid",OR(LEN(D123)&lt;&gt;10,LEFT(D123,2)&lt;&gt;"09"))),"REVIEW","READY"))</x:f>
      </x:c>
      <x:c r="M123" s="254" t="str">
        <x:f>IF(L123="READY","",IF(A123="","",TRIM(IF(COUNTIF('الزبائن'!$A$6:$A$505,A123)=0,"customer key not found; ","")&amp;IF(C123="","missing contact_type; ","")&amp;IF(D123="","missing number; ","")&amp;IF(I123="","missing status; ","")&amp;IF(AND(C123="mobile",I123&lt;&gt;"invalid",OR(LEN(D123)&lt;&gt;10,LEFT(D123,2)&lt;&gt;"09")),"mobile must be 09XXXXXXXX or status invalid; ",""))))</x:f>
      </x:c>
    </x:row>
    <x:row r="124">
      <x:c r="A124" s="251"/>
      <x:c r="B124" s="252"/>
      <x:c r="C124" s="252"/>
      <x:c r="D124" s="253"/>
      <x:c r="E124" s="253"/>
      <x:c r="F124" s="252"/>
      <x:c r="G124" s="252"/>
      <x:c r="H124" s="252"/>
      <x:c r="I124" s="252"/>
      <x:c r="J124" s="252"/>
      <x:c r="K124" s="252"/>
      <x:c r="L124" s="252" t="str">
        <x:f>IF(A124="","",IF(OR(C124="",D124="",I124="",COUNTIF('الزبائن'!$A$6:$A$505,A124)=0,AND(C124="mobile",I124&lt;&gt;"invalid",OR(LEN(D124)&lt;&gt;10,LEFT(D124,2)&lt;&gt;"09"))),"REVIEW","READY"))</x:f>
      </x:c>
      <x:c r="M124" s="254" t="str">
        <x:f>IF(L124="READY","",IF(A124="","",TRIM(IF(COUNTIF('الزبائن'!$A$6:$A$505,A124)=0,"customer key not found; ","")&amp;IF(C124="","missing contact_type; ","")&amp;IF(D124="","missing number; ","")&amp;IF(I124="","missing status; ","")&amp;IF(AND(C124="mobile",I124&lt;&gt;"invalid",OR(LEN(D124)&lt;&gt;10,LEFT(D124,2)&lt;&gt;"09")),"mobile must be 09XXXXXXXX or status invalid; ",""))))</x:f>
      </x:c>
    </x:row>
    <x:row r="125">
      <x:c r="A125" s="251"/>
      <x:c r="B125" s="252"/>
      <x:c r="C125" s="252"/>
      <x:c r="D125" s="253"/>
      <x:c r="E125" s="253"/>
      <x:c r="F125" s="252"/>
      <x:c r="G125" s="252"/>
      <x:c r="H125" s="252"/>
      <x:c r="I125" s="252"/>
      <x:c r="J125" s="252"/>
      <x:c r="K125" s="252"/>
      <x:c r="L125" s="252" t="str">
        <x:f>IF(A125="","",IF(OR(C125="",D125="",I125="",COUNTIF('الزبائن'!$A$6:$A$505,A125)=0,AND(C125="mobile",I125&lt;&gt;"invalid",OR(LEN(D125)&lt;&gt;10,LEFT(D125,2)&lt;&gt;"09"))),"REVIEW","READY"))</x:f>
      </x:c>
      <x:c r="M125" s="254" t="str">
        <x:f>IF(L125="READY","",IF(A125="","",TRIM(IF(COUNTIF('الزبائن'!$A$6:$A$505,A125)=0,"customer key not found; ","")&amp;IF(C125="","missing contact_type; ","")&amp;IF(D125="","missing number; ","")&amp;IF(I125="","missing status; ","")&amp;IF(AND(C125="mobile",I125&lt;&gt;"invalid",OR(LEN(D125)&lt;&gt;10,LEFT(D125,2)&lt;&gt;"09")),"mobile must be 09XXXXXXXX or status invalid; ",""))))</x:f>
      </x:c>
    </x:row>
    <x:row r="126">
      <x:c r="A126" s="251"/>
      <x:c r="B126" s="252"/>
      <x:c r="C126" s="252"/>
      <x:c r="D126" s="253"/>
      <x:c r="E126" s="253"/>
      <x:c r="F126" s="252"/>
      <x:c r="G126" s="252"/>
      <x:c r="H126" s="252"/>
      <x:c r="I126" s="252"/>
      <x:c r="J126" s="252"/>
      <x:c r="K126" s="252"/>
      <x:c r="L126" s="252" t="str">
        <x:f>IF(A126="","",IF(OR(C126="",D126="",I126="",COUNTIF('الزبائن'!$A$6:$A$505,A126)=0,AND(C126="mobile",I126&lt;&gt;"invalid",OR(LEN(D126)&lt;&gt;10,LEFT(D126,2)&lt;&gt;"09"))),"REVIEW","READY"))</x:f>
      </x:c>
      <x:c r="M126" s="254" t="str">
        <x:f>IF(L126="READY","",IF(A126="","",TRIM(IF(COUNTIF('الزبائن'!$A$6:$A$505,A126)=0,"customer key not found; ","")&amp;IF(C126="","missing contact_type; ","")&amp;IF(D126="","missing number; ","")&amp;IF(I126="","missing status; ","")&amp;IF(AND(C126="mobile",I126&lt;&gt;"invalid",OR(LEN(D126)&lt;&gt;10,LEFT(D126,2)&lt;&gt;"09")),"mobile must be 09XXXXXXXX or status invalid; ",""))))</x:f>
      </x:c>
    </x:row>
    <x:row r="127">
      <x:c r="A127" s="251"/>
      <x:c r="B127" s="252"/>
      <x:c r="C127" s="252"/>
      <x:c r="D127" s="253"/>
      <x:c r="E127" s="253"/>
      <x:c r="F127" s="252"/>
      <x:c r="G127" s="252"/>
      <x:c r="H127" s="252"/>
      <x:c r="I127" s="252"/>
      <x:c r="J127" s="252"/>
      <x:c r="K127" s="252"/>
      <x:c r="L127" s="252" t="str">
        <x:f>IF(A127="","",IF(OR(C127="",D127="",I127="",COUNTIF('الزبائن'!$A$6:$A$505,A127)=0,AND(C127="mobile",I127&lt;&gt;"invalid",OR(LEN(D127)&lt;&gt;10,LEFT(D127,2)&lt;&gt;"09"))),"REVIEW","READY"))</x:f>
      </x:c>
      <x:c r="M127" s="254" t="str">
        <x:f>IF(L127="READY","",IF(A127="","",TRIM(IF(COUNTIF('الزبائن'!$A$6:$A$505,A127)=0,"customer key not found; ","")&amp;IF(C127="","missing contact_type; ","")&amp;IF(D127="","missing number; ","")&amp;IF(I127="","missing status; ","")&amp;IF(AND(C127="mobile",I127&lt;&gt;"invalid",OR(LEN(D127)&lt;&gt;10,LEFT(D127,2)&lt;&gt;"09")),"mobile must be 09XXXXXXXX or status invalid; ",""))))</x:f>
      </x:c>
    </x:row>
    <x:row r="128">
      <x:c r="A128" s="251"/>
      <x:c r="B128" s="252"/>
      <x:c r="C128" s="252"/>
      <x:c r="D128" s="253"/>
      <x:c r="E128" s="253"/>
      <x:c r="F128" s="252"/>
      <x:c r="G128" s="252"/>
      <x:c r="H128" s="252"/>
      <x:c r="I128" s="252"/>
      <x:c r="J128" s="252"/>
      <x:c r="K128" s="252"/>
      <x:c r="L128" s="252" t="str">
        <x:f>IF(A128="","",IF(OR(C128="",D128="",I128="",COUNTIF('الزبائن'!$A$6:$A$505,A128)=0,AND(C128="mobile",I128&lt;&gt;"invalid",OR(LEN(D128)&lt;&gt;10,LEFT(D128,2)&lt;&gt;"09"))),"REVIEW","READY"))</x:f>
      </x:c>
      <x:c r="M128" s="254" t="str">
        <x:f>IF(L128="READY","",IF(A128="","",TRIM(IF(COUNTIF('الزبائن'!$A$6:$A$505,A128)=0,"customer key not found; ","")&amp;IF(C128="","missing contact_type; ","")&amp;IF(D128="","missing number; ","")&amp;IF(I128="","missing status; ","")&amp;IF(AND(C128="mobile",I128&lt;&gt;"invalid",OR(LEN(D128)&lt;&gt;10,LEFT(D128,2)&lt;&gt;"09")),"mobile must be 09XXXXXXXX or status invalid; ",""))))</x:f>
      </x:c>
    </x:row>
    <x:row r="129">
      <x:c r="A129" s="251"/>
      <x:c r="B129" s="252"/>
      <x:c r="C129" s="252"/>
      <x:c r="D129" s="253"/>
      <x:c r="E129" s="253"/>
      <x:c r="F129" s="252"/>
      <x:c r="G129" s="252"/>
      <x:c r="H129" s="252"/>
      <x:c r="I129" s="252"/>
      <x:c r="J129" s="252"/>
      <x:c r="K129" s="252"/>
      <x:c r="L129" s="252" t="str">
        <x:f>IF(A129="","",IF(OR(C129="",D129="",I129="",COUNTIF('الزبائن'!$A$6:$A$505,A129)=0,AND(C129="mobile",I129&lt;&gt;"invalid",OR(LEN(D129)&lt;&gt;10,LEFT(D129,2)&lt;&gt;"09"))),"REVIEW","READY"))</x:f>
      </x:c>
      <x:c r="M129" s="254" t="str">
        <x:f>IF(L129="READY","",IF(A129="","",TRIM(IF(COUNTIF('الزبائن'!$A$6:$A$505,A129)=0,"customer key not found; ","")&amp;IF(C129="","missing contact_type; ","")&amp;IF(D129="","missing number; ","")&amp;IF(I129="","missing status; ","")&amp;IF(AND(C129="mobile",I129&lt;&gt;"invalid",OR(LEN(D129)&lt;&gt;10,LEFT(D129,2)&lt;&gt;"09")),"mobile must be 09XXXXXXXX or status invalid; ",""))))</x:f>
      </x:c>
    </x:row>
    <x:row r="130">
      <x:c r="A130" s="251"/>
      <x:c r="B130" s="252"/>
      <x:c r="C130" s="252"/>
      <x:c r="D130" s="253"/>
      <x:c r="E130" s="253"/>
      <x:c r="F130" s="252"/>
      <x:c r="G130" s="252"/>
      <x:c r="H130" s="252"/>
      <x:c r="I130" s="252"/>
      <x:c r="J130" s="252"/>
      <x:c r="K130" s="252"/>
      <x:c r="L130" s="252" t="str">
        <x:f>IF(A130="","",IF(OR(C130="",D130="",I130="",COUNTIF('الزبائن'!$A$6:$A$505,A130)=0,AND(C130="mobile",I130&lt;&gt;"invalid",OR(LEN(D130)&lt;&gt;10,LEFT(D130,2)&lt;&gt;"09"))),"REVIEW","READY"))</x:f>
      </x:c>
      <x:c r="M130" s="254" t="str">
        <x:f>IF(L130="READY","",IF(A130="","",TRIM(IF(COUNTIF('الزبائن'!$A$6:$A$505,A130)=0,"customer key not found; ","")&amp;IF(C130="","missing contact_type; ","")&amp;IF(D130="","missing number; ","")&amp;IF(I130="","missing status; ","")&amp;IF(AND(C130="mobile",I130&lt;&gt;"invalid",OR(LEN(D130)&lt;&gt;10,LEFT(D130,2)&lt;&gt;"09")),"mobile must be 09XXXXXXXX or status invalid; ",""))))</x:f>
      </x:c>
    </x:row>
    <x:row r="131">
      <x:c r="A131" s="251"/>
      <x:c r="B131" s="252"/>
      <x:c r="C131" s="252"/>
      <x:c r="D131" s="253"/>
      <x:c r="E131" s="253"/>
      <x:c r="F131" s="252"/>
      <x:c r="G131" s="252"/>
      <x:c r="H131" s="252"/>
      <x:c r="I131" s="252"/>
      <x:c r="J131" s="252"/>
      <x:c r="K131" s="252"/>
      <x:c r="L131" s="252" t="str">
        <x:f>IF(A131="","",IF(OR(C131="",D131="",I131="",COUNTIF('الزبائن'!$A$6:$A$505,A131)=0,AND(C131="mobile",I131&lt;&gt;"invalid",OR(LEN(D131)&lt;&gt;10,LEFT(D131,2)&lt;&gt;"09"))),"REVIEW","READY"))</x:f>
      </x:c>
      <x:c r="M131" s="254" t="str">
        <x:f>IF(L131="READY","",IF(A131="","",TRIM(IF(COUNTIF('الزبائن'!$A$6:$A$505,A131)=0,"customer key not found; ","")&amp;IF(C131="","missing contact_type; ","")&amp;IF(D131="","missing number; ","")&amp;IF(I131="","missing status; ","")&amp;IF(AND(C131="mobile",I131&lt;&gt;"invalid",OR(LEN(D131)&lt;&gt;10,LEFT(D131,2)&lt;&gt;"09")),"mobile must be 09XXXXXXXX or status invalid; ",""))))</x:f>
      </x:c>
    </x:row>
    <x:row r="132">
      <x:c r="A132" s="251"/>
      <x:c r="B132" s="252"/>
      <x:c r="C132" s="252"/>
      <x:c r="D132" s="253"/>
      <x:c r="E132" s="253"/>
      <x:c r="F132" s="252"/>
      <x:c r="G132" s="252"/>
      <x:c r="H132" s="252"/>
      <x:c r="I132" s="252"/>
      <x:c r="J132" s="252"/>
      <x:c r="K132" s="252"/>
      <x:c r="L132" s="252" t="str">
        <x:f>IF(A132="","",IF(OR(C132="",D132="",I132="",COUNTIF('الزبائن'!$A$6:$A$505,A132)=0,AND(C132="mobile",I132&lt;&gt;"invalid",OR(LEN(D132)&lt;&gt;10,LEFT(D132,2)&lt;&gt;"09"))),"REVIEW","READY"))</x:f>
      </x:c>
      <x:c r="M132" s="254" t="str">
        <x:f>IF(L132="READY","",IF(A132="","",TRIM(IF(COUNTIF('الزبائن'!$A$6:$A$505,A132)=0,"customer key not found; ","")&amp;IF(C132="","missing contact_type; ","")&amp;IF(D132="","missing number; ","")&amp;IF(I132="","missing status; ","")&amp;IF(AND(C132="mobile",I132&lt;&gt;"invalid",OR(LEN(D132)&lt;&gt;10,LEFT(D132,2)&lt;&gt;"09")),"mobile must be 09XXXXXXXX or status invalid; ",""))))</x:f>
      </x:c>
    </x:row>
    <x:row r="133">
      <x:c r="A133" s="251"/>
      <x:c r="B133" s="252"/>
      <x:c r="C133" s="252"/>
      <x:c r="D133" s="253"/>
      <x:c r="E133" s="253"/>
      <x:c r="F133" s="252"/>
      <x:c r="G133" s="252"/>
      <x:c r="H133" s="252"/>
      <x:c r="I133" s="252"/>
      <x:c r="J133" s="252"/>
      <x:c r="K133" s="252"/>
      <x:c r="L133" s="252" t="str">
        <x:f>IF(A133="","",IF(OR(C133="",D133="",I133="",COUNTIF('الزبائن'!$A$6:$A$505,A133)=0,AND(C133="mobile",I133&lt;&gt;"invalid",OR(LEN(D133)&lt;&gt;10,LEFT(D133,2)&lt;&gt;"09"))),"REVIEW","READY"))</x:f>
      </x:c>
      <x:c r="M133" s="254" t="str">
        <x:f>IF(L133="READY","",IF(A133="","",TRIM(IF(COUNTIF('الزبائن'!$A$6:$A$505,A133)=0,"customer key not found; ","")&amp;IF(C133="","missing contact_type; ","")&amp;IF(D133="","missing number; ","")&amp;IF(I133="","missing status; ","")&amp;IF(AND(C133="mobile",I133&lt;&gt;"invalid",OR(LEN(D133)&lt;&gt;10,LEFT(D133,2)&lt;&gt;"09")),"mobile must be 09XXXXXXXX or status invalid; ",""))))</x:f>
      </x:c>
    </x:row>
    <x:row r="134">
      <x:c r="A134" s="251"/>
      <x:c r="B134" s="252"/>
      <x:c r="C134" s="252"/>
      <x:c r="D134" s="253"/>
      <x:c r="E134" s="253"/>
      <x:c r="F134" s="252"/>
      <x:c r="G134" s="252"/>
      <x:c r="H134" s="252"/>
      <x:c r="I134" s="252"/>
      <x:c r="J134" s="252"/>
      <x:c r="K134" s="252"/>
      <x:c r="L134" s="252" t="str">
        <x:f>IF(A134="","",IF(OR(C134="",D134="",I134="",COUNTIF('الزبائن'!$A$6:$A$505,A134)=0,AND(C134="mobile",I134&lt;&gt;"invalid",OR(LEN(D134)&lt;&gt;10,LEFT(D134,2)&lt;&gt;"09"))),"REVIEW","READY"))</x:f>
      </x:c>
      <x:c r="M134" s="254" t="str">
        <x:f>IF(L134="READY","",IF(A134="","",TRIM(IF(COUNTIF('الزبائن'!$A$6:$A$505,A134)=0,"customer key not found; ","")&amp;IF(C134="","missing contact_type; ","")&amp;IF(D134="","missing number; ","")&amp;IF(I134="","missing status; ","")&amp;IF(AND(C134="mobile",I134&lt;&gt;"invalid",OR(LEN(D134)&lt;&gt;10,LEFT(D134,2)&lt;&gt;"09")),"mobile must be 09XXXXXXXX or status invalid; ",""))))</x:f>
      </x:c>
    </x:row>
    <x:row r="135">
      <x:c r="A135" s="251"/>
      <x:c r="B135" s="252"/>
      <x:c r="C135" s="252"/>
      <x:c r="D135" s="253"/>
      <x:c r="E135" s="253"/>
      <x:c r="F135" s="252"/>
      <x:c r="G135" s="252"/>
      <x:c r="H135" s="252"/>
      <x:c r="I135" s="252"/>
      <x:c r="J135" s="252"/>
      <x:c r="K135" s="252"/>
      <x:c r="L135" s="252" t="str">
        <x:f>IF(A135="","",IF(OR(C135="",D135="",I135="",COUNTIF('الزبائن'!$A$6:$A$505,A135)=0,AND(C135="mobile",I135&lt;&gt;"invalid",OR(LEN(D135)&lt;&gt;10,LEFT(D135,2)&lt;&gt;"09"))),"REVIEW","READY"))</x:f>
      </x:c>
      <x:c r="M135" s="254" t="str">
        <x:f>IF(L135="READY","",IF(A135="","",TRIM(IF(COUNTIF('الزبائن'!$A$6:$A$505,A135)=0,"customer key not found; ","")&amp;IF(C135="","missing contact_type; ","")&amp;IF(D135="","missing number; ","")&amp;IF(I135="","missing status; ","")&amp;IF(AND(C135="mobile",I135&lt;&gt;"invalid",OR(LEN(D135)&lt;&gt;10,LEFT(D135,2)&lt;&gt;"09")),"mobile must be 09XXXXXXXX or status invalid; ",""))))</x:f>
      </x:c>
    </x:row>
    <x:row r="136">
      <x:c r="A136" s="251"/>
      <x:c r="B136" s="252"/>
      <x:c r="C136" s="252"/>
      <x:c r="D136" s="253"/>
      <x:c r="E136" s="253"/>
      <x:c r="F136" s="252"/>
      <x:c r="G136" s="252"/>
      <x:c r="H136" s="252"/>
      <x:c r="I136" s="252"/>
      <x:c r="J136" s="252"/>
      <x:c r="K136" s="252"/>
      <x:c r="L136" s="252" t="str">
        <x:f>IF(A136="","",IF(OR(C136="",D136="",I136="",COUNTIF('الزبائن'!$A$6:$A$505,A136)=0,AND(C136="mobile",I136&lt;&gt;"invalid",OR(LEN(D136)&lt;&gt;10,LEFT(D136,2)&lt;&gt;"09"))),"REVIEW","READY"))</x:f>
      </x:c>
      <x:c r="M136" s="254" t="str">
        <x:f>IF(L136="READY","",IF(A136="","",TRIM(IF(COUNTIF('الزبائن'!$A$6:$A$505,A136)=0,"customer key not found; ","")&amp;IF(C136="","missing contact_type; ","")&amp;IF(D136="","missing number; ","")&amp;IF(I136="","missing status; ","")&amp;IF(AND(C136="mobile",I136&lt;&gt;"invalid",OR(LEN(D136)&lt;&gt;10,LEFT(D136,2)&lt;&gt;"09")),"mobile must be 09XXXXXXXX or status invalid; ",""))))</x:f>
      </x:c>
    </x:row>
    <x:row r="137">
      <x:c r="A137" s="251"/>
      <x:c r="B137" s="252"/>
      <x:c r="C137" s="252"/>
      <x:c r="D137" s="253"/>
      <x:c r="E137" s="253"/>
      <x:c r="F137" s="252"/>
      <x:c r="G137" s="252"/>
      <x:c r="H137" s="252"/>
      <x:c r="I137" s="252"/>
      <x:c r="J137" s="252"/>
      <x:c r="K137" s="252"/>
      <x:c r="L137" s="252" t="str">
        <x:f>IF(A137="","",IF(OR(C137="",D137="",I137="",COUNTIF('الزبائن'!$A$6:$A$505,A137)=0,AND(C137="mobile",I137&lt;&gt;"invalid",OR(LEN(D137)&lt;&gt;10,LEFT(D137,2)&lt;&gt;"09"))),"REVIEW","READY"))</x:f>
      </x:c>
      <x:c r="M137" s="254" t="str">
        <x:f>IF(L137="READY","",IF(A137="","",TRIM(IF(COUNTIF('الزبائن'!$A$6:$A$505,A137)=0,"customer key not found; ","")&amp;IF(C137="","missing contact_type; ","")&amp;IF(D137="","missing number; ","")&amp;IF(I137="","missing status; ","")&amp;IF(AND(C137="mobile",I137&lt;&gt;"invalid",OR(LEN(D137)&lt;&gt;10,LEFT(D137,2)&lt;&gt;"09")),"mobile must be 09XXXXXXXX or status invalid; ",""))))</x:f>
      </x:c>
    </x:row>
    <x:row r="138">
      <x:c r="A138" s="251"/>
      <x:c r="B138" s="252"/>
      <x:c r="C138" s="252"/>
      <x:c r="D138" s="253"/>
      <x:c r="E138" s="253"/>
      <x:c r="F138" s="252"/>
      <x:c r="G138" s="252"/>
      <x:c r="H138" s="252"/>
      <x:c r="I138" s="252"/>
      <x:c r="J138" s="252"/>
      <x:c r="K138" s="252"/>
      <x:c r="L138" s="252" t="str">
        <x:f>IF(A138="","",IF(OR(C138="",D138="",I138="",COUNTIF('الزبائن'!$A$6:$A$505,A138)=0,AND(C138="mobile",I138&lt;&gt;"invalid",OR(LEN(D138)&lt;&gt;10,LEFT(D138,2)&lt;&gt;"09"))),"REVIEW","READY"))</x:f>
      </x:c>
      <x:c r="M138" s="254" t="str">
        <x:f>IF(L138="READY","",IF(A138="","",TRIM(IF(COUNTIF('الزبائن'!$A$6:$A$505,A138)=0,"customer key not found; ","")&amp;IF(C138="","missing contact_type; ","")&amp;IF(D138="","missing number; ","")&amp;IF(I138="","missing status; ","")&amp;IF(AND(C138="mobile",I138&lt;&gt;"invalid",OR(LEN(D138)&lt;&gt;10,LEFT(D138,2)&lt;&gt;"09")),"mobile must be 09XXXXXXXX or status invalid; ",""))))</x:f>
      </x:c>
    </x:row>
    <x:row r="139">
      <x:c r="A139" s="251"/>
      <x:c r="B139" s="252"/>
      <x:c r="C139" s="252"/>
      <x:c r="D139" s="253"/>
      <x:c r="E139" s="253"/>
      <x:c r="F139" s="252"/>
      <x:c r="G139" s="252"/>
      <x:c r="H139" s="252"/>
      <x:c r="I139" s="252"/>
      <x:c r="J139" s="252"/>
      <x:c r="K139" s="252"/>
      <x:c r="L139" s="252" t="str">
        <x:f>IF(A139="","",IF(OR(C139="",D139="",I139="",COUNTIF('الزبائن'!$A$6:$A$505,A139)=0,AND(C139="mobile",I139&lt;&gt;"invalid",OR(LEN(D139)&lt;&gt;10,LEFT(D139,2)&lt;&gt;"09"))),"REVIEW","READY"))</x:f>
      </x:c>
      <x:c r="M139" s="254" t="str">
        <x:f>IF(L139="READY","",IF(A139="","",TRIM(IF(COUNTIF('الزبائن'!$A$6:$A$505,A139)=0,"customer key not found; ","")&amp;IF(C139="","missing contact_type; ","")&amp;IF(D139="","missing number; ","")&amp;IF(I139="","missing status; ","")&amp;IF(AND(C139="mobile",I139&lt;&gt;"invalid",OR(LEN(D139)&lt;&gt;10,LEFT(D139,2)&lt;&gt;"09")),"mobile must be 09XXXXXXXX or status invalid; ",""))))</x:f>
      </x:c>
    </x:row>
    <x:row r="140">
      <x:c r="A140" s="251"/>
      <x:c r="B140" s="252"/>
      <x:c r="C140" s="252"/>
      <x:c r="D140" s="253"/>
      <x:c r="E140" s="253"/>
      <x:c r="F140" s="252"/>
      <x:c r="G140" s="252"/>
      <x:c r="H140" s="252"/>
      <x:c r="I140" s="252"/>
      <x:c r="J140" s="252"/>
      <x:c r="K140" s="252"/>
      <x:c r="L140" s="252" t="str">
        <x:f>IF(A140="","",IF(OR(C140="",D140="",I140="",COUNTIF('الزبائن'!$A$6:$A$505,A140)=0,AND(C140="mobile",I140&lt;&gt;"invalid",OR(LEN(D140)&lt;&gt;10,LEFT(D140,2)&lt;&gt;"09"))),"REVIEW","READY"))</x:f>
      </x:c>
      <x:c r="M140" s="254" t="str">
        <x:f>IF(L140="READY","",IF(A140="","",TRIM(IF(COUNTIF('الزبائن'!$A$6:$A$505,A140)=0,"customer key not found; ","")&amp;IF(C140="","missing contact_type; ","")&amp;IF(D140="","missing number; ","")&amp;IF(I140="","missing status; ","")&amp;IF(AND(C140="mobile",I140&lt;&gt;"invalid",OR(LEN(D140)&lt;&gt;10,LEFT(D140,2)&lt;&gt;"09")),"mobile must be 09XXXXXXXX or status invalid; ",""))))</x:f>
      </x:c>
    </x:row>
    <x:row r="141">
      <x:c r="A141" s="251"/>
      <x:c r="B141" s="252"/>
      <x:c r="C141" s="252"/>
      <x:c r="D141" s="253"/>
      <x:c r="E141" s="253"/>
      <x:c r="F141" s="252"/>
      <x:c r="G141" s="252"/>
      <x:c r="H141" s="252"/>
      <x:c r="I141" s="252"/>
      <x:c r="J141" s="252"/>
      <x:c r="K141" s="252"/>
      <x:c r="L141" s="252" t="str">
        <x:f>IF(A141="","",IF(OR(C141="",D141="",I141="",COUNTIF('الزبائن'!$A$6:$A$505,A141)=0,AND(C141="mobile",I141&lt;&gt;"invalid",OR(LEN(D141)&lt;&gt;10,LEFT(D141,2)&lt;&gt;"09"))),"REVIEW","READY"))</x:f>
      </x:c>
      <x:c r="M141" s="254" t="str">
        <x:f>IF(L141="READY","",IF(A141="","",TRIM(IF(COUNTIF('الزبائن'!$A$6:$A$505,A141)=0,"customer key not found; ","")&amp;IF(C141="","missing contact_type; ","")&amp;IF(D141="","missing number; ","")&amp;IF(I141="","missing status; ","")&amp;IF(AND(C141="mobile",I141&lt;&gt;"invalid",OR(LEN(D141)&lt;&gt;10,LEFT(D141,2)&lt;&gt;"09")),"mobile must be 09XXXXXXXX or status invalid; ",""))))</x:f>
      </x:c>
    </x:row>
    <x:row r="142">
      <x:c r="A142" s="251"/>
      <x:c r="B142" s="252"/>
      <x:c r="C142" s="252"/>
      <x:c r="D142" s="253"/>
      <x:c r="E142" s="253"/>
      <x:c r="F142" s="252"/>
      <x:c r="G142" s="252"/>
      <x:c r="H142" s="252"/>
      <x:c r="I142" s="252"/>
      <x:c r="J142" s="252"/>
      <x:c r="K142" s="252"/>
      <x:c r="L142" s="252" t="str">
        <x:f>IF(A142="","",IF(OR(C142="",D142="",I142="",COUNTIF('الزبائن'!$A$6:$A$505,A142)=0,AND(C142="mobile",I142&lt;&gt;"invalid",OR(LEN(D142)&lt;&gt;10,LEFT(D142,2)&lt;&gt;"09"))),"REVIEW","READY"))</x:f>
      </x:c>
      <x:c r="M142" s="254" t="str">
        <x:f>IF(L142="READY","",IF(A142="","",TRIM(IF(COUNTIF('الزبائن'!$A$6:$A$505,A142)=0,"customer key not found; ","")&amp;IF(C142="","missing contact_type; ","")&amp;IF(D142="","missing number; ","")&amp;IF(I142="","missing status; ","")&amp;IF(AND(C142="mobile",I142&lt;&gt;"invalid",OR(LEN(D142)&lt;&gt;10,LEFT(D142,2)&lt;&gt;"09")),"mobile must be 09XXXXXXXX or status invalid; ",""))))</x:f>
      </x:c>
    </x:row>
    <x:row r="143">
      <x:c r="A143" s="251"/>
      <x:c r="B143" s="252"/>
      <x:c r="C143" s="252"/>
      <x:c r="D143" s="253"/>
      <x:c r="E143" s="253"/>
      <x:c r="F143" s="252"/>
      <x:c r="G143" s="252"/>
      <x:c r="H143" s="252"/>
      <x:c r="I143" s="252"/>
      <x:c r="J143" s="252"/>
      <x:c r="K143" s="252"/>
      <x:c r="L143" s="252" t="str">
        <x:f>IF(A143="","",IF(OR(C143="",D143="",I143="",COUNTIF('الزبائن'!$A$6:$A$505,A143)=0,AND(C143="mobile",I143&lt;&gt;"invalid",OR(LEN(D143)&lt;&gt;10,LEFT(D143,2)&lt;&gt;"09"))),"REVIEW","READY"))</x:f>
      </x:c>
      <x:c r="M143" s="254" t="str">
        <x:f>IF(L143="READY","",IF(A143="","",TRIM(IF(COUNTIF('الزبائن'!$A$6:$A$505,A143)=0,"customer key not found; ","")&amp;IF(C143="","missing contact_type; ","")&amp;IF(D143="","missing number; ","")&amp;IF(I143="","missing status; ","")&amp;IF(AND(C143="mobile",I143&lt;&gt;"invalid",OR(LEN(D143)&lt;&gt;10,LEFT(D143,2)&lt;&gt;"09")),"mobile must be 09XXXXXXXX or status invalid; ",""))))</x:f>
      </x:c>
    </x:row>
    <x:row r="144">
      <x:c r="A144" s="251"/>
      <x:c r="B144" s="252"/>
      <x:c r="C144" s="252"/>
      <x:c r="D144" s="253"/>
      <x:c r="E144" s="253"/>
      <x:c r="F144" s="252"/>
      <x:c r="G144" s="252"/>
      <x:c r="H144" s="252"/>
      <x:c r="I144" s="252"/>
      <x:c r="J144" s="252"/>
      <x:c r="K144" s="252"/>
      <x:c r="L144" s="252" t="str">
        <x:f>IF(A144="","",IF(OR(C144="",D144="",I144="",COUNTIF('الزبائن'!$A$6:$A$505,A144)=0,AND(C144="mobile",I144&lt;&gt;"invalid",OR(LEN(D144)&lt;&gt;10,LEFT(D144,2)&lt;&gt;"09"))),"REVIEW","READY"))</x:f>
      </x:c>
      <x:c r="M144" s="254" t="str">
        <x:f>IF(L144="READY","",IF(A144="","",TRIM(IF(COUNTIF('الزبائن'!$A$6:$A$505,A144)=0,"customer key not found; ","")&amp;IF(C144="","missing contact_type; ","")&amp;IF(D144="","missing number; ","")&amp;IF(I144="","missing status; ","")&amp;IF(AND(C144="mobile",I144&lt;&gt;"invalid",OR(LEN(D144)&lt;&gt;10,LEFT(D144,2)&lt;&gt;"09")),"mobile must be 09XXXXXXXX or status invalid; ",""))))</x:f>
      </x:c>
    </x:row>
    <x:row r="145">
      <x:c r="A145" s="251"/>
      <x:c r="B145" s="252"/>
      <x:c r="C145" s="252"/>
      <x:c r="D145" s="253"/>
      <x:c r="E145" s="253"/>
      <x:c r="F145" s="252"/>
      <x:c r="G145" s="252"/>
      <x:c r="H145" s="252"/>
      <x:c r="I145" s="252"/>
      <x:c r="J145" s="252"/>
      <x:c r="K145" s="252"/>
      <x:c r="L145" s="252" t="str">
        <x:f>IF(A145="","",IF(OR(C145="",D145="",I145="",COUNTIF('الزبائن'!$A$6:$A$505,A145)=0,AND(C145="mobile",I145&lt;&gt;"invalid",OR(LEN(D145)&lt;&gt;10,LEFT(D145,2)&lt;&gt;"09"))),"REVIEW","READY"))</x:f>
      </x:c>
      <x:c r="M145" s="254" t="str">
        <x:f>IF(L145="READY","",IF(A145="","",TRIM(IF(COUNTIF('الزبائن'!$A$6:$A$505,A145)=0,"customer key not found; ","")&amp;IF(C145="","missing contact_type; ","")&amp;IF(D145="","missing number; ","")&amp;IF(I145="","missing status; ","")&amp;IF(AND(C145="mobile",I145&lt;&gt;"invalid",OR(LEN(D145)&lt;&gt;10,LEFT(D145,2)&lt;&gt;"09")),"mobile must be 09XXXXXXXX or status invalid; ",""))))</x:f>
      </x:c>
    </x:row>
    <x:row r="146">
      <x:c r="A146" s="251"/>
      <x:c r="B146" s="252"/>
      <x:c r="C146" s="252"/>
      <x:c r="D146" s="253"/>
      <x:c r="E146" s="253"/>
      <x:c r="F146" s="252"/>
      <x:c r="G146" s="252"/>
      <x:c r="H146" s="252"/>
      <x:c r="I146" s="252"/>
      <x:c r="J146" s="252"/>
      <x:c r="K146" s="252"/>
      <x:c r="L146" s="252" t="str">
        <x:f>IF(A146="","",IF(OR(C146="",D146="",I146="",COUNTIF('الزبائن'!$A$6:$A$505,A146)=0,AND(C146="mobile",I146&lt;&gt;"invalid",OR(LEN(D146)&lt;&gt;10,LEFT(D146,2)&lt;&gt;"09"))),"REVIEW","READY"))</x:f>
      </x:c>
      <x:c r="M146" s="254" t="str">
        <x:f>IF(L146="READY","",IF(A146="","",TRIM(IF(COUNTIF('الزبائن'!$A$6:$A$505,A146)=0,"customer key not found; ","")&amp;IF(C146="","missing contact_type; ","")&amp;IF(D146="","missing number; ","")&amp;IF(I146="","missing status; ","")&amp;IF(AND(C146="mobile",I146&lt;&gt;"invalid",OR(LEN(D146)&lt;&gt;10,LEFT(D146,2)&lt;&gt;"09")),"mobile must be 09XXXXXXXX or status invalid; ",""))))</x:f>
      </x:c>
    </x:row>
    <x:row r="147">
      <x:c r="A147" s="251"/>
      <x:c r="B147" s="252"/>
      <x:c r="C147" s="252"/>
      <x:c r="D147" s="253"/>
      <x:c r="E147" s="253"/>
      <x:c r="F147" s="252"/>
      <x:c r="G147" s="252"/>
      <x:c r="H147" s="252"/>
      <x:c r="I147" s="252"/>
      <x:c r="J147" s="252"/>
      <x:c r="K147" s="252"/>
      <x:c r="L147" s="252" t="str">
        <x:f>IF(A147="","",IF(OR(C147="",D147="",I147="",COUNTIF('الزبائن'!$A$6:$A$505,A147)=0,AND(C147="mobile",I147&lt;&gt;"invalid",OR(LEN(D147)&lt;&gt;10,LEFT(D147,2)&lt;&gt;"09"))),"REVIEW","READY"))</x:f>
      </x:c>
      <x:c r="M147" s="254" t="str">
        <x:f>IF(L147="READY","",IF(A147="","",TRIM(IF(COUNTIF('الزبائن'!$A$6:$A$505,A147)=0,"customer key not found; ","")&amp;IF(C147="","missing contact_type; ","")&amp;IF(D147="","missing number; ","")&amp;IF(I147="","missing status; ","")&amp;IF(AND(C147="mobile",I147&lt;&gt;"invalid",OR(LEN(D147)&lt;&gt;10,LEFT(D147,2)&lt;&gt;"09")),"mobile must be 09XXXXXXXX or status invalid; ",""))))</x:f>
      </x:c>
    </x:row>
    <x:row r="148">
      <x:c r="A148" s="251"/>
      <x:c r="B148" s="252"/>
      <x:c r="C148" s="252"/>
      <x:c r="D148" s="253"/>
      <x:c r="E148" s="253"/>
      <x:c r="F148" s="252"/>
      <x:c r="G148" s="252"/>
      <x:c r="H148" s="252"/>
      <x:c r="I148" s="252"/>
      <x:c r="J148" s="252"/>
      <x:c r="K148" s="252"/>
      <x:c r="L148" s="252" t="str">
        <x:f>IF(A148="","",IF(OR(C148="",D148="",I148="",COUNTIF('الزبائن'!$A$6:$A$505,A148)=0,AND(C148="mobile",I148&lt;&gt;"invalid",OR(LEN(D148)&lt;&gt;10,LEFT(D148,2)&lt;&gt;"09"))),"REVIEW","READY"))</x:f>
      </x:c>
      <x:c r="M148" s="254" t="str">
        <x:f>IF(L148="READY","",IF(A148="","",TRIM(IF(COUNTIF('الزبائن'!$A$6:$A$505,A148)=0,"customer key not found; ","")&amp;IF(C148="","missing contact_type; ","")&amp;IF(D148="","missing number; ","")&amp;IF(I148="","missing status; ","")&amp;IF(AND(C148="mobile",I148&lt;&gt;"invalid",OR(LEN(D148)&lt;&gt;10,LEFT(D148,2)&lt;&gt;"09")),"mobile must be 09XXXXXXXX or status invalid; ",""))))</x:f>
      </x:c>
    </x:row>
    <x:row r="149">
      <x:c r="A149" s="251"/>
      <x:c r="B149" s="252"/>
      <x:c r="C149" s="252"/>
      <x:c r="D149" s="253"/>
      <x:c r="E149" s="253"/>
      <x:c r="F149" s="252"/>
      <x:c r="G149" s="252"/>
      <x:c r="H149" s="252"/>
      <x:c r="I149" s="252"/>
      <x:c r="J149" s="252"/>
      <x:c r="K149" s="252"/>
      <x:c r="L149" s="252" t="str">
        <x:f>IF(A149="","",IF(OR(C149="",D149="",I149="",COUNTIF('الزبائن'!$A$6:$A$505,A149)=0,AND(C149="mobile",I149&lt;&gt;"invalid",OR(LEN(D149)&lt;&gt;10,LEFT(D149,2)&lt;&gt;"09"))),"REVIEW","READY"))</x:f>
      </x:c>
      <x:c r="M149" s="254" t="str">
        <x:f>IF(L149="READY","",IF(A149="","",TRIM(IF(COUNTIF('الزبائن'!$A$6:$A$505,A149)=0,"customer key not found; ","")&amp;IF(C149="","missing contact_type; ","")&amp;IF(D149="","missing number; ","")&amp;IF(I149="","missing status; ","")&amp;IF(AND(C149="mobile",I149&lt;&gt;"invalid",OR(LEN(D149)&lt;&gt;10,LEFT(D149,2)&lt;&gt;"09")),"mobile must be 09XXXXXXXX or status invalid; ",""))))</x:f>
      </x:c>
    </x:row>
    <x:row r="150">
      <x:c r="A150" s="251"/>
      <x:c r="B150" s="252"/>
      <x:c r="C150" s="252"/>
      <x:c r="D150" s="253"/>
      <x:c r="E150" s="253"/>
      <x:c r="F150" s="252"/>
      <x:c r="G150" s="252"/>
      <x:c r="H150" s="252"/>
      <x:c r="I150" s="252"/>
      <x:c r="J150" s="252"/>
      <x:c r="K150" s="252"/>
      <x:c r="L150" s="252" t="str">
        <x:f>IF(A150="","",IF(OR(C150="",D150="",I150="",COUNTIF('الزبائن'!$A$6:$A$505,A150)=0,AND(C150="mobile",I150&lt;&gt;"invalid",OR(LEN(D150)&lt;&gt;10,LEFT(D150,2)&lt;&gt;"09"))),"REVIEW","READY"))</x:f>
      </x:c>
      <x:c r="M150" s="254" t="str">
        <x:f>IF(L150="READY","",IF(A150="","",TRIM(IF(COUNTIF('الزبائن'!$A$6:$A$505,A150)=0,"customer key not found; ","")&amp;IF(C150="","missing contact_type; ","")&amp;IF(D150="","missing number; ","")&amp;IF(I150="","missing status; ","")&amp;IF(AND(C150="mobile",I150&lt;&gt;"invalid",OR(LEN(D150)&lt;&gt;10,LEFT(D150,2)&lt;&gt;"09")),"mobile must be 09XXXXXXXX or status invalid; ",""))))</x:f>
      </x:c>
    </x:row>
    <x:row r="151">
      <x:c r="A151" s="251"/>
      <x:c r="B151" s="252"/>
      <x:c r="C151" s="252"/>
      <x:c r="D151" s="253"/>
      <x:c r="E151" s="253"/>
      <x:c r="F151" s="252"/>
      <x:c r="G151" s="252"/>
      <x:c r="H151" s="252"/>
      <x:c r="I151" s="252"/>
      <x:c r="J151" s="252"/>
      <x:c r="K151" s="252"/>
      <x:c r="L151" s="252" t="str">
        <x:f>IF(A151="","",IF(OR(C151="",D151="",I151="",COUNTIF('الزبائن'!$A$6:$A$505,A151)=0,AND(C151="mobile",I151&lt;&gt;"invalid",OR(LEN(D151)&lt;&gt;10,LEFT(D151,2)&lt;&gt;"09"))),"REVIEW","READY"))</x:f>
      </x:c>
      <x:c r="M151" s="254" t="str">
        <x:f>IF(L151="READY","",IF(A151="","",TRIM(IF(COUNTIF('الزبائن'!$A$6:$A$505,A151)=0,"customer key not found; ","")&amp;IF(C151="","missing contact_type; ","")&amp;IF(D151="","missing number; ","")&amp;IF(I151="","missing status; ","")&amp;IF(AND(C151="mobile",I151&lt;&gt;"invalid",OR(LEN(D151)&lt;&gt;10,LEFT(D151,2)&lt;&gt;"09")),"mobile must be 09XXXXXXXX or status invalid; ",""))))</x:f>
      </x:c>
    </x:row>
    <x:row r="152">
      <x:c r="A152" s="251"/>
      <x:c r="B152" s="252"/>
      <x:c r="C152" s="252"/>
      <x:c r="D152" s="253"/>
      <x:c r="E152" s="253"/>
      <x:c r="F152" s="252"/>
      <x:c r="G152" s="252"/>
      <x:c r="H152" s="252"/>
      <x:c r="I152" s="252"/>
      <x:c r="J152" s="252"/>
      <x:c r="K152" s="252"/>
      <x:c r="L152" s="252" t="str">
        <x:f>IF(A152="","",IF(OR(C152="",D152="",I152="",COUNTIF('الزبائن'!$A$6:$A$505,A152)=0,AND(C152="mobile",I152&lt;&gt;"invalid",OR(LEN(D152)&lt;&gt;10,LEFT(D152,2)&lt;&gt;"09"))),"REVIEW","READY"))</x:f>
      </x:c>
      <x:c r="M152" s="254" t="str">
        <x:f>IF(L152="READY","",IF(A152="","",TRIM(IF(COUNTIF('الزبائن'!$A$6:$A$505,A152)=0,"customer key not found; ","")&amp;IF(C152="","missing contact_type; ","")&amp;IF(D152="","missing number; ","")&amp;IF(I152="","missing status; ","")&amp;IF(AND(C152="mobile",I152&lt;&gt;"invalid",OR(LEN(D152)&lt;&gt;10,LEFT(D152,2)&lt;&gt;"09")),"mobile must be 09XXXXXXXX or status invalid; ",""))))</x:f>
      </x:c>
    </x:row>
    <x:row r="153">
      <x:c r="A153" s="251"/>
      <x:c r="B153" s="252"/>
      <x:c r="C153" s="252"/>
      <x:c r="D153" s="253"/>
      <x:c r="E153" s="253"/>
      <x:c r="F153" s="252"/>
      <x:c r="G153" s="252"/>
      <x:c r="H153" s="252"/>
      <x:c r="I153" s="252"/>
      <x:c r="J153" s="252"/>
      <x:c r="K153" s="252"/>
      <x:c r="L153" s="252" t="str">
        <x:f>IF(A153="","",IF(OR(C153="",D153="",I153="",COUNTIF('الزبائن'!$A$6:$A$505,A153)=0,AND(C153="mobile",I153&lt;&gt;"invalid",OR(LEN(D153)&lt;&gt;10,LEFT(D153,2)&lt;&gt;"09"))),"REVIEW","READY"))</x:f>
      </x:c>
      <x:c r="M153" s="254" t="str">
        <x:f>IF(L153="READY","",IF(A153="","",TRIM(IF(COUNTIF('الزبائن'!$A$6:$A$505,A153)=0,"customer key not found; ","")&amp;IF(C153="","missing contact_type; ","")&amp;IF(D153="","missing number; ","")&amp;IF(I153="","missing status; ","")&amp;IF(AND(C153="mobile",I153&lt;&gt;"invalid",OR(LEN(D153)&lt;&gt;10,LEFT(D153,2)&lt;&gt;"09")),"mobile must be 09XXXXXXXX or status invalid; ",""))))</x:f>
      </x:c>
    </x:row>
    <x:row r="154">
      <x:c r="A154" s="251"/>
      <x:c r="B154" s="252"/>
      <x:c r="C154" s="252"/>
      <x:c r="D154" s="253"/>
      <x:c r="E154" s="253"/>
      <x:c r="F154" s="252"/>
      <x:c r="G154" s="252"/>
      <x:c r="H154" s="252"/>
      <x:c r="I154" s="252"/>
      <x:c r="J154" s="252"/>
      <x:c r="K154" s="252"/>
      <x:c r="L154" s="252" t="str">
        <x:f>IF(A154="","",IF(OR(C154="",D154="",I154="",COUNTIF('الزبائن'!$A$6:$A$505,A154)=0,AND(C154="mobile",I154&lt;&gt;"invalid",OR(LEN(D154)&lt;&gt;10,LEFT(D154,2)&lt;&gt;"09"))),"REVIEW","READY"))</x:f>
      </x:c>
      <x:c r="M154" s="254" t="str">
        <x:f>IF(L154="READY","",IF(A154="","",TRIM(IF(COUNTIF('الزبائن'!$A$6:$A$505,A154)=0,"customer key not found; ","")&amp;IF(C154="","missing contact_type; ","")&amp;IF(D154="","missing number; ","")&amp;IF(I154="","missing status; ","")&amp;IF(AND(C154="mobile",I154&lt;&gt;"invalid",OR(LEN(D154)&lt;&gt;10,LEFT(D154,2)&lt;&gt;"09")),"mobile must be 09XXXXXXXX or status invalid; ",""))))</x:f>
      </x:c>
    </x:row>
    <x:row r="155">
      <x:c r="A155" s="251"/>
      <x:c r="B155" s="252"/>
      <x:c r="C155" s="252"/>
      <x:c r="D155" s="253"/>
      <x:c r="E155" s="253"/>
      <x:c r="F155" s="252"/>
      <x:c r="G155" s="252"/>
      <x:c r="H155" s="252"/>
      <x:c r="I155" s="252"/>
      <x:c r="J155" s="252"/>
      <x:c r="K155" s="252"/>
      <x:c r="L155" s="252" t="str">
        <x:f>IF(A155="","",IF(OR(C155="",D155="",I155="",COUNTIF('الزبائن'!$A$6:$A$505,A155)=0,AND(C155="mobile",I155&lt;&gt;"invalid",OR(LEN(D155)&lt;&gt;10,LEFT(D155,2)&lt;&gt;"09"))),"REVIEW","READY"))</x:f>
      </x:c>
      <x:c r="M155" s="254" t="str">
        <x:f>IF(L155="READY","",IF(A155="","",TRIM(IF(COUNTIF('الزبائن'!$A$6:$A$505,A155)=0,"customer key not found; ","")&amp;IF(C155="","missing contact_type; ","")&amp;IF(D155="","missing number; ","")&amp;IF(I155="","missing status; ","")&amp;IF(AND(C155="mobile",I155&lt;&gt;"invalid",OR(LEN(D155)&lt;&gt;10,LEFT(D155,2)&lt;&gt;"09")),"mobile must be 09XXXXXXXX or status invalid; ",""))))</x:f>
      </x:c>
    </x:row>
    <x:row r="156">
      <x:c r="A156" s="251"/>
      <x:c r="B156" s="252"/>
      <x:c r="C156" s="252"/>
      <x:c r="D156" s="253"/>
      <x:c r="E156" s="253"/>
      <x:c r="F156" s="252"/>
      <x:c r="G156" s="252"/>
      <x:c r="H156" s="252"/>
      <x:c r="I156" s="252"/>
      <x:c r="J156" s="252"/>
      <x:c r="K156" s="252"/>
      <x:c r="L156" s="252" t="str">
        <x:f>IF(A156="","",IF(OR(C156="",D156="",I156="",COUNTIF('الزبائن'!$A$6:$A$505,A156)=0,AND(C156="mobile",I156&lt;&gt;"invalid",OR(LEN(D156)&lt;&gt;10,LEFT(D156,2)&lt;&gt;"09"))),"REVIEW","READY"))</x:f>
      </x:c>
      <x:c r="M156" s="254" t="str">
        <x:f>IF(L156="READY","",IF(A156="","",TRIM(IF(COUNTIF('الزبائن'!$A$6:$A$505,A156)=0,"customer key not found; ","")&amp;IF(C156="","missing contact_type; ","")&amp;IF(D156="","missing number; ","")&amp;IF(I156="","missing status; ","")&amp;IF(AND(C156="mobile",I156&lt;&gt;"invalid",OR(LEN(D156)&lt;&gt;10,LEFT(D156,2)&lt;&gt;"09")),"mobile must be 09XXXXXXXX or status invalid; ",""))))</x:f>
      </x:c>
    </x:row>
    <x:row r="157">
      <x:c r="A157" s="251"/>
      <x:c r="B157" s="252"/>
      <x:c r="C157" s="252"/>
      <x:c r="D157" s="253"/>
      <x:c r="E157" s="253"/>
      <x:c r="F157" s="252"/>
      <x:c r="G157" s="252"/>
      <x:c r="H157" s="252"/>
      <x:c r="I157" s="252"/>
      <x:c r="J157" s="252"/>
      <x:c r="K157" s="252"/>
      <x:c r="L157" s="252" t="str">
        <x:f>IF(A157="","",IF(OR(C157="",D157="",I157="",COUNTIF('الزبائن'!$A$6:$A$505,A157)=0,AND(C157="mobile",I157&lt;&gt;"invalid",OR(LEN(D157)&lt;&gt;10,LEFT(D157,2)&lt;&gt;"09"))),"REVIEW","READY"))</x:f>
      </x:c>
      <x:c r="M157" s="254" t="str">
        <x:f>IF(L157="READY","",IF(A157="","",TRIM(IF(COUNTIF('الزبائن'!$A$6:$A$505,A157)=0,"customer key not found; ","")&amp;IF(C157="","missing contact_type; ","")&amp;IF(D157="","missing number; ","")&amp;IF(I157="","missing status; ","")&amp;IF(AND(C157="mobile",I157&lt;&gt;"invalid",OR(LEN(D157)&lt;&gt;10,LEFT(D157,2)&lt;&gt;"09")),"mobile must be 09XXXXXXXX or status invalid; ",""))))</x:f>
      </x:c>
    </x:row>
    <x:row r="158">
      <x:c r="A158" s="251"/>
      <x:c r="B158" s="252"/>
      <x:c r="C158" s="252"/>
      <x:c r="D158" s="253"/>
      <x:c r="E158" s="253"/>
      <x:c r="F158" s="252"/>
      <x:c r="G158" s="252"/>
      <x:c r="H158" s="252"/>
      <x:c r="I158" s="252"/>
      <x:c r="J158" s="252"/>
      <x:c r="K158" s="252"/>
      <x:c r="L158" s="252" t="str">
        <x:f>IF(A158="","",IF(OR(C158="",D158="",I158="",COUNTIF('الزبائن'!$A$6:$A$505,A158)=0,AND(C158="mobile",I158&lt;&gt;"invalid",OR(LEN(D158)&lt;&gt;10,LEFT(D158,2)&lt;&gt;"09"))),"REVIEW","READY"))</x:f>
      </x:c>
      <x:c r="M158" s="254" t="str">
        <x:f>IF(L158="READY","",IF(A158="","",TRIM(IF(COUNTIF('الزبائن'!$A$6:$A$505,A158)=0,"customer key not found; ","")&amp;IF(C158="","missing contact_type; ","")&amp;IF(D158="","missing number; ","")&amp;IF(I158="","missing status; ","")&amp;IF(AND(C158="mobile",I158&lt;&gt;"invalid",OR(LEN(D158)&lt;&gt;10,LEFT(D158,2)&lt;&gt;"09")),"mobile must be 09XXXXXXXX or status invalid; ",""))))</x:f>
      </x:c>
    </x:row>
    <x:row r="159">
      <x:c r="A159" s="251"/>
      <x:c r="B159" s="252"/>
      <x:c r="C159" s="252"/>
      <x:c r="D159" s="253"/>
      <x:c r="E159" s="253"/>
      <x:c r="F159" s="252"/>
      <x:c r="G159" s="252"/>
      <x:c r="H159" s="252"/>
      <x:c r="I159" s="252"/>
      <x:c r="J159" s="252"/>
      <x:c r="K159" s="252"/>
      <x:c r="L159" s="252" t="str">
        <x:f>IF(A159="","",IF(OR(C159="",D159="",I159="",COUNTIF('الزبائن'!$A$6:$A$505,A159)=0,AND(C159="mobile",I159&lt;&gt;"invalid",OR(LEN(D159)&lt;&gt;10,LEFT(D159,2)&lt;&gt;"09"))),"REVIEW","READY"))</x:f>
      </x:c>
      <x:c r="M159" s="254" t="str">
        <x:f>IF(L159="READY","",IF(A159="","",TRIM(IF(COUNTIF('الزبائن'!$A$6:$A$505,A159)=0,"customer key not found; ","")&amp;IF(C159="","missing contact_type; ","")&amp;IF(D159="","missing number; ","")&amp;IF(I159="","missing status; ","")&amp;IF(AND(C159="mobile",I159&lt;&gt;"invalid",OR(LEN(D159)&lt;&gt;10,LEFT(D159,2)&lt;&gt;"09")),"mobile must be 09XXXXXXXX or status invalid; ",""))))</x:f>
      </x:c>
    </x:row>
    <x:row r="160">
      <x:c r="A160" s="251"/>
      <x:c r="B160" s="252"/>
      <x:c r="C160" s="252"/>
      <x:c r="D160" s="253"/>
      <x:c r="E160" s="253"/>
      <x:c r="F160" s="252"/>
      <x:c r="G160" s="252"/>
      <x:c r="H160" s="252"/>
      <x:c r="I160" s="252"/>
      <x:c r="J160" s="252"/>
      <x:c r="K160" s="252"/>
      <x:c r="L160" s="252" t="str">
        <x:f>IF(A160="","",IF(OR(C160="",D160="",I160="",COUNTIF('الزبائن'!$A$6:$A$505,A160)=0,AND(C160="mobile",I160&lt;&gt;"invalid",OR(LEN(D160)&lt;&gt;10,LEFT(D160,2)&lt;&gt;"09"))),"REVIEW","READY"))</x:f>
      </x:c>
      <x:c r="M160" s="254" t="str">
        <x:f>IF(L160="READY","",IF(A160="","",TRIM(IF(COUNTIF('الزبائن'!$A$6:$A$505,A160)=0,"customer key not found; ","")&amp;IF(C160="","missing contact_type; ","")&amp;IF(D160="","missing number; ","")&amp;IF(I160="","missing status; ","")&amp;IF(AND(C160="mobile",I160&lt;&gt;"invalid",OR(LEN(D160)&lt;&gt;10,LEFT(D160,2)&lt;&gt;"09")),"mobile must be 09XXXXXXXX or status invalid; ",""))))</x:f>
      </x:c>
    </x:row>
    <x:row r="161">
      <x:c r="A161" s="251"/>
      <x:c r="B161" s="252"/>
      <x:c r="C161" s="252"/>
      <x:c r="D161" s="253"/>
      <x:c r="E161" s="253"/>
      <x:c r="F161" s="252"/>
      <x:c r="G161" s="252"/>
      <x:c r="H161" s="252"/>
      <x:c r="I161" s="252"/>
      <x:c r="J161" s="252"/>
      <x:c r="K161" s="252"/>
      <x:c r="L161" s="252" t="str">
        <x:f>IF(A161="","",IF(OR(C161="",D161="",I161="",COUNTIF('الزبائن'!$A$6:$A$505,A161)=0,AND(C161="mobile",I161&lt;&gt;"invalid",OR(LEN(D161)&lt;&gt;10,LEFT(D161,2)&lt;&gt;"09"))),"REVIEW","READY"))</x:f>
      </x:c>
      <x:c r="M161" s="254" t="str">
        <x:f>IF(L161="READY","",IF(A161="","",TRIM(IF(COUNTIF('الزبائن'!$A$6:$A$505,A161)=0,"customer key not found; ","")&amp;IF(C161="","missing contact_type; ","")&amp;IF(D161="","missing number; ","")&amp;IF(I161="","missing status; ","")&amp;IF(AND(C161="mobile",I161&lt;&gt;"invalid",OR(LEN(D161)&lt;&gt;10,LEFT(D161,2)&lt;&gt;"09")),"mobile must be 09XXXXXXXX or status invalid; ",""))))</x:f>
      </x:c>
    </x:row>
    <x:row r="162">
      <x:c r="A162" s="251"/>
      <x:c r="B162" s="252"/>
      <x:c r="C162" s="252"/>
      <x:c r="D162" s="253"/>
      <x:c r="E162" s="253"/>
      <x:c r="F162" s="252"/>
      <x:c r="G162" s="252"/>
      <x:c r="H162" s="252"/>
      <x:c r="I162" s="252"/>
      <x:c r="J162" s="252"/>
      <x:c r="K162" s="252"/>
      <x:c r="L162" s="252" t="str">
        <x:f>IF(A162="","",IF(OR(C162="",D162="",I162="",COUNTIF('الزبائن'!$A$6:$A$505,A162)=0,AND(C162="mobile",I162&lt;&gt;"invalid",OR(LEN(D162)&lt;&gt;10,LEFT(D162,2)&lt;&gt;"09"))),"REVIEW","READY"))</x:f>
      </x:c>
      <x:c r="M162" s="254" t="str">
        <x:f>IF(L162="READY","",IF(A162="","",TRIM(IF(COUNTIF('الزبائن'!$A$6:$A$505,A162)=0,"customer key not found; ","")&amp;IF(C162="","missing contact_type; ","")&amp;IF(D162="","missing number; ","")&amp;IF(I162="","missing status; ","")&amp;IF(AND(C162="mobile",I162&lt;&gt;"invalid",OR(LEN(D162)&lt;&gt;10,LEFT(D162,2)&lt;&gt;"09")),"mobile must be 09XXXXXXXX or status invalid; ",""))))</x:f>
      </x:c>
    </x:row>
    <x:row r="163">
      <x:c r="A163" s="251"/>
      <x:c r="B163" s="252"/>
      <x:c r="C163" s="252"/>
      <x:c r="D163" s="253"/>
      <x:c r="E163" s="253"/>
      <x:c r="F163" s="252"/>
      <x:c r="G163" s="252"/>
      <x:c r="H163" s="252"/>
      <x:c r="I163" s="252"/>
      <x:c r="J163" s="252"/>
      <x:c r="K163" s="252"/>
      <x:c r="L163" s="252" t="str">
        <x:f>IF(A163="","",IF(OR(C163="",D163="",I163="",COUNTIF('الزبائن'!$A$6:$A$505,A163)=0,AND(C163="mobile",I163&lt;&gt;"invalid",OR(LEN(D163)&lt;&gt;10,LEFT(D163,2)&lt;&gt;"09"))),"REVIEW","READY"))</x:f>
      </x:c>
      <x:c r="M163" s="254" t="str">
        <x:f>IF(L163="READY","",IF(A163="","",TRIM(IF(COUNTIF('الزبائن'!$A$6:$A$505,A163)=0,"customer key not found; ","")&amp;IF(C163="","missing contact_type; ","")&amp;IF(D163="","missing number; ","")&amp;IF(I163="","missing status; ","")&amp;IF(AND(C163="mobile",I163&lt;&gt;"invalid",OR(LEN(D163)&lt;&gt;10,LEFT(D163,2)&lt;&gt;"09")),"mobile must be 09XXXXXXXX or status invalid; ",""))))</x:f>
      </x:c>
    </x:row>
    <x:row r="164">
      <x:c r="A164" s="251"/>
      <x:c r="B164" s="252"/>
      <x:c r="C164" s="252"/>
      <x:c r="D164" s="253"/>
      <x:c r="E164" s="253"/>
      <x:c r="F164" s="252"/>
      <x:c r="G164" s="252"/>
      <x:c r="H164" s="252"/>
      <x:c r="I164" s="252"/>
      <x:c r="J164" s="252"/>
      <x:c r="K164" s="252"/>
      <x:c r="L164" s="252" t="str">
        <x:f>IF(A164="","",IF(OR(C164="",D164="",I164="",COUNTIF('الزبائن'!$A$6:$A$505,A164)=0,AND(C164="mobile",I164&lt;&gt;"invalid",OR(LEN(D164)&lt;&gt;10,LEFT(D164,2)&lt;&gt;"09"))),"REVIEW","READY"))</x:f>
      </x:c>
      <x:c r="M164" s="254" t="str">
        <x:f>IF(L164="READY","",IF(A164="","",TRIM(IF(COUNTIF('الزبائن'!$A$6:$A$505,A164)=0,"customer key not found; ","")&amp;IF(C164="","missing contact_type; ","")&amp;IF(D164="","missing number; ","")&amp;IF(I164="","missing status; ","")&amp;IF(AND(C164="mobile",I164&lt;&gt;"invalid",OR(LEN(D164)&lt;&gt;10,LEFT(D164,2)&lt;&gt;"09")),"mobile must be 09XXXXXXXX or status invalid; ",""))))</x:f>
      </x:c>
    </x:row>
    <x:row r="165">
      <x:c r="A165" s="251"/>
      <x:c r="B165" s="252"/>
      <x:c r="C165" s="252"/>
      <x:c r="D165" s="253"/>
      <x:c r="E165" s="253"/>
      <x:c r="F165" s="252"/>
      <x:c r="G165" s="252"/>
      <x:c r="H165" s="252"/>
      <x:c r="I165" s="252"/>
      <x:c r="J165" s="252"/>
      <x:c r="K165" s="252"/>
      <x:c r="L165" s="252" t="str">
        <x:f>IF(A165="","",IF(OR(C165="",D165="",I165="",COUNTIF('الزبائن'!$A$6:$A$505,A165)=0,AND(C165="mobile",I165&lt;&gt;"invalid",OR(LEN(D165)&lt;&gt;10,LEFT(D165,2)&lt;&gt;"09"))),"REVIEW","READY"))</x:f>
      </x:c>
      <x:c r="M165" s="254" t="str">
        <x:f>IF(L165="READY","",IF(A165="","",TRIM(IF(COUNTIF('الزبائن'!$A$6:$A$505,A165)=0,"customer key not found; ","")&amp;IF(C165="","missing contact_type; ","")&amp;IF(D165="","missing number; ","")&amp;IF(I165="","missing status; ","")&amp;IF(AND(C165="mobile",I165&lt;&gt;"invalid",OR(LEN(D165)&lt;&gt;10,LEFT(D165,2)&lt;&gt;"09")),"mobile must be 09XXXXXXXX or status invalid; ",""))))</x:f>
      </x:c>
    </x:row>
    <x:row r="166">
      <x:c r="A166" s="251"/>
      <x:c r="B166" s="252"/>
      <x:c r="C166" s="252"/>
      <x:c r="D166" s="253"/>
      <x:c r="E166" s="253"/>
      <x:c r="F166" s="252"/>
      <x:c r="G166" s="252"/>
      <x:c r="H166" s="252"/>
      <x:c r="I166" s="252"/>
      <x:c r="J166" s="252"/>
      <x:c r="K166" s="252"/>
      <x:c r="L166" s="252" t="str">
        <x:f>IF(A166="","",IF(OR(C166="",D166="",I166="",COUNTIF('الزبائن'!$A$6:$A$505,A166)=0,AND(C166="mobile",I166&lt;&gt;"invalid",OR(LEN(D166)&lt;&gt;10,LEFT(D166,2)&lt;&gt;"09"))),"REVIEW","READY"))</x:f>
      </x:c>
      <x:c r="M166" s="254" t="str">
        <x:f>IF(L166="READY","",IF(A166="","",TRIM(IF(COUNTIF('الزبائن'!$A$6:$A$505,A166)=0,"customer key not found; ","")&amp;IF(C166="","missing contact_type; ","")&amp;IF(D166="","missing number; ","")&amp;IF(I166="","missing status; ","")&amp;IF(AND(C166="mobile",I166&lt;&gt;"invalid",OR(LEN(D166)&lt;&gt;10,LEFT(D166,2)&lt;&gt;"09")),"mobile must be 09XXXXXXXX or status invalid; ",""))))</x:f>
      </x:c>
    </x:row>
    <x:row r="167">
      <x:c r="A167" s="251"/>
      <x:c r="B167" s="252"/>
      <x:c r="C167" s="252"/>
      <x:c r="D167" s="253"/>
      <x:c r="E167" s="253"/>
      <x:c r="F167" s="252"/>
      <x:c r="G167" s="252"/>
      <x:c r="H167" s="252"/>
      <x:c r="I167" s="252"/>
      <x:c r="J167" s="252"/>
      <x:c r="K167" s="252"/>
      <x:c r="L167" s="252" t="str">
        <x:f>IF(A167="","",IF(OR(C167="",D167="",I167="",COUNTIF('الزبائن'!$A$6:$A$505,A167)=0,AND(C167="mobile",I167&lt;&gt;"invalid",OR(LEN(D167)&lt;&gt;10,LEFT(D167,2)&lt;&gt;"09"))),"REVIEW","READY"))</x:f>
      </x:c>
      <x:c r="M167" s="254" t="str">
        <x:f>IF(L167="READY","",IF(A167="","",TRIM(IF(COUNTIF('الزبائن'!$A$6:$A$505,A167)=0,"customer key not found; ","")&amp;IF(C167="","missing contact_type; ","")&amp;IF(D167="","missing number; ","")&amp;IF(I167="","missing status; ","")&amp;IF(AND(C167="mobile",I167&lt;&gt;"invalid",OR(LEN(D167)&lt;&gt;10,LEFT(D167,2)&lt;&gt;"09")),"mobile must be 09XXXXXXXX or status invalid; ",""))))</x:f>
      </x:c>
    </x:row>
    <x:row r="168">
      <x:c r="A168" s="251"/>
      <x:c r="B168" s="252"/>
      <x:c r="C168" s="252"/>
      <x:c r="D168" s="253"/>
      <x:c r="E168" s="253"/>
      <x:c r="F168" s="252"/>
      <x:c r="G168" s="252"/>
      <x:c r="H168" s="252"/>
      <x:c r="I168" s="252"/>
      <x:c r="J168" s="252"/>
      <x:c r="K168" s="252"/>
      <x:c r="L168" s="252" t="str">
        <x:f>IF(A168="","",IF(OR(C168="",D168="",I168="",COUNTIF('الزبائن'!$A$6:$A$505,A168)=0,AND(C168="mobile",I168&lt;&gt;"invalid",OR(LEN(D168)&lt;&gt;10,LEFT(D168,2)&lt;&gt;"09"))),"REVIEW","READY"))</x:f>
      </x:c>
      <x:c r="M168" s="254" t="str">
        <x:f>IF(L168="READY","",IF(A168="","",TRIM(IF(COUNTIF('الزبائن'!$A$6:$A$505,A168)=0,"customer key not found; ","")&amp;IF(C168="","missing contact_type; ","")&amp;IF(D168="","missing number; ","")&amp;IF(I168="","missing status; ","")&amp;IF(AND(C168="mobile",I168&lt;&gt;"invalid",OR(LEN(D168)&lt;&gt;10,LEFT(D168,2)&lt;&gt;"09")),"mobile must be 09XXXXXXXX or status invalid; ",""))))</x:f>
      </x:c>
    </x:row>
    <x:row r="169">
      <x:c r="A169" s="251"/>
      <x:c r="B169" s="252"/>
      <x:c r="C169" s="252"/>
      <x:c r="D169" s="253"/>
      <x:c r="E169" s="253"/>
      <x:c r="F169" s="252"/>
      <x:c r="G169" s="252"/>
      <x:c r="H169" s="252"/>
      <x:c r="I169" s="252"/>
      <x:c r="J169" s="252"/>
      <x:c r="K169" s="252"/>
      <x:c r="L169" s="252" t="str">
        <x:f>IF(A169="","",IF(OR(C169="",D169="",I169="",COUNTIF('الزبائن'!$A$6:$A$505,A169)=0,AND(C169="mobile",I169&lt;&gt;"invalid",OR(LEN(D169)&lt;&gt;10,LEFT(D169,2)&lt;&gt;"09"))),"REVIEW","READY"))</x:f>
      </x:c>
      <x:c r="M169" s="254" t="str">
        <x:f>IF(L169="READY","",IF(A169="","",TRIM(IF(COUNTIF('الزبائن'!$A$6:$A$505,A169)=0,"customer key not found; ","")&amp;IF(C169="","missing contact_type; ","")&amp;IF(D169="","missing number; ","")&amp;IF(I169="","missing status; ","")&amp;IF(AND(C169="mobile",I169&lt;&gt;"invalid",OR(LEN(D169)&lt;&gt;10,LEFT(D169,2)&lt;&gt;"09")),"mobile must be 09XXXXXXXX or status invalid; ",""))))</x:f>
      </x:c>
    </x:row>
    <x:row r="170">
      <x:c r="A170" s="251"/>
      <x:c r="B170" s="252"/>
      <x:c r="C170" s="252"/>
      <x:c r="D170" s="253"/>
      <x:c r="E170" s="253"/>
      <x:c r="F170" s="252"/>
      <x:c r="G170" s="252"/>
      <x:c r="H170" s="252"/>
      <x:c r="I170" s="252"/>
      <x:c r="J170" s="252"/>
      <x:c r="K170" s="252"/>
      <x:c r="L170" s="252" t="str">
        <x:f>IF(A170="","",IF(OR(C170="",D170="",I170="",COUNTIF('الزبائن'!$A$6:$A$505,A170)=0,AND(C170="mobile",I170&lt;&gt;"invalid",OR(LEN(D170)&lt;&gt;10,LEFT(D170,2)&lt;&gt;"09"))),"REVIEW","READY"))</x:f>
      </x:c>
      <x:c r="M170" s="254" t="str">
        <x:f>IF(L170="READY","",IF(A170="","",TRIM(IF(COUNTIF('الزبائن'!$A$6:$A$505,A170)=0,"customer key not found; ","")&amp;IF(C170="","missing contact_type; ","")&amp;IF(D170="","missing number; ","")&amp;IF(I170="","missing status; ","")&amp;IF(AND(C170="mobile",I170&lt;&gt;"invalid",OR(LEN(D170)&lt;&gt;10,LEFT(D170,2)&lt;&gt;"09")),"mobile must be 09XXXXXXXX or status invalid; ",""))))</x:f>
      </x:c>
    </x:row>
    <x:row r="171">
      <x:c r="A171" s="251"/>
      <x:c r="B171" s="252"/>
      <x:c r="C171" s="252"/>
      <x:c r="D171" s="253"/>
      <x:c r="E171" s="253"/>
      <x:c r="F171" s="252"/>
      <x:c r="G171" s="252"/>
      <x:c r="H171" s="252"/>
      <x:c r="I171" s="252"/>
      <x:c r="J171" s="252"/>
      <x:c r="K171" s="252"/>
      <x:c r="L171" s="252" t="str">
        <x:f>IF(A171="","",IF(OR(C171="",D171="",I171="",COUNTIF('الزبائن'!$A$6:$A$505,A171)=0,AND(C171="mobile",I171&lt;&gt;"invalid",OR(LEN(D171)&lt;&gt;10,LEFT(D171,2)&lt;&gt;"09"))),"REVIEW","READY"))</x:f>
      </x:c>
      <x:c r="M171" s="254" t="str">
        <x:f>IF(L171="READY","",IF(A171="","",TRIM(IF(COUNTIF('الزبائن'!$A$6:$A$505,A171)=0,"customer key not found; ","")&amp;IF(C171="","missing contact_type; ","")&amp;IF(D171="","missing number; ","")&amp;IF(I171="","missing status; ","")&amp;IF(AND(C171="mobile",I171&lt;&gt;"invalid",OR(LEN(D171)&lt;&gt;10,LEFT(D171,2)&lt;&gt;"09")),"mobile must be 09XXXXXXXX or status invalid; ",""))))</x:f>
      </x:c>
    </x:row>
    <x:row r="172">
      <x:c r="A172" s="251"/>
      <x:c r="B172" s="252"/>
      <x:c r="C172" s="252"/>
      <x:c r="D172" s="253"/>
      <x:c r="E172" s="253"/>
      <x:c r="F172" s="252"/>
      <x:c r="G172" s="252"/>
      <x:c r="H172" s="252"/>
      <x:c r="I172" s="252"/>
      <x:c r="J172" s="252"/>
      <x:c r="K172" s="252"/>
      <x:c r="L172" s="252" t="str">
        <x:f>IF(A172="","",IF(OR(C172="",D172="",I172="",COUNTIF('الزبائن'!$A$6:$A$505,A172)=0,AND(C172="mobile",I172&lt;&gt;"invalid",OR(LEN(D172)&lt;&gt;10,LEFT(D172,2)&lt;&gt;"09"))),"REVIEW","READY"))</x:f>
      </x:c>
      <x:c r="M172" s="254" t="str">
        <x:f>IF(L172="READY","",IF(A172="","",TRIM(IF(COUNTIF('الزبائن'!$A$6:$A$505,A172)=0,"customer key not found; ","")&amp;IF(C172="","missing contact_type; ","")&amp;IF(D172="","missing number; ","")&amp;IF(I172="","missing status; ","")&amp;IF(AND(C172="mobile",I172&lt;&gt;"invalid",OR(LEN(D172)&lt;&gt;10,LEFT(D172,2)&lt;&gt;"09")),"mobile must be 09XXXXXXXX or status invalid; ",""))))</x:f>
      </x:c>
    </x:row>
    <x:row r="173">
      <x:c r="A173" s="251"/>
      <x:c r="B173" s="252"/>
      <x:c r="C173" s="252"/>
      <x:c r="D173" s="253"/>
      <x:c r="E173" s="253"/>
      <x:c r="F173" s="252"/>
      <x:c r="G173" s="252"/>
      <x:c r="H173" s="252"/>
      <x:c r="I173" s="252"/>
      <x:c r="J173" s="252"/>
      <x:c r="K173" s="252"/>
      <x:c r="L173" s="252" t="str">
        <x:f>IF(A173="","",IF(OR(C173="",D173="",I173="",COUNTIF('الزبائن'!$A$6:$A$505,A173)=0,AND(C173="mobile",I173&lt;&gt;"invalid",OR(LEN(D173)&lt;&gt;10,LEFT(D173,2)&lt;&gt;"09"))),"REVIEW","READY"))</x:f>
      </x:c>
      <x:c r="M173" s="254" t="str">
        <x:f>IF(L173="READY","",IF(A173="","",TRIM(IF(COUNTIF('الزبائن'!$A$6:$A$505,A173)=0,"customer key not found; ","")&amp;IF(C173="","missing contact_type; ","")&amp;IF(D173="","missing number; ","")&amp;IF(I173="","missing status; ","")&amp;IF(AND(C173="mobile",I173&lt;&gt;"invalid",OR(LEN(D173)&lt;&gt;10,LEFT(D173,2)&lt;&gt;"09")),"mobile must be 09XXXXXXXX or status invalid; ",""))))</x:f>
      </x:c>
    </x:row>
    <x:row r="174">
      <x:c r="A174" s="251"/>
      <x:c r="B174" s="252"/>
      <x:c r="C174" s="252"/>
      <x:c r="D174" s="253"/>
      <x:c r="E174" s="253"/>
      <x:c r="F174" s="252"/>
      <x:c r="G174" s="252"/>
      <x:c r="H174" s="252"/>
      <x:c r="I174" s="252"/>
      <x:c r="J174" s="252"/>
      <x:c r="K174" s="252"/>
      <x:c r="L174" s="252" t="str">
        <x:f>IF(A174="","",IF(OR(C174="",D174="",I174="",COUNTIF('الزبائن'!$A$6:$A$505,A174)=0,AND(C174="mobile",I174&lt;&gt;"invalid",OR(LEN(D174)&lt;&gt;10,LEFT(D174,2)&lt;&gt;"09"))),"REVIEW","READY"))</x:f>
      </x:c>
      <x:c r="M174" s="254" t="str">
        <x:f>IF(L174="READY","",IF(A174="","",TRIM(IF(COUNTIF('الزبائن'!$A$6:$A$505,A174)=0,"customer key not found; ","")&amp;IF(C174="","missing contact_type; ","")&amp;IF(D174="","missing number; ","")&amp;IF(I174="","missing status; ","")&amp;IF(AND(C174="mobile",I174&lt;&gt;"invalid",OR(LEN(D174)&lt;&gt;10,LEFT(D174,2)&lt;&gt;"09")),"mobile must be 09XXXXXXXX or status invalid; ",""))))</x:f>
      </x:c>
    </x:row>
    <x:row r="175">
      <x:c r="A175" s="251"/>
      <x:c r="B175" s="252"/>
      <x:c r="C175" s="252"/>
      <x:c r="D175" s="253"/>
      <x:c r="E175" s="253"/>
      <x:c r="F175" s="252"/>
      <x:c r="G175" s="252"/>
      <x:c r="H175" s="252"/>
      <x:c r="I175" s="252"/>
      <x:c r="J175" s="252"/>
      <x:c r="K175" s="252"/>
      <x:c r="L175" s="252" t="str">
        <x:f>IF(A175="","",IF(OR(C175="",D175="",I175="",COUNTIF('الزبائن'!$A$6:$A$505,A175)=0,AND(C175="mobile",I175&lt;&gt;"invalid",OR(LEN(D175)&lt;&gt;10,LEFT(D175,2)&lt;&gt;"09"))),"REVIEW","READY"))</x:f>
      </x:c>
      <x:c r="M175" s="254" t="str">
        <x:f>IF(L175="READY","",IF(A175="","",TRIM(IF(COUNTIF('الزبائن'!$A$6:$A$505,A175)=0,"customer key not found; ","")&amp;IF(C175="","missing contact_type; ","")&amp;IF(D175="","missing number; ","")&amp;IF(I175="","missing status; ","")&amp;IF(AND(C175="mobile",I175&lt;&gt;"invalid",OR(LEN(D175)&lt;&gt;10,LEFT(D175,2)&lt;&gt;"09")),"mobile must be 09XXXXXXXX or status invalid; ",""))))</x:f>
      </x:c>
    </x:row>
    <x:row r="176">
      <x:c r="A176" s="251"/>
      <x:c r="B176" s="252"/>
      <x:c r="C176" s="252"/>
      <x:c r="D176" s="253"/>
      <x:c r="E176" s="253"/>
      <x:c r="F176" s="252"/>
      <x:c r="G176" s="252"/>
      <x:c r="H176" s="252"/>
      <x:c r="I176" s="252"/>
      <x:c r="J176" s="252"/>
      <x:c r="K176" s="252"/>
      <x:c r="L176" s="252" t="str">
        <x:f>IF(A176="","",IF(OR(C176="",D176="",I176="",COUNTIF('الزبائن'!$A$6:$A$505,A176)=0,AND(C176="mobile",I176&lt;&gt;"invalid",OR(LEN(D176)&lt;&gt;10,LEFT(D176,2)&lt;&gt;"09"))),"REVIEW","READY"))</x:f>
      </x:c>
      <x:c r="M176" s="254" t="str">
        <x:f>IF(L176="READY","",IF(A176="","",TRIM(IF(COUNTIF('الزبائن'!$A$6:$A$505,A176)=0,"customer key not found; ","")&amp;IF(C176="","missing contact_type; ","")&amp;IF(D176="","missing number; ","")&amp;IF(I176="","missing status; ","")&amp;IF(AND(C176="mobile",I176&lt;&gt;"invalid",OR(LEN(D176)&lt;&gt;10,LEFT(D176,2)&lt;&gt;"09")),"mobile must be 09XXXXXXXX or status invalid; ",""))))</x:f>
      </x:c>
    </x:row>
    <x:row r="177">
      <x:c r="A177" s="251"/>
      <x:c r="B177" s="252"/>
      <x:c r="C177" s="252"/>
      <x:c r="D177" s="253"/>
      <x:c r="E177" s="253"/>
      <x:c r="F177" s="252"/>
      <x:c r="G177" s="252"/>
      <x:c r="H177" s="252"/>
      <x:c r="I177" s="252"/>
      <x:c r="J177" s="252"/>
      <x:c r="K177" s="252"/>
      <x:c r="L177" s="252" t="str">
        <x:f>IF(A177="","",IF(OR(C177="",D177="",I177="",COUNTIF('الزبائن'!$A$6:$A$505,A177)=0,AND(C177="mobile",I177&lt;&gt;"invalid",OR(LEN(D177)&lt;&gt;10,LEFT(D177,2)&lt;&gt;"09"))),"REVIEW","READY"))</x:f>
      </x:c>
      <x:c r="M177" s="254" t="str">
        <x:f>IF(L177="READY","",IF(A177="","",TRIM(IF(COUNTIF('الزبائن'!$A$6:$A$505,A177)=0,"customer key not found; ","")&amp;IF(C177="","missing contact_type; ","")&amp;IF(D177="","missing number; ","")&amp;IF(I177="","missing status; ","")&amp;IF(AND(C177="mobile",I177&lt;&gt;"invalid",OR(LEN(D177)&lt;&gt;10,LEFT(D177,2)&lt;&gt;"09")),"mobile must be 09XXXXXXXX or status invalid; ",""))))</x:f>
      </x:c>
    </x:row>
    <x:row r="178">
      <x:c r="A178" s="251"/>
      <x:c r="B178" s="252"/>
      <x:c r="C178" s="252"/>
      <x:c r="D178" s="253"/>
      <x:c r="E178" s="253"/>
      <x:c r="F178" s="252"/>
      <x:c r="G178" s="252"/>
      <x:c r="H178" s="252"/>
      <x:c r="I178" s="252"/>
      <x:c r="J178" s="252"/>
      <x:c r="K178" s="252"/>
      <x:c r="L178" s="252" t="str">
        <x:f>IF(A178="","",IF(OR(C178="",D178="",I178="",COUNTIF('الزبائن'!$A$6:$A$505,A178)=0,AND(C178="mobile",I178&lt;&gt;"invalid",OR(LEN(D178)&lt;&gt;10,LEFT(D178,2)&lt;&gt;"09"))),"REVIEW","READY"))</x:f>
      </x:c>
      <x:c r="M178" s="254" t="str">
        <x:f>IF(L178="READY","",IF(A178="","",TRIM(IF(COUNTIF('الزبائن'!$A$6:$A$505,A178)=0,"customer key not found; ","")&amp;IF(C178="","missing contact_type; ","")&amp;IF(D178="","missing number; ","")&amp;IF(I178="","missing status; ","")&amp;IF(AND(C178="mobile",I178&lt;&gt;"invalid",OR(LEN(D178)&lt;&gt;10,LEFT(D178,2)&lt;&gt;"09")),"mobile must be 09XXXXXXXX or status invalid; ",""))))</x:f>
      </x:c>
    </x:row>
    <x:row r="179">
      <x:c r="A179" s="251"/>
      <x:c r="B179" s="252"/>
      <x:c r="C179" s="252"/>
      <x:c r="D179" s="253"/>
      <x:c r="E179" s="253"/>
      <x:c r="F179" s="252"/>
      <x:c r="G179" s="252"/>
      <x:c r="H179" s="252"/>
      <x:c r="I179" s="252"/>
      <x:c r="J179" s="252"/>
      <x:c r="K179" s="252"/>
      <x:c r="L179" s="252" t="str">
        <x:f>IF(A179="","",IF(OR(C179="",D179="",I179="",COUNTIF('الزبائن'!$A$6:$A$505,A179)=0,AND(C179="mobile",I179&lt;&gt;"invalid",OR(LEN(D179)&lt;&gt;10,LEFT(D179,2)&lt;&gt;"09"))),"REVIEW","READY"))</x:f>
      </x:c>
      <x:c r="M179" s="254" t="str">
        <x:f>IF(L179="READY","",IF(A179="","",TRIM(IF(COUNTIF('الزبائن'!$A$6:$A$505,A179)=0,"customer key not found; ","")&amp;IF(C179="","missing contact_type; ","")&amp;IF(D179="","missing number; ","")&amp;IF(I179="","missing status; ","")&amp;IF(AND(C179="mobile",I179&lt;&gt;"invalid",OR(LEN(D179)&lt;&gt;10,LEFT(D179,2)&lt;&gt;"09")),"mobile must be 09XXXXXXXX or status invalid; ",""))))</x:f>
      </x:c>
    </x:row>
    <x:row r="180">
      <x:c r="A180" s="251"/>
      <x:c r="B180" s="252"/>
      <x:c r="C180" s="252"/>
      <x:c r="D180" s="253"/>
      <x:c r="E180" s="253"/>
      <x:c r="F180" s="252"/>
      <x:c r="G180" s="252"/>
      <x:c r="H180" s="252"/>
      <x:c r="I180" s="252"/>
      <x:c r="J180" s="252"/>
      <x:c r="K180" s="252"/>
      <x:c r="L180" s="252" t="str">
        <x:f>IF(A180="","",IF(OR(C180="",D180="",I180="",COUNTIF('الزبائن'!$A$6:$A$505,A180)=0,AND(C180="mobile",I180&lt;&gt;"invalid",OR(LEN(D180)&lt;&gt;10,LEFT(D180,2)&lt;&gt;"09"))),"REVIEW","READY"))</x:f>
      </x:c>
      <x:c r="M180" s="254" t="str">
        <x:f>IF(L180="READY","",IF(A180="","",TRIM(IF(COUNTIF('الزبائن'!$A$6:$A$505,A180)=0,"customer key not found; ","")&amp;IF(C180="","missing contact_type; ","")&amp;IF(D180="","missing number; ","")&amp;IF(I180="","missing status; ","")&amp;IF(AND(C180="mobile",I180&lt;&gt;"invalid",OR(LEN(D180)&lt;&gt;10,LEFT(D180,2)&lt;&gt;"09")),"mobile must be 09XXXXXXXX or status invalid; ",""))))</x:f>
      </x:c>
    </x:row>
    <x:row r="181">
      <x:c r="A181" s="251"/>
      <x:c r="B181" s="252"/>
      <x:c r="C181" s="252"/>
      <x:c r="D181" s="253"/>
      <x:c r="E181" s="253"/>
      <x:c r="F181" s="252"/>
      <x:c r="G181" s="252"/>
      <x:c r="H181" s="252"/>
      <x:c r="I181" s="252"/>
      <x:c r="J181" s="252"/>
      <x:c r="K181" s="252"/>
      <x:c r="L181" s="252" t="str">
        <x:f>IF(A181="","",IF(OR(C181="",D181="",I181="",COUNTIF('الزبائن'!$A$6:$A$505,A181)=0,AND(C181="mobile",I181&lt;&gt;"invalid",OR(LEN(D181)&lt;&gt;10,LEFT(D181,2)&lt;&gt;"09"))),"REVIEW","READY"))</x:f>
      </x:c>
      <x:c r="M181" s="254" t="str">
        <x:f>IF(L181="READY","",IF(A181="","",TRIM(IF(COUNTIF('الزبائن'!$A$6:$A$505,A181)=0,"customer key not found; ","")&amp;IF(C181="","missing contact_type; ","")&amp;IF(D181="","missing number; ","")&amp;IF(I181="","missing status; ","")&amp;IF(AND(C181="mobile",I181&lt;&gt;"invalid",OR(LEN(D181)&lt;&gt;10,LEFT(D181,2)&lt;&gt;"09")),"mobile must be 09XXXXXXXX or status invalid; ",""))))</x:f>
      </x:c>
    </x:row>
    <x:row r="182">
      <x:c r="A182" s="251"/>
      <x:c r="B182" s="252"/>
      <x:c r="C182" s="252"/>
      <x:c r="D182" s="253"/>
      <x:c r="E182" s="253"/>
      <x:c r="F182" s="252"/>
      <x:c r="G182" s="252"/>
      <x:c r="H182" s="252"/>
      <x:c r="I182" s="252"/>
      <x:c r="J182" s="252"/>
      <x:c r="K182" s="252"/>
      <x:c r="L182" s="252" t="str">
        <x:f>IF(A182="","",IF(OR(C182="",D182="",I182="",COUNTIF('الزبائن'!$A$6:$A$505,A182)=0,AND(C182="mobile",I182&lt;&gt;"invalid",OR(LEN(D182)&lt;&gt;10,LEFT(D182,2)&lt;&gt;"09"))),"REVIEW","READY"))</x:f>
      </x:c>
      <x:c r="M182" s="254" t="str">
        <x:f>IF(L182="READY","",IF(A182="","",TRIM(IF(COUNTIF('الزبائن'!$A$6:$A$505,A182)=0,"customer key not found; ","")&amp;IF(C182="","missing contact_type; ","")&amp;IF(D182="","missing number; ","")&amp;IF(I182="","missing status; ","")&amp;IF(AND(C182="mobile",I182&lt;&gt;"invalid",OR(LEN(D182)&lt;&gt;10,LEFT(D182,2)&lt;&gt;"09")),"mobile must be 09XXXXXXXX or status invalid; ",""))))</x:f>
      </x:c>
    </x:row>
    <x:row r="183">
      <x:c r="A183" s="251"/>
      <x:c r="B183" s="252"/>
      <x:c r="C183" s="252"/>
      <x:c r="D183" s="253"/>
      <x:c r="E183" s="253"/>
      <x:c r="F183" s="252"/>
      <x:c r="G183" s="252"/>
      <x:c r="H183" s="252"/>
      <x:c r="I183" s="252"/>
      <x:c r="J183" s="252"/>
      <x:c r="K183" s="252"/>
      <x:c r="L183" s="252" t="str">
        <x:f>IF(A183="","",IF(OR(C183="",D183="",I183="",COUNTIF('الزبائن'!$A$6:$A$505,A183)=0,AND(C183="mobile",I183&lt;&gt;"invalid",OR(LEN(D183)&lt;&gt;10,LEFT(D183,2)&lt;&gt;"09"))),"REVIEW","READY"))</x:f>
      </x:c>
      <x:c r="M183" s="254" t="str">
        <x:f>IF(L183="READY","",IF(A183="","",TRIM(IF(COUNTIF('الزبائن'!$A$6:$A$505,A183)=0,"customer key not found; ","")&amp;IF(C183="","missing contact_type; ","")&amp;IF(D183="","missing number; ","")&amp;IF(I183="","missing status; ","")&amp;IF(AND(C183="mobile",I183&lt;&gt;"invalid",OR(LEN(D183)&lt;&gt;10,LEFT(D183,2)&lt;&gt;"09")),"mobile must be 09XXXXXXXX or status invalid; ",""))))</x:f>
      </x:c>
    </x:row>
    <x:row r="184">
      <x:c r="A184" s="251"/>
      <x:c r="B184" s="252"/>
      <x:c r="C184" s="252"/>
      <x:c r="D184" s="253"/>
      <x:c r="E184" s="253"/>
      <x:c r="F184" s="252"/>
      <x:c r="G184" s="252"/>
      <x:c r="H184" s="252"/>
      <x:c r="I184" s="252"/>
      <x:c r="J184" s="252"/>
      <x:c r="K184" s="252"/>
      <x:c r="L184" s="252" t="str">
        <x:f>IF(A184="","",IF(OR(C184="",D184="",I184="",COUNTIF('الزبائن'!$A$6:$A$505,A184)=0,AND(C184="mobile",I184&lt;&gt;"invalid",OR(LEN(D184)&lt;&gt;10,LEFT(D184,2)&lt;&gt;"09"))),"REVIEW","READY"))</x:f>
      </x:c>
      <x:c r="M184" s="254" t="str">
        <x:f>IF(L184="READY","",IF(A184="","",TRIM(IF(COUNTIF('الزبائن'!$A$6:$A$505,A184)=0,"customer key not found; ","")&amp;IF(C184="","missing contact_type; ","")&amp;IF(D184="","missing number; ","")&amp;IF(I184="","missing status; ","")&amp;IF(AND(C184="mobile",I184&lt;&gt;"invalid",OR(LEN(D184)&lt;&gt;10,LEFT(D184,2)&lt;&gt;"09")),"mobile must be 09XXXXXXXX or status invalid; ",""))))</x:f>
      </x:c>
    </x:row>
    <x:row r="185">
      <x:c r="A185" s="251"/>
      <x:c r="B185" s="252"/>
      <x:c r="C185" s="252"/>
      <x:c r="D185" s="253"/>
      <x:c r="E185" s="253"/>
      <x:c r="F185" s="252"/>
      <x:c r="G185" s="252"/>
      <x:c r="H185" s="252"/>
      <x:c r="I185" s="252"/>
      <x:c r="J185" s="252"/>
      <x:c r="K185" s="252"/>
      <x:c r="L185" s="252" t="str">
        <x:f>IF(A185="","",IF(OR(C185="",D185="",I185="",COUNTIF('الزبائن'!$A$6:$A$505,A185)=0,AND(C185="mobile",I185&lt;&gt;"invalid",OR(LEN(D185)&lt;&gt;10,LEFT(D185,2)&lt;&gt;"09"))),"REVIEW","READY"))</x:f>
      </x:c>
      <x:c r="M185" s="254" t="str">
        <x:f>IF(L185="READY","",IF(A185="","",TRIM(IF(COUNTIF('الزبائن'!$A$6:$A$505,A185)=0,"customer key not found; ","")&amp;IF(C185="","missing contact_type; ","")&amp;IF(D185="","missing number; ","")&amp;IF(I185="","missing status; ","")&amp;IF(AND(C185="mobile",I185&lt;&gt;"invalid",OR(LEN(D185)&lt;&gt;10,LEFT(D185,2)&lt;&gt;"09")),"mobile must be 09XXXXXXXX or status invalid; ",""))))</x:f>
      </x:c>
    </x:row>
    <x:row r="186">
      <x:c r="A186" s="251"/>
      <x:c r="B186" s="252"/>
      <x:c r="C186" s="252"/>
      <x:c r="D186" s="253"/>
      <x:c r="E186" s="253"/>
      <x:c r="F186" s="252"/>
      <x:c r="G186" s="252"/>
      <x:c r="H186" s="252"/>
      <x:c r="I186" s="252"/>
      <x:c r="J186" s="252"/>
      <x:c r="K186" s="252"/>
      <x:c r="L186" s="252" t="str">
        <x:f>IF(A186="","",IF(OR(C186="",D186="",I186="",COUNTIF('الزبائن'!$A$6:$A$505,A186)=0,AND(C186="mobile",I186&lt;&gt;"invalid",OR(LEN(D186)&lt;&gt;10,LEFT(D186,2)&lt;&gt;"09"))),"REVIEW","READY"))</x:f>
      </x:c>
      <x:c r="M186" s="254" t="str">
        <x:f>IF(L186="READY","",IF(A186="","",TRIM(IF(COUNTIF('الزبائن'!$A$6:$A$505,A186)=0,"customer key not found; ","")&amp;IF(C186="","missing contact_type; ","")&amp;IF(D186="","missing number; ","")&amp;IF(I186="","missing status; ","")&amp;IF(AND(C186="mobile",I186&lt;&gt;"invalid",OR(LEN(D186)&lt;&gt;10,LEFT(D186,2)&lt;&gt;"09")),"mobile must be 09XXXXXXXX or status invalid; ",""))))</x:f>
      </x:c>
    </x:row>
    <x:row r="187">
      <x:c r="A187" s="251"/>
      <x:c r="B187" s="252"/>
      <x:c r="C187" s="252"/>
      <x:c r="D187" s="253"/>
      <x:c r="E187" s="253"/>
      <x:c r="F187" s="252"/>
      <x:c r="G187" s="252"/>
      <x:c r="H187" s="252"/>
      <x:c r="I187" s="252"/>
      <x:c r="J187" s="252"/>
      <x:c r="K187" s="252"/>
      <x:c r="L187" s="252" t="str">
        <x:f>IF(A187="","",IF(OR(C187="",D187="",I187="",COUNTIF('الزبائن'!$A$6:$A$505,A187)=0,AND(C187="mobile",I187&lt;&gt;"invalid",OR(LEN(D187)&lt;&gt;10,LEFT(D187,2)&lt;&gt;"09"))),"REVIEW","READY"))</x:f>
      </x:c>
      <x:c r="M187" s="254" t="str">
        <x:f>IF(L187="READY","",IF(A187="","",TRIM(IF(COUNTIF('الزبائن'!$A$6:$A$505,A187)=0,"customer key not found; ","")&amp;IF(C187="","missing contact_type; ","")&amp;IF(D187="","missing number; ","")&amp;IF(I187="","missing status; ","")&amp;IF(AND(C187="mobile",I187&lt;&gt;"invalid",OR(LEN(D187)&lt;&gt;10,LEFT(D187,2)&lt;&gt;"09")),"mobile must be 09XXXXXXXX or status invalid; ",""))))</x:f>
      </x:c>
    </x:row>
    <x:row r="188">
      <x:c r="A188" s="251"/>
      <x:c r="B188" s="252"/>
      <x:c r="C188" s="252"/>
      <x:c r="D188" s="253"/>
      <x:c r="E188" s="253"/>
      <x:c r="F188" s="252"/>
      <x:c r="G188" s="252"/>
      <x:c r="H188" s="252"/>
      <x:c r="I188" s="252"/>
      <x:c r="J188" s="252"/>
      <x:c r="K188" s="252"/>
      <x:c r="L188" s="252" t="str">
        <x:f>IF(A188="","",IF(OR(C188="",D188="",I188="",COUNTIF('الزبائن'!$A$6:$A$505,A188)=0,AND(C188="mobile",I188&lt;&gt;"invalid",OR(LEN(D188)&lt;&gt;10,LEFT(D188,2)&lt;&gt;"09"))),"REVIEW","READY"))</x:f>
      </x:c>
      <x:c r="M188" s="254" t="str">
        <x:f>IF(L188="READY","",IF(A188="","",TRIM(IF(COUNTIF('الزبائن'!$A$6:$A$505,A188)=0,"customer key not found; ","")&amp;IF(C188="","missing contact_type; ","")&amp;IF(D188="","missing number; ","")&amp;IF(I188="","missing status; ","")&amp;IF(AND(C188="mobile",I188&lt;&gt;"invalid",OR(LEN(D188)&lt;&gt;10,LEFT(D188,2)&lt;&gt;"09")),"mobile must be 09XXXXXXXX or status invalid; ",""))))</x:f>
      </x:c>
    </x:row>
    <x:row r="189">
      <x:c r="A189" s="251"/>
      <x:c r="B189" s="252"/>
      <x:c r="C189" s="252"/>
      <x:c r="D189" s="253"/>
      <x:c r="E189" s="253"/>
      <x:c r="F189" s="252"/>
      <x:c r="G189" s="252"/>
      <x:c r="H189" s="252"/>
      <x:c r="I189" s="252"/>
      <x:c r="J189" s="252"/>
      <x:c r="K189" s="252"/>
      <x:c r="L189" s="252" t="str">
        <x:f>IF(A189="","",IF(OR(C189="",D189="",I189="",COUNTIF('الزبائن'!$A$6:$A$505,A189)=0,AND(C189="mobile",I189&lt;&gt;"invalid",OR(LEN(D189)&lt;&gt;10,LEFT(D189,2)&lt;&gt;"09"))),"REVIEW","READY"))</x:f>
      </x:c>
      <x:c r="M189" s="254" t="str">
        <x:f>IF(L189="READY","",IF(A189="","",TRIM(IF(COUNTIF('الزبائن'!$A$6:$A$505,A189)=0,"customer key not found; ","")&amp;IF(C189="","missing contact_type; ","")&amp;IF(D189="","missing number; ","")&amp;IF(I189="","missing status; ","")&amp;IF(AND(C189="mobile",I189&lt;&gt;"invalid",OR(LEN(D189)&lt;&gt;10,LEFT(D189,2)&lt;&gt;"09")),"mobile must be 09XXXXXXXX or status invalid; ",""))))</x:f>
      </x:c>
    </x:row>
    <x:row r="190">
      <x:c r="A190" s="251"/>
      <x:c r="B190" s="252"/>
      <x:c r="C190" s="252"/>
      <x:c r="D190" s="253"/>
      <x:c r="E190" s="253"/>
      <x:c r="F190" s="252"/>
      <x:c r="G190" s="252"/>
      <x:c r="H190" s="252"/>
      <x:c r="I190" s="252"/>
      <x:c r="J190" s="252"/>
      <x:c r="K190" s="252"/>
      <x:c r="L190" s="252" t="str">
        <x:f>IF(A190="","",IF(OR(C190="",D190="",I190="",COUNTIF('الزبائن'!$A$6:$A$505,A190)=0,AND(C190="mobile",I190&lt;&gt;"invalid",OR(LEN(D190)&lt;&gt;10,LEFT(D190,2)&lt;&gt;"09"))),"REVIEW","READY"))</x:f>
      </x:c>
      <x:c r="M190" s="254" t="str">
        <x:f>IF(L190="READY","",IF(A190="","",TRIM(IF(COUNTIF('الزبائن'!$A$6:$A$505,A190)=0,"customer key not found; ","")&amp;IF(C190="","missing contact_type; ","")&amp;IF(D190="","missing number; ","")&amp;IF(I190="","missing status; ","")&amp;IF(AND(C190="mobile",I190&lt;&gt;"invalid",OR(LEN(D190)&lt;&gt;10,LEFT(D190,2)&lt;&gt;"09")),"mobile must be 09XXXXXXXX or status invalid; ",""))))</x:f>
      </x:c>
    </x:row>
    <x:row r="191">
      <x:c r="A191" s="251"/>
      <x:c r="B191" s="252"/>
      <x:c r="C191" s="252"/>
      <x:c r="D191" s="253"/>
      <x:c r="E191" s="253"/>
      <x:c r="F191" s="252"/>
      <x:c r="G191" s="252"/>
      <x:c r="H191" s="252"/>
      <x:c r="I191" s="252"/>
      <x:c r="J191" s="252"/>
      <x:c r="K191" s="252"/>
      <x:c r="L191" s="252" t="str">
        <x:f>IF(A191="","",IF(OR(C191="",D191="",I191="",COUNTIF('الزبائن'!$A$6:$A$505,A191)=0,AND(C191="mobile",I191&lt;&gt;"invalid",OR(LEN(D191)&lt;&gt;10,LEFT(D191,2)&lt;&gt;"09"))),"REVIEW","READY"))</x:f>
      </x:c>
      <x:c r="M191" s="254" t="str">
        <x:f>IF(L191="READY","",IF(A191="","",TRIM(IF(COUNTIF('الزبائن'!$A$6:$A$505,A191)=0,"customer key not found; ","")&amp;IF(C191="","missing contact_type; ","")&amp;IF(D191="","missing number; ","")&amp;IF(I191="","missing status; ","")&amp;IF(AND(C191="mobile",I191&lt;&gt;"invalid",OR(LEN(D191)&lt;&gt;10,LEFT(D191,2)&lt;&gt;"09")),"mobile must be 09XXXXXXXX or status invalid; ",""))))</x:f>
      </x:c>
    </x:row>
    <x:row r="192">
      <x:c r="A192" s="251"/>
      <x:c r="B192" s="252"/>
      <x:c r="C192" s="252"/>
      <x:c r="D192" s="253"/>
      <x:c r="E192" s="253"/>
      <x:c r="F192" s="252"/>
      <x:c r="G192" s="252"/>
      <x:c r="H192" s="252"/>
      <x:c r="I192" s="252"/>
      <x:c r="J192" s="252"/>
      <x:c r="K192" s="252"/>
      <x:c r="L192" s="252" t="str">
        <x:f>IF(A192="","",IF(OR(C192="",D192="",I192="",COUNTIF('الزبائن'!$A$6:$A$505,A192)=0,AND(C192="mobile",I192&lt;&gt;"invalid",OR(LEN(D192)&lt;&gt;10,LEFT(D192,2)&lt;&gt;"09"))),"REVIEW","READY"))</x:f>
      </x:c>
      <x:c r="M192" s="254" t="str">
        <x:f>IF(L192="READY","",IF(A192="","",TRIM(IF(COUNTIF('الزبائن'!$A$6:$A$505,A192)=0,"customer key not found; ","")&amp;IF(C192="","missing contact_type; ","")&amp;IF(D192="","missing number; ","")&amp;IF(I192="","missing status; ","")&amp;IF(AND(C192="mobile",I192&lt;&gt;"invalid",OR(LEN(D192)&lt;&gt;10,LEFT(D192,2)&lt;&gt;"09")),"mobile must be 09XXXXXXXX or status invalid; ",""))))</x:f>
      </x:c>
    </x:row>
    <x:row r="193">
      <x:c r="A193" s="251"/>
      <x:c r="B193" s="252"/>
      <x:c r="C193" s="252"/>
      <x:c r="D193" s="253"/>
      <x:c r="E193" s="253"/>
      <x:c r="F193" s="252"/>
      <x:c r="G193" s="252"/>
      <x:c r="H193" s="252"/>
      <x:c r="I193" s="252"/>
      <x:c r="J193" s="252"/>
      <x:c r="K193" s="252"/>
      <x:c r="L193" s="252" t="str">
        <x:f>IF(A193="","",IF(OR(C193="",D193="",I193="",COUNTIF('الزبائن'!$A$6:$A$505,A193)=0,AND(C193="mobile",I193&lt;&gt;"invalid",OR(LEN(D193)&lt;&gt;10,LEFT(D193,2)&lt;&gt;"09"))),"REVIEW","READY"))</x:f>
      </x:c>
      <x:c r="M193" s="254" t="str">
        <x:f>IF(L193="READY","",IF(A193="","",TRIM(IF(COUNTIF('الزبائن'!$A$6:$A$505,A193)=0,"customer key not found; ","")&amp;IF(C193="","missing contact_type; ","")&amp;IF(D193="","missing number; ","")&amp;IF(I193="","missing status; ","")&amp;IF(AND(C193="mobile",I193&lt;&gt;"invalid",OR(LEN(D193)&lt;&gt;10,LEFT(D193,2)&lt;&gt;"09")),"mobile must be 09XXXXXXXX or status invalid; ",""))))</x:f>
      </x:c>
    </x:row>
    <x:row r="194">
      <x:c r="A194" s="251"/>
      <x:c r="B194" s="252"/>
      <x:c r="C194" s="252"/>
      <x:c r="D194" s="253"/>
      <x:c r="E194" s="253"/>
      <x:c r="F194" s="252"/>
      <x:c r="G194" s="252"/>
      <x:c r="H194" s="252"/>
      <x:c r="I194" s="252"/>
      <x:c r="J194" s="252"/>
      <x:c r="K194" s="252"/>
      <x:c r="L194" s="252" t="str">
        <x:f>IF(A194="","",IF(OR(C194="",D194="",I194="",COUNTIF('الزبائن'!$A$6:$A$505,A194)=0,AND(C194="mobile",I194&lt;&gt;"invalid",OR(LEN(D194)&lt;&gt;10,LEFT(D194,2)&lt;&gt;"09"))),"REVIEW","READY"))</x:f>
      </x:c>
      <x:c r="M194" s="254" t="str">
        <x:f>IF(L194="READY","",IF(A194="","",TRIM(IF(COUNTIF('الزبائن'!$A$6:$A$505,A194)=0,"customer key not found; ","")&amp;IF(C194="","missing contact_type; ","")&amp;IF(D194="","missing number; ","")&amp;IF(I194="","missing status; ","")&amp;IF(AND(C194="mobile",I194&lt;&gt;"invalid",OR(LEN(D194)&lt;&gt;10,LEFT(D194,2)&lt;&gt;"09")),"mobile must be 09XXXXXXXX or status invalid; ",""))))</x:f>
      </x:c>
    </x:row>
    <x:row r="195">
      <x:c r="A195" s="251"/>
      <x:c r="B195" s="252"/>
      <x:c r="C195" s="252"/>
      <x:c r="D195" s="253"/>
      <x:c r="E195" s="253"/>
      <x:c r="F195" s="252"/>
      <x:c r="G195" s="252"/>
      <x:c r="H195" s="252"/>
      <x:c r="I195" s="252"/>
      <x:c r="J195" s="252"/>
      <x:c r="K195" s="252"/>
      <x:c r="L195" s="252" t="str">
        <x:f>IF(A195="","",IF(OR(C195="",D195="",I195="",COUNTIF('الزبائن'!$A$6:$A$505,A195)=0,AND(C195="mobile",I195&lt;&gt;"invalid",OR(LEN(D195)&lt;&gt;10,LEFT(D195,2)&lt;&gt;"09"))),"REVIEW","READY"))</x:f>
      </x:c>
      <x:c r="M195" s="254" t="str">
        <x:f>IF(L195="READY","",IF(A195="","",TRIM(IF(COUNTIF('الزبائن'!$A$6:$A$505,A195)=0,"customer key not found; ","")&amp;IF(C195="","missing contact_type; ","")&amp;IF(D195="","missing number; ","")&amp;IF(I195="","missing status; ","")&amp;IF(AND(C195="mobile",I195&lt;&gt;"invalid",OR(LEN(D195)&lt;&gt;10,LEFT(D195,2)&lt;&gt;"09")),"mobile must be 09XXXXXXXX or status invalid; ",""))))</x:f>
      </x:c>
    </x:row>
    <x:row r="196">
      <x:c r="A196" s="251"/>
      <x:c r="B196" s="252"/>
      <x:c r="C196" s="252"/>
      <x:c r="D196" s="253"/>
      <x:c r="E196" s="253"/>
      <x:c r="F196" s="252"/>
      <x:c r="G196" s="252"/>
      <x:c r="H196" s="252"/>
      <x:c r="I196" s="252"/>
      <x:c r="J196" s="252"/>
      <x:c r="K196" s="252"/>
      <x:c r="L196" s="252" t="str">
        <x:f>IF(A196="","",IF(OR(C196="",D196="",I196="",COUNTIF('الزبائن'!$A$6:$A$505,A196)=0,AND(C196="mobile",I196&lt;&gt;"invalid",OR(LEN(D196)&lt;&gt;10,LEFT(D196,2)&lt;&gt;"09"))),"REVIEW","READY"))</x:f>
      </x:c>
      <x:c r="M196" s="254" t="str">
        <x:f>IF(L196="READY","",IF(A196="","",TRIM(IF(COUNTIF('الزبائن'!$A$6:$A$505,A196)=0,"customer key not found; ","")&amp;IF(C196="","missing contact_type; ","")&amp;IF(D196="","missing number; ","")&amp;IF(I196="","missing status; ","")&amp;IF(AND(C196="mobile",I196&lt;&gt;"invalid",OR(LEN(D196)&lt;&gt;10,LEFT(D196,2)&lt;&gt;"09")),"mobile must be 09XXXXXXXX or status invalid; ",""))))</x:f>
      </x:c>
    </x:row>
    <x:row r="197">
      <x:c r="A197" s="251"/>
      <x:c r="B197" s="252"/>
      <x:c r="C197" s="252"/>
      <x:c r="D197" s="253"/>
      <x:c r="E197" s="253"/>
      <x:c r="F197" s="252"/>
      <x:c r="G197" s="252"/>
      <x:c r="H197" s="252"/>
      <x:c r="I197" s="252"/>
      <x:c r="J197" s="252"/>
      <x:c r="K197" s="252"/>
      <x:c r="L197" s="252" t="str">
        <x:f>IF(A197="","",IF(OR(C197="",D197="",I197="",COUNTIF('الزبائن'!$A$6:$A$505,A197)=0,AND(C197="mobile",I197&lt;&gt;"invalid",OR(LEN(D197)&lt;&gt;10,LEFT(D197,2)&lt;&gt;"09"))),"REVIEW","READY"))</x:f>
      </x:c>
      <x:c r="M197" s="254" t="str">
        <x:f>IF(L197="READY","",IF(A197="","",TRIM(IF(COUNTIF('الزبائن'!$A$6:$A$505,A197)=0,"customer key not found; ","")&amp;IF(C197="","missing contact_type; ","")&amp;IF(D197="","missing number; ","")&amp;IF(I197="","missing status; ","")&amp;IF(AND(C197="mobile",I197&lt;&gt;"invalid",OR(LEN(D197)&lt;&gt;10,LEFT(D197,2)&lt;&gt;"09")),"mobile must be 09XXXXXXXX or status invalid; ",""))))</x:f>
      </x:c>
    </x:row>
    <x:row r="198">
      <x:c r="A198" s="251"/>
      <x:c r="B198" s="252"/>
      <x:c r="C198" s="252"/>
      <x:c r="D198" s="253"/>
      <x:c r="E198" s="253"/>
      <x:c r="F198" s="252"/>
      <x:c r="G198" s="252"/>
      <x:c r="H198" s="252"/>
      <x:c r="I198" s="252"/>
      <x:c r="J198" s="252"/>
      <x:c r="K198" s="252"/>
      <x:c r="L198" s="252" t="str">
        <x:f>IF(A198="","",IF(OR(C198="",D198="",I198="",COUNTIF('الزبائن'!$A$6:$A$505,A198)=0,AND(C198="mobile",I198&lt;&gt;"invalid",OR(LEN(D198)&lt;&gt;10,LEFT(D198,2)&lt;&gt;"09"))),"REVIEW","READY"))</x:f>
      </x:c>
      <x:c r="M198" s="254" t="str">
        <x:f>IF(L198="READY","",IF(A198="","",TRIM(IF(COUNTIF('الزبائن'!$A$6:$A$505,A198)=0,"customer key not found; ","")&amp;IF(C198="","missing contact_type; ","")&amp;IF(D198="","missing number; ","")&amp;IF(I198="","missing status; ","")&amp;IF(AND(C198="mobile",I198&lt;&gt;"invalid",OR(LEN(D198)&lt;&gt;10,LEFT(D198,2)&lt;&gt;"09")),"mobile must be 09XXXXXXXX or status invalid; ",""))))</x:f>
      </x:c>
    </x:row>
    <x:row r="199">
      <x:c r="A199" s="251"/>
      <x:c r="B199" s="252"/>
      <x:c r="C199" s="252"/>
      <x:c r="D199" s="253"/>
      <x:c r="E199" s="253"/>
      <x:c r="F199" s="252"/>
      <x:c r="G199" s="252"/>
      <x:c r="H199" s="252"/>
      <x:c r="I199" s="252"/>
      <x:c r="J199" s="252"/>
      <x:c r="K199" s="252"/>
      <x:c r="L199" s="252" t="str">
        <x:f>IF(A199="","",IF(OR(C199="",D199="",I199="",COUNTIF('الزبائن'!$A$6:$A$505,A199)=0,AND(C199="mobile",I199&lt;&gt;"invalid",OR(LEN(D199)&lt;&gt;10,LEFT(D199,2)&lt;&gt;"09"))),"REVIEW","READY"))</x:f>
      </x:c>
      <x:c r="M199" s="254" t="str">
        <x:f>IF(L199="READY","",IF(A199="","",TRIM(IF(COUNTIF('الزبائن'!$A$6:$A$505,A199)=0,"customer key not found; ","")&amp;IF(C199="","missing contact_type; ","")&amp;IF(D199="","missing number; ","")&amp;IF(I199="","missing status; ","")&amp;IF(AND(C199="mobile",I199&lt;&gt;"invalid",OR(LEN(D199)&lt;&gt;10,LEFT(D199,2)&lt;&gt;"09")),"mobile must be 09XXXXXXXX or status invalid; ",""))))</x:f>
      </x:c>
    </x:row>
    <x:row r="200">
      <x:c r="A200" s="251"/>
      <x:c r="B200" s="252"/>
      <x:c r="C200" s="252"/>
      <x:c r="D200" s="253"/>
      <x:c r="E200" s="253"/>
      <x:c r="F200" s="252"/>
      <x:c r="G200" s="252"/>
      <x:c r="H200" s="252"/>
      <x:c r="I200" s="252"/>
      <x:c r="J200" s="252"/>
      <x:c r="K200" s="252"/>
      <x:c r="L200" s="252" t="str">
        <x:f>IF(A200="","",IF(OR(C200="",D200="",I200="",COUNTIF('الزبائن'!$A$6:$A$505,A200)=0,AND(C200="mobile",I200&lt;&gt;"invalid",OR(LEN(D200)&lt;&gt;10,LEFT(D200,2)&lt;&gt;"09"))),"REVIEW","READY"))</x:f>
      </x:c>
      <x:c r="M200" s="254" t="str">
        <x:f>IF(L200="READY","",IF(A200="","",TRIM(IF(COUNTIF('الزبائن'!$A$6:$A$505,A200)=0,"customer key not found; ","")&amp;IF(C200="","missing contact_type; ","")&amp;IF(D200="","missing number; ","")&amp;IF(I200="","missing status; ","")&amp;IF(AND(C200="mobile",I200&lt;&gt;"invalid",OR(LEN(D200)&lt;&gt;10,LEFT(D200,2)&lt;&gt;"09")),"mobile must be 09XXXXXXXX or status invalid; ",""))))</x:f>
      </x:c>
    </x:row>
    <x:row r="201">
      <x:c r="A201" s="251"/>
      <x:c r="B201" s="252"/>
      <x:c r="C201" s="252"/>
      <x:c r="D201" s="253"/>
      <x:c r="E201" s="253"/>
      <x:c r="F201" s="252"/>
      <x:c r="G201" s="252"/>
      <x:c r="H201" s="252"/>
      <x:c r="I201" s="252"/>
      <x:c r="J201" s="252"/>
      <x:c r="K201" s="252"/>
      <x:c r="L201" s="252" t="str">
        <x:f>IF(A201="","",IF(OR(C201="",D201="",I201="",COUNTIF('الزبائن'!$A$6:$A$505,A201)=0,AND(C201="mobile",I201&lt;&gt;"invalid",OR(LEN(D201)&lt;&gt;10,LEFT(D201,2)&lt;&gt;"09"))),"REVIEW","READY"))</x:f>
      </x:c>
      <x:c r="M201" s="254" t="str">
        <x:f>IF(L201="READY","",IF(A201="","",TRIM(IF(COUNTIF('الزبائن'!$A$6:$A$505,A201)=0,"customer key not found; ","")&amp;IF(C201="","missing contact_type; ","")&amp;IF(D201="","missing number; ","")&amp;IF(I201="","missing status; ","")&amp;IF(AND(C201="mobile",I201&lt;&gt;"invalid",OR(LEN(D201)&lt;&gt;10,LEFT(D201,2)&lt;&gt;"09")),"mobile must be 09XXXXXXXX or status invalid; ",""))))</x:f>
      </x:c>
    </x:row>
    <x:row r="202">
      <x:c r="A202" s="251"/>
      <x:c r="B202" s="252"/>
      <x:c r="C202" s="252"/>
      <x:c r="D202" s="253"/>
      <x:c r="E202" s="253"/>
      <x:c r="F202" s="252"/>
      <x:c r="G202" s="252"/>
      <x:c r="H202" s="252"/>
      <x:c r="I202" s="252"/>
      <x:c r="J202" s="252"/>
      <x:c r="K202" s="252"/>
      <x:c r="L202" s="252" t="str">
        <x:f>IF(A202="","",IF(OR(C202="",D202="",I202="",COUNTIF('الزبائن'!$A$6:$A$505,A202)=0,AND(C202="mobile",I202&lt;&gt;"invalid",OR(LEN(D202)&lt;&gt;10,LEFT(D202,2)&lt;&gt;"09"))),"REVIEW","READY"))</x:f>
      </x:c>
      <x:c r="M202" s="254" t="str">
        <x:f>IF(L202="READY","",IF(A202="","",TRIM(IF(COUNTIF('الزبائن'!$A$6:$A$505,A202)=0,"customer key not found; ","")&amp;IF(C202="","missing contact_type; ","")&amp;IF(D202="","missing number; ","")&amp;IF(I202="","missing status; ","")&amp;IF(AND(C202="mobile",I202&lt;&gt;"invalid",OR(LEN(D202)&lt;&gt;10,LEFT(D202,2)&lt;&gt;"09")),"mobile must be 09XXXXXXXX or status invalid; ",""))))</x:f>
      </x:c>
    </x:row>
    <x:row r="203">
      <x:c r="A203" s="251"/>
      <x:c r="B203" s="252"/>
      <x:c r="C203" s="252"/>
      <x:c r="D203" s="253"/>
      <x:c r="E203" s="253"/>
      <x:c r="F203" s="252"/>
      <x:c r="G203" s="252"/>
      <x:c r="H203" s="252"/>
      <x:c r="I203" s="252"/>
      <x:c r="J203" s="252"/>
      <x:c r="K203" s="252"/>
      <x:c r="L203" s="252" t="str">
        <x:f>IF(A203="","",IF(OR(C203="",D203="",I203="",COUNTIF('الزبائن'!$A$6:$A$505,A203)=0,AND(C203="mobile",I203&lt;&gt;"invalid",OR(LEN(D203)&lt;&gt;10,LEFT(D203,2)&lt;&gt;"09"))),"REVIEW","READY"))</x:f>
      </x:c>
      <x:c r="M203" s="254" t="str">
        <x:f>IF(L203="READY","",IF(A203="","",TRIM(IF(COUNTIF('الزبائن'!$A$6:$A$505,A203)=0,"customer key not found; ","")&amp;IF(C203="","missing contact_type; ","")&amp;IF(D203="","missing number; ","")&amp;IF(I203="","missing status; ","")&amp;IF(AND(C203="mobile",I203&lt;&gt;"invalid",OR(LEN(D203)&lt;&gt;10,LEFT(D203,2)&lt;&gt;"09")),"mobile must be 09XXXXXXXX or status invalid; ",""))))</x:f>
      </x:c>
    </x:row>
    <x:row r="204">
      <x:c r="A204" s="251"/>
      <x:c r="B204" s="252"/>
      <x:c r="C204" s="252"/>
      <x:c r="D204" s="253"/>
      <x:c r="E204" s="253"/>
      <x:c r="F204" s="252"/>
      <x:c r="G204" s="252"/>
      <x:c r="H204" s="252"/>
      <x:c r="I204" s="252"/>
      <x:c r="J204" s="252"/>
      <x:c r="K204" s="252"/>
      <x:c r="L204" s="252" t="str">
        <x:f>IF(A204="","",IF(OR(C204="",D204="",I204="",COUNTIF('الزبائن'!$A$6:$A$505,A204)=0,AND(C204="mobile",I204&lt;&gt;"invalid",OR(LEN(D204)&lt;&gt;10,LEFT(D204,2)&lt;&gt;"09"))),"REVIEW","READY"))</x:f>
      </x:c>
      <x:c r="M204" s="254" t="str">
        <x:f>IF(L204="READY","",IF(A204="","",TRIM(IF(COUNTIF('الزبائن'!$A$6:$A$505,A204)=0,"customer key not found; ","")&amp;IF(C204="","missing contact_type; ","")&amp;IF(D204="","missing number; ","")&amp;IF(I204="","missing status; ","")&amp;IF(AND(C204="mobile",I204&lt;&gt;"invalid",OR(LEN(D204)&lt;&gt;10,LEFT(D204,2)&lt;&gt;"09")),"mobile must be 09XXXXXXXX or status invalid; ",""))))</x:f>
      </x:c>
    </x:row>
    <x:row r="205">
      <x:c r="A205" s="251"/>
      <x:c r="B205" s="252"/>
      <x:c r="C205" s="252"/>
      <x:c r="D205" s="253"/>
      <x:c r="E205" s="253"/>
      <x:c r="F205" s="252"/>
      <x:c r="G205" s="252"/>
      <x:c r="H205" s="252"/>
      <x:c r="I205" s="252"/>
      <x:c r="J205" s="252"/>
      <x:c r="K205" s="252"/>
      <x:c r="L205" s="252" t="str">
        <x:f>IF(A205="","",IF(OR(C205="",D205="",I205="",COUNTIF('الزبائن'!$A$6:$A$505,A205)=0,AND(C205="mobile",I205&lt;&gt;"invalid",OR(LEN(D205)&lt;&gt;10,LEFT(D205,2)&lt;&gt;"09"))),"REVIEW","READY"))</x:f>
      </x:c>
      <x:c r="M205" s="254" t="str">
        <x:f>IF(L205="READY","",IF(A205="","",TRIM(IF(COUNTIF('الزبائن'!$A$6:$A$505,A205)=0,"customer key not found; ","")&amp;IF(C205="","missing contact_type; ","")&amp;IF(D205="","missing number; ","")&amp;IF(I205="","missing status; ","")&amp;IF(AND(C205="mobile",I205&lt;&gt;"invalid",OR(LEN(D205)&lt;&gt;10,LEFT(D205,2)&lt;&gt;"09")),"mobile must be 09XXXXXXXX or status invalid; ",""))))</x:f>
      </x:c>
    </x:row>
    <x:row r="206">
      <x:c r="A206" s="251"/>
      <x:c r="B206" s="252"/>
      <x:c r="C206" s="252"/>
      <x:c r="D206" s="253"/>
      <x:c r="E206" s="253"/>
      <x:c r="F206" s="252"/>
      <x:c r="G206" s="252"/>
      <x:c r="H206" s="252"/>
      <x:c r="I206" s="252"/>
      <x:c r="J206" s="252"/>
      <x:c r="K206" s="252"/>
      <x:c r="L206" s="252" t="str">
        <x:f>IF(A206="","",IF(OR(C206="",D206="",I206="",COUNTIF('الزبائن'!$A$6:$A$505,A206)=0,AND(C206="mobile",I206&lt;&gt;"invalid",OR(LEN(D206)&lt;&gt;10,LEFT(D206,2)&lt;&gt;"09"))),"REVIEW","READY"))</x:f>
      </x:c>
      <x:c r="M206" s="254" t="str">
        <x:f>IF(L206="READY","",IF(A206="","",TRIM(IF(COUNTIF('الزبائن'!$A$6:$A$505,A206)=0,"customer key not found; ","")&amp;IF(C206="","missing contact_type; ","")&amp;IF(D206="","missing number; ","")&amp;IF(I206="","missing status; ","")&amp;IF(AND(C206="mobile",I206&lt;&gt;"invalid",OR(LEN(D206)&lt;&gt;10,LEFT(D206,2)&lt;&gt;"09")),"mobile must be 09XXXXXXXX or status invalid; ",""))))</x:f>
      </x:c>
    </x:row>
    <x:row r="207">
      <x:c r="A207" s="251"/>
      <x:c r="B207" s="252"/>
      <x:c r="C207" s="252"/>
      <x:c r="D207" s="253"/>
      <x:c r="E207" s="253"/>
      <x:c r="F207" s="252"/>
      <x:c r="G207" s="252"/>
      <x:c r="H207" s="252"/>
      <x:c r="I207" s="252"/>
      <x:c r="J207" s="252"/>
      <x:c r="K207" s="252"/>
      <x:c r="L207" s="252" t="str">
        <x:f>IF(A207="","",IF(OR(C207="",D207="",I207="",COUNTIF('الزبائن'!$A$6:$A$505,A207)=0,AND(C207="mobile",I207&lt;&gt;"invalid",OR(LEN(D207)&lt;&gt;10,LEFT(D207,2)&lt;&gt;"09"))),"REVIEW","READY"))</x:f>
      </x:c>
      <x:c r="M207" s="254" t="str">
        <x:f>IF(L207="READY","",IF(A207="","",TRIM(IF(COUNTIF('الزبائن'!$A$6:$A$505,A207)=0,"customer key not found; ","")&amp;IF(C207="","missing contact_type; ","")&amp;IF(D207="","missing number; ","")&amp;IF(I207="","missing status; ","")&amp;IF(AND(C207="mobile",I207&lt;&gt;"invalid",OR(LEN(D207)&lt;&gt;10,LEFT(D207,2)&lt;&gt;"09")),"mobile must be 09XXXXXXXX or status invalid; ",""))))</x:f>
      </x:c>
    </x:row>
    <x:row r="208">
      <x:c r="A208" s="251"/>
      <x:c r="B208" s="252"/>
      <x:c r="C208" s="252"/>
      <x:c r="D208" s="253"/>
      <x:c r="E208" s="253"/>
      <x:c r="F208" s="252"/>
      <x:c r="G208" s="252"/>
      <x:c r="H208" s="252"/>
      <x:c r="I208" s="252"/>
      <x:c r="J208" s="252"/>
      <x:c r="K208" s="252"/>
      <x:c r="L208" s="252" t="str">
        <x:f>IF(A208="","",IF(OR(C208="",D208="",I208="",COUNTIF('الزبائن'!$A$6:$A$505,A208)=0,AND(C208="mobile",I208&lt;&gt;"invalid",OR(LEN(D208)&lt;&gt;10,LEFT(D208,2)&lt;&gt;"09"))),"REVIEW","READY"))</x:f>
      </x:c>
      <x:c r="M208" s="254" t="str">
        <x:f>IF(L208="READY","",IF(A208="","",TRIM(IF(COUNTIF('الزبائن'!$A$6:$A$505,A208)=0,"customer key not found; ","")&amp;IF(C208="","missing contact_type; ","")&amp;IF(D208="","missing number; ","")&amp;IF(I208="","missing status; ","")&amp;IF(AND(C208="mobile",I208&lt;&gt;"invalid",OR(LEN(D208)&lt;&gt;10,LEFT(D208,2)&lt;&gt;"09")),"mobile must be 09XXXXXXXX or status invalid; ",""))))</x:f>
      </x:c>
    </x:row>
    <x:row r="209">
      <x:c r="A209" s="251"/>
      <x:c r="B209" s="252"/>
      <x:c r="C209" s="252"/>
      <x:c r="D209" s="253"/>
      <x:c r="E209" s="253"/>
      <x:c r="F209" s="252"/>
      <x:c r="G209" s="252"/>
      <x:c r="H209" s="252"/>
      <x:c r="I209" s="252"/>
      <x:c r="J209" s="252"/>
      <x:c r="K209" s="252"/>
      <x:c r="L209" s="252" t="str">
        <x:f>IF(A209="","",IF(OR(C209="",D209="",I209="",COUNTIF('الزبائن'!$A$6:$A$505,A209)=0,AND(C209="mobile",I209&lt;&gt;"invalid",OR(LEN(D209)&lt;&gt;10,LEFT(D209,2)&lt;&gt;"09"))),"REVIEW","READY"))</x:f>
      </x:c>
      <x:c r="M209" s="254" t="str">
        <x:f>IF(L209="READY","",IF(A209="","",TRIM(IF(COUNTIF('الزبائن'!$A$6:$A$505,A209)=0,"customer key not found; ","")&amp;IF(C209="","missing contact_type; ","")&amp;IF(D209="","missing number; ","")&amp;IF(I209="","missing status; ","")&amp;IF(AND(C209="mobile",I209&lt;&gt;"invalid",OR(LEN(D209)&lt;&gt;10,LEFT(D209,2)&lt;&gt;"09")),"mobile must be 09XXXXXXXX or status invalid; ",""))))</x:f>
      </x:c>
    </x:row>
    <x:row r="210">
      <x:c r="A210" s="251"/>
      <x:c r="B210" s="252"/>
      <x:c r="C210" s="252"/>
      <x:c r="D210" s="253"/>
      <x:c r="E210" s="253"/>
      <x:c r="F210" s="252"/>
      <x:c r="G210" s="252"/>
      <x:c r="H210" s="252"/>
      <x:c r="I210" s="252"/>
      <x:c r="J210" s="252"/>
      <x:c r="K210" s="252"/>
      <x:c r="L210" s="252" t="str">
        <x:f>IF(A210="","",IF(OR(C210="",D210="",I210="",COUNTIF('الزبائن'!$A$6:$A$505,A210)=0,AND(C210="mobile",I210&lt;&gt;"invalid",OR(LEN(D210)&lt;&gt;10,LEFT(D210,2)&lt;&gt;"09"))),"REVIEW","READY"))</x:f>
      </x:c>
      <x:c r="M210" s="254" t="str">
        <x:f>IF(L210="READY","",IF(A210="","",TRIM(IF(COUNTIF('الزبائن'!$A$6:$A$505,A210)=0,"customer key not found; ","")&amp;IF(C210="","missing contact_type; ","")&amp;IF(D210="","missing number; ","")&amp;IF(I210="","missing status; ","")&amp;IF(AND(C210="mobile",I210&lt;&gt;"invalid",OR(LEN(D210)&lt;&gt;10,LEFT(D210,2)&lt;&gt;"09")),"mobile must be 09XXXXXXXX or status invalid; ",""))))</x:f>
      </x:c>
    </x:row>
    <x:row r="211">
      <x:c r="A211" s="251"/>
      <x:c r="B211" s="252"/>
      <x:c r="C211" s="252"/>
      <x:c r="D211" s="253"/>
      <x:c r="E211" s="253"/>
      <x:c r="F211" s="252"/>
      <x:c r="G211" s="252"/>
      <x:c r="H211" s="252"/>
      <x:c r="I211" s="252"/>
      <x:c r="J211" s="252"/>
      <x:c r="K211" s="252"/>
      <x:c r="L211" s="252" t="str">
        <x:f>IF(A211="","",IF(OR(C211="",D211="",I211="",COUNTIF('الزبائن'!$A$6:$A$505,A211)=0,AND(C211="mobile",I211&lt;&gt;"invalid",OR(LEN(D211)&lt;&gt;10,LEFT(D211,2)&lt;&gt;"09"))),"REVIEW","READY"))</x:f>
      </x:c>
      <x:c r="M211" s="254" t="str">
        <x:f>IF(L211="READY","",IF(A211="","",TRIM(IF(COUNTIF('الزبائن'!$A$6:$A$505,A211)=0,"customer key not found; ","")&amp;IF(C211="","missing contact_type; ","")&amp;IF(D211="","missing number; ","")&amp;IF(I211="","missing status; ","")&amp;IF(AND(C211="mobile",I211&lt;&gt;"invalid",OR(LEN(D211)&lt;&gt;10,LEFT(D211,2)&lt;&gt;"09")),"mobile must be 09XXXXXXXX or status invalid; ",""))))</x:f>
      </x:c>
    </x:row>
    <x:row r="212">
      <x:c r="A212" s="251"/>
      <x:c r="B212" s="252"/>
      <x:c r="C212" s="252"/>
      <x:c r="D212" s="253"/>
      <x:c r="E212" s="253"/>
      <x:c r="F212" s="252"/>
      <x:c r="G212" s="252"/>
      <x:c r="H212" s="252"/>
      <x:c r="I212" s="252"/>
      <x:c r="J212" s="252"/>
      <x:c r="K212" s="252"/>
      <x:c r="L212" s="252" t="str">
        <x:f>IF(A212="","",IF(OR(C212="",D212="",I212="",COUNTIF('الزبائن'!$A$6:$A$505,A212)=0,AND(C212="mobile",I212&lt;&gt;"invalid",OR(LEN(D212)&lt;&gt;10,LEFT(D212,2)&lt;&gt;"09"))),"REVIEW","READY"))</x:f>
      </x:c>
      <x:c r="M212" s="254" t="str">
        <x:f>IF(L212="READY","",IF(A212="","",TRIM(IF(COUNTIF('الزبائن'!$A$6:$A$505,A212)=0,"customer key not found; ","")&amp;IF(C212="","missing contact_type; ","")&amp;IF(D212="","missing number; ","")&amp;IF(I212="","missing status; ","")&amp;IF(AND(C212="mobile",I212&lt;&gt;"invalid",OR(LEN(D212)&lt;&gt;10,LEFT(D212,2)&lt;&gt;"09")),"mobile must be 09XXXXXXXX or status invalid; ",""))))</x:f>
      </x:c>
    </x:row>
    <x:row r="213">
      <x:c r="A213" s="251"/>
      <x:c r="B213" s="252"/>
      <x:c r="C213" s="252"/>
      <x:c r="D213" s="253"/>
      <x:c r="E213" s="253"/>
      <x:c r="F213" s="252"/>
      <x:c r="G213" s="252"/>
      <x:c r="H213" s="252"/>
      <x:c r="I213" s="252"/>
      <x:c r="J213" s="252"/>
      <x:c r="K213" s="252"/>
      <x:c r="L213" s="252" t="str">
        <x:f>IF(A213="","",IF(OR(C213="",D213="",I213="",COUNTIF('الزبائن'!$A$6:$A$505,A213)=0,AND(C213="mobile",I213&lt;&gt;"invalid",OR(LEN(D213)&lt;&gt;10,LEFT(D213,2)&lt;&gt;"09"))),"REVIEW","READY"))</x:f>
      </x:c>
      <x:c r="M213" s="254" t="str">
        <x:f>IF(L213="READY","",IF(A213="","",TRIM(IF(COUNTIF('الزبائن'!$A$6:$A$505,A213)=0,"customer key not found; ","")&amp;IF(C213="","missing contact_type; ","")&amp;IF(D213="","missing number; ","")&amp;IF(I213="","missing status; ","")&amp;IF(AND(C213="mobile",I213&lt;&gt;"invalid",OR(LEN(D213)&lt;&gt;10,LEFT(D213,2)&lt;&gt;"09")),"mobile must be 09XXXXXXXX or status invalid; ",""))))</x:f>
      </x:c>
    </x:row>
    <x:row r="214">
      <x:c r="A214" s="251"/>
      <x:c r="B214" s="252"/>
      <x:c r="C214" s="252"/>
      <x:c r="D214" s="253"/>
      <x:c r="E214" s="253"/>
      <x:c r="F214" s="252"/>
      <x:c r="G214" s="252"/>
      <x:c r="H214" s="252"/>
      <x:c r="I214" s="252"/>
      <x:c r="J214" s="252"/>
      <x:c r="K214" s="252"/>
      <x:c r="L214" s="252" t="str">
        <x:f>IF(A214="","",IF(OR(C214="",D214="",I214="",COUNTIF('الزبائن'!$A$6:$A$505,A214)=0,AND(C214="mobile",I214&lt;&gt;"invalid",OR(LEN(D214)&lt;&gt;10,LEFT(D214,2)&lt;&gt;"09"))),"REVIEW","READY"))</x:f>
      </x:c>
      <x:c r="M214" s="254" t="str">
        <x:f>IF(L214="READY","",IF(A214="","",TRIM(IF(COUNTIF('الزبائن'!$A$6:$A$505,A214)=0,"customer key not found; ","")&amp;IF(C214="","missing contact_type; ","")&amp;IF(D214="","missing number; ","")&amp;IF(I214="","missing status; ","")&amp;IF(AND(C214="mobile",I214&lt;&gt;"invalid",OR(LEN(D214)&lt;&gt;10,LEFT(D214,2)&lt;&gt;"09")),"mobile must be 09XXXXXXXX or status invalid; ",""))))</x:f>
      </x:c>
    </x:row>
    <x:row r="215">
      <x:c r="A215" s="251"/>
      <x:c r="B215" s="252"/>
      <x:c r="C215" s="252"/>
      <x:c r="D215" s="253"/>
      <x:c r="E215" s="253"/>
      <x:c r="F215" s="252"/>
      <x:c r="G215" s="252"/>
      <x:c r="H215" s="252"/>
      <x:c r="I215" s="252"/>
      <x:c r="J215" s="252"/>
      <x:c r="K215" s="252"/>
      <x:c r="L215" s="252" t="str">
        <x:f>IF(A215="","",IF(OR(C215="",D215="",I215="",COUNTIF('الزبائن'!$A$6:$A$505,A215)=0,AND(C215="mobile",I215&lt;&gt;"invalid",OR(LEN(D215)&lt;&gt;10,LEFT(D215,2)&lt;&gt;"09"))),"REVIEW","READY"))</x:f>
      </x:c>
      <x:c r="M215" s="254" t="str">
        <x:f>IF(L215="READY","",IF(A215="","",TRIM(IF(COUNTIF('الزبائن'!$A$6:$A$505,A215)=0,"customer key not found; ","")&amp;IF(C215="","missing contact_type; ","")&amp;IF(D215="","missing number; ","")&amp;IF(I215="","missing status; ","")&amp;IF(AND(C215="mobile",I215&lt;&gt;"invalid",OR(LEN(D215)&lt;&gt;10,LEFT(D215,2)&lt;&gt;"09")),"mobile must be 09XXXXXXXX or status invalid; ",""))))</x:f>
      </x:c>
    </x:row>
    <x:row r="216">
      <x:c r="A216" s="251"/>
      <x:c r="B216" s="252"/>
      <x:c r="C216" s="252"/>
      <x:c r="D216" s="253"/>
      <x:c r="E216" s="253"/>
      <x:c r="F216" s="252"/>
      <x:c r="G216" s="252"/>
      <x:c r="H216" s="252"/>
      <x:c r="I216" s="252"/>
      <x:c r="J216" s="252"/>
      <x:c r="K216" s="252"/>
      <x:c r="L216" s="252" t="str">
        <x:f>IF(A216="","",IF(OR(C216="",D216="",I216="",COUNTIF('الزبائن'!$A$6:$A$505,A216)=0,AND(C216="mobile",I216&lt;&gt;"invalid",OR(LEN(D216)&lt;&gt;10,LEFT(D216,2)&lt;&gt;"09"))),"REVIEW","READY"))</x:f>
      </x:c>
      <x:c r="M216" s="254" t="str">
        <x:f>IF(L216="READY","",IF(A216="","",TRIM(IF(COUNTIF('الزبائن'!$A$6:$A$505,A216)=0,"customer key not found; ","")&amp;IF(C216="","missing contact_type; ","")&amp;IF(D216="","missing number; ","")&amp;IF(I216="","missing status; ","")&amp;IF(AND(C216="mobile",I216&lt;&gt;"invalid",OR(LEN(D216)&lt;&gt;10,LEFT(D216,2)&lt;&gt;"09")),"mobile must be 09XXXXXXXX or status invalid; ",""))))</x:f>
      </x:c>
    </x:row>
    <x:row r="217">
      <x:c r="A217" s="251"/>
      <x:c r="B217" s="252"/>
      <x:c r="C217" s="252"/>
      <x:c r="D217" s="253"/>
      <x:c r="E217" s="253"/>
      <x:c r="F217" s="252"/>
      <x:c r="G217" s="252"/>
      <x:c r="H217" s="252"/>
      <x:c r="I217" s="252"/>
      <x:c r="J217" s="252"/>
      <x:c r="K217" s="252"/>
      <x:c r="L217" s="252" t="str">
        <x:f>IF(A217="","",IF(OR(C217="",D217="",I217="",COUNTIF('الزبائن'!$A$6:$A$505,A217)=0,AND(C217="mobile",I217&lt;&gt;"invalid",OR(LEN(D217)&lt;&gt;10,LEFT(D217,2)&lt;&gt;"09"))),"REVIEW","READY"))</x:f>
      </x:c>
      <x:c r="M217" s="254" t="str">
        <x:f>IF(L217="READY","",IF(A217="","",TRIM(IF(COUNTIF('الزبائن'!$A$6:$A$505,A217)=0,"customer key not found; ","")&amp;IF(C217="","missing contact_type; ","")&amp;IF(D217="","missing number; ","")&amp;IF(I217="","missing status; ","")&amp;IF(AND(C217="mobile",I217&lt;&gt;"invalid",OR(LEN(D217)&lt;&gt;10,LEFT(D217,2)&lt;&gt;"09")),"mobile must be 09XXXXXXXX or status invalid; ",""))))</x:f>
      </x:c>
    </x:row>
    <x:row r="218">
      <x:c r="A218" s="251"/>
      <x:c r="B218" s="252"/>
      <x:c r="C218" s="252"/>
      <x:c r="D218" s="253"/>
      <x:c r="E218" s="253"/>
      <x:c r="F218" s="252"/>
      <x:c r="G218" s="252"/>
      <x:c r="H218" s="252"/>
      <x:c r="I218" s="252"/>
      <x:c r="J218" s="252"/>
      <x:c r="K218" s="252"/>
      <x:c r="L218" s="252" t="str">
        <x:f>IF(A218="","",IF(OR(C218="",D218="",I218="",COUNTIF('الزبائن'!$A$6:$A$505,A218)=0,AND(C218="mobile",I218&lt;&gt;"invalid",OR(LEN(D218)&lt;&gt;10,LEFT(D218,2)&lt;&gt;"09"))),"REVIEW","READY"))</x:f>
      </x:c>
      <x:c r="M218" s="254" t="str">
        <x:f>IF(L218="READY","",IF(A218="","",TRIM(IF(COUNTIF('الزبائن'!$A$6:$A$505,A218)=0,"customer key not found; ","")&amp;IF(C218="","missing contact_type; ","")&amp;IF(D218="","missing number; ","")&amp;IF(I218="","missing status; ","")&amp;IF(AND(C218="mobile",I218&lt;&gt;"invalid",OR(LEN(D218)&lt;&gt;10,LEFT(D218,2)&lt;&gt;"09")),"mobile must be 09XXXXXXXX or status invalid; ",""))))</x:f>
      </x:c>
    </x:row>
    <x:row r="219">
      <x:c r="A219" s="251"/>
      <x:c r="B219" s="252"/>
      <x:c r="C219" s="252"/>
      <x:c r="D219" s="253"/>
      <x:c r="E219" s="253"/>
      <x:c r="F219" s="252"/>
      <x:c r="G219" s="252"/>
      <x:c r="H219" s="252"/>
      <x:c r="I219" s="252"/>
      <x:c r="J219" s="252"/>
      <x:c r="K219" s="252"/>
      <x:c r="L219" s="252" t="str">
        <x:f>IF(A219="","",IF(OR(C219="",D219="",I219="",COUNTIF('الزبائن'!$A$6:$A$505,A219)=0,AND(C219="mobile",I219&lt;&gt;"invalid",OR(LEN(D219)&lt;&gt;10,LEFT(D219,2)&lt;&gt;"09"))),"REVIEW","READY"))</x:f>
      </x:c>
      <x:c r="M219" s="254" t="str">
        <x:f>IF(L219="READY","",IF(A219="","",TRIM(IF(COUNTIF('الزبائن'!$A$6:$A$505,A219)=0,"customer key not found; ","")&amp;IF(C219="","missing contact_type; ","")&amp;IF(D219="","missing number; ","")&amp;IF(I219="","missing status; ","")&amp;IF(AND(C219="mobile",I219&lt;&gt;"invalid",OR(LEN(D219)&lt;&gt;10,LEFT(D219,2)&lt;&gt;"09")),"mobile must be 09XXXXXXXX or status invalid; ",""))))</x:f>
      </x:c>
    </x:row>
    <x:row r="220">
      <x:c r="A220" s="251"/>
      <x:c r="B220" s="252"/>
      <x:c r="C220" s="252"/>
      <x:c r="D220" s="253"/>
      <x:c r="E220" s="253"/>
      <x:c r="F220" s="252"/>
      <x:c r="G220" s="252"/>
      <x:c r="H220" s="252"/>
      <x:c r="I220" s="252"/>
      <x:c r="J220" s="252"/>
      <x:c r="K220" s="252"/>
      <x:c r="L220" s="252" t="str">
        <x:f>IF(A220="","",IF(OR(C220="",D220="",I220="",COUNTIF('الزبائن'!$A$6:$A$505,A220)=0,AND(C220="mobile",I220&lt;&gt;"invalid",OR(LEN(D220)&lt;&gt;10,LEFT(D220,2)&lt;&gt;"09"))),"REVIEW","READY"))</x:f>
      </x:c>
      <x:c r="M220" s="254" t="str">
        <x:f>IF(L220="READY","",IF(A220="","",TRIM(IF(COUNTIF('الزبائن'!$A$6:$A$505,A220)=0,"customer key not found; ","")&amp;IF(C220="","missing contact_type; ","")&amp;IF(D220="","missing number; ","")&amp;IF(I220="","missing status; ","")&amp;IF(AND(C220="mobile",I220&lt;&gt;"invalid",OR(LEN(D220)&lt;&gt;10,LEFT(D220,2)&lt;&gt;"09")),"mobile must be 09XXXXXXXX or status invalid; ",""))))</x:f>
      </x:c>
    </x:row>
    <x:row r="221">
      <x:c r="A221" s="251"/>
      <x:c r="B221" s="252"/>
      <x:c r="C221" s="252"/>
      <x:c r="D221" s="253"/>
      <x:c r="E221" s="253"/>
      <x:c r="F221" s="252"/>
      <x:c r="G221" s="252"/>
      <x:c r="H221" s="252"/>
      <x:c r="I221" s="252"/>
      <x:c r="J221" s="252"/>
      <x:c r="K221" s="252"/>
      <x:c r="L221" s="252" t="str">
        <x:f>IF(A221="","",IF(OR(C221="",D221="",I221="",COUNTIF('الزبائن'!$A$6:$A$505,A221)=0,AND(C221="mobile",I221&lt;&gt;"invalid",OR(LEN(D221)&lt;&gt;10,LEFT(D221,2)&lt;&gt;"09"))),"REVIEW","READY"))</x:f>
      </x:c>
      <x:c r="M221" s="254" t="str">
        <x:f>IF(L221="READY","",IF(A221="","",TRIM(IF(COUNTIF('الزبائن'!$A$6:$A$505,A221)=0,"customer key not found; ","")&amp;IF(C221="","missing contact_type; ","")&amp;IF(D221="","missing number; ","")&amp;IF(I221="","missing status; ","")&amp;IF(AND(C221="mobile",I221&lt;&gt;"invalid",OR(LEN(D221)&lt;&gt;10,LEFT(D221,2)&lt;&gt;"09")),"mobile must be 09XXXXXXXX or status invalid; ",""))))</x:f>
      </x:c>
    </x:row>
    <x:row r="222">
      <x:c r="A222" s="251"/>
      <x:c r="B222" s="252"/>
      <x:c r="C222" s="252"/>
      <x:c r="D222" s="253"/>
      <x:c r="E222" s="253"/>
      <x:c r="F222" s="252"/>
      <x:c r="G222" s="252"/>
      <x:c r="H222" s="252"/>
      <x:c r="I222" s="252"/>
      <x:c r="J222" s="252"/>
      <x:c r="K222" s="252"/>
      <x:c r="L222" s="252" t="str">
        <x:f>IF(A222="","",IF(OR(C222="",D222="",I222="",COUNTIF('الزبائن'!$A$6:$A$505,A222)=0,AND(C222="mobile",I222&lt;&gt;"invalid",OR(LEN(D222)&lt;&gt;10,LEFT(D222,2)&lt;&gt;"09"))),"REVIEW","READY"))</x:f>
      </x:c>
      <x:c r="M222" s="254" t="str">
        <x:f>IF(L222="READY","",IF(A222="","",TRIM(IF(COUNTIF('الزبائن'!$A$6:$A$505,A222)=0,"customer key not found; ","")&amp;IF(C222="","missing contact_type; ","")&amp;IF(D222="","missing number; ","")&amp;IF(I222="","missing status; ","")&amp;IF(AND(C222="mobile",I222&lt;&gt;"invalid",OR(LEN(D222)&lt;&gt;10,LEFT(D222,2)&lt;&gt;"09")),"mobile must be 09XXXXXXXX or status invalid; ",""))))</x:f>
      </x:c>
    </x:row>
    <x:row r="223">
      <x:c r="A223" s="251"/>
      <x:c r="B223" s="252"/>
      <x:c r="C223" s="252"/>
      <x:c r="D223" s="253"/>
      <x:c r="E223" s="253"/>
      <x:c r="F223" s="252"/>
      <x:c r="G223" s="252"/>
      <x:c r="H223" s="252"/>
      <x:c r="I223" s="252"/>
      <x:c r="J223" s="252"/>
      <x:c r="K223" s="252"/>
      <x:c r="L223" s="252" t="str">
        <x:f>IF(A223="","",IF(OR(C223="",D223="",I223="",COUNTIF('الزبائن'!$A$6:$A$505,A223)=0,AND(C223="mobile",I223&lt;&gt;"invalid",OR(LEN(D223)&lt;&gt;10,LEFT(D223,2)&lt;&gt;"09"))),"REVIEW","READY"))</x:f>
      </x:c>
      <x:c r="M223" s="254" t="str">
        <x:f>IF(L223="READY","",IF(A223="","",TRIM(IF(COUNTIF('الزبائن'!$A$6:$A$505,A223)=0,"customer key not found; ","")&amp;IF(C223="","missing contact_type; ","")&amp;IF(D223="","missing number; ","")&amp;IF(I223="","missing status; ","")&amp;IF(AND(C223="mobile",I223&lt;&gt;"invalid",OR(LEN(D223)&lt;&gt;10,LEFT(D223,2)&lt;&gt;"09")),"mobile must be 09XXXXXXXX or status invalid; ",""))))</x:f>
      </x:c>
    </x:row>
    <x:row r="224">
      <x:c r="A224" s="251"/>
      <x:c r="B224" s="252"/>
      <x:c r="C224" s="252"/>
      <x:c r="D224" s="253"/>
      <x:c r="E224" s="253"/>
      <x:c r="F224" s="252"/>
      <x:c r="G224" s="252"/>
      <x:c r="H224" s="252"/>
      <x:c r="I224" s="252"/>
      <x:c r="J224" s="252"/>
      <x:c r="K224" s="252"/>
      <x:c r="L224" s="252" t="str">
        <x:f>IF(A224="","",IF(OR(C224="",D224="",I224="",COUNTIF('الزبائن'!$A$6:$A$505,A224)=0,AND(C224="mobile",I224&lt;&gt;"invalid",OR(LEN(D224)&lt;&gt;10,LEFT(D224,2)&lt;&gt;"09"))),"REVIEW","READY"))</x:f>
      </x:c>
      <x:c r="M224" s="254" t="str">
        <x:f>IF(L224="READY","",IF(A224="","",TRIM(IF(COUNTIF('الزبائن'!$A$6:$A$505,A224)=0,"customer key not found; ","")&amp;IF(C224="","missing contact_type; ","")&amp;IF(D224="","missing number; ","")&amp;IF(I224="","missing status; ","")&amp;IF(AND(C224="mobile",I224&lt;&gt;"invalid",OR(LEN(D224)&lt;&gt;10,LEFT(D224,2)&lt;&gt;"09")),"mobile must be 09XXXXXXXX or status invalid; ",""))))</x:f>
      </x:c>
    </x:row>
    <x:row r="225">
      <x:c r="A225" s="251"/>
      <x:c r="B225" s="252"/>
      <x:c r="C225" s="252"/>
      <x:c r="D225" s="253"/>
      <x:c r="E225" s="253"/>
      <x:c r="F225" s="252"/>
      <x:c r="G225" s="252"/>
      <x:c r="H225" s="252"/>
      <x:c r="I225" s="252"/>
      <x:c r="J225" s="252"/>
      <x:c r="K225" s="252"/>
      <x:c r="L225" s="252" t="str">
        <x:f>IF(A225="","",IF(OR(C225="",D225="",I225="",COUNTIF('الزبائن'!$A$6:$A$505,A225)=0,AND(C225="mobile",I225&lt;&gt;"invalid",OR(LEN(D225)&lt;&gt;10,LEFT(D225,2)&lt;&gt;"09"))),"REVIEW","READY"))</x:f>
      </x:c>
      <x:c r="M225" s="254" t="str">
        <x:f>IF(L225="READY","",IF(A225="","",TRIM(IF(COUNTIF('الزبائن'!$A$6:$A$505,A225)=0,"customer key not found; ","")&amp;IF(C225="","missing contact_type; ","")&amp;IF(D225="","missing number; ","")&amp;IF(I225="","missing status; ","")&amp;IF(AND(C225="mobile",I225&lt;&gt;"invalid",OR(LEN(D225)&lt;&gt;10,LEFT(D225,2)&lt;&gt;"09")),"mobile must be 09XXXXXXXX or status invalid; ",""))))</x:f>
      </x:c>
    </x:row>
    <x:row r="226">
      <x:c r="A226" s="251"/>
      <x:c r="B226" s="252"/>
      <x:c r="C226" s="252"/>
      <x:c r="D226" s="253"/>
      <x:c r="E226" s="253"/>
      <x:c r="F226" s="252"/>
      <x:c r="G226" s="252"/>
      <x:c r="H226" s="252"/>
      <x:c r="I226" s="252"/>
      <x:c r="J226" s="252"/>
      <x:c r="K226" s="252"/>
      <x:c r="L226" s="252" t="str">
        <x:f>IF(A226="","",IF(OR(C226="",D226="",I226="",COUNTIF('الزبائن'!$A$6:$A$505,A226)=0,AND(C226="mobile",I226&lt;&gt;"invalid",OR(LEN(D226)&lt;&gt;10,LEFT(D226,2)&lt;&gt;"09"))),"REVIEW","READY"))</x:f>
      </x:c>
      <x:c r="M226" s="254" t="str">
        <x:f>IF(L226="READY","",IF(A226="","",TRIM(IF(COUNTIF('الزبائن'!$A$6:$A$505,A226)=0,"customer key not found; ","")&amp;IF(C226="","missing contact_type; ","")&amp;IF(D226="","missing number; ","")&amp;IF(I226="","missing status; ","")&amp;IF(AND(C226="mobile",I226&lt;&gt;"invalid",OR(LEN(D226)&lt;&gt;10,LEFT(D226,2)&lt;&gt;"09")),"mobile must be 09XXXXXXXX or status invalid; ",""))))</x:f>
      </x:c>
    </x:row>
    <x:row r="227">
      <x:c r="A227" s="251"/>
      <x:c r="B227" s="252"/>
      <x:c r="C227" s="252"/>
      <x:c r="D227" s="253"/>
      <x:c r="E227" s="253"/>
      <x:c r="F227" s="252"/>
      <x:c r="G227" s="252"/>
      <x:c r="H227" s="252"/>
      <x:c r="I227" s="252"/>
      <x:c r="J227" s="252"/>
      <x:c r="K227" s="252"/>
      <x:c r="L227" s="252" t="str">
        <x:f>IF(A227="","",IF(OR(C227="",D227="",I227="",COUNTIF('الزبائن'!$A$6:$A$505,A227)=0,AND(C227="mobile",I227&lt;&gt;"invalid",OR(LEN(D227)&lt;&gt;10,LEFT(D227,2)&lt;&gt;"09"))),"REVIEW","READY"))</x:f>
      </x:c>
      <x:c r="M227" s="254" t="str">
        <x:f>IF(L227="READY","",IF(A227="","",TRIM(IF(COUNTIF('الزبائن'!$A$6:$A$505,A227)=0,"customer key not found; ","")&amp;IF(C227="","missing contact_type; ","")&amp;IF(D227="","missing number; ","")&amp;IF(I227="","missing status; ","")&amp;IF(AND(C227="mobile",I227&lt;&gt;"invalid",OR(LEN(D227)&lt;&gt;10,LEFT(D227,2)&lt;&gt;"09")),"mobile must be 09XXXXXXXX or status invalid; ",""))))</x:f>
      </x:c>
    </x:row>
    <x:row r="228">
      <x:c r="A228" s="251"/>
      <x:c r="B228" s="252"/>
      <x:c r="C228" s="252"/>
      <x:c r="D228" s="253"/>
      <x:c r="E228" s="253"/>
      <x:c r="F228" s="252"/>
      <x:c r="G228" s="252"/>
      <x:c r="H228" s="252"/>
      <x:c r="I228" s="252"/>
      <x:c r="J228" s="252"/>
      <x:c r="K228" s="252"/>
      <x:c r="L228" s="252" t="str">
        <x:f>IF(A228="","",IF(OR(C228="",D228="",I228="",COUNTIF('الزبائن'!$A$6:$A$505,A228)=0,AND(C228="mobile",I228&lt;&gt;"invalid",OR(LEN(D228)&lt;&gt;10,LEFT(D228,2)&lt;&gt;"09"))),"REVIEW","READY"))</x:f>
      </x:c>
      <x:c r="M228" s="254" t="str">
        <x:f>IF(L228="READY","",IF(A228="","",TRIM(IF(COUNTIF('الزبائن'!$A$6:$A$505,A228)=0,"customer key not found; ","")&amp;IF(C228="","missing contact_type; ","")&amp;IF(D228="","missing number; ","")&amp;IF(I228="","missing status; ","")&amp;IF(AND(C228="mobile",I228&lt;&gt;"invalid",OR(LEN(D228)&lt;&gt;10,LEFT(D228,2)&lt;&gt;"09")),"mobile must be 09XXXXXXXX or status invalid; ",""))))</x:f>
      </x:c>
    </x:row>
    <x:row r="229">
      <x:c r="A229" s="251"/>
      <x:c r="B229" s="252"/>
      <x:c r="C229" s="252"/>
      <x:c r="D229" s="253"/>
      <x:c r="E229" s="253"/>
      <x:c r="F229" s="252"/>
      <x:c r="G229" s="252"/>
      <x:c r="H229" s="252"/>
      <x:c r="I229" s="252"/>
      <x:c r="J229" s="252"/>
      <x:c r="K229" s="252"/>
      <x:c r="L229" s="252" t="str">
        <x:f>IF(A229="","",IF(OR(C229="",D229="",I229="",COUNTIF('الزبائن'!$A$6:$A$505,A229)=0,AND(C229="mobile",I229&lt;&gt;"invalid",OR(LEN(D229)&lt;&gt;10,LEFT(D229,2)&lt;&gt;"09"))),"REVIEW","READY"))</x:f>
      </x:c>
      <x:c r="M229" s="254" t="str">
        <x:f>IF(L229="READY","",IF(A229="","",TRIM(IF(COUNTIF('الزبائن'!$A$6:$A$505,A229)=0,"customer key not found; ","")&amp;IF(C229="","missing contact_type; ","")&amp;IF(D229="","missing number; ","")&amp;IF(I229="","missing status; ","")&amp;IF(AND(C229="mobile",I229&lt;&gt;"invalid",OR(LEN(D229)&lt;&gt;10,LEFT(D229,2)&lt;&gt;"09")),"mobile must be 09XXXXXXXX or status invalid; ",""))))</x:f>
      </x:c>
    </x:row>
    <x:row r="230">
      <x:c r="A230" s="251"/>
      <x:c r="B230" s="252"/>
      <x:c r="C230" s="252"/>
      <x:c r="D230" s="253"/>
      <x:c r="E230" s="253"/>
      <x:c r="F230" s="252"/>
      <x:c r="G230" s="252"/>
      <x:c r="H230" s="252"/>
      <x:c r="I230" s="252"/>
      <x:c r="J230" s="252"/>
      <x:c r="K230" s="252"/>
      <x:c r="L230" s="252" t="str">
        <x:f>IF(A230="","",IF(OR(C230="",D230="",I230="",COUNTIF('الزبائن'!$A$6:$A$505,A230)=0,AND(C230="mobile",I230&lt;&gt;"invalid",OR(LEN(D230)&lt;&gt;10,LEFT(D230,2)&lt;&gt;"09"))),"REVIEW","READY"))</x:f>
      </x:c>
      <x:c r="M230" s="254" t="str">
        <x:f>IF(L230="READY","",IF(A230="","",TRIM(IF(COUNTIF('الزبائن'!$A$6:$A$505,A230)=0,"customer key not found; ","")&amp;IF(C230="","missing contact_type; ","")&amp;IF(D230="","missing number; ","")&amp;IF(I230="","missing status; ","")&amp;IF(AND(C230="mobile",I230&lt;&gt;"invalid",OR(LEN(D230)&lt;&gt;10,LEFT(D230,2)&lt;&gt;"09")),"mobile must be 09XXXXXXXX or status invalid; ",""))))</x:f>
      </x:c>
    </x:row>
    <x:row r="231">
      <x:c r="A231" s="251"/>
      <x:c r="B231" s="252"/>
      <x:c r="C231" s="252"/>
      <x:c r="D231" s="253"/>
      <x:c r="E231" s="253"/>
      <x:c r="F231" s="252"/>
      <x:c r="G231" s="252"/>
      <x:c r="H231" s="252"/>
      <x:c r="I231" s="252"/>
      <x:c r="J231" s="252"/>
      <x:c r="K231" s="252"/>
      <x:c r="L231" s="252" t="str">
        <x:f>IF(A231="","",IF(OR(C231="",D231="",I231="",COUNTIF('الزبائن'!$A$6:$A$505,A231)=0,AND(C231="mobile",I231&lt;&gt;"invalid",OR(LEN(D231)&lt;&gt;10,LEFT(D231,2)&lt;&gt;"09"))),"REVIEW","READY"))</x:f>
      </x:c>
      <x:c r="M231" s="254" t="str">
        <x:f>IF(L231="READY","",IF(A231="","",TRIM(IF(COUNTIF('الزبائن'!$A$6:$A$505,A231)=0,"customer key not found; ","")&amp;IF(C231="","missing contact_type; ","")&amp;IF(D231="","missing number; ","")&amp;IF(I231="","missing status; ","")&amp;IF(AND(C231="mobile",I231&lt;&gt;"invalid",OR(LEN(D231)&lt;&gt;10,LEFT(D231,2)&lt;&gt;"09")),"mobile must be 09XXXXXXXX or status invalid; ",""))))</x:f>
      </x:c>
    </x:row>
    <x:row r="232">
      <x:c r="A232" s="251"/>
      <x:c r="B232" s="252"/>
      <x:c r="C232" s="252"/>
      <x:c r="D232" s="253"/>
      <x:c r="E232" s="253"/>
      <x:c r="F232" s="252"/>
      <x:c r="G232" s="252"/>
      <x:c r="H232" s="252"/>
      <x:c r="I232" s="252"/>
      <x:c r="J232" s="252"/>
      <x:c r="K232" s="252"/>
      <x:c r="L232" s="252" t="str">
        <x:f>IF(A232="","",IF(OR(C232="",D232="",I232="",COUNTIF('الزبائن'!$A$6:$A$505,A232)=0,AND(C232="mobile",I232&lt;&gt;"invalid",OR(LEN(D232)&lt;&gt;10,LEFT(D232,2)&lt;&gt;"09"))),"REVIEW","READY"))</x:f>
      </x:c>
      <x:c r="M232" s="254" t="str">
        <x:f>IF(L232="READY","",IF(A232="","",TRIM(IF(COUNTIF('الزبائن'!$A$6:$A$505,A232)=0,"customer key not found; ","")&amp;IF(C232="","missing contact_type; ","")&amp;IF(D232="","missing number; ","")&amp;IF(I232="","missing status; ","")&amp;IF(AND(C232="mobile",I232&lt;&gt;"invalid",OR(LEN(D232)&lt;&gt;10,LEFT(D232,2)&lt;&gt;"09")),"mobile must be 09XXXXXXXX or status invalid; ",""))))</x:f>
      </x:c>
    </x:row>
    <x:row r="233">
      <x:c r="A233" s="251"/>
      <x:c r="B233" s="252"/>
      <x:c r="C233" s="252"/>
      <x:c r="D233" s="253"/>
      <x:c r="E233" s="253"/>
      <x:c r="F233" s="252"/>
      <x:c r="G233" s="252"/>
      <x:c r="H233" s="252"/>
      <x:c r="I233" s="252"/>
      <x:c r="J233" s="252"/>
      <x:c r="K233" s="252"/>
      <x:c r="L233" s="252" t="str">
        <x:f>IF(A233="","",IF(OR(C233="",D233="",I233="",COUNTIF('الزبائن'!$A$6:$A$505,A233)=0,AND(C233="mobile",I233&lt;&gt;"invalid",OR(LEN(D233)&lt;&gt;10,LEFT(D233,2)&lt;&gt;"09"))),"REVIEW","READY"))</x:f>
      </x:c>
      <x:c r="M233" s="254" t="str">
        <x:f>IF(L233="READY","",IF(A233="","",TRIM(IF(COUNTIF('الزبائن'!$A$6:$A$505,A233)=0,"customer key not found; ","")&amp;IF(C233="","missing contact_type; ","")&amp;IF(D233="","missing number; ","")&amp;IF(I233="","missing status; ","")&amp;IF(AND(C233="mobile",I233&lt;&gt;"invalid",OR(LEN(D233)&lt;&gt;10,LEFT(D233,2)&lt;&gt;"09")),"mobile must be 09XXXXXXXX or status invalid; ",""))))</x:f>
      </x:c>
    </x:row>
    <x:row r="234">
      <x:c r="A234" s="251"/>
      <x:c r="B234" s="252"/>
      <x:c r="C234" s="252"/>
      <x:c r="D234" s="253"/>
      <x:c r="E234" s="253"/>
      <x:c r="F234" s="252"/>
      <x:c r="G234" s="252"/>
      <x:c r="H234" s="252"/>
      <x:c r="I234" s="252"/>
      <x:c r="J234" s="252"/>
      <x:c r="K234" s="252"/>
      <x:c r="L234" s="252" t="str">
        <x:f>IF(A234="","",IF(OR(C234="",D234="",I234="",COUNTIF('الزبائن'!$A$6:$A$505,A234)=0,AND(C234="mobile",I234&lt;&gt;"invalid",OR(LEN(D234)&lt;&gt;10,LEFT(D234,2)&lt;&gt;"09"))),"REVIEW","READY"))</x:f>
      </x:c>
      <x:c r="M234" s="254" t="str">
        <x:f>IF(L234="READY","",IF(A234="","",TRIM(IF(COUNTIF('الزبائن'!$A$6:$A$505,A234)=0,"customer key not found; ","")&amp;IF(C234="","missing contact_type; ","")&amp;IF(D234="","missing number; ","")&amp;IF(I234="","missing status; ","")&amp;IF(AND(C234="mobile",I234&lt;&gt;"invalid",OR(LEN(D234)&lt;&gt;10,LEFT(D234,2)&lt;&gt;"09")),"mobile must be 09XXXXXXXX or status invalid; ",""))))</x:f>
      </x:c>
    </x:row>
    <x:row r="235">
      <x:c r="A235" s="251"/>
      <x:c r="B235" s="252"/>
      <x:c r="C235" s="252"/>
      <x:c r="D235" s="253"/>
      <x:c r="E235" s="253"/>
      <x:c r="F235" s="252"/>
      <x:c r="G235" s="252"/>
      <x:c r="H235" s="252"/>
      <x:c r="I235" s="252"/>
      <x:c r="J235" s="252"/>
      <x:c r="K235" s="252"/>
      <x:c r="L235" s="252" t="str">
        <x:f>IF(A235="","",IF(OR(C235="",D235="",I235="",COUNTIF('الزبائن'!$A$6:$A$505,A235)=0,AND(C235="mobile",I235&lt;&gt;"invalid",OR(LEN(D235)&lt;&gt;10,LEFT(D235,2)&lt;&gt;"09"))),"REVIEW","READY"))</x:f>
      </x:c>
      <x:c r="M235" s="254" t="str">
        <x:f>IF(L235="READY","",IF(A235="","",TRIM(IF(COUNTIF('الزبائن'!$A$6:$A$505,A235)=0,"customer key not found; ","")&amp;IF(C235="","missing contact_type; ","")&amp;IF(D235="","missing number; ","")&amp;IF(I235="","missing status; ","")&amp;IF(AND(C235="mobile",I235&lt;&gt;"invalid",OR(LEN(D235)&lt;&gt;10,LEFT(D235,2)&lt;&gt;"09")),"mobile must be 09XXXXXXXX or status invalid; ",""))))</x:f>
      </x:c>
    </x:row>
    <x:row r="236">
      <x:c r="A236" s="251"/>
      <x:c r="B236" s="252"/>
      <x:c r="C236" s="252"/>
      <x:c r="D236" s="253"/>
      <x:c r="E236" s="253"/>
      <x:c r="F236" s="252"/>
      <x:c r="G236" s="252"/>
      <x:c r="H236" s="252"/>
      <x:c r="I236" s="252"/>
      <x:c r="J236" s="252"/>
      <x:c r="K236" s="252"/>
      <x:c r="L236" s="252" t="str">
        <x:f>IF(A236="","",IF(OR(C236="",D236="",I236="",COUNTIF('الزبائن'!$A$6:$A$505,A236)=0,AND(C236="mobile",I236&lt;&gt;"invalid",OR(LEN(D236)&lt;&gt;10,LEFT(D236,2)&lt;&gt;"09"))),"REVIEW","READY"))</x:f>
      </x:c>
      <x:c r="M236" s="254" t="str">
        <x:f>IF(L236="READY","",IF(A236="","",TRIM(IF(COUNTIF('الزبائن'!$A$6:$A$505,A236)=0,"customer key not found; ","")&amp;IF(C236="","missing contact_type; ","")&amp;IF(D236="","missing number; ","")&amp;IF(I236="","missing status; ","")&amp;IF(AND(C236="mobile",I236&lt;&gt;"invalid",OR(LEN(D236)&lt;&gt;10,LEFT(D236,2)&lt;&gt;"09")),"mobile must be 09XXXXXXXX or status invalid; ",""))))</x:f>
      </x:c>
    </x:row>
    <x:row r="237">
      <x:c r="A237" s="251"/>
      <x:c r="B237" s="252"/>
      <x:c r="C237" s="252"/>
      <x:c r="D237" s="253"/>
      <x:c r="E237" s="253"/>
      <x:c r="F237" s="252"/>
      <x:c r="G237" s="252"/>
      <x:c r="H237" s="252"/>
      <x:c r="I237" s="252"/>
      <x:c r="J237" s="252"/>
      <x:c r="K237" s="252"/>
      <x:c r="L237" s="252" t="str">
        <x:f>IF(A237="","",IF(OR(C237="",D237="",I237="",COUNTIF('الزبائن'!$A$6:$A$505,A237)=0,AND(C237="mobile",I237&lt;&gt;"invalid",OR(LEN(D237)&lt;&gt;10,LEFT(D237,2)&lt;&gt;"09"))),"REVIEW","READY"))</x:f>
      </x:c>
      <x:c r="M237" s="254" t="str">
        <x:f>IF(L237="READY","",IF(A237="","",TRIM(IF(COUNTIF('الزبائن'!$A$6:$A$505,A237)=0,"customer key not found; ","")&amp;IF(C237="","missing contact_type; ","")&amp;IF(D237="","missing number; ","")&amp;IF(I237="","missing status; ","")&amp;IF(AND(C237="mobile",I237&lt;&gt;"invalid",OR(LEN(D237)&lt;&gt;10,LEFT(D237,2)&lt;&gt;"09")),"mobile must be 09XXXXXXXX or status invalid; ",""))))</x:f>
      </x:c>
    </x:row>
    <x:row r="238">
      <x:c r="A238" s="251"/>
      <x:c r="B238" s="252"/>
      <x:c r="C238" s="252"/>
      <x:c r="D238" s="253"/>
      <x:c r="E238" s="253"/>
      <x:c r="F238" s="252"/>
      <x:c r="G238" s="252"/>
      <x:c r="H238" s="252"/>
      <x:c r="I238" s="252"/>
      <x:c r="J238" s="252"/>
      <x:c r="K238" s="252"/>
      <x:c r="L238" s="252" t="str">
        <x:f>IF(A238="","",IF(OR(C238="",D238="",I238="",COUNTIF('الزبائن'!$A$6:$A$505,A238)=0,AND(C238="mobile",I238&lt;&gt;"invalid",OR(LEN(D238)&lt;&gt;10,LEFT(D238,2)&lt;&gt;"09"))),"REVIEW","READY"))</x:f>
      </x:c>
      <x:c r="M238" s="254" t="str">
        <x:f>IF(L238="READY","",IF(A238="","",TRIM(IF(COUNTIF('الزبائن'!$A$6:$A$505,A238)=0,"customer key not found; ","")&amp;IF(C238="","missing contact_type; ","")&amp;IF(D238="","missing number; ","")&amp;IF(I238="","missing status; ","")&amp;IF(AND(C238="mobile",I238&lt;&gt;"invalid",OR(LEN(D238)&lt;&gt;10,LEFT(D238,2)&lt;&gt;"09")),"mobile must be 09XXXXXXXX or status invalid; ",""))))</x:f>
      </x:c>
    </x:row>
    <x:row r="239">
      <x:c r="A239" s="251"/>
      <x:c r="B239" s="252"/>
      <x:c r="C239" s="252"/>
      <x:c r="D239" s="253"/>
      <x:c r="E239" s="253"/>
      <x:c r="F239" s="252"/>
      <x:c r="G239" s="252"/>
      <x:c r="H239" s="252"/>
      <x:c r="I239" s="252"/>
      <x:c r="J239" s="252"/>
      <x:c r="K239" s="252"/>
      <x:c r="L239" s="252" t="str">
        <x:f>IF(A239="","",IF(OR(C239="",D239="",I239="",COUNTIF('الزبائن'!$A$6:$A$505,A239)=0,AND(C239="mobile",I239&lt;&gt;"invalid",OR(LEN(D239)&lt;&gt;10,LEFT(D239,2)&lt;&gt;"09"))),"REVIEW","READY"))</x:f>
      </x:c>
      <x:c r="M239" s="254" t="str">
        <x:f>IF(L239="READY","",IF(A239="","",TRIM(IF(COUNTIF('الزبائن'!$A$6:$A$505,A239)=0,"customer key not found; ","")&amp;IF(C239="","missing contact_type; ","")&amp;IF(D239="","missing number; ","")&amp;IF(I239="","missing status; ","")&amp;IF(AND(C239="mobile",I239&lt;&gt;"invalid",OR(LEN(D239)&lt;&gt;10,LEFT(D239,2)&lt;&gt;"09")),"mobile must be 09XXXXXXXX or status invalid; ",""))))</x:f>
      </x:c>
    </x:row>
    <x:row r="240">
      <x:c r="A240" s="251"/>
      <x:c r="B240" s="252"/>
      <x:c r="C240" s="252"/>
      <x:c r="D240" s="253"/>
      <x:c r="E240" s="253"/>
      <x:c r="F240" s="252"/>
      <x:c r="G240" s="252"/>
      <x:c r="H240" s="252"/>
      <x:c r="I240" s="252"/>
      <x:c r="J240" s="252"/>
      <x:c r="K240" s="252"/>
      <x:c r="L240" s="252" t="str">
        <x:f>IF(A240="","",IF(OR(C240="",D240="",I240="",COUNTIF('الزبائن'!$A$6:$A$505,A240)=0,AND(C240="mobile",I240&lt;&gt;"invalid",OR(LEN(D240)&lt;&gt;10,LEFT(D240,2)&lt;&gt;"09"))),"REVIEW","READY"))</x:f>
      </x:c>
      <x:c r="M240" s="254" t="str">
        <x:f>IF(L240="READY","",IF(A240="","",TRIM(IF(COUNTIF('الزبائن'!$A$6:$A$505,A240)=0,"customer key not found; ","")&amp;IF(C240="","missing contact_type; ","")&amp;IF(D240="","missing number; ","")&amp;IF(I240="","missing status; ","")&amp;IF(AND(C240="mobile",I240&lt;&gt;"invalid",OR(LEN(D240)&lt;&gt;10,LEFT(D240,2)&lt;&gt;"09")),"mobile must be 09XXXXXXXX or status invalid; ",""))))</x:f>
      </x:c>
    </x:row>
    <x:row r="241">
      <x:c r="A241" s="251"/>
      <x:c r="B241" s="252"/>
      <x:c r="C241" s="252"/>
      <x:c r="D241" s="253"/>
      <x:c r="E241" s="253"/>
      <x:c r="F241" s="252"/>
      <x:c r="G241" s="252"/>
      <x:c r="H241" s="252"/>
      <x:c r="I241" s="252"/>
      <x:c r="J241" s="252"/>
      <x:c r="K241" s="252"/>
      <x:c r="L241" s="252" t="str">
        <x:f>IF(A241="","",IF(OR(C241="",D241="",I241="",COUNTIF('الزبائن'!$A$6:$A$505,A241)=0,AND(C241="mobile",I241&lt;&gt;"invalid",OR(LEN(D241)&lt;&gt;10,LEFT(D241,2)&lt;&gt;"09"))),"REVIEW","READY"))</x:f>
      </x:c>
      <x:c r="M241" s="254" t="str">
        <x:f>IF(L241="READY","",IF(A241="","",TRIM(IF(COUNTIF('الزبائن'!$A$6:$A$505,A241)=0,"customer key not found; ","")&amp;IF(C241="","missing contact_type; ","")&amp;IF(D241="","missing number; ","")&amp;IF(I241="","missing status; ","")&amp;IF(AND(C241="mobile",I241&lt;&gt;"invalid",OR(LEN(D241)&lt;&gt;10,LEFT(D241,2)&lt;&gt;"09")),"mobile must be 09XXXXXXXX or status invalid; ",""))))</x:f>
      </x:c>
    </x:row>
    <x:row r="242">
      <x:c r="A242" s="251"/>
      <x:c r="B242" s="252"/>
      <x:c r="C242" s="252"/>
      <x:c r="D242" s="253"/>
      <x:c r="E242" s="253"/>
      <x:c r="F242" s="252"/>
      <x:c r="G242" s="252"/>
      <x:c r="H242" s="252"/>
      <x:c r="I242" s="252"/>
      <x:c r="J242" s="252"/>
      <x:c r="K242" s="252"/>
      <x:c r="L242" s="252" t="str">
        <x:f>IF(A242="","",IF(OR(C242="",D242="",I242="",COUNTIF('الزبائن'!$A$6:$A$505,A242)=0,AND(C242="mobile",I242&lt;&gt;"invalid",OR(LEN(D242)&lt;&gt;10,LEFT(D242,2)&lt;&gt;"09"))),"REVIEW","READY"))</x:f>
      </x:c>
      <x:c r="M242" s="254" t="str">
        <x:f>IF(L242="READY","",IF(A242="","",TRIM(IF(COUNTIF('الزبائن'!$A$6:$A$505,A242)=0,"customer key not found; ","")&amp;IF(C242="","missing contact_type; ","")&amp;IF(D242="","missing number; ","")&amp;IF(I242="","missing status; ","")&amp;IF(AND(C242="mobile",I242&lt;&gt;"invalid",OR(LEN(D242)&lt;&gt;10,LEFT(D242,2)&lt;&gt;"09")),"mobile must be 09XXXXXXXX or status invalid; ",""))))</x:f>
      </x:c>
    </x:row>
    <x:row r="243">
      <x:c r="A243" s="251"/>
      <x:c r="B243" s="252"/>
      <x:c r="C243" s="252"/>
      <x:c r="D243" s="253"/>
      <x:c r="E243" s="253"/>
      <x:c r="F243" s="252"/>
      <x:c r="G243" s="252"/>
      <x:c r="H243" s="252"/>
      <x:c r="I243" s="252"/>
      <x:c r="J243" s="252"/>
      <x:c r="K243" s="252"/>
      <x:c r="L243" s="252" t="str">
        <x:f>IF(A243="","",IF(OR(C243="",D243="",I243="",COUNTIF('الزبائن'!$A$6:$A$505,A243)=0,AND(C243="mobile",I243&lt;&gt;"invalid",OR(LEN(D243)&lt;&gt;10,LEFT(D243,2)&lt;&gt;"09"))),"REVIEW","READY"))</x:f>
      </x:c>
      <x:c r="M243" s="254" t="str">
        <x:f>IF(L243="READY","",IF(A243="","",TRIM(IF(COUNTIF('الزبائن'!$A$6:$A$505,A243)=0,"customer key not found; ","")&amp;IF(C243="","missing contact_type; ","")&amp;IF(D243="","missing number; ","")&amp;IF(I243="","missing status; ","")&amp;IF(AND(C243="mobile",I243&lt;&gt;"invalid",OR(LEN(D243)&lt;&gt;10,LEFT(D243,2)&lt;&gt;"09")),"mobile must be 09XXXXXXXX or status invalid; ",""))))</x:f>
      </x:c>
    </x:row>
    <x:row r="244">
      <x:c r="A244" s="251"/>
      <x:c r="B244" s="252"/>
      <x:c r="C244" s="252"/>
      <x:c r="D244" s="253"/>
      <x:c r="E244" s="253"/>
      <x:c r="F244" s="252"/>
      <x:c r="G244" s="252"/>
      <x:c r="H244" s="252"/>
      <x:c r="I244" s="252"/>
      <x:c r="J244" s="252"/>
      <x:c r="K244" s="252"/>
      <x:c r="L244" s="252" t="str">
        <x:f>IF(A244="","",IF(OR(C244="",D244="",I244="",COUNTIF('الزبائن'!$A$6:$A$505,A244)=0,AND(C244="mobile",I244&lt;&gt;"invalid",OR(LEN(D244)&lt;&gt;10,LEFT(D244,2)&lt;&gt;"09"))),"REVIEW","READY"))</x:f>
      </x:c>
      <x:c r="M244" s="254" t="str">
        <x:f>IF(L244="READY","",IF(A244="","",TRIM(IF(COUNTIF('الزبائن'!$A$6:$A$505,A244)=0,"customer key not found; ","")&amp;IF(C244="","missing contact_type; ","")&amp;IF(D244="","missing number; ","")&amp;IF(I244="","missing status; ","")&amp;IF(AND(C244="mobile",I244&lt;&gt;"invalid",OR(LEN(D244)&lt;&gt;10,LEFT(D244,2)&lt;&gt;"09")),"mobile must be 09XXXXXXXX or status invalid; ",""))))</x:f>
      </x:c>
    </x:row>
    <x:row r="245">
      <x:c r="A245" s="251"/>
      <x:c r="B245" s="252"/>
      <x:c r="C245" s="252"/>
      <x:c r="D245" s="253"/>
      <x:c r="E245" s="253"/>
      <x:c r="F245" s="252"/>
      <x:c r="G245" s="252"/>
      <x:c r="H245" s="252"/>
      <x:c r="I245" s="252"/>
      <x:c r="J245" s="252"/>
      <x:c r="K245" s="252"/>
      <x:c r="L245" s="252" t="str">
        <x:f>IF(A245="","",IF(OR(C245="",D245="",I245="",COUNTIF('الزبائن'!$A$6:$A$505,A245)=0,AND(C245="mobile",I245&lt;&gt;"invalid",OR(LEN(D245)&lt;&gt;10,LEFT(D245,2)&lt;&gt;"09"))),"REVIEW","READY"))</x:f>
      </x:c>
      <x:c r="M245" s="254" t="str">
        <x:f>IF(L245="READY","",IF(A245="","",TRIM(IF(COUNTIF('الزبائن'!$A$6:$A$505,A245)=0,"customer key not found; ","")&amp;IF(C245="","missing contact_type; ","")&amp;IF(D245="","missing number; ","")&amp;IF(I245="","missing status; ","")&amp;IF(AND(C245="mobile",I245&lt;&gt;"invalid",OR(LEN(D245)&lt;&gt;10,LEFT(D245,2)&lt;&gt;"09")),"mobile must be 09XXXXXXXX or status invalid; ",""))))</x:f>
      </x:c>
    </x:row>
    <x:row r="246">
      <x:c r="A246" s="251"/>
      <x:c r="B246" s="252"/>
      <x:c r="C246" s="252"/>
      <x:c r="D246" s="253"/>
      <x:c r="E246" s="253"/>
      <x:c r="F246" s="252"/>
      <x:c r="G246" s="252"/>
      <x:c r="H246" s="252"/>
      <x:c r="I246" s="252"/>
      <x:c r="J246" s="252"/>
      <x:c r="K246" s="252"/>
      <x:c r="L246" s="252" t="str">
        <x:f>IF(A246="","",IF(OR(C246="",D246="",I246="",COUNTIF('الزبائن'!$A$6:$A$505,A246)=0,AND(C246="mobile",I246&lt;&gt;"invalid",OR(LEN(D246)&lt;&gt;10,LEFT(D246,2)&lt;&gt;"09"))),"REVIEW","READY"))</x:f>
      </x:c>
      <x:c r="M246" s="254" t="str">
        <x:f>IF(L246="READY","",IF(A246="","",TRIM(IF(COUNTIF('الزبائن'!$A$6:$A$505,A246)=0,"customer key not found; ","")&amp;IF(C246="","missing contact_type; ","")&amp;IF(D246="","missing number; ","")&amp;IF(I246="","missing status; ","")&amp;IF(AND(C246="mobile",I246&lt;&gt;"invalid",OR(LEN(D246)&lt;&gt;10,LEFT(D246,2)&lt;&gt;"09")),"mobile must be 09XXXXXXXX or status invalid; ",""))))</x:f>
      </x:c>
    </x:row>
    <x:row r="247">
      <x:c r="A247" s="251"/>
      <x:c r="B247" s="252"/>
      <x:c r="C247" s="252"/>
      <x:c r="D247" s="253"/>
      <x:c r="E247" s="253"/>
      <x:c r="F247" s="252"/>
      <x:c r="G247" s="252"/>
      <x:c r="H247" s="252"/>
      <x:c r="I247" s="252"/>
      <x:c r="J247" s="252"/>
      <x:c r="K247" s="252"/>
      <x:c r="L247" s="252" t="str">
        <x:f>IF(A247="","",IF(OR(C247="",D247="",I247="",COUNTIF('الزبائن'!$A$6:$A$505,A247)=0,AND(C247="mobile",I247&lt;&gt;"invalid",OR(LEN(D247)&lt;&gt;10,LEFT(D247,2)&lt;&gt;"09"))),"REVIEW","READY"))</x:f>
      </x:c>
      <x:c r="M247" s="254" t="str">
        <x:f>IF(L247="READY","",IF(A247="","",TRIM(IF(COUNTIF('الزبائن'!$A$6:$A$505,A247)=0,"customer key not found; ","")&amp;IF(C247="","missing contact_type; ","")&amp;IF(D247="","missing number; ","")&amp;IF(I247="","missing status; ","")&amp;IF(AND(C247="mobile",I247&lt;&gt;"invalid",OR(LEN(D247)&lt;&gt;10,LEFT(D247,2)&lt;&gt;"09")),"mobile must be 09XXXXXXXX or status invalid; ",""))))</x:f>
      </x:c>
    </x:row>
    <x:row r="248">
      <x:c r="A248" s="251"/>
      <x:c r="B248" s="252"/>
      <x:c r="C248" s="252"/>
      <x:c r="D248" s="253"/>
      <x:c r="E248" s="253"/>
      <x:c r="F248" s="252"/>
      <x:c r="G248" s="252"/>
      <x:c r="H248" s="252"/>
      <x:c r="I248" s="252"/>
      <x:c r="J248" s="252"/>
      <x:c r="K248" s="252"/>
      <x:c r="L248" s="252" t="str">
        <x:f>IF(A248="","",IF(OR(C248="",D248="",I248="",COUNTIF('الزبائن'!$A$6:$A$505,A248)=0,AND(C248="mobile",I248&lt;&gt;"invalid",OR(LEN(D248)&lt;&gt;10,LEFT(D248,2)&lt;&gt;"09"))),"REVIEW","READY"))</x:f>
      </x:c>
      <x:c r="M248" s="254" t="str">
        <x:f>IF(L248="READY","",IF(A248="","",TRIM(IF(COUNTIF('الزبائن'!$A$6:$A$505,A248)=0,"customer key not found; ","")&amp;IF(C248="","missing contact_type; ","")&amp;IF(D248="","missing number; ","")&amp;IF(I248="","missing status; ","")&amp;IF(AND(C248="mobile",I248&lt;&gt;"invalid",OR(LEN(D248)&lt;&gt;10,LEFT(D248,2)&lt;&gt;"09")),"mobile must be 09XXXXXXXX or status invalid; ",""))))</x:f>
      </x:c>
    </x:row>
    <x:row r="249">
      <x:c r="A249" s="251"/>
      <x:c r="B249" s="252"/>
      <x:c r="C249" s="252"/>
      <x:c r="D249" s="253"/>
      <x:c r="E249" s="253"/>
      <x:c r="F249" s="252"/>
      <x:c r="G249" s="252"/>
      <x:c r="H249" s="252"/>
      <x:c r="I249" s="252"/>
      <x:c r="J249" s="252"/>
      <x:c r="K249" s="252"/>
      <x:c r="L249" s="252" t="str">
        <x:f>IF(A249="","",IF(OR(C249="",D249="",I249="",COUNTIF('الزبائن'!$A$6:$A$505,A249)=0,AND(C249="mobile",I249&lt;&gt;"invalid",OR(LEN(D249)&lt;&gt;10,LEFT(D249,2)&lt;&gt;"09"))),"REVIEW","READY"))</x:f>
      </x:c>
      <x:c r="M249" s="254" t="str">
        <x:f>IF(L249="READY","",IF(A249="","",TRIM(IF(COUNTIF('الزبائن'!$A$6:$A$505,A249)=0,"customer key not found; ","")&amp;IF(C249="","missing contact_type; ","")&amp;IF(D249="","missing number; ","")&amp;IF(I249="","missing status; ","")&amp;IF(AND(C249="mobile",I249&lt;&gt;"invalid",OR(LEN(D249)&lt;&gt;10,LEFT(D249,2)&lt;&gt;"09")),"mobile must be 09XXXXXXXX or status invalid; ",""))))</x:f>
      </x:c>
    </x:row>
    <x:row r="250">
      <x:c r="A250" s="251"/>
      <x:c r="B250" s="252"/>
      <x:c r="C250" s="252"/>
      <x:c r="D250" s="253"/>
      <x:c r="E250" s="253"/>
      <x:c r="F250" s="252"/>
      <x:c r="G250" s="252"/>
      <x:c r="H250" s="252"/>
      <x:c r="I250" s="252"/>
      <x:c r="J250" s="252"/>
      <x:c r="K250" s="252"/>
      <x:c r="L250" s="252" t="str">
        <x:f>IF(A250="","",IF(OR(C250="",D250="",I250="",COUNTIF('الزبائن'!$A$6:$A$505,A250)=0,AND(C250="mobile",I250&lt;&gt;"invalid",OR(LEN(D250)&lt;&gt;10,LEFT(D250,2)&lt;&gt;"09"))),"REVIEW","READY"))</x:f>
      </x:c>
      <x:c r="M250" s="254" t="str">
        <x:f>IF(L250="READY","",IF(A250="","",TRIM(IF(COUNTIF('الزبائن'!$A$6:$A$505,A250)=0,"customer key not found; ","")&amp;IF(C250="","missing contact_type; ","")&amp;IF(D250="","missing number; ","")&amp;IF(I250="","missing status; ","")&amp;IF(AND(C250="mobile",I250&lt;&gt;"invalid",OR(LEN(D250)&lt;&gt;10,LEFT(D250,2)&lt;&gt;"09")),"mobile must be 09XXXXXXXX or status invalid; ",""))))</x:f>
      </x:c>
    </x:row>
    <x:row r="251">
      <x:c r="A251" s="251"/>
      <x:c r="B251" s="252"/>
      <x:c r="C251" s="252"/>
      <x:c r="D251" s="253"/>
      <x:c r="E251" s="253"/>
      <x:c r="F251" s="252"/>
      <x:c r="G251" s="252"/>
      <x:c r="H251" s="252"/>
      <x:c r="I251" s="252"/>
      <x:c r="J251" s="252"/>
      <x:c r="K251" s="252"/>
      <x:c r="L251" s="252" t="str">
        <x:f>IF(A251="","",IF(OR(C251="",D251="",I251="",COUNTIF('الزبائن'!$A$6:$A$505,A251)=0,AND(C251="mobile",I251&lt;&gt;"invalid",OR(LEN(D251)&lt;&gt;10,LEFT(D251,2)&lt;&gt;"09"))),"REVIEW","READY"))</x:f>
      </x:c>
      <x:c r="M251" s="254" t="str">
        <x:f>IF(L251="READY","",IF(A251="","",TRIM(IF(COUNTIF('الزبائن'!$A$6:$A$505,A251)=0,"customer key not found; ","")&amp;IF(C251="","missing contact_type; ","")&amp;IF(D251="","missing number; ","")&amp;IF(I251="","missing status; ","")&amp;IF(AND(C251="mobile",I251&lt;&gt;"invalid",OR(LEN(D251)&lt;&gt;10,LEFT(D251,2)&lt;&gt;"09")),"mobile must be 09XXXXXXXX or status invalid; ",""))))</x:f>
      </x:c>
    </x:row>
    <x:row r="252">
      <x:c r="A252" s="251"/>
      <x:c r="B252" s="252"/>
      <x:c r="C252" s="252"/>
      <x:c r="D252" s="253"/>
      <x:c r="E252" s="253"/>
      <x:c r="F252" s="252"/>
      <x:c r="G252" s="252"/>
      <x:c r="H252" s="252"/>
      <x:c r="I252" s="252"/>
      <x:c r="J252" s="252"/>
      <x:c r="K252" s="252"/>
      <x:c r="L252" s="252" t="str">
        <x:f>IF(A252="","",IF(OR(C252="",D252="",I252="",COUNTIF('الزبائن'!$A$6:$A$505,A252)=0,AND(C252="mobile",I252&lt;&gt;"invalid",OR(LEN(D252)&lt;&gt;10,LEFT(D252,2)&lt;&gt;"09"))),"REVIEW","READY"))</x:f>
      </x:c>
      <x:c r="M252" s="254" t="str">
        <x:f>IF(L252="READY","",IF(A252="","",TRIM(IF(COUNTIF('الزبائن'!$A$6:$A$505,A252)=0,"customer key not found; ","")&amp;IF(C252="","missing contact_type; ","")&amp;IF(D252="","missing number; ","")&amp;IF(I252="","missing status; ","")&amp;IF(AND(C252="mobile",I252&lt;&gt;"invalid",OR(LEN(D252)&lt;&gt;10,LEFT(D252,2)&lt;&gt;"09")),"mobile must be 09XXXXXXXX or status invalid; ",""))))</x:f>
      </x:c>
    </x:row>
    <x:row r="253">
      <x:c r="A253" s="251"/>
      <x:c r="B253" s="252"/>
      <x:c r="C253" s="252"/>
      <x:c r="D253" s="253"/>
      <x:c r="E253" s="253"/>
      <x:c r="F253" s="252"/>
      <x:c r="G253" s="252"/>
      <x:c r="H253" s="252"/>
      <x:c r="I253" s="252"/>
      <x:c r="J253" s="252"/>
      <x:c r="K253" s="252"/>
      <x:c r="L253" s="252" t="str">
        <x:f>IF(A253="","",IF(OR(C253="",D253="",I253="",COUNTIF('الزبائن'!$A$6:$A$505,A253)=0,AND(C253="mobile",I253&lt;&gt;"invalid",OR(LEN(D253)&lt;&gt;10,LEFT(D253,2)&lt;&gt;"09"))),"REVIEW","READY"))</x:f>
      </x:c>
      <x:c r="M253" s="254" t="str">
        <x:f>IF(L253="READY","",IF(A253="","",TRIM(IF(COUNTIF('الزبائن'!$A$6:$A$505,A253)=0,"customer key not found; ","")&amp;IF(C253="","missing contact_type; ","")&amp;IF(D253="","missing number; ","")&amp;IF(I253="","missing status; ","")&amp;IF(AND(C253="mobile",I253&lt;&gt;"invalid",OR(LEN(D253)&lt;&gt;10,LEFT(D253,2)&lt;&gt;"09")),"mobile must be 09XXXXXXXX or status invalid; ",""))))</x:f>
      </x:c>
    </x:row>
    <x:row r="254">
      <x:c r="A254" s="251"/>
      <x:c r="B254" s="252"/>
      <x:c r="C254" s="252"/>
      <x:c r="D254" s="253"/>
      <x:c r="E254" s="253"/>
      <x:c r="F254" s="252"/>
      <x:c r="G254" s="252"/>
      <x:c r="H254" s="252"/>
      <x:c r="I254" s="252"/>
      <x:c r="J254" s="252"/>
      <x:c r="K254" s="252"/>
      <x:c r="L254" s="252" t="str">
        <x:f>IF(A254="","",IF(OR(C254="",D254="",I254="",COUNTIF('الزبائن'!$A$6:$A$505,A254)=0,AND(C254="mobile",I254&lt;&gt;"invalid",OR(LEN(D254)&lt;&gt;10,LEFT(D254,2)&lt;&gt;"09"))),"REVIEW","READY"))</x:f>
      </x:c>
      <x:c r="M254" s="254" t="str">
        <x:f>IF(L254="READY","",IF(A254="","",TRIM(IF(COUNTIF('الزبائن'!$A$6:$A$505,A254)=0,"customer key not found; ","")&amp;IF(C254="","missing contact_type; ","")&amp;IF(D254="","missing number; ","")&amp;IF(I254="","missing status; ","")&amp;IF(AND(C254="mobile",I254&lt;&gt;"invalid",OR(LEN(D254)&lt;&gt;10,LEFT(D254,2)&lt;&gt;"09")),"mobile must be 09XXXXXXXX or status invalid; ",""))))</x:f>
      </x:c>
    </x:row>
    <x:row r="255">
      <x:c r="A255" s="251"/>
      <x:c r="B255" s="252"/>
      <x:c r="C255" s="252"/>
      <x:c r="D255" s="253"/>
      <x:c r="E255" s="253"/>
      <x:c r="F255" s="252"/>
      <x:c r="G255" s="252"/>
      <x:c r="H255" s="252"/>
      <x:c r="I255" s="252"/>
      <x:c r="J255" s="252"/>
      <x:c r="K255" s="252"/>
      <x:c r="L255" s="252" t="str">
        <x:f>IF(A255="","",IF(OR(C255="",D255="",I255="",COUNTIF('الزبائن'!$A$6:$A$505,A255)=0,AND(C255="mobile",I255&lt;&gt;"invalid",OR(LEN(D255)&lt;&gt;10,LEFT(D255,2)&lt;&gt;"09"))),"REVIEW","READY"))</x:f>
      </x:c>
      <x:c r="M255" s="254" t="str">
        <x:f>IF(L255="READY","",IF(A255="","",TRIM(IF(COUNTIF('الزبائن'!$A$6:$A$505,A255)=0,"customer key not found; ","")&amp;IF(C255="","missing contact_type; ","")&amp;IF(D255="","missing number; ","")&amp;IF(I255="","missing status; ","")&amp;IF(AND(C255="mobile",I255&lt;&gt;"invalid",OR(LEN(D255)&lt;&gt;10,LEFT(D255,2)&lt;&gt;"09")),"mobile must be 09XXXXXXXX or status invalid; ",""))))</x:f>
      </x:c>
    </x:row>
    <x:row r="256">
      <x:c r="A256" s="251"/>
      <x:c r="B256" s="252"/>
      <x:c r="C256" s="252"/>
      <x:c r="D256" s="253"/>
      <x:c r="E256" s="253"/>
      <x:c r="F256" s="252"/>
      <x:c r="G256" s="252"/>
      <x:c r="H256" s="252"/>
      <x:c r="I256" s="252"/>
      <x:c r="J256" s="252"/>
      <x:c r="K256" s="252"/>
      <x:c r="L256" s="252" t="str">
        <x:f>IF(A256="","",IF(OR(C256="",D256="",I256="",COUNTIF('الزبائن'!$A$6:$A$505,A256)=0,AND(C256="mobile",I256&lt;&gt;"invalid",OR(LEN(D256)&lt;&gt;10,LEFT(D256,2)&lt;&gt;"09"))),"REVIEW","READY"))</x:f>
      </x:c>
      <x:c r="M256" s="254" t="str">
        <x:f>IF(L256="READY","",IF(A256="","",TRIM(IF(COUNTIF('الزبائن'!$A$6:$A$505,A256)=0,"customer key not found; ","")&amp;IF(C256="","missing contact_type; ","")&amp;IF(D256="","missing number; ","")&amp;IF(I256="","missing status; ","")&amp;IF(AND(C256="mobile",I256&lt;&gt;"invalid",OR(LEN(D256)&lt;&gt;10,LEFT(D256,2)&lt;&gt;"09")),"mobile must be 09XXXXXXXX or status invalid; ",""))))</x:f>
      </x:c>
    </x:row>
    <x:row r="257">
      <x:c r="A257" s="251"/>
      <x:c r="B257" s="252"/>
      <x:c r="C257" s="252"/>
      <x:c r="D257" s="253"/>
      <x:c r="E257" s="253"/>
      <x:c r="F257" s="252"/>
      <x:c r="G257" s="252"/>
      <x:c r="H257" s="252"/>
      <x:c r="I257" s="252"/>
      <x:c r="J257" s="252"/>
      <x:c r="K257" s="252"/>
      <x:c r="L257" s="252" t="str">
        <x:f>IF(A257="","",IF(OR(C257="",D257="",I257="",COUNTIF('الزبائن'!$A$6:$A$505,A257)=0,AND(C257="mobile",I257&lt;&gt;"invalid",OR(LEN(D257)&lt;&gt;10,LEFT(D257,2)&lt;&gt;"09"))),"REVIEW","READY"))</x:f>
      </x:c>
      <x:c r="M257" s="254" t="str">
        <x:f>IF(L257="READY","",IF(A257="","",TRIM(IF(COUNTIF('الزبائن'!$A$6:$A$505,A257)=0,"customer key not found; ","")&amp;IF(C257="","missing contact_type; ","")&amp;IF(D257="","missing number; ","")&amp;IF(I257="","missing status; ","")&amp;IF(AND(C257="mobile",I257&lt;&gt;"invalid",OR(LEN(D257)&lt;&gt;10,LEFT(D257,2)&lt;&gt;"09")),"mobile must be 09XXXXXXXX or status invalid; ",""))))</x:f>
      </x:c>
    </x:row>
    <x:row r="258">
      <x:c r="A258" s="251"/>
      <x:c r="B258" s="252"/>
      <x:c r="C258" s="252"/>
      <x:c r="D258" s="253"/>
      <x:c r="E258" s="253"/>
      <x:c r="F258" s="252"/>
      <x:c r="G258" s="252"/>
      <x:c r="H258" s="252"/>
      <x:c r="I258" s="252"/>
      <x:c r="J258" s="252"/>
      <x:c r="K258" s="252"/>
      <x:c r="L258" s="252" t="str">
        <x:f>IF(A258="","",IF(OR(C258="",D258="",I258="",COUNTIF('الزبائن'!$A$6:$A$505,A258)=0,AND(C258="mobile",I258&lt;&gt;"invalid",OR(LEN(D258)&lt;&gt;10,LEFT(D258,2)&lt;&gt;"09"))),"REVIEW","READY"))</x:f>
      </x:c>
      <x:c r="M258" s="254" t="str">
        <x:f>IF(L258="READY","",IF(A258="","",TRIM(IF(COUNTIF('الزبائن'!$A$6:$A$505,A258)=0,"customer key not found; ","")&amp;IF(C258="","missing contact_type; ","")&amp;IF(D258="","missing number; ","")&amp;IF(I258="","missing status; ","")&amp;IF(AND(C258="mobile",I258&lt;&gt;"invalid",OR(LEN(D258)&lt;&gt;10,LEFT(D258,2)&lt;&gt;"09")),"mobile must be 09XXXXXXXX or status invalid; ",""))))</x:f>
      </x:c>
    </x:row>
    <x:row r="259">
      <x:c r="A259" s="251"/>
      <x:c r="B259" s="252"/>
      <x:c r="C259" s="252"/>
      <x:c r="D259" s="253"/>
      <x:c r="E259" s="253"/>
      <x:c r="F259" s="252"/>
      <x:c r="G259" s="252"/>
      <x:c r="H259" s="252"/>
      <x:c r="I259" s="252"/>
      <x:c r="J259" s="252"/>
      <x:c r="K259" s="252"/>
      <x:c r="L259" s="252" t="str">
        <x:f>IF(A259="","",IF(OR(C259="",D259="",I259="",COUNTIF('الزبائن'!$A$6:$A$505,A259)=0,AND(C259="mobile",I259&lt;&gt;"invalid",OR(LEN(D259)&lt;&gt;10,LEFT(D259,2)&lt;&gt;"09"))),"REVIEW","READY"))</x:f>
      </x:c>
      <x:c r="M259" s="254" t="str">
        <x:f>IF(L259="READY","",IF(A259="","",TRIM(IF(COUNTIF('الزبائن'!$A$6:$A$505,A259)=0,"customer key not found; ","")&amp;IF(C259="","missing contact_type; ","")&amp;IF(D259="","missing number; ","")&amp;IF(I259="","missing status; ","")&amp;IF(AND(C259="mobile",I259&lt;&gt;"invalid",OR(LEN(D259)&lt;&gt;10,LEFT(D259,2)&lt;&gt;"09")),"mobile must be 09XXXXXXXX or status invalid; ",""))))</x:f>
      </x:c>
    </x:row>
    <x:row r="260">
      <x:c r="A260" s="251"/>
      <x:c r="B260" s="252"/>
      <x:c r="C260" s="252"/>
      <x:c r="D260" s="253"/>
      <x:c r="E260" s="253"/>
      <x:c r="F260" s="252"/>
      <x:c r="G260" s="252"/>
      <x:c r="H260" s="252"/>
      <x:c r="I260" s="252"/>
      <x:c r="J260" s="252"/>
      <x:c r="K260" s="252"/>
      <x:c r="L260" s="252" t="str">
        <x:f>IF(A260="","",IF(OR(C260="",D260="",I260="",COUNTIF('الزبائن'!$A$6:$A$505,A260)=0,AND(C260="mobile",I260&lt;&gt;"invalid",OR(LEN(D260)&lt;&gt;10,LEFT(D260,2)&lt;&gt;"09"))),"REVIEW","READY"))</x:f>
      </x:c>
      <x:c r="M260" s="254" t="str">
        <x:f>IF(L260="READY","",IF(A260="","",TRIM(IF(COUNTIF('الزبائن'!$A$6:$A$505,A260)=0,"customer key not found; ","")&amp;IF(C260="","missing contact_type; ","")&amp;IF(D260="","missing number; ","")&amp;IF(I260="","missing status; ","")&amp;IF(AND(C260="mobile",I260&lt;&gt;"invalid",OR(LEN(D260)&lt;&gt;10,LEFT(D260,2)&lt;&gt;"09")),"mobile must be 09XXXXXXXX or status invalid; ",""))))</x:f>
      </x:c>
    </x:row>
    <x:row r="261">
      <x:c r="A261" s="251"/>
      <x:c r="B261" s="252"/>
      <x:c r="C261" s="252"/>
      <x:c r="D261" s="253"/>
      <x:c r="E261" s="253"/>
      <x:c r="F261" s="252"/>
      <x:c r="G261" s="252"/>
      <x:c r="H261" s="252"/>
      <x:c r="I261" s="252"/>
      <x:c r="J261" s="252"/>
      <x:c r="K261" s="252"/>
      <x:c r="L261" s="252" t="str">
        <x:f>IF(A261="","",IF(OR(C261="",D261="",I261="",COUNTIF('الزبائن'!$A$6:$A$505,A261)=0,AND(C261="mobile",I261&lt;&gt;"invalid",OR(LEN(D261)&lt;&gt;10,LEFT(D261,2)&lt;&gt;"09"))),"REVIEW","READY"))</x:f>
      </x:c>
      <x:c r="M261" s="254" t="str">
        <x:f>IF(L261="READY","",IF(A261="","",TRIM(IF(COUNTIF('الزبائن'!$A$6:$A$505,A261)=0,"customer key not found; ","")&amp;IF(C261="","missing contact_type; ","")&amp;IF(D261="","missing number; ","")&amp;IF(I261="","missing status; ","")&amp;IF(AND(C261="mobile",I261&lt;&gt;"invalid",OR(LEN(D261)&lt;&gt;10,LEFT(D261,2)&lt;&gt;"09")),"mobile must be 09XXXXXXXX or status invalid; ",""))))</x:f>
      </x:c>
    </x:row>
    <x:row r="262">
      <x:c r="A262" s="251"/>
      <x:c r="B262" s="252"/>
      <x:c r="C262" s="252"/>
      <x:c r="D262" s="253"/>
      <x:c r="E262" s="253"/>
      <x:c r="F262" s="252"/>
      <x:c r="G262" s="252"/>
      <x:c r="H262" s="252"/>
      <x:c r="I262" s="252"/>
      <x:c r="J262" s="252"/>
      <x:c r="K262" s="252"/>
      <x:c r="L262" s="252" t="str">
        <x:f>IF(A262="","",IF(OR(C262="",D262="",I262="",COUNTIF('الزبائن'!$A$6:$A$505,A262)=0,AND(C262="mobile",I262&lt;&gt;"invalid",OR(LEN(D262)&lt;&gt;10,LEFT(D262,2)&lt;&gt;"09"))),"REVIEW","READY"))</x:f>
      </x:c>
      <x:c r="M262" s="254" t="str">
        <x:f>IF(L262="READY","",IF(A262="","",TRIM(IF(COUNTIF('الزبائن'!$A$6:$A$505,A262)=0,"customer key not found; ","")&amp;IF(C262="","missing contact_type; ","")&amp;IF(D262="","missing number; ","")&amp;IF(I262="","missing status; ","")&amp;IF(AND(C262="mobile",I262&lt;&gt;"invalid",OR(LEN(D262)&lt;&gt;10,LEFT(D262,2)&lt;&gt;"09")),"mobile must be 09XXXXXXXX or status invalid; ",""))))</x:f>
      </x:c>
    </x:row>
    <x:row r="263">
      <x:c r="A263" s="251"/>
      <x:c r="B263" s="252"/>
      <x:c r="C263" s="252"/>
      <x:c r="D263" s="253"/>
      <x:c r="E263" s="253"/>
      <x:c r="F263" s="252"/>
      <x:c r="G263" s="252"/>
      <x:c r="H263" s="252"/>
      <x:c r="I263" s="252"/>
      <x:c r="J263" s="252"/>
      <x:c r="K263" s="252"/>
      <x:c r="L263" s="252" t="str">
        <x:f>IF(A263="","",IF(OR(C263="",D263="",I263="",COUNTIF('الزبائن'!$A$6:$A$505,A263)=0,AND(C263="mobile",I263&lt;&gt;"invalid",OR(LEN(D263)&lt;&gt;10,LEFT(D263,2)&lt;&gt;"09"))),"REVIEW","READY"))</x:f>
      </x:c>
      <x:c r="M263" s="254" t="str">
        <x:f>IF(L263="READY","",IF(A263="","",TRIM(IF(COUNTIF('الزبائن'!$A$6:$A$505,A263)=0,"customer key not found; ","")&amp;IF(C263="","missing contact_type; ","")&amp;IF(D263="","missing number; ","")&amp;IF(I263="","missing status; ","")&amp;IF(AND(C263="mobile",I263&lt;&gt;"invalid",OR(LEN(D263)&lt;&gt;10,LEFT(D263,2)&lt;&gt;"09")),"mobile must be 09XXXXXXXX or status invalid; ",""))))</x:f>
      </x:c>
    </x:row>
    <x:row r="264">
      <x:c r="A264" s="251"/>
      <x:c r="B264" s="252"/>
      <x:c r="C264" s="252"/>
      <x:c r="D264" s="253"/>
      <x:c r="E264" s="253"/>
      <x:c r="F264" s="252"/>
      <x:c r="G264" s="252"/>
      <x:c r="H264" s="252"/>
      <x:c r="I264" s="252"/>
      <x:c r="J264" s="252"/>
      <x:c r="K264" s="252"/>
      <x:c r="L264" s="252" t="str">
        <x:f>IF(A264="","",IF(OR(C264="",D264="",I264="",COUNTIF('الزبائن'!$A$6:$A$505,A264)=0,AND(C264="mobile",I264&lt;&gt;"invalid",OR(LEN(D264)&lt;&gt;10,LEFT(D264,2)&lt;&gt;"09"))),"REVIEW","READY"))</x:f>
      </x:c>
      <x:c r="M264" s="254" t="str">
        <x:f>IF(L264="READY","",IF(A264="","",TRIM(IF(COUNTIF('الزبائن'!$A$6:$A$505,A264)=0,"customer key not found; ","")&amp;IF(C264="","missing contact_type; ","")&amp;IF(D264="","missing number; ","")&amp;IF(I264="","missing status; ","")&amp;IF(AND(C264="mobile",I264&lt;&gt;"invalid",OR(LEN(D264)&lt;&gt;10,LEFT(D264,2)&lt;&gt;"09")),"mobile must be 09XXXXXXXX or status invalid; ",""))))</x:f>
      </x:c>
    </x:row>
    <x:row r="265">
      <x:c r="A265" s="251"/>
      <x:c r="B265" s="252"/>
      <x:c r="C265" s="252"/>
      <x:c r="D265" s="253"/>
      <x:c r="E265" s="253"/>
      <x:c r="F265" s="252"/>
      <x:c r="G265" s="252"/>
      <x:c r="H265" s="252"/>
      <x:c r="I265" s="252"/>
      <x:c r="J265" s="252"/>
      <x:c r="K265" s="252"/>
      <x:c r="L265" s="252" t="str">
        <x:f>IF(A265="","",IF(OR(C265="",D265="",I265="",COUNTIF('الزبائن'!$A$6:$A$505,A265)=0,AND(C265="mobile",I265&lt;&gt;"invalid",OR(LEN(D265)&lt;&gt;10,LEFT(D265,2)&lt;&gt;"09"))),"REVIEW","READY"))</x:f>
      </x:c>
      <x:c r="M265" s="254" t="str">
        <x:f>IF(L265="READY","",IF(A265="","",TRIM(IF(COUNTIF('الزبائن'!$A$6:$A$505,A265)=0,"customer key not found; ","")&amp;IF(C265="","missing contact_type; ","")&amp;IF(D265="","missing number; ","")&amp;IF(I265="","missing status; ","")&amp;IF(AND(C265="mobile",I265&lt;&gt;"invalid",OR(LEN(D265)&lt;&gt;10,LEFT(D265,2)&lt;&gt;"09")),"mobile must be 09XXXXXXXX or status invalid; ",""))))</x:f>
      </x:c>
    </x:row>
    <x:row r="266">
      <x:c r="A266" s="251"/>
      <x:c r="B266" s="252"/>
      <x:c r="C266" s="252"/>
      <x:c r="D266" s="253"/>
      <x:c r="E266" s="253"/>
      <x:c r="F266" s="252"/>
      <x:c r="G266" s="252"/>
      <x:c r="H266" s="252"/>
      <x:c r="I266" s="252"/>
      <x:c r="J266" s="252"/>
      <x:c r="K266" s="252"/>
      <x:c r="L266" s="252" t="str">
        <x:f>IF(A266="","",IF(OR(C266="",D266="",I266="",COUNTIF('الزبائن'!$A$6:$A$505,A266)=0,AND(C266="mobile",I266&lt;&gt;"invalid",OR(LEN(D266)&lt;&gt;10,LEFT(D266,2)&lt;&gt;"09"))),"REVIEW","READY"))</x:f>
      </x:c>
      <x:c r="M266" s="254" t="str">
        <x:f>IF(L266="READY","",IF(A266="","",TRIM(IF(COUNTIF('الزبائن'!$A$6:$A$505,A266)=0,"customer key not found; ","")&amp;IF(C266="","missing contact_type; ","")&amp;IF(D266="","missing number; ","")&amp;IF(I266="","missing status; ","")&amp;IF(AND(C266="mobile",I266&lt;&gt;"invalid",OR(LEN(D266)&lt;&gt;10,LEFT(D266,2)&lt;&gt;"09")),"mobile must be 09XXXXXXXX or status invalid; ",""))))</x:f>
      </x:c>
    </x:row>
    <x:row r="267">
      <x:c r="A267" s="251"/>
      <x:c r="B267" s="252"/>
      <x:c r="C267" s="252"/>
      <x:c r="D267" s="253"/>
      <x:c r="E267" s="253"/>
      <x:c r="F267" s="252"/>
      <x:c r="G267" s="252"/>
      <x:c r="H267" s="252"/>
      <x:c r="I267" s="252"/>
      <x:c r="J267" s="252"/>
      <x:c r="K267" s="252"/>
      <x:c r="L267" s="252" t="str">
        <x:f>IF(A267="","",IF(OR(C267="",D267="",I267="",COUNTIF('الزبائن'!$A$6:$A$505,A267)=0,AND(C267="mobile",I267&lt;&gt;"invalid",OR(LEN(D267)&lt;&gt;10,LEFT(D267,2)&lt;&gt;"09"))),"REVIEW","READY"))</x:f>
      </x:c>
      <x:c r="M267" s="254" t="str">
        <x:f>IF(L267="READY","",IF(A267="","",TRIM(IF(COUNTIF('الزبائن'!$A$6:$A$505,A267)=0,"customer key not found; ","")&amp;IF(C267="","missing contact_type; ","")&amp;IF(D267="","missing number; ","")&amp;IF(I267="","missing status; ","")&amp;IF(AND(C267="mobile",I267&lt;&gt;"invalid",OR(LEN(D267)&lt;&gt;10,LEFT(D267,2)&lt;&gt;"09")),"mobile must be 09XXXXXXXX or status invalid; ",""))))</x:f>
      </x:c>
    </x:row>
    <x:row r="268">
      <x:c r="A268" s="251"/>
      <x:c r="B268" s="252"/>
      <x:c r="C268" s="252"/>
      <x:c r="D268" s="253"/>
      <x:c r="E268" s="253"/>
      <x:c r="F268" s="252"/>
      <x:c r="G268" s="252"/>
      <x:c r="H268" s="252"/>
      <x:c r="I268" s="252"/>
      <x:c r="J268" s="252"/>
      <x:c r="K268" s="252"/>
      <x:c r="L268" s="252" t="str">
        <x:f>IF(A268="","",IF(OR(C268="",D268="",I268="",COUNTIF('الزبائن'!$A$6:$A$505,A268)=0,AND(C268="mobile",I268&lt;&gt;"invalid",OR(LEN(D268)&lt;&gt;10,LEFT(D268,2)&lt;&gt;"09"))),"REVIEW","READY"))</x:f>
      </x:c>
      <x:c r="M268" s="254" t="str">
        <x:f>IF(L268="READY","",IF(A268="","",TRIM(IF(COUNTIF('الزبائن'!$A$6:$A$505,A268)=0,"customer key not found; ","")&amp;IF(C268="","missing contact_type; ","")&amp;IF(D268="","missing number; ","")&amp;IF(I268="","missing status; ","")&amp;IF(AND(C268="mobile",I268&lt;&gt;"invalid",OR(LEN(D268)&lt;&gt;10,LEFT(D268,2)&lt;&gt;"09")),"mobile must be 09XXXXXXXX or status invalid; ",""))))</x:f>
      </x:c>
    </x:row>
    <x:row r="269">
      <x:c r="A269" s="251"/>
      <x:c r="B269" s="252"/>
      <x:c r="C269" s="252"/>
      <x:c r="D269" s="253"/>
      <x:c r="E269" s="253"/>
      <x:c r="F269" s="252"/>
      <x:c r="G269" s="252"/>
      <x:c r="H269" s="252"/>
      <x:c r="I269" s="252"/>
      <x:c r="J269" s="252"/>
      <x:c r="K269" s="252"/>
      <x:c r="L269" s="252" t="str">
        <x:f>IF(A269="","",IF(OR(C269="",D269="",I269="",COUNTIF('الزبائن'!$A$6:$A$505,A269)=0,AND(C269="mobile",I269&lt;&gt;"invalid",OR(LEN(D269)&lt;&gt;10,LEFT(D269,2)&lt;&gt;"09"))),"REVIEW","READY"))</x:f>
      </x:c>
      <x:c r="M269" s="254" t="str">
        <x:f>IF(L269="READY","",IF(A269="","",TRIM(IF(COUNTIF('الزبائن'!$A$6:$A$505,A269)=0,"customer key not found; ","")&amp;IF(C269="","missing contact_type; ","")&amp;IF(D269="","missing number; ","")&amp;IF(I269="","missing status; ","")&amp;IF(AND(C269="mobile",I269&lt;&gt;"invalid",OR(LEN(D269)&lt;&gt;10,LEFT(D269,2)&lt;&gt;"09")),"mobile must be 09XXXXXXXX or status invalid; ",""))))</x:f>
      </x:c>
    </x:row>
    <x:row r="270">
      <x:c r="A270" s="251"/>
      <x:c r="B270" s="252"/>
      <x:c r="C270" s="252"/>
      <x:c r="D270" s="253"/>
      <x:c r="E270" s="253"/>
      <x:c r="F270" s="252"/>
      <x:c r="G270" s="252"/>
      <x:c r="H270" s="252"/>
      <x:c r="I270" s="252"/>
      <x:c r="J270" s="252"/>
      <x:c r="K270" s="252"/>
      <x:c r="L270" s="252" t="str">
        <x:f>IF(A270="","",IF(OR(C270="",D270="",I270="",COUNTIF('الزبائن'!$A$6:$A$505,A270)=0,AND(C270="mobile",I270&lt;&gt;"invalid",OR(LEN(D270)&lt;&gt;10,LEFT(D270,2)&lt;&gt;"09"))),"REVIEW","READY"))</x:f>
      </x:c>
      <x:c r="M270" s="254" t="str">
        <x:f>IF(L270="READY","",IF(A270="","",TRIM(IF(COUNTIF('الزبائن'!$A$6:$A$505,A270)=0,"customer key not found; ","")&amp;IF(C270="","missing contact_type; ","")&amp;IF(D270="","missing number; ","")&amp;IF(I270="","missing status; ","")&amp;IF(AND(C270="mobile",I270&lt;&gt;"invalid",OR(LEN(D270)&lt;&gt;10,LEFT(D270,2)&lt;&gt;"09")),"mobile must be 09XXXXXXXX or status invalid; ",""))))</x:f>
      </x:c>
    </x:row>
    <x:row r="271">
      <x:c r="A271" s="251"/>
      <x:c r="B271" s="252"/>
      <x:c r="C271" s="252"/>
      <x:c r="D271" s="253"/>
      <x:c r="E271" s="253"/>
      <x:c r="F271" s="252"/>
      <x:c r="G271" s="252"/>
      <x:c r="H271" s="252"/>
      <x:c r="I271" s="252"/>
      <x:c r="J271" s="252"/>
      <x:c r="K271" s="252"/>
      <x:c r="L271" s="252" t="str">
        <x:f>IF(A271="","",IF(OR(C271="",D271="",I271="",COUNTIF('الزبائن'!$A$6:$A$505,A271)=0,AND(C271="mobile",I271&lt;&gt;"invalid",OR(LEN(D271)&lt;&gt;10,LEFT(D271,2)&lt;&gt;"09"))),"REVIEW","READY"))</x:f>
      </x:c>
      <x:c r="M271" s="254" t="str">
        <x:f>IF(L271="READY","",IF(A271="","",TRIM(IF(COUNTIF('الزبائن'!$A$6:$A$505,A271)=0,"customer key not found; ","")&amp;IF(C271="","missing contact_type; ","")&amp;IF(D271="","missing number; ","")&amp;IF(I271="","missing status; ","")&amp;IF(AND(C271="mobile",I271&lt;&gt;"invalid",OR(LEN(D271)&lt;&gt;10,LEFT(D271,2)&lt;&gt;"09")),"mobile must be 09XXXXXXXX or status invalid; ",""))))</x:f>
      </x:c>
    </x:row>
    <x:row r="272">
      <x:c r="A272" s="251"/>
      <x:c r="B272" s="252"/>
      <x:c r="C272" s="252"/>
      <x:c r="D272" s="253"/>
      <x:c r="E272" s="253"/>
      <x:c r="F272" s="252"/>
      <x:c r="G272" s="252"/>
      <x:c r="H272" s="252"/>
      <x:c r="I272" s="252"/>
      <x:c r="J272" s="252"/>
      <x:c r="K272" s="252"/>
      <x:c r="L272" s="252" t="str">
        <x:f>IF(A272="","",IF(OR(C272="",D272="",I272="",COUNTIF('الزبائن'!$A$6:$A$505,A272)=0,AND(C272="mobile",I272&lt;&gt;"invalid",OR(LEN(D272)&lt;&gt;10,LEFT(D272,2)&lt;&gt;"09"))),"REVIEW","READY"))</x:f>
      </x:c>
      <x:c r="M272" s="254" t="str">
        <x:f>IF(L272="READY","",IF(A272="","",TRIM(IF(COUNTIF('الزبائن'!$A$6:$A$505,A272)=0,"customer key not found; ","")&amp;IF(C272="","missing contact_type; ","")&amp;IF(D272="","missing number; ","")&amp;IF(I272="","missing status; ","")&amp;IF(AND(C272="mobile",I272&lt;&gt;"invalid",OR(LEN(D272)&lt;&gt;10,LEFT(D272,2)&lt;&gt;"09")),"mobile must be 09XXXXXXXX or status invalid; ",""))))</x:f>
      </x:c>
    </x:row>
    <x:row r="273">
      <x:c r="A273" s="251"/>
      <x:c r="B273" s="252"/>
      <x:c r="C273" s="252"/>
      <x:c r="D273" s="253"/>
      <x:c r="E273" s="253"/>
      <x:c r="F273" s="252"/>
      <x:c r="G273" s="252"/>
      <x:c r="H273" s="252"/>
      <x:c r="I273" s="252"/>
      <x:c r="J273" s="252"/>
      <x:c r="K273" s="252"/>
      <x:c r="L273" s="252" t="str">
        <x:f>IF(A273="","",IF(OR(C273="",D273="",I273="",COUNTIF('الزبائن'!$A$6:$A$505,A273)=0,AND(C273="mobile",I273&lt;&gt;"invalid",OR(LEN(D273)&lt;&gt;10,LEFT(D273,2)&lt;&gt;"09"))),"REVIEW","READY"))</x:f>
      </x:c>
      <x:c r="M273" s="254" t="str">
        <x:f>IF(L273="READY","",IF(A273="","",TRIM(IF(COUNTIF('الزبائن'!$A$6:$A$505,A273)=0,"customer key not found; ","")&amp;IF(C273="","missing contact_type; ","")&amp;IF(D273="","missing number; ","")&amp;IF(I273="","missing status; ","")&amp;IF(AND(C273="mobile",I273&lt;&gt;"invalid",OR(LEN(D273)&lt;&gt;10,LEFT(D273,2)&lt;&gt;"09")),"mobile must be 09XXXXXXXX or status invalid; ",""))))</x:f>
      </x:c>
    </x:row>
    <x:row r="274">
      <x:c r="A274" s="251"/>
      <x:c r="B274" s="252"/>
      <x:c r="C274" s="252"/>
      <x:c r="D274" s="253"/>
      <x:c r="E274" s="253"/>
      <x:c r="F274" s="252"/>
      <x:c r="G274" s="252"/>
      <x:c r="H274" s="252"/>
      <x:c r="I274" s="252"/>
      <x:c r="J274" s="252"/>
      <x:c r="K274" s="252"/>
      <x:c r="L274" s="252" t="str">
        <x:f>IF(A274="","",IF(OR(C274="",D274="",I274="",COUNTIF('الزبائن'!$A$6:$A$505,A274)=0,AND(C274="mobile",I274&lt;&gt;"invalid",OR(LEN(D274)&lt;&gt;10,LEFT(D274,2)&lt;&gt;"09"))),"REVIEW","READY"))</x:f>
      </x:c>
      <x:c r="M274" s="254" t="str">
        <x:f>IF(L274="READY","",IF(A274="","",TRIM(IF(COUNTIF('الزبائن'!$A$6:$A$505,A274)=0,"customer key not found; ","")&amp;IF(C274="","missing contact_type; ","")&amp;IF(D274="","missing number; ","")&amp;IF(I274="","missing status; ","")&amp;IF(AND(C274="mobile",I274&lt;&gt;"invalid",OR(LEN(D274)&lt;&gt;10,LEFT(D274,2)&lt;&gt;"09")),"mobile must be 09XXXXXXXX or status invalid; ",""))))</x:f>
      </x:c>
    </x:row>
    <x:row r="275">
      <x:c r="A275" s="251"/>
      <x:c r="B275" s="252"/>
      <x:c r="C275" s="252"/>
      <x:c r="D275" s="253"/>
      <x:c r="E275" s="253"/>
      <x:c r="F275" s="252"/>
      <x:c r="G275" s="252"/>
      <x:c r="H275" s="252"/>
      <x:c r="I275" s="252"/>
      <x:c r="J275" s="252"/>
      <x:c r="K275" s="252"/>
      <x:c r="L275" s="252" t="str">
        <x:f>IF(A275="","",IF(OR(C275="",D275="",I275="",COUNTIF('الزبائن'!$A$6:$A$505,A275)=0,AND(C275="mobile",I275&lt;&gt;"invalid",OR(LEN(D275)&lt;&gt;10,LEFT(D275,2)&lt;&gt;"09"))),"REVIEW","READY"))</x:f>
      </x:c>
      <x:c r="M275" s="254" t="str">
        <x:f>IF(L275="READY","",IF(A275="","",TRIM(IF(COUNTIF('الزبائن'!$A$6:$A$505,A275)=0,"customer key not found; ","")&amp;IF(C275="","missing contact_type; ","")&amp;IF(D275="","missing number; ","")&amp;IF(I275="","missing status; ","")&amp;IF(AND(C275="mobile",I275&lt;&gt;"invalid",OR(LEN(D275)&lt;&gt;10,LEFT(D275,2)&lt;&gt;"09")),"mobile must be 09XXXXXXXX or status invalid; ",""))))</x:f>
      </x:c>
    </x:row>
    <x:row r="276">
      <x:c r="A276" s="251"/>
      <x:c r="B276" s="252"/>
      <x:c r="C276" s="252"/>
      <x:c r="D276" s="253"/>
      <x:c r="E276" s="253"/>
      <x:c r="F276" s="252"/>
      <x:c r="G276" s="252"/>
      <x:c r="H276" s="252"/>
      <x:c r="I276" s="252"/>
      <x:c r="J276" s="252"/>
      <x:c r="K276" s="252"/>
      <x:c r="L276" s="252" t="str">
        <x:f>IF(A276="","",IF(OR(C276="",D276="",I276="",COUNTIF('الزبائن'!$A$6:$A$505,A276)=0,AND(C276="mobile",I276&lt;&gt;"invalid",OR(LEN(D276)&lt;&gt;10,LEFT(D276,2)&lt;&gt;"09"))),"REVIEW","READY"))</x:f>
      </x:c>
      <x:c r="M276" s="254" t="str">
        <x:f>IF(L276="READY","",IF(A276="","",TRIM(IF(COUNTIF('الزبائن'!$A$6:$A$505,A276)=0,"customer key not found; ","")&amp;IF(C276="","missing contact_type; ","")&amp;IF(D276="","missing number; ","")&amp;IF(I276="","missing status; ","")&amp;IF(AND(C276="mobile",I276&lt;&gt;"invalid",OR(LEN(D276)&lt;&gt;10,LEFT(D276,2)&lt;&gt;"09")),"mobile must be 09XXXXXXXX or status invalid; ",""))))</x:f>
      </x:c>
    </x:row>
    <x:row r="277">
      <x:c r="A277" s="251"/>
      <x:c r="B277" s="252"/>
      <x:c r="C277" s="252"/>
      <x:c r="D277" s="253"/>
      <x:c r="E277" s="253"/>
      <x:c r="F277" s="252"/>
      <x:c r="G277" s="252"/>
      <x:c r="H277" s="252"/>
      <x:c r="I277" s="252"/>
      <x:c r="J277" s="252"/>
      <x:c r="K277" s="252"/>
      <x:c r="L277" s="252" t="str">
        <x:f>IF(A277="","",IF(OR(C277="",D277="",I277="",COUNTIF('الزبائن'!$A$6:$A$505,A277)=0,AND(C277="mobile",I277&lt;&gt;"invalid",OR(LEN(D277)&lt;&gt;10,LEFT(D277,2)&lt;&gt;"09"))),"REVIEW","READY"))</x:f>
      </x:c>
      <x:c r="M277" s="254" t="str">
        <x:f>IF(L277="READY","",IF(A277="","",TRIM(IF(COUNTIF('الزبائن'!$A$6:$A$505,A277)=0,"customer key not found; ","")&amp;IF(C277="","missing contact_type; ","")&amp;IF(D277="","missing number; ","")&amp;IF(I277="","missing status; ","")&amp;IF(AND(C277="mobile",I277&lt;&gt;"invalid",OR(LEN(D277)&lt;&gt;10,LEFT(D277,2)&lt;&gt;"09")),"mobile must be 09XXXXXXXX or status invalid; ",""))))</x:f>
      </x:c>
    </x:row>
    <x:row r="278">
      <x:c r="A278" s="251"/>
      <x:c r="B278" s="252"/>
      <x:c r="C278" s="252"/>
      <x:c r="D278" s="253"/>
      <x:c r="E278" s="253"/>
      <x:c r="F278" s="252"/>
      <x:c r="G278" s="252"/>
      <x:c r="H278" s="252"/>
      <x:c r="I278" s="252"/>
      <x:c r="J278" s="252"/>
      <x:c r="K278" s="252"/>
      <x:c r="L278" s="252" t="str">
        <x:f>IF(A278="","",IF(OR(C278="",D278="",I278="",COUNTIF('الزبائن'!$A$6:$A$505,A278)=0,AND(C278="mobile",I278&lt;&gt;"invalid",OR(LEN(D278)&lt;&gt;10,LEFT(D278,2)&lt;&gt;"09"))),"REVIEW","READY"))</x:f>
      </x:c>
      <x:c r="M278" s="254" t="str">
        <x:f>IF(L278="READY","",IF(A278="","",TRIM(IF(COUNTIF('الزبائن'!$A$6:$A$505,A278)=0,"customer key not found; ","")&amp;IF(C278="","missing contact_type; ","")&amp;IF(D278="","missing number; ","")&amp;IF(I278="","missing status; ","")&amp;IF(AND(C278="mobile",I278&lt;&gt;"invalid",OR(LEN(D278)&lt;&gt;10,LEFT(D278,2)&lt;&gt;"09")),"mobile must be 09XXXXXXXX or status invalid; ",""))))</x:f>
      </x:c>
    </x:row>
    <x:row r="279">
      <x:c r="A279" s="251"/>
      <x:c r="B279" s="252"/>
      <x:c r="C279" s="252"/>
      <x:c r="D279" s="253"/>
      <x:c r="E279" s="253"/>
      <x:c r="F279" s="252"/>
      <x:c r="G279" s="252"/>
      <x:c r="H279" s="252"/>
      <x:c r="I279" s="252"/>
      <x:c r="J279" s="252"/>
      <x:c r="K279" s="252"/>
      <x:c r="L279" s="252" t="str">
        <x:f>IF(A279="","",IF(OR(C279="",D279="",I279="",COUNTIF('الزبائن'!$A$6:$A$505,A279)=0,AND(C279="mobile",I279&lt;&gt;"invalid",OR(LEN(D279)&lt;&gt;10,LEFT(D279,2)&lt;&gt;"09"))),"REVIEW","READY"))</x:f>
      </x:c>
      <x:c r="M279" s="254" t="str">
        <x:f>IF(L279="READY","",IF(A279="","",TRIM(IF(COUNTIF('الزبائن'!$A$6:$A$505,A279)=0,"customer key not found; ","")&amp;IF(C279="","missing contact_type; ","")&amp;IF(D279="","missing number; ","")&amp;IF(I279="","missing status; ","")&amp;IF(AND(C279="mobile",I279&lt;&gt;"invalid",OR(LEN(D279)&lt;&gt;10,LEFT(D279,2)&lt;&gt;"09")),"mobile must be 09XXXXXXXX or status invalid; ",""))))</x:f>
      </x:c>
    </x:row>
    <x:row r="280">
      <x:c r="A280" s="251"/>
      <x:c r="B280" s="252"/>
      <x:c r="C280" s="252"/>
      <x:c r="D280" s="253"/>
      <x:c r="E280" s="253"/>
      <x:c r="F280" s="252"/>
      <x:c r="G280" s="252"/>
      <x:c r="H280" s="252"/>
      <x:c r="I280" s="252"/>
      <x:c r="J280" s="252"/>
      <x:c r="K280" s="252"/>
      <x:c r="L280" s="252" t="str">
        <x:f>IF(A280="","",IF(OR(C280="",D280="",I280="",COUNTIF('الزبائن'!$A$6:$A$505,A280)=0,AND(C280="mobile",I280&lt;&gt;"invalid",OR(LEN(D280)&lt;&gt;10,LEFT(D280,2)&lt;&gt;"09"))),"REVIEW","READY"))</x:f>
      </x:c>
      <x:c r="M280" s="254" t="str">
        <x:f>IF(L280="READY","",IF(A280="","",TRIM(IF(COUNTIF('الزبائن'!$A$6:$A$505,A280)=0,"customer key not found; ","")&amp;IF(C280="","missing contact_type; ","")&amp;IF(D280="","missing number; ","")&amp;IF(I280="","missing status; ","")&amp;IF(AND(C280="mobile",I280&lt;&gt;"invalid",OR(LEN(D280)&lt;&gt;10,LEFT(D280,2)&lt;&gt;"09")),"mobile must be 09XXXXXXXX or status invalid; ",""))))</x:f>
      </x:c>
    </x:row>
    <x:row r="281">
      <x:c r="A281" s="251"/>
      <x:c r="B281" s="252"/>
      <x:c r="C281" s="252"/>
      <x:c r="D281" s="253"/>
      <x:c r="E281" s="253"/>
      <x:c r="F281" s="252"/>
      <x:c r="G281" s="252"/>
      <x:c r="H281" s="252"/>
      <x:c r="I281" s="252"/>
      <x:c r="J281" s="252"/>
      <x:c r="K281" s="252"/>
      <x:c r="L281" s="252" t="str">
        <x:f>IF(A281="","",IF(OR(C281="",D281="",I281="",COUNTIF('الزبائن'!$A$6:$A$505,A281)=0,AND(C281="mobile",I281&lt;&gt;"invalid",OR(LEN(D281)&lt;&gt;10,LEFT(D281,2)&lt;&gt;"09"))),"REVIEW","READY"))</x:f>
      </x:c>
      <x:c r="M281" s="254" t="str">
        <x:f>IF(L281="READY","",IF(A281="","",TRIM(IF(COUNTIF('الزبائن'!$A$6:$A$505,A281)=0,"customer key not found; ","")&amp;IF(C281="","missing contact_type; ","")&amp;IF(D281="","missing number; ","")&amp;IF(I281="","missing status; ","")&amp;IF(AND(C281="mobile",I281&lt;&gt;"invalid",OR(LEN(D281)&lt;&gt;10,LEFT(D281,2)&lt;&gt;"09")),"mobile must be 09XXXXXXXX or status invalid; ",""))))</x:f>
      </x:c>
    </x:row>
    <x:row r="282">
      <x:c r="A282" s="251"/>
      <x:c r="B282" s="252"/>
      <x:c r="C282" s="252"/>
      <x:c r="D282" s="253"/>
      <x:c r="E282" s="253"/>
      <x:c r="F282" s="252"/>
      <x:c r="G282" s="252"/>
      <x:c r="H282" s="252"/>
      <x:c r="I282" s="252"/>
      <x:c r="J282" s="252"/>
      <x:c r="K282" s="252"/>
      <x:c r="L282" s="252" t="str">
        <x:f>IF(A282="","",IF(OR(C282="",D282="",I282="",COUNTIF('الزبائن'!$A$6:$A$505,A282)=0,AND(C282="mobile",I282&lt;&gt;"invalid",OR(LEN(D282)&lt;&gt;10,LEFT(D282,2)&lt;&gt;"09"))),"REVIEW","READY"))</x:f>
      </x:c>
      <x:c r="M282" s="254" t="str">
        <x:f>IF(L282="READY","",IF(A282="","",TRIM(IF(COUNTIF('الزبائن'!$A$6:$A$505,A282)=0,"customer key not found; ","")&amp;IF(C282="","missing contact_type; ","")&amp;IF(D282="","missing number; ","")&amp;IF(I282="","missing status; ","")&amp;IF(AND(C282="mobile",I282&lt;&gt;"invalid",OR(LEN(D282)&lt;&gt;10,LEFT(D282,2)&lt;&gt;"09")),"mobile must be 09XXXXXXXX or status invalid; ",""))))</x:f>
      </x:c>
    </x:row>
    <x:row r="283">
      <x:c r="A283" s="251"/>
      <x:c r="B283" s="252"/>
      <x:c r="C283" s="252"/>
      <x:c r="D283" s="253"/>
      <x:c r="E283" s="253"/>
      <x:c r="F283" s="252"/>
      <x:c r="G283" s="252"/>
      <x:c r="H283" s="252"/>
      <x:c r="I283" s="252"/>
      <x:c r="J283" s="252"/>
      <x:c r="K283" s="252"/>
      <x:c r="L283" s="252" t="str">
        <x:f>IF(A283="","",IF(OR(C283="",D283="",I283="",COUNTIF('الزبائن'!$A$6:$A$505,A283)=0,AND(C283="mobile",I283&lt;&gt;"invalid",OR(LEN(D283)&lt;&gt;10,LEFT(D283,2)&lt;&gt;"09"))),"REVIEW","READY"))</x:f>
      </x:c>
      <x:c r="M283" s="254" t="str">
        <x:f>IF(L283="READY","",IF(A283="","",TRIM(IF(COUNTIF('الزبائن'!$A$6:$A$505,A283)=0,"customer key not found; ","")&amp;IF(C283="","missing contact_type; ","")&amp;IF(D283="","missing number; ","")&amp;IF(I283="","missing status; ","")&amp;IF(AND(C283="mobile",I283&lt;&gt;"invalid",OR(LEN(D283)&lt;&gt;10,LEFT(D283,2)&lt;&gt;"09")),"mobile must be 09XXXXXXXX or status invalid; ",""))))</x:f>
      </x:c>
    </x:row>
    <x:row r="284">
      <x:c r="A284" s="251"/>
      <x:c r="B284" s="252"/>
      <x:c r="C284" s="252"/>
      <x:c r="D284" s="253"/>
      <x:c r="E284" s="253"/>
      <x:c r="F284" s="252"/>
      <x:c r="G284" s="252"/>
      <x:c r="H284" s="252"/>
      <x:c r="I284" s="252"/>
      <x:c r="J284" s="252"/>
      <x:c r="K284" s="252"/>
      <x:c r="L284" s="252" t="str">
        <x:f>IF(A284="","",IF(OR(C284="",D284="",I284="",COUNTIF('الزبائن'!$A$6:$A$505,A284)=0,AND(C284="mobile",I284&lt;&gt;"invalid",OR(LEN(D284)&lt;&gt;10,LEFT(D284,2)&lt;&gt;"09"))),"REVIEW","READY"))</x:f>
      </x:c>
      <x:c r="M284" s="254" t="str">
        <x:f>IF(L284="READY","",IF(A284="","",TRIM(IF(COUNTIF('الزبائن'!$A$6:$A$505,A284)=0,"customer key not found; ","")&amp;IF(C284="","missing contact_type; ","")&amp;IF(D284="","missing number; ","")&amp;IF(I284="","missing status; ","")&amp;IF(AND(C284="mobile",I284&lt;&gt;"invalid",OR(LEN(D284)&lt;&gt;10,LEFT(D284,2)&lt;&gt;"09")),"mobile must be 09XXXXXXXX or status invalid; ",""))))</x:f>
      </x:c>
    </x:row>
    <x:row r="285">
      <x:c r="A285" s="251"/>
      <x:c r="B285" s="252"/>
      <x:c r="C285" s="252"/>
      <x:c r="D285" s="253"/>
      <x:c r="E285" s="253"/>
      <x:c r="F285" s="252"/>
      <x:c r="G285" s="252"/>
      <x:c r="H285" s="252"/>
      <x:c r="I285" s="252"/>
      <x:c r="J285" s="252"/>
      <x:c r="K285" s="252"/>
      <x:c r="L285" s="252" t="str">
        <x:f>IF(A285="","",IF(OR(C285="",D285="",I285="",COUNTIF('الزبائن'!$A$6:$A$505,A285)=0,AND(C285="mobile",I285&lt;&gt;"invalid",OR(LEN(D285)&lt;&gt;10,LEFT(D285,2)&lt;&gt;"09"))),"REVIEW","READY"))</x:f>
      </x:c>
      <x:c r="M285" s="254" t="str">
        <x:f>IF(L285="READY","",IF(A285="","",TRIM(IF(COUNTIF('الزبائن'!$A$6:$A$505,A285)=0,"customer key not found; ","")&amp;IF(C285="","missing contact_type; ","")&amp;IF(D285="","missing number; ","")&amp;IF(I285="","missing status; ","")&amp;IF(AND(C285="mobile",I285&lt;&gt;"invalid",OR(LEN(D285)&lt;&gt;10,LEFT(D285,2)&lt;&gt;"09")),"mobile must be 09XXXXXXXX or status invalid; ",""))))</x:f>
      </x:c>
    </x:row>
    <x:row r="286">
      <x:c r="A286" s="251"/>
      <x:c r="B286" s="252"/>
      <x:c r="C286" s="252"/>
      <x:c r="D286" s="253"/>
      <x:c r="E286" s="253"/>
      <x:c r="F286" s="252"/>
      <x:c r="G286" s="252"/>
      <x:c r="H286" s="252"/>
      <x:c r="I286" s="252"/>
      <x:c r="J286" s="252"/>
      <x:c r="K286" s="252"/>
      <x:c r="L286" s="252" t="str">
        <x:f>IF(A286="","",IF(OR(C286="",D286="",I286="",COUNTIF('الزبائن'!$A$6:$A$505,A286)=0,AND(C286="mobile",I286&lt;&gt;"invalid",OR(LEN(D286)&lt;&gt;10,LEFT(D286,2)&lt;&gt;"09"))),"REVIEW","READY"))</x:f>
      </x:c>
      <x:c r="M286" s="254" t="str">
        <x:f>IF(L286="READY","",IF(A286="","",TRIM(IF(COUNTIF('الزبائن'!$A$6:$A$505,A286)=0,"customer key not found; ","")&amp;IF(C286="","missing contact_type; ","")&amp;IF(D286="","missing number; ","")&amp;IF(I286="","missing status; ","")&amp;IF(AND(C286="mobile",I286&lt;&gt;"invalid",OR(LEN(D286)&lt;&gt;10,LEFT(D286,2)&lt;&gt;"09")),"mobile must be 09XXXXXXXX or status invalid; ",""))))</x:f>
      </x:c>
    </x:row>
    <x:row r="287">
      <x:c r="A287" s="251"/>
      <x:c r="B287" s="252"/>
      <x:c r="C287" s="252"/>
      <x:c r="D287" s="253"/>
      <x:c r="E287" s="253"/>
      <x:c r="F287" s="252"/>
      <x:c r="G287" s="252"/>
      <x:c r="H287" s="252"/>
      <x:c r="I287" s="252"/>
      <x:c r="J287" s="252"/>
      <x:c r="K287" s="252"/>
      <x:c r="L287" s="252" t="str">
        <x:f>IF(A287="","",IF(OR(C287="",D287="",I287="",COUNTIF('الزبائن'!$A$6:$A$505,A287)=0,AND(C287="mobile",I287&lt;&gt;"invalid",OR(LEN(D287)&lt;&gt;10,LEFT(D287,2)&lt;&gt;"09"))),"REVIEW","READY"))</x:f>
      </x:c>
      <x:c r="M287" s="254" t="str">
        <x:f>IF(L287="READY","",IF(A287="","",TRIM(IF(COUNTIF('الزبائن'!$A$6:$A$505,A287)=0,"customer key not found; ","")&amp;IF(C287="","missing contact_type; ","")&amp;IF(D287="","missing number; ","")&amp;IF(I287="","missing status; ","")&amp;IF(AND(C287="mobile",I287&lt;&gt;"invalid",OR(LEN(D287)&lt;&gt;10,LEFT(D287,2)&lt;&gt;"09")),"mobile must be 09XXXXXXXX or status invalid; ",""))))</x:f>
      </x:c>
    </x:row>
    <x:row r="288">
      <x:c r="A288" s="251"/>
      <x:c r="B288" s="252"/>
      <x:c r="C288" s="252"/>
      <x:c r="D288" s="253"/>
      <x:c r="E288" s="253"/>
      <x:c r="F288" s="252"/>
      <x:c r="G288" s="252"/>
      <x:c r="H288" s="252"/>
      <x:c r="I288" s="252"/>
      <x:c r="J288" s="252"/>
      <x:c r="K288" s="252"/>
      <x:c r="L288" s="252" t="str">
        <x:f>IF(A288="","",IF(OR(C288="",D288="",I288="",COUNTIF('الزبائن'!$A$6:$A$505,A288)=0,AND(C288="mobile",I288&lt;&gt;"invalid",OR(LEN(D288)&lt;&gt;10,LEFT(D288,2)&lt;&gt;"09"))),"REVIEW","READY"))</x:f>
      </x:c>
      <x:c r="M288" s="254" t="str">
        <x:f>IF(L288="READY","",IF(A288="","",TRIM(IF(COUNTIF('الزبائن'!$A$6:$A$505,A288)=0,"customer key not found; ","")&amp;IF(C288="","missing contact_type; ","")&amp;IF(D288="","missing number; ","")&amp;IF(I288="","missing status; ","")&amp;IF(AND(C288="mobile",I288&lt;&gt;"invalid",OR(LEN(D288)&lt;&gt;10,LEFT(D288,2)&lt;&gt;"09")),"mobile must be 09XXXXXXXX or status invalid; ",""))))</x:f>
      </x:c>
    </x:row>
    <x:row r="289">
      <x:c r="A289" s="251"/>
      <x:c r="B289" s="252"/>
      <x:c r="C289" s="252"/>
      <x:c r="D289" s="253"/>
      <x:c r="E289" s="253"/>
      <x:c r="F289" s="252"/>
      <x:c r="G289" s="252"/>
      <x:c r="H289" s="252"/>
      <x:c r="I289" s="252"/>
      <x:c r="J289" s="252"/>
      <x:c r="K289" s="252"/>
      <x:c r="L289" s="252" t="str">
        <x:f>IF(A289="","",IF(OR(C289="",D289="",I289="",COUNTIF('الزبائن'!$A$6:$A$505,A289)=0,AND(C289="mobile",I289&lt;&gt;"invalid",OR(LEN(D289)&lt;&gt;10,LEFT(D289,2)&lt;&gt;"09"))),"REVIEW","READY"))</x:f>
      </x:c>
      <x:c r="M289" s="254" t="str">
        <x:f>IF(L289="READY","",IF(A289="","",TRIM(IF(COUNTIF('الزبائن'!$A$6:$A$505,A289)=0,"customer key not found; ","")&amp;IF(C289="","missing contact_type; ","")&amp;IF(D289="","missing number; ","")&amp;IF(I289="","missing status; ","")&amp;IF(AND(C289="mobile",I289&lt;&gt;"invalid",OR(LEN(D289)&lt;&gt;10,LEFT(D289,2)&lt;&gt;"09")),"mobile must be 09XXXXXXXX or status invalid; ",""))))</x:f>
      </x:c>
    </x:row>
    <x:row r="290">
      <x:c r="A290" s="251"/>
      <x:c r="B290" s="252"/>
      <x:c r="C290" s="252"/>
      <x:c r="D290" s="253"/>
      <x:c r="E290" s="253"/>
      <x:c r="F290" s="252"/>
      <x:c r="G290" s="252"/>
      <x:c r="H290" s="252"/>
      <x:c r="I290" s="252"/>
      <x:c r="J290" s="252"/>
      <x:c r="K290" s="252"/>
      <x:c r="L290" s="252" t="str">
        <x:f>IF(A290="","",IF(OR(C290="",D290="",I290="",COUNTIF('الزبائن'!$A$6:$A$505,A290)=0,AND(C290="mobile",I290&lt;&gt;"invalid",OR(LEN(D290)&lt;&gt;10,LEFT(D290,2)&lt;&gt;"09"))),"REVIEW","READY"))</x:f>
      </x:c>
      <x:c r="M290" s="254" t="str">
        <x:f>IF(L290="READY","",IF(A290="","",TRIM(IF(COUNTIF('الزبائن'!$A$6:$A$505,A290)=0,"customer key not found; ","")&amp;IF(C290="","missing contact_type; ","")&amp;IF(D290="","missing number; ","")&amp;IF(I290="","missing status; ","")&amp;IF(AND(C290="mobile",I290&lt;&gt;"invalid",OR(LEN(D290)&lt;&gt;10,LEFT(D290,2)&lt;&gt;"09")),"mobile must be 09XXXXXXXX or status invalid; ",""))))</x:f>
      </x:c>
    </x:row>
    <x:row r="291">
      <x:c r="A291" s="251"/>
      <x:c r="B291" s="252"/>
      <x:c r="C291" s="252"/>
      <x:c r="D291" s="253"/>
      <x:c r="E291" s="253"/>
      <x:c r="F291" s="252"/>
      <x:c r="G291" s="252"/>
      <x:c r="H291" s="252"/>
      <x:c r="I291" s="252"/>
      <x:c r="J291" s="252"/>
      <x:c r="K291" s="252"/>
      <x:c r="L291" s="252" t="str">
        <x:f>IF(A291="","",IF(OR(C291="",D291="",I291="",COUNTIF('الزبائن'!$A$6:$A$505,A291)=0,AND(C291="mobile",I291&lt;&gt;"invalid",OR(LEN(D291)&lt;&gt;10,LEFT(D291,2)&lt;&gt;"09"))),"REVIEW","READY"))</x:f>
      </x:c>
      <x:c r="M291" s="254" t="str">
        <x:f>IF(L291="READY","",IF(A291="","",TRIM(IF(COUNTIF('الزبائن'!$A$6:$A$505,A291)=0,"customer key not found; ","")&amp;IF(C291="","missing contact_type; ","")&amp;IF(D291="","missing number; ","")&amp;IF(I291="","missing status; ","")&amp;IF(AND(C291="mobile",I291&lt;&gt;"invalid",OR(LEN(D291)&lt;&gt;10,LEFT(D291,2)&lt;&gt;"09")),"mobile must be 09XXXXXXXX or status invalid; ",""))))</x:f>
      </x:c>
    </x:row>
    <x:row r="292">
      <x:c r="A292" s="251"/>
      <x:c r="B292" s="252"/>
      <x:c r="C292" s="252"/>
      <x:c r="D292" s="253"/>
      <x:c r="E292" s="253"/>
      <x:c r="F292" s="252"/>
      <x:c r="G292" s="252"/>
      <x:c r="H292" s="252"/>
      <x:c r="I292" s="252"/>
      <x:c r="J292" s="252"/>
      <x:c r="K292" s="252"/>
      <x:c r="L292" s="252" t="str">
        <x:f>IF(A292="","",IF(OR(C292="",D292="",I292="",COUNTIF('الزبائن'!$A$6:$A$505,A292)=0,AND(C292="mobile",I292&lt;&gt;"invalid",OR(LEN(D292)&lt;&gt;10,LEFT(D292,2)&lt;&gt;"09"))),"REVIEW","READY"))</x:f>
      </x:c>
      <x:c r="M292" s="254" t="str">
        <x:f>IF(L292="READY","",IF(A292="","",TRIM(IF(COUNTIF('الزبائن'!$A$6:$A$505,A292)=0,"customer key not found; ","")&amp;IF(C292="","missing contact_type; ","")&amp;IF(D292="","missing number; ","")&amp;IF(I292="","missing status; ","")&amp;IF(AND(C292="mobile",I292&lt;&gt;"invalid",OR(LEN(D292)&lt;&gt;10,LEFT(D292,2)&lt;&gt;"09")),"mobile must be 09XXXXXXXX or status invalid; ",""))))</x:f>
      </x:c>
    </x:row>
    <x:row r="293">
      <x:c r="A293" s="251"/>
      <x:c r="B293" s="252"/>
      <x:c r="C293" s="252"/>
      <x:c r="D293" s="253"/>
      <x:c r="E293" s="253"/>
      <x:c r="F293" s="252"/>
      <x:c r="G293" s="252"/>
      <x:c r="H293" s="252"/>
      <x:c r="I293" s="252"/>
      <x:c r="J293" s="252"/>
      <x:c r="K293" s="252"/>
      <x:c r="L293" s="252" t="str">
        <x:f>IF(A293="","",IF(OR(C293="",D293="",I293="",COUNTIF('الزبائن'!$A$6:$A$505,A293)=0,AND(C293="mobile",I293&lt;&gt;"invalid",OR(LEN(D293)&lt;&gt;10,LEFT(D293,2)&lt;&gt;"09"))),"REVIEW","READY"))</x:f>
      </x:c>
      <x:c r="M293" s="254" t="str">
        <x:f>IF(L293="READY","",IF(A293="","",TRIM(IF(COUNTIF('الزبائن'!$A$6:$A$505,A293)=0,"customer key not found; ","")&amp;IF(C293="","missing contact_type; ","")&amp;IF(D293="","missing number; ","")&amp;IF(I293="","missing status; ","")&amp;IF(AND(C293="mobile",I293&lt;&gt;"invalid",OR(LEN(D293)&lt;&gt;10,LEFT(D293,2)&lt;&gt;"09")),"mobile must be 09XXXXXXXX or status invalid; ",""))))</x:f>
      </x:c>
    </x:row>
    <x:row r="294">
      <x:c r="A294" s="251"/>
      <x:c r="B294" s="252"/>
      <x:c r="C294" s="252"/>
      <x:c r="D294" s="253"/>
      <x:c r="E294" s="253"/>
      <x:c r="F294" s="252"/>
      <x:c r="G294" s="252"/>
      <x:c r="H294" s="252"/>
      <x:c r="I294" s="252"/>
      <x:c r="J294" s="252"/>
      <x:c r="K294" s="252"/>
      <x:c r="L294" s="252" t="str">
        <x:f>IF(A294="","",IF(OR(C294="",D294="",I294="",COUNTIF('الزبائن'!$A$6:$A$505,A294)=0,AND(C294="mobile",I294&lt;&gt;"invalid",OR(LEN(D294)&lt;&gt;10,LEFT(D294,2)&lt;&gt;"09"))),"REVIEW","READY"))</x:f>
      </x:c>
      <x:c r="M294" s="254" t="str">
        <x:f>IF(L294="READY","",IF(A294="","",TRIM(IF(COUNTIF('الزبائن'!$A$6:$A$505,A294)=0,"customer key not found; ","")&amp;IF(C294="","missing contact_type; ","")&amp;IF(D294="","missing number; ","")&amp;IF(I294="","missing status; ","")&amp;IF(AND(C294="mobile",I294&lt;&gt;"invalid",OR(LEN(D294)&lt;&gt;10,LEFT(D294,2)&lt;&gt;"09")),"mobile must be 09XXXXXXXX or status invalid; ",""))))</x:f>
      </x:c>
    </x:row>
    <x:row r="295">
      <x:c r="A295" s="251"/>
      <x:c r="B295" s="252"/>
      <x:c r="C295" s="252"/>
      <x:c r="D295" s="253"/>
      <x:c r="E295" s="253"/>
      <x:c r="F295" s="252"/>
      <x:c r="G295" s="252"/>
      <x:c r="H295" s="252"/>
      <x:c r="I295" s="252"/>
      <x:c r="J295" s="252"/>
      <x:c r="K295" s="252"/>
      <x:c r="L295" s="252" t="str">
        <x:f>IF(A295="","",IF(OR(C295="",D295="",I295="",COUNTIF('الزبائن'!$A$6:$A$505,A295)=0,AND(C295="mobile",I295&lt;&gt;"invalid",OR(LEN(D295)&lt;&gt;10,LEFT(D295,2)&lt;&gt;"09"))),"REVIEW","READY"))</x:f>
      </x:c>
      <x:c r="M295" s="254" t="str">
        <x:f>IF(L295="READY","",IF(A295="","",TRIM(IF(COUNTIF('الزبائن'!$A$6:$A$505,A295)=0,"customer key not found; ","")&amp;IF(C295="","missing contact_type; ","")&amp;IF(D295="","missing number; ","")&amp;IF(I295="","missing status; ","")&amp;IF(AND(C295="mobile",I295&lt;&gt;"invalid",OR(LEN(D295)&lt;&gt;10,LEFT(D295,2)&lt;&gt;"09")),"mobile must be 09XXXXXXXX or status invalid; ",""))))</x:f>
      </x:c>
    </x:row>
    <x:row r="296">
      <x:c r="A296" s="251"/>
      <x:c r="B296" s="252"/>
      <x:c r="C296" s="252"/>
      <x:c r="D296" s="253"/>
      <x:c r="E296" s="253"/>
      <x:c r="F296" s="252"/>
      <x:c r="G296" s="252"/>
      <x:c r="H296" s="252"/>
      <x:c r="I296" s="252"/>
      <x:c r="J296" s="252"/>
      <x:c r="K296" s="252"/>
      <x:c r="L296" s="252" t="str">
        <x:f>IF(A296="","",IF(OR(C296="",D296="",I296="",COUNTIF('الزبائن'!$A$6:$A$505,A296)=0,AND(C296="mobile",I296&lt;&gt;"invalid",OR(LEN(D296)&lt;&gt;10,LEFT(D296,2)&lt;&gt;"09"))),"REVIEW","READY"))</x:f>
      </x:c>
      <x:c r="M296" s="254" t="str">
        <x:f>IF(L296="READY","",IF(A296="","",TRIM(IF(COUNTIF('الزبائن'!$A$6:$A$505,A296)=0,"customer key not found; ","")&amp;IF(C296="","missing contact_type; ","")&amp;IF(D296="","missing number; ","")&amp;IF(I296="","missing status; ","")&amp;IF(AND(C296="mobile",I296&lt;&gt;"invalid",OR(LEN(D296)&lt;&gt;10,LEFT(D296,2)&lt;&gt;"09")),"mobile must be 09XXXXXXXX or status invalid; ",""))))</x:f>
      </x:c>
    </x:row>
    <x:row r="297">
      <x:c r="A297" s="251"/>
      <x:c r="B297" s="252"/>
      <x:c r="C297" s="252"/>
      <x:c r="D297" s="253"/>
      <x:c r="E297" s="253"/>
      <x:c r="F297" s="252"/>
      <x:c r="G297" s="252"/>
      <x:c r="H297" s="252"/>
      <x:c r="I297" s="252"/>
      <x:c r="J297" s="252"/>
      <x:c r="K297" s="252"/>
      <x:c r="L297" s="252" t="str">
        <x:f>IF(A297="","",IF(OR(C297="",D297="",I297="",COUNTIF('الزبائن'!$A$6:$A$505,A297)=0,AND(C297="mobile",I297&lt;&gt;"invalid",OR(LEN(D297)&lt;&gt;10,LEFT(D297,2)&lt;&gt;"09"))),"REVIEW","READY"))</x:f>
      </x:c>
      <x:c r="M297" s="254" t="str">
        <x:f>IF(L297="READY","",IF(A297="","",TRIM(IF(COUNTIF('الزبائن'!$A$6:$A$505,A297)=0,"customer key not found; ","")&amp;IF(C297="","missing contact_type; ","")&amp;IF(D297="","missing number; ","")&amp;IF(I297="","missing status; ","")&amp;IF(AND(C297="mobile",I297&lt;&gt;"invalid",OR(LEN(D297)&lt;&gt;10,LEFT(D297,2)&lt;&gt;"09")),"mobile must be 09XXXXXXXX or status invalid; ",""))))</x:f>
      </x:c>
    </x:row>
    <x:row r="298">
      <x:c r="A298" s="251"/>
      <x:c r="B298" s="252"/>
      <x:c r="C298" s="252"/>
      <x:c r="D298" s="253"/>
      <x:c r="E298" s="253"/>
      <x:c r="F298" s="252"/>
      <x:c r="G298" s="252"/>
      <x:c r="H298" s="252"/>
      <x:c r="I298" s="252"/>
      <x:c r="J298" s="252"/>
      <x:c r="K298" s="252"/>
      <x:c r="L298" s="252" t="str">
        <x:f>IF(A298="","",IF(OR(C298="",D298="",I298="",COUNTIF('الزبائن'!$A$6:$A$505,A298)=0,AND(C298="mobile",I298&lt;&gt;"invalid",OR(LEN(D298)&lt;&gt;10,LEFT(D298,2)&lt;&gt;"09"))),"REVIEW","READY"))</x:f>
      </x:c>
      <x:c r="M298" s="254" t="str">
        <x:f>IF(L298="READY","",IF(A298="","",TRIM(IF(COUNTIF('الزبائن'!$A$6:$A$505,A298)=0,"customer key not found; ","")&amp;IF(C298="","missing contact_type; ","")&amp;IF(D298="","missing number; ","")&amp;IF(I298="","missing status; ","")&amp;IF(AND(C298="mobile",I298&lt;&gt;"invalid",OR(LEN(D298)&lt;&gt;10,LEFT(D298,2)&lt;&gt;"09")),"mobile must be 09XXXXXXXX or status invalid; ",""))))</x:f>
      </x:c>
    </x:row>
    <x:row r="299">
      <x:c r="A299" s="251"/>
      <x:c r="B299" s="252"/>
      <x:c r="C299" s="252"/>
      <x:c r="D299" s="253"/>
      <x:c r="E299" s="253"/>
      <x:c r="F299" s="252"/>
      <x:c r="G299" s="252"/>
      <x:c r="H299" s="252"/>
      <x:c r="I299" s="252"/>
      <x:c r="J299" s="252"/>
      <x:c r="K299" s="252"/>
      <x:c r="L299" s="252" t="str">
        <x:f>IF(A299="","",IF(OR(C299="",D299="",I299="",COUNTIF('الزبائن'!$A$6:$A$505,A299)=0,AND(C299="mobile",I299&lt;&gt;"invalid",OR(LEN(D299)&lt;&gt;10,LEFT(D299,2)&lt;&gt;"09"))),"REVIEW","READY"))</x:f>
      </x:c>
      <x:c r="M299" s="254" t="str">
        <x:f>IF(L299="READY","",IF(A299="","",TRIM(IF(COUNTIF('الزبائن'!$A$6:$A$505,A299)=0,"customer key not found; ","")&amp;IF(C299="","missing contact_type; ","")&amp;IF(D299="","missing number; ","")&amp;IF(I299="","missing status; ","")&amp;IF(AND(C299="mobile",I299&lt;&gt;"invalid",OR(LEN(D299)&lt;&gt;10,LEFT(D299,2)&lt;&gt;"09")),"mobile must be 09XXXXXXXX or status invalid; ",""))))</x:f>
      </x:c>
    </x:row>
    <x:row r="300">
      <x:c r="A300" s="251"/>
      <x:c r="B300" s="252"/>
      <x:c r="C300" s="252"/>
      <x:c r="D300" s="253"/>
      <x:c r="E300" s="253"/>
      <x:c r="F300" s="252"/>
      <x:c r="G300" s="252"/>
      <x:c r="H300" s="252"/>
      <x:c r="I300" s="252"/>
      <x:c r="J300" s="252"/>
      <x:c r="K300" s="252"/>
      <x:c r="L300" s="252" t="str">
        <x:f>IF(A300="","",IF(OR(C300="",D300="",I300="",COUNTIF('الزبائن'!$A$6:$A$505,A300)=0,AND(C300="mobile",I300&lt;&gt;"invalid",OR(LEN(D300)&lt;&gt;10,LEFT(D300,2)&lt;&gt;"09"))),"REVIEW","READY"))</x:f>
      </x:c>
      <x:c r="M300" s="254" t="str">
        <x:f>IF(L300="READY","",IF(A300="","",TRIM(IF(COUNTIF('الزبائن'!$A$6:$A$505,A300)=0,"customer key not found; ","")&amp;IF(C300="","missing contact_type; ","")&amp;IF(D300="","missing number; ","")&amp;IF(I300="","missing status; ","")&amp;IF(AND(C300="mobile",I300&lt;&gt;"invalid",OR(LEN(D300)&lt;&gt;10,LEFT(D300,2)&lt;&gt;"09")),"mobile must be 09XXXXXXXX or status invalid; ",""))))</x:f>
      </x:c>
    </x:row>
    <x:row r="301">
      <x:c r="A301" s="251"/>
      <x:c r="B301" s="252"/>
      <x:c r="C301" s="252"/>
      <x:c r="D301" s="253"/>
      <x:c r="E301" s="253"/>
      <x:c r="F301" s="252"/>
      <x:c r="G301" s="252"/>
      <x:c r="H301" s="252"/>
      <x:c r="I301" s="252"/>
      <x:c r="J301" s="252"/>
      <x:c r="K301" s="252"/>
      <x:c r="L301" s="252" t="str">
        <x:f>IF(A301="","",IF(OR(C301="",D301="",I301="",COUNTIF('الزبائن'!$A$6:$A$505,A301)=0,AND(C301="mobile",I301&lt;&gt;"invalid",OR(LEN(D301)&lt;&gt;10,LEFT(D301,2)&lt;&gt;"09"))),"REVIEW","READY"))</x:f>
      </x:c>
      <x:c r="M301" s="254" t="str">
        <x:f>IF(L301="READY","",IF(A301="","",TRIM(IF(COUNTIF('الزبائن'!$A$6:$A$505,A301)=0,"customer key not found; ","")&amp;IF(C301="","missing contact_type; ","")&amp;IF(D301="","missing number; ","")&amp;IF(I301="","missing status; ","")&amp;IF(AND(C301="mobile",I301&lt;&gt;"invalid",OR(LEN(D301)&lt;&gt;10,LEFT(D301,2)&lt;&gt;"09")),"mobile must be 09XXXXXXXX or status invalid; ",""))))</x:f>
      </x:c>
    </x:row>
    <x:row r="302">
      <x:c r="A302" s="251"/>
      <x:c r="B302" s="252"/>
      <x:c r="C302" s="252"/>
      <x:c r="D302" s="253"/>
      <x:c r="E302" s="253"/>
      <x:c r="F302" s="252"/>
      <x:c r="G302" s="252"/>
      <x:c r="H302" s="252"/>
      <x:c r="I302" s="252"/>
      <x:c r="J302" s="252"/>
      <x:c r="K302" s="252"/>
      <x:c r="L302" s="252" t="str">
        <x:f>IF(A302="","",IF(OR(C302="",D302="",I302="",COUNTIF('الزبائن'!$A$6:$A$505,A302)=0,AND(C302="mobile",I302&lt;&gt;"invalid",OR(LEN(D302)&lt;&gt;10,LEFT(D302,2)&lt;&gt;"09"))),"REVIEW","READY"))</x:f>
      </x:c>
      <x:c r="M302" s="254" t="str">
        <x:f>IF(L302="READY","",IF(A302="","",TRIM(IF(COUNTIF('الزبائن'!$A$6:$A$505,A302)=0,"customer key not found; ","")&amp;IF(C302="","missing contact_type; ","")&amp;IF(D302="","missing number; ","")&amp;IF(I302="","missing status; ","")&amp;IF(AND(C302="mobile",I302&lt;&gt;"invalid",OR(LEN(D302)&lt;&gt;10,LEFT(D302,2)&lt;&gt;"09")),"mobile must be 09XXXXXXXX or status invalid; ",""))))</x:f>
      </x:c>
    </x:row>
    <x:row r="303">
      <x:c r="A303" s="251"/>
      <x:c r="B303" s="252"/>
      <x:c r="C303" s="252"/>
      <x:c r="D303" s="253"/>
      <x:c r="E303" s="253"/>
      <x:c r="F303" s="252"/>
      <x:c r="G303" s="252"/>
      <x:c r="H303" s="252"/>
      <x:c r="I303" s="252"/>
      <x:c r="J303" s="252"/>
      <x:c r="K303" s="252"/>
      <x:c r="L303" s="252" t="str">
        <x:f>IF(A303="","",IF(OR(C303="",D303="",I303="",COUNTIF('الزبائن'!$A$6:$A$505,A303)=0,AND(C303="mobile",I303&lt;&gt;"invalid",OR(LEN(D303)&lt;&gt;10,LEFT(D303,2)&lt;&gt;"09"))),"REVIEW","READY"))</x:f>
      </x:c>
      <x:c r="M303" s="254" t="str">
        <x:f>IF(L303="READY","",IF(A303="","",TRIM(IF(COUNTIF('الزبائن'!$A$6:$A$505,A303)=0,"customer key not found; ","")&amp;IF(C303="","missing contact_type; ","")&amp;IF(D303="","missing number; ","")&amp;IF(I303="","missing status; ","")&amp;IF(AND(C303="mobile",I303&lt;&gt;"invalid",OR(LEN(D303)&lt;&gt;10,LEFT(D303,2)&lt;&gt;"09")),"mobile must be 09XXXXXXXX or status invalid; ",""))))</x:f>
      </x:c>
    </x:row>
    <x:row r="304">
      <x:c r="A304" s="251"/>
      <x:c r="B304" s="252"/>
      <x:c r="C304" s="252"/>
      <x:c r="D304" s="253"/>
      <x:c r="E304" s="253"/>
      <x:c r="F304" s="252"/>
      <x:c r="G304" s="252"/>
      <x:c r="H304" s="252"/>
      <x:c r="I304" s="252"/>
      <x:c r="J304" s="252"/>
      <x:c r="K304" s="252"/>
      <x:c r="L304" s="252" t="str">
        <x:f>IF(A304="","",IF(OR(C304="",D304="",I304="",COUNTIF('الزبائن'!$A$6:$A$505,A304)=0,AND(C304="mobile",I304&lt;&gt;"invalid",OR(LEN(D304)&lt;&gt;10,LEFT(D304,2)&lt;&gt;"09"))),"REVIEW","READY"))</x:f>
      </x:c>
      <x:c r="M304" s="254" t="str">
        <x:f>IF(L304="READY","",IF(A304="","",TRIM(IF(COUNTIF('الزبائن'!$A$6:$A$505,A304)=0,"customer key not found; ","")&amp;IF(C304="","missing contact_type; ","")&amp;IF(D304="","missing number; ","")&amp;IF(I304="","missing status; ","")&amp;IF(AND(C304="mobile",I304&lt;&gt;"invalid",OR(LEN(D304)&lt;&gt;10,LEFT(D304,2)&lt;&gt;"09")),"mobile must be 09XXXXXXXX or status invalid; ",""))))</x:f>
      </x:c>
    </x:row>
    <x:row r="305">
      <x:c r="A305" s="251"/>
      <x:c r="B305" s="252"/>
      <x:c r="C305" s="252"/>
      <x:c r="D305" s="253"/>
      <x:c r="E305" s="253"/>
      <x:c r="F305" s="252"/>
      <x:c r="G305" s="252"/>
      <x:c r="H305" s="252"/>
      <x:c r="I305" s="252"/>
      <x:c r="J305" s="252"/>
      <x:c r="K305" s="252"/>
      <x:c r="L305" s="252" t="str">
        <x:f>IF(A305="","",IF(OR(C305="",D305="",I305="",COUNTIF('الزبائن'!$A$6:$A$505,A305)=0,AND(C305="mobile",I305&lt;&gt;"invalid",OR(LEN(D305)&lt;&gt;10,LEFT(D305,2)&lt;&gt;"09"))),"REVIEW","READY"))</x:f>
      </x:c>
      <x:c r="M305" s="254" t="str">
        <x:f>IF(L305="READY","",IF(A305="","",TRIM(IF(COUNTIF('الزبائن'!$A$6:$A$505,A305)=0,"customer key not found; ","")&amp;IF(C305="","missing contact_type; ","")&amp;IF(D305="","missing number; ","")&amp;IF(I305="","missing status; ","")&amp;IF(AND(C305="mobile",I305&lt;&gt;"invalid",OR(LEN(D305)&lt;&gt;10,LEFT(D305,2)&lt;&gt;"09")),"mobile must be 09XXXXXXXX or status invalid; ",""))))</x:f>
      </x:c>
    </x:row>
    <x:row r="306">
      <x:c r="A306" s="251"/>
      <x:c r="B306" s="252"/>
      <x:c r="C306" s="252"/>
      <x:c r="D306" s="253"/>
      <x:c r="E306" s="253"/>
      <x:c r="F306" s="252"/>
      <x:c r="G306" s="252"/>
      <x:c r="H306" s="252"/>
      <x:c r="I306" s="252"/>
      <x:c r="J306" s="252"/>
      <x:c r="K306" s="252"/>
      <x:c r="L306" s="252" t="str">
        <x:f>IF(A306="","",IF(OR(C306="",D306="",I306="",COUNTIF('الزبائن'!$A$6:$A$505,A306)=0,AND(C306="mobile",I306&lt;&gt;"invalid",OR(LEN(D306)&lt;&gt;10,LEFT(D306,2)&lt;&gt;"09"))),"REVIEW","READY"))</x:f>
      </x:c>
      <x:c r="M306" s="254" t="str">
        <x:f>IF(L306="READY","",IF(A306="","",TRIM(IF(COUNTIF('الزبائن'!$A$6:$A$505,A306)=0,"customer key not found; ","")&amp;IF(C306="","missing contact_type; ","")&amp;IF(D306="","missing number; ","")&amp;IF(I306="","missing status; ","")&amp;IF(AND(C306="mobile",I306&lt;&gt;"invalid",OR(LEN(D306)&lt;&gt;10,LEFT(D306,2)&lt;&gt;"09")),"mobile must be 09XXXXXXXX or status invalid; ",""))))</x:f>
      </x:c>
    </x:row>
    <x:row r="307">
      <x:c r="A307" s="251"/>
      <x:c r="B307" s="252"/>
      <x:c r="C307" s="252"/>
      <x:c r="D307" s="253"/>
      <x:c r="E307" s="253"/>
      <x:c r="F307" s="252"/>
      <x:c r="G307" s="252"/>
      <x:c r="H307" s="252"/>
      <x:c r="I307" s="252"/>
      <x:c r="J307" s="252"/>
      <x:c r="K307" s="252"/>
      <x:c r="L307" s="252" t="str">
        <x:f>IF(A307="","",IF(OR(C307="",D307="",I307="",COUNTIF('الزبائن'!$A$6:$A$505,A307)=0,AND(C307="mobile",I307&lt;&gt;"invalid",OR(LEN(D307)&lt;&gt;10,LEFT(D307,2)&lt;&gt;"09"))),"REVIEW","READY"))</x:f>
      </x:c>
      <x:c r="M307" s="254" t="str">
        <x:f>IF(L307="READY","",IF(A307="","",TRIM(IF(COUNTIF('الزبائن'!$A$6:$A$505,A307)=0,"customer key not found; ","")&amp;IF(C307="","missing contact_type; ","")&amp;IF(D307="","missing number; ","")&amp;IF(I307="","missing status; ","")&amp;IF(AND(C307="mobile",I307&lt;&gt;"invalid",OR(LEN(D307)&lt;&gt;10,LEFT(D307,2)&lt;&gt;"09")),"mobile must be 09XXXXXXXX or status invalid; ",""))))</x:f>
      </x:c>
    </x:row>
    <x:row r="308">
      <x:c r="A308" s="251"/>
      <x:c r="B308" s="252"/>
      <x:c r="C308" s="252"/>
      <x:c r="D308" s="253"/>
      <x:c r="E308" s="253"/>
      <x:c r="F308" s="252"/>
      <x:c r="G308" s="252"/>
      <x:c r="H308" s="252"/>
      <x:c r="I308" s="252"/>
      <x:c r="J308" s="252"/>
      <x:c r="K308" s="252"/>
      <x:c r="L308" s="252" t="str">
        <x:f>IF(A308="","",IF(OR(C308="",D308="",I308="",COUNTIF('الزبائن'!$A$6:$A$505,A308)=0,AND(C308="mobile",I308&lt;&gt;"invalid",OR(LEN(D308)&lt;&gt;10,LEFT(D308,2)&lt;&gt;"09"))),"REVIEW","READY"))</x:f>
      </x:c>
      <x:c r="M308" s="254" t="str">
        <x:f>IF(L308="READY","",IF(A308="","",TRIM(IF(COUNTIF('الزبائن'!$A$6:$A$505,A308)=0,"customer key not found; ","")&amp;IF(C308="","missing contact_type; ","")&amp;IF(D308="","missing number; ","")&amp;IF(I308="","missing status; ","")&amp;IF(AND(C308="mobile",I308&lt;&gt;"invalid",OR(LEN(D308)&lt;&gt;10,LEFT(D308,2)&lt;&gt;"09")),"mobile must be 09XXXXXXXX or status invalid; ",""))))</x:f>
      </x:c>
    </x:row>
    <x:row r="309">
      <x:c r="A309" s="251"/>
      <x:c r="B309" s="252"/>
      <x:c r="C309" s="252"/>
      <x:c r="D309" s="253"/>
      <x:c r="E309" s="253"/>
      <x:c r="F309" s="252"/>
      <x:c r="G309" s="252"/>
      <x:c r="H309" s="252"/>
      <x:c r="I309" s="252"/>
      <x:c r="J309" s="252"/>
      <x:c r="K309" s="252"/>
      <x:c r="L309" s="252" t="str">
        <x:f>IF(A309="","",IF(OR(C309="",D309="",I309="",COUNTIF('الزبائن'!$A$6:$A$505,A309)=0,AND(C309="mobile",I309&lt;&gt;"invalid",OR(LEN(D309)&lt;&gt;10,LEFT(D309,2)&lt;&gt;"09"))),"REVIEW","READY"))</x:f>
      </x:c>
      <x:c r="M309" s="254" t="str">
        <x:f>IF(L309="READY","",IF(A309="","",TRIM(IF(COUNTIF('الزبائن'!$A$6:$A$505,A309)=0,"customer key not found; ","")&amp;IF(C309="","missing contact_type; ","")&amp;IF(D309="","missing number; ","")&amp;IF(I309="","missing status; ","")&amp;IF(AND(C309="mobile",I309&lt;&gt;"invalid",OR(LEN(D309)&lt;&gt;10,LEFT(D309,2)&lt;&gt;"09")),"mobile must be 09XXXXXXXX or status invalid; ",""))))</x:f>
      </x:c>
    </x:row>
    <x:row r="310">
      <x:c r="A310" s="251"/>
      <x:c r="B310" s="252"/>
      <x:c r="C310" s="252"/>
      <x:c r="D310" s="253"/>
      <x:c r="E310" s="253"/>
      <x:c r="F310" s="252"/>
      <x:c r="G310" s="252"/>
      <x:c r="H310" s="252"/>
      <x:c r="I310" s="252"/>
      <x:c r="J310" s="252"/>
      <x:c r="K310" s="252"/>
      <x:c r="L310" s="252" t="str">
        <x:f>IF(A310="","",IF(OR(C310="",D310="",I310="",COUNTIF('الزبائن'!$A$6:$A$505,A310)=0,AND(C310="mobile",I310&lt;&gt;"invalid",OR(LEN(D310)&lt;&gt;10,LEFT(D310,2)&lt;&gt;"09"))),"REVIEW","READY"))</x:f>
      </x:c>
      <x:c r="M310" s="254" t="str">
        <x:f>IF(L310="READY","",IF(A310="","",TRIM(IF(COUNTIF('الزبائن'!$A$6:$A$505,A310)=0,"customer key not found; ","")&amp;IF(C310="","missing contact_type; ","")&amp;IF(D310="","missing number; ","")&amp;IF(I310="","missing status; ","")&amp;IF(AND(C310="mobile",I310&lt;&gt;"invalid",OR(LEN(D310)&lt;&gt;10,LEFT(D310,2)&lt;&gt;"09")),"mobile must be 09XXXXXXXX or status invalid; ",""))))</x:f>
      </x:c>
    </x:row>
    <x:row r="311">
      <x:c r="A311" s="251"/>
      <x:c r="B311" s="252"/>
      <x:c r="C311" s="252"/>
      <x:c r="D311" s="253"/>
      <x:c r="E311" s="253"/>
      <x:c r="F311" s="252"/>
      <x:c r="G311" s="252"/>
      <x:c r="H311" s="252"/>
      <x:c r="I311" s="252"/>
      <x:c r="J311" s="252"/>
      <x:c r="K311" s="252"/>
      <x:c r="L311" s="252" t="str">
        <x:f>IF(A311="","",IF(OR(C311="",D311="",I311="",COUNTIF('الزبائن'!$A$6:$A$505,A311)=0,AND(C311="mobile",I311&lt;&gt;"invalid",OR(LEN(D311)&lt;&gt;10,LEFT(D311,2)&lt;&gt;"09"))),"REVIEW","READY"))</x:f>
      </x:c>
      <x:c r="M311" s="254" t="str">
        <x:f>IF(L311="READY","",IF(A311="","",TRIM(IF(COUNTIF('الزبائن'!$A$6:$A$505,A311)=0,"customer key not found; ","")&amp;IF(C311="","missing contact_type; ","")&amp;IF(D311="","missing number; ","")&amp;IF(I311="","missing status; ","")&amp;IF(AND(C311="mobile",I311&lt;&gt;"invalid",OR(LEN(D311)&lt;&gt;10,LEFT(D311,2)&lt;&gt;"09")),"mobile must be 09XXXXXXXX or status invalid; ",""))))</x:f>
      </x:c>
    </x:row>
    <x:row r="312">
      <x:c r="A312" s="251"/>
      <x:c r="B312" s="252"/>
      <x:c r="C312" s="252"/>
      <x:c r="D312" s="253"/>
      <x:c r="E312" s="253"/>
      <x:c r="F312" s="252"/>
      <x:c r="G312" s="252"/>
      <x:c r="H312" s="252"/>
      <x:c r="I312" s="252"/>
      <x:c r="J312" s="252"/>
      <x:c r="K312" s="252"/>
      <x:c r="L312" s="252" t="str">
        <x:f>IF(A312="","",IF(OR(C312="",D312="",I312="",COUNTIF('الزبائن'!$A$6:$A$505,A312)=0,AND(C312="mobile",I312&lt;&gt;"invalid",OR(LEN(D312)&lt;&gt;10,LEFT(D312,2)&lt;&gt;"09"))),"REVIEW","READY"))</x:f>
      </x:c>
      <x:c r="M312" s="254" t="str">
        <x:f>IF(L312="READY","",IF(A312="","",TRIM(IF(COUNTIF('الزبائن'!$A$6:$A$505,A312)=0,"customer key not found; ","")&amp;IF(C312="","missing contact_type; ","")&amp;IF(D312="","missing number; ","")&amp;IF(I312="","missing status; ","")&amp;IF(AND(C312="mobile",I312&lt;&gt;"invalid",OR(LEN(D312)&lt;&gt;10,LEFT(D312,2)&lt;&gt;"09")),"mobile must be 09XXXXXXXX or status invalid; ",""))))</x:f>
      </x:c>
    </x:row>
    <x:row r="313">
      <x:c r="A313" s="251"/>
      <x:c r="B313" s="252"/>
      <x:c r="C313" s="252"/>
      <x:c r="D313" s="253"/>
      <x:c r="E313" s="253"/>
      <x:c r="F313" s="252"/>
      <x:c r="G313" s="252"/>
      <x:c r="H313" s="252"/>
      <x:c r="I313" s="252"/>
      <x:c r="J313" s="252"/>
      <x:c r="K313" s="252"/>
      <x:c r="L313" s="252" t="str">
        <x:f>IF(A313="","",IF(OR(C313="",D313="",I313="",COUNTIF('الزبائن'!$A$6:$A$505,A313)=0,AND(C313="mobile",I313&lt;&gt;"invalid",OR(LEN(D313)&lt;&gt;10,LEFT(D313,2)&lt;&gt;"09"))),"REVIEW","READY"))</x:f>
      </x:c>
      <x:c r="M313" s="254" t="str">
        <x:f>IF(L313="READY","",IF(A313="","",TRIM(IF(COUNTIF('الزبائن'!$A$6:$A$505,A313)=0,"customer key not found; ","")&amp;IF(C313="","missing contact_type; ","")&amp;IF(D313="","missing number; ","")&amp;IF(I313="","missing status; ","")&amp;IF(AND(C313="mobile",I313&lt;&gt;"invalid",OR(LEN(D313)&lt;&gt;10,LEFT(D313,2)&lt;&gt;"09")),"mobile must be 09XXXXXXXX or status invalid; ",""))))</x:f>
      </x:c>
    </x:row>
    <x:row r="314">
      <x:c r="A314" s="251"/>
      <x:c r="B314" s="252"/>
      <x:c r="C314" s="252"/>
      <x:c r="D314" s="253"/>
      <x:c r="E314" s="253"/>
      <x:c r="F314" s="252"/>
      <x:c r="G314" s="252"/>
      <x:c r="H314" s="252"/>
      <x:c r="I314" s="252"/>
      <x:c r="J314" s="252"/>
      <x:c r="K314" s="252"/>
      <x:c r="L314" s="252" t="str">
        <x:f>IF(A314="","",IF(OR(C314="",D314="",I314="",COUNTIF('الزبائن'!$A$6:$A$505,A314)=0,AND(C314="mobile",I314&lt;&gt;"invalid",OR(LEN(D314)&lt;&gt;10,LEFT(D314,2)&lt;&gt;"09"))),"REVIEW","READY"))</x:f>
      </x:c>
      <x:c r="M314" s="254" t="str">
        <x:f>IF(L314="READY","",IF(A314="","",TRIM(IF(COUNTIF('الزبائن'!$A$6:$A$505,A314)=0,"customer key not found; ","")&amp;IF(C314="","missing contact_type; ","")&amp;IF(D314="","missing number; ","")&amp;IF(I314="","missing status; ","")&amp;IF(AND(C314="mobile",I314&lt;&gt;"invalid",OR(LEN(D314)&lt;&gt;10,LEFT(D314,2)&lt;&gt;"09")),"mobile must be 09XXXXXXXX or status invalid; ",""))))</x:f>
      </x:c>
    </x:row>
    <x:row r="315">
      <x:c r="A315" s="251"/>
      <x:c r="B315" s="252"/>
      <x:c r="C315" s="252"/>
      <x:c r="D315" s="253"/>
      <x:c r="E315" s="253"/>
      <x:c r="F315" s="252"/>
      <x:c r="G315" s="252"/>
      <x:c r="H315" s="252"/>
      <x:c r="I315" s="252"/>
      <x:c r="J315" s="252"/>
      <x:c r="K315" s="252"/>
      <x:c r="L315" s="252" t="str">
        <x:f>IF(A315="","",IF(OR(C315="",D315="",I315="",COUNTIF('الزبائن'!$A$6:$A$505,A315)=0,AND(C315="mobile",I315&lt;&gt;"invalid",OR(LEN(D315)&lt;&gt;10,LEFT(D315,2)&lt;&gt;"09"))),"REVIEW","READY"))</x:f>
      </x:c>
      <x:c r="M315" s="254" t="str">
        <x:f>IF(L315="READY","",IF(A315="","",TRIM(IF(COUNTIF('الزبائن'!$A$6:$A$505,A315)=0,"customer key not found; ","")&amp;IF(C315="","missing contact_type; ","")&amp;IF(D315="","missing number; ","")&amp;IF(I315="","missing status; ","")&amp;IF(AND(C315="mobile",I315&lt;&gt;"invalid",OR(LEN(D315)&lt;&gt;10,LEFT(D315,2)&lt;&gt;"09")),"mobile must be 09XXXXXXXX or status invalid; ",""))))</x:f>
      </x:c>
    </x:row>
    <x:row r="316">
      <x:c r="A316" s="251"/>
      <x:c r="B316" s="252"/>
      <x:c r="C316" s="252"/>
      <x:c r="D316" s="253"/>
      <x:c r="E316" s="253"/>
      <x:c r="F316" s="252"/>
      <x:c r="G316" s="252"/>
      <x:c r="H316" s="252"/>
      <x:c r="I316" s="252"/>
      <x:c r="J316" s="252"/>
      <x:c r="K316" s="252"/>
      <x:c r="L316" s="252" t="str">
        <x:f>IF(A316="","",IF(OR(C316="",D316="",I316="",COUNTIF('الزبائن'!$A$6:$A$505,A316)=0,AND(C316="mobile",I316&lt;&gt;"invalid",OR(LEN(D316)&lt;&gt;10,LEFT(D316,2)&lt;&gt;"09"))),"REVIEW","READY"))</x:f>
      </x:c>
      <x:c r="M316" s="254" t="str">
        <x:f>IF(L316="READY","",IF(A316="","",TRIM(IF(COUNTIF('الزبائن'!$A$6:$A$505,A316)=0,"customer key not found; ","")&amp;IF(C316="","missing contact_type; ","")&amp;IF(D316="","missing number; ","")&amp;IF(I316="","missing status; ","")&amp;IF(AND(C316="mobile",I316&lt;&gt;"invalid",OR(LEN(D316)&lt;&gt;10,LEFT(D316,2)&lt;&gt;"09")),"mobile must be 09XXXXXXXX or status invalid; ",""))))</x:f>
      </x:c>
    </x:row>
    <x:row r="317">
      <x:c r="A317" s="251"/>
      <x:c r="B317" s="252"/>
      <x:c r="C317" s="252"/>
      <x:c r="D317" s="253"/>
      <x:c r="E317" s="253"/>
      <x:c r="F317" s="252"/>
      <x:c r="G317" s="252"/>
      <x:c r="H317" s="252"/>
      <x:c r="I317" s="252"/>
      <x:c r="J317" s="252"/>
      <x:c r="K317" s="252"/>
      <x:c r="L317" s="252" t="str">
        <x:f>IF(A317="","",IF(OR(C317="",D317="",I317="",COUNTIF('الزبائن'!$A$6:$A$505,A317)=0,AND(C317="mobile",I317&lt;&gt;"invalid",OR(LEN(D317)&lt;&gt;10,LEFT(D317,2)&lt;&gt;"09"))),"REVIEW","READY"))</x:f>
      </x:c>
      <x:c r="M317" s="254" t="str">
        <x:f>IF(L317="READY","",IF(A317="","",TRIM(IF(COUNTIF('الزبائن'!$A$6:$A$505,A317)=0,"customer key not found; ","")&amp;IF(C317="","missing contact_type; ","")&amp;IF(D317="","missing number; ","")&amp;IF(I317="","missing status; ","")&amp;IF(AND(C317="mobile",I317&lt;&gt;"invalid",OR(LEN(D317)&lt;&gt;10,LEFT(D317,2)&lt;&gt;"09")),"mobile must be 09XXXXXXXX or status invalid; ",""))))</x:f>
      </x:c>
    </x:row>
    <x:row r="318">
      <x:c r="A318" s="251"/>
      <x:c r="B318" s="252"/>
      <x:c r="C318" s="252"/>
      <x:c r="D318" s="253"/>
      <x:c r="E318" s="253"/>
      <x:c r="F318" s="252"/>
      <x:c r="G318" s="252"/>
      <x:c r="H318" s="252"/>
      <x:c r="I318" s="252"/>
      <x:c r="J318" s="252"/>
      <x:c r="K318" s="252"/>
      <x:c r="L318" s="252" t="str">
        <x:f>IF(A318="","",IF(OR(C318="",D318="",I318="",COUNTIF('الزبائن'!$A$6:$A$505,A318)=0,AND(C318="mobile",I318&lt;&gt;"invalid",OR(LEN(D318)&lt;&gt;10,LEFT(D318,2)&lt;&gt;"09"))),"REVIEW","READY"))</x:f>
      </x:c>
      <x:c r="M318" s="254" t="str">
        <x:f>IF(L318="READY","",IF(A318="","",TRIM(IF(COUNTIF('الزبائن'!$A$6:$A$505,A318)=0,"customer key not found; ","")&amp;IF(C318="","missing contact_type; ","")&amp;IF(D318="","missing number; ","")&amp;IF(I318="","missing status; ","")&amp;IF(AND(C318="mobile",I318&lt;&gt;"invalid",OR(LEN(D318)&lt;&gt;10,LEFT(D318,2)&lt;&gt;"09")),"mobile must be 09XXXXXXXX or status invalid; ",""))))</x:f>
      </x:c>
    </x:row>
    <x:row r="319">
      <x:c r="A319" s="251"/>
      <x:c r="B319" s="252"/>
      <x:c r="C319" s="252"/>
      <x:c r="D319" s="253"/>
      <x:c r="E319" s="253"/>
      <x:c r="F319" s="252"/>
      <x:c r="G319" s="252"/>
      <x:c r="H319" s="252"/>
      <x:c r="I319" s="252"/>
      <x:c r="J319" s="252"/>
      <x:c r="K319" s="252"/>
      <x:c r="L319" s="252" t="str">
        <x:f>IF(A319="","",IF(OR(C319="",D319="",I319="",COUNTIF('الزبائن'!$A$6:$A$505,A319)=0,AND(C319="mobile",I319&lt;&gt;"invalid",OR(LEN(D319)&lt;&gt;10,LEFT(D319,2)&lt;&gt;"09"))),"REVIEW","READY"))</x:f>
      </x:c>
      <x:c r="M319" s="254" t="str">
        <x:f>IF(L319="READY","",IF(A319="","",TRIM(IF(COUNTIF('الزبائن'!$A$6:$A$505,A319)=0,"customer key not found; ","")&amp;IF(C319="","missing contact_type; ","")&amp;IF(D319="","missing number; ","")&amp;IF(I319="","missing status; ","")&amp;IF(AND(C319="mobile",I319&lt;&gt;"invalid",OR(LEN(D319)&lt;&gt;10,LEFT(D319,2)&lt;&gt;"09")),"mobile must be 09XXXXXXXX or status invalid; ",""))))</x:f>
      </x:c>
    </x:row>
    <x:row r="320">
      <x:c r="A320" s="251"/>
      <x:c r="B320" s="252"/>
      <x:c r="C320" s="252"/>
      <x:c r="D320" s="253"/>
      <x:c r="E320" s="253"/>
      <x:c r="F320" s="252"/>
      <x:c r="G320" s="252"/>
      <x:c r="H320" s="252"/>
      <x:c r="I320" s="252"/>
      <x:c r="J320" s="252"/>
      <x:c r="K320" s="252"/>
      <x:c r="L320" s="252" t="str">
        <x:f>IF(A320="","",IF(OR(C320="",D320="",I320="",COUNTIF('الزبائن'!$A$6:$A$505,A320)=0,AND(C320="mobile",I320&lt;&gt;"invalid",OR(LEN(D320)&lt;&gt;10,LEFT(D320,2)&lt;&gt;"09"))),"REVIEW","READY"))</x:f>
      </x:c>
      <x:c r="M320" s="254" t="str">
        <x:f>IF(L320="READY","",IF(A320="","",TRIM(IF(COUNTIF('الزبائن'!$A$6:$A$505,A320)=0,"customer key not found; ","")&amp;IF(C320="","missing contact_type; ","")&amp;IF(D320="","missing number; ","")&amp;IF(I320="","missing status; ","")&amp;IF(AND(C320="mobile",I320&lt;&gt;"invalid",OR(LEN(D320)&lt;&gt;10,LEFT(D320,2)&lt;&gt;"09")),"mobile must be 09XXXXXXXX or status invalid; ",""))))</x:f>
      </x:c>
    </x:row>
    <x:row r="321">
      <x:c r="A321" s="251"/>
      <x:c r="B321" s="252"/>
      <x:c r="C321" s="252"/>
      <x:c r="D321" s="253"/>
      <x:c r="E321" s="253"/>
      <x:c r="F321" s="252"/>
      <x:c r="G321" s="252"/>
      <x:c r="H321" s="252"/>
      <x:c r="I321" s="252"/>
      <x:c r="J321" s="252"/>
      <x:c r="K321" s="252"/>
      <x:c r="L321" s="252" t="str">
        <x:f>IF(A321="","",IF(OR(C321="",D321="",I321="",COUNTIF('الزبائن'!$A$6:$A$505,A321)=0,AND(C321="mobile",I321&lt;&gt;"invalid",OR(LEN(D321)&lt;&gt;10,LEFT(D321,2)&lt;&gt;"09"))),"REVIEW","READY"))</x:f>
      </x:c>
      <x:c r="M321" s="254" t="str">
        <x:f>IF(L321="READY","",IF(A321="","",TRIM(IF(COUNTIF('الزبائن'!$A$6:$A$505,A321)=0,"customer key not found; ","")&amp;IF(C321="","missing contact_type; ","")&amp;IF(D321="","missing number; ","")&amp;IF(I321="","missing status; ","")&amp;IF(AND(C321="mobile",I321&lt;&gt;"invalid",OR(LEN(D321)&lt;&gt;10,LEFT(D321,2)&lt;&gt;"09")),"mobile must be 09XXXXXXXX or status invalid; ",""))))</x:f>
      </x:c>
    </x:row>
    <x:row r="322">
      <x:c r="A322" s="251"/>
      <x:c r="B322" s="252"/>
      <x:c r="C322" s="252"/>
      <x:c r="D322" s="253"/>
      <x:c r="E322" s="253"/>
      <x:c r="F322" s="252"/>
      <x:c r="G322" s="252"/>
      <x:c r="H322" s="252"/>
      <x:c r="I322" s="252"/>
      <x:c r="J322" s="252"/>
      <x:c r="K322" s="252"/>
      <x:c r="L322" s="252" t="str">
        <x:f>IF(A322="","",IF(OR(C322="",D322="",I322="",COUNTIF('الزبائن'!$A$6:$A$505,A322)=0,AND(C322="mobile",I322&lt;&gt;"invalid",OR(LEN(D322)&lt;&gt;10,LEFT(D322,2)&lt;&gt;"09"))),"REVIEW","READY"))</x:f>
      </x:c>
      <x:c r="M322" s="254" t="str">
        <x:f>IF(L322="READY","",IF(A322="","",TRIM(IF(COUNTIF('الزبائن'!$A$6:$A$505,A322)=0,"customer key not found; ","")&amp;IF(C322="","missing contact_type; ","")&amp;IF(D322="","missing number; ","")&amp;IF(I322="","missing status; ","")&amp;IF(AND(C322="mobile",I322&lt;&gt;"invalid",OR(LEN(D322)&lt;&gt;10,LEFT(D322,2)&lt;&gt;"09")),"mobile must be 09XXXXXXXX or status invalid; ",""))))</x:f>
      </x:c>
    </x:row>
    <x:row r="323">
      <x:c r="A323" s="251"/>
      <x:c r="B323" s="252"/>
      <x:c r="C323" s="252"/>
      <x:c r="D323" s="253"/>
      <x:c r="E323" s="253"/>
      <x:c r="F323" s="252"/>
      <x:c r="G323" s="252"/>
      <x:c r="H323" s="252"/>
      <x:c r="I323" s="252"/>
      <x:c r="J323" s="252"/>
      <x:c r="K323" s="252"/>
      <x:c r="L323" s="252" t="str">
        <x:f>IF(A323="","",IF(OR(C323="",D323="",I323="",COUNTIF('الزبائن'!$A$6:$A$505,A323)=0,AND(C323="mobile",I323&lt;&gt;"invalid",OR(LEN(D323)&lt;&gt;10,LEFT(D323,2)&lt;&gt;"09"))),"REVIEW","READY"))</x:f>
      </x:c>
      <x:c r="M323" s="254" t="str">
        <x:f>IF(L323="READY","",IF(A323="","",TRIM(IF(COUNTIF('الزبائن'!$A$6:$A$505,A323)=0,"customer key not found; ","")&amp;IF(C323="","missing contact_type; ","")&amp;IF(D323="","missing number; ","")&amp;IF(I323="","missing status; ","")&amp;IF(AND(C323="mobile",I323&lt;&gt;"invalid",OR(LEN(D323)&lt;&gt;10,LEFT(D323,2)&lt;&gt;"09")),"mobile must be 09XXXXXXXX or status invalid; ",""))))</x:f>
      </x:c>
    </x:row>
    <x:row r="324">
      <x:c r="A324" s="251"/>
      <x:c r="B324" s="252"/>
      <x:c r="C324" s="252"/>
      <x:c r="D324" s="253"/>
      <x:c r="E324" s="253"/>
      <x:c r="F324" s="252"/>
      <x:c r="G324" s="252"/>
      <x:c r="H324" s="252"/>
      <x:c r="I324" s="252"/>
      <x:c r="J324" s="252"/>
      <x:c r="K324" s="252"/>
      <x:c r="L324" s="252" t="str">
        <x:f>IF(A324="","",IF(OR(C324="",D324="",I324="",COUNTIF('الزبائن'!$A$6:$A$505,A324)=0,AND(C324="mobile",I324&lt;&gt;"invalid",OR(LEN(D324)&lt;&gt;10,LEFT(D324,2)&lt;&gt;"09"))),"REVIEW","READY"))</x:f>
      </x:c>
      <x:c r="M324" s="254" t="str">
        <x:f>IF(L324="READY","",IF(A324="","",TRIM(IF(COUNTIF('الزبائن'!$A$6:$A$505,A324)=0,"customer key not found; ","")&amp;IF(C324="","missing contact_type; ","")&amp;IF(D324="","missing number; ","")&amp;IF(I324="","missing status; ","")&amp;IF(AND(C324="mobile",I324&lt;&gt;"invalid",OR(LEN(D324)&lt;&gt;10,LEFT(D324,2)&lt;&gt;"09")),"mobile must be 09XXXXXXXX or status invalid; ",""))))</x:f>
      </x:c>
    </x:row>
    <x:row r="325">
      <x:c r="A325" s="251"/>
      <x:c r="B325" s="252"/>
      <x:c r="C325" s="252"/>
      <x:c r="D325" s="253"/>
      <x:c r="E325" s="253"/>
      <x:c r="F325" s="252"/>
      <x:c r="G325" s="252"/>
      <x:c r="H325" s="252"/>
      <x:c r="I325" s="252"/>
      <x:c r="J325" s="252"/>
      <x:c r="K325" s="252"/>
      <x:c r="L325" s="252" t="str">
        <x:f>IF(A325="","",IF(OR(C325="",D325="",I325="",COUNTIF('الزبائن'!$A$6:$A$505,A325)=0,AND(C325="mobile",I325&lt;&gt;"invalid",OR(LEN(D325)&lt;&gt;10,LEFT(D325,2)&lt;&gt;"09"))),"REVIEW","READY"))</x:f>
      </x:c>
      <x:c r="M325" s="254" t="str">
        <x:f>IF(L325="READY","",IF(A325="","",TRIM(IF(COUNTIF('الزبائن'!$A$6:$A$505,A325)=0,"customer key not found; ","")&amp;IF(C325="","missing contact_type; ","")&amp;IF(D325="","missing number; ","")&amp;IF(I325="","missing status; ","")&amp;IF(AND(C325="mobile",I325&lt;&gt;"invalid",OR(LEN(D325)&lt;&gt;10,LEFT(D325,2)&lt;&gt;"09")),"mobile must be 09XXXXXXXX or status invalid; ",""))))</x:f>
      </x:c>
    </x:row>
    <x:row r="326">
      <x:c r="A326" s="251"/>
      <x:c r="B326" s="252"/>
      <x:c r="C326" s="252"/>
      <x:c r="D326" s="253"/>
      <x:c r="E326" s="253"/>
      <x:c r="F326" s="252"/>
      <x:c r="G326" s="252"/>
      <x:c r="H326" s="252"/>
      <x:c r="I326" s="252"/>
      <x:c r="J326" s="252"/>
      <x:c r="K326" s="252"/>
      <x:c r="L326" s="252" t="str">
        <x:f>IF(A326="","",IF(OR(C326="",D326="",I326="",COUNTIF('الزبائن'!$A$6:$A$505,A326)=0,AND(C326="mobile",I326&lt;&gt;"invalid",OR(LEN(D326)&lt;&gt;10,LEFT(D326,2)&lt;&gt;"09"))),"REVIEW","READY"))</x:f>
      </x:c>
      <x:c r="M326" s="254" t="str">
        <x:f>IF(L326="READY","",IF(A326="","",TRIM(IF(COUNTIF('الزبائن'!$A$6:$A$505,A326)=0,"customer key not found; ","")&amp;IF(C326="","missing contact_type; ","")&amp;IF(D326="","missing number; ","")&amp;IF(I326="","missing status; ","")&amp;IF(AND(C326="mobile",I326&lt;&gt;"invalid",OR(LEN(D326)&lt;&gt;10,LEFT(D326,2)&lt;&gt;"09")),"mobile must be 09XXXXXXXX or status invalid; ",""))))</x:f>
      </x:c>
    </x:row>
    <x:row r="327">
      <x:c r="A327" s="251"/>
      <x:c r="B327" s="252"/>
      <x:c r="C327" s="252"/>
      <x:c r="D327" s="253"/>
      <x:c r="E327" s="253"/>
      <x:c r="F327" s="252"/>
      <x:c r="G327" s="252"/>
      <x:c r="H327" s="252"/>
      <x:c r="I327" s="252"/>
      <x:c r="J327" s="252"/>
      <x:c r="K327" s="252"/>
      <x:c r="L327" s="252" t="str">
        <x:f>IF(A327="","",IF(OR(C327="",D327="",I327="",COUNTIF('الزبائن'!$A$6:$A$505,A327)=0,AND(C327="mobile",I327&lt;&gt;"invalid",OR(LEN(D327)&lt;&gt;10,LEFT(D327,2)&lt;&gt;"09"))),"REVIEW","READY"))</x:f>
      </x:c>
      <x:c r="M327" s="254" t="str">
        <x:f>IF(L327="READY","",IF(A327="","",TRIM(IF(COUNTIF('الزبائن'!$A$6:$A$505,A327)=0,"customer key not found; ","")&amp;IF(C327="","missing contact_type; ","")&amp;IF(D327="","missing number; ","")&amp;IF(I327="","missing status; ","")&amp;IF(AND(C327="mobile",I327&lt;&gt;"invalid",OR(LEN(D327)&lt;&gt;10,LEFT(D327,2)&lt;&gt;"09")),"mobile must be 09XXXXXXXX or status invalid; ",""))))</x:f>
      </x:c>
    </x:row>
    <x:row r="328">
      <x:c r="A328" s="251"/>
      <x:c r="B328" s="252"/>
      <x:c r="C328" s="252"/>
      <x:c r="D328" s="253"/>
      <x:c r="E328" s="253"/>
      <x:c r="F328" s="252"/>
      <x:c r="G328" s="252"/>
      <x:c r="H328" s="252"/>
      <x:c r="I328" s="252"/>
      <x:c r="J328" s="252"/>
      <x:c r="K328" s="252"/>
      <x:c r="L328" s="252" t="str">
        <x:f>IF(A328="","",IF(OR(C328="",D328="",I328="",COUNTIF('الزبائن'!$A$6:$A$505,A328)=0,AND(C328="mobile",I328&lt;&gt;"invalid",OR(LEN(D328)&lt;&gt;10,LEFT(D328,2)&lt;&gt;"09"))),"REVIEW","READY"))</x:f>
      </x:c>
      <x:c r="M328" s="254" t="str">
        <x:f>IF(L328="READY","",IF(A328="","",TRIM(IF(COUNTIF('الزبائن'!$A$6:$A$505,A328)=0,"customer key not found; ","")&amp;IF(C328="","missing contact_type; ","")&amp;IF(D328="","missing number; ","")&amp;IF(I328="","missing status; ","")&amp;IF(AND(C328="mobile",I328&lt;&gt;"invalid",OR(LEN(D328)&lt;&gt;10,LEFT(D328,2)&lt;&gt;"09")),"mobile must be 09XXXXXXXX or status invalid; ",""))))</x:f>
      </x:c>
    </x:row>
    <x:row r="329">
      <x:c r="A329" s="251"/>
      <x:c r="B329" s="252"/>
      <x:c r="C329" s="252"/>
      <x:c r="D329" s="253"/>
      <x:c r="E329" s="253"/>
      <x:c r="F329" s="252"/>
      <x:c r="G329" s="252"/>
      <x:c r="H329" s="252"/>
      <x:c r="I329" s="252"/>
      <x:c r="J329" s="252"/>
      <x:c r="K329" s="252"/>
      <x:c r="L329" s="252" t="str">
        <x:f>IF(A329="","",IF(OR(C329="",D329="",I329="",COUNTIF('الزبائن'!$A$6:$A$505,A329)=0,AND(C329="mobile",I329&lt;&gt;"invalid",OR(LEN(D329)&lt;&gt;10,LEFT(D329,2)&lt;&gt;"09"))),"REVIEW","READY"))</x:f>
      </x:c>
      <x:c r="M329" s="254" t="str">
        <x:f>IF(L329="READY","",IF(A329="","",TRIM(IF(COUNTIF('الزبائن'!$A$6:$A$505,A329)=0,"customer key not found; ","")&amp;IF(C329="","missing contact_type; ","")&amp;IF(D329="","missing number; ","")&amp;IF(I329="","missing status; ","")&amp;IF(AND(C329="mobile",I329&lt;&gt;"invalid",OR(LEN(D329)&lt;&gt;10,LEFT(D329,2)&lt;&gt;"09")),"mobile must be 09XXXXXXXX or status invalid; ",""))))</x:f>
      </x:c>
    </x:row>
    <x:row r="330">
      <x:c r="A330" s="251"/>
      <x:c r="B330" s="252"/>
      <x:c r="C330" s="252"/>
      <x:c r="D330" s="253"/>
      <x:c r="E330" s="253"/>
      <x:c r="F330" s="252"/>
      <x:c r="G330" s="252"/>
      <x:c r="H330" s="252"/>
      <x:c r="I330" s="252"/>
      <x:c r="J330" s="252"/>
      <x:c r="K330" s="252"/>
      <x:c r="L330" s="252" t="str">
        <x:f>IF(A330="","",IF(OR(C330="",D330="",I330="",COUNTIF('الزبائن'!$A$6:$A$505,A330)=0,AND(C330="mobile",I330&lt;&gt;"invalid",OR(LEN(D330)&lt;&gt;10,LEFT(D330,2)&lt;&gt;"09"))),"REVIEW","READY"))</x:f>
      </x:c>
      <x:c r="M330" s="254" t="str">
        <x:f>IF(L330="READY","",IF(A330="","",TRIM(IF(COUNTIF('الزبائن'!$A$6:$A$505,A330)=0,"customer key not found; ","")&amp;IF(C330="","missing contact_type; ","")&amp;IF(D330="","missing number; ","")&amp;IF(I330="","missing status; ","")&amp;IF(AND(C330="mobile",I330&lt;&gt;"invalid",OR(LEN(D330)&lt;&gt;10,LEFT(D330,2)&lt;&gt;"09")),"mobile must be 09XXXXXXXX or status invalid; ",""))))</x:f>
      </x:c>
    </x:row>
    <x:row r="331">
      <x:c r="A331" s="251"/>
      <x:c r="B331" s="252"/>
      <x:c r="C331" s="252"/>
      <x:c r="D331" s="253"/>
      <x:c r="E331" s="253"/>
      <x:c r="F331" s="252"/>
      <x:c r="G331" s="252"/>
      <x:c r="H331" s="252"/>
      <x:c r="I331" s="252"/>
      <x:c r="J331" s="252"/>
      <x:c r="K331" s="252"/>
      <x:c r="L331" s="252" t="str">
        <x:f>IF(A331="","",IF(OR(C331="",D331="",I331="",COUNTIF('الزبائن'!$A$6:$A$505,A331)=0,AND(C331="mobile",I331&lt;&gt;"invalid",OR(LEN(D331)&lt;&gt;10,LEFT(D331,2)&lt;&gt;"09"))),"REVIEW","READY"))</x:f>
      </x:c>
      <x:c r="M331" s="254" t="str">
        <x:f>IF(L331="READY","",IF(A331="","",TRIM(IF(COUNTIF('الزبائن'!$A$6:$A$505,A331)=0,"customer key not found; ","")&amp;IF(C331="","missing contact_type; ","")&amp;IF(D331="","missing number; ","")&amp;IF(I331="","missing status; ","")&amp;IF(AND(C331="mobile",I331&lt;&gt;"invalid",OR(LEN(D331)&lt;&gt;10,LEFT(D331,2)&lt;&gt;"09")),"mobile must be 09XXXXXXXX or status invalid; ",""))))</x:f>
      </x:c>
    </x:row>
    <x:row r="332">
      <x:c r="A332" s="251"/>
      <x:c r="B332" s="252"/>
      <x:c r="C332" s="252"/>
      <x:c r="D332" s="253"/>
      <x:c r="E332" s="253"/>
      <x:c r="F332" s="252"/>
      <x:c r="G332" s="252"/>
      <x:c r="H332" s="252"/>
      <x:c r="I332" s="252"/>
      <x:c r="J332" s="252"/>
      <x:c r="K332" s="252"/>
      <x:c r="L332" s="252" t="str">
        <x:f>IF(A332="","",IF(OR(C332="",D332="",I332="",COUNTIF('الزبائن'!$A$6:$A$505,A332)=0,AND(C332="mobile",I332&lt;&gt;"invalid",OR(LEN(D332)&lt;&gt;10,LEFT(D332,2)&lt;&gt;"09"))),"REVIEW","READY"))</x:f>
      </x:c>
      <x:c r="M332" s="254" t="str">
        <x:f>IF(L332="READY","",IF(A332="","",TRIM(IF(COUNTIF('الزبائن'!$A$6:$A$505,A332)=0,"customer key not found; ","")&amp;IF(C332="","missing contact_type; ","")&amp;IF(D332="","missing number; ","")&amp;IF(I332="","missing status; ","")&amp;IF(AND(C332="mobile",I332&lt;&gt;"invalid",OR(LEN(D332)&lt;&gt;10,LEFT(D332,2)&lt;&gt;"09")),"mobile must be 09XXXXXXXX or status invalid; ",""))))</x:f>
      </x:c>
    </x:row>
    <x:row r="333">
      <x:c r="A333" s="251"/>
      <x:c r="B333" s="252"/>
      <x:c r="C333" s="252"/>
      <x:c r="D333" s="253"/>
      <x:c r="E333" s="253"/>
      <x:c r="F333" s="252"/>
      <x:c r="G333" s="252"/>
      <x:c r="H333" s="252"/>
      <x:c r="I333" s="252"/>
      <x:c r="J333" s="252"/>
      <x:c r="K333" s="252"/>
      <x:c r="L333" s="252" t="str">
        <x:f>IF(A333="","",IF(OR(C333="",D333="",I333="",COUNTIF('الزبائن'!$A$6:$A$505,A333)=0,AND(C333="mobile",I333&lt;&gt;"invalid",OR(LEN(D333)&lt;&gt;10,LEFT(D333,2)&lt;&gt;"09"))),"REVIEW","READY"))</x:f>
      </x:c>
      <x:c r="M333" s="254" t="str">
        <x:f>IF(L333="READY","",IF(A333="","",TRIM(IF(COUNTIF('الزبائن'!$A$6:$A$505,A333)=0,"customer key not found; ","")&amp;IF(C333="","missing contact_type; ","")&amp;IF(D333="","missing number; ","")&amp;IF(I333="","missing status; ","")&amp;IF(AND(C333="mobile",I333&lt;&gt;"invalid",OR(LEN(D333)&lt;&gt;10,LEFT(D333,2)&lt;&gt;"09")),"mobile must be 09XXXXXXXX or status invalid; ",""))))</x:f>
      </x:c>
    </x:row>
    <x:row r="334">
      <x:c r="A334" s="251"/>
      <x:c r="B334" s="252"/>
      <x:c r="C334" s="252"/>
      <x:c r="D334" s="253"/>
      <x:c r="E334" s="253"/>
      <x:c r="F334" s="252"/>
      <x:c r="G334" s="252"/>
      <x:c r="H334" s="252"/>
      <x:c r="I334" s="252"/>
      <x:c r="J334" s="252"/>
      <x:c r="K334" s="252"/>
      <x:c r="L334" s="252" t="str">
        <x:f>IF(A334="","",IF(OR(C334="",D334="",I334="",COUNTIF('الزبائن'!$A$6:$A$505,A334)=0,AND(C334="mobile",I334&lt;&gt;"invalid",OR(LEN(D334)&lt;&gt;10,LEFT(D334,2)&lt;&gt;"09"))),"REVIEW","READY"))</x:f>
      </x:c>
      <x:c r="M334" s="254" t="str">
        <x:f>IF(L334="READY","",IF(A334="","",TRIM(IF(COUNTIF('الزبائن'!$A$6:$A$505,A334)=0,"customer key not found; ","")&amp;IF(C334="","missing contact_type; ","")&amp;IF(D334="","missing number; ","")&amp;IF(I334="","missing status; ","")&amp;IF(AND(C334="mobile",I334&lt;&gt;"invalid",OR(LEN(D334)&lt;&gt;10,LEFT(D334,2)&lt;&gt;"09")),"mobile must be 09XXXXXXXX or status invalid; ",""))))</x:f>
      </x:c>
    </x:row>
    <x:row r="335">
      <x:c r="A335" s="251"/>
      <x:c r="B335" s="252"/>
      <x:c r="C335" s="252"/>
      <x:c r="D335" s="253"/>
      <x:c r="E335" s="253"/>
      <x:c r="F335" s="252"/>
      <x:c r="G335" s="252"/>
      <x:c r="H335" s="252"/>
      <x:c r="I335" s="252"/>
      <x:c r="J335" s="252"/>
      <x:c r="K335" s="252"/>
      <x:c r="L335" s="252" t="str">
        <x:f>IF(A335="","",IF(OR(C335="",D335="",I335="",COUNTIF('الزبائن'!$A$6:$A$505,A335)=0,AND(C335="mobile",I335&lt;&gt;"invalid",OR(LEN(D335)&lt;&gt;10,LEFT(D335,2)&lt;&gt;"09"))),"REVIEW","READY"))</x:f>
      </x:c>
      <x:c r="M335" s="254" t="str">
        <x:f>IF(L335="READY","",IF(A335="","",TRIM(IF(COUNTIF('الزبائن'!$A$6:$A$505,A335)=0,"customer key not found; ","")&amp;IF(C335="","missing contact_type; ","")&amp;IF(D335="","missing number; ","")&amp;IF(I335="","missing status; ","")&amp;IF(AND(C335="mobile",I335&lt;&gt;"invalid",OR(LEN(D335)&lt;&gt;10,LEFT(D335,2)&lt;&gt;"09")),"mobile must be 09XXXXXXXX or status invalid; ",""))))</x:f>
      </x:c>
    </x:row>
    <x:row r="336">
      <x:c r="A336" s="251"/>
      <x:c r="B336" s="252"/>
      <x:c r="C336" s="252"/>
      <x:c r="D336" s="253"/>
      <x:c r="E336" s="253"/>
      <x:c r="F336" s="252"/>
      <x:c r="G336" s="252"/>
      <x:c r="H336" s="252"/>
      <x:c r="I336" s="252"/>
      <x:c r="J336" s="252"/>
      <x:c r="K336" s="252"/>
      <x:c r="L336" s="252" t="str">
        <x:f>IF(A336="","",IF(OR(C336="",D336="",I336="",COUNTIF('الزبائن'!$A$6:$A$505,A336)=0,AND(C336="mobile",I336&lt;&gt;"invalid",OR(LEN(D336)&lt;&gt;10,LEFT(D336,2)&lt;&gt;"09"))),"REVIEW","READY"))</x:f>
      </x:c>
      <x:c r="M336" s="254" t="str">
        <x:f>IF(L336="READY","",IF(A336="","",TRIM(IF(COUNTIF('الزبائن'!$A$6:$A$505,A336)=0,"customer key not found; ","")&amp;IF(C336="","missing contact_type; ","")&amp;IF(D336="","missing number; ","")&amp;IF(I336="","missing status; ","")&amp;IF(AND(C336="mobile",I336&lt;&gt;"invalid",OR(LEN(D336)&lt;&gt;10,LEFT(D336,2)&lt;&gt;"09")),"mobile must be 09XXXXXXXX or status invalid; ",""))))</x:f>
      </x:c>
    </x:row>
    <x:row r="337">
      <x:c r="A337" s="251"/>
      <x:c r="B337" s="252"/>
      <x:c r="C337" s="252"/>
      <x:c r="D337" s="253"/>
      <x:c r="E337" s="253"/>
      <x:c r="F337" s="252"/>
      <x:c r="G337" s="252"/>
      <x:c r="H337" s="252"/>
      <x:c r="I337" s="252"/>
      <x:c r="J337" s="252"/>
      <x:c r="K337" s="252"/>
      <x:c r="L337" s="252" t="str">
        <x:f>IF(A337="","",IF(OR(C337="",D337="",I337="",COUNTIF('الزبائن'!$A$6:$A$505,A337)=0,AND(C337="mobile",I337&lt;&gt;"invalid",OR(LEN(D337)&lt;&gt;10,LEFT(D337,2)&lt;&gt;"09"))),"REVIEW","READY"))</x:f>
      </x:c>
      <x:c r="M337" s="254" t="str">
        <x:f>IF(L337="READY","",IF(A337="","",TRIM(IF(COUNTIF('الزبائن'!$A$6:$A$505,A337)=0,"customer key not found; ","")&amp;IF(C337="","missing contact_type; ","")&amp;IF(D337="","missing number; ","")&amp;IF(I337="","missing status; ","")&amp;IF(AND(C337="mobile",I337&lt;&gt;"invalid",OR(LEN(D337)&lt;&gt;10,LEFT(D337,2)&lt;&gt;"09")),"mobile must be 09XXXXXXXX or status invalid; ",""))))</x:f>
      </x:c>
    </x:row>
    <x:row r="338">
      <x:c r="A338" s="251"/>
      <x:c r="B338" s="252"/>
      <x:c r="C338" s="252"/>
      <x:c r="D338" s="253"/>
      <x:c r="E338" s="253"/>
      <x:c r="F338" s="252"/>
      <x:c r="G338" s="252"/>
      <x:c r="H338" s="252"/>
      <x:c r="I338" s="252"/>
      <x:c r="J338" s="252"/>
      <x:c r="K338" s="252"/>
      <x:c r="L338" s="252" t="str">
        <x:f>IF(A338="","",IF(OR(C338="",D338="",I338="",COUNTIF('الزبائن'!$A$6:$A$505,A338)=0,AND(C338="mobile",I338&lt;&gt;"invalid",OR(LEN(D338)&lt;&gt;10,LEFT(D338,2)&lt;&gt;"09"))),"REVIEW","READY"))</x:f>
      </x:c>
      <x:c r="M338" s="254" t="str">
        <x:f>IF(L338="READY","",IF(A338="","",TRIM(IF(COUNTIF('الزبائن'!$A$6:$A$505,A338)=0,"customer key not found; ","")&amp;IF(C338="","missing contact_type; ","")&amp;IF(D338="","missing number; ","")&amp;IF(I338="","missing status; ","")&amp;IF(AND(C338="mobile",I338&lt;&gt;"invalid",OR(LEN(D338)&lt;&gt;10,LEFT(D338,2)&lt;&gt;"09")),"mobile must be 09XXXXXXXX or status invalid; ",""))))</x:f>
      </x:c>
    </x:row>
    <x:row r="339">
      <x:c r="A339" s="251"/>
      <x:c r="B339" s="252"/>
      <x:c r="C339" s="252"/>
      <x:c r="D339" s="253"/>
      <x:c r="E339" s="253"/>
      <x:c r="F339" s="252"/>
      <x:c r="G339" s="252"/>
      <x:c r="H339" s="252"/>
      <x:c r="I339" s="252"/>
      <x:c r="J339" s="252"/>
      <x:c r="K339" s="252"/>
      <x:c r="L339" s="252" t="str">
        <x:f>IF(A339="","",IF(OR(C339="",D339="",I339="",COUNTIF('الزبائن'!$A$6:$A$505,A339)=0,AND(C339="mobile",I339&lt;&gt;"invalid",OR(LEN(D339)&lt;&gt;10,LEFT(D339,2)&lt;&gt;"09"))),"REVIEW","READY"))</x:f>
      </x:c>
      <x:c r="M339" s="254" t="str">
        <x:f>IF(L339="READY","",IF(A339="","",TRIM(IF(COUNTIF('الزبائن'!$A$6:$A$505,A339)=0,"customer key not found; ","")&amp;IF(C339="","missing contact_type; ","")&amp;IF(D339="","missing number; ","")&amp;IF(I339="","missing status; ","")&amp;IF(AND(C339="mobile",I339&lt;&gt;"invalid",OR(LEN(D339)&lt;&gt;10,LEFT(D339,2)&lt;&gt;"09")),"mobile must be 09XXXXXXXX or status invalid; ",""))))</x:f>
      </x:c>
    </x:row>
    <x:row r="340">
      <x:c r="A340" s="251"/>
      <x:c r="B340" s="252"/>
      <x:c r="C340" s="252"/>
      <x:c r="D340" s="253"/>
      <x:c r="E340" s="253"/>
      <x:c r="F340" s="252"/>
      <x:c r="G340" s="252"/>
      <x:c r="H340" s="252"/>
      <x:c r="I340" s="252"/>
      <x:c r="J340" s="252"/>
      <x:c r="K340" s="252"/>
      <x:c r="L340" s="252" t="str">
        <x:f>IF(A340="","",IF(OR(C340="",D340="",I340="",COUNTIF('الزبائن'!$A$6:$A$505,A340)=0,AND(C340="mobile",I340&lt;&gt;"invalid",OR(LEN(D340)&lt;&gt;10,LEFT(D340,2)&lt;&gt;"09"))),"REVIEW","READY"))</x:f>
      </x:c>
      <x:c r="M340" s="254" t="str">
        <x:f>IF(L340="READY","",IF(A340="","",TRIM(IF(COUNTIF('الزبائن'!$A$6:$A$505,A340)=0,"customer key not found; ","")&amp;IF(C340="","missing contact_type; ","")&amp;IF(D340="","missing number; ","")&amp;IF(I340="","missing status; ","")&amp;IF(AND(C340="mobile",I340&lt;&gt;"invalid",OR(LEN(D340)&lt;&gt;10,LEFT(D340,2)&lt;&gt;"09")),"mobile must be 09XXXXXXXX or status invalid; ",""))))</x:f>
      </x:c>
    </x:row>
    <x:row r="341">
      <x:c r="A341" s="251"/>
      <x:c r="B341" s="252"/>
      <x:c r="C341" s="252"/>
      <x:c r="D341" s="253"/>
      <x:c r="E341" s="253"/>
      <x:c r="F341" s="252"/>
      <x:c r="G341" s="252"/>
      <x:c r="H341" s="252"/>
      <x:c r="I341" s="252"/>
      <x:c r="J341" s="252"/>
      <x:c r="K341" s="252"/>
      <x:c r="L341" s="252" t="str">
        <x:f>IF(A341="","",IF(OR(C341="",D341="",I341="",COUNTIF('الزبائن'!$A$6:$A$505,A341)=0,AND(C341="mobile",I341&lt;&gt;"invalid",OR(LEN(D341)&lt;&gt;10,LEFT(D341,2)&lt;&gt;"09"))),"REVIEW","READY"))</x:f>
      </x:c>
      <x:c r="M341" s="254" t="str">
        <x:f>IF(L341="READY","",IF(A341="","",TRIM(IF(COUNTIF('الزبائن'!$A$6:$A$505,A341)=0,"customer key not found; ","")&amp;IF(C341="","missing contact_type; ","")&amp;IF(D341="","missing number; ","")&amp;IF(I341="","missing status; ","")&amp;IF(AND(C341="mobile",I341&lt;&gt;"invalid",OR(LEN(D341)&lt;&gt;10,LEFT(D341,2)&lt;&gt;"09")),"mobile must be 09XXXXXXXX or status invalid; ",""))))</x:f>
      </x:c>
    </x:row>
    <x:row r="342">
      <x:c r="A342" s="251"/>
      <x:c r="B342" s="252"/>
      <x:c r="C342" s="252"/>
      <x:c r="D342" s="253"/>
      <x:c r="E342" s="253"/>
      <x:c r="F342" s="252"/>
      <x:c r="G342" s="252"/>
      <x:c r="H342" s="252"/>
      <x:c r="I342" s="252"/>
      <x:c r="J342" s="252"/>
      <x:c r="K342" s="252"/>
      <x:c r="L342" s="252" t="str">
        <x:f>IF(A342="","",IF(OR(C342="",D342="",I342="",COUNTIF('الزبائن'!$A$6:$A$505,A342)=0,AND(C342="mobile",I342&lt;&gt;"invalid",OR(LEN(D342)&lt;&gt;10,LEFT(D342,2)&lt;&gt;"09"))),"REVIEW","READY"))</x:f>
      </x:c>
      <x:c r="M342" s="254" t="str">
        <x:f>IF(L342="READY","",IF(A342="","",TRIM(IF(COUNTIF('الزبائن'!$A$6:$A$505,A342)=0,"customer key not found; ","")&amp;IF(C342="","missing contact_type; ","")&amp;IF(D342="","missing number; ","")&amp;IF(I342="","missing status; ","")&amp;IF(AND(C342="mobile",I342&lt;&gt;"invalid",OR(LEN(D342)&lt;&gt;10,LEFT(D342,2)&lt;&gt;"09")),"mobile must be 09XXXXXXXX or status invalid; ",""))))</x:f>
      </x:c>
    </x:row>
    <x:row r="343">
      <x:c r="A343" s="251"/>
      <x:c r="B343" s="252"/>
      <x:c r="C343" s="252"/>
      <x:c r="D343" s="253"/>
      <x:c r="E343" s="253"/>
      <x:c r="F343" s="252"/>
      <x:c r="G343" s="252"/>
      <x:c r="H343" s="252"/>
      <x:c r="I343" s="252"/>
      <x:c r="J343" s="252"/>
      <x:c r="K343" s="252"/>
      <x:c r="L343" s="252" t="str">
        <x:f>IF(A343="","",IF(OR(C343="",D343="",I343="",COUNTIF('الزبائن'!$A$6:$A$505,A343)=0,AND(C343="mobile",I343&lt;&gt;"invalid",OR(LEN(D343)&lt;&gt;10,LEFT(D343,2)&lt;&gt;"09"))),"REVIEW","READY"))</x:f>
      </x:c>
      <x:c r="M343" s="254" t="str">
        <x:f>IF(L343="READY","",IF(A343="","",TRIM(IF(COUNTIF('الزبائن'!$A$6:$A$505,A343)=0,"customer key not found; ","")&amp;IF(C343="","missing contact_type; ","")&amp;IF(D343="","missing number; ","")&amp;IF(I343="","missing status; ","")&amp;IF(AND(C343="mobile",I343&lt;&gt;"invalid",OR(LEN(D343)&lt;&gt;10,LEFT(D343,2)&lt;&gt;"09")),"mobile must be 09XXXXXXXX or status invalid; ",""))))</x:f>
      </x:c>
    </x:row>
    <x:row r="344">
      <x:c r="A344" s="251"/>
      <x:c r="B344" s="252"/>
      <x:c r="C344" s="252"/>
      <x:c r="D344" s="253"/>
      <x:c r="E344" s="253"/>
      <x:c r="F344" s="252"/>
      <x:c r="G344" s="252"/>
      <x:c r="H344" s="252"/>
      <x:c r="I344" s="252"/>
      <x:c r="J344" s="252"/>
      <x:c r="K344" s="252"/>
      <x:c r="L344" s="252" t="str">
        <x:f>IF(A344="","",IF(OR(C344="",D344="",I344="",COUNTIF('الزبائن'!$A$6:$A$505,A344)=0,AND(C344="mobile",I344&lt;&gt;"invalid",OR(LEN(D344)&lt;&gt;10,LEFT(D344,2)&lt;&gt;"09"))),"REVIEW","READY"))</x:f>
      </x:c>
      <x:c r="M344" s="254" t="str">
        <x:f>IF(L344="READY","",IF(A344="","",TRIM(IF(COUNTIF('الزبائن'!$A$6:$A$505,A344)=0,"customer key not found; ","")&amp;IF(C344="","missing contact_type; ","")&amp;IF(D344="","missing number; ","")&amp;IF(I344="","missing status; ","")&amp;IF(AND(C344="mobile",I344&lt;&gt;"invalid",OR(LEN(D344)&lt;&gt;10,LEFT(D344,2)&lt;&gt;"09")),"mobile must be 09XXXXXXXX or status invalid; ",""))))</x:f>
      </x:c>
    </x:row>
    <x:row r="345">
      <x:c r="A345" s="251"/>
      <x:c r="B345" s="252"/>
      <x:c r="C345" s="252"/>
      <x:c r="D345" s="253"/>
      <x:c r="E345" s="253"/>
      <x:c r="F345" s="252"/>
      <x:c r="G345" s="252"/>
      <x:c r="H345" s="252"/>
      <x:c r="I345" s="252"/>
      <x:c r="J345" s="252"/>
      <x:c r="K345" s="252"/>
      <x:c r="L345" s="252" t="str">
        <x:f>IF(A345="","",IF(OR(C345="",D345="",I345="",COUNTIF('الزبائن'!$A$6:$A$505,A345)=0,AND(C345="mobile",I345&lt;&gt;"invalid",OR(LEN(D345)&lt;&gt;10,LEFT(D345,2)&lt;&gt;"09"))),"REVIEW","READY"))</x:f>
      </x:c>
      <x:c r="M345" s="254" t="str">
        <x:f>IF(L345="READY","",IF(A345="","",TRIM(IF(COUNTIF('الزبائن'!$A$6:$A$505,A345)=0,"customer key not found; ","")&amp;IF(C345="","missing contact_type; ","")&amp;IF(D345="","missing number; ","")&amp;IF(I345="","missing status; ","")&amp;IF(AND(C345="mobile",I345&lt;&gt;"invalid",OR(LEN(D345)&lt;&gt;10,LEFT(D345,2)&lt;&gt;"09")),"mobile must be 09XXXXXXXX or status invalid; ",""))))</x:f>
      </x:c>
    </x:row>
    <x:row r="346">
      <x:c r="A346" s="251"/>
      <x:c r="B346" s="252"/>
      <x:c r="C346" s="252"/>
      <x:c r="D346" s="253"/>
      <x:c r="E346" s="253"/>
      <x:c r="F346" s="252"/>
      <x:c r="G346" s="252"/>
      <x:c r="H346" s="252"/>
      <x:c r="I346" s="252"/>
      <x:c r="J346" s="252"/>
      <x:c r="K346" s="252"/>
      <x:c r="L346" s="252" t="str">
        <x:f>IF(A346="","",IF(OR(C346="",D346="",I346="",COUNTIF('الزبائن'!$A$6:$A$505,A346)=0,AND(C346="mobile",I346&lt;&gt;"invalid",OR(LEN(D346)&lt;&gt;10,LEFT(D346,2)&lt;&gt;"09"))),"REVIEW","READY"))</x:f>
      </x:c>
      <x:c r="M346" s="254" t="str">
        <x:f>IF(L346="READY","",IF(A346="","",TRIM(IF(COUNTIF('الزبائن'!$A$6:$A$505,A346)=0,"customer key not found; ","")&amp;IF(C346="","missing contact_type; ","")&amp;IF(D346="","missing number; ","")&amp;IF(I346="","missing status; ","")&amp;IF(AND(C346="mobile",I346&lt;&gt;"invalid",OR(LEN(D346)&lt;&gt;10,LEFT(D346,2)&lt;&gt;"09")),"mobile must be 09XXXXXXXX or status invalid; ",""))))</x:f>
      </x:c>
    </x:row>
    <x:row r="347">
      <x:c r="A347" s="251"/>
      <x:c r="B347" s="252"/>
      <x:c r="C347" s="252"/>
      <x:c r="D347" s="253"/>
      <x:c r="E347" s="253"/>
      <x:c r="F347" s="252"/>
      <x:c r="G347" s="252"/>
      <x:c r="H347" s="252"/>
      <x:c r="I347" s="252"/>
      <x:c r="J347" s="252"/>
      <x:c r="K347" s="252"/>
      <x:c r="L347" s="252" t="str">
        <x:f>IF(A347="","",IF(OR(C347="",D347="",I347="",COUNTIF('الزبائن'!$A$6:$A$505,A347)=0,AND(C347="mobile",I347&lt;&gt;"invalid",OR(LEN(D347)&lt;&gt;10,LEFT(D347,2)&lt;&gt;"09"))),"REVIEW","READY"))</x:f>
      </x:c>
      <x:c r="M347" s="254" t="str">
        <x:f>IF(L347="READY","",IF(A347="","",TRIM(IF(COUNTIF('الزبائن'!$A$6:$A$505,A347)=0,"customer key not found; ","")&amp;IF(C347="","missing contact_type; ","")&amp;IF(D347="","missing number; ","")&amp;IF(I347="","missing status; ","")&amp;IF(AND(C347="mobile",I347&lt;&gt;"invalid",OR(LEN(D347)&lt;&gt;10,LEFT(D347,2)&lt;&gt;"09")),"mobile must be 09XXXXXXXX or status invalid; ",""))))</x:f>
      </x:c>
    </x:row>
    <x:row r="348">
      <x:c r="A348" s="251"/>
      <x:c r="B348" s="252"/>
      <x:c r="C348" s="252"/>
      <x:c r="D348" s="253"/>
      <x:c r="E348" s="253"/>
      <x:c r="F348" s="252"/>
      <x:c r="G348" s="252"/>
      <x:c r="H348" s="252"/>
      <x:c r="I348" s="252"/>
      <x:c r="J348" s="252"/>
      <x:c r="K348" s="252"/>
      <x:c r="L348" s="252" t="str">
        <x:f>IF(A348="","",IF(OR(C348="",D348="",I348="",COUNTIF('الزبائن'!$A$6:$A$505,A348)=0,AND(C348="mobile",I348&lt;&gt;"invalid",OR(LEN(D348)&lt;&gt;10,LEFT(D348,2)&lt;&gt;"09"))),"REVIEW","READY"))</x:f>
      </x:c>
      <x:c r="M348" s="254" t="str">
        <x:f>IF(L348="READY","",IF(A348="","",TRIM(IF(COUNTIF('الزبائن'!$A$6:$A$505,A348)=0,"customer key not found; ","")&amp;IF(C348="","missing contact_type; ","")&amp;IF(D348="","missing number; ","")&amp;IF(I348="","missing status; ","")&amp;IF(AND(C348="mobile",I348&lt;&gt;"invalid",OR(LEN(D348)&lt;&gt;10,LEFT(D348,2)&lt;&gt;"09")),"mobile must be 09XXXXXXXX or status invalid; ",""))))</x:f>
      </x:c>
    </x:row>
    <x:row r="349">
      <x:c r="A349" s="251"/>
      <x:c r="B349" s="252"/>
      <x:c r="C349" s="252"/>
      <x:c r="D349" s="253"/>
      <x:c r="E349" s="253"/>
      <x:c r="F349" s="252"/>
      <x:c r="G349" s="252"/>
      <x:c r="H349" s="252"/>
      <x:c r="I349" s="252"/>
      <x:c r="J349" s="252"/>
      <x:c r="K349" s="252"/>
      <x:c r="L349" s="252" t="str">
        <x:f>IF(A349="","",IF(OR(C349="",D349="",I349="",COUNTIF('الزبائن'!$A$6:$A$505,A349)=0,AND(C349="mobile",I349&lt;&gt;"invalid",OR(LEN(D349)&lt;&gt;10,LEFT(D349,2)&lt;&gt;"09"))),"REVIEW","READY"))</x:f>
      </x:c>
      <x:c r="M349" s="254" t="str">
        <x:f>IF(L349="READY","",IF(A349="","",TRIM(IF(COUNTIF('الزبائن'!$A$6:$A$505,A349)=0,"customer key not found; ","")&amp;IF(C349="","missing contact_type; ","")&amp;IF(D349="","missing number; ","")&amp;IF(I349="","missing status; ","")&amp;IF(AND(C349="mobile",I349&lt;&gt;"invalid",OR(LEN(D349)&lt;&gt;10,LEFT(D349,2)&lt;&gt;"09")),"mobile must be 09XXXXXXXX or status invalid; ",""))))</x:f>
      </x:c>
    </x:row>
    <x:row r="350">
      <x:c r="A350" s="251"/>
      <x:c r="B350" s="252"/>
      <x:c r="C350" s="252"/>
      <x:c r="D350" s="253"/>
      <x:c r="E350" s="253"/>
      <x:c r="F350" s="252"/>
      <x:c r="G350" s="252"/>
      <x:c r="H350" s="252"/>
      <x:c r="I350" s="252"/>
      <x:c r="J350" s="252"/>
      <x:c r="K350" s="252"/>
      <x:c r="L350" s="252" t="str">
        <x:f>IF(A350="","",IF(OR(C350="",D350="",I350="",COUNTIF('الزبائن'!$A$6:$A$505,A350)=0,AND(C350="mobile",I350&lt;&gt;"invalid",OR(LEN(D350)&lt;&gt;10,LEFT(D350,2)&lt;&gt;"09"))),"REVIEW","READY"))</x:f>
      </x:c>
      <x:c r="M350" s="254" t="str">
        <x:f>IF(L350="READY","",IF(A350="","",TRIM(IF(COUNTIF('الزبائن'!$A$6:$A$505,A350)=0,"customer key not found; ","")&amp;IF(C350="","missing contact_type; ","")&amp;IF(D350="","missing number; ","")&amp;IF(I350="","missing status; ","")&amp;IF(AND(C350="mobile",I350&lt;&gt;"invalid",OR(LEN(D350)&lt;&gt;10,LEFT(D350,2)&lt;&gt;"09")),"mobile must be 09XXXXXXXX or status invalid; ",""))))</x:f>
      </x:c>
    </x:row>
    <x:row r="351">
      <x:c r="A351" s="251"/>
      <x:c r="B351" s="252"/>
      <x:c r="C351" s="252"/>
      <x:c r="D351" s="253"/>
      <x:c r="E351" s="253"/>
      <x:c r="F351" s="252"/>
      <x:c r="G351" s="252"/>
      <x:c r="H351" s="252"/>
      <x:c r="I351" s="252"/>
      <x:c r="J351" s="252"/>
      <x:c r="K351" s="252"/>
      <x:c r="L351" s="252" t="str">
        <x:f>IF(A351="","",IF(OR(C351="",D351="",I351="",COUNTIF('الزبائن'!$A$6:$A$505,A351)=0,AND(C351="mobile",I351&lt;&gt;"invalid",OR(LEN(D351)&lt;&gt;10,LEFT(D351,2)&lt;&gt;"09"))),"REVIEW","READY"))</x:f>
      </x:c>
      <x:c r="M351" s="254" t="str">
        <x:f>IF(L351="READY","",IF(A351="","",TRIM(IF(COUNTIF('الزبائن'!$A$6:$A$505,A351)=0,"customer key not found; ","")&amp;IF(C351="","missing contact_type; ","")&amp;IF(D351="","missing number; ","")&amp;IF(I351="","missing status; ","")&amp;IF(AND(C351="mobile",I351&lt;&gt;"invalid",OR(LEN(D351)&lt;&gt;10,LEFT(D351,2)&lt;&gt;"09")),"mobile must be 09XXXXXXXX or status invalid; ",""))))</x:f>
      </x:c>
    </x:row>
    <x:row r="352">
      <x:c r="A352" s="251"/>
      <x:c r="B352" s="252"/>
      <x:c r="C352" s="252"/>
      <x:c r="D352" s="253"/>
      <x:c r="E352" s="253"/>
      <x:c r="F352" s="252"/>
      <x:c r="G352" s="252"/>
      <x:c r="H352" s="252"/>
      <x:c r="I352" s="252"/>
      <x:c r="J352" s="252"/>
      <x:c r="K352" s="252"/>
      <x:c r="L352" s="252" t="str">
        <x:f>IF(A352="","",IF(OR(C352="",D352="",I352="",COUNTIF('الزبائن'!$A$6:$A$505,A352)=0,AND(C352="mobile",I352&lt;&gt;"invalid",OR(LEN(D352)&lt;&gt;10,LEFT(D352,2)&lt;&gt;"09"))),"REVIEW","READY"))</x:f>
      </x:c>
      <x:c r="M352" s="254" t="str">
        <x:f>IF(L352="READY","",IF(A352="","",TRIM(IF(COUNTIF('الزبائن'!$A$6:$A$505,A352)=0,"customer key not found; ","")&amp;IF(C352="","missing contact_type; ","")&amp;IF(D352="","missing number; ","")&amp;IF(I352="","missing status; ","")&amp;IF(AND(C352="mobile",I352&lt;&gt;"invalid",OR(LEN(D352)&lt;&gt;10,LEFT(D352,2)&lt;&gt;"09")),"mobile must be 09XXXXXXXX or status invalid; ",""))))</x:f>
      </x:c>
    </x:row>
    <x:row r="353">
      <x:c r="A353" s="251"/>
      <x:c r="B353" s="252"/>
      <x:c r="C353" s="252"/>
      <x:c r="D353" s="253"/>
      <x:c r="E353" s="253"/>
      <x:c r="F353" s="252"/>
      <x:c r="G353" s="252"/>
      <x:c r="H353" s="252"/>
      <x:c r="I353" s="252"/>
      <x:c r="J353" s="252"/>
      <x:c r="K353" s="252"/>
      <x:c r="L353" s="252" t="str">
        <x:f>IF(A353="","",IF(OR(C353="",D353="",I353="",COUNTIF('الزبائن'!$A$6:$A$505,A353)=0,AND(C353="mobile",I353&lt;&gt;"invalid",OR(LEN(D353)&lt;&gt;10,LEFT(D353,2)&lt;&gt;"09"))),"REVIEW","READY"))</x:f>
      </x:c>
      <x:c r="M353" s="254" t="str">
        <x:f>IF(L353="READY","",IF(A353="","",TRIM(IF(COUNTIF('الزبائن'!$A$6:$A$505,A353)=0,"customer key not found; ","")&amp;IF(C353="","missing contact_type; ","")&amp;IF(D353="","missing number; ","")&amp;IF(I353="","missing status; ","")&amp;IF(AND(C353="mobile",I353&lt;&gt;"invalid",OR(LEN(D353)&lt;&gt;10,LEFT(D353,2)&lt;&gt;"09")),"mobile must be 09XXXXXXXX or status invalid; ",""))))</x:f>
      </x:c>
    </x:row>
    <x:row r="354">
      <x:c r="A354" s="251"/>
      <x:c r="B354" s="252"/>
      <x:c r="C354" s="252"/>
      <x:c r="D354" s="253"/>
      <x:c r="E354" s="253"/>
      <x:c r="F354" s="252"/>
      <x:c r="G354" s="252"/>
      <x:c r="H354" s="252"/>
      <x:c r="I354" s="252"/>
      <x:c r="J354" s="252"/>
      <x:c r="K354" s="252"/>
      <x:c r="L354" s="252" t="str">
        <x:f>IF(A354="","",IF(OR(C354="",D354="",I354="",COUNTIF('الزبائن'!$A$6:$A$505,A354)=0,AND(C354="mobile",I354&lt;&gt;"invalid",OR(LEN(D354)&lt;&gt;10,LEFT(D354,2)&lt;&gt;"09"))),"REVIEW","READY"))</x:f>
      </x:c>
      <x:c r="M354" s="254" t="str">
        <x:f>IF(L354="READY","",IF(A354="","",TRIM(IF(COUNTIF('الزبائن'!$A$6:$A$505,A354)=0,"customer key not found; ","")&amp;IF(C354="","missing contact_type; ","")&amp;IF(D354="","missing number; ","")&amp;IF(I354="","missing status; ","")&amp;IF(AND(C354="mobile",I354&lt;&gt;"invalid",OR(LEN(D354)&lt;&gt;10,LEFT(D354,2)&lt;&gt;"09")),"mobile must be 09XXXXXXXX or status invalid; ",""))))</x:f>
      </x:c>
    </x:row>
    <x:row r="355">
      <x:c r="A355" s="251"/>
      <x:c r="B355" s="252"/>
      <x:c r="C355" s="252"/>
      <x:c r="D355" s="253"/>
      <x:c r="E355" s="253"/>
      <x:c r="F355" s="252"/>
      <x:c r="G355" s="252"/>
      <x:c r="H355" s="252"/>
      <x:c r="I355" s="252"/>
      <x:c r="J355" s="252"/>
      <x:c r="K355" s="252"/>
      <x:c r="L355" s="252" t="str">
        <x:f>IF(A355="","",IF(OR(C355="",D355="",I355="",COUNTIF('الزبائن'!$A$6:$A$505,A355)=0,AND(C355="mobile",I355&lt;&gt;"invalid",OR(LEN(D355)&lt;&gt;10,LEFT(D355,2)&lt;&gt;"09"))),"REVIEW","READY"))</x:f>
      </x:c>
      <x:c r="M355" s="254" t="str">
        <x:f>IF(L355="READY","",IF(A355="","",TRIM(IF(COUNTIF('الزبائن'!$A$6:$A$505,A355)=0,"customer key not found; ","")&amp;IF(C355="","missing contact_type; ","")&amp;IF(D355="","missing number; ","")&amp;IF(I355="","missing status; ","")&amp;IF(AND(C355="mobile",I355&lt;&gt;"invalid",OR(LEN(D355)&lt;&gt;10,LEFT(D355,2)&lt;&gt;"09")),"mobile must be 09XXXXXXXX or status invalid; ",""))))</x:f>
      </x:c>
    </x:row>
    <x:row r="356">
      <x:c r="A356" s="251"/>
      <x:c r="B356" s="252"/>
      <x:c r="C356" s="252"/>
      <x:c r="D356" s="253"/>
      <x:c r="E356" s="253"/>
      <x:c r="F356" s="252"/>
      <x:c r="G356" s="252"/>
      <x:c r="H356" s="252"/>
      <x:c r="I356" s="252"/>
      <x:c r="J356" s="252"/>
      <x:c r="K356" s="252"/>
      <x:c r="L356" s="252" t="str">
        <x:f>IF(A356="","",IF(OR(C356="",D356="",I356="",COUNTIF('الزبائن'!$A$6:$A$505,A356)=0,AND(C356="mobile",I356&lt;&gt;"invalid",OR(LEN(D356)&lt;&gt;10,LEFT(D356,2)&lt;&gt;"09"))),"REVIEW","READY"))</x:f>
      </x:c>
      <x:c r="M356" s="254" t="str">
        <x:f>IF(L356="READY","",IF(A356="","",TRIM(IF(COUNTIF('الزبائن'!$A$6:$A$505,A356)=0,"customer key not found; ","")&amp;IF(C356="","missing contact_type; ","")&amp;IF(D356="","missing number; ","")&amp;IF(I356="","missing status; ","")&amp;IF(AND(C356="mobile",I356&lt;&gt;"invalid",OR(LEN(D356)&lt;&gt;10,LEFT(D356,2)&lt;&gt;"09")),"mobile must be 09XXXXXXXX or status invalid; ",""))))</x:f>
      </x:c>
    </x:row>
    <x:row r="357">
      <x:c r="A357" s="251"/>
      <x:c r="B357" s="252"/>
      <x:c r="C357" s="252"/>
      <x:c r="D357" s="253"/>
      <x:c r="E357" s="253"/>
      <x:c r="F357" s="252"/>
      <x:c r="G357" s="252"/>
      <x:c r="H357" s="252"/>
      <x:c r="I357" s="252"/>
      <x:c r="J357" s="252"/>
      <x:c r="K357" s="252"/>
      <x:c r="L357" s="252" t="str">
        <x:f>IF(A357="","",IF(OR(C357="",D357="",I357="",COUNTIF('الزبائن'!$A$6:$A$505,A357)=0,AND(C357="mobile",I357&lt;&gt;"invalid",OR(LEN(D357)&lt;&gt;10,LEFT(D357,2)&lt;&gt;"09"))),"REVIEW","READY"))</x:f>
      </x:c>
      <x:c r="M357" s="254" t="str">
        <x:f>IF(L357="READY","",IF(A357="","",TRIM(IF(COUNTIF('الزبائن'!$A$6:$A$505,A357)=0,"customer key not found; ","")&amp;IF(C357="","missing contact_type; ","")&amp;IF(D357="","missing number; ","")&amp;IF(I357="","missing status; ","")&amp;IF(AND(C357="mobile",I357&lt;&gt;"invalid",OR(LEN(D357)&lt;&gt;10,LEFT(D357,2)&lt;&gt;"09")),"mobile must be 09XXXXXXXX or status invalid; ",""))))</x:f>
      </x:c>
    </x:row>
    <x:row r="358">
      <x:c r="A358" s="251"/>
      <x:c r="B358" s="252"/>
      <x:c r="C358" s="252"/>
      <x:c r="D358" s="253"/>
      <x:c r="E358" s="253"/>
      <x:c r="F358" s="252"/>
      <x:c r="G358" s="252"/>
      <x:c r="H358" s="252"/>
      <x:c r="I358" s="252"/>
      <x:c r="J358" s="252"/>
      <x:c r="K358" s="252"/>
      <x:c r="L358" s="252" t="str">
        <x:f>IF(A358="","",IF(OR(C358="",D358="",I358="",COUNTIF('الزبائن'!$A$6:$A$505,A358)=0,AND(C358="mobile",I358&lt;&gt;"invalid",OR(LEN(D358)&lt;&gt;10,LEFT(D358,2)&lt;&gt;"09"))),"REVIEW","READY"))</x:f>
      </x:c>
      <x:c r="M358" s="254" t="str">
        <x:f>IF(L358="READY","",IF(A358="","",TRIM(IF(COUNTIF('الزبائن'!$A$6:$A$505,A358)=0,"customer key not found; ","")&amp;IF(C358="","missing contact_type; ","")&amp;IF(D358="","missing number; ","")&amp;IF(I358="","missing status; ","")&amp;IF(AND(C358="mobile",I358&lt;&gt;"invalid",OR(LEN(D358)&lt;&gt;10,LEFT(D358,2)&lt;&gt;"09")),"mobile must be 09XXXXXXXX or status invalid; ",""))))</x:f>
      </x:c>
    </x:row>
    <x:row r="359">
      <x:c r="A359" s="251"/>
      <x:c r="B359" s="252"/>
      <x:c r="C359" s="252"/>
      <x:c r="D359" s="253"/>
      <x:c r="E359" s="253"/>
      <x:c r="F359" s="252"/>
      <x:c r="G359" s="252"/>
      <x:c r="H359" s="252"/>
      <x:c r="I359" s="252"/>
      <x:c r="J359" s="252"/>
      <x:c r="K359" s="252"/>
      <x:c r="L359" s="252" t="str">
        <x:f>IF(A359="","",IF(OR(C359="",D359="",I359="",COUNTIF('الزبائن'!$A$6:$A$505,A359)=0,AND(C359="mobile",I359&lt;&gt;"invalid",OR(LEN(D359)&lt;&gt;10,LEFT(D359,2)&lt;&gt;"09"))),"REVIEW","READY"))</x:f>
      </x:c>
      <x:c r="M359" s="254" t="str">
        <x:f>IF(L359="READY","",IF(A359="","",TRIM(IF(COUNTIF('الزبائن'!$A$6:$A$505,A359)=0,"customer key not found; ","")&amp;IF(C359="","missing contact_type; ","")&amp;IF(D359="","missing number; ","")&amp;IF(I359="","missing status; ","")&amp;IF(AND(C359="mobile",I359&lt;&gt;"invalid",OR(LEN(D359)&lt;&gt;10,LEFT(D359,2)&lt;&gt;"09")),"mobile must be 09XXXXXXXX or status invalid; ",""))))</x:f>
      </x:c>
    </x:row>
    <x:row r="360">
      <x:c r="A360" s="251"/>
      <x:c r="B360" s="252"/>
      <x:c r="C360" s="252"/>
      <x:c r="D360" s="253"/>
      <x:c r="E360" s="253"/>
      <x:c r="F360" s="252"/>
      <x:c r="G360" s="252"/>
      <x:c r="H360" s="252"/>
      <x:c r="I360" s="252"/>
      <x:c r="J360" s="252"/>
      <x:c r="K360" s="252"/>
      <x:c r="L360" s="252" t="str">
        <x:f>IF(A360="","",IF(OR(C360="",D360="",I360="",COUNTIF('الزبائن'!$A$6:$A$505,A360)=0,AND(C360="mobile",I360&lt;&gt;"invalid",OR(LEN(D360)&lt;&gt;10,LEFT(D360,2)&lt;&gt;"09"))),"REVIEW","READY"))</x:f>
      </x:c>
      <x:c r="M360" s="254" t="str">
        <x:f>IF(L360="READY","",IF(A360="","",TRIM(IF(COUNTIF('الزبائن'!$A$6:$A$505,A360)=0,"customer key not found; ","")&amp;IF(C360="","missing contact_type; ","")&amp;IF(D360="","missing number; ","")&amp;IF(I360="","missing status; ","")&amp;IF(AND(C360="mobile",I360&lt;&gt;"invalid",OR(LEN(D360)&lt;&gt;10,LEFT(D360,2)&lt;&gt;"09")),"mobile must be 09XXXXXXXX or status invalid; ",""))))</x:f>
      </x:c>
    </x:row>
    <x:row r="361">
      <x:c r="A361" s="251"/>
      <x:c r="B361" s="252"/>
      <x:c r="C361" s="252"/>
      <x:c r="D361" s="253"/>
      <x:c r="E361" s="253"/>
      <x:c r="F361" s="252"/>
      <x:c r="G361" s="252"/>
      <x:c r="H361" s="252"/>
      <x:c r="I361" s="252"/>
      <x:c r="J361" s="252"/>
      <x:c r="K361" s="252"/>
      <x:c r="L361" s="252" t="str">
        <x:f>IF(A361="","",IF(OR(C361="",D361="",I361="",COUNTIF('الزبائن'!$A$6:$A$505,A361)=0,AND(C361="mobile",I361&lt;&gt;"invalid",OR(LEN(D361)&lt;&gt;10,LEFT(D361,2)&lt;&gt;"09"))),"REVIEW","READY"))</x:f>
      </x:c>
      <x:c r="M361" s="254" t="str">
        <x:f>IF(L361="READY","",IF(A361="","",TRIM(IF(COUNTIF('الزبائن'!$A$6:$A$505,A361)=0,"customer key not found; ","")&amp;IF(C361="","missing contact_type; ","")&amp;IF(D361="","missing number; ","")&amp;IF(I361="","missing status; ","")&amp;IF(AND(C361="mobile",I361&lt;&gt;"invalid",OR(LEN(D361)&lt;&gt;10,LEFT(D361,2)&lt;&gt;"09")),"mobile must be 09XXXXXXXX or status invalid; ",""))))</x:f>
      </x:c>
    </x:row>
    <x:row r="362">
      <x:c r="A362" s="251"/>
      <x:c r="B362" s="252"/>
      <x:c r="C362" s="252"/>
      <x:c r="D362" s="253"/>
      <x:c r="E362" s="253"/>
      <x:c r="F362" s="252"/>
      <x:c r="G362" s="252"/>
      <x:c r="H362" s="252"/>
      <x:c r="I362" s="252"/>
      <x:c r="J362" s="252"/>
      <x:c r="K362" s="252"/>
      <x:c r="L362" s="252" t="str">
        <x:f>IF(A362="","",IF(OR(C362="",D362="",I362="",COUNTIF('الزبائن'!$A$6:$A$505,A362)=0,AND(C362="mobile",I362&lt;&gt;"invalid",OR(LEN(D362)&lt;&gt;10,LEFT(D362,2)&lt;&gt;"09"))),"REVIEW","READY"))</x:f>
      </x:c>
      <x:c r="M362" s="254" t="str">
        <x:f>IF(L362="READY","",IF(A362="","",TRIM(IF(COUNTIF('الزبائن'!$A$6:$A$505,A362)=0,"customer key not found; ","")&amp;IF(C362="","missing contact_type; ","")&amp;IF(D362="","missing number; ","")&amp;IF(I362="","missing status; ","")&amp;IF(AND(C362="mobile",I362&lt;&gt;"invalid",OR(LEN(D362)&lt;&gt;10,LEFT(D362,2)&lt;&gt;"09")),"mobile must be 09XXXXXXXX or status invalid; ",""))))</x:f>
      </x:c>
    </x:row>
    <x:row r="363">
      <x:c r="A363" s="251"/>
      <x:c r="B363" s="252"/>
      <x:c r="C363" s="252"/>
      <x:c r="D363" s="253"/>
      <x:c r="E363" s="253"/>
      <x:c r="F363" s="252"/>
      <x:c r="G363" s="252"/>
      <x:c r="H363" s="252"/>
      <x:c r="I363" s="252"/>
      <x:c r="J363" s="252"/>
      <x:c r="K363" s="252"/>
      <x:c r="L363" s="252" t="str">
        <x:f>IF(A363="","",IF(OR(C363="",D363="",I363="",COUNTIF('الزبائن'!$A$6:$A$505,A363)=0,AND(C363="mobile",I363&lt;&gt;"invalid",OR(LEN(D363)&lt;&gt;10,LEFT(D363,2)&lt;&gt;"09"))),"REVIEW","READY"))</x:f>
      </x:c>
      <x:c r="M363" s="254" t="str">
        <x:f>IF(L363="READY","",IF(A363="","",TRIM(IF(COUNTIF('الزبائن'!$A$6:$A$505,A363)=0,"customer key not found; ","")&amp;IF(C363="","missing contact_type; ","")&amp;IF(D363="","missing number; ","")&amp;IF(I363="","missing status; ","")&amp;IF(AND(C363="mobile",I363&lt;&gt;"invalid",OR(LEN(D363)&lt;&gt;10,LEFT(D363,2)&lt;&gt;"09")),"mobile must be 09XXXXXXXX or status invalid; ",""))))</x:f>
      </x:c>
    </x:row>
    <x:row r="364">
      <x:c r="A364" s="251"/>
      <x:c r="B364" s="252"/>
      <x:c r="C364" s="252"/>
      <x:c r="D364" s="253"/>
      <x:c r="E364" s="253"/>
      <x:c r="F364" s="252"/>
      <x:c r="G364" s="252"/>
      <x:c r="H364" s="252"/>
      <x:c r="I364" s="252"/>
      <x:c r="J364" s="252"/>
      <x:c r="K364" s="252"/>
      <x:c r="L364" s="252" t="str">
        <x:f>IF(A364="","",IF(OR(C364="",D364="",I364="",COUNTIF('الزبائن'!$A$6:$A$505,A364)=0,AND(C364="mobile",I364&lt;&gt;"invalid",OR(LEN(D364)&lt;&gt;10,LEFT(D364,2)&lt;&gt;"09"))),"REVIEW","READY"))</x:f>
      </x:c>
      <x:c r="M364" s="254" t="str">
        <x:f>IF(L364="READY","",IF(A364="","",TRIM(IF(COUNTIF('الزبائن'!$A$6:$A$505,A364)=0,"customer key not found; ","")&amp;IF(C364="","missing contact_type; ","")&amp;IF(D364="","missing number; ","")&amp;IF(I364="","missing status; ","")&amp;IF(AND(C364="mobile",I364&lt;&gt;"invalid",OR(LEN(D364)&lt;&gt;10,LEFT(D364,2)&lt;&gt;"09")),"mobile must be 09XXXXXXXX or status invalid; ",""))))</x:f>
      </x:c>
    </x:row>
    <x:row r="365">
      <x:c r="A365" s="251"/>
      <x:c r="B365" s="252"/>
      <x:c r="C365" s="252"/>
      <x:c r="D365" s="253"/>
      <x:c r="E365" s="253"/>
      <x:c r="F365" s="252"/>
      <x:c r="G365" s="252"/>
      <x:c r="H365" s="252"/>
      <x:c r="I365" s="252"/>
      <x:c r="J365" s="252"/>
      <x:c r="K365" s="252"/>
      <x:c r="L365" s="252" t="str">
        <x:f>IF(A365="","",IF(OR(C365="",D365="",I365="",COUNTIF('الزبائن'!$A$6:$A$505,A365)=0,AND(C365="mobile",I365&lt;&gt;"invalid",OR(LEN(D365)&lt;&gt;10,LEFT(D365,2)&lt;&gt;"09"))),"REVIEW","READY"))</x:f>
      </x:c>
      <x:c r="M365" s="254" t="str">
        <x:f>IF(L365="READY","",IF(A365="","",TRIM(IF(COUNTIF('الزبائن'!$A$6:$A$505,A365)=0,"customer key not found; ","")&amp;IF(C365="","missing contact_type; ","")&amp;IF(D365="","missing number; ","")&amp;IF(I365="","missing status; ","")&amp;IF(AND(C365="mobile",I365&lt;&gt;"invalid",OR(LEN(D365)&lt;&gt;10,LEFT(D365,2)&lt;&gt;"09")),"mobile must be 09XXXXXXXX or status invalid; ",""))))</x:f>
      </x:c>
    </x:row>
    <x:row r="366">
      <x:c r="A366" s="251"/>
      <x:c r="B366" s="252"/>
      <x:c r="C366" s="252"/>
      <x:c r="D366" s="253"/>
      <x:c r="E366" s="253"/>
      <x:c r="F366" s="252"/>
      <x:c r="G366" s="252"/>
      <x:c r="H366" s="252"/>
      <x:c r="I366" s="252"/>
      <x:c r="J366" s="252"/>
      <x:c r="K366" s="252"/>
      <x:c r="L366" s="252" t="str">
        <x:f>IF(A366="","",IF(OR(C366="",D366="",I366="",COUNTIF('الزبائن'!$A$6:$A$505,A366)=0,AND(C366="mobile",I366&lt;&gt;"invalid",OR(LEN(D366)&lt;&gt;10,LEFT(D366,2)&lt;&gt;"09"))),"REVIEW","READY"))</x:f>
      </x:c>
      <x:c r="M366" s="254" t="str">
        <x:f>IF(L366="READY","",IF(A366="","",TRIM(IF(COUNTIF('الزبائن'!$A$6:$A$505,A366)=0,"customer key not found; ","")&amp;IF(C366="","missing contact_type; ","")&amp;IF(D366="","missing number; ","")&amp;IF(I366="","missing status; ","")&amp;IF(AND(C366="mobile",I366&lt;&gt;"invalid",OR(LEN(D366)&lt;&gt;10,LEFT(D366,2)&lt;&gt;"09")),"mobile must be 09XXXXXXXX or status invalid; ",""))))</x:f>
      </x:c>
    </x:row>
    <x:row r="367">
      <x:c r="A367" s="251"/>
      <x:c r="B367" s="252"/>
      <x:c r="C367" s="252"/>
      <x:c r="D367" s="253"/>
      <x:c r="E367" s="253"/>
      <x:c r="F367" s="252"/>
      <x:c r="G367" s="252"/>
      <x:c r="H367" s="252"/>
      <x:c r="I367" s="252"/>
      <x:c r="J367" s="252"/>
      <x:c r="K367" s="252"/>
      <x:c r="L367" s="252" t="str">
        <x:f>IF(A367="","",IF(OR(C367="",D367="",I367="",COUNTIF('الزبائن'!$A$6:$A$505,A367)=0,AND(C367="mobile",I367&lt;&gt;"invalid",OR(LEN(D367)&lt;&gt;10,LEFT(D367,2)&lt;&gt;"09"))),"REVIEW","READY"))</x:f>
      </x:c>
      <x:c r="M367" s="254" t="str">
        <x:f>IF(L367="READY","",IF(A367="","",TRIM(IF(COUNTIF('الزبائن'!$A$6:$A$505,A367)=0,"customer key not found; ","")&amp;IF(C367="","missing contact_type; ","")&amp;IF(D367="","missing number; ","")&amp;IF(I367="","missing status; ","")&amp;IF(AND(C367="mobile",I367&lt;&gt;"invalid",OR(LEN(D367)&lt;&gt;10,LEFT(D367,2)&lt;&gt;"09")),"mobile must be 09XXXXXXXX or status invalid; ",""))))</x:f>
      </x:c>
    </x:row>
    <x:row r="368">
      <x:c r="A368" s="251"/>
      <x:c r="B368" s="252"/>
      <x:c r="C368" s="252"/>
      <x:c r="D368" s="253"/>
      <x:c r="E368" s="253"/>
      <x:c r="F368" s="252"/>
      <x:c r="G368" s="252"/>
      <x:c r="H368" s="252"/>
      <x:c r="I368" s="252"/>
      <x:c r="J368" s="252"/>
      <x:c r="K368" s="252"/>
      <x:c r="L368" s="252" t="str">
        <x:f>IF(A368="","",IF(OR(C368="",D368="",I368="",COUNTIF('الزبائن'!$A$6:$A$505,A368)=0,AND(C368="mobile",I368&lt;&gt;"invalid",OR(LEN(D368)&lt;&gt;10,LEFT(D368,2)&lt;&gt;"09"))),"REVIEW","READY"))</x:f>
      </x:c>
      <x:c r="M368" s="254" t="str">
        <x:f>IF(L368="READY","",IF(A368="","",TRIM(IF(COUNTIF('الزبائن'!$A$6:$A$505,A368)=0,"customer key not found; ","")&amp;IF(C368="","missing contact_type; ","")&amp;IF(D368="","missing number; ","")&amp;IF(I368="","missing status; ","")&amp;IF(AND(C368="mobile",I368&lt;&gt;"invalid",OR(LEN(D368)&lt;&gt;10,LEFT(D368,2)&lt;&gt;"09")),"mobile must be 09XXXXXXXX or status invalid; ",""))))</x:f>
      </x:c>
    </x:row>
    <x:row r="369">
      <x:c r="A369" s="251"/>
      <x:c r="B369" s="252"/>
      <x:c r="C369" s="252"/>
      <x:c r="D369" s="253"/>
      <x:c r="E369" s="253"/>
      <x:c r="F369" s="252"/>
      <x:c r="G369" s="252"/>
      <x:c r="H369" s="252"/>
      <x:c r="I369" s="252"/>
      <x:c r="J369" s="252"/>
      <x:c r="K369" s="252"/>
      <x:c r="L369" s="252" t="str">
        <x:f>IF(A369="","",IF(OR(C369="",D369="",I369="",COUNTIF('الزبائن'!$A$6:$A$505,A369)=0,AND(C369="mobile",I369&lt;&gt;"invalid",OR(LEN(D369)&lt;&gt;10,LEFT(D369,2)&lt;&gt;"09"))),"REVIEW","READY"))</x:f>
      </x:c>
      <x:c r="M369" s="254" t="str">
        <x:f>IF(L369="READY","",IF(A369="","",TRIM(IF(COUNTIF('الزبائن'!$A$6:$A$505,A369)=0,"customer key not found; ","")&amp;IF(C369="","missing contact_type; ","")&amp;IF(D369="","missing number; ","")&amp;IF(I369="","missing status; ","")&amp;IF(AND(C369="mobile",I369&lt;&gt;"invalid",OR(LEN(D369)&lt;&gt;10,LEFT(D369,2)&lt;&gt;"09")),"mobile must be 09XXXXXXXX or status invalid; ",""))))</x:f>
      </x:c>
    </x:row>
    <x:row r="370">
      <x:c r="A370" s="251"/>
      <x:c r="B370" s="252"/>
      <x:c r="C370" s="252"/>
      <x:c r="D370" s="253"/>
      <x:c r="E370" s="253"/>
      <x:c r="F370" s="252"/>
      <x:c r="G370" s="252"/>
      <x:c r="H370" s="252"/>
      <x:c r="I370" s="252"/>
      <x:c r="J370" s="252"/>
      <x:c r="K370" s="252"/>
      <x:c r="L370" s="252" t="str">
        <x:f>IF(A370="","",IF(OR(C370="",D370="",I370="",COUNTIF('الزبائن'!$A$6:$A$505,A370)=0,AND(C370="mobile",I370&lt;&gt;"invalid",OR(LEN(D370)&lt;&gt;10,LEFT(D370,2)&lt;&gt;"09"))),"REVIEW","READY"))</x:f>
      </x:c>
      <x:c r="M370" s="254" t="str">
        <x:f>IF(L370="READY","",IF(A370="","",TRIM(IF(COUNTIF('الزبائن'!$A$6:$A$505,A370)=0,"customer key not found; ","")&amp;IF(C370="","missing contact_type; ","")&amp;IF(D370="","missing number; ","")&amp;IF(I370="","missing status; ","")&amp;IF(AND(C370="mobile",I370&lt;&gt;"invalid",OR(LEN(D370)&lt;&gt;10,LEFT(D370,2)&lt;&gt;"09")),"mobile must be 09XXXXXXXX or status invalid; ",""))))</x:f>
      </x:c>
    </x:row>
    <x:row r="371">
      <x:c r="A371" s="251"/>
      <x:c r="B371" s="252"/>
      <x:c r="C371" s="252"/>
      <x:c r="D371" s="253"/>
      <x:c r="E371" s="253"/>
      <x:c r="F371" s="252"/>
      <x:c r="G371" s="252"/>
      <x:c r="H371" s="252"/>
      <x:c r="I371" s="252"/>
      <x:c r="J371" s="252"/>
      <x:c r="K371" s="252"/>
      <x:c r="L371" s="252" t="str">
        <x:f>IF(A371="","",IF(OR(C371="",D371="",I371="",COUNTIF('الزبائن'!$A$6:$A$505,A371)=0,AND(C371="mobile",I371&lt;&gt;"invalid",OR(LEN(D371)&lt;&gt;10,LEFT(D371,2)&lt;&gt;"09"))),"REVIEW","READY"))</x:f>
      </x:c>
      <x:c r="M371" s="254" t="str">
        <x:f>IF(L371="READY","",IF(A371="","",TRIM(IF(COUNTIF('الزبائن'!$A$6:$A$505,A371)=0,"customer key not found; ","")&amp;IF(C371="","missing contact_type; ","")&amp;IF(D371="","missing number; ","")&amp;IF(I371="","missing status; ","")&amp;IF(AND(C371="mobile",I371&lt;&gt;"invalid",OR(LEN(D371)&lt;&gt;10,LEFT(D371,2)&lt;&gt;"09")),"mobile must be 09XXXXXXXX or status invalid; ",""))))</x:f>
      </x:c>
    </x:row>
    <x:row r="372">
      <x:c r="A372" s="251"/>
      <x:c r="B372" s="252"/>
      <x:c r="C372" s="252"/>
      <x:c r="D372" s="253"/>
      <x:c r="E372" s="253"/>
      <x:c r="F372" s="252"/>
      <x:c r="G372" s="252"/>
      <x:c r="H372" s="252"/>
      <x:c r="I372" s="252"/>
      <x:c r="J372" s="252"/>
      <x:c r="K372" s="252"/>
      <x:c r="L372" s="252" t="str">
        <x:f>IF(A372="","",IF(OR(C372="",D372="",I372="",COUNTIF('الزبائن'!$A$6:$A$505,A372)=0,AND(C372="mobile",I372&lt;&gt;"invalid",OR(LEN(D372)&lt;&gt;10,LEFT(D372,2)&lt;&gt;"09"))),"REVIEW","READY"))</x:f>
      </x:c>
      <x:c r="M372" s="254" t="str">
        <x:f>IF(L372="READY","",IF(A372="","",TRIM(IF(COUNTIF('الزبائن'!$A$6:$A$505,A372)=0,"customer key not found; ","")&amp;IF(C372="","missing contact_type; ","")&amp;IF(D372="","missing number; ","")&amp;IF(I372="","missing status; ","")&amp;IF(AND(C372="mobile",I372&lt;&gt;"invalid",OR(LEN(D372)&lt;&gt;10,LEFT(D372,2)&lt;&gt;"09")),"mobile must be 09XXXXXXXX or status invalid; ",""))))</x:f>
      </x:c>
    </x:row>
    <x:row r="373">
      <x:c r="A373" s="251"/>
      <x:c r="B373" s="252"/>
      <x:c r="C373" s="252"/>
      <x:c r="D373" s="253"/>
      <x:c r="E373" s="253"/>
      <x:c r="F373" s="252"/>
      <x:c r="G373" s="252"/>
      <x:c r="H373" s="252"/>
      <x:c r="I373" s="252"/>
      <x:c r="J373" s="252"/>
      <x:c r="K373" s="252"/>
      <x:c r="L373" s="252" t="str">
        <x:f>IF(A373="","",IF(OR(C373="",D373="",I373="",COUNTIF('الزبائن'!$A$6:$A$505,A373)=0,AND(C373="mobile",I373&lt;&gt;"invalid",OR(LEN(D373)&lt;&gt;10,LEFT(D373,2)&lt;&gt;"09"))),"REVIEW","READY"))</x:f>
      </x:c>
      <x:c r="M373" s="254" t="str">
        <x:f>IF(L373="READY","",IF(A373="","",TRIM(IF(COUNTIF('الزبائن'!$A$6:$A$505,A373)=0,"customer key not found; ","")&amp;IF(C373="","missing contact_type; ","")&amp;IF(D373="","missing number; ","")&amp;IF(I373="","missing status; ","")&amp;IF(AND(C373="mobile",I373&lt;&gt;"invalid",OR(LEN(D373)&lt;&gt;10,LEFT(D373,2)&lt;&gt;"09")),"mobile must be 09XXXXXXXX or status invalid; ",""))))</x:f>
      </x:c>
    </x:row>
    <x:row r="374">
      <x:c r="A374" s="251"/>
      <x:c r="B374" s="252"/>
      <x:c r="C374" s="252"/>
      <x:c r="D374" s="253"/>
      <x:c r="E374" s="253"/>
      <x:c r="F374" s="252"/>
      <x:c r="G374" s="252"/>
      <x:c r="H374" s="252"/>
      <x:c r="I374" s="252"/>
      <x:c r="J374" s="252"/>
      <x:c r="K374" s="252"/>
      <x:c r="L374" s="252" t="str">
        <x:f>IF(A374="","",IF(OR(C374="",D374="",I374="",COUNTIF('الزبائن'!$A$6:$A$505,A374)=0,AND(C374="mobile",I374&lt;&gt;"invalid",OR(LEN(D374)&lt;&gt;10,LEFT(D374,2)&lt;&gt;"09"))),"REVIEW","READY"))</x:f>
      </x:c>
      <x:c r="M374" s="254" t="str">
        <x:f>IF(L374="READY","",IF(A374="","",TRIM(IF(COUNTIF('الزبائن'!$A$6:$A$505,A374)=0,"customer key not found; ","")&amp;IF(C374="","missing contact_type; ","")&amp;IF(D374="","missing number; ","")&amp;IF(I374="","missing status; ","")&amp;IF(AND(C374="mobile",I374&lt;&gt;"invalid",OR(LEN(D374)&lt;&gt;10,LEFT(D374,2)&lt;&gt;"09")),"mobile must be 09XXXXXXXX or status invalid; ",""))))</x:f>
      </x:c>
    </x:row>
    <x:row r="375">
      <x:c r="A375" s="251"/>
      <x:c r="B375" s="252"/>
      <x:c r="C375" s="252"/>
      <x:c r="D375" s="253"/>
      <x:c r="E375" s="253"/>
      <x:c r="F375" s="252"/>
      <x:c r="G375" s="252"/>
      <x:c r="H375" s="252"/>
      <x:c r="I375" s="252"/>
      <x:c r="J375" s="252"/>
      <x:c r="K375" s="252"/>
      <x:c r="L375" s="252" t="str">
        <x:f>IF(A375="","",IF(OR(C375="",D375="",I375="",COUNTIF('الزبائن'!$A$6:$A$505,A375)=0,AND(C375="mobile",I375&lt;&gt;"invalid",OR(LEN(D375)&lt;&gt;10,LEFT(D375,2)&lt;&gt;"09"))),"REVIEW","READY"))</x:f>
      </x:c>
      <x:c r="M375" s="254" t="str">
        <x:f>IF(L375="READY","",IF(A375="","",TRIM(IF(COUNTIF('الزبائن'!$A$6:$A$505,A375)=0,"customer key not found; ","")&amp;IF(C375="","missing contact_type; ","")&amp;IF(D375="","missing number; ","")&amp;IF(I375="","missing status; ","")&amp;IF(AND(C375="mobile",I375&lt;&gt;"invalid",OR(LEN(D375)&lt;&gt;10,LEFT(D375,2)&lt;&gt;"09")),"mobile must be 09XXXXXXXX or status invalid; ",""))))</x:f>
      </x:c>
    </x:row>
    <x:row r="376">
      <x:c r="A376" s="251"/>
      <x:c r="B376" s="252"/>
      <x:c r="C376" s="252"/>
      <x:c r="D376" s="253"/>
      <x:c r="E376" s="253"/>
      <x:c r="F376" s="252"/>
      <x:c r="G376" s="252"/>
      <x:c r="H376" s="252"/>
      <x:c r="I376" s="252"/>
      <x:c r="J376" s="252"/>
      <x:c r="K376" s="252"/>
      <x:c r="L376" s="252" t="str">
        <x:f>IF(A376="","",IF(OR(C376="",D376="",I376="",COUNTIF('الزبائن'!$A$6:$A$505,A376)=0,AND(C376="mobile",I376&lt;&gt;"invalid",OR(LEN(D376)&lt;&gt;10,LEFT(D376,2)&lt;&gt;"09"))),"REVIEW","READY"))</x:f>
      </x:c>
      <x:c r="M376" s="254" t="str">
        <x:f>IF(L376="READY","",IF(A376="","",TRIM(IF(COUNTIF('الزبائن'!$A$6:$A$505,A376)=0,"customer key not found; ","")&amp;IF(C376="","missing contact_type; ","")&amp;IF(D376="","missing number; ","")&amp;IF(I376="","missing status; ","")&amp;IF(AND(C376="mobile",I376&lt;&gt;"invalid",OR(LEN(D376)&lt;&gt;10,LEFT(D376,2)&lt;&gt;"09")),"mobile must be 09XXXXXXXX or status invalid; ",""))))</x:f>
      </x:c>
    </x:row>
    <x:row r="377">
      <x:c r="A377" s="251"/>
      <x:c r="B377" s="252"/>
      <x:c r="C377" s="252"/>
      <x:c r="D377" s="253"/>
      <x:c r="E377" s="253"/>
      <x:c r="F377" s="252"/>
      <x:c r="G377" s="252"/>
      <x:c r="H377" s="252"/>
      <x:c r="I377" s="252"/>
      <x:c r="J377" s="252"/>
      <x:c r="K377" s="252"/>
      <x:c r="L377" s="252" t="str">
        <x:f>IF(A377="","",IF(OR(C377="",D377="",I377="",COUNTIF('الزبائن'!$A$6:$A$505,A377)=0,AND(C377="mobile",I377&lt;&gt;"invalid",OR(LEN(D377)&lt;&gt;10,LEFT(D377,2)&lt;&gt;"09"))),"REVIEW","READY"))</x:f>
      </x:c>
      <x:c r="M377" s="254" t="str">
        <x:f>IF(L377="READY","",IF(A377="","",TRIM(IF(COUNTIF('الزبائن'!$A$6:$A$505,A377)=0,"customer key not found; ","")&amp;IF(C377="","missing contact_type; ","")&amp;IF(D377="","missing number; ","")&amp;IF(I377="","missing status; ","")&amp;IF(AND(C377="mobile",I377&lt;&gt;"invalid",OR(LEN(D377)&lt;&gt;10,LEFT(D377,2)&lt;&gt;"09")),"mobile must be 09XXXXXXXX or status invalid; ",""))))</x:f>
      </x:c>
    </x:row>
    <x:row r="378">
      <x:c r="A378" s="251"/>
      <x:c r="B378" s="252"/>
      <x:c r="C378" s="252"/>
      <x:c r="D378" s="253"/>
      <x:c r="E378" s="253"/>
      <x:c r="F378" s="252"/>
      <x:c r="G378" s="252"/>
      <x:c r="H378" s="252"/>
      <x:c r="I378" s="252"/>
      <x:c r="J378" s="252"/>
      <x:c r="K378" s="252"/>
      <x:c r="L378" s="252" t="str">
        <x:f>IF(A378="","",IF(OR(C378="",D378="",I378="",COUNTIF('الزبائن'!$A$6:$A$505,A378)=0,AND(C378="mobile",I378&lt;&gt;"invalid",OR(LEN(D378)&lt;&gt;10,LEFT(D378,2)&lt;&gt;"09"))),"REVIEW","READY"))</x:f>
      </x:c>
      <x:c r="M378" s="254" t="str">
        <x:f>IF(L378="READY","",IF(A378="","",TRIM(IF(COUNTIF('الزبائن'!$A$6:$A$505,A378)=0,"customer key not found; ","")&amp;IF(C378="","missing contact_type; ","")&amp;IF(D378="","missing number; ","")&amp;IF(I378="","missing status; ","")&amp;IF(AND(C378="mobile",I378&lt;&gt;"invalid",OR(LEN(D378)&lt;&gt;10,LEFT(D378,2)&lt;&gt;"09")),"mobile must be 09XXXXXXXX or status invalid; ",""))))</x:f>
      </x:c>
    </x:row>
    <x:row r="379">
      <x:c r="A379" s="251"/>
      <x:c r="B379" s="252"/>
      <x:c r="C379" s="252"/>
      <x:c r="D379" s="253"/>
      <x:c r="E379" s="253"/>
      <x:c r="F379" s="252"/>
      <x:c r="G379" s="252"/>
      <x:c r="H379" s="252"/>
      <x:c r="I379" s="252"/>
      <x:c r="J379" s="252"/>
      <x:c r="K379" s="252"/>
      <x:c r="L379" s="252" t="str">
        <x:f>IF(A379="","",IF(OR(C379="",D379="",I379="",COUNTIF('الزبائن'!$A$6:$A$505,A379)=0,AND(C379="mobile",I379&lt;&gt;"invalid",OR(LEN(D379)&lt;&gt;10,LEFT(D379,2)&lt;&gt;"09"))),"REVIEW","READY"))</x:f>
      </x:c>
      <x:c r="M379" s="254" t="str">
        <x:f>IF(L379="READY","",IF(A379="","",TRIM(IF(COUNTIF('الزبائن'!$A$6:$A$505,A379)=0,"customer key not found; ","")&amp;IF(C379="","missing contact_type; ","")&amp;IF(D379="","missing number; ","")&amp;IF(I379="","missing status; ","")&amp;IF(AND(C379="mobile",I379&lt;&gt;"invalid",OR(LEN(D379)&lt;&gt;10,LEFT(D379,2)&lt;&gt;"09")),"mobile must be 09XXXXXXXX or status invalid; ",""))))</x:f>
      </x:c>
    </x:row>
    <x:row r="380">
      <x:c r="A380" s="251"/>
      <x:c r="B380" s="252"/>
      <x:c r="C380" s="252"/>
      <x:c r="D380" s="253"/>
      <x:c r="E380" s="253"/>
      <x:c r="F380" s="252"/>
      <x:c r="G380" s="252"/>
      <x:c r="H380" s="252"/>
      <x:c r="I380" s="252"/>
      <x:c r="J380" s="252"/>
      <x:c r="K380" s="252"/>
      <x:c r="L380" s="252" t="str">
        <x:f>IF(A380="","",IF(OR(C380="",D380="",I380="",COUNTIF('الزبائن'!$A$6:$A$505,A380)=0,AND(C380="mobile",I380&lt;&gt;"invalid",OR(LEN(D380)&lt;&gt;10,LEFT(D380,2)&lt;&gt;"09"))),"REVIEW","READY"))</x:f>
      </x:c>
      <x:c r="M380" s="254" t="str">
        <x:f>IF(L380="READY","",IF(A380="","",TRIM(IF(COUNTIF('الزبائن'!$A$6:$A$505,A380)=0,"customer key not found; ","")&amp;IF(C380="","missing contact_type; ","")&amp;IF(D380="","missing number; ","")&amp;IF(I380="","missing status; ","")&amp;IF(AND(C380="mobile",I380&lt;&gt;"invalid",OR(LEN(D380)&lt;&gt;10,LEFT(D380,2)&lt;&gt;"09")),"mobile must be 09XXXXXXXX or status invalid; ",""))))</x:f>
      </x:c>
    </x:row>
    <x:row r="381">
      <x:c r="A381" s="251"/>
      <x:c r="B381" s="252"/>
      <x:c r="C381" s="252"/>
      <x:c r="D381" s="253"/>
      <x:c r="E381" s="253"/>
      <x:c r="F381" s="252"/>
      <x:c r="G381" s="252"/>
      <x:c r="H381" s="252"/>
      <x:c r="I381" s="252"/>
      <x:c r="J381" s="252"/>
      <x:c r="K381" s="252"/>
      <x:c r="L381" s="252" t="str">
        <x:f>IF(A381="","",IF(OR(C381="",D381="",I381="",COUNTIF('الزبائن'!$A$6:$A$505,A381)=0,AND(C381="mobile",I381&lt;&gt;"invalid",OR(LEN(D381)&lt;&gt;10,LEFT(D381,2)&lt;&gt;"09"))),"REVIEW","READY"))</x:f>
      </x:c>
      <x:c r="M381" s="254" t="str">
        <x:f>IF(L381="READY","",IF(A381="","",TRIM(IF(COUNTIF('الزبائن'!$A$6:$A$505,A381)=0,"customer key not found; ","")&amp;IF(C381="","missing contact_type; ","")&amp;IF(D381="","missing number; ","")&amp;IF(I381="","missing status; ","")&amp;IF(AND(C381="mobile",I381&lt;&gt;"invalid",OR(LEN(D381)&lt;&gt;10,LEFT(D381,2)&lt;&gt;"09")),"mobile must be 09XXXXXXXX or status invalid; ",""))))</x:f>
      </x:c>
    </x:row>
    <x:row r="382">
      <x:c r="A382" s="251"/>
      <x:c r="B382" s="252"/>
      <x:c r="C382" s="252"/>
      <x:c r="D382" s="253"/>
      <x:c r="E382" s="253"/>
      <x:c r="F382" s="252"/>
      <x:c r="G382" s="252"/>
      <x:c r="H382" s="252"/>
      <x:c r="I382" s="252"/>
      <x:c r="J382" s="252"/>
      <x:c r="K382" s="252"/>
      <x:c r="L382" s="252" t="str">
        <x:f>IF(A382="","",IF(OR(C382="",D382="",I382="",COUNTIF('الزبائن'!$A$6:$A$505,A382)=0,AND(C382="mobile",I382&lt;&gt;"invalid",OR(LEN(D382)&lt;&gt;10,LEFT(D382,2)&lt;&gt;"09"))),"REVIEW","READY"))</x:f>
      </x:c>
      <x:c r="M382" s="254" t="str">
        <x:f>IF(L382="READY","",IF(A382="","",TRIM(IF(COUNTIF('الزبائن'!$A$6:$A$505,A382)=0,"customer key not found; ","")&amp;IF(C382="","missing contact_type; ","")&amp;IF(D382="","missing number; ","")&amp;IF(I382="","missing status; ","")&amp;IF(AND(C382="mobile",I382&lt;&gt;"invalid",OR(LEN(D382)&lt;&gt;10,LEFT(D382,2)&lt;&gt;"09")),"mobile must be 09XXXXXXXX or status invalid; ",""))))</x:f>
      </x:c>
    </x:row>
    <x:row r="383">
      <x:c r="A383" s="251"/>
      <x:c r="B383" s="252"/>
      <x:c r="C383" s="252"/>
      <x:c r="D383" s="253"/>
      <x:c r="E383" s="253"/>
      <x:c r="F383" s="252"/>
      <x:c r="G383" s="252"/>
      <x:c r="H383" s="252"/>
      <x:c r="I383" s="252"/>
      <x:c r="J383" s="252"/>
      <x:c r="K383" s="252"/>
      <x:c r="L383" s="252" t="str">
        <x:f>IF(A383="","",IF(OR(C383="",D383="",I383="",COUNTIF('الزبائن'!$A$6:$A$505,A383)=0,AND(C383="mobile",I383&lt;&gt;"invalid",OR(LEN(D383)&lt;&gt;10,LEFT(D383,2)&lt;&gt;"09"))),"REVIEW","READY"))</x:f>
      </x:c>
      <x:c r="M383" s="254" t="str">
        <x:f>IF(L383="READY","",IF(A383="","",TRIM(IF(COUNTIF('الزبائن'!$A$6:$A$505,A383)=0,"customer key not found; ","")&amp;IF(C383="","missing contact_type; ","")&amp;IF(D383="","missing number; ","")&amp;IF(I383="","missing status; ","")&amp;IF(AND(C383="mobile",I383&lt;&gt;"invalid",OR(LEN(D383)&lt;&gt;10,LEFT(D383,2)&lt;&gt;"09")),"mobile must be 09XXXXXXXX or status invalid; ",""))))</x:f>
      </x:c>
    </x:row>
    <x:row r="384">
      <x:c r="A384" s="251"/>
      <x:c r="B384" s="252"/>
      <x:c r="C384" s="252"/>
      <x:c r="D384" s="253"/>
      <x:c r="E384" s="253"/>
      <x:c r="F384" s="252"/>
      <x:c r="G384" s="252"/>
      <x:c r="H384" s="252"/>
      <x:c r="I384" s="252"/>
      <x:c r="J384" s="252"/>
      <x:c r="K384" s="252"/>
      <x:c r="L384" s="252" t="str">
        <x:f>IF(A384="","",IF(OR(C384="",D384="",I384="",COUNTIF('الزبائن'!$A$6:$A$505,A384)=0,AND(C384="mobile",I384&lt;&gt;"invalid",OR(LEN(D384)&lt;&gt;10,LEFT(D384,2)&lt;&gt;"09"))),"REVIEW","READY"))</x:f>
      </x:c>
      <x:c r="M384" s="254" t="str">
        <x:f>IF(L384="READY","",IF(A384="","",TRIM(IF(COUNTIF('الزبائن'!$A$6:$A$505,A384)=0,"customer key not found; ","")&amp;IF(C384="","missing contact_type; ","")&amp;IF(D384="","missing number; ","")&amp;IF(I384="","missing status; ","")&amp;IF(AND(C384="mobile",I384&lt;&gt;"invalid",OR(LEN(D384)&lt;&gt;10,LEFT(D384,2)&lt;&gt;"09")),"mobile must be 09XXXXXXXX or status invalid; ",""))))</x:f>
      </x:c>
    </x:row>
    <x:row r="385">
      <x:c r="A385" s="251"/>
      <x:c r="B385" s="252"/>
      <x:c r="C385" s="252"/>
      <x:c r="D385" s="253"/>
      <x:c r="E385" s="253"/>
      <x:c r="F385" s="252"/>
      <x:c r="G385" s="252"/>
      <x:c r="H385" s="252"/>
      <x:c r="I385" s="252"/>
      <x:c r="J385" s="252"/>
      <x:c r="K385" s="252"/>
      <x:c r="L385" s="252" t="str">
        <x:f>IF(A385="","",IF(OR(C385="",D385="",I385="",COUNTIF('الزبائن'!$A$6:$A$505,A385)=0,AND(C385="mobile",I385&lt;&gt;"invalid",OR(LEN(D385)&lt;&gt;10,LEFT(D385,2)&lt;&gt;"09"))),"REVIEW","READY"))</x:f>
      </x:c>
      <x:c r="M385" s="254" t="str">
        <x:f>IF(L385="READY","",IF(A385="","",TRIM(IF(COUNTIF('الزبائن'!$A$6:$A$505,A385)=0,"customer key not found; ","")&amp;IF(C385="","missing contact_type; ","")&amp;IF(D385="","missing number; ","")&amp;IF(I385="","missing status; ","")&amp;IF(AND(C385="mobile",I385&lt;&gt;"invalid",OR(LEN(D385)&lt;&gt;10,LEFT(D385,2)&lt;&gt;"09")),"mobile must be 09XXXXXXXX or status invalid; ",""))))</x:f>
      </x:c>
    </x:row>
    <x:row r="386">
      <x:c r="A386" s="251"/>
      <x:c r="B386" s="252"/>
      <x:c r="C386" s="252"/>
      <x:c r="D386" s="253"/>
      <x:c r="E386" s="253"/>
      <x:c r="F386" s="252"/>
      <x:c r="G386" s="252"/>
      <x:c r="H386" s="252"/>
      <x:c r="I386" s="252"/>
      <x:c r="J386" s="252"/>
      <x:c r="K386" s="252"/>
      <x:c r="L386" s="252" t="str">
        <x:f>IF(A386="","",IF(OR(C386="",D386="",I386="",COUNTIF('الزبائن'!$A$6:$A$505,A386)=0,AND(C386="mobile",I386&lt;&gt;"invalid",OR(LEN(D386)&lt;&gt;10,LEFT(D386,2)&lt;&gt;"09"))),"REVIEW","READY"))</x:f>
      </x:c>
      <x:c r="M386" s="254" t="str">
        <x:f>IF(L386="READY","",IF(A386="","",TRIM(IF(COUNTIF('الزبائن'!$A$6:$A$505,A386)=0,"customer key not found; ","")&amp;IF(C386="","missing contact_type; ","")&amp;IF(D386="","missing number; ","")&amp;IF(I386="","missing status; ","")&amp;IF(AND(C386="mobile",I386&lt;&gt;"invalid",OR(LEN(D386)&lt;&gt;10,LEFT(D386,2)&lt;&gt;"09")),"mobile must be 09XXXXXXXX or status invalid; ",""))))</x:f>
      </x:c>
    </x:row>
    <x:row r="387">
      <x:c r="A387" s="251"/>
      <x:c r="B387" s="252"/>
      <x:c r="C387" s="252"/>
      <x:c r="D387" s="253"/>
      <x:c r="E387" s="253"/>
      <x:c r="F387" s="252"/>
      <x:c r="G387" s="252"/>
      <x:c r="H387" s="252"/>
      <x:c r="I387" s="252"/>
      <x:c r="J387" s="252"/>
      <x:c r="K387" s="252"/>
      <x:c r="L387" s="252" t="str">
        <x:f>IF(A387="","",IF(OR(C387="",D387="",I387="",COUNTIF('الزبائن'!$A$6:$A$505,A387)=0,AND(C387="mobile",I387&lt;&gt;"invalid",OR(LEN(D387)&lt;&gt;10,LEFT(D387,2)&lt;&gt;"09"))),"REVIEW","READY"))</x:f>
      </x:c>
      <x:c r="M387" s="254" t="str">
        <x:f>IF(L387="READY","",IF(A387="","",TRIM(IF(COUNTIF('الزبائن'!$A$6:$A$505,A387)=0,"customer key not found; ","")&amp;IF(C387="","missing contact_type; ","")&amp;IF(D387="","missing number; ","")&amp;IF(I387="","missing status; ","")&amp;IF(AND(C387="mobile",I387&lt;&gt;"invalid",OR(LEN(D387)&lt;&gt;10,LEFT(D387,2)&lt;&gt;"09")),"mobile must be 09XXXXXXXX or status invalid; ",""))))</x:f>
      </x:c>
    </x:row>
    <x:row r="388">
      <x:c r="A388" s="251"/>
      <x:c r="B388" s="252"/>
      <x:c r="C388" s="252"/>
      <x:c r="D388" s="253"/>
      <x:c r="E388" s="253"/>
      <x:c r="F388" s="252"/>
      <x:c r="G388" s="252"/>
      <x:c r="H388" s="252"/>
      <x:c r="I388" s="252"/>
      <x:c r="J388" s="252"/>
      <x:c r="K388" s="252"/>
      <x:c r="L388" s="252" t="str">
        <x:f>IF(A388="","",IF(OR(C388="",D388="",I388="",COUNTIF('الزبائن'!$A$6:$A$505,A388)=0,AND(C388="mobile",I388&lt;&gt;"invalid",OR(LEN(D388)&lt;&gt;10,LEFT(D388,2)&lt;&gt;"09"))),"REVIEW","READY"))</x:f>
      </x:c>
      <x:c r="M388" s="254" t="str">
        <x:f>IF(L388="READY","",IF(A388="","",TRIM(IF(COUNTIF('الزبائن'!$A$6:$A$505,A388)=0,"customer key not found; ","")&amp;IF(C388="","missing contact_type; ","")&amp;IF(D388="","missing number; ","")&amp;IF(I388="","missing status; ","")&amp;IF(AND(C388="mobile",I388&lt;&gt;"invalid",OR(LEN(D388)&lt;&gt;10,LEFT(D388,2)&lt;&gt;"09")),"mobile must be 09XXXXXXXX or status invalid; ",""))))</x:f>
      </x:c>
    </x:row>
    <x:row r="389">
      <x:c r="A389" s="251"/>
      <x:c r="B389" s="252"/>
      <x:c r="C389" s="252"/>
      <x:c r="D389" s="253"/>
      <x:c r="E389" s="253"/>
      <x:c r="F389" s="252"/>
      <x:c r="G389" s="252"/>
      <x:c r="H389" s="252"/>
      <x:c r="I389" s="252"/>
      <x:c r="J389" s="252"/>
      <x:c r="K389" s="252"/>
      <x:c r="L389" s="252" t="str">
        <x:f>IF(A389="","",IF(OR(C389="",D389="",I389="",COUNTIF('الزبائن'!$A$6:$A$505,A389)=0,AND(C389="mobile",I389&lt;&gt;"invalid",OR(LEN(D389)&lt;&gt;10,LEFT(D389,2)&lt;&gt;"09"))),"REVIEW","READY"))</x:f>
      </x:c>
      <x:c r="M389" s="254" t="str">
        <x:f>IF(L389="READY","",IF(A389="","",TRIM(IF(COUNTIF('الزبائن'!$A$6:$A$505,A389)=0,"customer key not found; ","")&amp;IF(C389="","missing contact_type; ","")&amp;IF(D389="","missing number; ","")&amp;IF(I389="","missing status; ","")&amp;IF(AND(C389="mobile",I389&lt;&gt;"invalid",OR(LEN(D389)&lt;&gt;10,LEFT(D389,2)&lt;&gt;"09")),"mobile must be 09XXXXXXXX or status invalid; ",""))))</x:f>
      </x:c>
    </x:row>
    <x:row r="390">
      <x:c r="A390" s="251"/>
      <x:c r="B390" s="252"/>
      <x:c r="C390" s="252"/>
      <x:c r="D390" s="253"/>
      <x:c r="E390" s="253"/>
      <x:c r="F390" s="252"/>
      <x:c r="G390" s="252"/>
      <x:c r="H390" s="252"/>
      <x:c r="I390" s="252"/>
      <x:c r="J390" s="252"/>
      <x:c r="K390" s="252"/>
      <x:c r="L390" s="252" t="str">
        <x:f>IF(A390="","",IF(OR(C390="",D390="",I390="",COUNTIF('الزبائن'!$A$6:$A$505,A390)=0,AND(C390="mobile",I390&lt;&gt;"invalid",OR(LEN(D390)&lt;&gt;10,LEFT(D390,2)&lt;&gt;"09"))),"REVIEW","READY"))</x:f>
      </x:c>
      <x:c r="M390" s="254" t="str">
        <x:f>IF(L390="READY","",IF(A390="","",TRIM(IF(COUNTIF('الزبائن'!$A$6:$A$505,A390)=0,"customer key not found; ","")&amp;IF(C390="","missing contact_type; ","")&amp;IF(D390="","missing number; ","")&amp;IF(I390="","missing status; ","")&amp;IF(AND(C390="mobile",I390&lt;&gt;"invalid",OR(LEN(D390)&lt;&gt;10,LEFT(D390,2)&lt;&gt;"09")),"mobile must be 09XXXXXXXX or status invalid; ",""))))</x:f>
      </x:c>
    </x:row>
    <x:row r="391">
      <x:c r="A391" s="251"/>
      <x:c r="B391" s="252"/>
      <x:c r="C391" s="252"/>
      <x:c r="D391" s="253"/>
      <x:c r="E391" s="253"/>
      <x:c r="F391" s="252"/>
      <x:c r="G391" s="252"/>
      <x:c r="H391" s="252"/>
      <x:c r="I391" s="252"/>
      <x:c r="J391" s="252"/>
      <x:c r="K391" s="252"/>
      <x:c r="L391" s="252" t="str">
        <x:f>IF(A391="","",IF(OR(C391="",D391="",I391="",COUNTIF('الزبائن'!$A$6:$A$505,A391)=0,AND(C391="mobile",I391&lt;&gt;"invalid",OR(LEN(D391)&lt;&gt;10,LEFT(D391,2)&lt;&gt;"09"))),"REVIEW","READY"))</x:f>
      </x:c>
      <x:c r="M391" s="254" t="str">
        <x:f>IF(L391="READY","",IF(A391="","",TRIM(IF(COUNTIF('الزبائن'!$A$6:$A$505,A391)=0,"customer key not found; ","")&amp;IF(C391="","missing contact_type; ","")&amp;IF(D391="","missing number; ","")&amp;IF(I391="","missing status; ","")&amp;IF(AND(C391="mobile",I391&lt;&gt;"invalid",OR(LEN(D391)&lt;&gt;10,LEFT(D391,2)&lt;&gt;"09")),"mobile must be 09XXXXXXXX or status invalid; ",""))))</x:f>
      </x:c>
    </x:row>
    <x:row r="392">
      <x:c r="A392" s="251"/>
      <x:c r="B392" s="252"/>
      <x:c r="C392" s="252"/>
      <x:c r="D392" s="253"/>
      <x:c r="E392" s="253"/>
      <x:c r="F392" s="252"/>
      <x:c r="G392" s="252"/>
      <x:c r="H392" s="252"/>
      <x:c r="I392" s="252"/>
      <x:c r="J392" s="252"/>
      <x:c r="K392" s="252"/>
      <x:c r="L392" s="252" t="str">
        <x:f>IF(A392="","",IF(OR(C392="",D392="",I392="",COUNTIF('الزبائن'!$A$6:$A$505,A392)=0,AND(C392="mobile",I392&lt;&gt;"invalid",OR(LEN(D392)&lt;&gt;10,LEFT(D392,2)&lt;&gt;"09"))),"REVIEW","READY"))</x:f>
      </x:c>
      <x:c r="M392" s="254" t="str">
        <x:f>IF(L392="READY","",IF(A392="","",TRIM(IF(COUNTIF('الزبائن'!$A$6:$A$505,A392)=0,"customer key not found; ","")&amp;IF(C392="","missing contact_type; ","")&amp;IF(D392="","missing number; ","")&amp;IF(I392="","missing status; ","")&amp;IF(AND(C392="mobile",I392&lt;&gt;"invalid",OR(LEN(D392)&lt;&gt;10,LEFT(D392,2)&lt;&gt;"09")),"mobile must be 09XXXXXXXX or status invalid; ",""))))</x:f>
      </x:c>
    </x:row>
    <x:row r="393">
      <x:c r="A393" s="251"/>
      <x:c r="B393" s="252"/>
      <x:c r="C393" s="252"/>
      <x:c r="D393" s="253"/>
      <x:c r="E393" s="253"/>
      <x:c r="F393" s="252"/>
      <x:c r="G393" s="252"/>
      <x:c r="H393" s="252"/>
      <x:c r="I393" s="252"/>
      <x:c r="J393" s="252"/>
      <x:c r="K393" s="252"/>
      <x:c r="L393" s="252" t="str">
        <x:f>IF(A393="","",IF(OR(C393="",D393="",I393="",COUNTIF('الزبائن'!$A$6:$A$505,A393)=0,AND(C393="mobile",I393&lt;&gt;"invalid",OR(LEN(D393)&lt;&gt;10,LEFT(D393,2)&lt;&gt;"09"))),"REVIEW","READY"))</x:f>
      </x:c>
      <x:c r="M393" s="254" t="str">
        <x:f>IF(L393="READY","",IF(A393="","",TRIM(IF(COUNTIF('الزبائن'!$A$6:$A$505,A393)=0,"customer key not found; ","")&amp;IF(C393="","missing contact_type; ","")&amp;IF(D393="","missing number; ","")&amp;IF(I393="","missing status; ","")&amp;IF(AND(C393="mobile",I393&lt;&gt;"invalid",OR(LEN(D393)&lt;&gt;10,LEFT(D393,2)&lt;&gt;"09")),"mobile must be 09XXXXXXXX or status invalid; ",""))))</x:f>
      </x:c>
    </x:row>
    <x:row r="394">
      <x:c r="A394" s="251"/>
      <x:c r="B394" s="252"/>
      <x:c r="C394" s="252"/>
      <x:c r="D394" s="253"/>
      <x:c r="E394" s="253"/>
      <x:c r="F394" s="252"/>
      <x:c r="G394" s="252"/>
      <x:c r="H394" s="252"/>
      <x:c r="I394" s="252"/>
      <x:c r="J394" s="252"/>
      <x:c r="K394" s="252"/>
      <x:c r="L394" s="252" t="str">
        <x:f>IF(A394="","",IF(OR(C394="",D394="",I394="",COUNTIF('الزبائن'!$A$6:$A$505,A394)=0,AND(C394="mobile",I394&lt;&gt;"invalid",OR(LEN(D394)&lt;&gt;10,LEFT(D394,2)&lt;&gt;"09"))),"REVIEW","READY"))</x:f>
      </x:c>
      <x:c r="M394" s="254" t="str">
        <x:f>IF(L394="READY","",IF(A394="","",TRIM(IF(COUNTIF('الزبائن'!$A$6:$A$505,A394)=0,"customer key not found; ","")&amp;IF(C394="","missing contact_type; ","")&amp;IF(D394="","missing number; ","")&amp;IF(I394="","missing status; ","")&amp;IF(AND(C394="mobile",I394&lt;&gt;"invalid",OR(LEN(D394)&lt;&gt;10,LEFT(D394,2)&lt;&gt;"09")),"mobile must be 09XXXXXXXX or status invalid; ",""))))</x:f>
      </x:c>
    </x:row>
    <x:row r="395">
      <x:c r="A395" s="251"/>
      <x:c r="B395" s="252"/>
      <x:c r="C395" s="252"/>
      <x:c r="D395" s="253"/>
      <x:c r="E395" s="253"/>
      <x:c r="F395" s="252"/>
      <x:c r="G395" s="252"/>
      <x:c r="H395" s="252"/>
      <x:c r="I395" s="252"/>
      <x:c r="J395" s="252"/>
      <x:c r="K395" s="252"/>
      <x:c r="L395" s="252" t="str">
        <x:f>IF(A395="","",IF(OR(C395="",D395="",I395="",COUNTIF('الزبائن'!$A$6:$A$505,A395)=0,AND(C395="mobile",I395&lt;&gt;"invalid",OR(LEN(D395)&lt;&gt;10,LEFT(D395,2)&lt;&gt;"09"))),"REVIEW","READY"))</x:f>
      </x:c>
      <x:c r="M395" s="254" t="str">
        <x:f>IF(L395="READY","",IF(A395="","",TRIM(IF(COUNTIF('الزبائن'!$A$6:$A$505,A395)=0,"customer key not found; ","")&amp;IF(C395="","missing contact_type; ","")&amp;IF(D395="","missing number; ","")&amp;IF(I395="","missing status; ","")&amp;IF(AND(C395="mobile",I395&lt;&gt;"invalid",OR(LEN(D395)&lt;&gt;10,LEFT(D395,2)&lt;&gt;"09")),"mobile must be 09XXXXXXXX or status invalid; ",""))))</x:f>
      </x:c>
    </x:row>
    <x:row r="396">
      <x:c r="A396" s="251"/>
      <x:c r="B396" s="252"/>
      <x:c r="C396" s="252"/>
      <x:c r="D396" s="253"/>
      <x:c r="E396" s="253"/>
      <x:c r="F396" s="252"/>
      <x:c r="G396" s="252"/>
      <x:c r="H396" s="252"/>
      <x:c r="I396" s="252"/>
      <x:c r="J396" s="252"/>
      <x:c r="K396" s="252"/>
      <x:c r="L396" s="252" t="str">
        <x:f>IF(A396="","",IF(OR(C396="",D396="",I396="",COUNTIF('الزبائن'!$A$6:$A$505,A396)=0,AND(C396="mobile",I396&lt;&gt;"invalid",OR(LEN(D396)&lt;&gt;10,LEFT(D396,2)&lt;&gt;"09"))),"REVIEW","READY"))</x:f>
      </x:c>
      <x:c r="M396" s="254" t="str">
        <x:f>IF(L396="READY","",IF(A396="","",TRIM(IF(COUNTIF('الزبائن'!$A$6:$A$505,A396)=0,"customer key not found; ","")&amp;IF(C396="","missing contact_type; ","")&amp;IF(D396="","missing number; ","")&amp;IF(I396="","missing status; ","")&amp;IF(AND(C396="mobile",I396&lt;&gt;"invalid",OR(LEN(D396)&lt;&gt;10,LEFT(D396,2)&lt;&gt;"09")),"mobile must be 09XXXXXXXX or status invalid; ",""))))</x:f>
      </x:c>
    </x:row>
    <x:row r="397">
      <x:c r="A397" s="251"/>
      <x:c r="B397" s="252"/>
      <x:c r="C397" s="252"/>
      <x:c r="D397" s="253"/>
      <x:c r="E397" s="253"/>
      <x:c r="F397" s="252"/>
      <x:c r="G397" s="252"/>
      <x:c r="H397" s="252"/>
      <x:c r="I397" s="252"/>
      <x:c r="J397" s="252"/>
      <x:c r="K397" s="252"/>
      <x:c r="L397" s="252" t="str">
        <x:f>IF(A397="","",IF(OR(C397="",D397="",I397="",COUNTIF('الزبائن'!$A$6:$A$505,A397)=0,AND(C397="mobile",I397&lt;&gt;"invalid",OR(LEN(D397)&lt;&gt;10,LEFT(D397,2)&lt;&gt;"09"))),"REVIEW","READY"))</x:f>
      </x:c>
      <x:c r="M397" s="254" t="str">
        <x:f>IF(L397="READY","",IF(A397="","",TRIM(IF(COUNTIF('الزبائن'!$A$6:$A$505,A397)=0,"customer key not found; ","")&amp;IF(C397="","missing contact_type; ","")&amp;IF(D397="","missing number; ","")&amp;IF(I397="","missing status; ","")&amp;IF(AND(C397="mobile",I397&lt;&gt;"invalid",OR(LEN(D397)&lt;&gt;10,LEFT(D397,2)&lt;&gt;"09")),"mobile must be 09XXXXXXXX or status invalid; ",""))))</x:f>
      </x:c>
    </x:row>
    <x:row r="398">
      <x:c r="A398" s="251"/>
      <x:c r="B398" s="252"/>
      <x:c r="C398" s="252"/>
      <x:c r="D398" s="253"/>
      <x:c r="E398" s="253"/>
      <x:c r="F398" s="252"/>
      <x:c r="G398" s="252"/>
      <x:c r="H398" s="252"/>
      <x:c r="I398" s="252"/>
      <x:c r="J398" s="252"/>
      <x:c r="K398" s="252"/>
      <x:c r="L398" s="252" t="str">
        <x:f>IF(A398="","",IF(OR(C398="",D398="",I398="",COUNTIF('الزبائن'!$A$6:$A$505,A398)=0,AND(C398="mobile",I398&lt;&gt;"invalid",OR(LEN(D398)&lt;&gt;10,LEFT(D398,2)&lt;&gt;"09"))),"REVIEW","READY"))</x:f>
      </x:c>
      <x:c r="M398" s="254" t="str">
        <x:f>IF(L398="READY","",IF(A398="","",TRIM(IF(COUNTIF('الزبائن'!$A$6:$A$505,A398)=0,"customer key not found; ","")&amp;IF(C398="","missing contact_type; ","")&amp;IF(D398="","missing number; ","")&amp;IF(I398="","missing status; ","")&amp;IF(AND(C398="mobile",I398&lt;&gt;"invalid",OR(LEN(D398)&lt;&gt;10,LEFT(D398,2)&lt;&gt;"09")),"mobile must be 09XXXXXXXX or status invalid; ",""))))</x:f>
      </x:c>
    </x:row>
    <x:row r="399">
      <x:c r="A399" s="251"/>
      <x:c r="B399" s="252"/>
      <x:c r="C399" s="252"/>
      <x:c r="D399" s="253"/>
      <x:c r="E399" s="253"/>
      <x:c r="F399" s="252"/>
      <x:c r="G399" s="252"/>
      <x:c r="H399" s="252"/>
      <x:c r="I399" s="252"/>
      <x:c r="J399" s="252"/>
      <x:c r="K399" s="252"/>
      <x:c r="L399" s="252" t="str">
        <x:f>IF(A399="","",IF(OR(C399="",D399="",I399="",COUNTIF('الزبائن'!$A$6:$A$505,A399)=0,AND(C399="mobile",I399&lt;&gt;"invalid",OR(LEN(D399)&lt;&gt;10,LEFT(D399,2)&lt;&gt;"09"))),"REVIEW","READY"))</x:f>
      </x:c>
      <x:c r="M399" s="254" t="str">
        <x:f>IF(L399="READY","",IF(A399="","",TRIM(IF(COUNTIF('الزبائن'!$A$6:$A$505,A399)=0,"customer key not found; ","")&amp;IF(C399="","missing contact_type; ","")&amp;IF(D399="","missing number; ","")&amp;IF(I399="","missing status; ","")&amp;IF(AND(C399="mobile",I399&lt;&gt;"invalid",OR(LEN(D399)&lt;&gt;10,LEFT(D399,2)&lt;&gt;"09")),"mobile must be 09XXXXXXXX or status invalid; ",""))))</x:f>
      </x:c>
    </x:row>
    <x:row r="400">
      <x:c r="A400" s="251"/>
      <x:c r="B400" s="252"/>
      <x:c r="C400" s="252"/>
      <x:c r="D400" s="253"/>
      <x:c r="E400" s="253"/>
      <x:c r="F400" s="252"/>
      <x:c r="G400" s="252"/>
      <x:c r="H400" s="252"/>
      <x:c r="I400" s="252"/>
      <x:c r="J400" s="252"/>
      <x:c r="K400" s="252"/>
      <x:c r="L400" s="252" t="str">
        <x:f>IF(A400="","",IF(OR(C400="",D400="",I400="",COUNTIF('الزبائن'!$A$6:$A$505,A400)=0,AND(C400="mobile",I400&lt;&gt;"invalid",OR(LEN(D400)&lt;&gt;10,LEFT(D400,2)&lt;&gt;"09"))),"REVIEW","READY"))</x:f>
      </x:c>
      <x:c r="M400" s="254" t="str">
        <x:f>IF(L400="READY","",IF(A400="","",TRIM(IF(COUNTIF('الزبائن'!$A$6:$A$505,A400)=0,"customer key not found; ","")&amp;IF(C400="","missing contact_type; ","")&amp;IF(D400="","missing number; ","")&amp;IF(I400="","missing status; ","")&amp;IF(AND(C400="mobile",I400&lt;&gt;"invalid",OR(LEN(D400)&lt;&gt;10,LEFT(D400,2)&lt;&gt;"09")),"mobile must be 09XXXXXXXX or status invalid; ",""))))</x:f>
      </x:c>
    </x:row>
    <x:row r="401">
      <x:c r="A401" s="251"/>
      <x:c r="B401" s="252"/>
      <x:c r="C401" s="252"/>
      <x:c r="D401" s="253"/>
      <x:c r="E401" s="253"/>
      <x:c r="F401" s="252"/>
      <x:c r="G401" s="252"/>
      <x:c r="H401" s="252"/>
      <x:c r="I401" s="252"/>
      <x:c r="J401" s="252"/>
      <x:c r="K401" s="252"/>
      <x:c r="L401" s="252" t="str">
        <x:f>IF(A401="","",IF(OR(C401="",D401="",I401="",COUNTIF('الزبائن'!$A$6:$A$505,A401)=0,AND(C401="mobile",I401&lt;&gt;"invalid",OR(LEN(D401)&lt;&gt;10,LEFT(D401,2)&lt;&gt;"09"))),"REVIEW","READY"))</x:f>
      </x:c>
      <x:c r="M401" s="254" t="str">
        <x:f>IF(L401="READY","",IF(A401="","",TRIM(IF(COUNTIF('الزبائن'!$A$6:$A$505,A401)=0,"customer key not found; ","")&amp;IF(C401="","missing contact_type; ","")&amp;IF(D401="","missing number; ","")&amp;IF(I401="","missing status; ","")&amp;IF(AND(C401="mobile",I401&lt;&gt;"invalid",OR(LEN(D401)&lt;&gt;10,LEFT(D401,2)&lt;&gt;"09")),"mobile must be 09XXXXXXXX or status invalid; ",""))))</x:f>
      </x:c>
    </x:row>
    <x:row r="402">
      <x:c r="A402" s="251"/>
      <x:c r="B402" s="252"/>
      <x:c r="C402" s="252"/>
      <x:c r="D402" s="253"/>
      <x:c r="E402" s="253"/>
      <x:c r="F402" s="252"/>
      <x:c r="G402" s="252"/>
      <x:c r="H402" s="252"/>
      <x:c r="I402" s="252"/>
      <x:c r="J402" s="252"/>
      <x:c r="K402" s="252"/>
      <x:c r="L402" s="252" t="str">
        <x:f>IF(A402="","",IF(OR(C402="",D402="",I402="",COUNTIF('الزبائن'!$A$6:$A$505,A402)=0,AND(C402="mobile",I402&lt;&gt;"invalid",OR(LEN(D402)&lt;&gt;10,LEFT(D402,2)&lt;&gt;"09"))),"REVIEW","READY"))</x:f>
      </x:c>
      <x:c r="M402" s="254" t="str">
        <x:f>IF(L402="READY","",IF(A402="","",TRIM(IF(COUNTIF('الزبائن'!$A$6:$A$505,A402)=0,"customer key not found; ","")&amp;IF(C402="","missing contact_type; ","")&amp;IF(D402="","missing number; ","")&amp;IF(I402="","missing status; ","")&amp;IF(AND(C402="mobile",I402&lt;&gt;"invalid",OR(LEN(D402)&lt;&gt;10,LEFT(D402,2)&lt;&gt;"09")),"mobile must be 09XXXXXXXX or status invalid; ",""))))</x:f>
      </x:c>
    </x:row>
    <x:row r="403">
      <x:c r="A403" s="251"/>
      <x:c r="B403" s="252"/>
      <x:c r="C403" s="252"/>
      <x:c r="D403" s="253"/>
      <x:c r="E403" s="253"/>
      <x:c r="F403" s="252"/>
      <x:c r="G403" s="252"/>
      <x:c r="H403" s="252"/>
      <x:c r="I403" s="252"/>
      <x:c r="J403" s="252"/>
      <x:c r="K403" s="252"/>
      <x:c r="L403" s="252" t="str">
        <x:f>IF(A403="","",IF(OR(C403="",D403="",I403="",COUNTIF('الزبائن'!$A$6:$A$505,A403)=0,AND(C403="mobile",I403&lt;&gt;"invalid",OR(LEN(D403)&lt;&gt;10,LEFT(D403,2)&lt;&gt;"09"))),"REVIEW","READY"))</x:f>
      </x:c>
      <x:c r="M403" s="254" t="str">
        <x:f>IF(L403="READY","",IF(A403="","",TRIM(IF(COUNTIF('الزبائن'!$A$6:$A$505,A403)=0,"customer key not found; ","")&amp;IF(C403="","missing contact_type; ","")&amp;IF(D403="","missing number; ","")&amp;IF(I403="","missing status; ","")&amp;IF(AND(C403="mobile",I403&lt;&gt;"invalid",OR(LEN(D403)&lt;&gt;10,LEFT(D403,2)&lt;&gt;"09")),"mobile must be 09XXXXXXXX or status invalid; ",""))))</x:f>
      </x:c>
    </x:row>
    <x:row r="404">
      <x:c r="A404" s="251"/>
      <x:c r="B404" s="252"/>
      <x:c r="C404" s="252"/>
      <x:c r="D404" s="253"/>
      <x:c r="E404" s="253"/>
      <x:c r="F404" s="252"/>
      <x:c r="G404" s="252"/>
      <x:c r="H404" s="252"/>
      <x:c r="I404" s="252"/>
      <x:c r="J404" s="252"/>
      <x:c r="K404" s="252"/>
      <x:c r="L404" s="252" t="str">
        <x:f>IF(A404="","",IF(OR(C404="",D404="",I404="",COUNTIF('الزبائن'!$A$6:$A$505,A404)=0,AND(C404="mobile",I404&lt;&gt;"invalid",OR(LEN(D404)&lt;&gt;10,LEFT(D404,2)&lt;&gt;"09"))),"REVIEW","READY"))</x:f>
      </x:c>
      <x:c r="M404" s="254" t="str">
        <x:f>IF(L404="READY","",IF(A404="","",TRIM(IF(COUNTIF('الزبائن'!$A$6:$A$505,A404)=0,"customer key not found; ","")&amp;IF(C404="","missing contact_type; ","")&amp;IF(D404="","missing number; ","")&amp;IF(I404="","missing status; ","")&amp;IF(AND(C404="mobile",I404&lt;&gt;"invalid",OR(LEN(D404)&lt;&gt;10,LEFT(D404,2)&lt;&gt;"09")),"mobile must be 09XXXXXXXX or status invalid; ",""))))</x:f>
      </x:c>
    </x:row>
    <x:row r="405">
      <x:c r="A405" s="251"/>
      <x:c r="B405" s="252"/>
      <x:c r="C405" s="252"/>
      <x:c r="D405" s="253"/>
      <x:c r="E405" s="253"/>
      <x:c r="F405" s="252"/>
      <x:c r="G405" s="252"/>
      <x:c r="H405" s="252"/>
      <x:c r="I405" s="252"/>
      <x:c r="J405" s="252"/>
      <x:c r="K405" s="252"/>
      <x:c r="L405" s="252" t="str">
        <x:f>IF(A405="","",IF(OR(C405="",D405="",I405="",COUNTIF('الزبائن'!$A$6:$A$505,A405)=0,AND(C405="mobile",I405&lt;&gt;"invalid",OR(LEN(D405)&lt;&gt;10,LEFT(D405,2)&lt;&gt;"09"))),"REVIEW","READY"))</x:f>
      </x:c>
      <x:c r="M405" s="254" t="str">
        <x:f>IF(L405="READY","",IF(A405="","",TRIM(IF(COUNTIF('الزبائن'!$A$6:$A$505,A405)=0,"customer key not found; ","")&amp;IF(C405="","missing contact_type; ","")&amp;IF(D405="","missing number; ","")&amp;IF(I405="","missing status; ","")&amp;IF(AND(C405="mobile",I405&lt;&gt;"invalid",OR(LEN(D405)&lt;&gt;10,LEFT(D405,2)&lt;&gt;"09")),"mobile must be 09XXXXXXXX or status invalid; ",""))))</x:f>
      </x:c>
    </x:row>
    <x:row r="406">
      <x:c r="A406" s="251"/>
      <x:c r="B406" s="252"/>
      <x:c r="C406" s="252"/>
      <x:c r="D406" s="253"/>
      <x:c r="E406" s="253"/>
      <x:c r="F406" s="252"/>
      <x:c r="G406" s="252"/>
      <x:c r="H406" s="252"/>
      <x:c r="I406" s="252"/>
      <x:c r="J406" s="252"/>
      <x:c r="K406" s="252"/>
      <x:c r="L406" s="252" t="str">
        <x:f>IF(A406="","",IF(OR(C406="",D406="",I406="",COUNTIF('الزبائن'!$A$6:$A$505,A406)=0,AND(C406="mobile",I406&lt;&gt;"invalid",OR(LEN(D406)&lt;&gt;10,LEFT(D406,2)&lt;&gt;"09"))),"REVIEW","READY"))</x:f>
      </x:c>
      <x:c r="M406" s="254" t="str">
        <x:f>IF(L406="READY","",IF(A406="","",TRIM(IF(COUNTIF('الزبائن'!$A$6:$A$505,A406)=0,"customer key not found; ","")&amp;IF(C406="","missing contact_type; ","")&amp;IF(D406="","missing number; ","")&amp;IF(I406="","missing status; ","")&amp;IF(AND(C406="mobile",I406&lt;&gt;"invalid",OR(LEN(D406)&lt;&gt;10,LEFT(D406,2)&lt;&gt;"09")),"mobile must be 09XXXXXXXX or status invalid; ",""))))</x:f>
      </x:c>
    </x:row>
    <x:row r="407">
      <x:c r="A407" s="251"/>
      <x:c r="B407" s="252"/>
      <x:c r="C407" s="252"/>
      <x:c r="D407" s="253"/>
      <x:c r="E407" s="253"/>
      <x:c r="F407" s="252"/>
      <x:c r="G407" s="252"/>
      <x:c r="H407" s="252"/>
      <x:c r="I407" s="252"/>
      <x:c r="J407" s="252"/>
      <x:c r="K407" s="252"/>
      <x:c r="L407" s="252" t="str">
        <x:f>IF(A407="","",IF(OR(C407="",D407="",I407="",COUNTIF('الزبائن'!$A$6:$A$505,A407)=0,AND(C407="mobile",I407&lt;&gt;"invalid",OR(LEN(D407)&lt;&gt;10,LEFT(D407,2)&lt;&gt;"09"))),"REVIEW","READY"))</x:f>
      </x:c>
      <x:c r="M407" s="254" t="str">
        <x:f>IF(L407="READY","",IF(A407="","",TRIM(IF(COUNTIF('الزبائن'!$A$6:$A$505,A407)=0,"customer key not found; ","")&amp;IF(C407="","missing contact_type; ","")&amp;IF(D407="","missing number; ","")&amp;IF(I407="","missing status; ","")&amp;IF(AND(C407="mobile",I407&lt;&gt;"invalid",OR(LEN(D407)&lt;&gt;10,LEFT(D407,2)&lt;&gt;"09")),"mobile must be 09XXXXXXXX or status invalid; ",""))))</x:f>
      </x:c>
    </x:row>
    <x:row r="408">
      <x:c r="A408" s="251"/>
      <x:c r="B408" s="252"/>
      <x:c r="C408" s="252"/>
      <x:c r="D408" s="253"/>
      <x:c r="E408" s="253"/>
      <x:c r="F408" s="252"/>
      <x:c r="G408" s="252"/>
      <x:c r="H408" s="252"/>
      <x:c r="I408" s="252"/>
      <x:c r="J408" s="252"/>
      <x:c r="K408" s="252"/>
      <x:c r="L408" s="252" t="str">
        <x:f>IF(A408="","",IF(OR(C408="",D408="",I408="",COUNTIF('الزبائن'!$A$6:$A$505,A408)=0,AND(C408="mobile",I408&lt;&gt;"invalid",OR(LEN(D408)&lt;&gt;10,LEFT(D408,2)&lt;&gt;"09"))),"REVIEW","READY"))</x:f>
      </x:c>
      <x:c r="M408" s="254" t="str">
        <x:f>IF(L408="READY","",IF(A408="","",TRIM(IF(COUNTIF('الزبائن'!$A$6:$A$505,A408)=0,"customer key not found; ","")&amp;IF(C408="","missing contact_type; ","")&amp;IF(D408="","missing number; ","")&amp;IF(I408="","missing status; ","")&amp;IF(AND(C408="mobile",I408&lt;&gt;"invalid",OR(LEN(D408)&lt;&gt;10,LEFT(D408,2)&lt;&gt;"09")),"mobile must be 09XXXXXXXX or status invalid; ",""))))</x:f>
      </x:c>
    </x:row>
    <x:row r="409">
      <x:c r="A409" s="251"/>
      <x:c r="B409" s="252"/>
      <x:c r="C409" s="252"/>
      <x:c r="D409" s="253"/>
      <x:c r="E409" s="253"/>
      <x:c r="F409" s="252"/>
      <x:c r="G409" s="252"/>
      <x:c r="H409" s="252"/>
      <x:c r="I409" s="252"/>
      <x:c r="J409" s="252"/>
      <x:c r="K409" s="252"/>
      <x:c r="L409" s="252" t="str">
        <x:f>IF(A409="","",IF(OR(C409="",D409="",I409="",COUNTIF('الزبائن'!$A$6:$A$505,A409)=0,AND(C409="mobile",I409&lt;&gt;"invalid",OR(LEN(D409)&lt;&gt;10,LEFT(D409,2)&lt;&gt;"09"))),"REVIEW","READY"))</x:f>
      </x:c>
      <x:c r="M409" s="254" t="str">
        <x:f>IF(L409="READY","",IF(A409="","",TRIM(IF(COUNTIF('الزبائن'!$A$6:$A$505,A409)=0,"customer key not found; ","")&amp;IF(C409="","missing contact_type; ","")&amp;IF(D409="","missing number; ","")&amp;IF(I409="","missing status; ","")&amp;IF(AND(C409="mobile",I409&lt;&gt;"invalid",OR(LEN(D409)&lt;&gt;10,LEFT(D409,2)&lt;&gt;"09")),"mobile must be 09XXXXXXXX or status invalid; ",""))))</x:f>
      </x:c>
    </x:row>
    <x:row r="410">
      <x:c r="A410" s="251"/>
      <x:c r="B410" s="252"/>
      <x:c r="C410" s="252"/>
      <x:c r="D410" s="253"/>
      <x:c r="E410" s="253"/>
      <x:c r="F410" s="252"/>
      <x:c r="G410" s="252"/>
      <x:c r="H410" s="252"/>
      <x:c r="I410" s="252"/>
      <x:c r="J410" s="252"/>
      <x:c r="K410" s="252"/>
      <x:c r="L410" s="252" t="str">
        <x:f>IF(A410="","",IF(OR(C410="",D410="",I410="",COUNTIF('الزبائن'!$A$6:$A$505,A410)=0,AND(C410="mobile",I410&lt;&gt;"invalid",OR(LEN(D410)&lt;&gt;10,LEFT(D410,2)&lt;&gt;"09"))),"REVIEW","READY"))</x:f>
      </x:c>
      <x:c r="M410" s="254" t="str">
        <x:f>IF(L410="READY","",IF(A410="","",TRIM(IF(COUNTIF('الزبائن'!$A$6:$A$505,A410)=0,"customer key not found; ","")&amp;IF(C410="","missing contact_type; ","")&amp;IF(D410="","missing number; ","")&amp;IF(I410="","missing status; ","")&amp;IF(AND(C410="mobile",I410&lt;&gt;"invalid",OR(LEN(D410)&lt;&gt;10,LEFT(D410,2)&lt;&gt;"09")),"mobile must be 09XXXXXXXX or status invalid; ",""))))</x:f>
      </x:c>
    </x:row>
    <x:row r="411">
      <x:c r="A411" s="251"/>
      <x:c r="B411" s="252"/>
      <x:c r="C411" s="252"/>
      <x:c r="D411" s="253"/>
      <x:c r="E411" s="253"/>
      <x:c r="F411" s="252"/>
      <x:c r="G411" s="252"/>
      <x:c r="H411" s="252"/>
      <x:c r="I411" s="252"/>
      <x:c r="J411" s="252"/>
      <x:c r="K411" s="252"/>
      <x:c r="L411" s="252" t="str">
        <x:f>IF(A411="","",IF(OR(C411="",D411="",I411="",COUNTIF('الزبائن'!$A$6:$A$505,A411)=0,AND(C411="mobile",I411&lt;&gt;"invalid",OR(LEN(D411)&lt;&gt;10,LEFT(D411,2)&lt;&gt;"09"))),"REVIEW","READY"))</x:f>
      </x:c>
      <x:c r="M411" s="254" t="str">
        <x:f>IF(L411="READY","",IF(A411="","",TRIM(IF(COUNTIF('الزبائن'!$A$6:$A$505,A411)=0,"customer key not found; ","")&amp;IF(C411="","missing contact_type; ","")&amp;IF(D411="","missing number; ","")&amp;IF(I411="","missing status; ","")&amp;IF(AND(C411="mobile",I411&lt;&gt;"invalid",OR(LEN(D411)&lt;&gt;10,LEFT(D411,2)&lt;&gt;"09")),"mobile must be 09XXXXXXXX or status invalid; ",""))))</x:f>
      </x:c>
    </x:row>
    <x:row r="412">
      <x:c r="A412" s="251"/>
      <x:c r="B412" s="252"/>
      <x:c r="C412" s="252"/>
      <x:c r="D412" s="253"/>
      <x:c r="E412" s="253"/>
      <x:c r="F412" s="252"/>
      <x:c r="G412" s="252"/>
      <x:c r="H412" s="252"/>
      <x:c r="I412" s="252"/>
      <x:c r="J412" s="252"/>
      <x:c r="K412" s="252"/>
      <x:c r="L412" s="252" t="str">
        <x:f>IF(A412="","",IF(OR(C412="",D412="",I412="",COUNTIF('الزبائن'!$A$6:$A$505,A412)=0,AND(C412="mobile",I412&lt;&gt;"invalid",OR(LEN(D412)&lt;&gt;10,LEFT(D412,2)&lt;&gt;"09"))),"REVIEW","READY"))</x:f>
      </x:c>
      <x:c r="M412" s="254" t="str">
        <x:f>IF(L412="READY","",IF(A412="","",TRIM(IF(COUNTIF('الزبائن'!$A$6:$A$505,A412)=0,"customer key not found; ","")&amp;IF(C412="","missing contact_type; ","")&amp;IF(D412="","missing number; ","")&amp;IF(I412="","missing status; ","")&amp;IF(AND(C412="mobile",I412&lt;&gt;"invalid",OR(LEN(D412)&lt;&gt;10,LEFT(D412,2)&lt;&gt;"09")),"mobile must be 09XXXXXXXX or status invalid; ",""))))</x:f>
      </x:c>
    </x:row>
    <x:row r="413">
      <x:c r="A413" s="251"/>
      <x:c r="B413" s="252"/>
      <x:c r="C413" s="252"/>
      <x:c r="D413" s="253"/>
      <x:c r="E413" s="253"/>
      <x:c r="F413" s="252"/>
      <x:c r="G413" s="252"/>
      <x:c r="H413" s="252"/>
      <x:c r="I413" s="252"/>
      <x:c r="J413" s="252"/>
      <x:c r="K413" s="252"/>
      <x:c r="L413" s="252" t="str">
        <x:f>IF(A413="","",IF(OR(C413="",D413="",I413="",COUNTIF('الزبائن'!$A$6:$A$505,A413)=0,AND(C413="mobile",I413&lt;&gt;"invalid",OR(LEN(D413)&lt;&gt;10,LEFT(D413,2)&lt;&gt;"09"))),"REVIEW","READY"))</x:f>
      </x:c>
      <x:c r="M413" s="254" t="str">
        <x:f>IF(L413="READY","",IF(A413="","",TRIM(IF(COUNTIF('الزبائن'!$A$6:$A$505,A413)=0,"customer key not found; ","")&amp;IF(C413="","missing contact_type; ","")&amp;IF(D413="","missing number; ","")&amp;IF(I413="","missing status; ","")&amp;IF(AND(C413="mobile",I413&lt;&gt;"invalid",OR(LEN(D413)&lt;&gt;10,LEFT(D413,2)&lt;&gt;"09")),"mobile must be 09XXXXXXXX or status invalid; ",""))))</x:f>
      </x:c>
    </x:row>
    <x:row r="414">
      <x:c r="A414" s="251"/>
      <x:c r="B414" s="252"/>
      <x:c r="C414" s="252"/>
      <x:c r="D414" s="253"/>
      <x:c r="E414" s="253"/>
      <x:c r="F414" s="252"/>
      <x:c r="G414" s="252"/>
      <x:c r="H414" s="252"/>
      <x:c r="I414" s="252"/>
      <x:c r="J414" s="252"/>
      <x:c r="K414" s="252"/>
      <x:c r="L414" s="252" t="str">
        <x:f>IF(A414="","",IF(OR(C414="",D414="",I414="",COUNTIF('الزبائن'!$A$6:$A$505,A414)=0,AND(C414="mobile",I414&lt;&gt;"invalid",OR(LEN(D414)&lt;&gt;10,LEFT(D414,2)&lt;&gt;"09"))),"REVIEW","READY"))</x:f>
      </x:c>
      <x:c r="M414" s="254" t="str">
        <x:f>IF(L414="READY","",IF(A414="","",TRIM(IF(COUNTIF('الزبائن'!$A$6:$A$505,A414)=0,"customer key not found; ","")&amp;IF(C414="","missing contact_type; ","")&amp;IF(D414="","missing number; ","")&amp;IF(I414="","missing status; ","")&amp;IF(AND(C414="mobile",I414&lt;&gt;"invalid",OR(LEN(D414)&lt;&gt;10,LEFT(D414,2)&lt;&gt;"09")),"mobile must be 09XXXXXXXX or status invalid; ",""))))</x:f>
      </x:c>
    </x:row>
    <x:row r="415">
      <x:c r="A415" s="251"/>
      <x:c r="B415" s="252"/>
      <x:c r="C415" s="252"/>
      <x:c r="D415" s="253"/>
      <x:c r="E415" s="253"/>
      <x:c r="F415" s="252"/>
      <x:c r="G415" s="252"/>
      <x:c r="H415" s="252"/>
      <x:c r="I415" s="252"/>
      <x:c r="J415" s="252"/>
      <x:c r="K415" s="252"/>
      <x:c r="L415" s="252" t="str">
        <x:f>IF(A415="","",IF(OR(C415="",D415="",I415="",COUNTIF('الزبائن'!$A$6:$A$505,A415)=0,AND(C415="mobile",I415&lt;&gt;"invalid",OR(LEN(D415)&lt;&gt;10,LEFT(D415,2)&lt;&gt;"09"))),"REVIEW","READY"))</x:f>
      </x:c>
      <x:c r="M415" s="254" t="str">
        <x:f>IF(L415="READY","",IF(A415="","",TRIM(IF(COUNTIF('الزبائن'!$A$6:$A$505,A415)=0,"customer key not found; ","")&amp;IF(C415="","missing contact_type; ","")&amp;IF(D415="","missing number; ","")&amp;IF(I415="","missing status; ","")&amp;IF(AND(C415="mobile",I415&lt;&gt;"invalid",OR(LEN(D415)&lt;&gt;10,LEFT(D415,2)&lt;&gt;"09")),"mobile must be 09XXXXXXXX or status invalid; ",""))))</x:f>
      </x:c>
    </x:row>
    <x:row r="416">
      <x:c r="A416" s="251"/>
      <x:c r="B416" s="252"/>
      <x:c r="C416" s="252"/>
      <x:c r="D416" s="253"/>
      <x:c r="E416" s="253"/>
      <x:c r="F416" s="252"/>
      <x:c r="G416" s="252"/>
      <x:c r="H416" s="252"/>
      <x:c r="I416" s="252"/>
      <x:c r="J416" s="252"/>
      <x:c r="K416" s="252"/>
      <x:c r="L416" s="252" t="str">
        <x:f>IF(A416="","",IF(OR(C416="",D416="",I416="",COUNTIF('الزبائن'!$A$6:$A$505,A416)=0,AND(C416="mobile",I416&lt;&gt;"invalid",OR(LEN(D416)&lt;&gt;10,LEFT(D416,2)&lt;&gt;"09"))),"REVIEW","READY"))</x:f>
      </x:c>
      <x:c r="M416" s="254" t="str">
        <x:f>IF(L416="READY","",IF(A416="","",TRIM(IF(COUNTIF('الزبائن'!$A$6:$A$505,A416)=0,"customer key not found; ","")&amp;IF(C416="","missing contact_type; ","")&amp;IF(D416="","missing number; ","")&amp;IF(I416="","missing status; ","")&amp;IF(AND(C416="mobile",I416&lt;&gt;"invalid",OR(LEN(D416)&lt;&gt;10,LEFT(D416,2)&lt;&gt;"09")),"mobile must be 09XXXXXXXX or status invalid; ",""))))</x:f>
      </x:c>
    </x:row>
    <x:row r="417">
      <x:c r="A417" s="251"/>
      <x:c r="B417" s="252"/>
      <x:c r="C417" s="252"/>
      <x:c r="D417" s="253"/>
      <x:c r="E417" s="253"/>
      <x:c r="F417" s="252"/>
      <x:c r="G417" s="252"/>
      <x:c r="H417" s="252"/>
      <x:c r="I417" s="252"/>
      <x:c r="J417" s="252"/>
      <x:c r="K417" s="252"/>
      <x:c r="L417" s="252" t="str">
        <x:f>IF(A417="","",IF(OR(C417="",D417="",I417="",COUNTIF('الزبائن'!$A$6:$A$505,A417)=0,AND(C417="mobile",I417&lt;&gt;"invalid",OR(LEN(D417)&lt;&gt;10,LEFT(D417,2)&lt;&gt;"09"))),"REVIEW","READY"))</x:f>
      </x:c>
      <x:c r="M417" s="254" t="str">
        <x:f>IF(L417="READY","",IF(A417="","",TRIM(IF(COUNTIF('الزبائن'!$A$6:$A$505,A417)=0,"customer key not found; ","")&amp;IF(C417="","missing contact_type; ","")&amp;IF(D417="","missing number; ","")&amp;IF(I417="","missing status; ","")&amp;IF(AND(C417="mobile",I417&lt;&gt;"invalid",OR(LEN(D417)&lt;&gt;10,LEFT(D417,2)&lt;&gt;"09")),"mobile must be 09XXXXXXXX or status invalid; ",""))))</x:f>
      </x:c>
    </x:row>
    <x:row r="418">
      <x:c r="A418" s="251"/>
      <x:c r="B418" s="252"/>
      <x:c r="C418" s="252"/>
      <x:c r="D418" s="253"/>
      <x:c r="E418" s="253"/>
      <x:c r="F418" s="252"/>
      <x:c r="G418" s="252"/>
      <x:c r="H418" s="252"/>
      <x:c r="I418" s="252"/>
      <x:c r="J418" s="252"/>
      <x:c r="K418" s="252"/>
      <x:c r="L418" s="252" t="str">
        <x:f>IF(A418="","",IF(OR(C418="",D418="",I418="",COUNTIF('الزبائن'!$A$6:$A$505,A418)=0,AND(C418="mobile",I418&lt;&gt;"invalid",OR(LEN(D418)&lt;&gt;10,LEFT(D418,2)&lt;&gt;"09"))),"REVIEW","READY"))</x:f>
      </x:c>
      <x:c r="M418" s="254" t="str">
        <x:f>IF(L418="READY","",IF(A418="","",TRIM(IF(COUNTIF('الزبائن'!$A$6:$A$505,A418)=0,"customer key not found; ","")&amp;IF(C418="","missing contact_type; ","")&amp;IF(D418="","missing number; ","")&amp;IF(I418="","missing status; ","")&amp;IF(AND(C418="mobile",I418&lt;&gt;"invalid",OR(LEN(D418)&lt;&gt;10,LEFT(D418,2)&lt;&gt;"09")),"mobile must be 09XXXXXXXX or status invalid; ",""))))</x:f>
      </x:c>
    </x:row>
    <x:row r="419">
      <x:c r="A419" s="251"/>
      <x:c r="B419" s="252"/>
      <x:c r="C419" s="252"/>
      <x:c r="D419" s="253"/>
      <x:c r="E419" s="253"/>
      <x:c r="F419" s="252"/>
      <x:c r="G419" s="252"/>
      <x:c r="H419" s="252"/>
      <x:c r="I419" s="252"/>
      <x:c r="J419" s="252"/>
      <x:c r="K419" s="252"/>
      <x:c r="L419" s="252" t="str">
        <x:f>IF(A419="","",IF(OR(C419="",D419="",I419="",COUNTIF('الزبائن'!$A$6:$A$505,A419)=0,AND(C419="mobile",I419&lt;&gt;"invalid",OR(LEN(D419)&lt;&gt;10,LEFT(D419,2)&lt;&gt;"09"))),"REVIEW","READY"))</x:f>
      </x:c>
      <x:c r="M419" s="254" t="str">
        <x:f>IF(L419="READY","",IF(A419="","",TRIM(IF(COUNTIF('الزبائن'!$A$6:$A$505,A419)=0,"customer key not found; ","")&amp;IF(C419="","missing contact_type; ","")&amp;IF(D419="","missing number; ","")&amp;IF(I419="","missing status; ","")&amp;IF(AND(C419="mobile",I419&lt;&gt;"invalid",OR(LEN(D419)&lt;&gt;10,LEFT(D419,2)&lt;&gt;"09")),"mobile must be 09XXXXXXXX or status invalid; ",""))))</x:f>
      </x:c>
    </x:row>
    <x:row r="420">
      <x:c r="A420" s="251"/>
      <x:c r="B420" s="252"/>
      <x:c r="C420" s="252"/>
      <x:c r="D420" s="253"/>
      <x:c r="E420" s="253"/>
      <x:c r="F420" s="252"/>
      <x:c r="G420" s="252"/>
      <x:c r="H420" s="252"/>
      <x:c r="I420" s="252"/>
      <x:c r="J420" s="252"/>
      <x:c r="K420" s="252"/>
      <x:c r="L420" s="252" t="str">
        <x:f>IF(A420="","",IF(OR(C420="",D420="",I420="",COUNTIF('الزبائن'!$A$6:$A$505,A420)=0,AND(C420="mobile",I420&lt;&gt;"invalid",OR(LEN(D420)&lt;&gt;10,LEFT(D420,2)&lt;&gt;"09"))),"REVIEW","READY"))</x:f>
      </x:c>
      <x:c r="M420" s="254" t="str">
        <x:f>IF(L420="READY","",IF(A420="","",TRIM(IF(COUNTIF('الزبائن'!$A$6:$A$505,A420)=0,"customer key not found; ","")&amp;IF(C420="","missing contact_type; ","")&amp;IF(D420="","missing number; ","")&amp;IF(I420="","missing status; ","")&amp;IF(AND(C420="mobile",I420&lt;&gt;"invalid",OR(LEN(D420)&lt;&gt;10,LEFT(D420,2)&lt;&gt;"09")),"mobile must be 09XXXXXXXX or status invalid; ",""))))</x:f>
      </x:c>
    </x:row>
    <x:row r="421">
      <x:c r="A421" s="251"/>
      <x:c r="B421" s="252"/>
      <x:c r="C421" s="252"/>
      <x:c r="D421" s="253"/>
      <x:c r="E421" s="253"/>
      <x:c r="F421" s="252"/>
      <x:c r="G421" s="252"/>
      <x:c r="H421" s="252"/>
      <x:c r="I421" s="252"/>
      <x:c r="J421" s="252"/>
      <x:c r="K421" s="252"/>
      <x:c r="L421" s="252" t="str">
        <x:f>IF(A421="","",IF(OR(C421="",D421="",I421="",COUNTIF('الزبائن'!$A$6:$A$505,A421)=0,AND(C421="mobile",I421&lt;&gt;"invalid",OR(LEN(D421)&lt;&gt;10,LEFT(D421,2)&lt;&gt;"09"))),"REVIEW","READY"))</x:f>
      </x:c>
      <x:c r="M421" s="254" t="str">
        <x:f>IF(L421="READY","",IF(A421="","",TRIM(IF(COUNTIF('الزبائن'!$A$6:$A$505,A421)=0,"customer key not found; ","")&amp;IF(C421="","missing contact_type; ","")&amp;IF(D421="","missing number; ","")&amp;IF(I421="","missing status; ","")&amp;IF(AND(C421="mobile",I421&lt;&gt;"invalid",OR(LEN(D421)&lt;&gt;10,LEFT(D421,2)&lt;&gt;"09")),"mobile must be 09XXXXXXXX or status invalid; ",""))))</x:f>
      </x:c>
    </x:row>
    <x:row r="422">
      <x:c r="A422" s="251"/>
      <x:c r="B422" s="252"/>
      <x:c r="C422" s="252"/>
      <x:c r="D422" s="253"/>
      <x:c r="E422" s="253"/>
      <x:c r="F422" s="252"/>
      <x:c r="G422" s="252"/>
      <x:c r="H422" s="252"/>
      <x:c r="I422" s="252"/>
      <x:c r="J422" s="252"/>
      <x:c r="K422" s="252"/>
      <x:c r="L422" s="252" t="str">
        <x:f>IF(A422="","",IF(OR(C422="",D422="",I422="",COUNTIF('الزبائن'!$A$6:$A$505,A422)=0,AND(C422="mobile",I422&lt;&gt;"invalid",OR(LEN(D422)&lt;&gt;10,LEFT(D422,2)&lt;&gt;"09"))),"REVIEW","READY"))</x:f>
      </x:c>
      <x:c r="M422" s="254" t="str">
        <x:f>IF(L422="READY","",IF(A422="","",TRIM(IF(COUNTIF('الزبائن'!$A$6:$A$505,A422)=0,"customer key not found; ","")&amp;IF(C422="","missing contact_type; ","")&amp;IF(D422="","missing number; ","")&amp;IF(I422="","missing status; ","")&amp;IF(AND(C422="mobile",I422&lt;&gt;"invalid",OR(LEN(D422)&lt;&gt;10,LEFT(D422,2)&lt;&gt;"09")),"mobile must be 09XXXXXXXX or status invalid; ",""))))</x:f>
      </x:c>
    </x:row>
    <x:row r="423">
      <x:c r="A423" s="251"/>
      <x:c r="B423" s="252"/>
      <x:c r="C423" s="252"/>
      <x:c r="D423" s="253"/>
      <x:c r="E423" s="253"/>
      <x:c r="F423" s="252"/>
      <x:c r="G423" s="252"/>
      <x:c r="H423" s="252"/>
      <x:c r="I423" s="252"/>
      <x:c r="J423" s="252"/>
      <x:c r="K423" s="252"/>
      <x:c r="L423" s="252" t="str">
        <x:f>IF(A423="","",IF(OR(C423="",D423="",I423="",COUNTIF('الزبائن'!$A$6:$A$505,A423)=0,AND(C423="mobile",I423&lt;&gt;"invalid",OR(LEN(D423)&lt;&gt;10,LEFT(D423,2)&lt;&gt;"09"))),"REVIEW","READY"))</x:f>
      </x:c>
      <x:c r="M423" s="254" t="str">
        <x:f>IF(L423="READY","",IF(A423="","",TRIM(IF(COUNTIF('الزبائن'!$A$6:$A$505,A423)=0,"customer key not found; ","")&amp;IF(C423="","missing contact_type; ","")&amp;IF(D423="","missing number; ","")&amp;IF(I423="","missing status; ","")&amp;IF(AND(C423="mobile",I423&lt;&gt;"invalid",OR(LEN(D423)&lt;&gt;10,LEFT(D423,2)&lt;&gt;"09")),"mobile must be 09XXXXXXXX or status invalid; ",""))))</x:f>
      </x:c>
    </x:row>
    <x:row r="424">
      <x:c r="A424" s="251"/>
      <x:c r="B424" s="252"/>
      <x:c r="C424" s="252"/>
      <x:c r="D424" s="253"/>
      <x:c r="E424" s="253"/>
      <x:c r="F424" s="252"/>
      <x:c r="G424" s="252"/>
      <x:c r="H424" s="252"/>
      <x:c r="I424" s="252"/>
      <x:c r="J424" s="252"/>
      <x:c r="K424" s="252"/>
      <x:c r="L424" s="252" t="str">
        <x:f>IF(A424="","",IF(OR(C424="",D424="",I424="",COUNTIF('الزبائن'!$A$6:$A$505,A424)=0,AND(C424="mobile",I424&lt;&gt;"invalid",OR(LEN(D424)&lt;&gt;10,LEFT(D424,2)&lt;&gt;"09"))),"REVIEW","READY"))</x:f>
      </x:c>
      <x:c r="M424" s="254" t="str">
        <x:f>IF(L424="READY","",IF(A424="","",TRIM(IF(COUNTIF('الزبائن'!$A$6:$A$505,A424)=0,"customer key not found; ","")&amp;IF(C424="","missing contact_type; ","")&amp;IF(D424="","missing number; ","")&amp;IF(I424="","missing status; ","")&amp;IF(AND(C424="mobile",I424&lt;&gt;"invalid",OR(LEN(D424)&lt;&gt;10,LEFT(D424,2)&lt;&gt;"09")),"mobile must be 09XXXXXXXX or status invalid; ",""))))</x:f>
      </x:c>
    </x:row>
    <x:row r="425">
      <x:c r="A425" s="251"/>
      <x:c r="B425" s="252"/>
      <x:c r="C425" s="252"/>
      <x:c r="D425" s="253"/>
      <x:c r="E425" s="253"/>
      <x:c r="F425" s="252"/>
      <x:c r="G425" s="252"/>
      <x:c r="H425" s="252"/>
      <x:c r="I425" s="252"/>
      <x:c r="J425" s="252"/>
      <x:c r="K425" s="252"/>
      <x:c r="L425" s="252" t="str">
        <x:f>IF(A425="","",IF(OR(C425="",D425="",I425="",COUNTIF('الزبائن'!$A$6:$A$505,A425)=0,AND(C425="mobile",I425&lt;&gt;"invalid",OR(LEN(D425)&lt;&gt;10,LEFT(D425,2)&lt;&gt;"09"))),"REVIEW","READY"))</x:f>
      </x:c>
      <x:c r="M425" s="254" t="str">
        <x:f>IF(L425="READY","",IF(A425="","",TRIM(IF(COUNTIF('الزبائن'!$A$6:$A$505,A425)=0,"customer key not found; ","")&amp;IF(C425="","missing contact_type; ","")&amp;IF(D425="","missing number; ","")&amp;IF(I425="","missing status; ","")&amp;IF(AND(C425="mobile",I425&lt;&gt;"invalid",OR(LEN(D425)&lt;&gt;10,LEFT(D425,2)&lt;&gt;"09")),"mobile must be 09XXXXXXXX or status invalid; ",""))))</x:f>
      </x:c>
    </x:row>
    <x:row r="426">
      <x:c r="A426" s="251"/>
      <x:c r="B426" s="252"/>
      <x:c r="C426" s="252"/>
      <x:c r="D426" s="253"/>
      <x:c r="E426" s="253"/>
      <x:c r="F426" s="252"/>
      <x:c r="G426" s="252"/>
      <x:c r="H426" s="252"/>
      <x:c r="I426" s="252"/>
      <x:c r="J426" s="252"/>
      <x:c r="K426" s="252"/>
      <x:c r="L426" s="252" t="str">
        <x:f>IF(A426="","",IF(OR(C426="",D426="",I426="",COUNTIF('الزبائن'!$A$6:$A$505,A426)=0,AND(C426="mobile",I426&lt;&gt;"invalid",OR(LEN(D426)&lt;&gt;10,LEFT(D426,2)&lt;&gt;"09"))),"REVIEW","READY"))</x:f>
      </x:c>
      <x:c r="M426" s="254" t="str">
        <x:f>IF(L426="READY","",IF(A426="","",TRIM(IF(COUNTIF('الزبائن'!$A$6:$A$505,A426)=0,"customer key not found; ","")&amp;IF(C426="","missing contact_type; ","")&amp;IF(D426="","missing number; ","")&amp;IF(I426="","missing status; ","")&amp;IF(AND(C426="mobile",I426&lt;&gt;"invalid",OR(LEN(D426)&lt;&gt;10,LEFT(D426,2)&lt;&gt;"09")),"mobile must be 09XXXXXXXX or status invalid; ",""))))</x:f>
      </x:c>
    </x:row>
    <x:row r="427">
      <x:c r="A427" s="251"/>
      <x:c r="B427" s="252"/>
      <x:c r="C427" s="252"/>
      <x:c r="D427" s="253"/>
      <x:c r="E427" s="253"/>
      <x:c r="F427" s="252"/>
      <x:c r="G427" s="252"/>
      <x:c r="H427" s="252"/>
      <x:c r="I427" s="252"/>
      <x:c r="J427" s="252"/>
      <x:c r="K427" s="252"/>
      <x:c r="L427" s="252" t="str">
        <x:f>IF(A427="","",IF(OR(C427="",D427="",I427="",COUNTIF('الزبائن'!$A$6:$A$505,A427)=0,AND(C427="mobile",I427&lt;&gt;"invalid",OR(LEN(D427)&lt;&gt;10,LEFT(D427,2)&lt;&gt;"09"))),"REVIEW","READY"))</x:f>
      </x:c>
      <x:c r="M427" s="254" t="str">
        <x:f>IF(L427="READY","",IF(A427="","",TRIM(IF(COUNTIF('الزبائن'!$A$6:$A$505,A427)=0,"customer key not found; ","")&amp;IF(C427="","missing contact_type; ","")&amp;IF(D427="","missing number; ","")&amp;IF(I427="","missing status; ","")&amp;IF(AND(C427="mobile",I427&lt;&gt;"invalid",OR(LEN(D427)&lt;&gt;10,LEFT(D427,2)&lt;&gt;"09")),"mobile must be 09XXXXXXXX or status invalid; ",""))))</x:f>
      </x:c>
    </x:row>
    <x:row r="428">
      <x:c r="A428" s="251"/>
      <x:c r="B428" s="252"/>
      <x:c r="C428" s="252"/>
      <x:c r="D428" s="253"/>
      <x:c r="E428" s="253"/>
      <x:c r="F428" s="252"/>
      <x:c r="G428" s="252"/>
      <x:c r="H428" s="252"/>
      <x:c r="I428" s="252"/>
      <x:c r="J428" s="252"/>
      <x:c r="K428" s="252"/>
      <x:c r="L428" s="252" t="str">
        <x:f>IF(A428="","",IF(OR(C428="",D428="",I428="",COUNTIF('الزبائن'!$A$6:$A$505,A428)=0,AND(C428="mobile",I428&lt;&gt;"invalid",OR(LEN(D428)&lt;&gt;10,LEFT(D428,2)&lt;&gt;"09"))),"REVIEW","READY"))</x:f>
      </x:c>
      <x:c r="M428" s="254" t="str">
        <x:f>IF(L428="READY","",IF(A428="","",TRIM(IF(COUNTIF('الزبائن'!$A$6:$A$505,A428)=0,"customer key not found; ","")&amp;IF(C428="","missing contact_type; ","")&amp;IF(D428="","missing number; ","")&amp;IF(I428="","missing status; ","")&amp;IF(AND(C428="mobile",I428&lt;&gt;"invalid",OR(LEN(D428)&lt;&gt;10,LEFT(D428,2)&lt;&gt;"09")),"mobile must be 09XXXXXXXX or status invalid; ",""))))</x:f>
      </x:c>
    </x:row>
    <x:row r="429">
      <x:c r="A429" s="251"/>
      <x:c r="B429" s="252"/>
      <x:c r="C429" s="252"/>
      <x:c r="D429" s="253"/>
      <x:c r="E429" s="253"/>
      <x:c r="F429" s="252"/>
      <x:c r="G429" s="252"/>
      <x:c r="H429" s="252"/>
      <x:c r="I429" s="252"/>
      <x:c r="J429" s="252"/>
      <x:c r="K429" s="252"/>
      <x:c r="L429" s="252" t="str">
        <x:f>IF(A429="","",IF(OR(C429="",D429="",I429="",COUNTIF('الزبائن'!$A$6:$A$505,A429)=0,AND(C429="mobile",I429&lt;&gt;"invalid",OR(LEN(D429)&lt;&gt;10,LEFT(D429,2)&lt;&gt;"09"))),"REVIEW","READY"))</x:f>
      </x:c>
      <x:c r="M429" s="254" t="str">
        <x:f>IF(L429="READY","",IF(A429="","",TRIM(IF(COUNTIF('الزبائن'!$A$6:$A$505,A429)=0,"customer key not found; ","")&amp;IF(C429="","missing contact_type; ","")&amp;IF(D429="","missing number; ","")&amp;IF(I429="","missing status; ","")&amp;IF(AND(C429="mobile",I429&lt;&gt;"invalid",OR(LEN(D429)&lt;&gt;10,LEFT(D429,2)&lt;&gt;"09")),"mobile must be 09XXXXXXXX or status invalid; ",""))))</x:f>
      </x:c>
    </x:row>
    <x:row r="430">
      <x:c r="A430" s="251"/>
      <x:c r="B430" s="252"/>
      <x:c r="C430" s="252"/>
      <x:c r="D430" s="253"/>
      <x:c r="E430" s="253"/>
      <x:c r="F430" s="252"/>
      <x:c r="G430" s="252"/>
      <x:c r="H430" s="252"/>
      <x:c r="I430" s="252"/>
      <x:c r="J430" s="252"/>
      <x:c r="K430" s="252"/>
      <x:c r="L430" s="252" t="str">
        <x:f>IF(A430="","",IF(OR(C430="",D430="",I430="",COUNTIF('الزبائن'!$A$6:$A$505,A430)=0,AND(C430="mobile",I430&lt;&gt;"invalid",OR(LEN(D430)&lt;&gt;10,LEFT(D430,2)&lt;&gt;"09"))),"REVIEW","READY"))</x:f>
      </x:c>
      <x:c r="M430" s="254" t="str">
        <x:f>IF(L430="READY","",IF(A430="","",TRIM(IF(COUNTIF('الزبائن'!$A$6:$A$505,A430)=0,"customer key not found; ","")&amp;IF(C430="","missing contact_type; ","")&amp;IF(D430="","missing number; ","")&amp;IF(I430="","missing status; ","")&amp;IF(AND(C430="mobile",I430&lt;&gt;"invalid",OR(LEN(D430)&lt;&gt;10,LEFT(D430,2)&lt;&gt;"09")),"mobile must be 09XXXXXXXX or status invalid; ",""))))</x:f>
      </x:c>
    </x:row>
    <x:row r="431">
      <x:c r="A431" s="251"/>
      <x:c r="B431" s="252"/>
      <x:c r="C431" s="252"/>
      <x:c r="D431" s="253"/>
      <x:c r="E431" s="253"/>
      <x:c r="F431" s="252"/>
      <x:c r="G431" s="252"/>
      <x:c r="H431" s="252"/>
      <x:c r="I431" s="252"/>
      <x:c r="J431" s="252"/>
      <x:c r="K431" s="252"/>
      <x:c r="L431" s="252" t="str">
        <x:f>IF(A431="","",IF(OR(C431="",D431="",I431="",COUNTIF('الزبائن'!$A$6:$A$505,A431)=0,AND(C431="mobile",I431&lt;&gt;"invalid",OR(LEN(D431)&lt;&gt;10,LEFT(D431,2)&lt;&gt;"09"))),"REVIEW","READY"))</x:f>
      </x:c>
      <x:c r="M431" s="254" t="str">
        <x:f>IF(L431="READY","",IF(A431="","",TRIM(IF(COUNTIF('الزبائن'!$A$6:$A$505,A431)=0,"customer key not found; ","")&amp;IF(C431="","missing contact_type; ","")&amp;IF(D431="","missing number; ","")&amp;IF(I431="","missing status; ","")&amp;IF(AND(C431="mobile",I431&lt;&gt;"invalid",OR(LEN(D431)&lt;&gt;10,LEFT(D431,2)&lt;&gt;"09")),"mobile must be 09XXXXXXXX or status invalid; ",""))))</x:f>
      </x:c>
    </x:row>
    <x:row r="432">
      <x:c r="A432" s="251"/>
      <x:c r="B432" s="252"/>
      <x:c r="C432" s="252"/>
      <x:c r="D432" s="253"/>
      <x:c r="E432" s="253"/>
      <x:c r="F432" s="252"/>
      <x:c r="G432" s="252"/>
      <x:c r="H432" s="252"/>
      <x:c r="I432" s="252"/>
      <x:c r="J432" s="252"/>
      <x:c r="K432" s="252"/>
      <x:c r="L432" s="252" t="str">
        <x:f>IF(A432="","",IF(OR(C432="",D432="",I432="",COUNTIF('الزبائن'!$A$6:$A$505,A432)=0,AND(C432="mobile",I432&lt;&gt;"invalid",OR(LEN(D432)&lt;&gt;10,LEFT(D432,2)&lt;&gt;"09"))),"REVIEW","READY"))</x:f>
      </x:c>
      <x:c r="M432" s="254" t="str">
        <x:f>IF(L432="READY","",IF(A432="","",TRIM(IF(COUNTIF('الزبائن'!$A$6:$A$505,A432)=0,"customer key not found; ","")&amp;IF(C432="","missing contact_type; ","")&amp;IF(D432="","missing number; ","")&amp;IF(I432="","missing status; ","")&amp;IF(AND(C432="mobile",I432&lt;&gt;"invalid",OR(LEN(D432)&lt;&gt;10,LEFT(D432,2)&lt;&gt;"09")),"mobile must be 09XXXXXXXX or status invalid; ",""))))</x:f>
      </x:c>
    </x:row>
    <x:row r="433">
      <x:c r="A433" s="251"/>
      <x:c r="B433" s="252"/>
      <x:c r="C433" s="252"/>
      <x:c r="D433" s="253"/>
      <x:c r="E433" s="253"/>
      <x:c r="F433" s="252"/>
      <x:c r="G433" s="252"/>
      <x:c r="H433" s="252"/>
      <x:c r="I433" s="252"/>
      <x:c r="J433" s="252"/>
      <x:c r="K433" s="252"/>
      <x:c r="L433" s="252" t="str">
        <x:f>IF(A433="","",IF(OR(C433="",D433="",I433="",COUNTIF('الزبائن'!$A$6:$A$505,A433)=0,AND(C433="mobile",I433&lt;&gt;"invalid",OR(LEN(D433)&lt;&gt;10,LEFT(D433,2)&lt;&gt;"09"))),"REVIEW","READY"))</x:f>
      </x:c>
      <x:c r="M433" s="254" t="str">
        <x:f>IF(L433="READY","",IF(A433="","",TRIM(IF(COUNTIF('الزبائن'!$A$6:$A$505,A433)=0,"customer key not found; ","")&amp;IF(C433="","missing contact_type; ","")&amp;IF(D433="","missing number; ","")&amp;IF(I433="","missing status; ","")&amp;IF(AND(C433="mobile",I433&lt;&gt;"invalid",OR(LEN(D433)&lt;&gt;10,LEFT(D433,2)&lt;&gt;"09")),"mobile must be 09XXXXXXXX or status invalid; ",""))))</x:f>
      </x:c>
    </x:row>
    <x:row r="434">
      <x:c r="A434" s="251"/>
      <x:c r="B434" s="252"/>
      <x:c r="C434" s="252"/>
      <x:c r="D434" s="253"/>
      <x:c r="E434" s="253"/>
      <x:c r="F434" s="252"/>
      <x:c r="G434" s="252"/>
      <x:c r="H434" s="252"/>
      <x:c r="I434" s="252"/>
      <x:c r="J434" s="252"/>
      <x:c r="K434" s="252"/>
      <x:c r="L434" s="252" t="str">
        <x:f>IF(A434="","",IF(OR(C434="",D434="",I434="",COUNTIF('الزبائن'!$A$6:$A$505,A434)=0,AND(C434="mobile",I434&lt;&gt;"invalid",OR(LEN(D434)&lt;&gt;10,LEFT(D434,2)&lt;&gt;"09"))),"REVIEW","READY"))</x:f>
      </x:c>
      <x:c r="M434" s="254" t="str">
        <x:f>IF(L434="READY","",IF(A434="","",TRIM(IF(COUNTIF('الزبائن'!$A$6:$A$505,A434)=0,"customer key not found; ","")&amp;IF(C434="","missing contact_type; ","")&amp;IF(D434="","missing number; ","")&amp;IF(I434="","missing status; ","")&amp;IF(AND(C434="mobile",I434&lt;&gt;"invalid",OR(LEN(D434)&lt;&gt;10,LEFT(D434,2)&lt;&gt;"09")),"mobile must be 09XXXXXXXX or status invalid; ",""))))</x:f>
      </x:c>
    </x:row>
    <x:row r="435">
      <x:c r="A435" s="251"/>
      <x:c r="B435" s="252"/>
      <x:c r="C435" s="252"/>
      <x:c r="D435" s="253"/>
      <x:c r="E435" s="253"/>
      <x:c r="F435" s="252"/>
      <x:c r="G435" s="252"/>
      <x:c r="H435" s="252"/>
      <x:c r="I435" s="252"/>
      <x:c r="J435" s="252"/>
      <x:c r="K435" s="252"/>
      <x:c r="L435" s="252" t="str">
        <x:f>IF(A435="","",IF(OR(C435="",D435="",I435="",COUNTIF('الزبائن'!$A$6:$A$505,A435)=0,AND(C435="mobile",I435&lt;&gt;"invalid",OR(LEN(D435)&lt;&gt;10,LEFT(D435,2)&lt;&gt;"09"))),"REVIEW","READY"))</x:f>
      </x:c>
      <x:c r="M435" s="254" t="str">
        <x:f>IF(L435="READY","",IF(A435="","",TRIM(IF(COUNTIF('الزبائن'!$A$6:$A$505,A435)=0,"customer key not found; ","")&amp;IF(C435="","missing contact_type; ","")&amp;IF(D435="","missing number; ","")&amp;IF(I435="","missing status; ","")&amp;IF(AND(C435="mobile",I435&lt;&gt;"invalid",OR(LEN(D435)&lt;&gt;10,LEFT(D435,2)&lt;&gt;"09")),"mobile must be 09XXXXXXXX or status invalid; ",""))))</x:f>
      </x:c>
    </x:row>
    <x:row r="436">
      <x:c r="A436" s="251"/>
      <x:c r="B436" s="252"/>
      <x:c r="C436" s="252"/>
      <x:c r="D436" s="253"/>
      <x:c r="E436" s="253"/>
      <x:c r="F436" s="252"/>
      <x:c r="G436" s="252"/>
      <x:c r="H436" s="252"/>
      <x:c r="I436" s="252"/>
      <x:c r="J436" s="252"/>
      <x:c r="K436" s="252"/>
      <x:c r="L436" s="252" t="str">
        <x:f>IF(A436="","",IF(OR(C436="",D436="",I436="",COUNTIF('الزبائن'!$A$6:$A$505,A436)=0,AND(C436="mobile",I436&lt;&gt;"invalid",OR(LEN(D436)&lt;&gt;10,LEFT(D436,2)&lt;&gt;"09"))),"REVIEW","READY"))</x:f>
      </x:c>
      <x:c r="M436" s="254" t="str">
        <x:f>IF(L436="READY","",IF(A436="","",TRIM(IF(COUNTIF('الزبائن'!$A$6:$A$505,A436)=0,"customer key not found; ","")&amp;IF(C436="","missing contact_type; ","")&amp;IF(D436="","missing number; ","")&amp;IF(I436="","missing status; ","")&amp;IF(AND(C436="mobile",I436&lt;&gt;"invalid",OR(LEN(D436)&lt;&gt;10,LEFT(D436,2)&lt;&gt;"09")),"mobile must be 09XXXXXXXX or status invalid; ",""))))</x:f>
      </x:c>
    </x:row>
    <x:row r="437">
      <x:c r="A437" s="251"/>
      <x:c r="B437" s="252"/>
      <x:c r="C437" s="252"/>
      <x:c r="D437" s="253"/>
      <x:c r="E437" s="253"/>
      <x:c r="F437" s="252"/>
      <x:c r="G437" s="252"/>
      <x:c r="H437" s="252"/>
      <x:c r="I437" s="252"/>
      <x:c r="J437" s="252"/>
      <x:c r="K437" s="252"/>
      <x:c r="L437" s="252" t="str">
        <x:f>IF(A437="","",IF(OR(C437="",D437="",I437="",COUNTIF('الزبائن'!$A$6:$A$505,A437)=0,AND(C437="mobile",I437&lt;&gt;"invalid",OR(LEN(D437)&lt;&gt;10,LEFT(D437,2)&lt;&gt;"09"))),"REVIEW","READY"))</x:f>
      </x:c>
      <x:c r="M437" s="254" t="str">
        <x:f>IF(L437="READY","",IF(A437="","",TRIM(IF(COUNTIF('الزبائن'!$A$6:$A$505,A437)=0,"customer key not found; ","")&amp;IF(C437="","missing contact_type; ","")&amp;IF(D437="","missing number; ","")&amp;IF(I437="","missing status; ","")&amp;IF(AND(C437="mobile",I437&lt;&gt;"invalid",OR(LEN(D437)&lt;&gt;10,LEFT(D437,2)&lt;&gt;"09")),"mobile must be 09XXXXXXXX or status invalid; ",""))))</x:f>
      </x:c>
    </x:row>
    <x:row r="438">
      <x:c r="A438" s="251"/>
      <x:c r="B438" s="252"/>
      <x:c r="C438" s="252"/>
      <x:c r="D438" s="253"/>
      <x:c r="E438" s="253"/>
      <x:c r="F438" s="252"/>
      <x:c r="G438" s="252"/>
      <x:c r="H438" s="252"/>
      <x:c r="I438" s="252"/>
      <x:c r="J438" s="252"/>
      <x:c r="K438" s="252"/>
      <x:c r="L438" s="252" t="str">
        <x:f>IF(A438="","",IF(OR(C438="",D438="",I438="",COUNTIF('الزبائن'!$A$6:$A$505,A438)=0,AND(C438="mobile",I438&lt;&gt;"invalid",OR(LEN(D438)&lt;&gt;10,LEFT(D438,2)&lt;&gt;"09"))),"REVIEW","READY"))</x:f>
      </x:c>
      <x:c r="M438" s="254" t="str">
        <x:f>IF(L438="READY","",IF(A438="","",TRIM(IF(COUNTIF('الزبائن'!$A$6:$A$505,A438)=0,"customer key not found; ","")&amp;IF(C438="","missing contact_type; ","")&amp;IF(D438="","missing number; ","")&amp;IF(I438="","missing status; ","")&amp;IF(AND(C438="mobile",I438&lt;&gt;"invalid",OR(LEN(D438)&lt;&gt;10,LEFT(D438,2)&lt;&gt;"09")),"mobile must be 09XXXXXXXX or status invalid; ",""))))</x:f>
      </x:c>
    </x:row>
    <x:row r="439">
      <x:c r="A439" s="251"/>
      <x:c r="B439" s="252"/>
      <x:c r="C439" s="252"/>
      <x:c r="D439" s="253"/>
      <x:c r="E439" s="253"/>
      <x:c r="F439" s="252"/>
      <x:c r="G439" s="252"/>
      <x:c r="H439" s="252"/>
      <x:c r="I439" s="252"/>
      <x:c r="J439" s="252"/>
      <x:c r="K439" s="252"/>
      <x:c r="L439" s="252" t="str">
        <x:f>IF(A439="","",IF(OR(C439="",D439="",I439="",COUNTIF('الزبائن'!$A$6:$A$505,A439)=0,AND(C439="mobile",I439&lt;&gt;"invalid",OR(LEN(D439)&lt;&gt;10,LEFT(D439,2)&lt;&gt;"09"))),"REVIEW","READY"))</x:f>
      </x:c>
      <x:c r="M439" s="254" t="str">
        <x:f>IF(L439="READY","",IF(A439="","",TRIM(IF(COUNTIF('الزبائن'!$A$6:$A$505,A439)=0,"customer key not found; ","")&amp;IF(C439="","missing contact_type; ","")&amp;IF(D439="","missing number; ","")&amp;IF(I439="","missing status; ","")&amp;IF(AND(C439="mobile",I439&lt;&gt;"invalid",OR(LEN(D439)&lt;&gt;10,LEFT(D439,2)&lt;&gt;"09")),"mobile must be 09XXXXXXXX or status invalid; ",""))))</x:f>
      </x:c>
    </x:row>
    <x:row r="440">
      <x:c r="A440" s="251"/>
      <x:c r="B440" s="252"/>
      <x:c r="C440" s="252"/>
      <x:c r="D440" s="253"/>
      <x:c r="E440" s="253"/>
      <x:c r="F440" s="252"/>
      <x:c r="G440" s="252"/>
      <x:c r="H440" s="252"/>
      <x:c r="I440" s="252"/>
      <x:c r="J440" s="252"/>
      <x:c r="K440" s="252"/>
      <x:c r="L440" s="252" t="str">
        <x:f>IF(A440="","",IF(OR(C440="",D440="",I440="",COUNTIF('الزبائن'!$A$6:$A$505,A440)=0,AND(C440="mobile",I440&lt;&gt;"invalid",OR(LEN(D440)&lt;&gt;10,LEFT(D440,2)&lt;&gt;"09"))),"REVIEW","READY"))</x:f>
      </x:c>
      <x:c r="M440" s="254" t="str">
        <x:f>IF(L440="READY","",IF(A440="","",TRIM(IF(COUNTIF('الزبائن'!$A$6:$A$505,A440)=0,"customer key not found; ","")&amp;IF(C440="","missing contact_type; ","")&amp;IF(D440="","missing number; ","")&amp;IF(I440="","missing status; ","")&amp;IF(AND(C440="mobile",I440&lt;&gt;"invalid",OR(LEN(D440)&lt;&gt;10,LEFT(D440,2)&lt;&gt;"09")),"mobile must be 09XXXXXXXX or status invalid; ",""))))</x:f>
      </x:c>
    </x:row>
    <x:row r="441">
      <x:c r="A441" s="251"/>
      <x:c r="B441" s="252"/>
      <x:c r="C441" s="252"/>
      <x:c r="D441" s="253"/>
      <x:c r="E441" s="253"/>
      <x:c r="F441" s="252"/>
      <x:c r="G441" s="252"/>
      <x:c r="H441" s="252"/>
      <x:c r="I441" s="252"/>
      <x:c r="J441" s="252"/>
      <x:c r="K441" s="252"/>
      <x:c r="L441" s="252" t="str">
        <x:f>IF(A441="","",IF(OR(C441="",D441="",I441="",COUNTIF('الزبائن'!$A$6:$A$505,A441)=0,AND(C441="mobile",I441&lt;&gt;"invalid",OR(LEN(D441)&lt;&gt;10,LEFT(D441,2)&lt;&gt;"09"))),"REVIEW","READY"))</x:f>
      </x:c>
      <x:c r="M441" s="254" t="str">
        <x:f>IF(L441="READY","",IF(A441="","",TRIM(IF(COUNTIF('الزبائن'!$A$6:$A$505,A441)=0,"customer key not found; ","")&amp;IF(C441="","missing contact_type; ","")&amp;IF(D441="","missing number; ","")&amp;IF(I441="","missing status; ","")&amp;IF(AND(C441="mobile",I441&lt;&gt;"invalid",OR(LEN(D441)&lt;&gt;10,LEFT(D441,2)&lt;&gt;"09")),"mobile must be 09XXXXXXXX or status invalid; ",""))))</x:f>
      </x:c>
    </x:row>
    <x:row r="442">
      <x:c r="A442" s="251"/>
      <x:c r="B442" s="252"/>
      <x:c r="C442" s="252"/>
      <x:c r="D442" s="253"/>
      <x:c r="E442" s="253"/>
      <x:c r="F442" s="252"/>
      <x:c r="G442" s="252"/>
      <x:c r="H442" s="252"/>
      <x:c r="I442" s="252"/>
      <x:c r="J442" s="252"/>
      <x:c r="K442" s="252"/>
      <x:c r="L442" s="252" t="str">
        <x:f>IF(A442="","",IF(OR(C442="",D442="",I442="",COUNTIF('الزبائن'!$A$6:$A$505,A442)=0,AND(C442="mobile",I442&lt;&gt;"invalid",OR(LEN(D442)&lt;&gt;10,LEFT(D442,2)&lt;&gt;"09"))),"REVIEW","READY"))</x:f>
      </x:c>
      <x:c r="M442" s="254" t="str">
        <x:f>IF(L442="READY","",IF(A442="","",TRIM(IF(COUNTIF('الزبائن'!$A$6:$A$505,A442)=0,"customer key not found; ","")&amp;IF(C442="","missing contact_type; ","")&amp;IF(D442="","missing number; ","")&amp;IF(I442="","missing status; ","")&amp;IF(AND(C442="mobile",I442&lt;&gt;"invalid",OR(LEN(D442)&lt;&gt;10,LEFT(D442,2)&lt;&gt;"09")),"mobile must be 09XXXXXXXX or status invalid; ",""))))</x:f>
      </x:c>
    </x:row>
    <x:row r="443">
      <x:c r="A443" s="251"/>
      <x:c r="B443" s="252"/>
      <x:c r="C443" s="252"/>
      <x:c r="D443" s="253"/>
      <x:c r="E443" s="253"/>
      <x:c r="F443" s="252"/>
      <x:c r="G443" s="252"/>
      <x:c r="H443" s="252"/>
      <x:c r="I443" s="252"/>
      <x:c r="J443" s="252"/>
      <x:c r="K443" s="252"/>
      <x:c r="L443" s="252" t="str">
        <x:f>IF(A443="","",IF(OR(C443="",D443="",I443="",COUNTIF('الزبائن'!$A$6:$A$505,A443)=0,AND(C443="mobile",I443&lt;&gt;"invalid",OR(LEN(D443)&lt;&gt;10,LEFT(D443,2)&lt;&gt;"09"))),"REVIEW","READY"))</x:f>
      </x:c>
      <x:c r="M443" s="254" t="str">
        <x:f>IF(L443="READY","",IF(A443="","",TRIM(IF(COUNTIF('الزبائن'!$A$6:$A$505,A443)=0,"customer key not found; ","")&amp;IF(C443="","missing contact_type; ","")&amp;IF(D443="","missing number; ","")&amp;IF(I443="","missing status; ","")&amp;IF(AND(C443="mobile",I443&lt;&gt;"invalid",OR(LEN(D443)&lt;&gt;10,LEFT(D443,2)&lt;&gt;"09")),"mobile must be 09XXXXXXXX or status invalid; ",""))))</x:f>
      </x:c>
    </x:row>
    <x:row r="444">
      <x:c r="A444" s="251"/>
      <x:c r="B444" s="252"/>
      <x:c r="C444" s="252"/>
      <x:c r="D444" s="253"/>
      <x:c r="E444" s="253"/>
      <x:c r="F444" s="252"/>
      <x:c r="G444" s="252"/>
      <x:c r="H444" s="252"/>
      <x:c r="I444" s="252"/>
      <x:c r="J444" s="252"/>
      <x:c r="K444" s="252"/>
      <x:c r="L444" s="252" t="str">
        <x:f>IF(A444="","",IF(OR(C444="",D444="",I444="",COUNTIF('الزبائن'!$A$6:$A$505,A444)=0,AND(C444="mobile",I444&lt;&gt;"invalid",OR(LEN(D444)&lt;&gt;10,LEFT(D444,2)&lt;&gt;"09"))),"REVIEW","READY"))</x:f>
      </x:c>
      <x:c r="M444" s="254" t="str">
        <x:f>IF(L444="READY","",IF(A444="","",TRIM(IF(COUNTIF('الزبائن'!$A$6:$A$505,A444)=0,"customer key not found; ","")&amp;IF(C444="","missing contact_type; ","")&amp;IF(D444="","missing number; ","")&amp;IF(I444="","missing status; ","")&amp;IF(AND(C444="mobile",I444&lt;&gt;"invalid",OR(LEN(D444)&lt;&gt;10,LEFT(D444,2)&lt;&gt;"09")),"mobile must be 09XXXXXXXX or status invalid; ",""))))</x:f>
      </x:c>
    </x:row>
    <x:row r="445">
      <x:c r="A445" s="251"/>
      <x:c r="B445" s="252"/>
      <x:c r="C445" s="252"/>
      <x:c r="D445" s="253"/>
      <x:c r="E445" s="253"/>
      <x:c r="F445" s="252"/>
      <x:c r="G445" s="252"/>
      <x:c r="H445" s="252"/>
      <x:c r="I445" s="252"/>
      <x:c r="J445" s="252"/>
      <x:c r="K445" s="252"/>
      <x:c r="L445" s="252" t="str">
        <x:f>IF(A445="","",IF(OR(C445="",D445="",I445="",COUNTIF('الزبائن'!$A$6:$A$505,A445)=0,AND(C445="mobile",I445&lt;&gt;"invalid",OR(LEN(D445)&lt;&gt;10,LEFT(D445,2)&lt;&gt;"09"))),"REVIEW","READY"))</x:f>
      </x:c>
      <x:c r="M445" s="254" t="str">
        <x:f>IF(L445="READY","",IF(A445="","",TRIM(IF(COUNTIF('الزبائن'!$A$6:$A$505,A445)=0,"customer key not found; ","")&amp;IF(C445="","missing contact_type; ","")&amp;IF(D445="","missing number; ","")&amp;IF(I445="","missing status; ","")&amp;IF(AND(C445="mobile",I445&lt;&gt;"invalid",OR(LEN(D445)&lt;&gt;10,LEFT(D445,2)&lt;&gt;"09")),"mobile must be 09XXXXXXXX or status invalid; ",""))))</x:f>
      </x:c>
    </x:row>
    <x:row r="446">
      <x:c r="A446" s="251"/>
      <x:c r="B446" s="252"/>
      <x:c r="C446" s="252"/>
      <x:c r="D446" s="253"/>
      <x:c r="E446" s="253"/>
      <x:c r="F446" s="252"/>
      <x:c r="G446" s="252"/>
      <x:c r="H446" s="252"/>
      <x:c r="I446" s="252"/>
      <x:c r="J446" s="252"/>
      <x:c r="K446" s="252"/>
      <x:c r="L446" s="252" t="str">
        <x:f>IF(A446="","",IF(OR(C446="",D446="",I446="",COUNTIF('الزبائن'!$A$6:$A$505,A446)=0,AND(C446="mobile",I446&lt;&gt;"invalid",OR(LEN(D446)&lt;&gt;10,LEFT(D446,2)&lt;&gt;"09"))),"REVIEW","READY"))</x:f>
      </x:c>
      <x:c r="M446" s="254" t="str">
        <x:f>IF(L446="READY","",IF(A446="","",TRIM(IF(COUNTIF('الزبائن'!$A$6:$A$505,A446)=0,"customer key not found; ","")&amp;IF(C446="","missing contact_type; ","")&amp;IF(D446="","missing number; ","")&amp;IF(I446="","missing status; ","")&amp;IF(AND(C446="mobile",I446&lt;&gt;"invalid",OR(LEN(D446)&lt;&gt;10,LEFT(D446,2)&lt;&gt;"09")),"mobile must be 09XXXXXXXX or status invalid; ",""))))</x:f>
      </x:c>
    </x:row>
    <x:row r="447">
      <x:c r="A447" s="251"/>
      <x:c r="B447" s="252"/>
      <x:c r="C447" s="252"/>
      <x:c r="D447" s="253"/>
      <x:c r="E447" s="253"/>
      <x:c r="F447" s="252"/>
      <x:c r="G447" s="252"/>
      <x:c r="H447" s="252"/>
      <x:c r="I447" s="252"/>
      <x:c r="J447" s="252"/>
      <x:c r="K447" s="252"/>
      <x:c r="L447" s="252" t="str">
        <x:f>IF(A447="","",IF(OR(C447="",D447="",I447="",COUNTIF('الزبائن'!$A$6:$A$505,A447)=0,AND(C447="mobile",I447&lt;&gt;"invalid",OR(LEN(D447)&lt;&gt;10,LEFT(D447,2)&lt;&gt;"09"))),"REVIEW","READY"))</x:f>
      </x:c>
      <x:c r="M447" s="254" t="str">
        <x:f>IF(L447="READY","",IF(A447="","",TRIM(IF(COUNTIF('الزبائن'!$A$6:$A$505,A447)=0,"customer key not found; ","")&amp;IF(C447="","missing contact_type; ","")&amp;IF(D447="","missing number; ","")&amp;IF(I447="","missing status; ","")&amp;IF(AND(C447="mobile",I447&lt;&gt;"invalid",OR(LEN(D447)&lt;&gt;10,LEFT(D447,2)&lt;&gt;"09")),"mobile must be 09XXXXXXXX or status invalid; ",""))))</x:f>
      </x:c>
    </x:row>
    <x:row r="448">
      <x:c r="A448" s="251"/>
      <x:c r="B448" s="252"/>
      <x:c r="C448" s="252"/>
      <x:c r="D448" s="253"/>
      <x:c r="E448" s="253"/>
      <x:c r="F448" s="252"/>
      <x:c r="G448" s="252"/>
      <x:c r="H448" s="252"/>
      <x:c r="I448" s="252"/>
      <x:c r="J448" s="252"/>
      <x:c r="K448" s="252"/>
      <x:c r="L448" s="252" t="str">
        <x:f>IF(A448="","",IF(OR(C448="",D448="",I448="",COUNTIF('الزبائن'!$A$6:$A$505,A448)=0,AND(C448="mobile",I448&lt;&gt;"invalid",OR(LEN(D448)&lt;&gt;10,LEFT(D448,2)&lt;&gt;"09"))),"REVIEW","READY"))</x:f>
      </x:c>
      <x:c r="M448" s="254" t="str">
        <x:f>IF(L448="READY","",IF(A448="","",TRIM(IF(COUNTIF('الزبائن'!$A$6:$A$505,A448)=0,"customer key not found; ","")&amp;IF(C448="","missing contact_type; ","")&amp;IF(D448="","missing number; ","")&amp;IF(I448="","missing status; ","")&amp;IF(AND(C448="mobile",I448&lt;&gt;"invalid",OR(LEN(D448)&lt;&gt;10,LEFT(D448,2)&lt;&gt;"09")),"mobile must be 09XXXXXXXX or status invalid; ",""))))</x:f>
      </x:c>
    </x:row>
    <x:row r="449">
      <x:c r="A449" s="251"/>
      <x:c r="B449" s="252"/>
      <x:c r="C449" s="252"/>
      <x:c r="D449" s="253"/>
      <x:c r="E449" s="253"/>
      <x:c r="F449" s="252"/>
      <x:c r="G449" s="252"/>
      <x:c r="H449" s="252"/>
      <x:c r="I449" s="252"/>
      <x:c r="J449" s="252"/>
      <x:c r="K449" s="252"/>
      <x:c r="L449" s="252" t="str">
        <x:f>IF(A449="","",IF(OR(C449="",D449="",I449="",COUNTIF('الزبائن'!$A$6:$A$505,A449)=0,AND(C449="mobile",I449&lt;&gt;"invalid",OR(LEN(D449)&lt;&gt;10,LEFT(D449,2)&lt;&gt;"09"))),"REVIEW","READY"))</x:f>
      </x:c>
      <x:c r="M449" s="254" t="str">
        <x:f>IF(L449="READY","",IF(A449="","",TRIM(IF(COUNTIF('الزبائن'!$A$6:$A$505,A449)=0,"customer key not found; ","")&amp;IF(C449="","missing contact_type; ","")&amp;IF(D449="","missing number; ","")&amp;IF(I449="","missing status; ","")&amp;IF(AND(C449="mobile",I449&lt;&gt;"invalid",OR(LEN(D449)&lt;&gt;10,LEFT(D449,2)&lt;&gt;"09")),"mobile must be 09XXXXXXXX or status invalid; ",""))))</x:f>
      </x:c>
    </x:row>
    <x:row r="450">
      <x:c r="A450" s="251"/>
      <x:c r="B450" s="252"/>
      <x:c r="C450" s="252"/>
      <x:c r="D450" s="253"/>
      <x:c r="E450" s="253"/>
      <x:c r="F450" s="252"/>
      <x:c r="G450" s="252"/>
      <x:c r="H450" s="252"/>
      <x:c r="I450" s="252"/>
      <x:c r="J450" s="252"/>
      <x:c r="K450" s="252"/>
      <x:c r="L450" s="252" t="str">
        <x:f>IF(A450="","",IF(OR(C450="",D450="",I450="",COUNTIF('الزبائن'!$A$6:$A$505,A450)=0,AND(C450="mobile",I450&lt;&gt;"invalid",OR(LEN(D450)&lt;&gt;10,LEFT(D450,2)&lt;&gt;"09"))),"REVIEW","READY"))</x:f>
      </x:c>
      <x:c r="M450" s="254" t="str">
        <x:f>IF(L450="READY","",IF(A450="","",TRIM(IF(COUNTIF('الزبائن'!$A$6:$A$505,A450)=0,"customer key not found; ","")&amp;IF(C450="","missing contact_type; ","")&amp;IF(D450="","missing number; ","")&amp;IF(I450="","missing status; ","")&amp;IF(AND(C450="mobile",I450&lt;&gt;"invalid",OR(LEN(D450)&lt;&gt;10,LEFT(D450,2)&lt;&gt;"09")),"mobile must be 09XXXXXXXX or status invalid; ",""))))</x:f>
      </x:c>
    </x:row>
    <x:row r="451">
      <x:c r="A451" s="251"/>
      <x:c r="B451" s="252"/>
      <x:c r="C451" s="252"/>
      <x:c r="D451" s="253"/>
      <x:c r="E451" s="253"/>
      <x:c r="F451" s="252"/>
      <x:c r="G451" s="252"/>
      <x:c r="H451" s="252"/>
      <x:c r="I451" s="252"/>
      <x:c r="J451" s="252"/>
      <x:c r="K451" s="252"/>
      <x:c r="L451" s="252" t="str">
        <x:f>IF(A451="","",IF(OR(C451="",D451="",I451="",COUNTIF('الزبائن'!$A$6:$A$505,A451)=0,AND(C451="mobile",I451&lt;&gt;"invalid",OR(LEN(D451)&lt;&gt;10,LEFT(D451,2)&lt;&gt;"09"))),"REVIEW","READY"))</x:f>
      </x:c>
      <x:c r="M451" s="254" t="str">
        <x:f>IF(L451="READY","",IF(A451="","",TRIM(IF(COUNTIF('الزبائن'!$A$6:$A$505,A451)=0,"customer key not found; ","")&amp;IF(C451="","missing contact_type; ","")&amp;IF(D451="","missing number; ","")&amp;IF(I451="","missing status; ","")&amp;IF(AND(C451="mobile",I451&lt;&gt;"invalid",OR(LEN(D451)&lt;&gt;10,LEFT(D451,2)&lt;&gt;"09")),"mobile must be 09XXXXXXXX or status invalid; ",""))))</x:f>
      </x:c>
    </x:row>
    <x:row r="452">
      <x:c r="A452" s="251"/>
      <x:c r="B452" s="252"/>
      <x:c r="C452" s="252"/>
      <x:c r="D452" s="253"/>
      <x:c r="E452" s="253"/>
      <x:c r="F452" s="252"/>
      <x:c r="G452" s="252"/>
      <x:c r="H452" s="252"/>
      <x:c r="I452" s="252"/>
      <x:c r="J452" s="252"/>
      <x:c r="K452" s="252"/>
      <x:c r="L452" s="252" t="str">
        <x:f>IF(A452="","",IF(OR(C452="",D452="",I452="",COUNTIF('الزبائن'!$A$6:$A$505,A452)=0,AND(C452="mobile",I452&lt;&gt;"invalid",OR(LEN(D452)&lt;&gt;10,LEFT(D452,2)&lt;&gt;"09"))),"REVIEW","READY"))</x:f>
      </x:c>
      <x:c r="M452" s="254" t="str">
        <x:f>IF(L452="READY","",IF(A452="","",TRIM(IF(COUNTIF('الزبائن'!$A$6:$A$505,A452)=0,"customer key not found; ","")&amp;IF(C452="","missing contact_type; ","")&amp;IF(D452="","missing number; ","")&amp;IF(I452="","missing status; ","")&amp;IF(AND(C452="mobile",I452&lt;&gt;"invalid",OR(LEN(D452)&lt;&gt;10,LEFT(D452,2)&lt;&gt;"09")),"mobile must be 09XXXXXXXX or status invalid; ",""))))</x:f>
      </x:c>
    </x:row>
    <x:row r="453">
      <x:c r="A453" s="251"/>
      <x:c r="B453" s="252"/>
      <x:c r="C453" s="252"/>
      <x:c r="D453" s="253"/>
      <x:c r="E453" s="253"/>
      <x:c r="F453" s="252"/>
      <x:c r="G453" s="252"/>
      <x:c r="H453" s="252"/>
      <x:c r="I453" s="252"/>
      <x:c r="J453" s="252"/>
      <x:c r="K453" s="252"/>
      <x:c r="L453" s="252" t="str">
        <x:f>IF(A453="","",IF(OR(C453="",D453="",I453="",COUNTIF('الزبائن'!$A$6:$A$505,A453)=0,AND(C453="mobile",I453&lt;&gt;"invalid",OR(LEN(D453)&lt;&gt;10,LEFT(D453,2)&lt;&gt;"09"))),"REVIEW","READY"))</x:f>
      </x:c>
      <x:c r="M453" s="254" t="str">
        <x:f>IF(L453="READY","",IF(A453="","",TRIM(IF(COUNTIF('الزبائن'!$A$6:$A$505,A453)=0,"customer key not found; ","")&amp;IF(C453="","missing contact_type; ","")&amp;IF(D453="","missing number; ","")&amp;IF(I453="","missing status; ","")&amp;IF(AND(C453="mobile",I453&lt;&gt;"invalid",OR(LEN(D453)&lt;&gt;10,LEFT(D453,2)&lt;&gt;"09")),"mobile must be 09XXXXXXXX or status invalid; ",""))))</x:f>
      </x:c>
    </x:row>
    <x:row r="454">
      <x:c r="A454" s="251"/>
      <x:c r="B454" s="252"/>
      <x:c r="C454" s="252"/>
      <x:c r="D454" s="253"/>
      <x:c r="E454" s="253"/>
      <x:c r="F454" s="252"/>
      <x:c r="G454" s="252"/>
      <x:c r="H454" s="252"/>
      <x:c r="I454" s="252"/>
      <x:c r="J454" s="252"/>
      <x:c r="K454" s="252"/>
      <x:c r="L454" s="252" t="str">
        <x:f>IF(A454="","",IF(OR(C454="",D454="",I454="",COUNTIF('الزبائن'!$A$6:$A$505,A454)=0,AND(C454="mobile",I454&lt;&gt;"invalid",OR(LEN(D454)&lt;&gt;10,LEFT(D454,2)&lt;&gt;"09"))),"REVIEW","READY"))</x:f>
      </x:c>
      <x:c r="M454" s="254" t="str">
        <x:f>IF(L454="READY","",IF(A454="","",TRIM(IF(COUNTIF('الزبائن'!$A$6:$A$505,A454)=0,"customer key not found; ","")&amp;IF(C454="","missing contact_type; ","")&amp;IF(D454="","missing number; ","")&amp;IF(I454="","missing status; ","")&amp;IF(AND(C454="mobile",I454&lt;&gt;"invalid",OR(LEN(D454)&lt;&gt;10,LEFT(D454,2)&lt;&gt;"09")),"mobile must be 09XXXXXXXX or status invalid; ",""))))</x:f>
      </x:c>
    </x:row>
    <x:row r="455">
      <x:c r="A455" s="251"/>
      <x:c r="B455" s="252"/>
      <x:c r="C455" s="252"/>
      <x:c r="D455" s="253"/>
      <x:c r="E455" s="253"/>
      <x:c r="F455" s="252"/>
      <x:c r="G455" s="252"/>
      <x:c r="H455" s="252"/>
      <x:c r="I455" s="252"/>
      <x:c r="J455" s="252"/>
      <x:c r="K455" s="252"/>
      <x:c r="L455" s="252" t="str">
        <x:f>IF(A455="","",IF(OR(C455="",D455="",I455="",COUNTIF('الزبائن'!$A$6:$A$505,A455)=0,AND(C455="mobile",I455&lt;&gt;"invalid",OR(LEN(D455)&lt;&gt;10,LEFT(D455,2)&lt;&gt;"09"))),"REVIEW","READY"))</x:f>
      </x:c>
      <x:c r="M455" s="254" t="str">
        <x:f>IF(L455="READY","",IF(A455="","",TRIM(IF(COUNTIF('الزبائن'!$A$6:$A$505,A455)=0,"customer key not found; ","")&amp;IF(C455="","missing contact_type; ","")&amp;IF(D455="","missing number; ","")&amp;IF(I455="","missing status; ","")&amp;IF(AND(C455="mobile",I455&lt;&gt;"invalid",OR(LEN(D455)&lt;&gt;10,LEFT(D455,2)&lt;&gt;"09")),"mobile must be 09XXXXXXXX or status invalid; ",""))))</x:f>
      </x:c>
    </x:row>
    <x:row r="456">
      <x:c r="A456" s="251"/>
      <x:c r="B456" s="252"/>
      <x:c r="C456" s="252"/>
      <x:c r="D456" s="253"/>
      <x:c r="E456" s="253"/>
      <x:c r="F456" s="252"/>
      <x:c r="G456" s="252"/>
      <x:c r="H456" s="252"/>
      <x:c r="I456" s="252"/>
      <x:c r="J456" s="252"/>
      <x:c r="K456" s="252"/>
      <x:c r="L456" s="252" t="str">
        <x:f>IF(A456="","",IF(OR(C456="",D456="",I456="",COUNTIF('الزبائن'!$A$6:$A$505,A456)=0,AND(C456="mobile",I456&lt;&gt;"invalid",OR(LEN(D456)&lt;&gt;10,LEFT(D456,2)&lt;&gt;"09"))),"REVIEW","READY"))</x:f>
      </x:c>
      <x:c r="M456" s="254" t="str">
        <x:f>IF(L456="READY","",IF(A456="","",TRIM(IF(COUNTIF('الزبائن'!$A$6:$A$505,A456)=0,"customer key not found; ","")&amp;IF(C456="","missing contact_type; ","")&amp;IF(D456="","missing number; ","")&amp;IF(I456="","missing status; ","")&amp;IF(AND(C456="mobile",I456&lt;&gt;"invalid",OR(LEN(D456)&lt;&gt;10,LEFT(D456,2)&lt;&gt;"09")),"mobile must be 09XXXXXXXX or status invalid; ",""))))</x:f>
      </x:c>
    </x:row>
    <x:row r="457">
      <x:c r="A457" s="251"/>
      <x:c r="B457" s="252"/>
      <x:c r="C457" s="252"/>
      <x:c r="D457" s="253"/>
      <x:c r="E457" s="253"/>
      <x:c r="F457" s="252"/>
      <x:c r="G457" s="252"/>
      <x:c r="H457" s="252"/>
      <x:c r="I457" s="252"/>
      <x:c r="J457" s="252"/>
      <x:c r="K457" s="252"/>
      <x:c r="L457" s="252" t="str">
        <x:f>IF(A457="","",IF(OR(C457="",D457="",I457="",COUNTIF('الزبائن'!$A$6:$A$505,A457)=0,AND(C457="mobile",I457&lt;&gt;"invalid",OR(LEN(D457)&lt;&gt;10,LEFT(D457,2)&lt;&gt;"09"))),"REVIEW","READY"))</x:f>
      </x:c>
      <x:c r="M457" s="254" t="str">
        <x:f>IF(L457="READY","",IF(A457="","",TRIM(IF(COUNTIF('الزبائن'!$A$6:$A$505,A457)=0,"customer key not found; ","")&amp;IF(C457="","missing contact_type; ","")&amp;IF(D457="","missing number; ","")&amp;IF(I457="","missing status; ","")&amp;IF(AND(C457="mobile",I457&lt;&gt;"invalid",OR(LEN(D457)&lt;&gt;10,LEFT(D457,2)&lt;&gt;"09")),"mobile must be 09XXXXXXXX or status invalid; ",""))))</x:f>
      </x:c>
    </x:row>
    <x:row r="458">
      <x:c r="A458" s="251"/>
      <x:c r="B458" s="252"/>
      <x:c r="C458" s="252"/>
      <x:c r="D458" s="253"/>
      <x:c r="E458" s="253"/>
      <x:c r="F458" s="252"/>
      <x:c r="G458" s="252"/>
      <x:c r="H458" s="252"/>
      <x:c r="I458" s="252"/>
      <x:c r="J458" s="252"/>
      <x:c r="K458" s="252"/>
      <x:c r="L458" s="252" t="str">
        <x:f>IF(A458="","",IF(OR(C458="",D458="",I458="",COUNTIF('الزبائن'!$A$6:$A$505,A458)=0,AND(C458="mobile",I458&lt;&gt;"invalid",OR(LEN(D458)&lt;&gt;10,LEFT(D458,2)&lt;&gt;"09"))),"REVIEW","READY"))</x:f>
      </x:c>
      <x:c r="M458" s="254" t="str">
        <x:f>IF(L458="READY","",IF(A458="","",TRIM(IF(COUNTIF('الزبائن'!$A$6:$A$505,A458)=0,"customer key not found; ","")&amp;IF(C458="","missing contact_type; ","")&amp;IF(D458="","missing number; ","")&amp;IF(I458="","missing status; ","")&amp;IF(AND(C458="mobile",I458&lt;&gt;"invalid",OR(LEN(D458)&lt;&gt;10,LEFT(D458,2)&lt;&gt;"09")),"mobile must be 09XXXXXXXX or status invalid; ",""))))</x:f>
      </x:c>
    </x:row>
    <x:row r="459">
      <x:c r="A459" s="251"/>
      <x:c r="B459" s="252"/>
      <x:c r="C459" s="252"/>
      <x:c r="D459" s="253"/>
      <x:c r="E459" s="253"/>
      <x:c r="F459" s="252"/>
      <x:c r="G459" s="252"/>
      <x:c r="H459" s="252"/>
      <x:c r="I459" s="252"/>
      <x:c r="J459" s="252"/>
      <x:c r="K459" s="252"/>
      <x:c r="L459" s="252" t="str">
        <x:f>IF(A459="","",IF(OR(C459="",D459="",I459="",COUNTIF('الزبائن'!$A$6:$A$505,A459)=0,AND(C459="mobile",I459&lt;&gt;"invalid",OR(LEN(D459)&lt;&gt;10,LEFT(D459,2)&lt;&gt;"09"))),"REVIEW","READY"))</x:f>
      </x:c>
      <x:c r="M459" s="254" t="str">
        <x:f>IF(L459="READY","",IF(A459="","",TRIM(IF(COUNTIF('الزبائن'!$A$6:$A$505,A459)=0,"customer key not found; ","")&amp;IF(C459="","missing contact_type; ","")&amp;IF(D459="","missing number; ","")&amp;IF(I459="","missing status; ","")&amp;IF(AND(C459="mobile",I459&lt;&gt;"invalid",OR(LEN(D459)&lt;&gt;10,LEFT(D459,2)&lt;&gt;"09")),"mobile must be 09XXXXXXXX or status invalid; ",""))))</x:f>
      </x:c>
    </x:row>
    <x:row r="460">
      <x:c r="A460" s="251"/>
      <x:c r="B460" s="252"/>
      <x:c r="C460" s="252"/>
      <x:c r="D460" s="253"/>
      <x:c r="E460" s="253"/>
      <x:c r="F460" s="252"/>
      <x:c r="G460" s="252"/>
      <x:c r="H460" s="252"/>
      <x:c r="I460" s="252"/>
      <x:c r="J460" s="252"/>
      <x:c r="K460" s="252"/>
      <x:c r="L460" s="252" t="str">
        <x:f>IF(A460="","",IF(OR(C460="",D460="",I460="",COUNTIF('الزبائن'!$A$6:$A$505,A460)=0,AND(C460="mobile",I460&lt;&gt;"invalid",OR(LEN(D460)&lt;&gt;10,LEFT(D460,2)&lt;&gt;"09"))),"REVIEW","READY"))</x:f>
      </x:c>
      <x:c r="M460" s="254" t="str">
        <x:f>IF(L460="READY","",IF(A460="","",TRIM(IF(COUNTIF('الزبائن'!$A$6:$A$505,A460)=0,"customer key not found; ","")&amp;IF(C460="","missing contact_type; ","")&amp;IF(D460="","missing number; ","")&amp;IF(I460="","missing status; ","")&amp;IF(AND(C460="mobile",I460&lt;&gt;"invalid",OR(LEN(D460)&lt;&gt;10,LEFT(D460,2)&lt;&gt;"09")),"mobile must be 09XXXXXXXX or status invalid; ",""))))</x:f>
      </x:c>
    </x:row>
    <x:row r="461">
      <x:c r="A461" s="251"/>
      <x:c r="B461" s="252"/>
      <x:c r="C461" s="252"/>
      <x:c r="D461" s="253"/>
      <x:c r="E461" s="253"/>
      <x:c r="F461" s="252"/>
      <x:c r="G461" s="252"/>
      <x:c r="H461" s="252"/>
      <x:c r="I461" s="252"/>
      <x:c r="J461" s="252"/>
      <x:c r="K461" s="252"/>
      <x:c r="L461" s="252" t="str">
        <x:f>IF(A461="","",IF(OR(C461="",D461="",I461="",COUNTIF('الزبائن'!$A$6:$A$505,A461)=0,AND(C461="mobile",I461&lt;&gt;"invalid",OR(LEN(D461)&lt;&gt;10,LEFT(D461,2)&lt;&gt;"09"))),"REVIEW","READY"))</x:f>
      </x:c>
      <x:c r="M461" s="254" t="str">
        <x:f>IF(L461="READY","",IF(A461="","",TRIM(IF(COUNTIF('الزبائن'!$A$6:$A$505,A461)=0,"customer key not found; ","")&amp;IF(C461="","missing contact_type; ","")&amp;IF(D461="","missing number; ","")&amp;IF(I461="","missing status; ","")&amp;IF(AND(C461="mobile",I461&lt;&gt;"invalid",OR(LEN(D461)&lt;&gt;10,LEFT(D461,2)&lt;&gt;"09")),"mobile must be 09XXXXXXXX or status invalid; ",""))))</x:f>
      </x:c>
    </x:row>
    <x:row r="462">
      <x:c r="A462" s="251"/>
      <x:c r="B462" s="252"/>
      <x:c r="C462" s="252"/>
      <x:c r="D462" s="253"/>
      <x:c r="E462" s="253"/>
      <x:c r="F462" s="252"/>
      <x:c r="G462" s="252"/>
      <x:c r="H462" s="252"/>
      <x:c r="I462" s="252"/>
      <x:c r="J462" s="252"/>
      <x:c r="K462" s="252"/>
      <x:c r="L462" s="252" t="str">
        <x:f>IF(A462="","",IF(OR(C462="",D462="",I462="",COUNTIF('الزبائن'!$A$6:$A$505,A462)=0,AND(C462="mobile",I462&lt;&gt;"invalid",OR(LEN(D462)&lt;&gt;10,LEFT(D462,2)&lt;&gt;"09"))),"REVIEW","READY"))</x:f>
      </x:c>
      <x:c r="M462" s="254" t="str">
        <x:f>IF(L462="READY","",IF(A462="","",TRIM(IF(COUNTIF('الزبائن'!$A$6:$A$505,A462)=0,"customer key not found; ","")&amp;IF(C462="","missing contact_type; ","")&amp;IF(D462="","missing number; ","")&amp;IF(I462="","missing status; ","")&amp;IF(AND(C462="mobile",I462&lt;&gt;"invalid",OR(LEN(D462)&lt;&gt;10,LEFT(D462,2)&lt;&gt;"09")),"mobile must be 09XXXXXXXX or status invalid; ",""))))</x:f>
      </x:c>
    </x:row>
    <x:row r="463">
      <x:c r="A463" s="251"/>
      <x:c r="B463" s="252"/>
      <x:c r="C463" s="252"/>
      <x:c r="D463" s="253"/>
      <x:c r="E463" s="253"/>
      <x:c r="F463" s="252"/>
      <x:c r="G463" s="252"/>
      <x:c r="H463" s="252"/>
      <x:c r="I463" s="252"/>
      <x:c r="J463" s="252"/>
      <x:c r="K463" s="252"/>
      <x:c r="L463" s="252" t="str">
        <x:f>IF(A463="","",IF(OR(C463="",D463="",I463="",COUNTIF('الزبائن'!$A$6:$A$505,A463)=0,AND(C463="mobile",I463&lt;&gt;"invalid",OR(LEN(D463)&lt;&gt;10,LEFT(D463,2)&lt;&gt;"09"))),"REVIEW","READY"))</x:f>
      </x:c>
      <x:c r="M463" s="254" t="str">
        <x:f>IF(L463="READY","",IF(A463="","",TRIM(IF(COUNTIF('الزبائن'!$A$6:$A$505,A463)=0,"customer key not found; ","")&amp;IF(C463="","missing contact_type; ","")&amp;IF(D463="","missing number; ","")&amp;IF(I463="","missing status; ","")&amp;IF(AND(C463="mobile",I463&lt;&gt;"invalid",OR(LEN(D463)&lt;&gt;10,LEFT(D463,2)&lt;&gt;"09")),"mobile must be 09XXXXXXXX or status invalid; ",""))))</x:f>
      </x:c>
    </x:row>
    <x:row r="464">
      <x:c r="A464" s="251"/>
      <x:c r="B464" s="252"/>
      <x:c r="C464" s="252"/>
      <x:c r="D464" s="253"/>
      <x:c r="E464" s="253"/>
      <x:c r="F464" s="252"/>
      <x:c r="G464" s="252"/>
      <x:c r="H464" s="252"/>
      <x:c r="I464" s="252"/>
      <x:c r="J464" s="252"/>
      <x:c r="K464" s="252"/>
      <x:c r="L464" s="252" t="str">
        <x:f>IF(A464="","",IF(OR(C464="",D464="",I464="",COUNTIF('الزبائن'!$A$6:$A$505,A464)=0,AND(C464="mobile",I464&lt;&gt;"invalid",OR(LEN(D464)&lt;&gt;10,LEFT(D464,2)&lt;&gt;"09"))),"REVIEW","READY"))</x:f>
      </x:c>
      <x:c r="M464" s="254" t="str">
        <x:f>IF(L464="READY","",IF(A464="","",TRIM(IF(COUNTIF('الزبائن'!$A$6:$A$505,A464)=0,"customer key not found; ","")&amp;IF(C464="","missing contact_type; ","")&amp;IF(D464="","missing number; ","")&amp;IF(I464="","missing status; ","")&amp;IF(AND(C464="mobile",I464&lt;&gt;"invalid",OR(LEN(D464)&lt;&gt;10,LEFT(D464,2)&lt;&gt;"09")),"mobile must be 09XXXXXXXX or status invalid; ",""))))</x:f>
      </x:c>
    </x:row>
    <x:row r="465">
      <x:c r="A465" s="251"/>
      <x:c r="B465" s="252"/>
      <x:c r="C465" s="252"/>
      <x:c r="D465" s="253"/>
      <x:c r="E465" s="253"/>
      <x:c r="F465" s="252"/>
      <x:c r="G465" s="252"/>
      <x:c r="H465" s="252"/>
      <x:c r="I465" s="252"/>
      <x:c r="J465" s="252"/>
      <x:c r="K465" s="252"/>
      <x:c r="L465" s="252" t="str">
        <x:f>IF(A465="","",IF(OR(C465="",D465="",I465="",COUNTIF('الزبائن'!$A$6:$A$505,A465)=0,AND(C465="mobile",I465&lt;&gt;"invalid",OR(LEN(D465)&lt;&gt;10,LEFT(D465,2)&lt;&gt;"09"))),"REVIEW","READY"))</x:f>
      </x:c>
      <x:c r="M465" s="254" t="str">
        <x:f>IF(L465="READY","",IF(A465="","",TRIM(IF(COUNTIF('الزبائن'!$A$6:$A$505,A465)=0,"customer key not found; ","")&amp;IF(C465="","missing contact_type; ","")&amp;IF(D465="","missing number; ","")&amp;IF(I465="","missing status; ","")&amp;IF(AND(C465="mobile",I465&lt;&gt;"invalid",OR(LEN(D465)&lt;&gt;10,LEFT(D465,2)&lt;&gt;"09")),"mobile must be 09XXXXXXXX or status invalid; ",""))))</x:f>
      </x:c>
    </x:row>
    <x:row r="466">
      <x:c r="A466" s="251"/>
      <x:c r="B466" s="252"/>
      <x:c r="C466" s="252"/>
      <x:c r="D466" s="253"/>
      <x:c r="E466" s="253"/>
      <x:c r="F466" s="252"/>
      <x:c r="G466" s="252"/>
      <x:c r="H466" s="252"/>
      <x:c r="I466" s="252"/>
      <x:c r="J466" s="252"/>
      <x:c r="K466" s="252"/>
      <x:c r="L466" s="252" t="str">
        <x:f>IF(A466="","",IF(OR(C466="",D466="",I466="",COUNTIF('الزبائن'!$A$6:$A$505,A466)=0,AND(C466="mobile",I466&lt;&gt;"invalid",OR(LEN(D466)&lt;&gt;10,LEFT(D466,2)&lt;&gt;"09"))),"REVIEW","READY"))</x:f>
      </x:c>
      <x:c r="M466" s="254" t="str">
        <x:f>IF(L466="READY","",IF(A466="","",TRIM(IF(COUNTIF('الزبائن'!$A$6:$A$505,A466)=0,"customer key not found; ","")&amp;IF(C466="","missing contact_type; ","")&amp;IF(D466="","missing number; ","")&amp;IF(I466="","missing status; ","")&amp;IF(AND(C466="mobile",I466&lt;&gt;"invalid",OR(LEN(D466)&lt;&gt;10,LEFT(D466,2)&lt;&gt;"09")),"mobile must be 09XXXXXXXX or status invalid; ",""))))</x:f>
      </x:c>
    </x:row>
    <x:row r="467">
      <x:c r="A467" s="251"/>
      <x:c r="B467" s="252"/>
      <x:c r="C467" s="252"/>
      <x:c r="D467" s="253"/>
      <x:c r="E467" s="253"/>
      <x:c r="F467" s="252"/>
      <x:c r="G467" s="252"/>
      <x:c r="H467" s="252"/>
      <x:c r="I467" s="252"/>
      <x:c r="J467" s="252"/>
      <x:c r="K467" s="252"/>
      <x:c r="L467" s="252" t="str">
        <x:f>IF(A467="","",IF(OR(C467="",D467="",I467="",COUNTIF('الزبائن'!$A$6:$A$505,A467)=0,AND(C467="mobile",I467&lt;&gt;"invalid",OR(LEN(D467)&lt;&gt;10,LEFT(D467,2)&lt;&gt;"09"))),"REVIEW","READY"))</x:f>
      </x:c>
      <x:c r="M467" s="254" t="str">
        <x:f>IF(L467="READY","",IF(A467="","",TRIM(IF(COUNTIF('الزبائن'!$A$6:$A$505,A467)=0,"customer key not found; ","")&amp;IF(C467="","missing contact_type; ","")&amp;IF(D467="","missing number; ","")&amp;IF(I467="","missing status; ","")&amp;IF(AND(C467="mobile",I467&lt;&gt;"invalid",OR(LEN(D467)&lt;&gt;10,LEFT(D467,2)&lt;&gt;"09")),"mobile must be 09XXXXXXXX or status invalid; ",""))))</x:f>
      </x:c>
    </x:row>
    <x:row r="468">
      <x:c r="A468" s="251"/>
      <x:c r="B468" s="252"/>
      <x:c r="C468" s="252"/>
      <x:c r="D468" s="253"/>
      <x:c r="E468" s="253"/>
      <x:c r="F468" s="252"/>
      <x:c r="G468" s="252"/>
      <x:c r="H468" s="252"/>
      <x:c r="I468" s="252"/>
      <x:c r="J468" s="252"/>
      <x:c r="K468" s="252"/>
      <x:c r="L468" s="252" t="str">
        <x:f>IF(A468="","",IF(OR(C468="",D468="",I468="",COUNTIF('الزبائن'!$A$6:$A$505,A468)=0,AND(C468="mobile",I468&lt;&gt;"invalid",OR(LEN(D468)&lt;&gt;10,LEFT(D468,2)&lt;&gt;"09"))),"REVIEW","READY"))</x:f>
      </x:c>
      <x:c r="M468" s="254" t="str">
        <x:f>IF(L468="READY","",IF(A468="","",TRIM(IF(COUNTIF('الزبائن'!$A$6:$A$505,A468)=0,"customer key not found; ","")&amp;IF(C468="","missing contact_type; ","")&amp;IF(D468="","missing number; ","")&amp;IF(I468="","missing status; ","")&amp;IF(AND(C468="mobile",I468&lt;&gt;"invalid",OR(LEN(D468)&lt;&gt;10,LEFT(D468,2)&lt;&gt;"09")),"mobile must be 09XXXXXXXX or status invalid; ",""))))</x:f>
      </x:c>
    </x:row>
    <x:row r="469">
      <x:c r="A469" s="251"/>
      <x:c r="B469" s="252"/>
      <x:c r="C469" s="252"/>
      <x:c r="D469" s="253"/>
      <x:c r="E469" s="253"/>
      <x:c r="F469" s="252"/>
      <x:c r="G469" s="252"/>
      <x:c r="H469" s="252"/>
      <x:c r="I469" s="252"/>
      <x:c r="J469" s="252"/>
      <x:c r="K469" s="252"/>
      <x:c r="L469" s="252" t="str">
        <x:f>IF(A469="","",IF(OR(C469="",D469="",I469="",COUNTIF('الزبائن'!$A$6:$A$505,A469)=0,AND(C469="mobile",I469&lt;&gt;"invalid",OR(LEN(D469)&lt;&gt;10,LEFT(D469,2)&lt;&gt;"09"))),"REVIEW","READY"))</x:f>
      </x:c>
      <x:c r="M469" s="254" t="str">
        <x:f>IF(L469="READY","",IF(A469="","",TRIM(IF(COUNTIF('الزبائن'!$A$6:$A$505,A469)=0,"customer key not found; ","")&amp;IF(C469="","missing contact_type; ","")&amp;IF(D469="","missing number; ","")&amp;IF(I469="","missing status; ","")&amp;IF(AND(C469="mobile",I469&lt;&gt;"invalid",OR(LEN(D469)&lt;&gt;10,LEFT(D469,2)&lt;&gt;"09")),"mobile must be 09XXXXXXXX or status invalid; ",""))))</x:f>
      </x:c>
    </x:row>
    <x:row r="470">
      <x:c r="A470" s="251"/>
      <x:c r="B470" s="252"/>
      <x:c r="C470" s="252"/>
      <x:c r="D470" s="253"/>
      <x:c r="E470" s="253"/>
      <x:c r="F470" s="252"/>
      <x:c r="G470" s="252"/>
      <x:c r="H470" s="252"/>
      <x:c r="I470" s="252"/>
      <x:c r="J470" s="252"/>
      <x:c r="K470" s="252"/>
      <x:c r="L470" s="252" t="str">
        <x:f>IF(A470="","",IF(OR(C470="",D470="",I470="",COUNTIF('الزبائن'!$A$6:$A$505,A470)=0,AND(C470="mobile",I470&lt;&gt;"invalid",OR(LEN(D470)&lt;&gt;10,LEFT(D470,2)&lt;&gt;"09"))),"REVIEW","READY"))</x:f>
      </x:c>
      <x:c r="M470" s="254" t="str">
        <x:f>IF(L470="READY","",IF(A470="","",TRIM(IF(COUNTIF('الزبائن'!$A$6:$A$505,A470)=0,"customer key not found; ","")&amp;IF(C470="","missing contact_type; ","")&amp;IF(D470="","missing number; ","")&amp;IF(I470="","missing status; ","")&amp;IF(AND(C470="mobile",I470&lt;&gt;"invalid",OR(LEN(D470)&lt;&gt;10,LEFT(D470,2)&lt;&gt;"09")),"mobile must be 09XXXXXXXX or status invalid; ",""))))</x:f>
      </x:c>
    </x:row>
    <x:row r="471">
      <x:c r="A471" s="251"/>
      <x:c r="B471" s="252"/>
      <x:c r="C471" s="252"/>
      <x:c r="D471" s="253"/>
      <x:c r="E471" s="253"/>
      <x:c r="F471" s="252"/>
      <x:c r="G471" s="252"/>
      <x:c r="H471" s="252"/>
      <x:c r="I471" s="252"/>
      <x:c r="J471" s="252"/>
      <x:c r="K471" s="252"/>
      <x:c r="L471" s="252" t="str">
        <x:f>IF(A471="","",IF(OR(C471="",D471="",I471="",COUNTIF('الزبائن'!$A$6:$A$505,A471)=0,AND(C471="mobile",I471&lt;&gt;"invalid",OR(LEN(D471)&lt;&gt;10,LEFT(D471,2)&lt;&gt;"09"))),"REVIEW","READY"))</x:f>
      </x:c>
      <x:c r="M471" s="254" t="str">
        <x:f>IF(L471="READY","",IF(A471="","",TRIM(IF(COUNTIF('الزبائن'!$A$6:$A$505,A471)=0,"customer key not found; ","")&amp;IF(C471="","missing contact_type; ","")&amp;IF(D471="","missing number; ","")&amp;IF(I471="","missing status; ","")&amp;IF(AND(C471="mobile",I471&lt;&gt;"invalid",OR(LEN(D471)&lt;&gt;10,LEFT(D471,2)&lt;&gt;"09")),"mobile must be 09XXXXXXXX or status invalid; ",""))))</x:f>
      </x:c>
    </x:row>
    <x:row r="472">
      <x:c r="A472" s="251"/>
      <x:c r="B472" s="252"/>
      <x:c r="C472" s="252"/>
      <x:c r="D472" s="253"/>
      <x:c r="E472" s="253"/>
      <x:c r="F472" s="252"/>
      <x:c r="G472" s="252"/>
      <x:c r="H472" s="252"/>
      <x:c r="I472" s="252"/>
      <x:c r="J472" s="252"/>
      <x:c r="K472" s="252"/>
      <x:c r="L472" s="252" t="str">
        <x:f>IF(A472="","",IF(OR(C472="",D472="",I472="",COUNTIF('الزبائن'!$A$6:$A$505,A472)=0,AND(C472="mobile",I472&lt;&gt;"invalid",OR(LEN(D472)&lt;&gt;10,LEFT(D472,2)&lt;&gt;"09"))),"REVIEW","READY"))</x:f>
      </x:c>
      <x:c r="M472" s="254" t="str">
        <x:f>IF(L472="READY","",IF(A472="","",TRIM(IF(COUNTIF('الزبائن'!$A$6:$A$505,A472)=0,"customer key not found; ","")&amp;IF(C472="","missing contact_type; ","")&amp;IF(D472="","missing number; ","")&amp;IF(I472="","missing status; ","")&amp;IF(AND(C472="mobile",I472&lt;&gt;"invalid",OR(LEN(D472)&lt;&gt;10,LEFT(D472,2)&lt;&gt;"09")),"mobile must be 09XXXXXXXX or status invalid; ",""))))</x:f>
      </x:c>
    </x:row>
    <x:row r="473">
      <x:c r="A473" s="251"/>
      <x:c r="B473" s="252"/>
      <x:c r="C473" s="252"/>
      <x:c r="D473" s="253"/>
      <x:c r="E473" s="253"/>
      <x:c r="F473" s="252"/>
      <x:c r="G473" s="252"/>
      <x:c r="H473" s="252"/>
      <x:c r="I473" s="252"/>
      <x:c r="J473" s="252"/>
      <x:c r="K473" s="252"/>
      <x:c r="L473" s="252" t="str">
        <x:f>IF(A473="","",IF(OR(C473="",D473="",I473="",COUNTIF('الزبائن'!$A$6:$A$505,A473)=0,AND(C473="mobile",I473&lt;&gt;"invalid",OR(LEN(D473)&lt;&gt;10,LEFT(D473,2)&lt;&gt;"09"))),"REVIEW","READY"))</x:f>
      </x:c>
      <x:c r="M473" s="254" t="str">
        <x:f>IF(L473="READY","",IF(A473="","",TRIM(IF(COUNTIF('الزبائن'!$A$6:$A$505,A473)=0,"customer key not found; ","")&amp;IF(C473="","missing contact_type; ","")&amp;IF(D473="","missing number; ","")&amp;IF(I473="","missing status; ","")&amp;IF(AND(C473="mobile",I473&lt;&gt;"invalid",OR(LEN(D473)&lt;&gt;10,LEFT(D473,2)&lt;&gt;"09")),"mobile must be 09XXXXXXXX or status invalid; ",""))))</x:f>
      </x:c>
    </x:row>
    <x:row r="474">
      <x:c r="A474" s="251"/>
      <x:c r="B474" s="252"/>
      <x:c r="C474" s="252"/>
      <x:c r="D474" s="253"/>
      <x:c r="E474" s="253"/>
      <x:c r="F474" s="252"/>
      <x:c r="G474" s="252"/>
      <x:c r="H474" s="252"/>
      <x:c r="I474" s="252"/>
      <x:c r="J474" s="252"/>
      <x:c r="K474" s="252"/>
      <x:c r="L474" s="252" t="str">
        <x:f>IF(A474="","",IF(OR(C474="",D474="",I474="",COUNTIF('الزبائن'!$A$6:$A$505,A474)=0,AND(C474="mobile",I474&lt;&gt;"invalid",OR(LEN(D474)&lt;&gt;10,LEFT(D474,2)&lt;&gt;"09"))),"REVIEW","READY"))</x:f>
      </x:c>
      <x:c r="M474" s="254" t="str">
        <x:f>IF(L474="READY","",IF(A474="","",TRIM(IF(COUNTIF('الزبائن'!$A$6:$A$505,A474)=0,"customer key not found; ","")&amp;IF(C474="","missing contact_type; ","")&amp;IF(D474="","missing number; ","")&amp;IF(I474="","missing status; ","")&amp;IF(AND(C474="mobile",I474&lt;&gt;"invalid",OR(LEN(D474)&lt;&gt;10,LEFT(D474,2)&lt;&gt;"09")),"mobile must be 09XXXXXXXX or status invalid; ",""))))</x:f>
      </x:c>
    </x:row>
    <x:row r="475">
      <x:c r="A475" s="251"/>
      <x:c r="B475" s="252"/>
      <x:c r="C475" s="252"/>
      <x:c r="D475" s="253"/>
      <x:c r="E475" s="253"/>
      <x:c r="F475" s="252"/>
      <x:c r="G475" s="252"/>
      <x:c r="H475" s="252"/>
      <x:c r="I475" s="252"/>
      <x:c r="J475" s="252"/>
      <x:c r="K475" s="252"/>
      <x:c r="L475" s="252" t="str">
        <x:f>IF(A475="","",IF(OR(C475="",D475="",I475="",COUNTIF('الزبائن'!$A$6:$A$505,A475)=0,AND(C475="mobile",I475&lt;&gt;"invalid",OR(LEN(D475)&lt;&gt;10,LEFT(D475,2)&lt;&gt;"09"))),"REVIEW","READY"))</x:f>
      </x:c>
      <x:c r="M475" s="254" t="str">
        <x:f>IF(L475="READY","",IF(A475="","",TRIM(IF(COUNTIF('الزبائن'!$A$6:$A$505,A475)=0,"customer key not found; ","")&amp;IF(C475="","missing contact_type; ","")&amp;IF(D475="","missing number; ","")&amp;IF(I475="","missing status; ","")&amp;IF(AND(C475="mobile",I475&lt;&gt;"invalid",OR(LEN(D475)&lt;&gt;10,LEFT(D475,2)&lt;&gt;"09")),"mobile must be 09XXXXXXXX or status invalid; ",""))))</x:f>
      </x:c>
    </x:row>
    <x:row r="476">
      <x:c r="A476" s="251"/>
      <x:c r="B476" s="252"/>
      <x:c r="C476" s="252"/>
      <x:c r="D476" s="253"/>
      <x:c r="E476" s="253"/>
      <x:c r="F476" s="252"/>
      <x:c r="G476" s="252"/>
      <x:c r="H476" s="252"/>
      <x:c r="I476" s="252"/>
      <x:c r="J476" s="252"/>
      <x:c r="K476" s="252"/>
      <x:c r="L476" s="252" t="str">
        <x:f>IF(A476="","",IF(OR(C476="",D476="",I476="",COUNTIF('الزبائن'!$A$6:$A$505,A476)=0,AND(C476="mobile",I476&lt;&gt;"invalid",OR(LEN(D476)&lt;&gt;10,LEFT(D476,2)&lt;&gt;"09"))),"REVIEW","READY"))</x:f>
      </x:c>
      <x:c r="M476" s="254" t="str">
        <x:f>IF(L476="READY","",IF(A476="","",TRIM(IF(COUNTIF('الزبائن'!$A$6:$A$505,A476)=0,"customer key not found; ","")&amp;IF(C476="","missing contact_type; ","")&amp;IF(D476="","missing number; ","")&amp;IF(I476="","missing status; ","")&amp;IF(AND(C476="mobile",I476&lt;&gt;"invalid",OR(LEN(D476)&lt;&gt;10,LEFT(D476,2)&lt;&gt;"09")),"mobile must be 09XXXXXXXX or status invalid; ",""))))</x:f>
      </x:c>
    </x:row>
    <x:row r="477">
      <x:c r="A477" s="251"/>
      <x:c r="B477" s="252"/>
      <x:c r="C477" s="252"/>
      <x:c r="D477" s="253"/>
      <x:c r="E477" s="253"/>
      <x:c r="F477" s="252"/>
      <x:c r="G477" s="252"/>
      <x:c r="H477" s="252"/>
      <x:c r="I477" s="252"/>
      <x:c r="J477" s="252"/>
      <x:c r="K477" s="252"/>
      <x:c r="L477" s="252" t="str">
        <x:f>IF(A477="","",IF(OR(C477="",D477="",I477="",COUNTIF('الزبائن'!$A$6:$A$505,A477)=0,AND(C477="mobile",I477&lt;&gt;"invalid",OR(LEN(D477)&lt;&gt;10,LEFT(D477,2)&lt;&gt;"09"))),"REVIEW","READY"))</x:f>
      </x:c>
      <x:c r="M477" s="254" t="str">
        <x:f>IF(L477="READY","",IF(A477="","",TRIM(IF(COUNTIF('الزبائن'!$A$6:$A$505,A477)=0,"customer key not found; ","")&amp;IF(C477="","missing contact_type; ","")&amp;IF(D477="","missing number; ","")&amp;IF(I477="","missing status; ","")&amp;IF(AND(C477="mobile",I477&lt;&gt;"invalid",OR(LEN(D477)&lt;&gt;10,LEFT(D477,2)&lt;&gt;"09")),"mobile must be 09XXXXXXXX or status invalid; ",""))))</x:f>
      </x:c>
    </x:row>
    <x:row r="478">
      <x:c r="A478" s="251"/>
      <x:c r="B478" s="252"/>
      <x:c r="C478" s="252"/>
      <x:c r="D478" s="253"/>
      <x:c r="E478" s="253"/>
      <x:c r="F478" s="252"/>
      <x:c r="G478" s="252"/>
      <x:c r="H478" s="252"/>
      <x:c r="I478" s="252"/>
      <x:c r="J478" s="252"/>
      <x:c r="K478" s="252"/>
      <x:c r="L478" s="252" t="str">
        <x:f>IF(A478="","",IF(OR(C478="",D478="",I478="",COUNTIF('الزبائن'!$A$6:$A$505,A478)=0,AND(C478="mobile",I478&lt;&gt;"invalid",OR(LEN(D478)&lt;&gt;10,LEFT(D478,2)&lt;&gt;"09"))),"REVIEW","READY"))</x:f>
      </x:c>
      <x:c r="M478" s="254" t="str">
        <x:f>IF(L478="READY","",IF(A478="","",TRIM(IF(COUNTIF('الزبائن'!$A$6:$A$505,A478)=0,"customer key not found; ","")&amp;IF(C478="","missing contact_type; ","")&amp;IF(D478="","missing number; ","")&amp;IF(I478="","missing status; ","")&amp;IF(AND(C478="mobile",I478&lt;&gt;"invalid",OR(LEN(D478)&lt;&gt;10,LEFT(D478,2)&lt;&gt;"09")),"mobile must be 09XXXXXXXX or status invalid; ",""))))</x:f>
      </x:c>
    </x:row>
    <x:row r="479">
      <x:c r="A479" s="251"/>
      <x:c r="B479" s="252"/>
      <x:c r="C479" s="252"/>
      <x:c r="D479" s="253"/>
      <x:c r="E479" s="253"/>
      <x:c r="F479" s="252"/>
      <x:c r="G479" s="252"/>
      <x:c r="H479" s="252"/>
      <x:c r="I479" s="252"/>
      <x:c r="J479" s="252"/>
      <x:c r="K479" s="252"/>
      <x:c r="L479" s="252" t="str">
        <x:f>IF(A479="","",IF(OR(C479="",D479="",I479="",COUNTIF('الزبائن'!$A$6:$A$505,A479)=0,AND(C479="mobile",I479&lt;&gt;"invalid",OR(LEN(D479)&lt;&gt;10,LEFT(D479,2)&lt;&gt;"09"))),"REVIEW","READY"))</x:f>
      </x:c>
      <x:c r="M479" s="254" t="str">
        <x:f>IF(L479="READY","",IF(A479="","",TRIM(IF(COUNTIF('الزبائن'!$A$6:$A$505,A479)=0,"customer key not found; ","")&amp;IF(C479="","missing contact_type; ","")&amp;IF(D479="","missing number; ","")&amp;IF(I479="","missing status; ","")&amp;IF(AND(C479="mobile",I479&lt;&gt;"invalid",OR(LEN(D479)&lt;&gt;10,LEFT(D479,2)&lt;&gt;"09")),"mobile must be 09XXXXXXXX or status invalid; ",""))))</x:f>
      </x:c>
    </x:row>
    <x:row r="480">
      <x:c r="A480" s="251"/>
      <x:c r="B480" s="252"/>
      <x:c r="C480" s="252"/>
      <x:c r="D480" s="253"/>
      <x:c r="E480" s="253"/>
      <x:c r="F480" s="252"/>
      <x:c r="G480" s="252"/>
      <x:c r="H480" s="252"/>
      <x:c r="I480" s="252"/>
      <x:c r="J480" s="252"/>
      <x:c r="K480" s="252"/>
      <x:c r="L480" s="252" t="str">
        <x:f>IF(A480="","",IF(OR(C480="",D480="",I480="",COUNTIF('الزبائن'!$A$6:$A$505,A480)=0,AND(C480="mobile",I480&lt;&gt;"invalid",OR(LEN(D480)&lt;&gt;10,LEFT(D480,2)&lt;&gt;"09"))),"REVIEW","READY"))</x:f>
      </x:c>
      <x:c r="M480" s="254" t="str">
        <x:f>IF(L480="READY","",IF(A480="","",TRIM(IF(COUNTIF('الزبائن'!$A$6:$A$505,A480)=0,"customer key not found; ","")&amp;IF(C480="","missing contact_type; ","")&amp;IF(D480="","missing number; ","")&amp;IF(I480="","missing status; ","")&amp;IF(AND(C480="mobile",I480&lt;&gt;"invalid",OR(LEN(D480)&lt;&gt;10,LEFT(D480,2)&lt;&gt;"09")),"mobile must be 09XXXXXXXX or status invalid; ",""))))</x:f>
      </x:c>
    </x:row>
    <x:row r="481">
      <x:c r="A481" s="251"/>
      <x:c r="B481" s="252"/>
      <x:c r="C481" s="252"/>
      <x:c r="D481" s="253"/>
      <x:c r="E481" s="253"/>
      <x:c r="F481" s="252"/>
      <x:c r="G481" s="252"/>
      <x:c r="H481" s="252"/>
      <x:c r="I481" s="252"/>
      <x:c r="J481" s="252"/>
      <x:c r="K481" s="252"/>
      <x:c r="L481" s="252" t="str">
        <x:f>IF(A481="","",IF(OR(C481="",D481="",I481="",COUNTIF('الزبائن'!$A$6:$A$505,A481)=0,AND(C481="mobile",I481&lt;&gt;"invalid",OR(LEN(D481)&lt;&gt;10,LEFT(D481,2)&lt;&gt;"09"))),"REVIEW","READY"))</x:f>
      </x:c>
      <x:c r="M481" s="254" t="str">
        <x:f>IF(L481="READY","",IF(A481="","",TRIM(IF(COUNTIF('الزبائن'!$A$6:$A$505,A481)=0,"customer key not found; ","")&amp;IF(C481="","missing contact_type; ","")&amp;IF(D481="","missing number; ","")&amp;IF(I481="","missing status; ","")&amp;IF(AND(C481="mobile",I481&lt;&gt;"invalid",OR(LEN(D481)&lt;&gt;10,LEFT(D481,2)&lt;&gt;"09")),"mobile must be 09XXXXXXXX or status invalid; ",""))))</x:f>
      </x:c>
    </x:row>
    <x:row r="482">
      <x:c r="A482" s="251"/>
      <x:c r="B482" s="252"/>
      <x:c r="C482" s="252"/>
      <x:c r="D482" s="253"/>
      <x:c r="E482" s="253"/>
      <x:c r="F482" s="252"/>
      <x:c r="G482" s="252"/>
      <x:c r="H482" s="252"/>
      <x:c r="I482" s="252"/>
      <x:c r="J482" s="252"/>
      <x:c r="K482" s="252"/>
      <x:c r="L482" s="252" t="str">
        <x:f>IF(A482="","",IF(OR(C482="",D482="",I482="",COUNTIF('الزبائن'!$A$6:$A$505,A482)=0,AND(C482="mobile",I482&lt;&gt;"invalid",OR(LEN(D482)&lt;&gt;10,LEFT(D482,2)&lt;&gt;"09"))),"REVIEW","READY"))</x:f>
      </x:c>
      <x:c r="M482" s="254" t="str">
        <x:f>IF(L482="READY","",IF(A482="","",TRIM(IF(COUNTIF('الزبائن'!$A$6:$A$505,A482)=0,"customer key not found; ","")&amp;IF(C482="","missing contact_type; ","")&amp;IF(D482="","missing number; ","")&amp;IF(I482="","missing status; ","")&amp;IF(AND(C482="mobile",I482&lt;&gt;"invalid",OR(LEN(D482)&lt;&gt;10,LEFT(D482,2)&lt;&gt;"09")),"mobile must be 09XXXXXXXX or status invalid; ",""))))</x:f>
      </x:c>
    </x:row>
    <x:row r="483">
      <x:c r="A483" s="251"/>
      <x:c r="B483" s="252"/>
      <x:c r="C483" s="252"/>
      <x:c r="D483" s="253"/>
      <x:c r="E483" s="253"/>
      <x:c r="F483" s="252"/>
      <x:c r="G483" s="252"/>
      <x:c r="H483" s="252"/>
      <x:c r="I483" s="252"/>
      <x:c r="J483" s="252"/>
      <x:c r="K483" s="252"/>
      <x:c r="L483" s="252" t="str">
        <x:f>IF(A483="","",IF(OR(C483="",D483="",I483="",COUNTIF('الزبائن'!$A$6:$A$505,A483)=0,AND(C483="mobile",I483&lt;&gt;"invalid",OR(LEN(D483)&lt;&gt;10,LEFT(D483,2)&lt;&gt;"09"))),"REVIEW","READY"))</x:f>
      </x:c>
      <x:c r="M483" s="254" t="str">
        <x:f>IF(L483="READY","",IF(A483="","",TRIM(IF(COUNTIF('الزبائن'!$A$6:$A$505,A483)=0,"customer key not found; ","")&amp;IF(C483="","missing contact_type; ","")&amp;IF(D483="","missing number; ","")&amp;IF(I483="","missing status; ","")&amp;IF(AND(C483="mobile",I483&lt;&gt;"invalid",OR(LEN(D483)&lt;&gt;10,LEFT(D483,2)&lt;&gt;"09")),"mobile must be 09XXXXXXXX or status invalid; ",""))))</x:f>
      </x:c>
    </x:row>
    <x:row r="484">
      <x:c r="A484" s="251"/>
      <x:c r="B484" s="252"/>
      <x:c r="C484" s="252"/>
      <x:c r="D484" s="253"/>
      <x:c r="E484" s="253"/>
      <x:c r="F484" s="252"/>
      <x:c r="G484" s="252"/>
      <x:c r="H484" s="252"/>
      <x:c r="I484" s="252"/>
      <x:c r="J484" s="252"/>
      <x:c r="K484" s="252"/>
      <x:c r="L484" s="252" t="str">
        <x:f>IF(A484="","",IF(OR(C484="",D484="",I484="",COUNTIF('الزبائن'!$A$6:$A$505,A484)=0,AND(C484="mobile",I484&lt;&gt;"invalid",OR(LEN(D484)&lt;&gt;10,LEFT(D484,2)&lt;&gt;"09"))),"REVIEW","READY"))</x:f>
      </x:c>
      <x:c r="M484" s="254" t="str">
        <x:f>IF(L484="READY","",IF(A484="","",TRIM(IF(COUNTIF('الزبائن'!$A$6:$A$505,A484)=0,"customer key not found; ","")&amp;IF(C484="","missing contact_type; ","")&amp;IF(D484="","missing number; ","")&amp;IF(I484="","missing status; ","")&amp;IF(AND(C484="mobile",I484&lt;&gt;"invalid",OR(LEN(D484)&lt;&gt;10,LEFT(D484,2)&lt;&gt;"09")),"mobile must be 09XXXXXXXX or status invalid; ",""))))</x:f>
      </x:c>
    </x:row>
    <x:row r="485">
      <x:c r="A485" s="251"/>
      <x:c r="B485" s="252"/>
      <x:c r="C485" s="252"/>
      <x:c r="D485" s="253"/>
      <x:c r="E485" s="253"/>
      <x:c r="F485" s="252"/>
      <x:c r="G485" s="252"/>
      <x:c r="H485" s="252"/>
      <x:c r="I485" s="252"/>
      <x:c r="J485" s="252"/>
      <x:c r="K485" s="252"/>
      <x:c r="L485" s="252" t="str">
        <x:f>IF(A485="","",IF(OR(C485="",D485="",I485="",COUNTIF('الزبائن'!$A$6:$A$505,A485)=0,AND(C485="mobile",I485&lt;&gt;"invalid",OR(LEN(D485)&lt;&gt;10,LEFT(D485,2)&lt;&gt;"09"))),"REVIEW","READY"))</x:f>
      </x:c>
      <x:c r="M485" s="254" t="str">
        <x:f>IF(L485="READY","",IF(A485="","",TRIM(IF(COUNTIF('الزبائن'!$A$6:$A$505,A485)=0,"customer key not found; ","")&amp;IF(C485="","missing contact_type; ","")&amp;IF(D485="","missing number; ","")&amp;IF(I485="","missing status; ","")&amp;IF(AND(C485="mobile",I485&lt;&gt;"invalid",OR(LEN(D485)&lt;&gt;10,LEFT(D485,2)&lt;&gt;"09")),"mobile must be 09XXXXXXXX or status invalid; ",""))))</x:f>
      </x:c>
    </x:row>
    <x:row r="486">
      <x:c r="A486" s="251"/>
      <x:c r="B486" s="252"/>
      <x:c r="C486" s="252"/>
      <x:c r="D486" s="253"/>
      <x:c r="E486" s="253"/>
      <x:c r="F486" s="252"/>
      <x:c r="G486" s="252"/>
      <x:c r="H486" s="252"/>
      <x:c r="I486" s="252"/>
      <x:c r="J486" s="252"/>
      <x:c r="K486" s="252"/>
      <x:c r="L486" s="252" t="str">
        <x:f>IF(A486="","",IF(OR(C486="",D486="",I486="",COUNTIF('الزبائن'!$A$6:$A$505,A486)=0,AND(C486="mobile",I486&lt;&gt;"invalid",OR(LEN(D486)&lt;&gt;10,LEFT(D486,2)&lt;&gt;"09"))),"REVIEW","READY"))</x:f>
      </x:c>
      <x:c r="M486" s="254" t="str">
        <x:f>IF(L486="READY","",IF(A486="","",TRIM(IF(COUNTIF('الزبائن'!$A$6:$A$505,A486)=0,"customer key not found; ","")&amp;IF(C486="","missing contact_type; ","")&amp;IF(D486="","missing number; ","")&amp;IF(I486="","missing status; ","")&amp;IF(AND(C486="mobile",I486&lt;&gt;"invalid",OR(LEN(D486)&lt;&gt;10,LEFT(D486,2)&lt;&gt;"09")),"mobile must be 09XXXXXXXX or status invalid; ",""))))</x:f>
      </x:c>
    </x:row>
    <x:row r="487">
      <x:c r="A487" s="251"/>
      <x:c r="B487" s="252"/>
      <x:c r="C487" s="252"/>
      <x:c r="D487" s="253"/>
      <x:c r="E487" s="253"/>
      <x:c r="F487" s="252"/>
      <x:c r="G487" s="252"/>
      <x:c r="H487" s="252"/>
      <x:c r="I487" s="252"/>
      <x:c r="J487" s="252"/>
      <x:c r="K487" s="252"/>
      <x:c r="L487" s="252" t="str">
        <x:f>IF(A487="","",IF(OR(C487="",D487="",I487="",COUNTIF('الزبائن'!$A$6:$A$505,A487)=0,AND(C487="mobile",I487&lt;&gt;"invalid",OR(LEN(D487)&lt;&gt;10,LEFT(D487,2)&lt;&gt;"09"))),"REVIEW","READY"))</x:f>
      </x:c>
      <x:c r="M487" s="254" t="str">
        <x:f>IF(L487="READY","",IF(A487="","",TRIM(IF(COUNTIF('الزبائن'!$A$6:$A$505,A487)=0,"customer key not found; ","")&amp;IF(C487="","missing contact_type; ","")&amp;IF(D487="","missing number; ","")&amp;IF(I487="","missing status; ","")&amp;IF(AND(C487="mobile",I487&lt;&gt;"invalid",OR(LEN(D487)&lt;&gt;10,LEFT(D487,2)&lt;&gt;"09")),"mobile must be 09XXXXXXXX or status invalid; ",""))))</x:f>
      </x:c>
    </x:row>
    <x:row r="488">
      <x:c r="A488" s="251"/>
      <x:c r="B488" s="252"/>
      <x:c r="C488" s="252"/>
      <x:c r="D488" s="253"/>
      <x:c r="E488" s="253"/>
      <x:c r="F488" s="252"/>
      <x:c r="G488" s="252"/>
      <x:c r="H488" s="252"/>
      <x:c r="I488" s="252"/>
      <x:c r="J488" s="252"/>
      <x:c r="K488" s="252"/>
      <x:c r="L488" s="252" t="str">
        <x:f>IF(A488="","",IF(OR(C488="",D488="",I488="",COUNTIF('الزبائن'!$A$6:$A$505,A488)=0,AND(C488="mobile",I488&lt;&gt;"invalid",OR(LEN(D488)&lt;&gt;10,LEFT(D488,2)&lt;&gt;"09"))),"REVIEW","READY"))</x:f>
      </x:c>
      <x:c r="M488" s="254" t="str">
        <x:f>IF(L488="READY","",IF(A488="","",TRIM(IF(COUNTIF('الزبائن'!$A$6:$A$505,A488)=0,"customer key not found; ","")&amp;IF(C488="","missing contact_type; ","")&amp;IF(D488="","missing number; ","")&amp;IF(I488="","missing status; ","")&amp;IF(AND(C488="mobile",I488&lt;&gt;"invalid",OR(LEN(D488)&lt;&gt;10,LEFT(D488,2)&lt;&gt;"09")),"mobile must be 09XXXXXXXX or status invalid; ",""))))</x:f>
      </x:c>
    </x:row>
    <x:row r="489">
      <x:c r="A489" s="251"/>
      <x:c r="B489" s="252"/>
      <x:c r="C489" s="252"/>
      <x:c r="D489" s="253"/>
      <x:c r="E489" s="253"/>
      <x:c r="F489" s="252"/>
      <x:c r="G489" s="252"/>
      <x:c r="H489" s="252"/>
      <x:c r="I489" s="252"/>
      <x:c r="J489" s="252"/>
      <x:c r="K489" s="252"/>
      <x:c r="L489" s="252" t="str">
        <x:f>IF(A489="","",IF(OR(C489="",D489="",I489="",COUNTIF('الزبائن'!$A$6:$A$505,A489)=0,AND(C489="mobile",I489&lt;&gt;"invalid",OR(LEN(D489)&lt;&gt;10,LEFT(D489,2)&lt;&gt;"09"))),"REVIEW","READY"))</x:f>
      </x:c>
      <x:c r="M489" s="254" t="str">
        <x:f>IF(L489="READY","",IF(A489="","",TRIM(IF(COUNTIF('الزبائن'!$A$6:$A$505,A489)=0,"customer key not found; ","")&amp;IF(C489="","missing contact_type; ","")&amp;IF(D489="","missing number; ","")&amp;IF(I489="","missing status; ","")&amp;IF(AND(C489="mobile",I489&lt;&gt;"invalid",OR(LEN(D489)&lt;&gt;10,LEFT(D489,2)&lt;&gt;"09")),"mobile must be 09XXXXXXXX or status invalid; ",""))))</x:f>
      </x:c>
    </x:row>
    <x:row r="490">
      <x:c r="A490" s="251"/>
      <x:c r="B490" s="252"/>
      <x:c r="C490" s="252"/>
      <x:c r="D490" s="253"/>
      <x:c r="E490" s="253"/>
      <x:c r="F490" s="252"/>
      <x:c r="G490" s="252"/>
      <x:c r="H490" s="252"/>
      <x:c r="I490" s="252"/>
      <x:c r="J490" s="252"/>
      <x:c r="K490" s="252"/>
      <x:c r="L490" s="252" t="str">
        <x:f>IF(A490="","",IF(OR(C490="",D490="",I490="",COUNTIF('الزبائن'!$A$6:$A$505,A490)=0,AND(C490="mobile",I490&lt;&gt;"invalid",OR(LEN(D490)&lt;&gt;10,LEFT(D490,2)&lt;&gt;"09"))),"REVIEW","READY"))</x:f>
      </x:c>
      <x:c r="M490" s="254" t="str">
        <x:f>IF(L490="READY","",IF(A490="","",TRIM(IF(COUNTIF('الزبائن'!$A$6:$A$505,A490)=0,"customer key not found; ","")&amp;IF(C490="","missing contact_type; ","")&amp;IF(D490="","missing number; ","")&amp;IF(I490="","missing status; ","")&amp;IF(AND(C490="mobile",I490&lt;&gt;"invalid",OR(LEN(D490)&lt;&gt;10,LEFT(D490,2)&lt;&gt;"09")),"mobile must be 09XXXXXXXX or status invalid; ",""))))</x:f>
      </x:c>
    </x:row>
    <x:row r="491">
      <x:c r="A491" s="251"/>
      <x:c r="B491" s="252"/>
      <x:c r="C491" s="252"/>
      <x:c r="D491" s="253"/>
      <x:c r="E491" s="253"/>
      <x:c r="F491" s="252"/>
      <x:c r="G491" s="252"/>
      <x:c r="H491" s="252"/>
      <x:c r="I491" s="252"/>
      <x:c r="J491" s="252"/>
      <x:c r="K491" s="252"/>
      <x:c r="L491" s="252" t="str">
        <x:f>IF(A491="","",IF(OR(C491="",D491="",I491="",COUNTIF('الزبائن'!$A$6:$A$505,A491)=0,AND(C491="mobile",I491&lt;&gt;"invalid",OR(LEN(D491)&lt;&gt;10,LEFT(D491,2)&lt;&gt;"09"))),"REVIEW","READY"))</x:f>
      </x:c>
      <x:c r="M491" s="254" t="str">
        <x:f>IF(L491="READY","",IF(A491="","",TRIM(IF(COUNTIF('الزبائن'!$A$6:$A$505,A491)=0,"customer key not found; ","")&amp;IF(C491="","missing contact_type; ","")&amp;IF(D491="","missing number; ","")&amp;IF(I491="","missing status; ","")&amp;IF(AND(C491="mobile",I491&lt;&gt;"invalid",OR(LEN(D491)&lt;&gt;10,LEFT(D491,2)&lt;&gt;"09")),"mobile must be 09XXXXXXXX or status invalid; ",""))))</x:f>
      </x:c>
    </x:row>
    <x:row r="492">
      <x:c r="A492" s="251"/>
      <x:c r="B492" s="252"/>
      <x:c r="C492" s="252"/>
      <x:c r="D492" s="253"/>
      <x:c r="E492" s="253"/>
      <x:c r="F492" s="252"/>
      <x:c r="G492" s="252"/>
      <x:c r="H492" s="252"/>
      <x:c r="I492" s="252"/>
      <x:c r="J492" s="252"/>
      <x:c r="K492" s="252"/>
      <x:c r="L492" s="252" t="str">
        <x:f>IF(A492="","",IF(OR(C492="",D492="",I492="",COUNTIF('الزبائن'!$A$6:$A$505,A492)=0,AND(C492="mobile",I492&lt;&gt;"invalid",OR(LEN(D492)&lt;&gt;10,LEFT(D492,2)&lt;&gt;"09"))),"REVIEW","READY"))</x:f>
      </x:c>
      <x:c r="M492" s="254" t="str">
        <x:f>IF(L492="READY","",IF(A492="","",TRIM(IF(COUNTIF('الزبائن'!$A$6:$A$505,A492)=0,"customer key not found; ","")&amp;IF(C492="","missing contact_type; ","")&amp;IF(D492="","missing number; ","")&amp;IF(I492="","missing status; ","")&amp;IF(AND(C492="mobile",I492&lt;&gt;"invalid",OR(LEN(D492)&lt;&gt;10,LEFT(D492,2)&lt;&gt;"09")),"mobile must be 09XXXXXXXX or status invalid; ",""))))</x:f>
      </x:c>
    </x:row>
    <x:row r="493">
      <x:c r="A493" s="251"/>
      <x:c r="B493" s="252"/>
      <x:c r="C493" s="252"/>
      <x:c r="D493" s="253"/>
      <x:c r="E493" s="253"/>
      <x:c r="F493" s="252"/>
      <x:c r="G493" s="252"/>
      <x:c r="H493" s="252"/>
      <x:c r="I493" s="252"/>
      <x:c r="J493" s="252"/>
      <x:c r="K493" s="252"/>
      <x:c r="L493" s="252" t="str">
        <x:f>IF(A493="","",IF(OR(C493="",D493="",I493="",COUNTIF('الزبائن'!$A$6:$A$505,A493)=0,AND(C493="mobile",I493&lt;&gt;"invalid",OR(LEN(D493)&lt;&gt;10,LEFT(D493,2)&lt;&gt;"09"))),"REVIEW","READY"))</x:f>
      </x:c>
      <x:c r="M493" s="254" t="str">
        <x:f>IF(L493="READY","",IF(A493="","",TRIM(IF(COUNTIF('الزبائن'!$A$6:$A$505,A493)=0,"customer key not found; ","")&amp;IF(C493="","missing contact_type; ","")&amp;IF(D493="","missing number; ","")&amp;IF(I493="","missing status; ","")&amp;IF(AND(C493="mobile",I493&lt;&gt;"invalid",OR(LEN(D493)&lt;&gt;10,LEFT(D493,2)&lt;&gt;"09")),"mobile must be 09XXXXXXXX or status invalid; ",""))))</x:f>
      </x:c>
    </x:row>
    <x:row r="494">
      <x:c r="A494" s="251"/>
      <x:c r="B494" s="252"/>
      <x:c r="C494" s="252"/>
      <x:c r="D494" s="253"/>
      <x:c r="E494" s="253"/>
      <x:c r="F494" s="252"/>
      <x:c r="G494" s="252"/>
      <x:c r="H494" s="252"/>
      <x:c r="I494" s="252"/>
      <x:c r="J494" s="252"/>
      <x:c r="K494" s="252"/>
      <x:c r="L494" s="252" t="str">
        <x:f>IF(A494="","",IF(OR(C494="",D494="",I494="",COUNTIF('الزبائن'!$A$6:$A$505,A494)=0,AND(C494="mobile",I494&lt;&gt;"invalid",OR(LEN(D494)&lt;&gt;10,LEFT(D494,2)&lt;&gt;"09"))),"REVIEW","READY"))</x:f>
      </x:c>
      <x:c r="M494" s="254" t="str">
        <x:f>IF(L494="READY","",IF(A494="","",TRIM(IF(COUNTIF('الزبائن'!$A$6:$A$505,A494)=0,"customer key not found; ","")&amp;IF(C494="","missing contact_type; ","")&amp;IF(D494="","missing number; ","")&amp;IF(I494="","missing status; ","")&amp;IF(AND(C494="mobile",I494&lt;&gt;"invalid",OR(LEN(D494)&lt;&gt;10,LEFT(D494,2)&lt;&gt;"09")),"mobile must be 09XXXXXXXX or status invalid; ",""))))</x:f>
      </x:c>
    </x:row>
    <x:row r="495">
      <x:c r="A495" s="251"/>
      <x:c r="B495" s="252"/>
      <x:c r="C495" s="252"/>
      <x:c r="D495" s="253"/>
      <x:c r="E495" s="253"/>
      <x:c r="F495" s="252"/>
      <x:c r="G495" s="252"/>
      <x:c r="H495" s="252"/>
      <x:c r="I495" s="252"/>
      <x:c r="J495" s="252"/>
      <x:c r="K495" s="252"/>
      <x:c r="L495" s="252" t="str">
        <x:f>IF(A495="","",IF(OR(C495="",D495="",I495="",COUNTIF('الزبائن'!$A$6:$A$505,A495)=0,AND(C495="mobile",I495&lt;&gt;"invalid",OR(LEN(D495)&lt;&gt;10,LEFT(D495,2)&lt;&gt;"09"))),"REVIEW","READY"))</x:f>
      </x:c>
      <x:c r="M495" s="254" t="str">
        <x:f>IF(L495="READY","",IF(A495="","",TRIM(IF(COUNTIF('الزبائن'!$A$6:$A$505,A495)=0,"customer key not found; ","")&amp;IF(C495="","missing contact_type; ","")&amp;IF(D495="","missing number; ","")&amp;IF(I495="","missing status; ","")&amp;IF(AND(C495="mobile",I495&lt;&gt;"invalid",OR(LEN(D495)&lt;&gt;10,LEFT(D495,2)&lt;&gt;"09")),"mobile must be 09XXXXXXXX or status invalid; ",""))))</x:f>
      </x:c>
    </x:row>
    <x:row r="496">
      <x:c r="A496" s="251"/>
      <x:c r="B496" s="252"/>
      <x:c r="C496" s="252"/>
      <x:c r="D496" s="253"/>
      <x:c r="E496" s="253"/>
      <x:c r="F496" s="252"/>
      <x:c r="G496" s="252"/>
      <x:c r="H496" s="252"/>
      <x:c r="I496" s="252"/>
      <x:c r="J496" s="252"/>
      <x:c r="K496" s="252"/>
      <x:c r="L496" s="252" t="str">
        <x:f>IF(A496="","",IF(OR(C496="",D496="",I496="",COUNTIF('الزبائن'!$A$6:$A$505,A496)=0,AND(C496="mobile",I496&lt;&gt;"invalid",OR(LEN(D496)&lt;&gt;10,LEFT(D496,2)&lt;&gt;"09"))),"REVIEW","READY"))</x:f>
      </x:c>
      <x:c r="M496" s="254" t="str">
        <x:f>IF(L496="READY","",IF(A496="","",TRIM(IF(COUNTIF('الزبائن'!$A$6:$A$505,A496)=0,"customer key not found; ","")&amp;IF(C496="","missing contact_type; ","")&amp;IF(D496="","missing number; ","")&amp;IF(I496="","missing status; ","")&amp;IF(AND(C496="mobile",I496&lt;&gt;"invalid",OR(LEN(D496)&lt;&gt;10,LEFT(D496,2)&lt;&gt;"09")),"mobile must be 09XXXXXXXX or status invalid; ",""))))</x:f>
      </x:c>
    </x:row>
    <x:row r="497">
      <x:c r="A497" s="251"/>
      <x:c r="B497" s="252"/>
      <x:c r="C497" s="252"/>
      <x:c r="D497" s="253"/>
      <x:c r="E497" s="253"/>
      <x:c r="F497" s="252"/>
      <x:c r="G497" s="252"/>
      <x:c r="H497" s="252"/>
      <x:c r="I497" s="252"/>
      <x:c r="J497" s="252"/>
      <x:c r="K497" s="252"/>
      <x:c r="L497" s="252" t="str">
        <x:f>IF(A497="","",IF(OR(C497="",D497="",I497="",COUNTIF('الزبائن'!$A$6:$A$505,A497)=0,AND(C497="mobile",I497&lt;&gt;"invalid",OR(LEN(D497)&lt;&gt;10,LEFT(D497,2)&lt;&gt;"09"))),"REVIEW","READY"))</x:f>
      </x:c>
      <x:c r="M497" s="254" t="str">
        <x:f>IF(L497="READY","",IF(A497="","",TRIM(IF(COUNTIF('الزبائن'!$A$6:$A$505,A497)=0,"customer key not found; ","")&amp;IF(C497="","missing contact_type; ","")&amp;IF(D497="","missing number; ","")&amp;IF(I497="","missing status; ","")&amp;IF(AND(C497="mobile",I497&lt;&gt;"invalid",OR(LEN(D497)&lt;&gt;10,LEFT(D497,2)&lt;&gt;"09")),"mobile must be 09XXXXXXXX or status invalid; ",""))))</x:f>
      </x:c>
    </x:row>
    <x:row r="498">
      <x:c r="A498" s="251"/>
      <x:c r="B498" s="252"/>
      <x:c r="C498" s="252"/>
      <x:c r="D498" s="253"/>
      <x:c r="E498" s="253"/>
      <x:c r="F498" s="252"/>
      <x:c r="G498" s="252"/>
      <x:c r="H498" s="252"/>
      <x:c r="I498" s="252"/>
      <x:c r="J498" s="252"/>
      <x:c r="K498" s="252"/>
      <x:c r="L498" s="252" t="str">
        <x:f>IF(A498="","",IF(OR(C498="",D498="",I498="",COUNTIF('الزبائن'!$A$6:$A$505,A498)=0,AND(C498="mobile",I498&lt;&gt;"invalid",OR(LEN(D498)&lt;&gt;10,LEFT(D498,2)&lt;&gt;"09"))),"REVIEW","READY"))</x:f>
      </x:c>
      <x:c r="M498" s="254" t="str">
        <x:f>IF(L498="READY","",IF(A498="","",TRIM(IF(COUNTIF('الزبائن'!$A$6:$A$505,A498)=0,"customer key not found; ","")&amp;IF(C498="","missing contact_type; ","")&amp;IF(D498="","missing number; ","")&amp;IF(I498="","missing status; ","")&amp;IF(AND(C498="mobile",I498&lt;&gt;"invalid",OR(LEN(D498)&lt;&gt;10,LEFT(D498,2)&lt;&gt;"09")),"mobile must be 09XXXXXXXX or status invalid; ",""))))</x:f>
      </x:c>
    </x:row>
    <x:row r="499">
      <x:c r="A499" s="251"/>
      <x:c r="B499" s="252"/>
      <x:c r="C499" s="252"/>
      <x:c r="D499" s="253"/>
      <x:c r="E499" s="253"/>
      <x:c r="F499" s="252"/>
      <x:c r="G499" s="252"/>
      <x:c r="H499" s="252"/>
      <x:c r="I499" s="252"/>
      <x:c r="J499" s="252"/>
      <x:c r="K499" s="252"/>
      <x:c r="L499" s="252" t="str">
        <x:f>IF(A499="","",IF(OR(C499="",D499="",I499="",COUNTIF('الزبائن'!$A$6:$A$505,A499)=0,AND(C499="mobile",I499&lt;&gt;"invalid",OR(LEN(D499)&lt;&gt;10,LEFT(D499,2)&lt;&gt;"09"))),"REVIEW","READY"))</x:f>
      </x:c>
      <x:c r="M499" s="254" t="str">
        <x:f>IF(L499="READY","",IF(A499="","",TRIM(IF(COUNTIF('الزبائن'!$A$6:$A$505,A499)=0,"customer key not found; ","")&amp;IF(C499="","missing contact_type; ","")&amp;IF(D499="","missing number; ","")&amp;IF(I499="","missing status; ","")&amp;IF(AND(C499="mobile",I499&lt;&gt;"invalid",OR(LEN(D499)&lt;&gt;10,LEFT(D499,2)&lt;&gt;"09")),"mobile must be 09XXXXXXXX or status invalid; ",""))))</x:f>
      </x:c>
    </x:row>
    <x:row r="500">
      <x:c r="A500" s="251"/>
      <x:c r="B500" s="252"/>
      <x:c r="C500" s="252"/>
      <x:c r="D500" s="253"/>
      <x:c r="E500" s="253"/>
      <x:c r="F500" s="252"/>
      <x:c r="G500" s="252"/>
      <x:c r="H500" s="252"/>
      <x:c r="I500" s="252"/>
      <x:c r="J500" s="252"/>
      <x:c r="K500" s="252"/>
      <x:c r="L500" s="252" t="str">
        <x:f>IF(A500="","",IF(OR(C500="",D500="",I500="",COUNTIF('الزبائن'!$A$6:$A$505,A500)=0,AND(C500="mobile",I500&lt;&gt;"invalid",OR(LEN(D500)&lt;&gt;10,LEFT(D500,2)&lt;&gt;"09"))),"REVIEW","READY"))</x:f>
      </x:c>
      <x:c r="M500" s="254" t="str">
        <x:f>IF(L500="READY","",IF(A500="","",TRIM(IF(COUNTIF('الزبائن'!$A$6:$A$505,A500)=0,"customer key not found; ","")&amp;IF(C500="","missing contact_type; ","")&amp;IF(D500="","missing number; ","")&amp;IF(I500="","missing status; ","")&amp;IF(AND(C500="mobile",I500&lt;&gt;"invalid",OR(LEN(D500)&lt;&gt;10,LEFT(D500,2)&lt;&gt;"09")),"mobile must be 09XXXXXXXX or status invalid; ",""))))</x:f>
      </x:c>
    </x:row>
    <x:row r="501">
      <x:c r="A501" s="251"/>
      <x:c r="B501" s="252"/>
      <x:c r="C501" s="252"/>
      <x:c r="D501" s="253"/>
      <x:c r="E501" s="253"/>
      <x:c r="F501" s="252"/>
      <x:c r="G501" s="252"/>
      <x:c r="H501" s="252"/>
      <x:c r="I501" s="252"/>
      <x:c r="J501" s="252"/>
      <x:c r="K501" s="252"/>
      <x:c r="L501" s="252" t="str">
        <x:f>IF(A501="","",IF(OR(C501="",D501="",I501="",COUNTIF('الزبائن'!$A$6:$A$505,A501)=0,AND(C501="mobile",I501&lt;&gt;"invalid",OR(LEN(D501)&lt;&gt;10,LEFT(D501,2)&lt;&gt;"09"))),"REVIEW","READY"))</x:f>
      </x:c>
      <x:c r="M501" s="254" t="str">
        <x:f>IF(L501="READY","",IF(A501="","",TRIM(IF(COUNTIF('الزبائن'!$A$6:$A$505,A501)=0,"customer key not found; ","")&amp;IF(C501="","missing contact_type; ","")&amp;IF(D501="","missing number; ","")&amp;IF(I501="","missing status; ","")&amp;IF(AND(C501="mobile",I501&lt;&gt;"invalid",OR(LEN(D501)&lt;&gt;10,LEFT(D501,2)&lt;&gt;"09")),"mobile must be 09XXXXXXXX or status invalid; ",""))))</x:f>
      </x:c>
    </x:row>
    <x:row r="502">
      <x:c r="A502" s="251"/>
      <x:c r="B502" s="252"/>
      <x:c r="C502" s="252"/>
      <x:c r="D502" s="253"/>
      <x:c r="E502" s="253"/>
      <x:c r="F502" s="252"/>
      <x:c r="G502" s="252"/>
      <x:c r="H502" s="252"/>
      <x:c r="I502" s="252"/>
      <x:c r="J502" s="252"/>
      <x:c r="K502" s="252"/>
      <x:c r="L502" s="252" t="str">
        <x:f>IF(A502="","",IF(OR(C502="",D502="",I502="",COUNTIF('الزبائن'!$A$6:$A$505,A502)=0,AND(C502="mobile",I502&lt;&gt;"invalid",OR(LEN(D502)&lt;&gt;10,LEFT(D502,2)&lt;&gt;"09"))),"REVIEW","READY"))</x:f>
      </x:c>
      <x:c r="M502" s="254" t="str">
        <x:f>IF(L502="READY","",IF(A502="","",TRIM(IF(COUNTIF('الزبائن'!$A$6:$A$505,A502)=0,"customer key not found; ","")&amp;IF(C502="","missing contact_type; ","")&amp;IF(D502="","missing number; ","")&amp;IF(I502="","missing status; ","")&amp;IF(AND(C502="mobile",I502&lt;&gt;"invalid",OR(LEN(D502)&lt;&gt;10,LEFT(D502,2)&lt;&gt;"09")),"mobile must be 09XXXXXXXX or status invalid; ",""))))</x:f>
      </x:c>
    </x:row>
    <x:row r="503">
      <x:c r="A503" s="251"/>
      <x:c r="B503" s="252"/>
      <x:c r="C503" s="252"/>
      <x:c r="D503" s="253"/>
      <x:c r="E503" s="253"/>
      <x:c r="F503" s="252"/>
      <x:c r="G503" s="252"/>
      <x:c r="H503" s="252"/>
      <x:c r="I503" s="252"/>
      <x:c r="J503" s="252"/>
      <x:c r="K503" s="252"/>
      <x:c r="L503" s="252" t="str">
        <x:f>IF(A503="","",IF(OR(C503="",D503="",I503="",COUNTIF('الزبائن'!$A$6:$A$505,A503)=0,AND(C503="mobile",I503&lt;&gt;"invalid",OR(LEN(D503)&lt;&gt;10,LEFT(D503,2)&lt;&gt;"09"))),"REVIEW","READY"))</x:f>
      </x:c>
      <x:c r="M503" s="254" t="str">
        <x:f>IF(L503="READY","",IF(A503="","",TRIM(IF(COUNTIF('الزبائن'!$A$6:$A$505,A503)=0,"customer key not found; ","")&amp;IF(C503="","missing contact_type; ","")&amp;IF(D503="","missing number; ","")&amp;IF(I503="","missing status; ","")&amp;IF(AND(C503="mobile",I503&lt;&gt;"invalid",OR(LEN(D503)&lt;&gt;10,LEFT(D503,2)&lt;&gt;"09")),"mobile must be 09XXXXXXXX or status invalid; ",""))))</x:f>
      </x:c>
    </x:row>
    <x:row r="504">
      <x:c r="A504" s="251"/>
      <x:c r="B504" s="252"/>
      <x:c r="C504" s="252"/>
      <x:c r="D504" s="253"/>
      <x:c r="E504" s="253"/>
      <x:c r="F504" s="252"/>
      <x:c r="G504" s="252"/>
      <x:c r="H504" s="252"/>
      <x:c r="I504" s="252"/>
      <x:c r="J504" s="252"/>
      <x:c r="K504" s="252"/>
      <x:c r="L504" s="252" t="str">
        <x:f>IF(A504="","",IF(OR(C504="",D504="",I504="",COUNTIF('الزبائن'!$A$6:$A$505,A504)=0,AND(C504="mobile",I504&lt;&gt;"invalid",OR(LEN(D504)&lt;&gt;10,LEFT(D504,2)&lt;&gt;"09"))),"REVIEW","READY"))</x:f>
      </x:c>
      <x:c r="M504" s="254" t="str">
        <x:f>IF(L504="READY","",IF(A504="","",TRIM(IF(COUNTIF('الزبائن'!$A$6:$A$505,A504)=0,"customer key not found; ","")&amp;IF(C504="","missing contact_type; ","")&amp;IF(D504="","missing number; ","")&amp;IF(I504="","missing status; ","")&amp;IF(AND(C504="mobile",I504&lt;&gt;"invalid",OR(LEN(D504)&lt;&gt;10,LEFT(D504,2)&lt;&gt;"09")),"mobile must be 09XXXXXXXX or status invalid; ",""))))</x:f>
      </x:c>
    </x:row>
    <x:row r="505">
      <x:c r="A505" s="255"/>
      <x:c r="B505" s="256"/>
      <x:c r="C505" s="256"/>
      <x:c r="D505" s="257"/>
      <x:c r="E505" s="257"/>
      <x:c r="F505" s="256"/>
      <x:c r="G505" s="256"/>
      <x:c r="H505" s="256"/>
      <x:c r="I505" s="256"/>
      <x:c r="J505" s="256"/>
      <x:c r="K505" s="256"/>
      <x:c r="L505" s="256" t="str">
        <x:f>IF(A505="","",IF(OR(C505="",D505="",I505="",COUNTIF('الزبائن'!$A$6:$A$505,A505)=0,AND(C505="mobile",I505&lt;&gt;"invalid",OR(LEN(D505)&lt;&gt;10,LEFT(D505,2)&lt;&gt;"09"))),"REVIEW","READY"))</x:f>
      </x:c>
      <x:c r="M505" s="258" t="str">
        <x:f>IF(L505="READY","",IF(A505="","",TRIM(IF(COUNTIF('الزبائن'!$A$6:$A$505,A505)=0,"customer key not found; ","")&amp;IF(C505="","missing contact_type; ","")&amp;IF(D505="","missing number; ","")&amp;IF(I505="","missing status; ","")&amp;IF(AND(C505="mobile",I505&lt;&gt;"invalid",OR(LEN(D505)&lt;&gt;10,LEFT(D505,2)&lt;&gt;"09")),"mobile must be 09XXXXXXXX or status invalid; ",""))))</x:f>
      </x:c>
    </x:row>
  </x:sheetData>
  <x:mergeCells>
    <x:mergeCell ref="A1:M1"/>
    <x:mergeCell ref="A2:M2"/>
    <x:mergeCell ref="B4:I4"/>
    <x:mergeCell ref="J4:M4"/>
  </x:mergeCells>
  <x:conditionalFormatting sqref="L6:L505">
    <x:cfRule type="containsText" dxfId="3" priority="1" operator="containsText" text="READY"/>
    <x:cfRule type="containsText" dxfId="4" priority="2" operator="containsText" text="REVIEW"/>
  </x:conditionalFormatting>
  <x:dataValidations count="5">
    <x:dataValidation type="list" sqref="C6:C505">
      <x:formula1>"mobile,landline,other"</x:formula1>
    </x:dataValidation>
    <x:dataValidation type="list" sqref="G6:G505">
      <x:formula1>"TRUE,FALSE"</x:formula1>
    </x:dataValidation>
    <x:dataValidation type="list" sqref="H6:H505">
      <x:formula1>"TRUE,FALSE"</x:formula1>
    </x:dataValidation>
    <x:dataValidation type="list" sqref="I6:I505">
      <x:formula1>"active,preferred,out-of-coverage,unused,invalid"</x:formula1>
    </x:dataValidation>
    <x:dataValidation type="list" sqref="J6:J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5d6ea3bac44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4" hidden="0" customWidth="1"/>
    <x:col min="5" max="5" width="14" hidden="0" customWidth="1"/>
    <x:col min="6" max="6" width="34" hidden="0" customWidth="1"/>
    <x:col min="7" max="7" width="24" hidden="0" customWidth="1"/>
    <x:col min="8" max="8" width="60" hidden="0" customWidth="1"/>
  </x:cols>
  <x:sheetData>
    <x:row r="1" ht="34" customHeight="1">
      <x:c r="A1" s="18" t="str">
        <x:v>قاموس أعمدة قالب الزبائن</x:v>
      </x:c>
      <x:c r="B1" s="18" t="str">
        <x:v>قاموس أعمدة قالب الزبائن</x:v>
      </x:c>
      <x:c r="C1" s="18" t="str">
        <x:v>قاموس أعمدة قالب الزبائن</x:v>
      </x:c>
      <x:c r="D1" s="18" t="str">
        <x:v>قاموس أعمدة قالب الزبائن</x:v>
      </x:c>
      <x:c r="E1" s="18" t="str">
        <x:v>قاموس أعمدة قالب الزبائن</x:v>
      </x:c>
      <x:c r="F1" s="18" t="str">
        <x:v>قاموس أعمدة قالب الزبائن</x:v>
      </x:c>
      <x:c r="G1" s="18" t="str">
        <x:v>قاموس أعمدة قالب الزبائن</x:v>
      </x:c>
      <x:c r="H1" s="18" t="str">
        <x:v>قاموس أعمدة قالب الزبائن</x:v>
      </x:c>
    </x:row>
    <x:row r="2" ht="28" customHeight="1">
      <x:c r="A2" s="19" t="str">
        <x:v>يوضح معنى كل عمود، وجهته التقريبية في قاعدة البيانات، وما إذا كان مطلوباً.</x:v>
      </x:c>
      <x:c r="B2" s="19" t="str">
        <x:v>يوضح معنى كل عمود، وجهته التقريبية في قاعدة البيانات، وما إذا كان مطلوباً.</x:v>
      </x:c>
      <x:c r="C2" s="19" t="str">
        <x:v>يوضح معنى كل عمود، وجهته التقريبية في قاعدة البيانات، وما إذا كان مطلوباً.</x:v>
      </x:c>
      <x:c r="D2" s="19" t="str">
        <x:v>يوضح معنى كل عمود، وجهته التقريبية في قاعدة البيانات، وما إذا كان مطلوباً.</x:v>
      </x:c>
      <x:c r="E2" s="19" t="str">
        <x:v>يوضح معنى كل عمود، وجهته التقريبية في قاعدة البيانات، وما إذا كان مطلوباً.</x:v>
      </x:c>
      <x:c r="F2" s="19" t="str">
        <x:v>يوضح معنى كل عمود، وجهته التقريبية في قاعدة البيانات، وما إذا كان مطلوباً.</x:v>
      </x:c>
      <x:c r="G2" s="19" t="str">
        <x:v>يوضح معنى كل عمود، وجهته التقريبية في قاعدة البيانات، وما إذا كان مطلوباً.</x:v>
      </x:c>
      <x:c r="H2" s="19" t="str">
        <x:v>يوضح معنى كل عمود، وجهته التقريبية في قاعدة البيانات، وما إذا كان مطلوباً.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21" t="str">
        <x:v>الشيت</x:v>
      </x:c>
      <x:c r="B5" s="21" t="str">
        <x:v>القسم</x:v>
      </x:c>
      <x:c r="C5" s="21" t="str">
        <x:v>المفتاح التقني</x:v>
      </x:c>
      <x:c r="D5" s="21" t="str">
        <x:v>العنوان</x:v>
      </x:c>
      <x:c r="E5" s="21" t="str">
        <x:v>الإلزام</x:v>
      </x:c>
      <x:c r="F5" s="21" t="str">
        <x:v>الوجهة</x:v>
      </x:c>
      <x:c r="G5" s="21" t="str">
        <x:v>القيم المقبولة</x:v>
      </x:c>
      <x:c r="H5" s="21" t="str">
        <x:v>ملاحظات</x:v>
      </x:c>
    </x:row>
    <x:row r="6">
      <x:c r="A6" s="22" t="str">
        <x:v>الزبائن</x:v>
      </x:c>
      <x:c r="B6" s="22" t="str">
        <x:v>ربط الهجرة</x:v>
      </x:c>
      <x:c r="C6" s="22" t="str">
        <x:v>migration_customer_key</x:v>
      </x:c>
      <x:c r="D6" s="22" t="str">
        <x:v>مفتاح الزبون للهجرة</x:v>
      </x:c>
      <x:c r="E6" s="22" t="str">
        <x:v>إلزامي</x:v>
      </x:c>
      <x:c r="F6" s="22" t="str">
        <x:v>migration helper</x:v>
      </x:c>
      <x:c r="G6" s="22" t="str">
        <x:v>unique text</x:v>
      </x:c>
      <x:c r="H6" s="22" t="str">
        <x:v>معرّف ثابت يربط هذا الزبون مع شيتات أخرى. استخدم ID القديم أو كود مؤقت فريد.</x:v>
      </x:c>
    </x:row>
    <x:row r="7">
      <x:c r="A7" s="22" t="str">
        <x:v>الزبائن</x:v>
      </x:c>
      <x:c r="B7" s="22" t="str">
        <x:v>ربط الهجرة</x:v>
      </x:c>
      <x:c r="C7" s="22" t="str">
        <x:v>import_action</x:v>
      </x:c>
      <x:c r="D7" s="22" t="str">
        <x:v>إجراء الاستيراد</x:v>
      </x:c>
      <x:c r="E7" s="22" t="str">
        <x:v>إلزامي</x:v>
      </x:c>
      <x:c r="F7" s="22" t="str">
        <x:v>import pipeline</x:v>
      </x:c>
      <x:c r="G7" s="22" t="str">
        <x:v>create/update/skip</x:v>
      </x:c>
      <x:c r="H7" s="22" t="str">
        <x:v>create للزبون الجديد، update لتحديث زبون موجود، skip للتجاهل.</x:v>
      </x:c>
    </x:row>
    <x:row r="8">
      <x:c r="A8" s="22" t="str">
        <x:v>الزبائن</x:v>
      </x:c>
      <x:c r="B8" s="22" t="str">
        <x:v>ربط الهجرة</x:v>
      </x:c>
      <x:c r="C8" s="22" t="str">
        <x:v>old_system_customer_id</x:v>
      </x:c>
      <x:c r="D8" s="22" t="str">
        <x:v>ID النظام القديم</x:v>
      </x:c>
      <x:c r="E8" s="22" t="str">
        <x:v>اختياري</x:v>
      </x:c>
      <x:c r="F8" s="22" t="str">
        <x:v>migration audit</x:v>
      </x:c>
      <x:c r="G8" s="22" t="str">
        <x:v>text</x:v>
      </x:c>
      <x:c r="H8" s="22" t="str">
        <x:v>احتفظ به للتدقيق والمطابقة بعد الاستيراد.</x:v>
      </x:c>
    </x:row>
    <x:row r="9">
      <x:c r="A9" s="22" t="str">
        <x:v>الزبائن</x:v>
      </x:c>
      <x:c r="B9" s="22" t="str">
        <x:v>ربط الهجرة</x:v>
      </x:c>
      <x:c r="C9" s="22" t="str">
        <x:v>old_source_note</x:v>
      </x:c>
      <x:c r="D9" s="22" t="str">
        <x:v>مصدر/جدول قديم</x:v>
      </x:c>
      <x:c r="E9" s="22" t="str">
        <x:v>اختياري</x:v>
      </x:c>
      <x:c r="F9" s="22" t="str">
        <x:v>migration audit</x:v>
      </x:c>
      <x:c r="G9" s="22" t="str">
        <x:v>text</x:v>
      </x:c>
      <x:c r="H9" s="22" t="str">
        <x:v>مثال: customers_old، ملف Excel، فرع حلب.</x:v>
      </x:c>
    </x:row>
    <x:row r="10">
      <x:c r="A10" s="22" t="str">
        <x:v>الزبائن</x:v>
      </x:c>
      <x:c r="B10" s="22" t="str">
        <x:v>الفرع والملكية</x:v>
      </x:c>
      <x:c r="C10" s="22" t="str">
        <x:v>branch_id</x:v>
      </x:c>
      <x:c r="D10" s="22" t="str">
        <x:v>ID الفرع</x:v>
      </x:c>
      <x:c r="E10" s="22" t="str">
        <x:v>إلزامي</x:v>
      </x:c>
      <x:c r="F10" s="22" t="str">
        <x:v>clients.branch_id</x:v>
      </x:c>
      <x:c r="G10" s="22" t="str">
        <x:v>branches.id</x:v>
      </x:c>
      <x:c r="H10" s="22" t="str">
        <x:v>الاستيراد يعتمد على ID. الاسم بجانبه للمراجعة فقط.</x:v>
      </x:c>
    </x:row>
    <x:row r="11">
      <x:c r="A11" s="22" t="str">
        <x:v>الزبائن</x:v>
      </x:c>
      <x:c r="B11" s="22" t="str">
        <x:v>الفرع والملكية</x:v>
      </x:c>
      <x:c r="C11" s="22" t="str">
        <x:v>branch_name</x:v>
      </x:c>
      <x:c r="D11" s="22" t="str">
        <x:v>اسم الفرع للمراجعة</x:v>
      </x:c>
      <x:c r="E11" s="22" t="str">
        <x:v>مساعد</x:v>
      </x:c>
      <x:c r="F11" s="22" t="str">
        <x:v>branches.name</x:v>
      </x:c>
      <x:c r="G11" s="22" t="str">
        <x:v>text</x:v>
      </x:c>
      <x:c r="H11" s="22" t="str">
        <x:v>لا يغني عن branch_id عند الاستيراد.</x:v>
      </x:c>
    </x:row>
    <x:row r="12">
      <x:c r="A12" s="22" t="str">
        <x:v>الزبائن</x:v>
      </x:c>
      <x:c r="B12" s="22" t="str">
        <x:v>هوية الزبون</x:v>
      </x:c>
      <x:c r="C12" s="22" t="str">
        <x:v>first_name</x:v>
      </x:c>
      <x:c r="D12" s="22" t="str">
        <x:v>الاسم الأول</x:v>
      </x:c>
      <x:c r="E12" s="22" t="str">
        <x:v>إلزامي</x:v>
      </x:c>
      <x:c r="F12" s="22" t="str">
        <x:v>clients.first_name</x:v>
      </x:c>
      <x:c r="G12" s="22" t="str">
        <x:v>text</x:v>
      </x:c>
      <x:c r="H12" s="22" t="str">
        <x:v>مطلوب في شاشة إضافة الزبون.</x:v>
      </x:c>
    </x:row>
    <x:row r="13">
      <x:c r="A13" s="22" t="str">
        <x:v>الزبائن</x:v>
      </x:c>
      <x:c r="B13" s="22" t="str">
        <x:v>هوية الزبون</x:v>
      </x:c>
      <x:c r="C13" s="22" t="str">
        <x:v>father_name</x:v>
      </x:c>
      <x:c r="D13" s="22" t="str">
        <x:v>اسم الأب</x:v>
      </x:c>
      <x:c r="E13" s="22" t="str">
        <x:v>اختياري</x:v>
      </x:c>
      <x:c r="F13" s="22" t="str">
        <x:v>clients.father_name</x:v>
      </x:c>
      <x:c r="G13" s="22" t="str">
        <x:v>text</x:v>
      </x:c>
      <x:c r="H13" s="22" t="str">
        <x:v>يفضل تعبئته عند توفره.</x:v>
      </x:c>
    </x:row>
    <x:row r="14">
      <x:c r="A14" s="22" t="str">
        <x:v>الزبائن</x:v>
      </x:c>
      <x:c r="B14" s="22" t="str">
        <x:v>هوية الزبون</x:v>
      </x:c>
      <x:c r="C14" s="22" t="str">
        <x:v>last_name</x:v>
      </x:c>
      <x:c r="D14" s="22" t="str">
        <x:v>الكنية/العائلة</x:v>
      </x:c>
      <x:c r="E14" s="22" t="str">
        <x:v>إلزامي</x:v>
      </x:c>
      <x:c r="F14" s="22" t="str">
        <x:v>clients.last_name</x:v>
      </x:c>
      <x:c r="G14" s="22" t="str">
        <x:v>text</x:v>
      </x:c>
      <x:c r="H14" s="22" t="str">
        <x:v>مطلوب في شاشة إضافة الزبون.</x:v>
      </x:c>
    </x:row>
    <x:row r="15">
      <x:c r="A15" s="22" t="str">
        <x:v>الزبائن</x:v>
      </x:c>
      <x:c r="B15" s="22" t="str">
        <x:v>هوية الزبون</x:v>
      </x:c>
      <x:c r="C15" s="22" t="str">
        <x:v>nickname</x:v>
      </x:c>
      <x:c r="D15" s="22" t="str">
        <x:v>اللقب</x:v>
      </x:c>
      <x:c r="E15" s="22" t="str">
        <x:v>اختياري</x:v>
      </x:c>
      <x:c r="F15" s="22" t="str">
        <x:v>clients.nickname</x:v>
      </x:c>
      <x:c r="G15" s="22" t="str">
        <x:v>text</x:v>
      </x:c>
      <x:c r="H15" s="22" t="str">
        <x:v>مثال: أبو أحمد.</x:v>
      </x:c>
    </x:row>
    <x:row r="16">
      <x:c r="A16" s="22" t="str">
        <x:v>الزبائن</x:v>
      </x:c>
      <x:c r="B16" s="22" t="str">
        <x:v>هوية الزبون</x:v>
      </x:c>
      <x:c r="C16" s="22" t="str">
        <x:v>full_name_preview</x:v>
      </x:c>
      <x:c r="D16" s="22" t="str">
        <x:v>الاسم الكامل - تلقائي</x:v>
      </x:c>
      <x:c r="E16" s="22" t="str">
        <x:v>محسوب</x:v>
      </x:c>
      <x:c r="F16" s="22" t="str">
        <x:v>clients.name</x:v>
      </x:c>
      <x:c r="G16" s="22" t="str">
        <x:v>formula</x:v>
      </x:c>
      <x:c r="H16" s="22" t="str">
        <x:v>لا تعدله عادة. يتولد من الاسم الأول/الأب/الكنية/اللقب.</x:v>
      </x:c>
    </x:row>
    <x:row r="17">
      <x:c r="A17" s="22" t="str">
        <x:v>الزبائن</x:v>
      </x:c>
      <x:c r="B17" s="22" t="str">
        <x:v>التواصل الأساسي</x:v>
      </x:c>
      <x:c r="C17" s="22" t="str">
        <x:v>primary_contact_type</x:v>
      </x:c>
      <x:c r="D17" s="22" t="str">
        <x:v>نوع الرقم الأساسي</x:v>
      </x:c>
      <x:c r="E17" s="22" t="str">
        <x:v>إلزامي</x:v>
      </x:c>
      <x:c r="F17" s="22" t="str">
        <x:v>clients.contacts[].type</x:v>
      </x:c>
      <x:c r="G17" s="22" t="str">
        <x:v>contact_type</x:v>
      </x:c>
      <x:c r="H17" s="22" t="str">
        <x:v>غالباً mobile.</x:v>
      </x:c>
    </x:row>
    <x:row r="18">
      <x:c r="A18" s="22" t="str">
        <x:v>الزبائن</x:v>
      </x:c>
      <x:c r="B18" s="22" t="str">
        <x:v>التواصل الأساسي</x:v>
      </x:c>
      <x:c r="C18" s="22" t="str">
        <x:v>primary_phone</x:v>
      </x:c>
      <x:c r="D18" s="22" t="str">
        <x:v>الرقم الأساسي</x:v>
      </x:c>
      <x:c r="E18" s="22" t="str">
        <x:v>إلزامي</x:v>
      </x:c>
      <x:c r="F18" s="22" t="str">
        <x:v>clients.mobile</x:v>
      </x:c>
      <x:c r="G18" s="22" t="str">
        <x:v>09XXXXXXXX</x:v>
      </x:c>
      <x:c r="H18" s="22" t="str">
        <x:v>يجب أن يكون فريداً. للموبايل السوري: 10 أرقام ويبدأ بـ 09.</x:v>
      </x:c>
    </x:row>
    <x:row r="19">
      <x:c r="A19" s="22" t="str">
        <x:v>الزبائن</x:v>
      </x:c>
      <x:c r="B19" s="22" t="str">
        <x:v>التواصل الأساسي</x:v>
      </x:c>
      <x:c r="C19" s="22" t="str">
        <x:v>primary_phone_status</x:v>
      </x:c>
      <x:c r="D19" s="22" t="str">
        <x:v>حالة الرقم الأساسي</x:v>
      </x:c>
      <x:c r="E19" s="22" t="str">
        <x:v>إلزامي</x:v>
      </x:c>
      <x:c r="F19" s="22" t="str">
        <x:v>clients.contacts[].status</x:v>
      </x:c>
      <x:c r="G19" s="22" t="str">
        <x:v>contact_status</x:v>
      </x:c>
      <x:c r="H19" s="22" t="str">
        <x:v>إذا الرقم معروف أنه خطأ ضع invalid.</x:v>
      </x:c>
    </x:row>
    <x:row r="20">
      <x:c r="A20" s="22" t="str">
        <x:v>الزبائن</x:v>
      </x:c>
      <x:c r="B20" s="22" t="str">
        <x:v>التواصل الأساسي</x:v>
      </x:c>
      <x:c r="C20" s="22" t="str">
        <x:v>primary_has_whatsapp</x:v>
      </x:c>
      <x:c r="D20" s="22" t="str">
        <x:v>واتساب للرقم الأساسي</x:v>
      </x:c>
      <x:c r="E20" s="22" t="str">
        <x:v>اختياري</x:v>
      </x:c>
      <x:c r="F20" s="22" t="str">
        <x:v>clients.contacts[].hasWhatsApp</x:v>
      </x:c>
      <x:c r="G20" s="22" t="str">
        <x:v>TRUE/FALSE</x:v>
      </x:c>
      <x:c r="H20" s="22" t="str">
        <x:v>اتركه فارغاً إذا غير معروف.</x:v>
      </x:c>
    </x:row>
    <x:row r="21">
      <x:c r="A21" s="22" t="str">
        <x:v>الزبائن</x:v>
      </x:c>
      <x:c r="B21" s="22" t="str">
        <x:v>العنوان</x:v>
      </x:c>
      <x:c r="C21" s="22" t="str">
        <x:v>governorate_id</x:v>
      </x:c>
      <x:c r="D21" s="22" t="str">
        <x:v>ID المحافظة</x:v>
      </x:c>
      <x:c r="E21" s="22" t="str">
        <x:v>مساعد</x:v>
      </x:c>
      <x:c r="F21" s="22" t="str">
        <x:v>clients.governorate</x:v>
      </x:c>
      <x:c r="G21" s="22" t="str">
        <x:v>geo_units.id</x:v>
      </x:c>
      <x:c r="H21" s="22" t="str">
        <x:v>يفضل تعبئته من مرجع geo_units.</x:v>
      </x:c>
    </x:row>
    <x:row r="22">
      <x:c r="A22" s="22" t="str">
        <x:v>الزبائن</x:v>
      </x:c>
      <x:c r="B22" s="22" t="str">
        <x:v>العنوان</x:v>
      </x:c>
      <x:c r="C22" s="22" t="str">
        <x:v>governorate_name</x:v>
      </x:c>
      <x:c r="D22" s="22" t="str">
        <x:v>المحافظة</x:v>
      </x:c>
      <x:c r="E22" s="22" t="str">
        <x:v>مساعد</x:v>
      </x:c>
      <x:c r="F22" s="22" t="str">
        <x:v>geo_units.name</x:v>
      </x:c>
      <x:c r="G22" s="22" t="str">
        <x:v>text</x:v>
      </x:c>
      <x:c r="H22" s="22" t="str">
        <x:v>للمراجعة البشرية.</x:v>
      </x:c>
    </x:row>
    <x:row r="23">
      <x:c r="A23" s="22" t="str">
        <x:v>الزبائن</x:v>
      </x:c>
      <x:c r="B23" s="22" t="str">
        <x:v>العنوان</x:v>
      </x:c>
      <x:c r="C23" s="22" t="str">
        <x:v>district_id</x:v>
      </x:c>
      <x:c r="D23" s="22" t="str">
        <x:v>ID المنطقة</x:v>
      </x:c>
      <x:c r="E23" s="22" t="str">
        <x:v>مساعد</x:v>
      </x:c>
      <x:c r="F23" s="22" t="str">
        <x:v>clients.district</x:v>
      </x:c>
      <x:c r="G23" s="22" t="str">
        <x:v>geo_units.id</x:v>
      </x:c>
      <x:c r="H23" s="22" t="str">
        <x:v>يفضل تعبئته من مرجع geo_units.</x:v>
      </x:c>
    </x:row>
    <x:row r="24">
      <x:c r="A24" s="22" t="str">
        <x:v>الزبائن</x:v>
      </x:c>
      <x:c r="B24" s="22" t="str">
        <x:v>العنوان</x:v>
      </x:c>
      <x:c r="C24" s="22" t="str">
        <x:v>district_name</x:v>
      </x:c>
      <x:c r="D24" s="22" t="str">
        <x:v>المنطقة</x:v>
      </x:c>
      <x:c r="E24" s="22" t="str">
        <x:v>مساعد</x:v>
      </x:c>
      <x:c r="F24" s="22" t="str">
        <x:v>geo_units.name</x:v>
      </x:c>
      <x:c r="G24" s="22" t="str">
        <x:v>text</x:v>
      </x:c>
      <x:c r="H24" s="22" t="str">
        <x:v>للمراجعة البشرية.</x:v>
      </x:c>
    </x:row>
    <x:row r="25">
      <x:c r="A25" s="22" t="str">
        <x:v>الزبائن</x:v>
      </x:c>
      <x:c r="B25" s="22" t="str">
        <x:v>العنوان</x:v>
      </x:c>
      <x:c r="C25" s="22" t="str">
        <x:v>neighborhood_id</x:v>
      </x:c>
      <x:c r="D25" s="22" t="str">
        <x:v>ID الناحية/الحي النهائي</x:v>
      </x:c>
      <x:c r="E25" s="22" t="str">
        <x:v>إلزامي</x:v>
      </x:c>
      <x:c r="F25" s="22" t="str">
        <x:v>clients.neighborhood</x:v>
      </x:c>
      <x:c r="G25" s="22" t="str">
        <x:v>geo_units.id</x:v>
      </x:c>
      <x:c r="H25" s="22" t="str">
        <x:v>هذا هو أعمق موقع جغرافي ويجب أن يكون ضمن تغطية الفرع.</x:v>
      </x:c>
    </x:row>
    <x:row r="26">
      <x:c r="A26" s="22" t="str">
        <x:v>الزبائن</x:v>
      </x:c>
      <x:c r="B26" s="22" t="str">
        <x:v>العنوان</x:v>
      </x:c>
      <x:c r="C26" s="22" t="str">
        <x:v>neighborhood_name</x:v>
      </x:c>
      <x:c r="D26" s="22" t="str">
        <x:v>الناحية/الحي</x:v>
      </x:c>
      <x:c r="E26" s="22" t="str">
        <x:v>مساعد</x:v>
      </x:c>
      <x:c r="F26" s="22" t="str">
        <x:v>geo_units.name</x:v>
      </x:c>
      <x:c r="G26" s="22" t="str">
        <x:v>text</x:v>
      </x:c>
      <x:c r="H26" s="22" t="str">
        <x:v>للمراجعة البشرية.</x:v>
      </x:c>
    </x:row>
    <x:row r="27">
      <x:c r="A27" s="22" t="str">
        <x:v>الزبائن</x:v>
      </x:c>
      <x:c r="B27" s="22" t="str">
        <x:v>العنوان</x:v>
      </x:c>
      <x:c r="C27" s="22" t="str">
        <x:v>detailed_address</x:v>
      </x:c>
      <x:c r="D27" s="22" t="str">
        <x:v>العنوان التفصيلي</x:v>
      </x:c>
      <x:c r="E27" s="22" t="str">
        <x:v>موصى به</x:v>
      </x:c>
      <x:c r="F27" s="22" t="str">
        <x:v>clients.detailed_address</x:v>
      </x:c>
      <x:c r="G27" s="22" t="str">
        <x:v>text</x:v>
      </x:c>
      <x:c r="H27" s="22" t="str">
        <x:v>مثال: شارع، بناء، طابق، علامة مميزة.</x:v>
      </x:c>
    </x:row>
    <x:row r="28">
      <x:c r="A28" s="22" t="str">
        <x:v>الزبائن</x:v>
      </x:c>
      <x:c r="B28" s="22" t="str">
        <x:v>العنوان</x:v>
      </x:c>
      <x:c r="C28" s="22" t="str">
        <x:v>gps_lat</x:v>
      </x:c>
      <x:c r="D28" s="22" t="str">
        <x:v>GPS Lat</x:v>
      </x:c>
      <x:c r="E28" s="22" t="str">
        <x:v>اختياري</x:v>
      </x:c>
      <x:c r="F28" s="22" t="str">
        <x:v>clients.gps_coordinates.lat</x:v>
      </x:c>
      <x:c r="G28" s="22" t="str">
        <x:v>number</x:v>
      </x:c>
      <x:c r="H28" s="22" t="str">
        <x:v>خط العرض إذا متوفر.</x:v>
      </x:c>
    </x:row>
    <x:row r="29">
      <x:c r="A29" s="22" t="str">
        <x:v>الزبائن</x:v>
      </x:c>
      <x:c r="B29" s="22" t="str">
        <x:v>العنوان</x:v>
      </x:c>
      <x:c r="C29" s="22" t="str">
        <x:v>gps_lng</x:v>
      </x:c>
      <x:c r="D29" s="22" t="str">
        <x:v>GPS Lng</x:v>
      </x:c>
      <x:c r="E29" s="22" t="str">
        <x:v>اختياري</x:v>
      </x:c>
      <x:c r="F29" s="22" t="str">
        <x:v>clients.gps_coordinates.lng</x:v>
      </x:c>
      <x:c r="G29" s="22" t="str">
        <x:v>number</x:v>
      </x:c>
      <x:c r="H29" s="22" t="str">
        <x:v>خط الطول إذا متوفر.</x:v>
      </x:c>
    </x:row>
    <x:row r="30">
      <x:c r="A30" s="22" t="str">
        <x:v>الزبائن</x:v>
      </x:c>
      <x:c r="B30" s="22" t="str">
        <x:v>المصدر والوسيط</x:v>
      </x:c>
      <x:c r="C30" s="22" t="str">
        <x:v>source_channel</x:v>
      </x:c>
      <x:c r="D30" s="22" t="str">
        <x:v>قناة المصدر</x:v>
      </x:c>
      <x:c r="E30" s="22" t="str">
        <x:v>اختياري</x:v>
      </x:c>
      <x:c r="F30" s="22" t="str">
        <x:v>clients.source_channel</x:v>
      </x:c>
      <x:c r="G30" s="22" t="str">
        <x:v>source_channel</x:v>
      </x:c>
      <x:c r="H30" s="22" t="str">
        <x:v>القيم المتوافقة مع شاشة الزبون.</x:v>
      </x:c>
    </x:row>
    <x:row r="31">
      <x:c r="A31" s="22" t="str">
        <x:v>الزبائن</x:v>
      </x:c>
      <x:c r="B31" s="22" t="str">
        <x:v>المصدر والوسيط</x:v>
      </x:c>
      <x:c r="C31" s="22" t="str">
        <x:v>referrer_type</x:v>
      </x:c>
      <x:c r="D31" s="22" t="str">
        <x:v>نوع الوسيط</x:v>
      </x:c>
      <x:c r="E31" s="22" t="str">
        <x:v>اختياري</x:v>
      </x:c>
      <x:c r="F31" s="22" t="str">
        <x:v>clients.referrer_type/referrers[].type</x:v>
      </x:c>
      <x:c r="G31" s="22" t="str">
        <x:v>referrer_type</x:v>
      </x:c>
      <x:c r="H31" s="22" t="str">
        <x:v>Personal/Employee/Client/Unknown.</x:v>
      </x:c>
    </x:row>
    <x:row r="32">
      <x:c r="A32" s="22" t="str">
        <x:v>الزبائن</x:v>
      </x:c>
      <x:c r="B32" s="22" t="str">
        <x:v>المصدر والوسيط</x:v>
      </x:c>
      <x:c r="C32" s="22" t="str">
        <x:v>referrer_entity_id</x:v>
      </x:c>
      <x:c r="D32" s="22" t="str">
        <x:v>ID الوسيط</x:v>
      </x:c>
      <x:c r="E32" s="22" t="str">
        <x:v>حسب النوع</x:v>
      </x:c>
      <x:c r="F32" s="22" t="str">
        <x:v>clients.referral_entity_id</x:v>
      </x:c>
      <x:c r="G32" s="22" t="str">
        <x:v>number</x:v>
      </x:c>
      <x:c r="H32" s="22" t="str">
        <x:v>للوسيط Employee أو Client عند توفر ID النظام الجديد.</x:v>
      </x:c>
    </x:row>
    <x:row r="33">
      <x:c r="A33" s="22" t="str">
        <x:v>الزبائن</x:v>
      </x:c>
      <x:c r="B33" s="22" t="str">
        <x:v>المصدر والوسيط</x:v>
      </x:c>
      <x:c r="C33" s="22" t="str">
        <x:v>referrer_name</x:v>
      </x:c>
      <x:c r="D33" s="22" t="str">
        <x:v>اسم الوسيط</x:v>
      </x:c>
      <x:c r="E33" s="22" t="str">
        <x:v>مساعد</x:v>
      </x:c>
      <x:c r="F33" s="22" t="str">
        <x:v>clients.referrer_name</x:v>
      </x:c>
      <x:c r="G33" s="22" t="str">
        <x:v>text</x:v>
      </x:c>
      <x:c r="H33" s="22" t="str">
        <x:v>Snapshot للاسم عند التنظيف.</x:v>
      </x:c>
    </x:row>
    <x:row r="34">
      <x:c r="A34" s="22" t="str">
        <x:v>الزبائن</x:v>
      </x:c>
      <x:c r="B34" s="22" t="str">
        <x:v>المصدر والوسيط</x:v>
      </x:c>
      <x:c r="C34" s="22" t="str">
        <x:v>referral_date</x:v>
      </x:c>
      <x:c r="D34" s="22" t="str">
        <x:v>تاريخ الإحالة</x:v>
      </x:c>
      <x:c r="E34" s="22" t="str">
        <x:v>اختياري</x:v>
      </x:c>
      <x:c r="F34" s="22" t="str">
        <x:v>clients.referral_date</x:v>
      </x:c>
      <x:c r="G34" s="22" t="str">
        <x:v>yyyy-mm-dd</x:v>
      </x:c>
      <x:c r="H34" s="22" t="str">
        <x:v>استخدم تاريخاً موحداً.</x:v>
      </x:c>
    </x:row>
    <x:row r="35">
      <x:c r="A35" s="22" t="str">
        <x:v>الزبائن</x:v>
      </x:c>
      <x:c r="B35" s="22" t="str">
        <x:v>المصدر والوسيط</x:v>
      </x:c>
      <x:c r="C35" s="22" t="str">
        <x:v>referral_reason</x:v>
      </x:c>
      <x:c r="D35" s="22" t="str">
        <x:v>سبب الإحالة</x:v>
      </x:c>
      <x:c r="E35" s="22" t="str">
        <x:v>اختياري</x:v>
      </x:c>
      <x:c r="F35" s="22" t="str">
        <x:v>clients.referral_reason</x:v>
      </x:c>
      <x:c r="G35" s="22" t="str">
        <x:v>text</x:v>
      </x:c>
      <x:c r="H35" s="22" t="str">
        <x:v>سبب أو حملة الإحالة.</x:v>
      </x:c>
    </x:row>
    <x:row r="36">
      <x:c r="A36" s="22" t="str">
        <x:v>الزبائن</x:v>
      </x:c>
      <x:c r="B36" s="22" t="str">
        <x:v>المصدر والوسيط</x:v>
      </x:c>
      <x:c r="C36" s="22" t="str">
        <x:v>referral_notes</x:v>
      </x:c>
      <x:c r="D36" s="22" t="str">
        <x:v>ملاحظات الوسيط</x:v>
      </x:c>
      <x:c r="E36" s="22" t="str">
        <x:v>اختياري</x:v>
      </x:c>
      <x:c r="F36" s="22" t="str">
        <x:v>clients.referral_notes</x:v>
      </x:c>
      <x:c r="G36" s="22" t="str">
        <x:v>text</x:v>
      </x:c>
      <x:c r="H36" s="22" t="str">
        <x:v>أي ملاحظات عن الوسيط أو التواصل.</x:v>
      </x:c>
    </x:row>
    <x:row r="37">
      <x:c r="A37" s="22" t="str">
        <x:v>الزبائن</x:v>
      </x:c>
      <x:c r="B37" s="22" t="str">
        <x:v>المصدر والوسيط</x:v>
      </x:c>
      <x:c r="C37" s="22" t="str">
        <x:v>referral_sheet_id</x:v>
      </x:c>
      <x:c r="D37" s="22" t="str">
        <x:v>ID ورقة الإحالة</x:v>
      </x:c>
      <x:c r="E37" s="22" t="str">
        <x:v>اختياري</x:v>
      </x:c>
      <x:c r="F37" s="22" t="str">
        <x:v>clients.referral_sheet_id</x:v>
      </x:c>
      <x:c r="G37" s="22" t="str">
        <x:v>number</x:v>
      </x:c>
      <x:c r="H37" s="22" t="str">
        <x:v>إذا كان المصدر referral sheet.</x:v>
      </x:c>
    </x:row>
    <x:row r="38">
      <x:c r="A38" s="22" t="str">
        <x:v>الزبائن</x:v>
      </x:c>
      <x:c r="B38" s="22" t="str">
        <x:v>المصدر والوسيط</x:v>
      </x:c>
      <x:c r="C38" s="22" t="str">
        <x:v>referral_address_text</x:v>
      </x:c>
      <x:c r="D38" s="22" t="str">
        <x:v>عنوان الإحالة</x:v>
      </x:c>
      <x:c r="E38" s="22" t="str">
        <x:v>اختياري</x:v>
      </x:c>
      <x:c r="F38" s="22" t="str">
        <x:v>clients.referral_address_text</x:v>
      </x:c>
      <x:c r="G38" s="22" t="str">
        <x:v>text</x:v>
      </x:c>
      <x:c r="H38" s="22" t="str">
        <x:v>عنوان ورد من المصدر القديم.</x:v>
      </x:c>
    </x:row>
    <x:row r="39">
      <x:c r="A39" s="22" t="str">
        <x:v>الزبائن</x:v>
      </x:c>
      <x:c r="B39" s="22" t="str">
        <x:v>الفرع والملكية</x:v>
      </x:c>
      <x:c r="C39" s="22" t="str">
        <x:v>assignment_user_ids</x:v>
      </x:c>
      <x:c r="D39" s="22" t="str">
        <x:v>مسؤولو الزبون</x:v>
      </x:c>
      <x:c r="E39" s="22" t="str">
        <x:v>اختياري</x:v>
      </x:c>
      <x:c r="F39" s="22" t="str">
        <x:v>client_assignments.user_id</x:v>
      </x:c>
      <x:c r="G39" s="22" t="str">
        <x:v>comma-separated ids</x:v>
      </x:c>
      <x:c r="H39" s="22" t="str">
        <x:v>أكثر من مستخدم مفصول بفواصل، مثال: 12,18. لا تستخدم assigned_hr_user_id لأنه ملغى.</x:v>
      </x:c>
    </x:row>
    <x:row r="40">
      <x:c r="A40" s="22" t="str">
        <x:v>الزبائن</x:v>
      </x:c>
      <x:c r="B40" s="22" t="str">
        <x:v>الحالة</x:v>
      </x:c>
      <x:c r="C40" s="22" t="str">
        <x:v>is_candidate</x:v>
      </x:c>
      <x:c r="D40" s="22" t="str">
        <x:v>هل هو اسم مرشح؟</x:v>
      </x:c>
      <x:c r="E40" s="22" t="str">
        <x:v>اختياري</x:v>
      </x:c>
      <x:c r="F40" s="22" t="str">
        <x:v>clients.is_candidate</x:v>
      </x:c>
      <x:c r="G40" s="22" t="str">
        <x:v>TRUE/FALSE</x:v>
      </x:c>
      <x:c r="H40" s="22" t="str">
        <x:v>اتركه FALSE/فارغ إذا زبون مباشر.</x:v>
      </x:c>
    </x:row>
    <x:row r="41">
      <x:c r="A41" s="22" t="str">
        <x:v>الزبائن</x:v>
      </x:c>
      <x:c r="B41" s="22" t="str">
        <x:v>الحالة</x:v>
      </x:c>
      <x:c r="C41" s="22" t="str">
        <x:v>candidate_status</x:v>
      </x:c>
      <x:c r="D41" s="22" t="str">
        <x:v>حالة المرشح</x:v>
      </x:c>
      <x:c r="E41" s="22" t="str">
        <x:v>اختياري</x:v>
      </x:c>
      <x:c r="F41" s="22" t="str">
        <x:v>clients.candidate_status</x:v>
      </x:c>
      <x:c r="G41" s="22" t="str">
        <x:v>Lead/FOP/OP</x:v>
      </x:c>
      <x:c r="H41" s="22" t="str">
        <x:v>استخدمها إذا كان الزبون قادم من مسار المرشحين.</x:v>
      </x:c>
    </x:row>
    <x:row r="42">
      <x:c r="A42" s="22" t="str">
        <x:v>الزبائن</x:v>
      </x:c>
      <x:c r="B42" s="22" t="str">
        <x:v>الحالة</x:v>
      </x:c>
      <x:c r="C42" s="22" t="str">
        <x:v>target_client</x:v>
      </x:c>
      <x:c r="D42" s="22" t="str">
        <x:v>الزبون المستهدف</x:v>
      </x:c>
      <x:c r="E42" s="22" t="str">
        <x:v>اختياري</x:v>
      </x:c>
      <x:c r="F42" s="22" t="str">
        <x:v>clients.target_client</x:v>
      </x:c>
      <x:c r="G42" s="22" t="str">
        <x:v>text</x:v>
      </x:c>
      <x:c r="H42" s="22" t="str">
        <x:v>نص مرجعي من النظام القديم إن وجد.</x:v>
      </x:c>
    </x:row>
    <x:row r="43">
      <x:c r="A43" s="22" t="str">
        <x:v>الزبائن</x:v>
      </x:c>
      <x:c r="B43" s="22" t="str">
        <x:v>بيانات مدنية</x:v>
      </x:c>
      <x:c r="C43" s="22" t="str">
        <x:v>gender</x:v>
      </x:c>
      <x:c r="D43" s="22" t="str">
        <x:v>الجنس</x:v>
      </x:c>
      <x:c r="E43" s="22" t="str">
        <x:v>اختياري</x:v>
      </x:c>
      <x:c r="F43" s="22" t="str">
        <x:v>clients.gender</x:v>
      </x:c>
      <x:c r="G43" s="22" t="str">
        <x:v>male/female</x:v>
      </x:c>
      <x:c r="H43" s="22" t="str">
        <x:v>قيم تقنية إنكليزية.</x:v>
      </x:c>
    </x:row>
    <x:row r="44">
      <x:c r="A44" s="22" t="str">
        <x:v>الزبائن</x:v>
      </x:c>
      <x:c r="B44" s="22" t="str">
        <x:v>بيانات مدنية</x:v>
      </x:c>
      <x:c r="C44" s="22" t="str">
        <x:v>birth_date</x:v>
      </x:c>
      <x:c r="D44" s="22" t="str">
        <x:v>تاريخ الميلاد</x:v>
      </x:c>
      <x:c r="E44" s="22" t="str">
        <x:v>اختياري</x:v>
      </x:c>
      <x:c r="F44" s="22" t="str">
        <x:v>clients.birth_date</x:v>
      </x:c>
      <x:c r="G44" s="22" t="str">
        <x:v>yyyy-mm-dd</x:v>
      </x:c>
      <x:c r="H44" s="22" t="str">
        <x:v>تاريخ قابل للفرز.</x:v>
      </x:c>
    </x:row>
    <x:row r="45">
      <x:c r="A45" s="22" t="str">
        <x:v>الزبائن</x:v>
      </x:c>
      <x:c r="B45" s="22" t="str">
        <x:v>بيانات مدنية</x:v>
      </x:c>
      <x:c r="C45" s="22" t="str">
        <x:v>mother_name</x:v>
      </x:c>
      <x:c r="D45" s="22" t="str">
        <x:v>اسم الأم</x:v>
      </x:c>
      <x:c r="E45" s="22" t="str">
        <x:v>اختياري</x:v>
      </x:c>
      <x:c r="F45" s="22" t="str">
        <x:v>clients.mother_name</x:v>
      </x:c>
      <x:c r="G45" s="22" t="str">
        <x:v>text</x:v>
      </x:c>
      <x:c r="H45" s="22" t="str"/>
    </x:row>
    <x:row r="46">
      <x:c r="A46" s="22" t="str">
        <x:v>الزبائن</x:v>
      </x:c>
      <x:c r="B46" s="22" t="str">
        <x:v>بيانات مدنية</x:v>
      </x:c>
      <x:c r="C46" s="22" t="str">
        <x:v>national_id</x:v>
      </x:c>
      <x:c r="D46" s="22" t="str">
        <x:v>الرقم الوطني</x:v>
      </x:c>
      <x:c r="E46" s="22" t="str">
        <x:v>اختياري</x:v>
      </x:c>
      <x:c r="F46" s="22" t="str">
        <x:v>clients.national_id</x:v>
      </x:c>
      <x:c r="G46" s="22" t="str">
        <x:v>text digits</x:v>
      </x:c>
      <x:c r="H46" s="22" t="str">
        <x:v>احفظه كنص كي لا تضيع الأصفار.</x:v>
      </x:c>
    </x:row>
    <x:row r="47">
      <x:c r="A47" s="22" t="str">
        <x:v>الزبائن</x:v>
      </x:c>
      <x:c r="B47" s="22" t="str">
        <x:v>بيانات مدنية</x:v>
      </x:c>
      <x:c r="C47" s="22" t="str">
        <x:v>national_id_registry</x:v>
      </x:c>
      <x:c r="D47" s="22" t="str">
        <x:v>القيد</x:v>
      </x:c>
      <x:c r="E47" s="22" t="str">
        <x:v>اختياري</x:v>
      </x:c>
      <x:c r="F47" s="22" t="str">
        <x:v>clients.national_id_registry</x:v>
      </x:c>
      <x:c r="G47" s="22" t="str">
        <x:v>text</x:v>
      </x:c>
      <x:c r="H47" s="22" t="str"/>
    </x:row>
    <x:row r="48">
      <x:c r="A48" s="22" t="str">
        <x:v>الزبائن</x:v>
      </x:c>
      <x:c r="B48" s="22" t="str">
        <x:v>بيانات مدنية</x:v>
      </x:c>
      <x:c r="C48" s="22" t="str">
        <x:v>national_id_issued_by</x:v>
      </x:c>
      <x:c r="D48" s="22" t="str">
        <x:v>أمانة السجل</x:v>
      </x:c>
      <x:c r="E48" s="22" t="str">
        <x:v>اختياري</x:v>
      </x:c>
      <x:c r="F48" s="22" t="str">
        <x:v>clients.national_id_issued_by</x:v>
      </x:c>
      <x:c r="G48" s="22" t="str">
        <x:v>text</x:v>
      </x:c>
      <x:c r="H48" s="22" t="str"/>
    </x:row>
    <x:row r="49">
      <x:c r="A49" s="22" t="str">
        <x:v>الزبائن</x:v>
      </x:c>
      <x:c r="B49" s="22" t="str">
        <x:v>بيانات مدنية</x:v>
      </x:c>
      <x:c r="C49" s="22" t="str">
        <x:v>national_id_issue_date</x:v>
      </x:c>
      <x:c r="D49" s="22" t="str">
        <x:v>تاريخ منح الهوية</x:v>
      </x:c>
      <x:c r="E49" s="22" t="str">
        <x:v>اختياري</x:v>
      </x:c>
      <x:c r="F49" s="22" t="str">
        <x:v>clients.national_id_issue_date</x:v>
      </x:c>
      <x:c r="G49" s="22" t="str">
        <x:v>yyyy-mm-dd</x:v>
      </x:c>
      <x:c r="H49" s="22" t="str"/>
    </x:row>
    <x:row r="50">
      <x:c r="A50" s="22" t="str">
        <x:v>الزبائن</x:v>
      </x:c>
      <x:c r="B50" s="22" t="str">
        <x:v>بيانات مدنية</x:v>
      </x:c>
      <x:c r="C50" s="22" t="str">
        <x:v>national_id_box</x:v>
      </x:c>
      <x:c r="D50" s="22" t="str">
        <x:v>الخانة</x:v>
      </x:c>
      <x:c r="E50" s="22" t="str">
        <x:v>اختياري</x:v>
      </x:c>
      <x:c r="F50" s="22" t="str">
        <x:v>clients.national_id_box</x:v>
      </x:c>
      <x:c r="G50" s="22" t="str">
        <x:v>text</x:v>
      </x:c>
      <x:c r="H50" s="22" t="str"/>
    </x:row>
    <x:row r="51">
      <x:c r="A51" s="22" t="str">
        <x:v>الزبائن</x:v>
      </x:c>
      <x:c r="B51" s="22" t="str">
        <x:v>بيانات إضافية</x:v>
      </x:c>
      <x:c r="C51" s="22" t="str">
        <x:v>occupation</x:v>
      </x:c>
      <x:c r="D51" s="22" t="str">
        <x:v>مهنة الزبون</x:v>
      </x:c>
      <x:c r="E51" s="22" t="str">
        <x:v>اختياري</x:v>
      </x:c>
      <x:c r="F51" s="22" t="str">
        <x:v>clients.occupation</x:v>
      </x:c>
      <x:c r="G51" s="22" t="str">
        <x:v>system list</x:v>
      </x:c>
      <x:c r="H51" s="22" t="str">
        <x:v>يفضل المطابقة مع قائمة المهن في النظام.</x:v>
      </x:c>
    </x:row>
    <x:row r="52">
      <x:c r="A52" s="22" t="str">
        <x:v>الزبائن</x:v>
      </x:c>
      <x:c r="B52" s="22" t="str">
        <x:v>بيانات إضافية</x:v>
      </x:c>
      <x:c r="C52" s="22" t="str">
        <x:v>spouse_occupation</x:v>
      </x:c>
      <x:c r="D52" s="22" t="str">
        <x:v>مهنة الزوج/الزوجة</x:v>
      </x:c>
      <x:c r="E52" s="22" t="str">
        <x:v>اختياري</x:v>
      </x:c>
      <x:c r="F52" s="22" t="str">
        <x:v>clients.spouse_occupation</x:v>
      </x:c>
      <x:c r="G52" s="22" t="str">
        <x:v>system list</x:v>
      </x:c>
      <x:c r="H52" s="22" t="str"/>
    </x:row>
    <x:row r="53">
      <x:c r="A53" s="22" t="str">
        <x:v>الزبائن</x:v>
      </x:c>
      <x:c r="B53" s="22" t="str">
        <x:v>بيانات إضافية</x:v>
      </x:c>
      <x:c r="C53" s="22" t="str">
        <x:v>water_source</x:v>
      </x:c>
      <x:c r="D53" s="22" t="str">
        <x:v>مصدر المياه</x:v>
      </x:c>
      <x:c r="E53" s="22" t="str">
        <x:v>اختياري</x:v>
      </x:c>
      <x:c r="F53" s="22" t="str">
        <x:v>clients.water_source</x:v>
      </x:c>
      <x:c r="G53" s="22" t="str">
        <x:v>system list</x:v>
      </x:c>
      <x:c r="H53" s="22" t="str">
        <x:v>يفضل المطابقة مع قائمة مصادر المياه.</x:v>
      </x:c>
    </x:row>
    <x:row r="54">
      <x:c r="A54" s="22" t="str">
        <x:v>الزبائن</x:v>
      </x:c>
      <x:c r="B54" s="22" t="str">
        <x:v>بيانات إضافية</x:v>
      </x:c>
      <x:c r="C54" s="22" t="str">
        <x:v>data_quality</x:v>
      </x:c>
      <x:c r="D54" s="22" t="str">
        <x:v>صحة البيانات</x:v>
      </x:c>
      <x:c r="E54" s="22" t="str">
        <x:v>اختياري</x:v>
      </x:c>
      <x:c r="F54" s="22" t="str">
        <x:v>clients.data_quality</x:v>
      </x:c>
      <x:c r="G54" s="22" t="str">
        <x:v>data_quality</x:v>
      </x:c>
      <x:c r="H54" s="22" t="str">
        <x:v>correct/incorrect/needs_edit.</x:v>
      </x:c>
    </x:row>
    <x:row r="55">
      <x:c r="A55" s="22" t="str">
        <x:v>الزبائن</x:v>
      </x:c>
      <x:c r="B55" s="22" t="str">
        <x:v>بيانات إضافية</x:v>
      </x:c>
      <x:c r="C55" s="22" t="str">
        <x:v>rating</x:v>
      </x:c>
      <x:c r="D55" s="22" t="str">
        <x:v>تقييم الزبون</x:v>
      </x:c>
      <x:c r="E55" s="22" t="str">
        <x:v>اختياري</x:v>
      </x:c>
      <x:c r="F55" s="22" t="str">
        <x:v>clients.rating</x:v>
      </x:c>
      <x:c r="G55" s="22" t="str">
        <x:v>rating</x:v>
      </x:c>
      <x:c r="H55" s="22" t="str">
        <x:v>عند إنشاء الزبون من API يبدأ Undefined، لكن الاستيراد المباشر قد يحافظ على القيمة.</x:v>
      </x:c>
    </x:row>
    <x:row r="56">
      <x:c r="A56" s="22" t="str">
        <x:v>الزبائن</x:v>
      </x:c>
      <x:c r="B56" s="22" t="str">
        <x:v>ضبط التواصل</x:v>
      </x:c>
      <x:c r="C56" s="22" t="str">
        <x:v>do_not_contact</x:v>
      </x:c>
      <x:c r="D56" s="22" t="str">
        <x:v>عدم التواصل</x:v>
      </x:c>
      <x:c r="E56" s="22" t="str">
        <x:v>اختياري</x:v>
      </x:c>
      <x:c r="F56" s="22" t="str">
        <x:v>clients.do_not_contact</x:v>
      </x:c>
      <x:c r="G56" s="22" t="str">
        <x:v>TRUE/FALSE</x:v>
      </x:c>
      <x:c r="H56" s="22" t="str">
        <x:v>استخدم بحذر.</x:v>
      </x:c>
    </x:row>
    <x:row r="57">
      <x:c r="A57" s="22" t="str">
        <x:v>الزبائن</x:v>
      </x:c>
      <x:c r="B57" s="22" t="str">
        <x:v>ضبط التواصل</x:v>
      </x:c>
      <x:c r="C57" s="22" t="str">
        <x:v>cooldown_until</x:v>
      </x:c>
      <x:c r="D57" s="22" t="str">
        <x:v>تهدئة حتى</x:v>
      </x:c>
      <x:c r="E57" s="22" t="str">
        <x:v>اختياري</x:v>
      </x:c>
      <x:c r="F57" s="22" t="str">
        <x:v>clients.cooldown_until</x:v>
      </x:c>
      <x:c r="G57" s="22" t="str">
        <x:v>yyyy-mm-dd</x:v>
      </x:c>
      <x:c r="H57" s="22" t="str">
        <x:v>لا تعبئ إلا إذا كانت السياسة واضحة.</x:v>
      </x:c>
    </x:row>
    <x:row r="58">
      <x:c r="A58" s="22" t="str">
        <x:v>الزبائن</x:v>
      </x:c>
      <x:c r="B58" s="22" t="str">
        <x:v>ضبط التواصل</x:v>
      </x:c>
      <x:c r="C58" s="22" t="str">
        <x:v>cooldown_reason</x:v>
      </x:c>
      <x:c r="D58" s="22" t="str">
        <x:v>سبب التهدئة</x:v>
      </x:c>
      <x:c r="E58" s="22" t="str">
        <x:v>اختياري</x:v>
      </x:c>
      <x:c r="F58" s="22" t="str">
        <x:v>clients.cooldown_reason</x:v>
      </x:c>
      <x:c r="G58" s="22" t="str">
        <x:v>text</x:v>
      </x:c>
      <x:c r="H58" s="22" t="str"/>
    </x:row>
    <x:row r="59">
      <x:c r="A59" s="22" t="str">
        <x:v>الزبائن</x:v>
      </x:c>
      <x:c r="B59" s="22" t="str">
        <x:v>بيانات إضافية</x:v>
      </x:c>
      <x:c r="C59" s="22" t="str">
        <x:v>notes</x:v>
      </x:c>
      <x:c r="D59" s="22" t="str">
        <x:v>ملاحظات عامة</x:v>
      </x:c>
      <x:c r="E59" s="22" t="str">
        <x:v>اختياري</x:v>
      </x:c>
      <x:c r="F59" s="22" t="str">
        <x:v>clients.notes</x:v>
      </x:c>
      <x:c r="G59" s="22" t="str">
        <x:v>text</x:v>
      </x:c>
      <x:c r="H59" s="22" t="str">
        <x:v>نص حر عن الزبون.</x:v>
      </x:c>
    </x:row>
    <x:row r="60">
      <x:c r="A60" s="22" t="str">
        <x:v>الزبائن</x:v>
      </x:c>
      <x:c r="B60" s="22" t="str">
        <x:v>مراجعة التنظيف</x:v>
      </x:c>
      <x:c r="C60" s="22" t="str">
        <x:v>cleanup_status</x:v>
      </x:c>
      <x:c r="D60" s="22" t="str">
        <x:v>حالة التنظيف</x:v>
      </x:c>
      <x:c r="E60" s="22" t="str">
        <x:v>اختياري</x:v>
      </x:c>
      <x:c r="F60" s="22" t="str">
        <x:v>migration helper</x:v>
      </x:c>
      <x:c r="G60" s="22" t="str">
        <x:v>cleanup_status</x:v>
      </x:c>
      <x:c r="H60" s="22" t="str">
        <x:v>لحركة العمل الداخلية قبل الاستيراد.</x:v>
      </x:c>
    </x:row>
    <x:row r="61">
      <x:c r="A61" s="22" t="str">
        <x:v>الزبائن</x:v>
      </x:c>
      <x:c r="B61" s="22" t="str">
        <x:v>مراجعة التنظيف</x:v>
      </x:c>
      <x:c r="C61" s="22" t="str">
        <x:v>cleanup_notes</x:v>
      </x:c>
      <x:c r="D61" s="22" t="str">
        <x:v>ملاحظات التنظيف</x:v>
      </x:c>
      <x:c r="E61" s="22" t="str">
        <x:v>اختياري</x:v>
      </x:c>
      <x:c r="F61" s="22" t="str">
        <x:v>migration helper</x:v>
      </x:c>
      <x:c r="G61" s="22" t="str">
        <x:v>text</x:v>
      </x:c>
      <x:c r="H61" s="22" t="str"/>
    </x:row>
    <x:row r="62">
      <x:c r="A62" s="22" t="str">
        <x:v>الزبائن</x:v>
      </x:c>
      <x:c r="B62" s="22" t="str">
        <x:v>مراجعة التنظيف</x:v>
      </x:c>
      <x:c r="C62" s="22" t="str">
        <x:v>row_status</x:v>
      </x:c>
      <x:c r="D62" s="22" t="str">
        <x:v>حالة الصف</x:v>
      </x:c>
      <x:c r="E62" s="22" t="str">
        <x:v>محسوب</x:v>
      </x:c>
      <x:c r="F62" s="22" t="str">
        <x:v>migration helper</x:v>
      </x:c>
      <x:c r="G62" s="22" t="str">
        <x:v>READY/REVIEW/SKIP</x:v>
      </x:c>
      <x:c r="H62" s="22" t="str">
        <x:v>لا تعدله. يتحقق من الحقول الأساسية والتكرار.</x:v>
      </x:c>
    </x:row>
    <x:row r="63">
      <x:c r="A63" s="22" t="str">
        <x:v>الزبائن</x:v>
      </x:c>
      <x:c r="B63" s="22" t="str">
        <x:v>مراجعة التنظيف</x:v>
      </x:c>
      <x:c r="C63" s="22" t="str">
        <x:v>row_issues</x:v>
      </x:c>
      <x:c r="D63" s="22" t="str">
        <x:v>رسائل التنظيف</x:v>
      </x:c>
      <x:c r="E63" s="22" t="str">
        <x:v>محسوب</x:v>
      </x:c>
      <x:c r="F63" s="22" t="str">
        <x:v>migration helper</x:v>
      </x:c>
      <x:c r="G63" s="22" t="str">
        <x:v>formula</x:v>
      </x:c>
      <x:c r="H63" s="22" t="str">
        <x:v>لا تعدله. يشرح سبب REVIEW.</x:v>
      </x:c>
    </x:row>
    <x:row r="64">
      <x:c r="A64" s="22" t="str">
        <x:v>أرقام التواصل</x:v>
      </x:c>
      <x:c r="B64" s="22" t="str">
        <x:v>ربط</x:v>
      </x:c>
      <x:c r="C64" s="22" t="str">
        <x:v>migration_customer_key</x:v>
      </x:c>
      <x:c r="D64" s="22" t="str">
        <x:v>مفتاح الزبون للهجرة</x:v>
      </x:c>
      <x:c r="E64" s="22" t="str">
        <x:v>إلزامي</x:v>
      </x:c>
      <x:c r="F64" s="22" t="str">
        <x:v>link to الزبائن</x:v>
      </x:c>
      <x:c r="G64" s="22" t="str">
        <x:v>existing key</x:v>
      </x:c>
      <x:c r="H64" s="22" t="str">
        <x:v>يجب أن يطابق مفتاحاً في شيت الزبائن.</x:v>
      </x:c>
    </x:row>
    <x:row r="65">
      <x:c r="A65" s="22" t="str">
        <x:v>أرقام التواصل</x:v>
      </x:c>
      <x:c r="B65" s="22" t="str">
        <x:v>التواصل</x:v>
      </x:c>
      <x:c r="C65" s="22" t="str">
        <x:v>contact_order</x:v>
      </x:c>
      <x:c r="D65" s="22" t="str">
        <x:v>ترتيب الرقم</x:v>
      </x:c>
      <x:c r="E65" s="22" t="str">
        <x:v>اختياري</x:v>
      </x:c>
      <x:c r="F65" s="22" t="str">
        <x:v>clients.contacts[]</x:v>
      </x:c>
      <x:c r="G65" s="22" t="str">
        <x:v>number</x:v>
      </x:c>
      <x:c r="H65" s="22" t="str">
        <x:v>1، 2، 3...</x:v>
      </x:c>
    </x:row>
    <x:row r="66">
      <x:c r="A66" s="22" t="str">
        <x:v>أرقام التواصل</x:v>
      </x:c>
      <x:c r="B66" s="22" t="str">
        <x:v>التواصل</x:v>
      </x:c>
      <x:c r="C66" s="22" t="str">
        <x:v>contact_type</x:v>
      </x:c>
      <x:c r="D66" s="22" t="str">
        <x:v>نوع الرقم</x:v>
      </x:c>
      <x:c r="E66" s="22" t="str">
        <x:v>إلزامي</x:v>
      </x:c>
      <x:c r="F66" s="22" t="str">
        <x:v>clients.contacts[].type</x:v>
      </x:c>
      <x:c r="G66" s="22" t="str">
        <x:v>contact_type</x:v>
      </x:c>
      <x:c r="H66" s="22" t="str"/>
    </x:row>
    <x:row r="67">
      <x:c r="A67" s="22" t="str">
        <x:v>أرقام التواصل</x:v>
      </x:c>
      <x:c r="B67" s="22" t="str">
        <x:v>التواصل</x:v>
      </x:c>
      <x:c r="C67" s="22" t="str">
        <x:v>number</x:v>
      </x:c>
      <x:c r="D67" s="22" t="str">
        <x:v>الرقم</x:v>
      </x:c>
      <x:c r="E67" s="22" t="str">
        <x:v>إلزامي</x:v>
      </x:c>
      <x:c r="F67" s="22" t="str">
        <x:v>clients.contacts[].number</x:v>
      </x:c>
      <x:c r="G67" s="22" t="str">
        <x:v>text</x:v>
      </x:c>
      <x:c r="H67" s="22" t="str">
        <x:v>للموبايل: 09XXXXXXXX إلا إذا status=invalid.</x:v>
      </x:c>
    </x:row>
    <x:row r="68">
      <x:c r="A68" s="22" t="str">
        <x:v>أرقام التواصل</x:v>
      </x:c>
      <x:c r="B68" s="22" t="str">
        <x:v>التواصل</x:v>
      </x:c>
      <x:c r="C68" s="22" t="str">
        <x:v>area_code</x:v>
      </x:c>
      <x:c r="D68" s="22" t="str">
        <x:v>مفتاح الأرضي</x:v>
      </x:c>
      <x:c r="E68" s="22" t="str">
        <x:v>اختياري</x:v>
      </x:c>
      <x:c r="F68" s="22" t="str">
        <x:v>clients.contacts[].areaCode</x:v>
      </x:c>
      <x:c r="G68" s="22" t="str">
        <x:v>text</x:v>
      </x:c>
      <x:c r="H68" s="22" t="str">
        <x:v>مثال 011 للأرضي.</x:v>
      </x:c>
    </x:row>
    <x:row r="69">
      <x:c r="A69" s="22" t="str">
        <x:v>أرقام التواصل</x:v>
      </x:c>
      <x:c r="B69" s="22" t="str">
        <x:v>التواصل</x:v>
      </x:c>
      <x:c r="C69" s="22" t="str">
        <x:v>label</x:v>
      </x:c>
      <x:c r="D69" s="22" t="str">
        <x:v>العلاقة/الوصف</x:v>
      </x:c>
      <x:c r="E69" s="22" t="str">
        <x:v>اختياري</x:v>
      </x:c>
      <x:c r="F69" s="22" t="str">
        <x:v>clients.contacts[].label</x:v>
      </x:c>
      <x:c r="G69" s="22" t="str">
        <x:v>text</x:v>
      </x:c>
      <x:c r="H69" s="22" t="str">
        <x:v>شخصي، زوجة، ابن...</x:v>
      </x:c>
    </x:row>
    <x:row r="70">
      <x:c r="A70" s="22" t="str">
        <x:v>أرقام التواصل</x:v>
      </x:c>
      <x:c r="B70" s="22" t="str">
        <x:v>التواصل</x:v>
      </x:c>
      <x:c r="C70" s="22" t="str">
        <x:v>has_whatsapp</x:v>
      </x:c>
      <x:c r="D70" s="22" t="str">
        <x:v>واتساب</x:v>
      </x:c>
      <x:c r="E70" s="22" t="str">
        <x:v>اختياري</x:v>
      </x:c>
      <x:c r="F70" s="22" t="str">
        <x:v>clients.contacts[].hasWhatsApp</x:v>
      </x:c>
      <x:c r="G70" s="22" t="str">
        <x:v>TRUE/FALSE</x:v>
      </x:c>
      <x:c r="H70" s="22" t="str"/>
    </x:row>
    <x:row r="71">
      <x:c r="A71" s="22" t="str">
        <x:v>أرقام التواصل</x:v>
      </x:c>
      <x:c r="B71" s="22" t="str">
        <x:v>التواصل</x:v>
      </x:c>
      <x:c r="C71" s="22" t="str">
        <x:v>is_primary</x:v>
      </x:c>
      <x:c r="D71" s="22" t="str">
        <x:v>أساسي؟</x:v>
      </x:c>
      <x:c r="E71" s="22" t="str">
        <x:v>اختياري</x:v>
      </x:c>
      <x:c r="F71" s="22" t="str">
        <x:v>clients.contacts[].isPrimary</x:v>
      </x:c>
      <x:c r="G71" s="22" t="str">
        <x:v>TRUE/FALSE</x:v>
      </x:c>
      <x:c r="H71" s="22" t="str">
        <x:v>الرقم الأساسي موجود في شيت الزبائن؛ هنا للأرقام الإضافية أو المطابقة.</x:v>
      </x:c>
    </x:row>
    <x:row r="72">
      <x:c r="A72" s="22" t="str">
        <x:v>أرقام التواصل</x:v>
      </x:c>
      <x:c r="B72" s="22" t="str">
        <x:v>التواصل</x:v>
      </x:c>
      <x:c r="C72" s="22" t="str">
        <x:v>status</x:v>
      </x:c>
      <x:c r="D72" s="22" t="str">
        <x:v>حالة الرقم</x:v>
      </x:c>
      <x:c r="E72" s="22" t="str">
        <x:v>إلزامي</x:v>
      </x:c>
      <x:c r="F72" s="22" t="str">
        <x:v>clients.contacts[].status</x:v>
      </x:c>
      <x:c r="G72" s="22" t="str">
        <x:v>contact_status</x:v>
      </x:c>
      <x:c r="H72" s="22" t="str"/>
    </x:row>
    <x:row r="73">
      <x:c r="A73" s="22" t="str">
        <x:v>أرقام التواصل</x:v>
      </x:c>
      <x:c r="B73" s="22" t="str">
        <x:v>مراجعة</x:v>
      </x:c>
      <x:c r="C73" s="22" t="str">
        <x:v>cleanup_status</x:v>
      </x:c>
      <x:c r="D73" s="22" t="str">
        <x:v>حالة التنظيف</x:v>
      </x:c>
      <x:c r="E73" s="22" t="str">
        <x:v>اختياري</x:v>
      </x:c>
      <x:c r="F73" s="22" t="str">
        <x:v>migration helper</x:v>
      </x:c>
      <x:c r="G73" s="22" t="str">
        <x:v>cleanup_status</x:v>
      </x:c>
      <x:c r="H73" s="22" t="str"/>
    </x:row>
    <x:row r="74">
      <x:c r="A74" s="22" t="str">
        <x:v>أرقام التواصل</x:v>
      </x:c>
      <x:c r="B74" s="22" t="str">
        <x:v>مراجعة</x:v>
      </x:c>
      <x:c r="C74" s="22" t="str">
        <x:v>notes</x:v>
      </x:c>
      <x:c r="D74" s="22" t="str">
        <x:v>ملاحظات</x:v>
      </x:c>
      <x:c r="E74" s="22" t="str">
        <x:v>اختياري</x:v>
      </x:c>
      <x:c r="F74" s="22" t="str">
        <x:v>migration helper</x:v>
      </x:c>
      <x:c r="G74" s="22" t="str">
        <x:v>text</x:v>
      </x:c>
      <x:c r="H74" s="22" t="str"/>
    </x:row>
    <x:row r="75">
      <x:c r="A75" s="22" t="str">
        <x:v>أرقام التواصل</x:v>
      </x:c>
      <x:c r="B75" s="22" t="str">
        <x:v>مراجعة</x:v>
      </x:c>
      <x:c r="C75" s="22" t="str">
        <x:v>row_status</x:v>
      </x:c>
      <x:c r="D75" s="22" t="str">
        <x:v>حالة الصف</x:v>
      </x:c>
      <x:c r="E75" s="22" t="str">
        <x:v>محسوب</x:v>
      </x:c>
      <x:c r="F75" s="22" t="str">
        <x:v>migration helper</x:v>
      </x:c>
      <x:c r="G75" s="22" t="str">
        <x:v>READY/REVIEW</x:v>
      </x:c>
      <x:c r="H75" s="22" t="str">
        <x:v>لا تعدله.</x:v>
      </x:c>
    </x:row>
    <x:row r="76">
      <x:c r="A76" s="22" t="str">
        <x:v>أرقام التواصل</x:v>
      </x:c>
      <x:c r="B76" s="22" t="str">
        <x:v>مراجعة</x:v>
      </x:c>
      <x:c r="C76" s="22" t="str">
        <x:v>row_issues</x:v>
      </x:c>
      <x:c r="D76" s="22" t="str">
        <x:v>رسائل التنظيف</x:v>
      </x:c>
      <x:c r="E76" s="22" t="str">
        <x:v>محسوب</x:v>
      </x:c>
      <x:c r="F76" s="22" t="str">
        <x:v>migration helper</x:v>
      </x:c>
      <x:c r="G76" s="22" t="str">
        <x:v>formula</x:v>
      </x:c>
      <x:c r="H76" s="22" t="str">
        <x:v>لا تعدله.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7a0c6cbdb04a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8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28" hidden="0" customWidth="1"/>
    <x:col min="10" max="10" width="3" hidden="0" customWidth="1"/>
    <x:col min="11" max="11" width="14" hidden="0" customWidth="1"/>
    <x:col min="12" max="12" width="22" hidden="0" customWidth="1"/>
    <x:col min="13" max="13" width="10" hidden="0" customWidth="1"/>
    <x:col min="14" max="14" width="14" hidden="0" customWidth="1"/>
    <x:col min="15" max="15" width="22" hidden="0" customWidth="1"/>
    <x:col min="16" max="16" width="12" hidden="0" customWidth="1"/>
    <x:col min="17" max="17" width="18" hidden="0" customWidth="1"/>
    <x:col min="18" max="18" width="3" hidden="0" customWidth="1"/>
    <x:col min="19" max="19" width="14" hidden="0" customWidth="1"/>
    <x:col min="20" max="20" width="22" hidden="0" customWidth="1"/>
    <x:col min="21" max="21" width="14" hidden="0" customWidth="1"/>
    <x:col min="22" max="22" width="22" hidden="0" customWidth="1"/>
    <x:col min="23" max="23" width="34" hidden="0" customWidth="1"/>
  </x:cols>
  <x:sheetData>
    <x:row r="1" ht="34" customHeight="1">
      <x:c r="A1" s="18" t="str">
        <x:v>قوائم مرجعية وقيم مسموحة</x:v>
      </x:c>
      <x:c r="B1" s="18" t="str">
        <x:v>قوائم مرجعية وقيم مسموحة</x:v>
      </x:c>
      <x:c r="C1" s="18" t="str">
        <x:v>قوائم مرجعية وقيم مسموحة</x:v>
      </x:c>
      <x:c r="D1" s="18" t="str">
        <x:v>قوائم مرجعية وقيم مسموحة</x:v>
      </x:c>
      <x:c r="E1" s="18" t="str">
        <x:v>قوائم مرجعية وقيم مسموحة</x:v>
      </x:c>
      <x:c r="F1" s="18" t="str">
        <x:v>قوائم مرجعية وقيم مسموحة</x:v>
      </x:c>
      <x:c r="G1" s="18" t="str">
        <x:v>قوائم مرجعية وقيم مسموحة</x:v>
      </x:c>
      <x:c r="H1" s="18" t="str">
        <x:v>قوائم مرجعية وقيم مسموحة</x:v>
      </x:c>
      <x:c r="I1" s="18" t="str">
        <x:v>قوائم مرجعية وقيم مسموحة</x:v>
      </x:c>
      <x:c r="J1" s="18" t="str">
        <x:v>قوائم مرجعية وقيم مسموحة</x:v>
      </x:c>
      <x:c r="K1" s="18" t="str">
        <x:v>قوائم مرجعية وقيم مسموحة</x:v>
      </x:c>
      <x:c r="L1" s="18" t="str">
        <x:v>قوائم مرجعية وقيم مسموحة</x:v>
      </x:c>
      <x:c r="M1" s="18" t="str">
        <x:v>قوائم مرجعية وقيم مسموحة</x:v>
      </x:c>
      <x:c r="N1" s="18" t="str">
        <x:v>قوائم مرجعية وقيم مسموحة</x:v>
      </x:c>
      <x:c r="O1" s="18" t="str">
        <x:v>قوائم مرجعية وقيم مسموحة</x:v>
      </x:c>
      <x:c r="P1" s="18" t="str">
        <x:v>قوائم مرجعية وقيم مسموحة</x:v>
      </x:c>
      <x:c r="Q1" s="18" t="str">
        <x:v>قوائم مرجعية وقيم مسموحة</x:v>
      </x:c>
      <x:c r="R1" s="18" t="str">
        <x:v>قوائم مرجعية وقيم مسموحة</x:v>
      </x:c>
      <x:c r="S1" s="18" t="str">
        <x:v>قوائم مرجعية وقيم مسموحة</x:v>
      </x:c>
      <x:c r="T1" s="18" t="str">
        <x:v>قوائم مرجعية وقيم مسموحة</x:v>
      </x:c>
      <x:c r="U1" s="18" t="str">
        <x:v>قوائم مرجعية وقيم مسموحة</x:v>
      </x:c>
      <x:c r="V1" s="18" t="str">
        <x:v>قوائم مرجعية وقيم مسموحة</x:v>
      </x:c>
      <x:c r="W1" s="18" t="str">
        <x:v>قوائم مرجعية وقيم مسموحة</x:v>
      </x:c>
      <x:c r="X1" s="18" t="str">
        <x:v>قوائم مرجعية وقيم مسموحة</x:v>
      </x:c>
    </x:row>
    <x:row r="2" ht="28" customHeight="1">
      <x:c r="A2" s="19" t="str">
        <x:v>القيم التقنية يجب أن تبقى كما هي. جداول الفروع والمناطق والمستخدمين مخصصة للتعبئة من staging قبل التنظيف النهائي.</x:v>
      </x:c>
      <x:c r="B2" s="19" t="str">
        <x:v>القيم التقنية يجب أن تبقى كما هي. جداول الفروع والمناطق والمستخدمين مخصصة للتعبئة من staging قبل التنظيف النهائي.</x:v>
      </x:c>
      <x:c r="C2" s="19" t="str">
        <x:v>القيم التقنية يجب أن تبقى كما هي. جداول الفروع والمناطق والمستخدمين مخصصة للتعبئة من staging قبل التنظيف النهائي.</x:v>
      </x:c>
      <x:c r="D2" s="19" t="str">
        <x:v>القيم التقنية يجب أن تبقى كما هي. جداول الفروع والمناطق والمستخدمين مخصصة للتعبئة من staging قبل التنظيف النهائي.</x:v>
      </x:c>
      <x:c r="E2" s="19" t="str">
        <x:v>القيم التقنية يجب أن تبقى كما هي. جداول الفروع والمناطق والمستخدمين مخصصة للتعبئة من staging قبل التنظيف النهائي.</x:v>
      </x:c>
      <x:c r="F2" s="19" t="str">
        <x:v>القيم التقنية يجب أن تبقى كما هي. جداول الفروع والمناطق والمستخدمين مخصصة للتعبئة من staging قبل التنظيف النهائي.</x:v>
      </x:c>
      <x:c r="G2" s="19" t="str">
        <x:v>القيم التقنية يجب أن تبقى كما هي. جداول الفروع والمناطق والمستخدمين مخصصة للتعبئة من staging قبل التنظيف النهائي.</x:v>
      </x:c>
      <x:c r="H2" s="19" t="str">
        <x:v>القيم التقنية يجب أن تبقى كما هي. جداول الفروع والمناطق والمستخدمين مخصصة للتعبئة من staging قبل التنظيف النهائي.</x:v>
      </x:c>
      <x:c r="I2" s="19" t="str">
        <x:v>القيم التقنية يجب أن تبقى كما هي. جداول الفروع والمناطق والمستخدمين مخصصة للتعبئة من staging قبل التنظيف النهائي.</x:v>
      </x:c>
      <x:c r="J2" s="19" t="str">
        <x:v>القيم التقنية يجب أن تبقى كما هي. جداول الفروع والمناطق والمستخدمين مخصصة للتعبئة من staging قبل التنظيف النهائي.</x:v>
      </x:c>
      <x:c r="K2" s="19" t="str">
        <x:v>القيم التقنية يجب أن تبقى كما هي. جداول الفروع والمناطق والمستخدمين مخصصة للتعبئة من staging قبل التنظيف النهائي.</x:v>
      </x:c>
      <x:c r="L2" s="19" t="str">
        <x:v>القيم التقنية يجب أن تبقى كما هي. جداول الفروع والمناطق والمستخدمين مخصصة للتعبئة من staging قبل التنظيف النهائي.</x:v>
      </x:c>
      <x:c r="M2" s="19" t="str">
        <x:v>القيم التقنية يجب أن تبقى كما هي. جداول الفروع والمناطق والمستخدمين مخصصة للتعبئة من staging قبل التنظيف النهائي.</x:v>
      </x:c>
      <x:c r="N2" s="19" t="str">
        <x:v>القيم التقنية يجب أن تبقى كما هي. جداول الفروع والمناطق والمستخدمين مخصصة للتعبئة من staging قبل التنظيف النهائي.</x:v>
      </x:c>
      <x:c r="O2" s="19" t="str">
        <x:v>القيم التقنية يجب أن تبقى كما هي. جداول الفروع والمناطق والمستخدمين مخصصة للتعبئة من staging قبل التنظيف النهائي.</x:v>
      </x:c>
      <x:c r="P2" s="19" t="str">
        <x:v>القيم التقنية يجب أن تبقى كما هي. جداول الفروع والمناطق والمستخدمين مخصصة للتعبئة من staging قبل التنظيف النهائي.</x:v>
      </x:c>
      <x:c r="Q2" s="19" t="str">
        <x:v>القيم التقنية يجب أن تبقى كما هي. جداول الفروع والمناطق والمستخدمين مخصصة للتعبئة من staging قبل التنظيف النهائي.</x:v>
      </x:c>
      <x:c r="R2" s="19" t="str">
        <x:v>القيم التقنية يجب أن تبقى كما هي. جداول الفروع والمناطق والمستخدمين مخصصة للتعبئة من staging قبل التنظيف النهائي.</x:v>
      </x:c>
      <x:c r="S2" s="19" t="str">
        <x:v>القيم التقنية يجب أن تبقى كما هي. جداول الفروع والمناطق والمستخدمين مخصصة للتعبئة من staging قبل التنظيف النهائي.</x:v>
      </x:c>
      <x:c r="T2" s="19" t="str">
        <x:v>القيم التقنية يجب أن تبقى كما هي. جداول الفروع والمناطق والمستخدمين مخصصة للتعبئة من staging قبل التنظيف النهائي.</x:v>
      </x:c>
      <x:c r="U2" s="19" t="str">
        <x:v>القيم التقنية يجب أن تبقى كما هي. جداول الفروع والمناطق والمستخدمين مخصصة للتعبئة من staging قبل التنظيف النهائي.</x:v>
      </x:c>
      <x:c r="V2" s="19" t="str">
        <x:v>القيم التقنية يجب أن تبقى كما هي. جداول الفروع والمناطق والمستخدمين مخصصة للتعبئة من staging قبل التنظيف النهائي.</x:v>
      </x:c>
      <x:c r="W2" s="19" t="str">
        <x:v>القيم التقنية يجب أن تبقى كما هي. جداول الفروع والمناطق والمستخدمين مخصصة للتعبئة من staging قبل التنظيف النهائي.</x:v>
      </x:c>
      <x:c r="X2" s="19" t="str">
        <x:v>القيم التقنية يجب أن تبقى كما هي. جداول الفروع والمناطق والمستخدمين مخصصة للتعبئة من staging قبل التنظيف النهائي.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</x:row>
    <x:row r="5">
      <x:c r="A5" s="21" t="str">
        <x:v>القائمة</x:v>
      </x:c>
      <x:c r="B5" s="21" t="str">
        <x:v>القيمة</x:v>
      </x:c>
      <x:c r="C5" s="21" t="str">
        <x:v>شرح عربي</x:v>
      </x:c>
      <x:c r="D5" s="21" t="str">
        <x:v>ملاحظات</x:v>
      </x:c>
      <x:c r="E5" s="20"/>
      <x:c r="F5" s="269" t="str">
        <x:v>branch_id</x:v>
      </x:c>
      <x:c r="G5" s="269" t="str">
        <x:v>branch_name</x:v>
      </x:c>
      <x:c r="H5" s="269" t="str">
        <x:v>status</x:v>
      </x:c>
      <x:c r="I5" s="269" t="str">
        <x:v>notes</x:v>
      </x:c>
      <x:c r="J5" s="20"/>
      <x:c r="K5" s="270" t="str">
        <x:v>geo_unit_id</x:v>
      </x:c>
      <x:c r="L5" s="270" t="str">
        <x:v>name</x:v>
      </x:c>
      <x:c r="M5" s="270" t="str">
        <x:v>level</x:v>
      </x:c>
      <x:c r="N5" s="270" t="str">
        <x:v>parent_id</x:v>
      </x:c>
      <x:c r="O5" s="270" t="str">
        <x:v>parent_name</x:v>
      </x:c>
      <x:c r="P5" s="270" t="str">
        <x:v>status</x:v>
      </x:c>
      <x:c r="Q5" s="270" t="str">
        <x:v>covered_branch_id</x:v>
      </x:c>
      <x:c r="R5" s="20"/>
      <x:c r="S5" s="271" t="str">
        <x:v>hr_user_id</x:v>
      </x:c>
      <x:c r="T5" s="271" t="str">
        <x:v>name</x:v>
      </x:c>
      <x:c r="U5" s="271" t="str">
        <x:v>branch_id</x:v>
      </x:c>
      <x:c r="V5" s="271" t="str">
        <x:v>role</x:v>
      </x:c>
      <x:c r="W5" s="271" t="str">
        <x:v>assignable_notes</x:v>
      </x:c>
      <x:c r="X5" s="20"/>
    </x:row>
    <x:row r="6">
      <x:c r="A6" s="272" t="str">
        <x:v>import_action</x:v>
      </x:c>
      <x:c r="B6" s="272" t="str">
        <x:v>create</x:v>
      </x:c>
      <x:c r="C6" s="272" t="str">
        <x:v>إنشاء</x:v>
      </x:c>
      <x:c r="D6" s="272" t="str"/>
      <x:c r="E6" s="20"/>
      <x:c r="F6" s="273" t="str"/>
      <x:c r="G6" s="273" t="str"/>
      <x:c r="H6" s="273" t="str"/>
      <x:c r="I6" s="273" t="str">
        <x:v>املأ هذا الجدول من branches على staging</x:v>
      </x:c>
      <x:c r="J6" s="20"/>
      <x:c r="K6" s="273" t="str"/>
      <x:c r="L6" s="273" t="str"/>
      <x:c r="M6" s="273" t="str"/>
      <x:c r="N6" s="273" t="str"/>
      <x:c r="O6" s="273" t="str"/>
      <x:c r="P6" s="273" t="str"/>
      <x:c r="Q6" s="273" t="str">
        <x:v>املأ من geo_units + branch coverage</x:v>
      </x:c>
      <x:c r="R6" s="20"/>
      <x:c r="S6" s="273" t="str"/>
      <x:c r="T6" s="273" t="str"/>
      <x:c r="U6" s="273" t="str"/>
      <x:c r="V6" s="273" t="str"/>
      <x:c r="W6" s="273" t="str">
        <x:v>املأ من المستخدمين القابلين للإسناد clients.can_be_assigned</x:v>
      </x:c>
      <x:c r="X6" s="20"/>
    </x:row>
    <x:row r="7">
      <x:c r="A7" s="272" t="str">
        <x:v>import_action</x:v>
      </x:c>
      <x:c r="B7" s="272" t="str">
        <x:v>update</x:v>
      </x:c>
      <x:c r="C7" s="272" t="str">
        <x:v>تحديث</x:v>
      </x:c>
      <x:c r="D7" s="272" t="str"/>
      <x:c r="E7" s="20"/>
      <x:c r="F7" s="273"/>
      <x:c r="G7" s="273"/>
      <x:c r="H7" s="273"/>
      <x:c r="I7" s="273"/>
      <x:c r="J7" s="20"/>
      <x:c r="K7" s="273"/>
      <x:c r="L7" s="273"/>
      <x:c r="M7" s="273"/>
      <x:c r="N7" s="273"/>
      <x:c r="O7" s="273"/>
      <x:c r="P7" s="273"/>
      <x:c r="Q7" s="273"/>
      <x:c r="R7" s="20"/>
      <x:c r="S7" s="273"/>
      <x:c r="T7" s="273"/>
      <x:c r="U7" s="273"/>
      <x:c r="V7" s="273"/>
      <x:c r="W7" s="273"/>
      <x:c r="X7" s="20"/>
    </x:row>
    <x:row r="8">
      <x:c r="A8" s="272" t="str">
        <x:v>import_action</x:v>
      </x:c>
      <x:c r="B8" s="272" t="str">
        <x:v>skip</x:v>
      </x:c>
      <x:c r="C8" s="272" t="str">
        <x:v>تجاهل</x:v>
      </x:c>
      <x:c r="D8" s="272" t="str"/>
      <x:c r="E8" s="20"/>
      <x:c r="F8" s="273"/>
      <x:c r="G8" s="273"/>
      <x:c r="H8" s="273"/>
      <x:c r="I8" s="273"/>
      <x:c r="J8" s="20"/>
      <x:c r="K8" s="273"/>
      <x:c r="L8" s="273"/>
      <x:c r="M8" s="273"/>
      <x:c r="N8" s="273"/>
      <x:c r="O8" s="273"/>
      <x:c r="P8" s="273"/>
      <x:c r="Q8" s="273"/>
      <x:c r="R8" s="20"/>
      <x:c r="S8" s="273"/>
      <x:c r="T8" s="273"/>
      <x:c r="U8" s="273"/>
      <x:c r="V8" s="273"/>
      <x:c r="W8" s="273"/>
      <x:c r="X8" s="20"/>
    </x:row>
    <x:row r="9">
      <x:c r="A9" s="272" t="str">
        <x:v>contact_type</x:v>
      </x:c>
      <x:c r="B9" s="272" t="str">
        <x:v>mobile</x:v>
      </x:c>
      <x:c r="C9" s="272" t="str">
        <x:v>موبايل</x:v>
      </x:c>
      <x:c r="D9" s="272" t="str"/>
      <x:c r="E9" s="20"/>
      <x:c r="F9" s="273"/>
      <x:c r="G9" s="273"/>
      <x:c r="H9" s="273"/>
      <x:c r="I9" s="273"/>
      <x:c r="J9" s="20"/>
      <x:c r="K9" s="273"/>
      <x:c r="L9" s="273"/>
      <x:c r="M9" s="273"/>
      <x:c r="N9" s="273"/>
      <x:c r="O9" s="273"/>
      <x:c r="P9" s="273"/>
      <x:c r="Q9" s="273"/>
      <x:c r="R9" s="20"/>
      <x:c r="S9" s="273"/>
      <x:c r="T9" s="273"/>
      <x:c r="U9" s="273"/>
      <x:c r="V9" s="273"/>
      <x:c r="W9" s="273"/>
      <x:c r="X9" s="20"/>
    </x:row>
    <x:row r="10">
      <x:c r="A10" s="272" t="str">
        <x:v>contact_type</x:v>
      </x:c>
      <x:c r="B10" s="272" t="str">
        <x:v>landline</x:v>
      </x:c>
      <x:c r="C10" s="272" t="str">
        <x:v>أرضي</x:v>
      </x:c>
      <x:c r="D10" s="272" t="str"/>
      <x:c r="E10" s="20"/>
      <x:c r="F10" s="273"/>
      <x:c r="G10" s="273"/>
      <x:c r="H10" s="273"/>
      <x:c r="I10" s="273"/>
      <x:c r="J10" s="20"/>
      <x:c r="K10" s="273"/>
      <x:c r="L10" s="273"/>
      <x:c r="M10" s="273"/>
      <x:c r="N10" s="273"/>
      <x:c r="O10" s="273"/>
      <x:c r="P10" s="273"/>
      <x:c r="Q10" s="273"/>
      <x:c r="R10" s="20"/>
      <x:c r="S10" s="273"/>
      <x:c r="T10" s="273"/>
      <x:c r="U10" s="273"/>
      <x:c r="V10" s="273"/>
      <x:c r="W10" s="273"/>
      <x:c r="X10" s="20"/>
    </x:row>
    <x:row r="11">
      <x:c r="A11" s="272" t="str">
        <x:v>contact_type</x:v>
      </x:c>
      <x:c r="B11" s="272" t="str">
        <x:v>other</x:v>
      </x:c>
      <x:c r="C11" s="272" t="str">
        <x:v>آخر</x:v>
      </x:c>
      <x:c r="D11" s="272" t="str"/>
      <x:c r="E11" s="20"/>
      <x:c r="F11" s="273"/>
      <x:c r="G11" s="273"/>
      <x:c r="H11" s="273"/>
      <x:c r="I11" s="273"/>
      <x:c r="J11" s="20"/>
      <x:c r="K11" s="273"/>
      <x:c r="L11" s="273"/>
      <x:c r="M11" s="273"/>
      <x:c r="N11" s="273"/>
      <x:c r="O11" s="273"/>
      <x:c r="P11" s="273"/>
      <x:c r="Q11" s="273"/>
      <x:c r="R11" s="20"/>
      <x:c r="S11" s="273"/>
      <x:c r="T11" s="273"/>
      <x:c r="U11" s="273"/>
      <x:c r="V11" s="273"/>
      <x:c r="W11" s="273"/>
      <x:c r="X11" s="20"/>
    </x:row>
    <x:row r="12">
      <x:c r="A12" s="272" t="str">
        <x:v>contact_status</x:v>
      </x:c>
      <x:c r="B12" s="272" t="str">
        <x:v>active</x:v>
      </x:c>
      <x:c r="C12" s="272" t="str">
        <x:v>فعال</x:v>
      </x:c>
      <x:c r="D12" s="272" t="str"/>
      <x:c r="E12" s="20"/>
      <x:c r="F12" s="273"/>
      <x:c r="G12" s="273"/>
      <x:c r="H12" s="273"/>
      <x:c r="I12" s="273"/>
      <x:c r="J12" s="20"/>
      <x:c r="K12" s="273"/>
      <x:c r="L12" s="273"/>
      <x:c r="M12" s="273"/>
      <x:c r="N12" s="273"/>
      <x:c r="O12" s="273"/>
      <x:c r="P12" s="273"/>
      <x:c r="Q12" s="273"/>
      <x:c r="R12" s="20"/>
      <x:c r="S12" s="273"/>
      <x:c r="T12" s="273"/>
      <x:c r="U12" s="273"/>
      <x:c r="V12" s="273"/>
      <x:c r="W12" s="273"/>
      <x:c r="X12" s="20"/>
    </x:row>
    <x:row r="13">
      <x:c r="A13" s="272" t="str">
        <x:v>contact_status</x:v>
      </x:c>
      <x:c r="B13" s="272" t="str">
        <x:v>preferred</x:v>
      </x:c>
      <x:c r="C13" s="272" t="str">
        <x:v>مفضل</x:v>
      </x:c>
      <x:c r="D13" s="272" t="str"/>
      <x:c r="E13" s="20"/>
      <x:c r="F13" s="273"/>
      <x:c r="G13" s="273"/>
      <x:c r="H13" s="273"/>
      <x:c r="I13" s="273"/>
      <x:c r="J13" s="20"/>
      <x:c r="K13" s="273"/>
      <x:c r="L13" s="273"/>
      <x:c r="M13" s="273"/>
      <x:c r="N13" s="273"/>
      <x:c r="O13" s="273"/>
      <x:c r="P13" s="273"/>
      <x:c r="Q13" s="273"/>
      <x:c r="R13" s="20"/>
      <x:c r="S13" s="273"/>
      <x:c r="T13" s="273"/>
      <x:c r="U13" s="273"/>
      <x:c r="V13" s="273"/>
      <x:c r="W13" s="273"/>
      <x:c r="X13" s="20"/>
    </x:row>
    <x:row r="14">
      <x:c r="A14" s="272" t="str">
        <x:v>contact_status</x:v>
      </x:c>
      <x:c r="B14" s="272" t="str">
        <x:v>out-of-coverage</x:v>
      </x:c>
      <x:c r="C14" s="272" t="str">
        <x:v>خارج التغطية</x:v>
      </x:c>
      <x:c r="D14" s="272" t="str"/>
      <x:c r="E14" s="20"/>
      <x:c r="F14" s="273"/>
      <x:c r="G14" s="273"/>
      <x:c r="H14" s="273"/>
      <x:c r="I14" s="273"/>
      <x:c r="J14" s="20"/>
      <x:c r="K14" s="273"/>
      <x:c r="L14" s="273"/>
      <x:c r="M14" s="273"/>
      <x:c r="N14" s="273"/>
      <x:c r="O14" s="273"/>
      <x:c r="P14" s="273"/>
      <x:c r="Q14" s="273"/>
      <x:c r="R14" s="20"/>
      <x:c r="S14" s="273"/>
      <x:c r="T14" s="273"/>
      <x:c r="U14" s="273"/>
      <x:c r="V14" s="273"/>
      <x:c r="W14" s="273"/>
      <x:c r="X14" s="20"/>
    </x:row>
    <x:row r="15">
      <x:c r="A15" s="272" t="str">
        <x:v>contact_status</x:v>
      </x:c>
      <x:c r="B15" s="272" t="str">
        <x:v>unused</x:v>
      </x:c>
      <x:c r="C15" s="272" t="str">
        <x:v>غير مستخدم</x:v>
      </x:c>
      <x:c r="D15" s="272" t="str"/>
      <x:c r="E15" s="20"/>
      <x:c r="F15" s="273"/>
      <x:c r="G15" s="273"/>
      <x:c r="H15" s="273"/>
      <x:c r="I15" s="273"/>
      <x:c r="J15" s="20"/>
      <x:c r="K15" s="273"/>
      <x:c r="L15" s="273"/>
      <x:c r="M15" s="273"/>
      <x:c r="N15" s="273"/>
      <x:c r="O15" s="273"/>
      <x:c r="P15" s="273"/>
      <x:c r="Q15" s="273"/>
      <x:c r="R15" s="20"/>
      <x:c r="S15" s="273"/>
      <x:c r="T15" s="273"/>
      <x:c r="U15" s="273"/>
      <x:c r="V15" s="273"/>
      <x:c r="W15" s="273"/>
      <x:c r="X15" s="20"/>
    </x:row>
    <x:row r="16">
      <x:c r="A16" s="272" t="str">
        <x:v>contact_status</x:v>
      </x:c>
      <x:c r="B16" s="272" t="str">
        <x:v>invalid</x:v>
      </x:c>
      <x:c r="C16" s="272" t="str">
        <x:v>قيمة خاطئة</x:v>
      </x:c>
      <x:c r="D16" s="272" t="str"/>
      <x:c r="E16" s="20"/>
      <x:c r="F16" s="273"/>
      <x:c r="G16" s="273"/>
      <x:c r="H16" s="273"/>
      <x:c r="I16" s="273"/>
      <x:c r="J16" s="20"/>
      <x:c r="K16" s="273"/>
      <x:c r="L16" s="273"/>
      <x:c r="M16" s="273"/>
      <x:c r="N16" s="273"/>
      <x:c r="O16" s="273"/>
      <x:c r="P16" s="273"/>
      <x:c r="Q16" s="273"/>
      <x:c r="R16" s="20"/>
      <x:c r="S16" s="273"/>
      <x:c r="T16" s="273"/>
      <x:c r="U16" s="273"/>
      <x:c r="V16" s="273"/>
      <x:c r="W16" s="273"/>
      <x:c r="X16" s="20"/>
    </x:row>
    <x:row r="17">
      <x:c r="A17" s="272" t="str">
        <x:v>boolean</x:v>
      </x:c>
      <x:c r="B17" s="272" t="str">
        <x:v>TRUE</x:v>
      </x:c>
      <x:c r="C17" s="272" t="str">
        <x:v>نعم</x:v>
      </x:c>
      <x:c r="D17" s="272" t="str"/>
      <x:c r="E17" s="20"/>
      <x:c r="F17" s="273"/>
      <x:c r="G17" s="273"/>
      <x:c r="H17" s="273"/>
      <x:c r="I17" s="273"/>
      <x:c r="J17" s="20"/>
      <x:c r="K17" s="273"/>
      <x:c r="L17" s="273"/>
      <x:c r="M17" s="273"/>
      <x:c r="N17" s="273"/>
      <x:c r="O17" s="273"/>
      <x:c r="P17" s="273"/>
      <x:c r="Q17" s="273"/>
      <x:c r="R17" s="20"/>
      <x:c r="S17" s="273"/>
      <x:c r="T17" s="273"/>
      <x:c r="U17" s="273"/>
      <x:c r="V17" s="273"/>
      <x:c r="W17" s="273"/>
      <x:c r="X17" s="20"/>
    </x:row>
    <x:row r="18">
      <x:c r="A18" s="272" t="str">
        <x:v>boolean</x:v>
      </x:c>
      <x:c r="B18" s="272" t="str">
        <x:v>FALSE</x:v>
      </x:c>
      <x:c r="C18" s="272" t="str">
        <x:v>لا</x:v>
      </x:c>
      <x:c r="D18" s="272" t="str"/>
      <x:c r="E18" s="20"/>
      <x:c r="F18" s="273"/>
      <x:c r="G18" s="273"/>
      <x:c r="H18" s="273"/>
      <x:c r="I18" s="273"/>
      <x:c r="J18" s="20"/>
      <x:c r="K18" s="273"/>
      <x:c r="L18" s="273"/>
      <x:c r="M18" s="273"/>
      <x:c r="N18" s="273"/>
      <x:c r="O18" s="273"/>
      <x:c r="P18" s="273"/>
      <x:c r="Q18" s="273"/>
      <x:c r="R18" s="20"/>
      <x:c r="S18" s="273"/>
      <x:c r="T18" s="273"/>
      <x:c r="U18" s="273"/>
      <x:c r="V18" s="273"/>
      <x:c r="W18" s="273"/>
      <x:c r="X18" s="20"/>
    </x:row>
    <x:row r="19">
      <x:c r="A19" s="272" t="str">
        <x:v>source_channel</x:v>
      </x:c>
      <x:c r="B19" s="272" t="str">
        <x:v>PhoneCall</x:v>
      </x:c>
      <x:c r="C19" s="272" t="str">
        <x:v>اتصال</x:v>
      </x:c>
      <x:c r="D19" s="272" t="str"/>
      <x:c r="E19" s="20"/>
      <x:c r="F19" s="273"/>
      <x:c r="G19" s="273"/>
      <x:c r="H19" s="273"/>
      <x:c r="I19" s="273"/>
      <x:c r="J19" s="20"/>
      <x:c r="K19" s="273"/>
      <x:c r="L19" s="273"/>
      <x:c r="M19" s="273"/>
      <x:c r="N19" s="273"/>
      <x:c r="O19" s="273"/>
      <x:c r="P19" s="273"/>
      <x:c r="Q19" s="273"/>
      <x:c r="R19" s="20"/>
      <x:c r="S19" s="273"/>
      <x:c r="T19" s="273"/>
      <x:c r="U19" s="273"/>
      <x:c r="V19" s="273"/>
      <x:c r="W19" s="273"/>
      <x:c r="X19" s="20"/>
    </x:row>
    <x:row r="20">
      <x:c r="A20" s="272" t="str">
        <x:v>source_channel</x:v>
      </x:c>
      <x:c r="B20" s="272" t="str">
        <x:v>SocialMedia</x:v>
      </x:c>
      <x:c r="C20" s="272" t="str">
        <x:v>سوشال</x:v>
      </x:c>
      <x:c r="D20" s="272" t="str"/>
      <x:c r="E20" s="20"/>
      <x:c r="F20" s="273"/>
      <x:c r="G20" s="273"/>
      <x:c r="H20" s="273"/>
      <x:c r="I20" s="273"/>
      <x:c r="J20" s="20"/>
      <x:c r="K20" s="273"/>
      <x:c r="L20" s="273"/>
      <x:c r="M20" s="273"/>
      <x:c r="N20" s="273"/>
      <x:c r="O20" s="273"/>
      <x:c r="P20" s="273"/>
      <x:c r="Q20" s="273"/>
      <x:c r="R20" s="20"/>
      <x:c r="S20" s="273"/>
      <x:c r="T20" s="273"/>
      <x:c r="U20" s="273"/>
      <x:c r="V20" s="273"/>
      <x:c r="W20" s="273"/>
      <x:c r="X20" s="20"/>
    </x:row>
    <x:row r="21">
      <x:c r="A21" s="272" t="str">
        <x:v>source_channel</x:v>
      </x:c>
      <x:c r="B21" s="272" t="str">
        <x:v>Campaign</x:v>
      </x:c>
      <x:c r="C21" s="272" t="str">
        <x:v>حملة</x:v>
      </x:c>
      <x:c r="D21" s="272" t="str"/>
      <x:c r="E21" s="20"/>
      <x:c r="F21" s="273"/>
      <x:c r="G21" s="273"/>
      <x:c r="H21" s="273"/>
      <x:c r="I21" s="273"/>
      <x:c r="J21" s="20"/>
      <x:c r="K21" s="273"/>
      <x:c r="L21" s="273"/>
      <x:c r="M21" s="273"/>
      <x:c r="N21" s="273"/>
      <x:c r="O21" s="273"/>
      <x:c r="P21" s="273"/>
      <x:c r="Q21" s="273"/>
      <x:c r="R21" s="20"/>
      <x:c r="S21" s="273"/>
      <x:c r="T21" s="273"/>
      <x:c r="U21" s="273"/>
      <x:c r="V21" s="273"/>
      <x:c r="W21" s="273"/>
      <x:c r="X21" s="20"/>
    </x:row>
    <x:row r="22">
      <x:c r="A22" s="272" t="str">
        <x:v>source_channel</x:v>
      </x:c>
      <x:c r="B22" s="272" t="str">
        <x:v>Acquaintance</x:v>
      </x:c>
      <x:c r="C22" s="272" t="str">
        <x:v>معارف</x:v>
      </x:c>
      <x:c r="D22" s="272" t="str"/>
      <x:c r="E22" s="20"/>
      <x:c r="F22" s="273"/>
      <x:c r="G22" s="273"/>
      <x:c r="H22" s="273"/>
      <x:c r="I22" s="273"/>
      <x:c r="J22" s="20"/>
      <x:c r="K22" s="273"/>
      <x:c r="L22" s="273"/>
      <x:c r="M22" s="273"/>
      <x:c r="N22" s="273"/>
      <x:c r="O22" s="273"/>
      <x:c r="P22" s="273"/>
      <x:c r="Q22" s="273"/>
      <x:c r="R22" s="20"/>
      <x:c r="S22" s="273"/>
      <x:c r="T22" s="273"/>
      <x:c r="U22" s="273"/>
      <x:c r="V22" s="273"/>
      <x:c r="W22" s="273"/>
      <x:c r="X22" s="20"/>
    </x:row>
    <x:row r="23">
      <x:c r="A23" s="272" t="str">
        <x:v>referrer_type</x:v>
      </x:c>
      <x:c r="B23" s="272" t="str">
        <x:v>Personal</x:v>
      </x:c>
      <x:c r="C23" s="272" t="str">
        <x:v>شخصي</x:v>
      </x:c>
      <x:c r="D23" s="272" t="str"/>
      <x:c r="E23" s="20"/>
      <x:c r="F23" s="273"/>
      <x:c r="G23" s="273"/>
      <x:c r="H23" s="273"/>
      <x:c r="I23" s="273"/>
      <x:c r="J23" s="20"/>
      <x:c r="K23" s="273"/>
      <x:c r="L23" s="273"/>
      <x:c r="M23" s="273"/>
      <x:c r="N23" s="273"/>
      <x:c r="O23" s="273"/>
      <x:c r="P23" s="273"/>
      <x:c r="Q23" s="273"/>
      <x:c r="R23" s="20"/>
      <x:c r="S23" s="273"/>
      <x:c r="T23" s="273"/>
      <x:c r="U23" s="273"/>
      <x:c r="V23" s="273"/>
      <x:c r="W23" s="273"/>
      <x:c r="X23" s="20"/>
    </x:row>
    <x:row r="24">
      <x:c r="A24" s="272" t="str">
        <x:v>referrer_type</x:v>
      </x:c>
      <x:c r="B24" s="272" t="str">
        <x:v>Employee</x:v>
      </x:c>
      <x:c r="C24" s="272" t="str">
        <x:v>موظف</x:v>
      </x:c>
      <x:c r="D24" s="272" t="str"/>
      <x:c r="E24" s="20"/>
      <x:c r="F24" s="273"/>
      <x:c r="G24" s="273"/>
      <x:c r="H24" s="273"/>
      <x:c r="I24" s="273"/>
      <x:c r="J24" s="20"/>
      <x:c r="K24" s="273"/>
      <x:c r="L24" s="273"/>
      <x:c r="M24" s="273"/>
      <x:c r="N24" s="273"/>
      <x:c r="O24" s="273"/>
      <x:c r="P24" s="273"/>
      <x:c r="Q24" s="273"/>
      <x:c r="R24" s="20"/>
      <x:c r="S24" s="273"/>
      <x:c r="T24" s="273"/>
      <x:c r="U24" s="273"/>
      <x:c r="V24" s="273"/>
      <x:c r="W24" s="273"/>
      <x:c r="X24" s="20"/>
    </x:row>
    <x:row r="25">
      <x:c r="A25" s="272" t="str">
        <x:v>referrer_type</x:v>
      </x:c>
      <x:c r="B25" s="272" t="str">
        <x:v>Client</x:v>
      </x:c>
      <x:c r="C25" s="272" t="str">
        <x:v>زبون</x:v>
      </x:c>
      <x:c r="D25" s="272" t="str"/>
      <x:c r="E25" s="20"/>
      <x:c r="F25" s="273"/>
      <x:c r="G25" s="273"/>
      <x:c r="H25" s="273"/>
      <x:c r="I25" s="273"/>
      <x:c r="J25" s="20"/>
      <x:c r="K25" s="273"/>
      <x:c r="L25" s="273"/>
      <x:c r="M25" s="273"/>
      <x:c r="N25" s="273"/>
      <x:c r="O25" s="273"/>
      <x:c r="P25" s="273"/>
      <x:c r="Q25" s="273"/>
      <x:c r="R25" s="20"/>
      <x:c r="S25" s="273"/>
      <x:c r="T25" s="273"/>
      <x:c r="U25" s="273"/>
      <x:c r="V25" s="273"/>
      <x:c r="W25" s="273"/>
      <x:c r="X25" s="20"/>
    </x:row>
    <x:row r="26">
      <x:c r="A26" s="272" t="str">
        <x:v>referrer_type</x:v>
      </x:c>
      <x:c r="B26" s="272" t="str">
        <x:v>Unknown</x:v>
      </x:c>
      <x:c r="C26" s="272" t="str">
        <x:v>مجهول</x:v>
      </x:c>
      <x:c r="D26" s="272" t="str"/>
      <x:c r="E26" s="20"/>
      <x:c r="F26" s="273"/>
      <x:c r="G26" s="273"/>
      <x:c r="H26" s="273"/>
      <x:c r="I26" s="273"/>
      <x:c r="J26" s="20"/>
      <x:c r="K26" s="273"/>
      <x:c r="L26" s="273"/>
      <x:c r="M26" s="273"/>
      <x:c r="N26" s="273"/>
      <x:c r="O26" s="273"/>
      <x:c r="P26" s="273"/>
      <x:c r="Q26" s="273"/>
      <x:c r="R26" s="20"/>
      <x:c r="S26" s="273"/>
      <x:c r="T26" s="273"/>
      <x:c r="U26" s="273"/>
      <x:c r="V26" s="273"/>
      <x:c r="W26" s="273"/>
      <x:c r="X26" s="20"/>
    </x:row>
    <x:row r="27">
      <x:c r="A27" s="272" t="str">
        <x:v>candidate_status</x:v>
      </x:c>
      <x:c r="B27" s="272" t="str">
        <x:v>Lead</x:v>
      </x:c>
      <x:c r="C27" s="272" t="str">
        <x:v>Lead</x:v>
      </x:c>
      <x:c r="D27" s="272" t="str"/>
      <x:c r="E27" s="20"/>
      <x:c r="F27" s="273"/>
      <x:c r="G27" s="273"/>
      <x:c r="H27" s="273"/>
      <x:c r="I27" s="273"/>
      <x:c r="J27" s="20"/>
      <x:c r="K27" s="273"/>
      <x:c r="L27" s="273"/>
      <x:c r="M27" s="273"/>
      <x:c r="N27" s="273"/>
      <x:c r="O27" s="273"/>
      <x:c r="P27" s="273"/>
      <x:c r="Q27" s="273"/>
      <x:c r="R27" s="20"/>
      <x:c r="S27" s="273"/>
      <x:c r="T27" s="273"/>
      <x:c r="U27" s="273"/>
      <x:c r="V27" s="273"/>
      <x:c r="W27" s="273"/>
      <x:c r="X27" s="20"/>
    </x:row>
    <x:row r="28">
      <x:c r="A28" s="272" t="str">
        <x:v>candidate_status</x:v>
      </x:c>
      <x:c r="B28" s="272" t="str">
        <x:v>FOP</x:v>
      </x:c>
      <x:c r="C28" s="272" t="str">
        <x:v>FOP</x:v>
      </x:c>
      <x:c r="D28" s="272" t="str"/>
      <x:c r="E28" s="20"/>
      <x:c r="F28" s="273"/>
      <x:c r="G28" s="273"/>
      <x:c r="H28" s="273"/>
      <x:c r="I28" s="273"/>
      <x:c r="J28" s="20"/>
      <x:c r="K28" s="273"/>
      <x:c r="L28" s="273"/>
      <x:c r="M28" s="273"/>
      <x:c r="N28" s="273"/>
      <x:c r="O28" s="273"/>
      <x:c r="P28" s="273"/>
      <x:c r="Q28" s="273"/>
      <x:c r="R28" s="20"/>
      <x:c r="S28" s="273"/>
      <x:c r="T28" s="273"/>
      <x:c r="U28" s="273"/>
      <x:c r="V28" s="273"/>
      <x:c r="W28" s="273"/>
      <x:c r="X28" s="20"/>
    </x:row>
    <x:row r="29">
      <x:c r="A29" s="272" t="str">
        <x:v>candidate_status</x:v>
      </x:c>
      <x:c r="B29" s="272" t="str">
        <x:v>OP</x:v>
      </x:c>
      <x:c r="C29" s="272" t="str">
        <x:v>OP</x:v>
      </x:c>
      <x:c r="D29" s="272" t="str"/>
      <x:c r="E29" s="20"/>
      <x:c r="F29" s="273"/>
      <x:c r="G29" s="273"/>
      <x:c r="H29" s="273"/>
      <x:c r="I29" s="273"/>
      <x:c r="J29" s="20"/>
      <x:c r="K29" s="273"/>
      <x:c r="L29" s="273"/>
      <x:c r="M29" s="273"/>
      <x:c r="N29" s="273"/>
      <x:c r="O29" s="273"/>
      <x:c r="P29" s="273"/>
      <x:c r="Q29" s="273"/>
      <x:c r="R29" s="20"/>
      <x:c r="S29" s="273"/>
      <x:c r="T29" s="273"/>
      <x:c r="U29" s="273"/>
      <x:c r="V29" s="273"/>
      <x:c r="W29" s="273"/>
      <x:c r="X29" s="20"/>
    </x:row>
    <x:row r="30">
      <x:c r="A30" s="272" t="str">
        <x:v>gender</x:v>
      </x:c>
      <x:c r="B30" s="272" t="str">
        <x:v>male</x:v>
      </x:c>
      <x:c r="C30" s="272" t="str">
        <x:v>ذكر</x:v>
      </x:c>
      <x:c r="D30" s="272" t="str"/>
      <x:c r="E30" s="20"/>
      <x:c r="F30" s="273"/>
      <x:c r="G30" s="273"/>
      <x:c r="H30" s="273"/>
      <x:c r="I30" s="273"/>
      <x:c r="J30" s="20"/>
      <x:c r="K30" s="273"/>
      <x:c r="L30" s="273"/>
      <x:c r="M30" s="273"/>
      <x:c r="N30" s="273"/>
      <x:c r="O30" s="273"/>
      <x:c r="P30" s="273"/>
      <x:c r="Q30" s="273"/>
      <x:c r="R30" s="20"/>
      <x:c r="S30" s="273"/>
      <x:c r="T30" s="273"/>
      <x:c r="U30" s="273"/>
      <x:c r="V30" s="273"/>
      <x:c r="W30" s="273"/>
      <x:c r="X30" s="20"/>
    </x:row>
    <x:row r="31">
      <x:c r="A31" s="272" t="str">
        <x:v>gender</x:v>
      </x:c>
      <x:c r="B31" s="272" t="str">
        <x:v>female</x:v>
      </x:c>
      <x:c r="C31" s="272" t="str">
        <x:v>أنثى</x:v>
      </x:c>
      <x:c r="D31" s="272" t="str"/>
      <x:c r="E31" s="20"/>
      <x:c r="F31" s="273"/>
      <x:c r="G31" s="273"/>
      <x:c r="H31" s="273"/>
      <x:c r="I31" s="273"/>
      <x:c r="J31" s="20"/>
      <x:c r="K31" s="273"/>
      <x:c r="L31" s="273"/>
      <x:c r="M31" s="273"/>
      <x:c r="N31" s="273"/>
      <x:c r="O31" s="273"/>
      <x:c r="P31" s="273"/>
      <x:c r="Q31" s="273"/>
      <x:c r="R31" s="20"/>
      <x:c r="S31" s="273"/>
      <x:c r="T31" s="273"/>
      <x:c r="U31" s="273"/>
      <x:c r="V31" s="273"/>
      <x:c r="W31" s="273"/>
      <x:c r="X31" s="20"/>
    </x:row>
    <x:row r="32">
      <x:c r="A32" s="272" t="str">
        <x:v>data_quality</x:v>
      </x:c>
      <x:c r="B32" s="272" t="str">
        <x:v>correct</x:v>
      </x:c>
      <x:c r="C32" s="272" t="str">
        <x:v>صحيحة</x:v>
      </x:c>
      <x:c r="D32" s="272" t="str"/>
      <x:c r="E32" s="20"/>
      <x:c r="F32" s="273"/>
      <x:c r="G32" s="273"/>
      <x:c r="H32" s="273"/>
      <x:c r="I32" s="273"/>
      <x:c r="J32" s="20"/>
      <x:c r="K32" s="273"/>
      <x:c r="L32" s="273"/>
      <x:c r="M32" s="273"/>
      <x:c r="N32" s="273"/>
      <x:c r="O32" s="273"/>
      <x:c r="P32" s="273"/>
      <x:c r="Q32" s="273"/>
      <x:c r="R32" s="20"/>
      <x:c r="S32" s="273"/>
      <x:c r="T32" s="273"/>
      <x:c r="U32" s="273"/>
      <x:c r="V32" s="273"/>
      <x:c r="W32" s="273"/>
      <x:c r="X32" s="20"/>
    </x:row>
    <x:row r="33">
      <x:c r="A33" s="272" t="str">
        <x:v>data_quality</x:v>
      </x:c>
      <x:c r="B33" s="272" t="str">
        <x:v>incorrect</x:v>
      </x:c>
      <x:c r="C33" s="272" t="str">
        <x:v>خاطئة</x:v>
      </x:c>
      <x:c r="D33" s="272" t="str"/>
      <x:c r="E33" s="20"/>
      <x:c r="F33" s="273"/>
      <x:c r="G33" s="273"/>
      <x:c r="H33" s="273"/>
      <x:c r="I33" s="273"/>
      <x:c r="J33" s="20"/>
      <x:c r="K33" s="273"/>
      <x:c r="L33" s="273"/>
      <x:c r="M33" s="273"/>
      <x:c r="N33" s="273"/>
      <x:c r="O33" s="273"/>
      <x:c r="P33" s="273"/>
      <x:c r="Q33" s="273"/>
      <x:c r="R33" s="20"/>
      <x:c r="S33" s="273"/>
      <x:c r="T33" s="273"/>
      <x:c r="U33" s="273"/>
      <x:c r="V33" s="273"/>
      <x:c r="W33" s="273"/>
      <x:c r="X33" s="20"/>
    </x:row>
    <x:row r="34">
      <x:c r="A34" s="272" t="str">
        <x:v>data_quality</x:v>
      </x:c>
      <x:c r="B34" s="272" t="str">
        <x:v>needs_edit</x:v>
      </x:c>
      <x:c r="C34" s="272" t="str">
        <x:v>تحتاج تعديل</x:v>
      </x:c>
      <x:c r="D34" s="272" t="str"/>
      <x:c r="E34" s="20"/>
      <x:c r="F34" s="273"/>
      <x:c r="G34" s="273"/>
      <x:c r="H34" s="273"/>
      <x:c r="I34" s="273"/>
      <x:c r="J34" s="20"/>
      <x:c r="K34" s="273"/>
      <x:c r="L34" s="273"/>
      <x:c r="M34" s="273"/>
      <x:c r="N34" s="273"/>
      <x:c r="O34" s="273"/>
      <x:c r="P34" s="273"/>
      <x:c r="Q34" s="273"/>
      <x:c r="R34" s="20"/>
      <x:c r="S34" s="273"/>
      <x:c r="T34" s="273"/>
      <x:c r="U34" s="273"/>
      <x:c r="V34" s="273"/>
      <x:c r="W34" s="273"/>
      <x:c r="X34" s="20"/>
    </x:row>
    <x:row r="35">
      <x:c r="A35" s="272" t="str">
        <x:v>rating</x:v>
      </x:c>
      <x:c r="B35" s="272" t="str">
        <x:v>Undefined</x:v>
      </x:c>
      <x:c r="C35" s="272" t="str">
        <x:v>غير محدد</x:v>
      </x:c>
      <x:c r="D35" s="272" t="str"/>
      <x:c r="E35" s="20"/>
      <x:c r="F35" s="273"/>
      <x:c r="G35" s="273"/>
      <x:c r="H35" s="273"/>
      <x:c r="I35" s="273"/>
      <x:c r="J35" s="20"/>
      <x:c r="K35" s="273"/>
      <x:c r="L35" s="273"/>
      <x:c r="M35" s="273"/>
      <x:c r="N35" s="273"/>
      <x:c r="O35" s="273"/>
      <x:c r="P35" s="273"/>
      <x:c r="Q35" s="273"/>
      <x:c r="R35" s="20"/>
      <x:c r="S35" s="273"/>
      <x:c r="T35" s="273"/>
      <x:c r="U35" s="273"/>
      <x:c r="V35" s="273"/>
      <x:c r="W35" s="273"/>
      <x:c r="X35" s="20"/>
    </x:row>
    <x:row r="36">
      <x:c r="A36" s="272" t="str">
        <x:v>rating</x:v>
      </x:c>
      <x:c r="B36" s="272" t="str">
        <x:v>Committed</x:v>
      </x:c>
      <x:c r="C36" s="272" t="str">
        <x:v>ملتزم</x:v>
      </x:c>
      <x:c r="D36" s="272" t="str"/>
      <x:c r="E36" s="20"/>
      <x:c r="F36" s="273"/>
      <x:c r="G36" s="273"/>
      <x:c r="H36" s="273"/>
      <x:c r="I36" s="273"/>
      <x:c r="J36" s="20"/>
      <x:c r="K36" s="273"/>
      <x:c r="L36" s="273"/>
      <x:c r="M36" s="273"/>
      <x:c r="N36" s="273"/>
      <x:c r="O36" s="273"/>
      <x:c r="P36" s="273"/>
      <x:c r="Q36" s="273"/>
      <x:c r="R36" s="20"/>
      <x:c r="S36" s="273"/>
      <x:c r="T36" s="273"/>
      <x:c r="U36" s="273"/>
      <x:c r="V36" s="273"/>
      <x:c r="W36" s="273"/>
      <x:c r="X36" s="20"/>
    </x:row>
    <x:row r="37">
      <x:c r="A37" s="272" t="str">
        <x:v>rating</x:v>
      </x:c>
      <x:c r="B37" s="272" t="str">
        <x:v>NotCommitted</x:v>
      </x:c>
      <x:c r="C37" s="272" t="str">
        <x:v>غير ملتزم</x:v>
      </x:c>
      <x:c r="D37" s="272" t="str"/>
      <x:c r="E37" s="20"/>
      <x:c r="F37" s="273"/>
      <x:c r="G37" s="273"/>
      <x:c r="H37" s="273"/>
      <x:c r="I37" s="273"/>
      <x:c r="J37" s="20"/>
      <x:c r="K37" s="273"/>
      <x:c r="L37" s="273"/>
      <x:c r="M37" s="273"/>
      <x:c r="N37" s="273"/>
      <x:c r="O37" s="273"/>
      <x:c r="P37" s="273"/>
      <x:c r="Q37" s="273"/>
      <x:c r="R37" s="20"/>
      <x:c r="S37" s="273"/>
      <x:c r="T37" s="273"/>
      <x:c r="U37" s="273"/>
      <x:c r="V37" s="273"/>
      <x:c r="W37" s="273"/>
      <x:c r="X37" s="20"/>
    </x:row>
    <x:row r="38">
      <x:c r="A38" s="272" t="str">
        <x:v>cleanup_status</x:v>
      </x:c>
      <x:c r="B38" s="272" t="str">
        <x:v>raw</x:v>
      </x:c>
      <x:c r="C38" s="272" t="str">
        <x:v>خام</x:v>
      </x:c>
      <x:c r="D38" s="272" t="str"/>
      <x:c r="E38" s="20"/>
      <x:c r="F38" s="273"/>
      <x:c r="G38" s="273"/>
      <x:c r="H38" s="273"/>
      <x:c r="I38" s="273"/>
      <x:c r="J38" s="20"/>
      <x:c r="K38" s="273"/>
      <x:c r="L38" s="273"/>
      <x:c r="M38" s="273"/>
      <x:c r="N38" s="273"/>
      <x:c r="O38" s="273"/>
      <x:c r="P38" s="273"/>
      <x:c r="Q38" s="273"/>
      <x:c r="R38" s="20"/>
      <x:c r="S38" s="273"/>
      <x:c r="T38" s="273"/>
      <x:c r="U38" s="273"/>
      <x:c r="V38" s="273"/>
      <x:c r="W38" s="273"/>
      <x:c r="X38" s="20"/>
    </x:row>
    <x:row r="39">
      <x:c r="A39" s="272" t="str">
        <x:v>cleanup_status</x:v>
      </x:c>
      <x:c r="B39" s="272" t="str">
        <x:v>cleaned</x:v>
      </x:c>
      <x:c r="C39" s="272" t="str">
        <x:v>منظف</x:v>
      </x:c>
      <x:c r="D39" s="272" t="str"/>
      <x:c r="E39" s="20"/>
      <x:c r="F39" s="273"/>
      <x:c r="G39" s="273"/>
      <x:c r="H39" s="273"/>
      <x:c r="I39" s="273"/>
      <x:c r="J39" s="20"/>
      <x:c r="K39" s="273"/>
      <x:c r="L39" s="273"/>
      <x:c r="M39" s="273"/>
      <x:c r="N39" s="273"/>
      <x:c r="O39" s="273"/>
      <x:c r="P39" s="273"/>
      <x:c r="Q39" s="273"/>
      <x:c r="R39" s="20"/>
      <x:c r="S39" s="273"/>
      <x:c r="T39" s="273"/>
      <x:c r="U39" s="273"/>
      <x:c r="V39" s="273"/>
      <x:c r="W39" s="273"/>
      <x:c r="X39" s="20"/>
    </x:row>
    <x:row r="40">
      <x:c r="A40" s="272" t="str">
        <x:v>cleanup_status</x:v>
      </x:c>
      <x:c r="B40" s="272" t="str">
        <x:v>review_needed</x:v>
      </x:c>
      <x:c r="C40" s="272" t="str">
        <x:v>بحاجة مراجعة</x:v>
      </x:c>
      <x:c r="D40" s="272" t="str"/>
      <x:c r="E40" s="20"/>
      <x:c r="F40" s="273"/>
      <x:c r="G40" s="273"/>
      <x:c r="H40" s="273"/>
      <x:c r="I40" s="273"/>
      <x:c r="J40" s="20"/>
      <x:c r="K40" s="273"/>
      <x:c r="L40" s="273"/>
      <x:c r="M40" s="273"/>
      <x:c r="N40" s="273"/>
      <x:c r="O40" s="273"/>
      <x:c r="P40" s="273"/>
      <x:c r="Q40" s="273"/>
      <x:c r="R40" s="20"/>
      <x:c r="S40" s="273"/>
      <x:c r="T40" s="273"/>
      <x:c r="U40" s="273"/>
      <x:c r="V40" s="273"/>
      <x:c r="W40" s="273"/>
      <x:c r="X40" s="20"/>
    </x:row>
    <x:row r="41">
      <x:c r="A41" s="272" t="str">
        <x:v>cleanup_status</x:v>
      </x:c>
      <x:c r="B41" s="272" t="str">
        <x:v>blocked</x:v>
      </x:c>
      <x:c r="C41" s="272" t="str">
        <x:v>معطّل</x:v>
      </x:c>
      <x:c r="D41" s="272" t="str"/>
      <x:c r="E41" s="20"/>
      <x:c r="F41" s="20"/>
      <x:c r="G41" s="20"/>
      <x:c r="H41" s="20"/>
      <x:c r="I41" s="20"/>
      <x:c r="J41" s="20"/>
      <x:c r="K41" s="273"/>
      <x:c r="L41" s="273"/>
      <x:c r="M41" s="273"/>
      <x:c r="N41" s="273"/>
      <x:c r="O41" s="273"/>
      <x:c r="P41" s="273"/>
      <x:c r="Q41" s="273"/>
      <x:c r="R41" s="20"/>
      <x:c r="S41" s="273"/>
      <x:c r="T41" s="273"/>
      <x:c r="U41" s="273"/>
      <x:c r="V41" s="273"/>
      <x:c r="W41" s="273"/>
      <x:c r="X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73"/>
      <x:c r="L42" s="273"/>
      <x:c r="M42" s="273"/>
      <x:c r="N42" s="273"/>
      <x:c r="O42" s="273"/>
      <x:c r="P42" s="273"/>
      <x:c r="Q42" s="273"/>
      <x:c r="R42" s="20"/>
      <x:c r="S42" s="273"/>
      <x:c r="T42" s="273"/>
      <x:c r="U42" s="273"/>
      <x:c r="V42" s="273"/>
      <x:c r="W42" s="273"/>
      <x:c r="X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73"/>
      <x:c r="L43" s="273"/>
      <x:c r="M43" s="273"/>
      <x:c r="N43" s="273"/>
      <x:c r="O43" s="273"/>
      <x:c r="P43" s="273"/>
      <x:c r="Q43" s="273"/>
      <x:c r="R43" s="20"/>
      <x:c r="S43" s="273"/>
      <x:c r="T43" s="273"/>
      <x:c r="U43" s="273"/>
      <x:c r="V43" s="273"/>
      <x:c r="W43" s="273"/>
      <x:c r="X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73"/>
      <x:c r="L44" s="273"/>
      <x:c r="M44" s="273"/>
      <x:c r="N44" s="273"/>
      <x:c r="O44" s="273"/>
      <x:c r="P44" s="273"/>
      <x:c r="Q44" s="273"/>
      <x:c r="R44" s="20"/>
      <x:c r="S44" s="273"/>
      <x:c r="T44" s="273"/>
      <x:c r="U44" s="273"/>
      <x:c r="V44" s="273"/>
      <x:c r="W44" s="273"/>
      <x:c r="X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73"/>
      <x:c r="L45" s="273"/>
      <x:c r="M45" s="273"/>
      <x:c r="N45" s="273"/>
      <x:c r="O45" s="273"/>
      <x:c r="P45" s="273"/>
      <x:c r="Q45" s="273"/>
      <x:c r="R45" s="20"/>
      <x:c r="S45" s="273"/>
      <x:c r="T45" s="273"/>
      <x:c r="U45" s="273"/>
      <x:c r="V45" s="273"/>
      <x:c r="W45" s="273"/>
      <x:c r="X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73"/>
      <x:c r="L46" s="273"/>
      <x:c r="M46" s="273"/>
      <x:c r="N46" s="273"/>
      <x:c r="O46" s="273"/>
      <x:c r="P46" s="273"/>
      <x:c r="Q46" s="273"/>
      <x:c r="R46" s="20"/>
      <x:c r="S46" s="273"/>
      <x:c r="T46" s="273"/>
      <x:c r="U46" s="273"/>
      <x:c r="V46" s="273"/>
      <x:c r="W46" s="273"/>
      <x:c r="X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73"/>
      <x:c r="L47" s="273"/>
      <x:c r="M47" s="273"/>
      <x:c r="N47" s="273"/>
      <x:c r="O47" s="273"/>
      <x:c r="P47" s="273"/>
      <x:c r="Q47" s="273"/>
      <x:c r="R47" s="20"/>
      <x:c r="S47" s="273"/>
      <x:c r="T47" s="273"/>
      <x:c r="U47" s="273"/>
      <x:c r="V47" s="273"/>
      <x:c r="W47" s="273"/>
      <x:c r="X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73"/>
      <x:c r="L48" s="273"/>
      <x:c r="M48" s="273"/>
      <x:c r="N48" s="273"/>
      <x:c r="O48" s="273"/>
      <x:c r="P48" s="273"/>
      <x:c r="Q48" s="273"/>
      <x:c r="R48" s="20"/>
      <x:c r="S48" s="273"/>
      <x:c r="T48" s="273"/>
      <x:c r="U48" s="273"/>
      <x:c r="V48" s="273"/>
      <x:c r="W48" s="273"/>
      <x:c r="X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73"/>
      <x:c r="L49" s="273"/>
      <x:c r="M49" s="273"/>
      <x:c r="N49" s="273"/>
      <x:c r="O49" s="273"/>
      <x:c r="P49" s="273"/>
      <x:c r="Q49" s="273"/>
      <x:c r="R49" s="20"/>
      <x:c r="S49" s="273"/>
      <x:c r="T49" s="273"/>
      <x:c r="U49" s="273"/>
      <x:c r="V49" s="273"/>
      <x:c r="W49" s="273"/>
      <x:c r="X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73"/>
      <x:c r="L50" s="273"/>
      <x:c r="M50" s="273"/>
      <x:c r="N50" s="273"/>
      <x:c r="O50" s="273"/>
      <x:c r="P50" s="273"/>
      <x:c r="Q50" s="273"/>
      <x:c r="R50" s="20"/>
      <x:c r="S50" s="273"/>
      <x:c r="T50" s="273"/>
      <x:c r="U50" s="273"/>
      <x:c r="V50" s="273"/>
      <x:c r="W50" s="273"/>
      <x:c r="X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73"/>
      <x:c r="L51" s="273"/>
      <x:c r="M51" s="273"/>
      <x:c r="N51" s="273"/>
      <x:c r="O51" s="273"/>
      <x:c r="P51" s="273"/>
      <x:c r="Q51" s="273"/>
      <x:c r="R51" s="20"/>
      <x:c r="S51" s="20"/>
      <x:c r="T51" s="20"/>
      <x:c r="U51" s="20"/>
      <x:c r="V51" s="20"/>
      <x:c r="W51" s="20"/>
      <x:c r="X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73"/>
      <x:c r="L52" s="273"/>
      <x:c r="M52" s="273"/>
      <x:c r="N52" s="273"/>
      <x:c r="O52" s="273"/>
      <x:c r="P52" s="273"/>
      <x:c r="Q52" s="273"/>
      <x:c r="R52" s="20"/>
      <x:c r="S52" s="20"/>
      <x:c r="T52" s="20"/>
      <x:c r="U52" s="20"/>
      <x:c r="V52" s="20"/>
      <x:c r="W52" s="20"/>
      <x:c r="X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73"/>
      <x:c r="L53" s="273"/>
      <x:c r="M53" s="273"/>
      <x:c r="N53" s="273"/>
      <x:c r="O53" s="273"/>
      <x:c r="P53" s="273"/>
      <x:c r="Q53" s="273"/>
      <x:c r="R53" s="20"/>
      <x:c r="S53" s="20"/>
      <x:c r="T53" s="20"/>
      <x:c r="U53" s="20"/>
      <x:c r="V53" s="20"/>
      <x:c r="W53" s="20"/>
      <x:c r="X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73"/>
      <x:c r="L54" s="273"/>
      <x:c r="M54" s="273"/>
      <x:c r="N54" s="273"/>
      <x:c r="O54" s="273"/>
      <x:c r="P54" s="273"/>
      <x:c r="Q54" s="273"/>
      <x:c r="R54" s="20"/>
      <x:c r="S54" s="20"/>
      <x:c r="T54" s="20"/>
      <x:c r="U54" s="20"/>
      <x:c r="V54" s="20"/>
      <x:c r="W54" s="20"/>
      <x:c r="X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73"/>
      <x:c r="L55" s="273"/>
      <x:c r="M55" s="273"/>
      <x:c r="N55" s="273"/>
      <x:c r="O55" s="273"/>
      <x:c r="P55" s="273"/>
      <x:c r="Q55" s="273"/>
      <x:c r="R55" s="20"/>
      <x:c r="S55" s="20"/>
      <x:c r="T55" s="20"/>
      <x:c r="U55" s="20"/>
      <x:c r="V55" s="20"/>
      <x:c r="W55" s="20"/>
      <x:c r="X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73"/>
      <x:c r="L56" s="273"/>
      <x:c r="M56" s="273"/>
      <x:c r="N56" s="273"/>
      <x:c r="O56" s="273"/>
      <x:c r="P56" s="273"/>
      <x:c r="Q56" s="273"/>
      <x:c r="R56" s="20"/>
      <x:c r="S56" s="20"/>
      <x:c r="T56" s="20"/>
      <x:c r="U56" s="20"/>
      <x:c r="V56" s="20"/>
      <x:c r="W56" s="20"/>
      <x:c r="X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73"/>
      <x:c r="L57" s="273"/>
      <x:c r="M57" s="273"/>
      <x:c r="N57" s="273"/>
      <x:c r="O57" s="273"/>
      <x:c r="P57" s="273"/>
      <x:c r="Q57" s="273"/>
      <x:c r="R57" s="20"/>
      <x:c r="S57" s="20"/>
      <x:c r="T57" s="20"/>
      <x:c r="U57" s="20"/>
      <x:c r="V57" s="20"/>
      <x:c r="W57" s="20"/>
      <x:c r="X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73"/>
      <x:c r="L58" s="273"/>
      <x:c r="M58" s="273"/>
      <x:c r="N58" s="273"/>
      <x:c r="O58" s="273"/>
      <x:c r="P58" s="273"/>
      <x:c r="Q58" s="273"/>
      <x:c r="R58" s="20"/>
      <x:c r="S58" s="20"/>
      <x:c r="T58" s="20"/>
      <x:c r="U58" s="20"/>
      <x:c r="V58" s="20"/>
      <x:c r="W58" s="20"/>
      <x:c r="X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73"/>
      <x:c r="L59" s="273"/>
      <x:c r="M59" s="273"/>
      <x:c r="N59" s="273"/>
      <x:c r="O59" s="273"/>
      <x:c r="P59" s="273"/>
      <x:c r="Q59" s="273"/>
      <x:c r="R59" s="20"/>
      <x:c r="S59" s="20"/>
      <x:c r="T59" s="20"/>
      <x:c r="U59" s="20"/>
      <x:c r="V59" s="20"/>
      <x:c r="W59" s="20"/>
      <x:c r="X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73"/>
      <x:c r="L60" s="273"/>
      <x:c r="M60" s="273"/>
      <x:c r="N60" s="273"/>
      <x:c r="O60" s="273"/>
      <x:c r="P60" s="273"/>
      <x:c r="Q60" s="273"/>
      <x:c r="R60" s="20"/>
      <x:c r="S60" s="20"/>
      <x:c r="T60" s="20"/>
      <x:c r="U60" s="20"/>
      <x:c r="V60" s="20"/>
      <x:c r="W60" s="20"/>
      <x:c r="X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73"/>
      <x:c r="L61" s="273"/>
      <x:c r="M61" s="273"/>
      <x:c r="N61" s="273"/>
      <x:c r="O61" s="273"/>
      <x:c r="P61" s="273"/>
      <x:c r="Q61" s="273"/>
      <x:c r="R61" s="20"/>
      <x:c r="S61" s="20"/>
      <x:c r="T61" s="20"/>
      <x:c r="U61" s="20"/>
      <x:c r="V61" s="20"/>
      <x:c r="W61" s="20"/>
      <x:c r="X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73"/>
      <x:c r="L62" s="273"/>
      <x:c r="M62" s="273"/>
      <x:c r="N62" s="273"/>
      <x:c r="O62" s="273"/>
      <x:c r="P62" s="273"/>
      <x:c r="Q62" s="273"/>
      <x:c r="R62" s="20"/>
      <x:c r="S62" s="20"/>
      <x:c r="T62" s="20"/>
      <x:c r="U62" s="20"/>
      <x:c r="V62" s="20"/>
      <x:c r="W62" s="20"/>
      <x:c r="X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73"/>
      <x:c r="L63" s="273"/>
      <x:c r="M63" s="273"/>
      <x:c r="N63" s="273"/>
      <x:c r="O63" s="273"/>
      <x:c r="P63" s="273"/>
      <x:c r="Q63" s="273"/>
      <x:c r="R63" s="20"/>
      <x:c r="S63" s="20"/>
      <x:c r="T63" s="20"/>
      <x:c r="U63" s="20"/>
      <x:c r="V63" s="20"/>
      <x:c r="W63" s="20"/>
      <x:c r="X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73"/>
      <x:c r="L64" s="273"/>
      <x:c r="M64" s="273"/>
      <x:c r="N64" s="273"/>
      <x:c r="O64" s="273"/>
      <x:c r="P64" s="273"/>
      <x:c r="Q64" s="273"/>
      <x:c r="R64" s="20"/>
      <x:c r="S64" s="20"/>
      <x:c r="T64" s="20"/>
      <x:c r="U64" s="20"/>
      <x:c r="V64" s="20"/>
      <x:c r="W64" s="20"/>
      <x:c r="X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73"/>
      <x:c r="L65" s="273"/>
      <x:c r="M65" s="273"/>
      <x:c r="N65" s="273"/>
      <x:c r="O65" s="273"/>
      <x:c r="P65" s="273"/>
      <x:c r="Q65" s="273"/>
      <x:c r="R65" s="20"/>
      <x:c r="S65" s="20"/>
      <x:c r="T65" s="20"/>
      <x:c r="U65" s="20"/>
      <x:c r="V65" s="20"/>
      <x:c r="W65" s="20"/>
      <x:c r="X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73"/>
      <x:c r="L66" s="273"/>
      <x:c r="M66" s="273"/>
      <x:c r="N66" s="273"/>
      <x:c r="O66" s="273"/>
      <x:c r="P66" s="273"/>
      <x:c r="Q66" s="273"/>
      <x:c r="R66" s="20"/>
      <x:c r="S66" s="20"/>
      <x:c r="T66" s="20"/>
      <x:c r="U66" s="20"/>
      <x:c r="V66" s="20"/>
      <x:c r="W66" s="20"/>
      <x:c r="X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73"/>
      <x:c r="L67" s="273"/>
      <x:c r="M67" s="273"/>
      <x:c r="N67" s="273"/>
      <x:c r="O67" s="273"/>
      <x:c r="P67" s="273"/>
      <x:c r="Q67" s="273"/>
      <x:c r="R67" s="20"/>
      <x:c r="S67" s="20"/>
      <x:c r="T67" s="20"/>
      <x:c r="U67" s="20"/>
      <x:c r="V67" s="20"/>
      <x:c r="W67" s="20"/>
      <x:c r="X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73"/>
      <x:c r="L68" s="273"/>
      <x:c r="M68" s="273"/>
      <x:c r="N68" s="273"/>
      <x:c r="O68" s="273"/>
      <x:c r="P68" s="273"/>
      <x:c r="Q68" s="273"/>
      <x:c r="R68" s="20"/>
      <x:c r="S68" s="20"/>
      <x:c r="T68" s="20"/>
      <x:c r="U68" s="20"/>
      <x:c r="V68" s="20"/>
      <x:c r="W68" s="20"/>
      <x:c r="X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73"/>
      <x:c r="L69" s="273"/>
      <x:c r="M69" s="273"/>
      <x:c r="N69" s="273"/>
      <x:c r="O69" s="273"/>
      <x:c r="P69" s="273"/>
      <x:c r="Q69" s="273"/>
      <x:c r="R69" s="20"/>
      <x:c r="S69" s="20"/>
      <x:c r="T69" s="20"/>
      <x:c r="U69" s="20"/>
      <x:c r="V69" s="20"/>
      <x:c r="W69" s="20"/>
      <x:c r="X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73"/>
      <x:c r="L70" s="273"/>
      <x:c r="M70" s="273"/>
      <x:c r="N70" s="273"/>
      <x:c r="O70" s="273"/>
      <x:c r="P70" s="273"/>
      <x:c r="Q70" s="273"/>
      <x:c r="R70" s="20"/>
      <x:c r="S70" s="20"/>
      <x:c r="T70" s="20"/>
      <x:c r="U70" s="20"/>
      <x:c r="V70" s="20"/>
      <x:c r="W70" s="20"/>
      <x:c r="X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73"/>
      <x:c r="L71" s="273"/>
      <x:c r="M71" s="273"/>
      <x:c r="N71" s="273"/>
      <x:c r="O71" s="273"/>
      <x:c r="P71" s="273"/>
      <x:c r="Q71" s="273"/>
      <x:c r="R71" s="20"/>
      <x:c r="S71" s="20"/>
      <x:c r="T71" s="20"/>
      <x:c r="U71" s="20"/>
      <x:c r="V71" s="20"/>
      <x:c r="W71" s="20"/>
      <x:c r="X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73"/>
      <x:c r="L72" s="273"/>
      <x:c r="M72" s="273"/>
      <x:c r="N72" s="273"/>
      <x:c r="O72" s="273"/>
      <x:c r="P72" s="273"/>
      <x:c r="Q72" s="273"/>
      <x:c r="R72" s="20"/>
      <x:c r="S72" s="20"/>
      <x:c r="T72" s="20"/>
      <x:c r="U72" s="20"/>
      <x:c r="V72" s="20"/>
      <x:c r="W72" s="20"/>
      <x:c r="X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73"/>
      <x:c r="L73" s="273"/>
      <x:c r="M73" s="273"/>
      <x:c r="N73" s="273"/>
      <x:c r="O73" s="273"/>
      <x:c r="P73" s="273"/>
      <x:c r="Q73" s="273"/>
      <x:c r="R73" s="20"/>
      <x:c r="S73" s="20"/>
      <x:c r="T73" s="20"/>
      <x:c r="U73" s="20"/>
      <x:c r="V73" s="20"/>
      <x:c r="W73" s="20"/>
      <x:c r="X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73"/>
      <x:c r="L74" s="273"/>
      <x:c r="M74" s="273"/>
      <x:c r="N74" s="273"/>
      <x:c r="O74" s="273"/>
      <x:c r="P74" s="273"/>
      <x:c r="Q74" s="273"/>
      <x:c r="R74" s="20"/>
      <x:c r="S74" s="20"/>
      <x:c r="T74" s="20"/>
      <x:c r="U74" s="20"/>
      <x:c r="V74" s="20"/>
      <x:c r="W74" s="20"/>
      <x:c r="X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73"/>
      <x:c r="L75" s="273"/>
      <x:c r="M75" s="273"/>
      <x:c r="N75" s="273"/>
      <x:c r="O75" s="273"/>
      <x:c r="P75" s="273"/>
      <x:c r="Q75" s="273"/>
      <x:c r="R75" s="20"/>
      <x:c r="S75" s="20"/>
      <x:c r="T75" s="20"/>
      <x:c r="U75" s="20"/>
      <x:c r="V75" s="20"/>
      <x:c r="W75" s="20"/>
      <x:c r="X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73"/>
      <x:c r="L76" s="273"/>
      <x:c r="M76" s="273"/>
      <x:c r="N76" s="273"/>
      <x:c r="O76" s="273"/>
      <x:c r="P76" s="273"/>
      <x:c r="Q76" s="273"/>
      <x:c r="R76" s="20"/>
      <x:c r="S76" s="20"/>
      <x:c r="T76" s="20"/>
      <x:c r="U76" s="20"/>
      <x:c r="V76" s="20"/>
      <x:c r="W76" s="20"/>
      <x:c r="X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73"/>
      <x:c r="L77" s="273"/>
      <x:c r="M77" s="273"/>
      <x:c r="N77" s="273"/>
      <x:c r="O77" s="273"/>
      <x:c r="P77" s="273"/>
      <x:c r="Q77" s="273"/>
      <x:c r="R77" s="20"/>
      <x:c r="S77" s="20"/>
      <x:c r="T77" s="20"/>
      <x:c r="U77" s="20"/>
      <x:c r="V77" s="20"/>
      <x:c r="W77" s="20"/>
      <x:c r="X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73"/>
      <x:c r="L78" s="273"/>
      <x:c r="M78" s="273"/>
      <x:c r="N78" s="273"/>
      <x:c r="O78" s="273"/>
      <x:c r="P78" s="273"/>
      <x:c r="Q78" s="273"/>
      <x:c r="R78" s="20"/>
      <x:c r="S78" s="20"/>
      <x:c r="T78" s="20"/>
      <x:c r="U78" s="20"/>
      <x:c r="V78" s="20"/>
      <x:c r="W78" s="20"/>
      <x:c r="X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73"/>
      <x:c r="L79" s="273"/>
      <x:c r="M79" s="273"/>
      <x:c r="N79" s="273"/>
      <x:c r="O79" s="273"/>
      <x:c r="P79" s="273"/>
      <x:c r="Q79" s="273"/>
      <x:c r="R79" s="20"/>
      <x:c r="S79" s="20"/>
      <x:c r="T79" s="20"/>
      <x:c r="U79" s="20"/>
      <x:c r="V79" s="20"/>
      <x:c r="W79" s="20"/>
      <x:c r="X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73"/>
      <x:c r="L80" s="273"/>
      <x:c r="M80" s="273"/>
      <x:c r="N80" s="273"/>
      <x:c r="O80" s="273"/>
      <x:c r="P80" s="273"/>
      <x:c r="Q80" s="273"/>
      <x:c r="R80" s="20"/>
      <x:c r="S80" s="20"/>
      <x:c r="T80" s="20"/>
      <x:c r="U80" s="20"/>
      <x:c r="V80" s="20"/>
      <x:c r="W80" s="20"/>
      <x:c r="X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</x:row>
  </x:sheetData>
  <x:mergeCells>
    <x:mergeCell ref="A1:X1"/>
    <x:mergeCell ref="A2:X2"/>
  </x:mergeCells>
  <x:pageMargins left="0.7" right="0.7" top="0.75" bottom="0.75" header="0.3" footer="0.3"/>
  <x:tableParts count="4">
    <x:tablePart xmlns:r="http://schemas.openxmlformats.org/officeDocument/2006/relationships" r:id="R4a7157f3c85d44f2"/>
    <x:tablePart xmlns:r="http://schemas.openxmlformats.org/officeDocument/2006/relationships" r:id="R55adec0c259340cd"/>
    <x:tablePart xmlns:r="http://schemas.openxmlformats.org/officeDocument/2006/relationships" r:id="R8da292b461cf46e6"/>
    <x:tablePart xmlns:r="http://schemas.openxmlformats.org/officeDocument/2006/relationships" r:id="Re8606079df0948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58" hidden="0" customWidth="1"/>
  </x:cols>
  <x:sheetData>
    <x:row r="1" ht="34" customHeight="1">
      <x:c r="A1" s="18" t="str">
        <x:v>أمثلة تعبئة سريعة</x:v>
      </x:c>
      <x:c r="B1" s="18" t="str">
        <x:v>أمثلة تعبئة سريعة</x:v>
      </x:c>
      <x:c r="C1" s="18" t="str">
        <x:v>أمثلة تعبئة سريعة</x:v>
      </x:c>
      <x:c r="D1" s="18" t="str">
        <x:v>أمثلة تعبئة سريعة</x:v>
      </x:c>
      <x:c r="E1" s="18" t="str">
        <x:v>أمثلة تعبئة سريعة</x:v>
      </x:c>
      <x:c r="F1" s="18" t="str">
        <x:v>أمثلة تعبئة سريعة</x:v>
      </x:c>
      <x:c r="G1" s="18" t="str">
        <x:v>أمثلة تعبئة سريعة</x:v>
      </x:c>
      <x:c r="H1" s="18" t="str">
        <x:v>أمثلة تعبئة سريعة</x:v>
      </x:c>
      <x:c r="I1" s="18" t="str">
        <x:v>أمثلة تعبئة سريعة</x:v>
      </x:c>
      <x:c r="J1" s="18" t="str">
        <x:v>أمثلة تعبئة سريعة</x:v>
      </x:c>
    </x:row>
    <x:row r="2" ht="28" customHeight="1">
      <x:c r="A2" s="19" t="str">
        <x:v>هذه أمثلة توضيحية فقط. احذف صفوف المثال من شيت الزبائن وأرقام التواصل قبل الاستيراد الفعلي.</x:v>
      </x:c>
      <x:c r="B2" s="19" t="str">
        <x:v>هذه أمثلة توضيحية فقط. احذف صفوف المثال من شيت الزبائن وأرقام التواصل قبل الاستيراد الفعلي.</x:v>
      </x:c>
      <x:c r="C2" s="19" t="str">
        <x:v>هذه أمثلة توضيحية فقط. احذف صفوف المثال من شيت الزبائن وأرقام التواصل قبل الاستيراد الفعلي.</x:v>
      </x:c>
      <x:c r="D2" s="19" t="str">
        <x:v>هذه أمثلة توضيحية فقط. احذف صفوف المثال من شيت الزبائن وأرقام التواصل قبل الاستيراد الفعلي.</x:v>
      </x:c>
      <x:c r="E2" s="19" t="str">
        <x:v>هذه أمثلة توضيحية فقط. احذف صفوف المثال من شيت الزبائن وأرقام التواصل قبل الاستيراد الفعلي.</x:v>
      </x:c>
      <x:c r="F2" s="19" t="str">
        <x:v>هذه أمثلة توضيحية فقط. احذف صفوف المثال من شيت الزبائن وأرقام التواصل قبل الاستيراد الفعلي.</x:v>
      </x:c>
      <x:c r="G2" s="19" t="str">
        <x:v>هذه أمثلة توضيحية فقط. احذف صفوف المثال من شيت الزبائن وأرقام التواصل قبل الاستيراد الفعلي.</x:v>
      </x:c>
      <x:c r="H2" s="19" t="str">
        <x:v>هذه أمثلة توضيحية فقط. احذف صفوف المثال من شيت الزبائن وأرقام التواصل قبل الاستيراد الفعلي.</x:v>
      </x:c>
      <x:c r="I2" s="19" t="str">
        <x:v>هذه أمثلة توضيحية فقط. احذف صفوف المثال من شيت الزبائن وأرقام التواصل قبل الاستيراد الفعلي.</x:v>
      </x:c>
      <x:c r="J2" s="19" t="str">
        <x:v>هذه أمثلة توضيحية فقط. احذف صفوف المثال من شيت الزبائن وأرقام التواصل قبل الاستيراد الفعلي.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 t="str">
        <x:v>حالة</x:v>
      </x:c>
      <x:c r="B4" s="21" t="str">
        <x:v>ما تملأه</x:v>
      </x:c>
      <x:c r="C4" s="21" t="str">
        <x:v>مثال</x:v>
      </x:c>
      <x:c r="D4" s="21" t="str">
        <x:v>ملاحظة</x:v>
      </x:c>
      <x:c r="E4" s="20"/>
      <x:c r="F4" s="20"/>
      <x:c r="G4" s="20"/>
      <x:c r="H4" s="20"/>
      <x:c r="I4" s="20"/>
      <x:c r="J4" s="20"/>
    </x:row>
    <x:row r="5">
      <x:c r="A5" s="22" t="str">
        <x:v>زبون جاهز</x:v>
      </x:c>
      <x:c r="B5" s="22" t="str">
        <x:v>branch_id + first_name + last_name + primary_phone + neighborhood_id</x:v>
      </x:c>
      <x:c r="C5" s="22" t="str">
        <x:v>1، أحمد، زيتون، 0912345678، 125</x:v>
      </x:c>
      <x:c r="D5" s="22" t="str">
        <x:v>يصبح READY إذا لا يوجد تكرار.</x:v>
      </x:c>
      <x:c r="E5" s="20"/>
      <x:c r="F5" s="20"/>
      <x:c r="G5" s="20"/>
      <x:c r="H5" s="20"/>
      <x:c r="I5" s="20"/>
      <x:c r="J5" s="20"/>
    </x:row>
    <x:row r="6">
      <x:c r="A6" s="22" t="str">
        <x:v>رقم غير صالح معروف</x:v>
      </x:c>
      <x:c r="B6" s="22" t="str">
        <x:v>primary_phone_status=invalid</x:v>
      </x:c>
      <x:c r="C6" s="22" t="str">
        <x:v>093 / invalid</x:v>
      </x:c>
      <x:c r="D6" s="22" t="str">
        <x:v>يسمح بتوثيق الرقم الخاطئ بدل رفضه كلياً.</x:v>
      </x:c>
      <x:c r="E6" s="20"/>
      <x:c r="F6" s="20"/>
      <x:c r="G6" s="20"/>
      <x:c r="H6" s="20"/>
      <x:c r="I6" s="20"/>
      <x:c r="J6" s="20"/>
    </x:row>
    <x:row r="7">
      <x:c r="A7" s="22" t="str">
        <x:v>زبون بلا ID قديم</x:v>
      </x:c>
      <x:c r="B7" s="22" t="str">
        <x:v>migration_customer_key</x:v>
      </x:c>
      <x:c r="C7" s="22" t="str">
        <x:v>TEMP-00025</x:v>
      </x:c>
      <x:c r="D7" s="22" t="str">
        <x:v>المهم أن يكون فريداً وثابتاً.</x:v>
      </x:c>
      <x:c r="E7" s="20"/>
      <x:c r="F7" s="20"/>
      <x:c r="G7" s="20"/>
      <x:c r="H7" s="20"/>
      <x:c r="I7" s="20"/>
      <x:c r="J7" s="20"/>
    </x:row>
    <x:row r="8">
      <x:c r="A8" s="22" t="str">
        <x:v>أرقام إضافية</x:v>
      </x:c>
      <x:c r="B8" s="22" t="str">
        <x:v>شيت أرقام التواصل</x:v>
      </x:c>
      <x:c r="C8" s="22" t="str">
        <x:v>CUST-0001 + mobile + 0987654321</x:v>
      </x:c>
      <x:c r="D8" s="22" t="str">
        <x:v>يرتبط عبر migration_customer_key.</x:v>
      </x:c>
      <x:c r="E8" s="20"/>
      <x:c r="F8" s="20"/>
      <x:c r="G8" s="20"/>
      <x:c r="H8" s="20"/>
      <x:c r="I8" s="20"/>
      <x:c r="J8" s="20"/>
    </x:row>
    <x:row r="9">
      <x:c r="A9" s="22" t="str">
        <x:v>عنوان يحتاج مطابقة</x:v>
      </x:c>
      <x:c r="B9" s="22" t="str">
        <x:v>ضع الاسم في neighborhood_name واترك cleanup_status=review_needed</x:v>
      </x:c>
      <x:c r="C9" s="22" t="str">
        <x:v>المزة القديمة</x:v>
      </x:c>
      <x:c r="D9" s="22" t="str">
        <x:v>لا يصبح READY حتى تعبئة neighborhood_id.</x:v>
      </x:c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  <x:mergeCell ref="A2:J2"/>
  </x:mergeCells>
  <x:pageMargins left="0.7" right="0.7" top="0.75" bottom="0.75" header="0.3" footer="0.3"/>
</x:worksheet>
</file>